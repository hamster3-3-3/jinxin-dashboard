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5733724\Desktop\晉欣廠\晉欣廠網站\日報\"/>
    </mc:Choice>
  </mc:AlternateContent>
  <bookViews>
    <workbookView xWindow="0" yWindow="-15" windowWidth="11505" windowHeight="9525" tabRatio="881" firstSheet="12" activeTab="1"/>
  </bookViews>
  <sheets>
    <sheet name="0201" sheetId="23" r:id="rId1"/>
    <sheet name="晉欣18度C0201" sheetId="24" r:id="rId2"/>
    <sheet name="晉欣4度C0201" sheetId="25" r:id="rId3"/>
    <sheet name="0202" sheetId="26" r:id="rId4"/>
    <sheet name="晉欣18度C0202" sheetId="27" r:id="rId5"/>
    <sheet name="晉欣4度C0202" sheetId="28" r:id="rId6"/>
    <sheet name="0203" sheetId="1" r:id="rId7"/>
    <sheet name="晉欣18度C0203" sheetId="16" r:id="rId8"/>
    <sheet name="晉欣4度C0203" sheetId="9" r:id="rId9"/>
    <sheet name="0204" sheetId="6" r:id="rId10"/>
    <sheet name="晉欣18度C0204" sheetId="17" r:id="rId11"/>
    <sheet name="晉欣4度C0204" sheetId="10" r:id="rId12"/>
    <sheet name="0205" sheetId="7" r:id="rId13"/>
    <sheet name="晉欣18度C0205" sheetId="18" r:id="rId14"/>
    <sheet name="晉欣4度C0205" sheetId="11" r:id="rId15"/>
    <sheet name="0206" sheetId="8" r:id="rId16"/>
    <sheet name="晉欣18度C0206" sheetId="19" r:id="rId17"/>
    <sheet name="晉欣4度C0206" sheetId="12" r:id="rId18"/>
    <sheet name="0207" sheetId="4" r:id="rId19"/>
    <sheet name="晉欣18度C0207" sheetId="20" r:id="rId20"/>
    <sheet name="晉欣4度C0207" sheetId="13" r:id="rId21"/>
    <sheet name="0208" sheetId="5" r:id="rId22"/>
    <sheet name="晉欣18度C0208" sheetId="21" r:id="rId23"/>
    <sheet name="晉欣4度C0208" sheetId="14" r:id="rId24"/>
    <sheet name="0209" sheetId="3" r:id="rId25"/>
    <sheet name="晉欣18度C0209" sheetId="22" r:id="rId26"/>
    <sheet name="晉欣4度C0209" sheetId="15" r:id="rId27"/>
  </sheets>
  <definedNames>
    <definedName name="_xlnm._FilterDatabase" localSheetId="0" hidden="1">'0201'!$B$10:$Q$25</definedName>
    <definedName name="_xlnm._FilterDatabase" localSheetId="3" hidden="1">'0202'!$B$10:$Q$25</definedName>
    <definedName name="_xlnm._FilterDatabase" localSheetId="6" hidden="1">'0203'!$B$10:$Q$25</definedName>
    <definedName name="_xlnm._FilterDatabase" localSheetId="9" hidden="1">'0204'!$B$10:$Q$25</definedName>
    <definedName name="_xlnm._FilterDatabase" localSheetId="12" hidden="1">'0205'!$B$10:$Q$25</definedName>
    <definedName name="_xlnm._FilterDatabase" localSheetId="15" hidden="1">'0206'!$B$10:$Q$25</definedName>
    <definedName name="_xlnm._FilterDatabase" localSheetId="18" hidden="1">'0207'!$B$10:$Q$25</definedName>
    <definedName name="_xlnm._FilterDatabase" localSheetId="21" hidden="1">'0208'!$B$10:$Q$25</definedName>
    <definedName name="_xlnm._FilterDatabase" localSheetId="24" hidden="1">'0209'!$B$10:$Q$25</definedName>
    <definedName name="_xlnm._FilterDatabase" localSheetId="1" hidden="1">晉欣18度C0201!$A$4:$R$124</definedName>
    <definedName name="_xlnm._FilterDatabase" localSheetId="4" hidden="1">晉欣18度C0202!$A$4:$R$124</definedName>
    <definedName name="_xlnm._FilterDatabase" localSheetId="7" hidden="1">晉欣18度C0203!$A$4:$R$124</definedName>
    <definedName name="_xlnm._FilterDatabase" localSheetId="10" hidden="1">晉欣18度C0204!$A$4:$R$124</definedName>
    <definedName name="_xlnm._FilterDatabase" localSheetId="13" hidden="1">晉欣18度C0205!$A$4:$R$124</definedName>
    <definedName name="_xlnm._FilterDatabase" localSheetId="16" hidden="1">晉欣18度C0206!$A$4:$R$124</definedName>
    <definedName name="_xlnm._FilterDatabase" localSheetId="19" hidden="1">晉欣18度C0207!$A$4:$R$124</definedName>
    <definedName name="_xlnm._FilterDatabase" localSheetId="22" hidden="1">晉欣18度C0208!$A$4:$R$124</definedName>
    <definedName name="_xlnm._FilterDatabase" localSheetId="25" hidden="1">晉欣18度C0209!$A$4:$R$124</definedName>
    <definedName name="_xlnm._FilterDatabase" localSheetId="2" hidden="1">晉欣4度C0201!$A$4:$AJ$173</definedName>
    <definedName name="_xlnm._FilterDatabase" localSheetId="5" hidden="1">晉欣4度C0202!$A$4:$AJ$173</definedName>
    <definedName name="_xlnm._FilterDatabase" localSheetId="8" hidden="1">晉欣4度C0203!$A$4:$AJ$173</definedName>
    <definedName name="_xlnm._FilterDatabase" localSheetId="11" hidden="1">晉欣4度C0204!$A$4:$AJ$173</definedName>
    <definedName name="_xlnm._FilterDatabase" localSheetId="14" hidden="1">晉欣4度C0205!$A$4:$AJ$173</definedName>
    <definedName name="_xlnm._FilterDatabase" localSheetId="17" hidden="1">晉欣4度C0206!$A$4:$AJ$173</definedName>
    <definedName name="_xlnm._FilterDatabase" localSheetId="20" hidden="1">晉欣4度C0207!$A$4:$AJ$173</definedName>
    <definedName name="_xlnm._FilterDatabase" localSheetId="23" hidden="1">晉欣4度C0208!$A$4:$AJ$173</definedName>
    <definedName name="_xlnm._FilterDatabase" localSheetId="26" hidden="1">晉欣4度C0209!$A$4:$AJ$173</definedName>
  </definedNames>
  <calcPr calcId="162913"/>
</workbook>
</file>

<file path=xl/calcChain.xml><?xml version="1.0" encoding="utf-8"?>
<calcChain xmlns="http://schemas.openxmlformats.org/spreadsheetml/2006/main">
  <c r="AE173" i="28" l="1"/>
  <c r="AD173" i="28"/>
  <c r="AA173" i="28"/>
  <c r="Z173" i="28"/>
  <c r="P173" i="28"/>
  <c r="M173" i="28"/>
  <c r="W172" i="28"/>
  <c r="H172" i="28"/>
  <c r="W171" i="28"/>
  <c r="H171" i="28"/>
  <c r="AG170" i="28"/>
  <c r="AF170" i="28"/>
  <c r="W170" i="28"/>
  <c r="H170" i="28"/>
  <c r="AG169" i="28"/>
  <c r="AF169" i="28"/>
  <c r="W169" i="28"/>
  <c r="H169" i="28"/>
  <c r="AG168" i="28"/>
  <c r="AF168" i="28"/>
  <c r="H168" i="28"/>
  <c r="AG167" i="28"/>
  <c r="AF167" i="28"/>
  <c r="H167" i="28"/>
  <c r="AG166" i="28"/>
  <c r="AF166" i="28"/>
  <c r="H166" i="28"/>
  <c r="W165" i="28"/>
  <c r="P165" i="28"/>
  <c r="N165" i="28"/>
  <c r="AG165" i="28" s="1"/>
  <c r="H165" i="28"/>
  <c r="W164" i="28"/>
  <c r="N164" i="28" s="1"/>
  <c r="P164" i="28"/>
  <c r="H164" i="28"/>
  <c r="W163" i="28"/>
  <c r="N163" i="28" s="1"/>
  <c r="P163" i="28"/>
  <c r="H163" i="28"/>
  <c r="AG162" i="28"/>
  <c r="AF162" i="28"/>
  <c r="W162" i="28"/>
  <c r="P162" i="28"/>
  <c r="N162" i="28"/>
  <c r="O162" i="28" s="1"/>
  <c r="H162" i="28"/>
  <c r="W161" i="28"/>
  <c r="N161" i="28" s="1"/>
  <c r="P161" i="28"/>
  <c r="O161" i="28"/>
  <c r="H161" i="28"/>
  <c r="AE160" i="28"/>
  <c r="AD160" i="28"/>
  <c r="AA160" i="28"/>
  <c r="Z160" i="28"/>
  <c r="P160" i="28"/>
  <c r="M160" i="28"/>
  <c r="W159" i="28"/>
  <c r="H159" i="28"/>
  <c r="W158" i="28"/>
  <c r="H158" i="28"/>
  <c r="W157" i="28"/>
  <c r="H157" i="28"/>
  <c r="W156" i="28"/>
  <c r="H156" i="28"/>
  <c r="W155" i="28"/>
  <c r="H155" i="28"/>
  <c r="AG154" i="28"/>
  <c r="AF154" i="28"/>
  <c r="W154" i="28"/>
  <c r="H154" i="28"/>
  <c r="AG153" i="28"/>
  <c r="AF153" i="28"/>
  <c r="W153" i="28"/>
  <c r="H153" i="28"/>
  <c r="AG152" i="28"/>
  <c r="AF152" i="28"/>
  <c r="W152" i="28"/>
  <c r="H152" i="28"/>
  <c r="W151" i="28"/>
  <c r="N151" i="28" s="1"/>
  <c r="P151" i="28"/>
  <c r="H151" i="28"/>
  <c r="W150" i="28"/>
  <c r="N150" i="28" s="1"/>
  <c r="P150" i="28"/>
  <c r="H150" i="28"/>
  <c r="AG149" i="28"/>
  <c r="AF149" i="28"/>
  <c r="W149" i="28"/>
  <c r="P149" i="28"/>
  <c r="N149" i="28"/>
  <c r="O149" i="28" s="1"/>
  <c r="H149" i="28"/>
  <c r="W148" i="28"/>
  <c r="N148" i="28" s="1"/>
  <c r="P148" i="28"/>
  <c r="O148" i="28"/>
  <c r="H148" i="28"/>
  <c r="AE147" i="28"/>
  <c r="AD147" i="28"/>
  <c r="AA147" i="28"/>
  <c r="Z147" i="28"/>
  <c r="W147" i="28"/>
  <c r="M147" i="28"/>
  <c r="P147" i="28" s="1"/>
  <c r="W146" i="28"/>
  <c r="H146" i="28"/>
  <c r="AG145" i="28"/>
  <c r="AF145" i="28"/>
  <c r="W145" i="28"/>
  <c r="H145" i="28"/>
  <c r="AG144" i="28"/>
  <c r="AF144" i="28"/>
  <c r="H144" i="28"/>
  <c r="AG143" i="28"/>
  <c r="AF143" i="28"/>
  <c r="H143" i="28"/>
  <c r="AG142" i="28"/>
  <c r="AF142" i="28"/>
  <c r="H142" i="28"/>
  <c r="AG141" i="28"/>
  <c r="AF141" i="28"/>
  <c r="W141" i="28"/>
  <c r="P141" i="28"/>
  <c r="N141" i="28"/>
  <c r="O141" i="28" s="1"/>
  <c r="H141" i="28"/>
  <c r="AG140" i="28"/>
  <c r="W140" i="28"/>
  <c r="P140" i="28"/>
  <c r="N140" i="28"/>
  <c r="O140" i="28" s="1"/>
  <c r="H140" i="28"/>
  <c r="W139" i="28"/>
  <c r="P139" i="28"/>
  <c r="N139" i="28"/>
  <c r="H139" i="28"/>
  <c r="W138" i="28"/>
  <c r="N138" i="28" s="1"/>
  <c r="P138" i="28"/>
  <c r="O138" i="28"/>
  <c r="H138" i="28"/>
  <c r="W137" i="28"/>
  <c r="N137" i="28" s="1"/>
  <c r="P137" i="28"/>
  <c r="H137" i="28"/>
  <c r="W136" i="28"/>
  <c r="P136" i="28"/>
  <c r="N136" i="28"/>
  <c r="AG136" i="28" s="1"/>
  <c r="H136" i="28"/>
  <c r="W135" i="28"/>
  <c r="N135" i="28" s="1"/>
  <c r="P135" i="28"/>
  <c r="H135" i="28"/>
  <c r="AE134" i="28"/>
  <c r="AD134" i="28"/>
  <c r="AA134" i="28"/>
  <c r="Z134" i="28"/>
  <c r="P134" i="28"/>
  <c r="M134" i="28"/>
  <c r="W133" i="28"/>
  <c r="H133" i="28"/>
  <c r="W132" i="28"/>
  <c r="H132" i="28"/>
  <c r="W131" i="28"/>
  <c r="H131" i="28"/>
  <c r="W130" i="28"/>
  <c r="H130" i="28"/>
  <c r="W129" i="28"/>
  <c r="P129" i="28"/>
  <c r="O129" i="28"/>
  <c r="N129" i="28"/>
  <c r="H129" i="28"/>
  <c r="AG128" i="28"/>
  <c r="W128" i="28"/>
  <c r="P128" i="28"/>
  <c r="N128" i="28"/>
  <c r="AF128" i="28" s="1"/>
  <c r="H128" i="28"/>
  <c r="W127" i="28"/>
  <c r="P127" i="28"/>
  <c r="N127" i="28"/>
  <c r="AG127" i="28" s="1"/>
  <c r="H127" i="28"/>
  <c r="W126" i="28"/>
  <c r="N126" i="28" s="1"/>
  <c r="P126" i="28"/>
  <c r="H126" i="28"/>
  <c r="W125" i="28"/>
  <c r="N125" i="28" s="1"/>
  <c r="P125" i="28"/>
  <c r="H125" i="28"/>
  <c r="AG124" i="28"/>
  <c r="AF124" i="28"/>
  <c r="W124" i="28"/>
  <c r="P124" i="28"/>
  <c r="N124" i="28"/>
  <c r="O124" i="28" s="1"/>
  <c r="H124" i="28"/>
  <c r="AG123" i="28"/>
  <c r="W123" i="28"/>
  <c r="P123" i="28"/>
  <c r="N123" i="28"/>
  <c r="O123" i="28" s="1"/>
  <c r="H123" i="28"/>
  <c r="AF122" i="28"/>
  <c r="W122" i="28"/>
  <c r="P122" i="28"/>
  <c r="N122" i="28"/>
  <c r="O122" i="28" s="1"/>
  <c r="H122" i="28"/>
  <c r="AE121" i="28"/>
  <c r="AD121" i="28"/>
  <c r="AA121" i="28"/>
  <c r="Z121" i="28"/>
  <c r="W121" i="28"/>
  <c r="M121" i="28"/>
  <c r="W120" i="28"/>
  <c r="H120" i="28"/>
  <c r="W119" i="28"/>
  <c r="H119" i="28"/>
  <c r="W118" i="28"/>
  <c r="H118" i="28"/>
  <c r="AG117" i="28"/>
  <c r="AF117" i="28"/>
  <c r="W117" i="28"/>
  <c r="H117" i="28"/>
  <c r="AG116" i="28"/>
  <c r="AF116" i="28"/>
  <c r="W116" i="28"/>
  <c r="H116" i="28"/>
  <c r="AG115" i="28"/>
  <c r="AF115" i="28"/>
  <c r="H115" i="28"/>
  <c r="AG114" i="28"/>
  <c r="AF114" i="28"/>
  <c r="H114" i="28"/>
  <c r="W113" i="28"/>
  <c r="N113" i="28" s="1"/>
  <c r="P113" i="28"/>
  <c r="H113" i="28"/>
  <c r="W112" i="28"/>
  <c r="N112" i="28" s="1"/>
  <c r="P112" i="28"/>
  <c r="H112" i="28"/>
  <c r="AG111" i="28"/>
  <c r="AF111" i="28"/>
  <c r="W111" i="28"/>
  <c r="P111" i="28"/>
  <c r="N111" i="28"/>
  <c r="O111" i="28" s="1"/>
  <c r="H111" i="28"/>
  <c r="AG110" i="28"/>
  <c r="W110" i="28"/>
  <c r="P110" i="28"/>
  <c r="N110" i="28"/>
  <c r="O110" i="28" s="1"/>
  <c r="H110" i="28"/>
  <c r="AF109" i="28"/>
  <c r="W109" i="28"/>
  <c r="P109" i="28"/>
  <c r="N109" i="28"/>
  <c r="O109" i="28" s="1"/>
  <c r="H109" i="28"/>
  <c r="AE108" i="28"/>
  <c r="AD108" i="28"/>
  <c r="AA108" i="28"/>
  <c r="Z108" i="28"/>
  <c r="W108" i="28"/>
  <c r="M108" i="28"/>
  <c r="P108" i="28" s="1"/>
  <c r="W107" i="28"/>
  <c r="H107" i="28"/>
  <c r="W106" i="28"/>
  <c r="H106" i="28"/>
  <c r="W105" i="28"/>
  <c r="H105" i="28"/>
  <c r="AG104" i="28"/>
  <c r="AF104" i="28"/>
  <c r="H104" i="28"/>
  <c r="AF103" i="28"/>
  <c r="W103" i="28"/>
  <c r="P103" i="28"/>
  <c r="O103" i="28"/>
  <c r="N103" i="28"/>
  <c r="AG103" i="28" s="1"/>
  <c r="H103" i="28"/>
  <c r="AG102" i="28"/>
  <c r="W102" i="28"/>
  <c r="R102" i="28"/>
  <c r="Q102" i="28"/>
  <c r="P102" i="28"/>
  <c r="O102" i="28"/>
  <c r="N102" i="28"/>
  <c r="AF102" i="28" s="1"/>
  <c r="H102" i="28"/>
  <c r="W101" i="28"/>
  <c r="P101" i="28"/>
  <c r="N101" i="28"/>
  <c r="AG101" i="28" s="1"/>
  <c r="H101" i="28"/>
  <c r="W100" i="28"/>
  <c r="N100" i="28" s="1"/>
  <c r="P100" i="28"/>
  <c r="H100" i="28"/>
  <c r="W99" i="28"/>
  <c r="N99" i="28" s="1"/>
  <c r="P99" i="28"/>
  <c r="H99" i="28"/>
  <c r="AG98" i="28"/>
  <c r="AF98" i="28"/>
  <c r="W98" i="28"/>
  <c r="P98" i="28"/>
  <c r="N98" i="28"/>
  <c r="O98" i="28" s="1"/>
  <c r="H98" i="28"/>
  <c r="AG97" i="28"/>
  <c r="W97" i="28"/>
  <c r="P97" i="28"/>
  <c r="N97" i="28"/>
  <c r="O97" i="28" s="1"/>
  <c r="H97" i="28"/>
  <c r="AF96" i="28"/>
  <c r="W96" i="28"/>
  <c r="P96" i="28"/>
  <c r="N96" i="28"/>
  <c r="O96" i="28" s="1"/>
  <c r="H96" i="28"/>
  <c r="AE95" i="28"/>
  <c r="AD95" i="28"/>
  <c r="AA95" i="28"/>
  <c r="AA2" i="28" s="1"/>
  <c r="Z95" i="28"/>
  <c r="M95" i="28"/>
  <c r="P95" i="28" s="1"/>
  <c r="AG94" i="28"/>
  <c r="AF94" i="28"/>
  <c r="W94" i="28"/>
  <c r="H94" i="28"/>
  <c r="AG93" i="28"/>
  <c r="AF93" i="28"/>
  <c r="W93" i="28"/>
  <c r="H93" i="28"/>
  <c r="AG92" i="28"/>
  <c r="AF92" i="28"/>
  <c r="H92" i="28"/>
  <c r="AG91" i="28"/>
  <c r="AF91" i="28"/>
  <c r="H91" i="28"/>
  <c r="AG90" i="28"/>
  <c r="AF90" i="28"/>
  <c r="H90" i="28"/>
  <c r="AG89" i="28"/>
  <c r="AF89" i="28"/>
  <c r="H89" i="28"/>
  <c r="AG88" i="28"/>
  <c r="AF88" i="28"/>
  <c r="H88" i="28"/>
  <c r="AG87" i="28"/>
  <c r="AF87" i="28"/>
  <c r="H87" i="28"/>
  <c r="AG86" i="28"/>
  <c r="AF86" i="28"/>
  <c r="H86" i="28"/>
  <c r="W85" i="28"/>
  <c r="N85" i="28" s="1"/>
  <c r="P85" i="28"/>
  <c r="H85" i="28"/>
  <c r="W84" i="28"/>
  <c r="N84" i="28" s="1"/>
  <c r="P84" i="28"/>
  <c r="H84" i="28"/>
  <c r="W83" i="28"/>
  <c r="P83" i="28"/>
  <c r="N83" i="28"/>
  <c r="H83" i="28"/>
  <c r="AE82" i="28"/>
  <c r="AD82" i="28"/>
  <c r="AA82" i="28"/>
  <c r="Z82" i="28"/>
  <c r="M82" i="28"/>
  <c r="P82" i="28" s="1"/>
  <c r="W81" i="28"/>
  <c r="AG80" i="28"/>
  <c r="AF80" i="28"/>
  <c r="W80" i="28"/>
  <c r="H80" i="28"/>
  <c r="AG79" i="28"/>
  <c r="AF79" i="28"/>
  <c r="W79" i="28"/>
  <c r="H79" i="28"/>
  <c r="AG78" i="28"/>
  <c r="AF78" i="28"/>
  <c r="H78" i="28"/>
  <c r="AG77" i="28"/>
  <c r="AF77" i="28"/>
  <c r="H77" i="28"/>
  <c r="AG76" i="28"/>
  <c r="AF76" i="28"/>
  <c r="H76" i="28"/>
  <c r="AG75" i="28"/>
  <c r="W75" i="28"/>
  <c r="P75" i="28"/>
  <c r="N75" i="28"/>
  <c r="O75" i="28" s="1"/>
  <c r="H75" i="28"/>
  <c r="W74" i="28"/>
  <c r="P74" i="28"/>
  <c r="N74" i="28"/>
  <c r="H74" i="28"/>
  <c r="AF73" i="28"/>
  <c r="W73" i="28"/>
  <c r="P73" i="28"/>
  <c r="O73" i="28"/>
  <c r="N73" i="28"/>
  <c r="AG73" i="28" s="1"/>
  <c r="H73" i="28"/>
  <c r="W72" i="28"/>
  <c r="N72" i="28" s="1"/>
  <c r="P72" i="28"/>
  <c r="H72" i="28"/>
  <c r="W71" i="28"/>
  <c r="P71" i="28"/>
  <c r="N71" i="28"/>
  <c r="AG71" i="28" s="1"/>
  <c r="H71" i="28"/>
  <c r="W70" i="28"/>
  <c r="N70" i="28" s="1"/>
  <c r="P70" i="28"/>
  <c r="H70" i="28"/>
  <c r="AE69" i="28"/>
  <c r="AD69" i="28"/>
  <c r="AA69" i="28"/>
  <c r="Z69" i="28"/>
  <c r="W69" i="28"/>
  <c r="P69" i="28"/>
  <c r="M69" i="28"/>
  <c r="W68" i="28"/>
  <c r="H68" i="28"/>
  <c r="AG67" i="28"/>
  <c r="AF67" i="28"/>
  <c r="W67" i="28"/>
  <c r="H67" i="28"/>
  <c r="AG66" i="28"/>
  <c r="AF66" i="28"/>
  <c r="W66" i="28"/>
  <c r="H66" i="28"/>
  <c r="AG65" i="28"/>
  <c r="AF65" i="28"/>
  <c r="W65" i="28"/>
  <c r="H65" i="28"/>
  <c r="AG64" i="28"/>
  <c r="AF64" i="28"/>
  <c r="H64" i="28"/>
  <c r="AG63" i="28"/>
  <c r="AF63" i="28"/>
  <c r="H63" i="28"/>
  <c r="AG62" i="28"/>
  <c r="AF62" i="28"/>
  <c r="H62" i="28"/>
  <c r="W61" i="28"/>
  <c r="P61" i="28"/>
  <c r="N61" i="28"/>
  <c r="AG61" i="28" s="1"/>
  <c r="H61" i="28"/>
  <c r="W60" i="28"/>
  <c r="N60" i="28" s="1"/>
  <c r="P60" i="28"/>
  <c r="H60" i="28"/>
  <c r="W59" i="28"/>
  <c r="N59" i="28" s="1"/>
  <c r="P59" i="28"/>
  <c r="H59" i="28"/>
  <c r="AF58" i="28"/>
  <c r="W58" i="28"/>
  <c r="N58" i="28" s="1"/>
  <c r="P58" i="28"/>
  <c r="H58" i="28"/>
  <c r="W57" i="28"/>
  <c r="N57" i="28" s="1"/>
  <c r="P57" i="28"/>
  <c r="O57" i="28"/>
  <c r="H57" i="28"/>
  <c r="AE56" i="28"/>
  <c r="AD56" i="28"/>
  <c r="AA56" i="28"/>
  <c r="Z56" i="28"/>
  <c r="W56" i="28"/>
  <c r="M56" i="28"/>
  <c r="P56" i="28" s="1"/>
  <c r="W55" i="28"/>
  <c r="H55" i="28"/>
  <c r="W54" i="28"/>
  <c r="H54" i="28"/>
  <c r="W53" i="28"/>
  <c r="H53" i="28"/>
  <c r="AG52" i="28"/>
  <c r="AF52" i="28"/>
  <c r="W52" i="28"/>
  <c r="H52" i="28"/>
  <c r="AF51" i="28"/>
  <c r="W51" i="28"/>
  <c r="P51" i="28"/>
  <c r="O51" i="28"/>
  <c r="N51" i="28"/>
  <c r="AG51" i="28" s="1"/>
  <c r="H51" i="28"/>
  <c r="W50" i="28"/>
  <c r="N50" i="28" s="1"/>
  <c r="P50" i="28"/>
  <c r="H50" i="28"/>
  <c r="W49" i="28"/>
  <c r="P49" i="28"/>
  <c r="N49" i="28"/>
  <c r="AG49" i="28" s="1"/>
  <c r="H49" i="28"/>
  <c r="W48" i="28"/>
  <c r="N48" i="28" s="1"/>
  <c r="P48" i="28"/>
  <c r="H48" i="28"/>
  <c r="W47" i="28"/>
  <c r="N47" i="28" s="1"/>
  <c r="P47" i="28"/>
  <c r="H47" i="28"/>
  <c r="W46" i="28"/>
  <c r="N46" i="28" s="1"/>
  <c r="P46" i="28"/>
  <c r="H46" i="28"/>
  <c r="AG45" i="28"/>
  <c r="W45" i="28"/>
  <c r="P45" i="28"/>
  <c r="N45" i="28"/>
  <c r="O45" i="28" s="1"/>
  <c r="H45" i="28"/>
  <c r="W44" i="28"/>
  <c r="N44" i="28"/>
  <c r="AF44" i="28" s="1"/>
  <c r="H44" i="28"/>
  <c r="AE43" i="28"/>
  <c r="AE2" i="28" s="1"/>
  <c r="AD43" i="28"/>
  <c r="AA43" i="28"/>
  <c r="Z43" i="28"/>
  <c r="P43" i="28"/>
  <c r="M43" i="28"/>
  <c r="W42" i="28"/>
  <c r="H42" i="28"/>
  <c r="W41" i="28"/>
  <c r="W40" i="28"/>
  <c r="H40" i="28"/>
  <c r="H39" i="28"/>
  <c r="AG38" i="28"/>
  <c r="AF38" i="28"/>
  <c r="H38" i="28"/>
  <c r="W37" i="28"/>
  <c r="N37" i="28" s="1"/>
  <c r="P37" i="28"/>
  <c r="H37" i="28"/>
  <c r="W36" i="28"/>
  <c r="N36" i="28" s="1"/>
  <c r="P36" i="28"/>
  <c r="H36" i="28"/>
  <c r="AG35" i="28"/>
  <c r="W35" i="28"/>
  <c r="P35" i="28"/>
  <c r="N35" i="28"/>
  <c r="O35" i="28" s="1"/>
  <c r="H35" i="28"/>
  <c r="W34" i="28"/>
  <c r="P34" i="28"/>
  <c r="N34" i="28"/>
  <c r="H34" i="28"/>
  <c r="AF33" i="28"/>
  <c r="W33" i="28"/>
  <c r="P33" i="28"/>
  <c r="O33" i="28"/>
  <c r="N33" i="28"/>
  <c r="AG33" i="28" s="1"/>
  <c r="H33" i="28"/>
  <c r="AG32" i="28"/>
  <c r="W32" i="28"/>
  <c r="Q32" i="28"/>
  <c r="P32" i="28"/>
  <c r="O32" i="28"/>
  <c r="R32" i="28" s="1"/>
  <c r="N32" i="28"/>
  <c r="AF32" i="28" s="1"/>
  <c r="H32" i="28"/>
  <c r="W31" i="28"/>
  <c r="N31" i="28" s="1"/>
  <c r="P31" i="28"/>
  <c r="H31" i="28"/>
  <c r="AE30" i="28"/>
  <c r="AD30" i="28"/>
  <c r="AA30" i="28"/>
  <c r="Z30" i="28"/>
  <c r="P30" i="28"/>
  <c r="M30" i="28"/>
  <c r="AF29" i="28"/>
  <c r="W29" i="28"/>
  <c r="H29" i="28"/>
  <c r="AF28" i="28"/>
  <c r="W28" i="28"/>
  <c r="H28" i="28"/>
  <c r="AF27" i="28"/>
  <c r="W27" i="28"/>
  <c r="H27" i="28"/>
  <c r="AF26" i="28"/>
  <c r="W26" i="28"/>
  <c r="AF25" i="28"/>
  <c r="W25" i="28"/>
  <c r="AF24" i="28"/>
  <c r="H24" i="28"/>
  <c r="W23" i="28"/>
  <c r="P23" i="28"/>
  <c r="N23" i="28"/>
  <c r="O23" i="28" s="1"/>
  <c r="H23" i="28"/>
  <c r="W22" i="28"/>
  <c r="P22" i="28"/>
  <c r="N22" i="28"/>
  <c r="H22" i="28"/>
  <c r="AF21" i="28"/>
  <c r="W21" i="28"/>
  <c r="P21" i="28"/>
  <c r="O21" i="28"/>
  <c r="N21" i="28"/>
  <c r="AG21" i="28" s="1"/>
  <c r="H21" i="28"/>
  <c r="AG20" i="28"/>
  <c r="W20" i="28"/>
  <c r="Q20" i="28"/>
  <c r="P20" i="28"/>
  <c r="O20" i="28"/>
  <c r="R20" i="28" s="1"/>
  <c r="N20" i="28"/>
  <c r="AF20" i="28" s="1"/>
  <c r="H20" i="28"/>
  <c r="W19" i="28"/>
  <c r="P19" i="28"/>
  <c r="N19" i="28"/>
  <c r="AG19" i="28" s="1"/>
  <c r="H19" i="28"/>
  <c r="W18" i="28"/>
  <c r="N18" i="28" s="1"/>
  <c r="P18" i="28"/>
  <c r="H18" i="28"/>
  <c r="AE17" i="28"/>
  <c r="AD17" i="28"/>
  <c r="AD2" i="28" s="1"/>
  <c r="AA17" i="28"/>
  <c r="Z17" i="28"/>
  <c r="W17" i="28"/>
  <c r="P17" i="28"/>
  <c r="M17" i="28"/>
  <c r="W16" i="28"/>
  <c r="H16" i="28"/>
  <c r="W15" i="28"/>
  <c r="H15" i="28"/>
  <c r="H14" i="28"/>
  <c r="W13" i="28"/>
  <c r="P13" i="28"/>
  <c r="N13" i="28"/>
  <c r="O13" i="28" s="1"/>
  <c r="H13" i="28"/>
  <c r="W12" i="28"/>
  <c r="N12" i="28" s="1"/>
  <c r="O12" i="28" s="1"/>
  <c r="P12" i="28"/>
  <c r="H12" i="28"/>
  <c r="AG11" i="28"/>
  <c r="W11" i="28"/>
  <c r="P11" i="28"/>
  <c r="N11" i="28"/>
  <c r="O11" i="28" s="1"/>
  <c r="H11" i="28"/>
  <c r="W10" i="28"/>
  <c r="P10" i="28"/>
  <c r="N10" i="28"/>
  <c r="H10" i="28"/>
  <c r="AF9" i="28"/>
  <c r="W9" i="28"/>
  <c r="P9" i="28"/>
  <c r="O9" i="28"/>
  <c r="N9" i="28"/>
  <c r="AG9" i="28" s="1"/>
  <c r="H9" i="28"/>
  <c r="AG8" i="28"/>
  <c r="W8" i="28"/>
  <c r="Q8" i="28"/>
  <c r="P8" i="28"/>
  <c r="O8" i="28"/>
  <c r="R8" i="28" s="1"/>
  <c r="N8" i="28"/>
  <c r="AF8" i="28" s="1"/>
  <c r="H8" i="28"/>
  <c r="W7" i="28"/>
  <c r="P7" i="28"/>
  <c r="N7" i="28"/>
  <c r="AG7" i="28" s="1"/>
  <c r="H7" i="28"/>
  <c r="W6" i="28"/>
  <c r="N6" i="28" s="1"/>
  <c r="P6" i="28"/>
  <c r="H6" i="28"/>
  <c r="AF5" i="28"/>
  <c r="W5" i="28"/>
  <c r="P5" i="28"/>
  <c r="N5" i="28"/>
  <c r="H5" i="28"/>
  <c r="G1" i="28" s="1"/>
  <c r="G2" i="28" s="1"/>
  <c r="I2" i="28"/>
  <c r="E1" i="28"/>
  <c r="J124" i="27"/>
  <c r="P123" i="27"/>
  <c r="H123" i="27"/>
  <c r="P122" i="27"/>
  <c r="P119" i="27"/>
  <c r="H119" i="27"/>
  <c r="P118" i="27"/>
  <c r="H118" i="27"/>
  <c r="P117" i="27"/>
  <c r="H117" i="27"/>
  <c r="P116" i="27"/>
  <c r="H116" i="27"/>
  <c r="P115" i="27"/>
  <c r="H115" i="27"/>
  <c r="P114" i="27"/>
  <c r="H114" i="27"/>
  <c r="P113" i="27"/>
  <c r="K113" i="27"/>
  <c r="L113" i="27" s="1"/>
  <c r="H113" i="27"/>
  <c r="P112" i="27"/>
  <c r="K112" i="27"/>
  <c r="H112" i="27"/>
  <c r="J111" i="27"/>
  <c r="P110" i="27"/>
  <c r="H110" i="27"/>
  <c r="P109" i="27"/>
  <c r="H109" i="27"/>
  <c r="P108" i="27"/>
  <c r="H108" i="27"/>
  <c r="P107" i="27"/>
  <c r="H107" i="27"/>
  <c r="P106" i="27"/>
  <c r="H106" i="27"/>
  <c r="P105" i="27"/>
  <c r="K105" i="27" s="1"/>
  <c r="L105" i="27"/>
  <c r="H105" i="27"/>
  <c r="P104" i="27"/>
  <c r="K104" i="27"/>
  <c r="L104" i="27" s="1"/>
  <c r="H104" i="27"/>
  <c r="P103" i="27"/>
  <c r="K103" i="27" s="1"/>
  <c r="L103" i="27" s="1"/>
  <c r="H103" i="27"/>
  <c r="P102" i="27"/>
  <c r="L102" i="27"/>
  <c r="K102" i="27"/>
  <c r="H102" i="27"/>
  <c r="P101" i="27"/>
  <c r="K101" i="27" s="1"/>
  <c r="K111" i="27" s="1"/>
  <c r="H101" i="27"/>
  <c r="J100" i="27"/>
  <c r="H99" i="27"/>
  <c r="H97" i="27"/>
  <c r="H96" i="27"/>
  <c r="P95" i="27"/>
  <c r="H95" i="27"/>
  <c r="P94" i="27"/>
  <c r="H94" i="27"/>
  <c r="P93" i="27"/>
  <c r="K93" i="27" s="1"/>
  <c r="L93" i="27" s="1"/>
  <c r="H93" i="27"/>
  <c r="P92" i="27"/>
  <c r="K92" i="27"/>
  <c r="L92" i="27" s="1"/>
  <c r="L100" i="27" s="1"/>
  <c r="H92" i="27"/>
  <c r="J91" i="27"/>
  <c r="P90" i="27"/>
  <c r="H90" i="27"/>
  <c r="P89" i="27"/>
  <c r="H89" i="27"/>
  <c r="P87" i="27"/>
  <c r="H87" i="27"/>
  <c r="P86" i="27"/>
  <c r="K86" i="27"/>
  <c r="L86" i="27" s="1"/>
  <c r="H86" i="27"/>
  <c r="P85" i="27"/>
  <c r="K85" i="27"/>
  <c r="L85" i="27" s="1"/>
  <c r="H85" i="27"/>
  <c r="P84" i="27"/>
  <c r="K84" i="27"/>
  <c r="L84" i="27" s="1"/>
  <c r="H84" i="27"/>
  <c r="P83" i="27"/>
  <c r="K83" i="27"/>
  <c r="L83" i="27" s="1"/>
  <c r="H83" i="27"/>
  <c r="P82" i="27"/>
  <c r="K82" i="27"/>
  <c r="H82" i="27"/>
  <c r="L81" i="27"/>
  <c r="K81" i="27"/>
  <c r="J81" i="27"/>
  <c r="P80" i="27"/>
  <c r="H80" i="27"/>
  <c r="P79" i="27"/>
  <c r="H79" i="27"/>
  <c r="P78" i="27"/>
  <c r="H78" i="27"/>
  <c r="P77" i="27"/>
  <c r="H77" i="27"/>
  <c r="P76" i="27"/>
  <c r="H76" i="27"/>
  <c r="J75" i="27"/>
  <c r="P74" i="27"/>
  <c r="H74" i="27"/>
  <c r="P73" i="27"/>
  <c r="H73" i="27"/>
  <c r="P72" i="27"/>
  <c r="H72" i="27"/>
  <c r="P71" i="27"/>
  <c r="K71" i="27" s="1"/>
  <c r="L71" i="27" s="1"/>
  <c r="H71" i="27"/>
  <c r="P70" i="27"/>
  <c r="K70" i="27" s="1"/>
  <c r="L70" i="27"/>
  <c r="H70" i="27"/>
  <c r="P69" i="27"/>
  <c r="K69" i="27" s="1"/>
  <c r="L69" i="27" s="1"/>
  <c r="H69" i="27"/>
  <c r="P68" i="27"/>
  <c r="K68" i="27" s="1"/>
  <c r="L68" i="27"/>
  <c r="H68" i="27"/>
  <c r="P67" i="27"/>
  <c r="K67" i="27" s="1"/>
  <c r="L67" i="27" s="1"/>
  <c r="H67" i="27"/>
  <c r="P66" i="27"/>
  <c r="K66" i="27" s="1"/>
  <c r="L66" i="27" s="1"/>
  <c r="H66" i="27"/>
  <c r="P65" i="27"/>
  <c r="K65" i="27" s="1"/>
  <c r="L65" i="27" s="1"/>
  <c r="H65" i="27"/>
  <c r="L64" i="27"/>
  <c r="K64" i="27"/>
  <c r="J64" i="27"/>
  <c r="P63" i="27"/>
  <c r="H63" i="27"/>
  <c r="P62" i="27"/>
  <c r="H62" i="27"/>
  <c r="P61" i="27"/>
  <c r="H61" i="27"/>
  <c r="P60" i="27"/>
  <c r="H60" i="27"/>
  <c r="P59" i="27"/>
  <c r="H59" i="27"/>
  <c r="P58" i="27"/>
  <c r="H58" i="27"/>
  <c r="P57" i="27"/>
  <c r="H57" i="27"/>
  <c r="P56" i="27"/>
  <c r="H56" i="27"/>
  <c r="P55" i="27"/>
  <c r="H55" i="27"/>
  <c r="P54" i="27"/>
  <c r="H54" i="27"/>
  <c r="P53" i="27"/>
  <c r="H53" i="27"/>
  <c r="P52" i="27"/>
  <c r="H52" i="27"/>
  <c r="J51" i="27"/>
  <c r="P50" i="27"/>
  <c r="H50" i="27"/>
  <c r="P49" i="27"/>
  <c r="H49" i="27"/>
  <c r="P48" i="27"/>
  <c r="P47" i="27"/>
  <c r="H47" i="27"/>
  <c r="P46" i="27"/>
  <c r="H46" i="27"/>
  <c r="P45" i="27"/>
  <c r="H45" i="27"/>
  <c r="P44" i="27"/>
  <c r="H44" i="27"/>
  <c r="P43" i="27"/>
  <c r="H43" i="27"/>
  <c r="P42" i="27"/>
  <c r="K42" i="27"/>
  <c r="L42" i="27" s="1"/>
  <c r="H42" i="27"/>
  <c r="P41" i="27"/>
  <c r="K41" i="27" s="1"/>
  <c r="L41" i="27" s="1"/>
  <c r="H41" i="27"/>
  <c r="P40" i="27"/>
  <c r="K40" i="27"/>
  <c r="L40" i="27" s="1"/>
  <c r="H40" i="27"/>
  <c r="P39" i="27"/>
  <c r="K39" i="27" s="1"/>
  <c r="L39" i="27"/>
  <c r="H39" i="27"/>
  <c r="J38" i="27"/>
  <c r="P37" i="27"/>
  <c r="H37" i="27"/>
  <c r="P36" i="27"/>
  <c r="H36" i="27"/>
  <c r="P35" i="27"/>
  <c r="H35" i="27"/>
  <c r="P34" i="27"/>
  <c r="H34" i="27"/>
  <c r="P33" i="27"/>
  <c r="H33" i="27"/>
  <c r="P32" i="27"/>
  <c r="H32" i="27"/>
  <c r="P31" i="27"/>
  <c r="H31" i="27"/>
  <c r="P30" i="27"/>
  <c r="H30" i="27"/>
  <c r="P29" i="27"/>
  <c r="H29" i="27"/>
  <c r="P28" i="27"/>
  <c r="K28" i="27" s="1"/>
  <c r="L28" i="27" s="1"/>
  <c r="H28" i="27"/>
  <c r="P27" i="27"/>
  <c r="K27" i="27" s="1"/>
  <c r="L27" i="27" s="1"/>
  <c r="H27" i="27"/>
  <c r="P26" i="27"/>
  <c r="K26" i="27" s="1"/>
  <c r="L26" i="27" s="1"/>
  <c r="H26" i="27"/>
  <c r="P25" i="27"/>
  <c r="K25" i="27" s="1"/>
  <c r="H25" i="27"/>
  <c r="J24" i="27"/>
  <c r="P23" i="27"/>
  <c r="H23" i="27"/>
  <c r="P22" i="27"/>
  <c r="H22" i="27"/>
  <c r="P21" i="27"/>
  <c r="H21" i="27"/>
  <c r="P20" i="27"/>
  <c r="H20" i="27"/>
  <c r="P18" i="27"/>
  <c r="K18" i="27" s="1"/>
  <c r="L18" i="27" s="1"/>
  <c r="H18" i="27"/>
  <c r="P17" i="27"/>
  <c r="K17" i="27" s="1"/>
  <c r="K24" i="27" s="1"/>
  <c r="L17" i="27"/>
  <c r="L24" i="27" s="1"/>
  <c r="H17" i="27"/>
  <c r="J16" i="27"/>
  <c r="P15" i="27"/>
  <c r="H15" i="27"/>
  <c r="P14" i="27"/>
  <c r="K14" i="27" s="1"/>
  <c r="L14" i="27" s="1"/>
  <c r="H14" i="27"/>
  <c r="P13" i="27"/>
  <c r="K13" i="27" s="1"/>
  <c r="L13" i="27" s="1"/>
  <c r="H13" i="27"/>
  <c r="P12" i="27"/>
  <c r="K12" i="27" s="1"/>
  <c r="L12" i="27" s="1"/>
  <c r="H12" i="27"/>
  <c r="P11" i="27"/>
  <c r="K11" i="27" s="1"/>
  <c r="L11" i="27" s="1"/>
  <c r="H11" i="27"/>
  <c r="P10" i="27"/>
  <c r="K10" i="27" s="1"/>
  <c r="L10" i="27" s="1"/>
  <c r="H10" i="27"/>
  <c r="P9" i="27"/>
  <c r="K9" i="27" s="1"/>
  <c r="L9" i="27" s="1"/>
  <c r="H9" i="27"/>
  <c r="P8" i="27"/>
  <c r="K8" i="27" s="1"/>
  <c r="L8" i="27" s="1"/>
  <c r="H8" i="27"/>
  <c r="P7" i="27"/>
  <c r="K7" i="27" s="1"/>
  <c r="L7" i="27" s="1"/>
  <c r="H7" i="27"/>
  <c r="P6" i="27"/>
  <c r="K6" i="27" s="1"/>
  <c r="L6" i="27" s="1"/>
  <c r="H6" i="27"/>
  <c r="P5" i="27"/>
  <c r="K5" i="27" s="1"/>
  <c r="H5" i="27"/>
  <c r="I2" i="27"/>
  <c r="I1" i="27"/>
  <c r="E1" i="27"/>
  <c r="M32" i="26"/>
  <c r="L32" i="26"/>
  <c r="K32" i="26"/>
  <c r="L8" i="26" s="1"/>
  <c r="J32" i="26"/>
  <c r="I32" i="26"/>
  <c r="H32" i="26"/>
  <c r="J8" i="26" s="1"/>
  <c r="G32" i="26"/>
  <c r="F32" i="26"/>
  <c r="E32" i="26"/>
  <c r="D32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H8" i="26"/>
  <c r="L7" i="26"/>
  <c r="J7" i="26"/>
  <c r="H7" i="26"/>
  <c r="F7" i="26"/>
  <c r="L6" i="26"/>
  <c r="J6" i="26"/>
  <c r="H6" i="26"/>
  <c r="F6" i="26"/>
  <c r="AE173" i="25"/>
  <c r="AD173" i="25"/>
  <c r="AA173" i="25"/>
  <c r="Z173" i="25"/>
  <c r="M173" i="25"/>
  <c r="P173" i="25" s="1"/>
  <c r="W172" i="25"/>
  <c r="H172" i="25"/>
  <c r="W171" i="25"/>
  <c r="H171" i="25"/>
  <c r="AG170" i="25"/>
  <c r="AF170" i="25"/>
  <c r="W170" i="25"/>
  <c r="H170" i="25"/>
  <c r="AG169" i="25"/>
  <c r="AF169" i="25"/>
  <c r="W169" i="25"/>
  <c r="H169" i="25"/>
  <c r="AG168" i="25"/>
  <c r="AF168" i="25"/>
  <c r="H168" i="25"/>
  <c r="AG167" i="25"/>
  <c r="AF167" i="25"/>
  <c r="H167" i="25"/>
  <c r="AG166" i="25"/>
  <c r="AF166" i="25"/>
  <c r="H166" i="25"/>
  <c r="W165" i="25"/>
  <c r="N165" i="25" s="1"/>
  <c r="P165" i="25"/>
  <c r="H165" i="25"/>
  <c r="W164" i="25"/>
  <c r="P164" i="25"/>
  <c r="N164" i="25"/>
  <c r="AG164" i="25" s="1"/>
  <c r="H164" i="25"/>
  <c r="W163" i="25"/>
  <c r="R163" i="25"/>
  <c r="P163" i="25"/>
  <c r="O163" i="25"/>
  <c r="Q163" i="25" s="1"/>
  <c r="N163" i="25"/>
  <c r="AG163" i="25" s="1"/>
  <c r="H163" i="25"/>
  <c r="W162" i="25"/>
  <c r="N162" i="25" s="1"/>
  <c r="P162" i="25"/>
  <c r="H162" i="25"/>
  <c r="W161" i="25"/>
  <c r="P161" i="25"/>
  <c r="N161" i="25"/>
  <c r="H161" i="25"/>
  <c r="AE160" i="25"/>
  <c r="AD160" i="25"/>
  <c r="AA160" i="25"/>
  <c r="Z160" i="25"/>
  <c r="M160" i="25"/>
  <c r="P160" i="25" s="1"/>
  <c r="W159" i="25"/>
  <c r="H159" i="25"/>
  <c r="W158" i="25"/>
  <c r="H158" i="25"/>
  <c r="W157" i="25"/>
  <c r="H157" i="25"/>
  <c r="W156" i="25"/>
  <c r="H156" i="25"/>
  <c r="W155" i="25"/>
  <c r="H155" i="25"/>
  <c r="AG154" i="25"/>
  <c r="AF154" i="25"/>
  <c r="W154" i="25"/>
  <c r="H154" i="25"/>
  <c r="AG153" i="25"/>
  <c r="AF153" i="25"/>
  <c r="H153" i="25"/>
  <c r="AG152" i="25"/>
  <c r="AF152" i="25"/>
  <c r="H152" i="25"/>
  <c r="W151" i="25"/>
  <c r="N151" i="25" s="1"/>
  <c r="P151" i="25"/>
  <c r="H151" i="25"/>
  <c r="W150" i="25"/>
  <c r="N150" i="25" s="1"/>
  <c r="P150" i="25"/>
  <c r="H150" i="25"/>
  <c r="W149" i="25"/>
  <c r="P149" i="25"/>
  <c r="N149" i="25"/>
  <c r="AG149" i="25" s="1"/>
  <c r="H149" i="25"/>
  <c r="W148" i="25"/>
  <c r="N148" i="25" s="1"/>
  <c r="P148" i="25"/>
  <c r="H148" i="25"/>
  <c r="AE147" i="25"/>
  <c r="AD147" i="25"/>
  <c r="AA147" i="25"/>
  <c r="Z147" i="25"/>
  <c r="W147" i="25"/>
  <c r="M147" i="25"/>
  <c r="P147" i="25" s="1"/>
  <c r="W146" i="25"/>
  <c r="H146" i="25"/>
  <c r="AG145" i="25"/>
  <c r="AF145" i="25"/>
  <c r="W145" i="25"/>
  <c r="H145" i="25"/>
  <c r="AG144" i="25"/>
  <c r="AF144" i="25"/>
  <c r="H144" i="25"/>
  <c r="AG143" i="25"/>
  <c r="AF143" i="25"/>
  <c r="H143" i="25"/>
  <c r="AG142" i="25"/>
  <c r="AF142" i="25"/>
  <c r="H142" i="25"/>
  <c r="W141" i="25"/>
  <c r="P141" i="25"/>
  <c r="N141" i="25"/>
  <c r="AG141" i="25" s="1"/>
  <c r="H141" i="25"/>
  <c r="W140" i="25"/>
  <c r="R140" i="25"/>
  <c r="P140" i="25"/>
  <c r="O140" i="25"/>
  <c r="Q140" i="25" s="1"/>
  <c r="N140" i="25"/>
  <c r="AG140" i="25" s="1"/>
  <c r="H140" i="25"/>
  <c r="W139" i="25"/>
  <c r="N139" i="25" s="1"/>
  <c r="P139" i="25"/>
  <c r="H139" i="25"/>
  <c r="AF138" i="25"/>
  <c r="W138" i="25"/>
  <c r="P138" i="25"/>
  <c r="N138" i="25"/>
  <c r="O138" i="25" s="1"/>
  <c r="H138" i="25"/>
  <c r="W137" i="25"/>
  <c r="N137" i="25" s="1"/>
  <c r="P137" i="25"/>
  <c r="H137" i="25"/>
  <c r="W136" i="25"/>
  <c r="P136" i="25"/>
  <c r="N136" i="25"/>
  <c r="H136" i="25"/>
  <c r="W135" i="25"/>
  <c r="P135" i="25"/>
  <c r="N135" i="25"/>
  <c r="H135" i="25"/>
  <c r="AE134" i="25"/>
  <c r="AD134" i="25"/>
  <c r="AA134" i="25"/>
  <c r="Z134" i="25"/>
  <c r="M134" i="25"/>
  <c r="P134" i="25" s="1"/>
  <c r="W133" i="25"/>
  <c r="H133" i="25"/>
  <c r="W132" i="25"/>
  <c r="H132" i="25"/>
  <c r="W131" i="25"/>
  <c r="H131" i="25"/>
  <c r="W130" i="25"/>
  <c r="H130" i="25"/>
  <c r="W129" i="25"/>
  <c r="N129" i="25" s="1"/>
  <c r="O129" i="25" s="1"/>
  <c r="P129" i="25"/>
  <c r="H129" i="25"/>
  <c r="AG128" i="25"/>
  <c r="W128" i="25"/>
  <c r="P128" i="25"/>
  <c r="N128" i="25"/>
  <c r="O128" i="25" s="1"/>
  <c r="H128" i="25"/>
  <c r="W127" i="25"/>
  <c r="P127" i="25"/>
  <c r="N127" i="25"/>
  <c r="H127" i="25"/>
  <c r="W126" i="25"/>
  <c r="N126" i="25" s="1"/>
  <c r="P126" i="25"/>
  <c r="H126" i="25"/>
  <c r="AG125" i="25"/>
  <c r="AF125" i="25"/>
  <c r="W125" i="25"/>
  <c r="P125" i="25"/>
  <c r="N125" i="25"/>
  <c r="O125" i="25" s="1"/>
  <c r="H125" i="25"/>
  <c r="W124" i="25"/>
  <c r="P124" i="25"/>
  <c r="N124" i="25"/>
  <c r="AG124" i="25" s="1"/>
  <c r="H124" i="25"/>
  <c r="W123" i="25"/>
  <c r="R123" i="25"/>
  <c r="P123" i="25"/>
  <c r="N123" i="25"/>
  <c r="O123" i="25" s="1"/>
  <c r="Q123" i="25" s="1"/>
  <c r="H123" i="25"/>
  <c r="AF122" i="25"/>
  <c r="W122" i="25"/>
  <c r="P122" i="25"/>
  <c r="N122" i="25"/>
  <c r="O122" i="25" s="1"/>
  <c r="H122" i="25"/>
  <c r="AE121" i="25"/>
  <c r="AD121" i="25"/>
  <c r="AA121" i="25"/>
  <c r="Z121" i="25"/>
  <c r="W121" i="25"/>
  <c r="M121" i="25"/>
  <c r="P121" i="25" s="1"/>
  <c r="W120" i="25"/>
  <c r="H120" i="25"/>
  <c r="W119" i="25"/>
  <c r="H119" i="25"/>
  <c r="W118" i="25"/>
  <c r="H118" i="25"/>
  <c r="AG117" i="25"/>
  <c r="AF117" i="25"/>
  <c r="W117" i="25"/>
  <c r="H117" i="25"/>
  <c r="AG116" i="25"/>
  <c r="AF116" i="25"/>
  <c r="W116" i="25"/>
  <c r="H116" i="25"/>
  <c r="AG115" i="25"/>
  <c r="AF115" i="25"/>
  <c r="H115" i="25"/>
  <c r="AG114" i="25"/>
  <c r="AF114" i="25"/>
  <c r="H114" i="25"/>
  <c r="W113" i="25"/>
  <c r="N113" i="25" s="1"/>
  <c r="O113" i="25" s="1"/>
  <c r="P113" i="25"/>
  <c r="H113" i="25"/>
  <c r="AG112" i="25"/>
  <c r="AF112" i="25"/>
  <c r="W112" i="25"/>
  <c r="Q112" i="25"/>
  <c r="P112" i="25"/>
  <c r="O112" i="25"/>
  <c r="R112" i="25" s="1"/>
  <c r="N112" i="25"/>
  <c r="H112" i="25"/>
  <c r="W111" i="25"/>
  <c r="P111" i="25"/>
  <c r="N111" i="25"/>
  <c r="AG111" i="25" s="1"/>
  <c r="H111" i="25"/>
  <c r="W110" i="25"/>
  <c r="P110" i="25"/>
  <c r="N110" i="25"/>
  <c r="O110" i="25" s="1"/>
  <c r="Q110" i="25" s="1"/>
  <c r="H110" i="25"/>
  <c r="AF109" i="25"/>
  <c r="W109" i="25"/>
  <c r="P109" i="25"/>
  <c r="N109" i="25"/>
  <c r="O109" i="25" s="1"/>
  <c r="H109" i="25"/>
  <c r="AE108" i="25"/>
  <c r="AD108" i="25"/>
  <c r="AA108" i="25"/>
  <c r="Z108" i="25"/>
  <c r="W108" i="25"/>
  <c r="M108" i="25"/>
  <c r="P108" i="25" s="1"/>
  <c r="W107" i="25"/>
  <c r="H107" i="25"/>
  <c r="W106" i="25"/>
  <c r="H106" i="25"/>
  <c r="W105" i="25"/>
  <c r="H105" i="25"/>
  <c r="AG104" i="25"/>
  <c r="AF104" i="25"/>
  <c r="H104" i="25"/>
  <c r="W103" i="25"/>
  <c r="N103" i="25" s="1"/>
  <c r="AF103" i="25" s="1"/>
  <c r="P103" i="25"/>
  <c r="H103" i="25"/>
  <c r="AG102" i="25"/>
  <c r="W102" i="25"/>
  <c r="P102" i="25"/>
  <c r="N102" i="25"/>
  <c r="O102" i="25" s="1"/>
  <c r="H102" i="25"/>
  <c r="W101" i="25"/>
  <c r="P101" i="25"/>
  <c r="N101" i="25"/>
  <c r="H101" i="25"/>
  <c r="W100" i="25"/>
  <c r="N100" i="25" s="1"/>
  <c r="O100" i="25" s="1"/>
  <c r="P100" i="25"/>
  <c r="H100" i="25"/>
  <c r="AG99" i="25"/>
  <c r="AF99" i="25"/>
  <c r="W99" i="25"/>
  <c r="P99" i="25"/>
  <c r="N99" i="25"/>
  <c r="O99" i="25" s="1"/>
  <c r="H99" i="25"/>
  <c r="W98" i="25"/>
  <c r="P98" i="25"/>
  <c r="N98" i="25"/>
  <c r="AG98" i="25" s="1"/>
  <c r="H98" i="25"/>
  <c r="W97" i="25"/>
  <c r="R97" i="25"/>
  <c r="P97" i="25"/>
  <c r="N97" i="25"/>
  <c r="O97" i="25" s="1"/>
  <c r="Q97" i="25" s="1"/>
  <c r="H97" i="25"/>
  <c r="AF96" i="25"/>
  <c r="W96" i="25"/>
  <c r="P96" i="25"/>
  <c r="N96" i="25"/>
  <c r="O96" i="25" s="1"/>
  <c r="H96" i="25"/>
  <c r="AE95" i="25"/>
  <c r="AD95" i="25"/>
  <c r="AA95" i="25"/>
  <c r="Z95" i="25"/>
  <c r="M95" i="25"/>
  <c r="P95" i="25" s="1"/>
  <c r="AG94" i="25"/>
  <c r="AF94" i="25"/>
  <c r="W94" i="25"/>
  <c r="H94" i="25"/>
  <c r="AG93" i="25"/>
  <c r="AF93" i="25"/>
  <c r="W93" i="25"/>
  <c r="H93" i="25"/>
  <c r="AG92" i="25"/>
  <c r="AF92" i="25"/>
  <c r="H92" i="25"/>
  <c r="AG91" i="25"/>
  <c r="AF91" i="25"/>
  <c r="H91" i="25"/>
  <c r="AG90" i="25"/>
  <c r="AF90" i="25"/>
  <c r="H90" i="25"/>
  <c r="AG89" i="25"/>
  <c r="AF89" i="25"/>
  <c r="H89" i="25"/>
  <c r="AG88" i="25"/>
  <c r="AF88" i="25"/>
  <c r="H88" i="25"/>
  <c r="AG87" i="25"/>
  <c r="AF87" i="25"/>
  <c r="H87" i="25"/>
  <c r="AG86" i="25"/>
  <c r="AF86" i="25"/>
  <c r="H86" i="25"/>
  <c r="W85" i="25"/>
  <c r="N85" i="25" s="1"/>
  <c r="P85" i="25"/>
  <c r="H85" i="25"/>
  <c r="AG84" i="25"/>
  <c r="AF84" i="25"/>
  <c r="W84" i="25"/>
  <c r="P84" i="25"/>
  <c r="N84" i="25"/>
  <c r="O84" i="25" s="1"/>
  <c r="H84" i="25"/>
  <c r="W83" i="25"/>
  <c r="N83" i="25" s="1"/>
  <c r="P83" i="25"/>
  <c r="H83" i="25"/>
  <c r="AE82" i="25"/>
  <c r="AD82" i="25"/>
  <c r="AA82" i="25"/>
  <c r="Z82" i="25"/>
  <c r="M82" i="25"/>
  <c r="P82" i="25" s="1"/>
  <c r="W81" i="25"/>
  <c r="AG80" i="25"/>
  <c r="AF80" i="25"/>
  <c r="W80" i="25"/>
  <c r="H80" i="25"/>
  <c r="AG79" i="25"/>
  <c r="AF79" i="25"/>
  <c r="W79" i="25"/>
  <c r="H79" i="25"/>
  <c r="AG78" i="25"/>
  <c r="AF78" i="25"/>
  <c r="H78" i="25"/>
  <c r="AG77" i="25"/>
  <c r="AF77" i="25"/>
  <c r="H77" i="25"/>
  <c r="AG76" i="25"/>
  <c r="AF76" i="25"/>
  <c r="H76" i="25"/>
  <c r="AG75" i="25"/>
  <c r="AF75" i="25"/>
  <c r="H75" i="25"/>
  <c r="W74" i="25"/>
  <c r="N74" i="25" s="1"/>
  <c r="P74" i="25"/>
  <c r="H74" i="25"/>
  <c r="W73" i="25"/>
  <c r="P73" i="25"/>
  <c r="N73" i="25"/>
  <c r="H73" i="25"/>
  <c r="W72" i="25"/>
  <c r="N72" i="25" s="1"/>
  <c r="O72" i="25" s="1"/>
  <c r="P72" i="25"/>
  <c r="H72" i="25"/>
  <c r="AG71" i="25"/>
  <c r="AF71" i="25"/>
  <c r="W71" i="25"/>
  <c r="P71" i="25"/>
  <c r="N71" i="25"/>
  <c r="O71" i="25" s="1"/>
  <c r="H71" i="25"/>
  <c r="W70" i="25"/>
  <c r="N70" i="25" s="1"/>
  <c r="P70" i="25"/>
  <c r="O70" i="25"/>
  <c r="H70" i="25"/>
  <c r="AE69" i="25"/>
  <c r="AD69" i="25"/>
  <c r="AA69" i="25"/>
  <c r="Z69" i="25"/>
  <c r="W69" i="25"/>
  <c r="M69" i="25"/>
  <c r="P69" i="25" s="1"/>
  <c r="W68" i="25"/>
  <c r="H68" i="25"/>
  <c r="AG67" i="25"/>
  <c r="AF67" i="25"/>
  <c r="W67" i="25"/>
  <c r="H67" i="25"/>
  <c r="AG66" i="25"/>
  <c r="AF66" i="25"/>
  <c r="W66" i="25"/>
  <c r="H66" i="25"/>
  <c r="AG65" i="25"/>
  <c r="AF65" i="25"/>
  <c r="W65" i="25"/>
  <c r="H65" i="25"/>
  <c r="AG64" i="25"/>
  <c r="AF64" i="25"/>
  <c r="H64" i="25"/>
  <c r="AG63" i="25"/>
  <c r="AF63" i="25"/>
  <c r="H63" i="25"/>
  <c r="AG62" i="25"/>
  <c r="AF62" i="25"/>
  <c r="H62" i="25"/>
  <c r="AG61" i="25"/>
  <c r="W61" i="25"/>
  <c r="N61" i="25" s="1"/>
  <c r="O61" i="25" s="1"/>
  <c r="P61" i="25"/>
  <c r="H61" i="25"/>
  <c r="W60" i="25"/>
  <c r="P60" i="25"/>
  <c r="N60" i="25"/>
  <c r="AG60" i="25" s="1"/>
  <c r="H60" i="25"/>
  <c r="W59" i="25"/>
  <c r="P59" i="25"/>
  <c r="N59" i="25"/>
  <c r="O59" i="25" s="1"/>
  <c r="H59" i="25"/>
  <c r="W58" i="25"/>
  <c r="N58" i="25" s="1"/>
  <c r="O58" i="25" s="1"/>
  <c r="P58" i="25"/>
  <c r="H58" i="25"/>
  <c r="W57" i="25"/>
  <c r="P57" i="25"/>
  <c r="N57" i="25"/>
  <c r="AG57" i="25" s="1"/>
  <c r="H57" i="25"/>
  <c r="AE56" i="25"/>
  <c r="AD56" i="25"/>
  <c r="AA56" i="25"/>
  <c r="Z56" i="25"/>
  <c r="W56" i="25"/>
  <c r="P56" i="25"/>
  <c r="M56" i="25"/>
  <c r="W55" i="25"/>
  <c r="H55" i="25"/>
  <c r="W54" i="25"/>
  <c r="H54" i="25"/>
  <c r="W53" i="25"/>
  <c r="H53" i="25"/>
  <c r="AG52" i="25"/>
  <c r="AF52" i="25"/>
  <c r="W52" i="25"/>
  <c r="H52" i="25"/>
  <c r="W51" i="25"/>
  <c r="N51" i="25" s="1"/>
  <c r="P51" i="25"/>
  <c r="H51" i="25"/>
  <c r="AF50" i="25"/>
  <c r="W50" i="25"/>
  <c r="N50" i="25" s="1"/>
  <c r="AG50" i="25" s="1"/>
  <c r="P50" i="25"/>
  <c r="O50" i="25"/>
  <c r="H50" i="25"/>
  <c r="AG49" i="25"/>
  <c r="AF49" i="25"/>
  <c r="W49" i="25"/>
  <c r="P49" i="25"/>
  <c r="N49" i="25"/>
  <c r="O49" i="25" s="1"/>
  <c r="H49" i="25"/>
  <c r="AG48" i="25"/>
  <c r="W48" i="25"/>
  <c r="P48" i="25"/>
  <c r="N48" i="25"/>
  <c r="H48" i="25"/>
  <c r="W47" i="25"/>
  <c r="P47" i="25"/>
  <c r="O47" i="25"/>
  <c r="Q47" i="25" s="1"/>
  <c r="N47" i="25"/>
  <c r="H47" i="25"/>
  <c r="W46" i="25"/>
  <c r="N46" i="25" s="1"/>
  <c r="P46" i="25"/>
  <c r="O46" i="25"/>
  <c r="H46" i="25"/>
  <c r="AF45" i="25"/>
  <c r="W45" i="25"/>
  <c r="Q45" i="25"/>
  <c r="P45" i="25"/>
  <c r="N45" i="25"/>
  <c r="O45" i="25" s="1"/>
  <c r="R45" i="25" s="1"/>
  <c r="H45" i="25"/>
  <c r="W44" i="25"/>
  <c r="N44" i="25" s="1"/>
  <c r="H44" i="25"/>
  <c r="AE43" i="25"/>
  <c r="AD43" i="25"/>
  <c r="AA43" i="25"/>
  <c r="Z43" i="25"/>
  <c r="M43" i="25"/>
  <c r="P43" i="25" s="1"/>
  <c r="W42" i="25"/>
  <c r="H42" i="25"/>
  <c r="W41" i="25"/>
  <c r="W40" i="25"/>
  <c r="H40" i="25"/>
  <c r="H39" i="25"/>
  <c r="AG38" i="25"/>
  <c r="AF38" i="25"/>
  <c r="H38" i="25"/>
  <c r="W37" i="25"/>
  <c r="P37" i="25"/>
  <c r="O37" i="25"/>
  <c r="Q37" i="25" s="1"/>
  <c r="N37" i="25"/>
  <c r="H37" i="25"/>
  <c r="W36" i="25"/>
  <c r="N36" i="25" s="1"/>
  <c r="P36" i="25"/>
  <c r="H36" i="25"/>
  <c r="W35" i="25"/>
  <c r="N35" i="25" s="1"/>
  <c r="P35" i="25"/>
  <c r="H35" i="25"/>
  <c r="AG34" i="25"/>
  <c r="W34" i="25"/>
  <c r="N34" i="25" s="1"/>
  <c r="P34" i="25"/>
  <c r="H34" i="25"/>
  <c r="W33" i="25"/>
  <c r="P33" i="25"/>
  <c r="N33" i="25"/>
  <c r="H33" i="25"/>
  <c r="W32" i="25"/>
  <c r="N32" i="25" s="1"/>
  <c r="AG32" i="25" s="1"/>
  <c r="P32" i="25"/>
  <c r="H32" i="25"/>
  <c r="AG31" i="25"/>
  <c r="W31" i="25"/>
  <c r="P31" i="25"/>
  <c r="O31" i="25"/>
  <c r="N31" i="25"/>
  <c r="H31" i="25"/>
  <c r="AE30" i="25"/>
  <c r="AE2" i="25" s="1"/>
  <c r="AD30" i="25"/>
  <c r="AA30" i="25"/>
  <c r="Z30" i="25"/>
  <c r="M30" i="25"/>
  <c r="P30" i="25" s="1"/>
  <c r="AF29" i="25"/>
  <c r="W29" i="25"/>
  <c r="H29" i="25"/>
  <c r="AF28" i="25"/>
  <c r="W28" i="25"/>
  <c r="H28" i="25"/>
  <c r="AF27" i="25"/>
  <c r="W27" i="25"/>
  <c r="H27" i="25"/>
  <c r="AF26" i="25"/>
  <c r="W26" i="25"/>
  <c r="AF25" i="25"/>
  <c r="W25" i="25"/>
  <c r="AF24" i="25"/>
  <c r="H24" i="25"/>
  <c r="W23" i="25"/>
  <c r="N23" i="25" s="1"/>
  <c r="O23" i="25" s="1"/>
  <c r="R23" i="25" s="1"/>
  <c r="Q23" i="25"/>
  <c r="P23" i="25"/>
  <c r="H23" i="25"/>
  <c r="W22" i="25"/>
  <c r="P22" i="25"/>
  <c r="N22" i="25"/>
  <c r="H22" i="25"/>
  <c r="W21" i="25"/>
  <c r="N21" i="25" s="1"/>
  <c r="P21" i="25"/>
  <c r="H21" i="25"/>
  <c r="W20" i="25"/>
  <c r="N20" i="25" s="1"/>
  <c r="P20" i="25"/>
  <c r="H20" i="25"/>
  <c r="AG19" i="25"/>
  <c r="AF19" i="25"/>
  <c r="W19" i="25"/>
  <c r="R19" i="25"/>
  <c r="P19" i="25"/>
  <c r="O19" i="25"/>
  <c r="Q19" i="25" s="1"/>
  <c r="N19" i="25"/>
  <c r="H19" i="25"/>
  <c r="W18" i="25"/>
  <c r="P18" i="25"/>
  <c r="O18" i="25"/>
  <c r="Q18" i="25" s="1"/>
  <c r="N18" i="25"/>
  <c r="AG18" i="25" s="1"/>
  <c r="H18" i="25"/>
  <c r="AE17" i="25"/>
  <c r="AD17" i="25"/>
  <c r="AA17" i="25"/>
  <c r="Z17" i="25"/>
  <c r="Z2" i="25" s="1"/>
  <c r="W17" i="25"/>
  <c r="M17" i="25"/>
  <c r="P17" i="25" s="1"/>
  <c r="W16" i="25"/>
  <c r="H16" i="25"/>
  <c r="W15" i="25"/>
  <c r="H15" i="25"/>
  <c r="H14" i="25"/>
  <c r="H13" i="25"/>
  <c r="W12" i="25"/>
  <c r="N12" i="25" s="1"/>
  <c r="O12" i="25" s="1"/>
  <c r="P12" i="25"/>
  <c r="H12" i="25"/>
  <c r="W11" i="25"/>
  <c r="N11" i="25" s="1"/>
  <c r="P11" i="25"/>
  <c r="H11" i="25"/>
  <c r="W10" i="25"/>
  <c r="N10" i="25" s="1"/>
  <c r="P10" i="25"/>
  <c r="H10" i="25"/>
  <c r="W9" i="25"/>
  <c r="N9" i="25" s="1"/>
  <c r="P9" i="25"/>
  <c r="H9" i="25"/>
  <c r="AG8" i="25"/>
  <c r="W8" i="25"/>
  <c r="P8" i="25"/>
  <c r="N8" i="25"/>
  <c r="AF8" i="25" s="1"/>
  <c r="H8" i="25"/>
  <c r="W7" i="25"/>
  <c r="P7" i="25"/>
  <c r="N7" i="25"/>
  <c r="AG7" i="25" s="1"/>
  <c r="H7" i="25"/>
  <c r="W6" i="25"/>
  <c r="N6" i="25" s="1"/>
  <c r="P6" i="25"/>
  <c r="H6" i="25"/>
  <c r="G1" i="25" s="1"/>
  <c r="G2" i="25" s="1"/>
  <c r="W5" i="25"/>
  <c r="P5" i="25"/>
  <c r="N5" i="25"/>
  <c r="O5" i="25" s="1"/>
  <c r="H5" i="25"/>
  <c r="AD2" i="25"/>
  <c r="AA2" i="25"/>
  <c r="I2" i="25"/>
  <c r="E1" i="25"/>
  <c r="J124" i="24"/>
  <c r="P123" i="24"/>
  <c r="H123" i="24"/>
  <c r="P122" i="24"/>
  <c r="P119" i="24"/>
  <c r="H119" i="24"/>
  <c r="P118" i="24"/>
  <c r="H118" i="24"/>
  <c r="P117" i="24"/>
  <c r="H117" i="24"/>
  <c r="P116" i="24"/>
  <c r="H116" i="24"/>
  <c r="P115" i="24"/>
  <c r="H115" i="24"/>
  <c r="P114" i="24"/>
  <c r="H114" i="24"/>
  <c r="P113" i="24"/>
  <c r="K113" i="24"/>
  <c r="L113" i="24" s="1"/>
  <c r="H113" i="24"/>
  <c r="P112" i="24"/>
  <c r="K112" i="24"/>
  <c r="K124" i="24" s="1"/>
  <c r="H112" i="24"/>
  <c r="J111" i="24"/>
  <c r="P110" i="24"/>
  <c r="H110" i="24"/>
  <c r="P109" i="24"/>
  <c r="H109" i="24"/>
  <c r="P108" i="24"/>
  <c r="H108" i="24"/>
  <c r="P107" i="24"/>
  <c r="H107" i="24"/>
  <c r="P106" i="24"/>
  <c r="H106" i="24"/>
  <c r="P105" i="24"/>
  <c r="K105" i="24" s="1"/>
  <c r="L105" i="24" s="1"/>
  <c r="H105" i="24"/>
  <c r="P104" i="24"/>
  <c r="K104" i="24" s="1"/>
  <c r="L104" i="24" s="1"/>
  <c r="H104" i="24"/>
  <c r="P103" i="24"/>
  <c r="K103" i="24" s="1"/>
  <c r="L103" i="24" s="1"/>
  <c r="H103" i="24"/>
  <c r="P102" i="24"/>
  <c r="K102" i="24" s="1"/>
  <c r="L102" i="24" s="1"/>
  <c r="H102" i="24"/>
  <c r="P101" i="24"/>
  <c r="K101" i="24" s="1"/>
  <c r="H101" i="24"/>
  <c r="J100" i="24"/>
  <c r="H99" i="24"/>
  <c r="H97" i="24"/>
  <c r="H96" i="24"/>
  <c r="P95" i="24"/>
  <c r="H95" i="24"/>
  <c r="P94" i="24"/>
  <c r="H94" i="24"/>
  <c r="P93" i="24"/>
  <c r="K93" i="24"/>
  <c r="L93" i="24" s="1"/>
  <c r="H93" i="24"/>
  <c r="P92" i="24"/>
  <c r="K92" i="24" s="1"/>
  <c r="H92" i="24"/>
  <c r="J91" i="24"/>
  <c r="P90" i="24"/>
  <c r="H90" i="24"/>
  <c r="P89" i="24"/>
  <c r="H89" i="24"/>
  <c r="P87" i="24"/>
  <c r="H87" i="24"/>
  <c r="P86" i="24"/>
  <c r="K86" i="24"/>
  <c r="L86" i="24" s="1"/>
  <c r="H86" i="24"/>
  <c r="P85" i="24"/>
  <c r="K85" i="24"/>
  <c r="L85" i="24" s="1"/>
  <c r="H85" i="24"/>
  <c r="P84" i="24"/>
  <c r="K84" i="24"/>
  <c r="L84" i="24" s="1"/>
  <c r="H84" i="24"/>
  <c r="P83" i="24"/>
  <c r="K83" i="24"/>
  <c r="L83" i="24" s="1"/>
  <c r="H83" i="24"/>
  <c r="P82" i="24"/>
  <c r="K82" i="24"/>
  <c r="K91" i="24" s="1"/>
  <c r="H82" i="24"/>
  <c r="L81" i="24"/>
  <c r="K81" i="24"/>
  <c r="J81" i="24"/>
  <c r="P80" i="24"/>
  <c r="H80" i="24"/>
  <c r="P79" i="24"/>
  <c r="H79" i="24"/>
  <c r="P78" i="24"/>
  <c r="H78" i="24"/>
  <c r="P77" i="24"/>
  <c r="H77" i="24"/>
  <c r="P76" i="24"/>
  <c r="H76" i="24"/>
  <c r="J75" i="24"/>
  <c r="P74" i="24"/>
  <c r="H74" i="24"/>
  <c r="P73" i="24"/>
  <c r="H73" i="24"/>
  <c r="P72" i="24"/>
  <c r="H72" i="24"/>
  <c r="P71" i="24"/>
  <c r="K71" i="24" s="1"/>
  <c r="L71" i="24" s="1"/>
  <c r="H71" i="24"/>
  <c r="P70" i="24"/>
  <c r="K70" i="24" s="1"/>
  <c r="L70" i="24" s="1"/>
  <c r="H70" i="24"/>
  <c r="P69" i="24"/>
  <c r="K69" i="24" s="1"/>
  <c r="L69" i="24" s="1"/>
  <c r="H69" i="24"/>
  <c r="P68" i="24"/>
  <c r="K68" i="24" s="1"/>
  <c r="L68" i="24" s="1"/>
  <c r="H68" i="24"/>
  <c r="P67" i="24"/>
  <c r="K67" i="24" s="1"/>
  <c r="L67" i="24" s="1"/>
  <c r="H67" i="24"/>
  <c r="P66" i="24"/>
  <c r="K66" i="24" s="1"/>
  <c r="L66" i="24" s="1"/>
  <c r="H66" i="24"/>
  <c r="P65" i="24"/>
  <c r="K65" i="24" s="1"/>
  <c r="H65" i="24"/>
  <c r="L64" i="24"/>
  <c r="K64" i="24"/>
  <c r="J64" i="24"/>
  <c r="P63" i="24"/>
  <c r="H63" i="24"/>
  <c r="P62" i="24"/>
  <c r="H62" i="24"/>
  <c r="P61" i="24"/>
  <c r="H61" i="24"/>
  <c r="P60" i="24"/>
  <c r="H60" i="24"/>
  <c r="P59" i="24"/>
  <c r="H59" i="24"/>
  <c r="P58" i="24"/>
  <c r="H58" i="24"/>
  <c r="P57" i="24"/>
  <c r="H57" i="24"/>
  <c r="P56" i="24"/>
  <c r="H56" i="24"/>
  <c r="P55" i="24"/>
  <c r="H55" i="24"/>
  <c r="P54" i="24"/>
  <c r="H54" i="24"/>
  <c r="P53" i="24"/>
  <c r="H53" i="24"/>
  <c r="P52" i="24"/>
  <c r="H52" i="24"/>
  <c r="J51" i="24"/>
  <c r="P50" i="24"/>
  <c r="H50" i="24"/>
  <c r="P49" i="24"/>
  <c r="H49" i="24"/>
  <c r="P48" i="24"/>
  <c r="P47" i="24"/>
  <c r="H47" i="24"/>
  <c r="P46" i="24"/>
  <c r="H46" i="24"/>
  <c r="P45" i="24"/>
  <c r="H45" i="24"/>
  <c r="P44" i="24"/>
  <c r="H44" i="24"/>
  <c r="P43" i="24"/>
  <c r="H43" i="24"/>
  <c r="P42" i="24"/>
  <c r="K42" i="24" s="1"/>
  <c r="L42" i="24" s="1"/>
  <c r="H42" i="24"/>
  <c r="P41" i="24"/>
  <c r="K41" i="24"/>
  <c r="L41" i="24" s="1"/>
  <c r="H41" i="24"/>
  <c r="P40" i="24"/>
  <c r="K40" i="24" s="1"/>
  <c r="H40" i="24"/>
  <c r="P39" i="24"/>
  <c r="K39" i="24"/>
  <c r="L39" i="24" s="1"/>
  <c r="H39" i="24"/>
  <c r="J38" i="24"/>
  <c r="P37" i="24"/>
  <c r="H37" i="24"/>
  <c r="P36" i="24"/>
  <c r="H36" i="24"/>
  <c r="P35" i="24"/>
  <c r="H35" i="24"/>
  <c r="P34" i="24"/>
  <c r="H34" i="24"/>
  <c r="P33" i="24"/>
  <c r="H33" i="24"/>
  <c r="P32" i="24"/>
  <c r="H32" i="24"/>
  <c r="P31" i="24"/>
  <c r="H31" i="24"/>
  <c r="P30" i="24"/>
  <c r="H30" i="24"/>
  <c r="P29" i="24"/>
  <c r="H29" i="24"/>
  <c r="P28" i="24"/>
  <c r="K28" i="24"/>
  <c r="L28" i="24" s="1"/>
  <c r="H28" i="24"/>
  <c r="P27" i="24"/>
  <c r="K27" i="24"/>
  <c r="L27" i="24" s="1"/>
  <c r="H27" i="24"/>
  <c r="P26" i="24"/>
  <c r="K26" i="24"/>
  <c r="L26" i="24" s="1"/>
  <c r="H26" i="24"/>
  <c r="P25" i="24"/>
  <c r="K25" i="24"/>
  <c r="K38" i="24" s="1"/>
  <c r="H25" i="24"/>
  <c r="J24" i="24"/>
  <c r="I1" i="24" s="1"/>
  <c r="P23" i="24"/>
  <c r="H23" i="24"/>
  <c r="P22" i="24"/>
  <c r="H22" i="24"/>
  <c r="P21" i="24"/>
  <c r="H21" i="24"/>
  <c r="P20" i="24"/>
  <c r="H20" i="24"/>
  <c r="P18" i="24"/>
  <c r="K18" i="24" s="1"/>
  <c r="L18" i="24" s="1"/>
  <c r="H18" i="24"/>
  <c r="P17" i="24"/>
  <c r="K17" i="24"/>
  <c r="L17" i="24" s="1"/>
  <c r="L24" i="24" s="1"/>
  <c r="H17" i="24"/>
  <c r="J16" i="24"/>
  <c r="P15" i="24"/>
  <c r="H15" i="24"/>
  <c r="P14" i="24"/>
  <c r="K14" i="24"/>
  <c r="L14" i="24" s="1"/>
  <c r="H14" i="24"/>
  <c r="P13" i="24"/>
  <c r="K13" i="24"/>
  <c r="L13" i="24" s="1"/>
  <c r="H13" i="24"/>
  <c r="P12" i="24"/>
  <c r="K12" i="24"/>
  <c r="L12" i="24" s="1"/>
  <c r="H12" i="24"/>
  <c r="P11" i="24"/>
  <c r="K11" i="24"/>
  <c r="L11" i="24" s="1"/>
  <c r="H11" i="24"/>
  <c r="P10" i="24"/>
  <c r="K10" i="24"/>
  <c r="L10" i="24" s="1"/>
  <c r="H10" i="24"/>
  <c r="P9" i="24"/>
  <c r="K9" i="24"/>
  <c r="L9" i="24" s="1"/>
  <c r="H9" i="24"/>
  <c r="P8" i="24"/>
  <c r="K8" i="24"/>
  <c r="L8" i="24" s="1"/>
  <c r="H8" i="24"/>
  <c r="P7" i="24"/>
  <c r="K7" i="24"/>
  <c r="L7" i="24" s="1"/>
  <c r="H7" i="24"/>
  <c r="P6" i="24"/>
  <c r="K6" i="24"/>
  <c r="L6" i="24" s="1"/>
  <c r="H6" i="24"/>
  <c r="P5" i="24"/>
  <c r="K5" i="24"/>
  <c r="K16" i="24" s="1"/>
  <c r="H5" i="24"/>
  <c r="G1" i="24" s="1"/>
  <c r="G2" i="24" s="1"/>
  <c r="I2" i="24"/>
  <c r="E1" i="24"/>
  <c r="M32" i="23"/>
  <c r="L32" i="23"/>
  <c r="K32" i="23"/>
  <c r="J32" i="23"/>
  <c r="I32" i="23"/>
  <c r="H32" i="23"/>
  <c r="G32" i="23"/>
  <c r="F32" i="23"/>
  <c r="J8" i="23" s="1"/>
  <c r="E32" i="23"/>
  <c r="D32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E15" i="23"/>
  <c r="D15" i="23"/>
  <c r="H8" i="23" s="1"/>
  <c r="L8" i="23"/>
  <c r="L7" i="23"/>
  <c r="J7" i="23"/>
  <c r="H7" i="23"/>
  <c r="F7" i="23"/>
  <c r="L6" i="23"/>
  <c r="J6" i="23"/>
  <c r="H6" i="23"/>
  <c r="F6" i="23"/>
  <c r="R72" i="25" l="1"/>
  <c r="Q72" i="25"/>
  <c r="L40" i="24"/>
  <c r="K51" i="24"/>
  <c r="R12" i="25"/>
  <c r="Q12" i="25"/>
  <c r="R113" i="25"/>
  <c r="Q113" i="25"/>
  <c r="AF9" i="25"/>
  <c r="AG9" i="25"/>
  <c r="O9" i="25"/>
  <c r="L65" i="24"/>
  <c r="L75" i="24" s="1"/>
  <c r="K75" i="24"/>
  <c r="L92" i="24"/>
  <c r="L100" i="24" s="1"/>
  <c r="K100" i="24"/>
  <c r="AF10" i="25"/>
  <c r="O10" i="25"/>
  <c r="AG10" i="25"/>
  <c r="R58" i="25"/>
  <c r="Q58" i="25"/>
  <c r="AG6" i="25"/>
  <c r="AF6" i="25"/>
  <c r="O6" i="25"/>
  <c r="Q59" i="25"/>
  <c r="R59" i="25"/>
  <c r="AF21" i="25"/>
  <c r="AG21" i="25"/>
  <c r="O21" i="25"/>
  <c r="AF20" i="25"/>
  <c r="AG20" i="25"/>
  <c r="O20" i="25"/>
  <c r="O51" i="25"/>
  <c r="AG51" i="25"/>
  <c r="AF51" i="25"/>
  <c r="L51" i="24"/>
  <c r="O11" i="25"/>
  <c r="AG11" i="25"/>
  <c r="AF11" i="25"/>
  <c r="R100" i="25"/>
  <c r="Q100" i="25"/>
  <c r="K111" i="24"/>
  <c r="L101" i="24"/>
  <c r="L111" i="24" s="1"/>
  <c r="Q5" i="25"/>
  <c r="R5" i="25"/>
  <c r="AF151" i="25"/>
  <c r="AG151" i="25"/>
  <c r="L82" i="24"/>
  <c r="L91" i="24" s="1"/>
  <c r="L112" i="24"/>
  <c r="L124" i="24" s="1"/>
  <c r="O73" i="25"/>
  <c r="AG73" i="25"/>
  <c r="AF73" i="25"/>
  <c r="R125" i="25"/>
  <c r="Q125" i="25"/>
  <c r="K16" i="27"/>
  <c r="L5" i="27"/>
  <c r="L16" i="27" s="1"/>
  <c r="E2" i="27" s="1"/>
  <c r="O8" i="25"/>
  <c r="N17" i="25"/>
  <c r="AF31" i="25"/>
  <c r="N43" i="25"/>
  <c r="O32" i="25"/>
  <c r="N56" i="25"/>
  <c r="O44" i="25"/>
  <c r="AG44" i="25"/>
  <c r="AF44" i="25"/>
  <c r="R47" i="25"/>
  <c r="R122" i="25"/>
  <c r="Q122" i="25"/>
  <c r="O162" i="25"/>
  <c r="AG162" i="25"/>
  <c r="AF162" i="25"/>
  <c r="G1" i="27"/>
  <c r="G2" i="27" s="1"/>
  <c r="L51" i="27"/>
  <c r="Q111" i="28"/>
  <c r="R111" i="28"/>
  <c r="AG36" i="25"/>
  <c r="AF36" i="25"/>
  <c r="AF126" i="25"/>
  <c r="AG126" i="25"/>
  <c r="Q138" i="25"/>
  <c r="R138" i="25"/>
  <c r="N43" i="28"/>
  <c r="O31" i="28"/>
  <c r="AG31" i="28"/>
  <c r="AF31" i="28"/>
  <c r="I1" i="25"/>
  <c r="AF5" i="25"/>
  <c r="R18" i="25"/>
  <c r="N30" i="25"/>
  <c r="Q31" i="25"/>
  <c r="AG37" i="25"/>
  <c r="AF37" i="25"/>
  <c r="R46" i="25"/>
  <c r="Q46" i="25"/>
  <c r="R49" i="25"/>
  <c r="Q49" i="25"/>
  <c r="R102" i="25"/>
  <c r="Q102" i="25"/>
  <c r="R110" i="25"/>
  <c r="O127" i="25"/>
  <c r="AG127" i="25"/>
  <c r="AF127" i="25"/>
  <c r="K51" i="27"/>
  <c r="K24" i="24"/>
  <c r="O22" i="25"/>
  <c r="O30" i="25" s="1"/>
  <c r="AF22" i="25"/>
  <c r="O103" i="25"/>
  <c r="AG103" i="25"/>
  <c r="AG5" i="25"/>
  <c r="O35" i="25"/>
  <c r="AG35" i="25"/>
  <c r="AG70" i="25"/>
  <c r="AF70" i="25"/>
  <c r="N82" i="25"/>
  <c r="O121" i="25"/>
  <c r="R109" i="25"/>
  <c r="Q109" i="25"/>
  <c r="N147" i="25"/>
  <c r="N160" i="25"/>
  <c r="O148" i="25"/>
  <c r="AG148" i="25"/>
  <c r="AF148" i="25"/>
  <c r="AG150" i="25"/>
  <c r="AF150" i="25"/>
  <c r="O150" i="25"/>
  <c r="N173" i="25"/>
  <c r="O161" i="25"/>
  <c r="AF161" i="25"/>
  <c r="AG50" i="28"/>
  <c r="AF50" i="28"/>
  <c r="O50" i="28"/>
  <c r="R57" i="28"/>
  <c r="Q57" i="28"/>
  <c r="R50" i="25"/>
  <c r="Q50" i="25"/>
  <c r="R84" i="25"/>
  <c r="Q84" i="25"/>
  <c r="P121" i="28"/>
  <c r="I1" i="28"/>
  <c r="L5" i="24"/>
  <c r="L16" i="24" s="1"/>
  <c r="E2" i="24" s="1"/>
  <c r="L25" i="24"/>
  <c r="L38" i="24" s="1"/>
  <c r="R31" i="25"/>
  <c r="AF32" i="25"/>
  <c r="AF35" i="25"/>
  <c r="AG46" i="25"/>
  <c r="AF46" i="25"/>
  <c r="AF48" i="25"/>
  <c r="O48" i="25"/>
  <c r="R99" i="25"/>
  <c r="Q99" i="25"/>
  <c r="AF100" i="25"/>
  <c r="AG100" i="25"/>
  <c r="AF113" i="25"/>
  <c r="AG113" i="25"/>
  <c r="Q129" i="25"/>
  <c r="R129" i="25"/>
  <c r="F8" i="26"/>
  <c r="O48" i="28"/>
  <c r="AG48" i="28"/>
  <c r="AF48" i="28"/>
  <c r="O7" i="25"/>
  <c r="AG59" i="25"/>
  <c r="AF59" i="25"/>
  <c r="R70" i="25"/>
  <c r="Q70" i="25"/>
  <c r="AF85" i="25"/>
  <c r="AG85" i="25"/>
  <c r="K124" i="27"/>
  <c r="L112" i="27"/>
  <c r="L124" i="27" s="1"/>
  <c r="AF7" i="25"/>
  <c r="AF18" i="25"/>
  <c r="AG22" i="25"/>
  <c r="R37" i="25"/>
  <c r="O57" i="25"/>
  <c r="AF57" i="25"/>
  <c r="N69" i="25"/>
  <c r="R61" i="25"/>
  <c r="Q61" i="25"/>
  <c r="O74" i="25"/>
  <c r="AF74" i="25"/>
  <c r="O82" i="25"/>
  <c r="R82" i="25" s="1"/>
  <c r="S70" i="25" s="1"/>
  <c r="R96" i="25"/>
  <c r="Q96" i="25"/>
  <c r="O137" i="25"/>
  <c r="AF137" i="25"/>
  <c r="O151" i="25"/>
  <c r="K75" i="27"/>
  <c r="R11" i="28"/>
  <c r="Q11" i="28"/>
  <c r="R13" i="28"/>
  <c r="Q13" i="28"/>
  <c r="AG165" i="25"/>
  <c r="AF165" i="25"/>
  <c r="O165" i="25"/>
  <c r="O136" i="25"/>
  <c r="AG136" i="25"/>
  <c r="AF136" i="25"/>
  <c r="O125" i="28"/>
  <c r="AG125" i="28"/>
  <c r="AF125" i="28"/>
  <c r="O33" i="25"/>
  <c r="AG33" i="25"/>
  <c r="AF33" i="25"/>
  <c r="O34" i="25"/>
  <c r="AF34" i="25"/>
  <c r="O36" i="25"/>
  <c r="AG47" i="25"/>
  <c r="AF47" i="25"/>
  <c r="AG58" i="25"/>
  <c r="AF58" i="25"/>
  <c r="AF60" i="25"/>
  <c r="O60" i="25"/>
  <c r="AF61" i="25"/>
  <c r="R71" i="25"/>
  <c r="Q71" i="25"/>
  <c r="AF72" i="25"/>
  <c r="AG72" i="25"/>
  <c r="AG74" i="25"/>
  <c r="N95" i="25"/>
  <c r="O83" i="25"/>
  <c r="AG83" i="25"/>
  <c r="AF83" i="25"/>
  <c r="O85" i="25"/>
  <c r="O101" i="25"/>
  <c r="AG101" i="25"/>
  <c r="AF101" i="25"/>
  <c r="O126" i="25"/>
  <c r="R128" i="25"/>
  <c r="Q128" i="25"/>
  <c r="AG137" i="25"/>
  <c r="O139" i="25"/>
  <c r="AG139" i="25"/>
  <c r="AF139" i="25"/>
  <c r="AG161" i="25"/>
  <c r="K38" i="27"/>
  <c r="L25" i="27"/>
  <c r="L38" i="27" s="1"/>
  <c r="O6" i="28"/>
  <c r="AG6" i="28"/>
  <c r="AF6" i="28"/>
  <c r="O46" i="28"/>
  <c r="AG46" i="28"/>
  <c r="AF46" i="28"/>
  <c r="O98" i="25"/>
  <c r="O108" i="25" s="1"/>
  <c r="O111" i="25"/>
  <c r="O124" i="25"/>
  <c r="O134" i="25" s="1"/>
  <c r="O135" i="25"/>
  <c r="O141" i="25"/>
  <c r="O149" i="25"/>
  <c r="O164" i="25"/>
  <c r="Q12" i="28"/>
  <c r="R12" i="28"/>
  <c r="O58" i="28"/>
  <c r="AG58" i="28"/>
  <c r="O60" i="28"/>
  <c r="AG60" i="28"/>
  <c r="AF60" i="28"/>
  <c r="N82" i="28"/>
  <c r="O70" i="28"/>
  <c r="AG70" i="28"/>
  <c r="AF70" i="28"/>
  <c r="AG72" i="28"/>
  <c r="AF72" i="28"/>
  <c r="O72" i="28"/>
  <c r="O74" i="28"/>
  <c r="AG74" i="28"/>
  <c r="AF74" i="28"/>
  <c r="O99" i="28"/>
  <c r="AG99" i="28"/>
  <c r="AF99" i="28"/>
  <c r="R109" i="28"/>
  <c r="Q109" i="28"/>
  <c r="AF102" i="25"/>
  <c r="AF128" i="25"/>
  <c r="K91" i="27"/>
  <c r="L82" i="27"/>
  <c r="L91" i="27" s="1"/>
  <c r="R9" i="28"/>
  <c r="Q9" i="28"/>
  <c r="O22" i="28"/>
  <c r="AG22" i="28"/>
  <c r="AF22" i="28"/>
  <c r="O34" i="28"/>
  <c r="AG34" i="28"/>
  <c r="AF34" i="28"/>
  <c r="N95" i="28"/>
  <c r="O83" i="28"/>
  <c r="AF83" i="28"/>
  <c r="Q98" i="28"/>
  <c r="R98" i="28"/>
  <c r="O112" i="28"/>
  <c r="AG112" i="28"/>
  <c r="AF112" i="28"/>
  <c r="R122" i="28"/>
  <c r="Q122" i="28"/>
  <c r="R138" i="28"/>
  <c r="Q138" i="28"/>
  <c r="R140" i="28"/>
  <c r="Q140" i="28"/>
  <c r="R148" i="28"/>
  <c r="Q148" i="28"/>
  <c r="O151" i="28"/>
  <c r="AG151" i="28"/>
  <c r="AF151" i="28"/>
  <c r="N173" i="28"/>
  <c r="AG161" i="28"/>
  <c r="AF161" i="28"/>
  <c r="AG45" i="25"/>
  <c r="AG96" i="25"/>
  <c r="AG109" i="25"/>
  <c r="AG122" i="25"/>
  <c r="N134" i="25"/>
  <c r="AG138" i="25"/>
  <c r="L75" i="27"/>
  <c r="N17" i="28"/>
  <c r="O36" i="28"/>
  <c r="AG36" i="28"/>
  <c r="R73" i="28"/>
  <c r="Q73" i="28"/>
  <c r="O85" i="28"/>
  <c r="AG85" i="28"/>
  <c r="AF85" i="28"/>
  <c r="Q124" i="28"/>
  <c r="R124" i="28"/>
  <c r="R129" i="28"/>
  <c r="Q129" i="28"/>
  <c r="AF138" i="28"/>
  <c r="AG138" i="28"/>
  <c r="N160" i="28"/>
  <c r="AG148" i="28"/>
  <c r="AF148" i="28"/>
  <c r="O163" i="28"/>
  <c r="AG163" i="28"/>
  <c r="AF163" i="28"/>
  <c r="AF97" i="25"/>
  <c r="AF110" i="25"/>
  <c r="AF123" i="25"/>
  <c r="AF140" i="25"/>
  <c r="AF163" i="25"/>
  <c r="K100" i="27"/>
  <c r="R21" i="28"/>
  <c r="Q21" i="28"/>
  <c r="R33" i="28"/>
  <c r="Q33" i="28"/>
  <c r="AF36" i="28"/>
  <c r="R45" i="28"/>
  <c r="Q45" i="28"/>
  <c r="N69" i="28"/>
  <c r="AG57" i="28"/>
  <c r="AF57" i="28"/>
  <c r="O59" i="28"/>
  <c r="AG59" i="28"/>
  <c r="AF59" i="28"/>
  <c r="R75" i="28"/>
  <c r="Q75" i="28"/>
  <c r="AG83" i="28"/>
  <c r="R97" i="28"/>
  <c r="Q97" i="28"/>
  <c r="O100" i="28"/>
  <c r="AG100" i="28"/>
  <c r="AF100" i="28"/>
  <c r="R103" i="28"/>
  <c r="Q103" i="28"/>
  <c r="Q162" i="28"/>
  <c r="R162" i="28"/>
  <c r="AG97" i="25"/>
  <c r="AF98" i="25"/>
  <c r="AG110" i="25"/>
  <c r="AF111" i="25"/>
  <c r="AG123" i="25"/>
  <c r="AF124" i="25"/>
  <c r="AF141" i="25"/>
  <c r="AF149" i="25"/>
  <c r="AF164" i="25"/>
  <c r="O18" i="28"/>
  <c r="AG18" i="28"/>
  <c r="AF18" i="28"/>
  <c r="N30" i="28"/>
  <c r="R23" i="28"/>
  <c r="Q23" i="28"/>
  <c r="R35" i="28"/>
  <c r="Q35" i="28"/>
  <c r="R51" i="28"/>
  <c r="Q51" i="28"/>
  <c r="Z2" i="28"/>
  <c r="R110" i="28"/>
  <c r="Q110" i="28"/>
  <c r="O113" i="28"/>
  <c r="AG113" i="28"/>
  <c r="AF113" i="28"/>
  <c r="O139" i="28"/>
  <c r="AG139" i="28"/>
  <c r="AF139" i="28"/>
  <c r="O150" i="28"/>
  <c r="AG150" i="28"/>
  <c r="AF150" i="28"/>
  <c r="N108" i="25"/>
  <c r="N121" i="25"/>
  <c r="AF135" i="25"/>
  <c r="L101" i="27"/>
  <c r="L111" i="27" s="1"/>
  <c r="O10" i="28"/>
  <c r="AG10" i="28"/>
  <c r="AF10" i="28"/>
  <c r="O47" i="28"/>
  <c r="AG47" i="28"/>
  <c r="AF47" i="28"/>
  <c r="R123" i="28"/>
  <c r="Q123" i="28"/>
  <c r="O126" i="28"/>
  <c r="AG126" i="28"/>
  <c r="AF126" i="28"/>
  <c r="Q141" i="28"/>
  <c r="R141" i="28"/>
  <c r="Q149" i="28"/>
  <c r="R149" i="28"/>
  <c r="AG135" i="25"/>
  <c r="O37" i="28"/>
  <c r="AG37" i="28"/>
  <c r="AF37" i="28"/>
  <c r="O84" i="28"/>
  <c r="AG84" i="28"/>
  <c r="AF84" i="28"/>
  <c r="R96" i="28"/>
  <c r="Q96" i="28"/>
  <c r="O135" i="28"/>
  <c r="N147" i="28"/>
  <c r="AG135" i="28"/>
  <c r="AF135" i="28"/>
  <c r="AG137" i="28"/>
  <c r="AF137" i="28"/>
  <c r="O137" i="28"/>
  <c r="O173" i="28"/>
  <c r="R161" i="28"/>
  <c r="Q161" i="28"/>
  <c r="O164" i="28"/>
  <c r="AG164" i="28"/>
  <c r="AF164" i="28"/>
  <c r="O7" i="28"/>
  <c r="O19" i="28"/>
  <c r="AG44" i="28"/>
  <c r="O49" i="28"/>
  <c r="O61" i="28"/>
  <c r="O71" i="28"/>
  <c r="AG96" i="28"/>
  <c r="O101" i="28"/>
  <c r="AG109" i="28"/>
  <c r="AG122" i="28"/>
  <c r="O127" i="28"/>
  <c r="N134" i="28"/>
  <c r="O136" i="28"/>
  <c r="O165" i="28"/>
  <c r="AF11" i="28"/>
  <c r="AF35" i="28"/>
  <c r="AF45" i="28"/>
  <c r="AF75" i="28"/>
  <c r="AF97" i="28"/>
  <c r="AF110" i="28"/>
  <c r="AF123" i="28"/>
  <c r="O128" i="28"/>
  <c r="AF140" i="28"/>
  <c r="AG5" i="28"/>
  <c r="N108" i="28"/>
  <c r="N121" i="28"/>
  <c r="O5" i="28"/>
  <c r="O44" i="28"/>
  <c r="O56" i="28" s="1"/>
  <c r="R56" i="28" s="1"/>
  <c r="S44" i="28" s="1"/>
  <c r="N56" i="28"/>
  <c r="AF7" i="28"/>
  <c r="AF19" i="28"/>
  <c r="AF49" i="28"/>
  <c r="AF61" i="28"/>
  <c r="AF71" i="28"/>
  <c r="AF101" i="28"/>
  <c r="AF127" i="28"/>
  <c r="AF136" i="28"/>
  <c r="AF165" i="28"/>
  <c r="F8" i="23"/>
  <c r="J124" i="22"/>
  <c r="P123" i="22"/>
  <c r="H123" i="22"/>
  <c r="P122" i="22"/>
  <c r="P119" i="22"/>
  <c r="H119" i="22"/>
  <c r="P118" i="22"/>
  <c r="H118" i="22"/>
  <c r="P117" i="22"/>
  <c r="H117" i="22"/>
  <c r="P116" i="22"/>
  <c r="H116" i="22"/>
  <c r="P115" i="22"/>
  <c r="H115" i="22"/>
  <c r="P114" i="22"/>
  <c r="H114" i="22"/>
  <c r="P113" i="22"/>
  <c r="K113" i="22"/>
  <c r="L113" i="22" s="1"/>
  <c r="H113" i="22"/>
  <c r="P112" i="22"/>
  <c r="K112" i="22" s="1"/>
  <c r="K124" i="22" s="1"/>
  <c r="H112" i="22"/>
  <c r="J111" i="22"/>
  <c r="P110" i="22"/>
  <c r="H110" i="22"/>
  <c r="P109" i="22"/>
  <c r="H109" i="22"/>
  <c r="P108" i="22"/>
  <c r="H108" i="22"/>
  <c r="P107" i="22"/>
  <c r="H107" i="22"/>
  <c r="P106" i="22"/>
  <c r="H106" i="22"/>
  <c r="P105" i="22"/>
  <c r="K105" i="22" s="1"/>
  <c r="L105" i="22" s="1"/>
  <c r="H105" i="22"/>
  <c r="P104" i="22"/>
  <c r="K104" i="22" s="1"/>
  <c r="L104" i="22" s="1"/>
  <c r="H104" i="22"/>
  <c r="P103" i="22"/>
  <c r="K103" i="22" s="1"/>
  <c r="L103" i="22" s="1"/>
  <c r="H103" i="22"/>
  <c r="P102" i="22"/>
  <c r="K102" i="22" s="1"/>
  <c r="L102" i="22" s="1"/>
  <c r="H102" i="22"/>
  <c r="P101" i="22"/>
  <c r="K101" i="22"/>
  <c r="H101" i="22"/>
  <c r="J100" i="22"/>
  <c r="H99" i="22"/>
  <c r="H97" i="22"/>
  <c r="H96" i="22"/>
  <c r="P95" i="22"/>
  <c r="H95" i="22"/>
  <c r="P94" i="22"/>
  <c r="H94" i="22"/>
  <c r="P93" i="22"/>
  <c r="K93" i="22" s="1"/>
  <c r="L93" i="22" s="1"/>
  <c r="H93" i="22"/>
  <c r="P92" i="22"/>
  <c r="K92" i="22" s="1"/>
  <c r="H92" i="22"/>
  <c r="J91" i="22"/>
  <c r="P90" i="22"/>
  <c r="H90" i="22"/>
  <c r="P89" i="22"/>
  <c r="H89" i="22"/>
  <c r="H88" i="22"/>
  <c r="P87" i="22"/>
  <c r="K87" i="22" s="1"/>
  <c r="H87" i="22"/>
  <c r="P86" i="22"/>
  <c r="K86" i="22" s="1"/>
  <c r="L86" i="22" s="1"/>
  <c r="H86" i="22"/>
  <c r="P85" i="22"/>
  <c r="K85" i="22" s="1"/>
  <c r="L85" i="22" s="1"/>
  <c r="H85" i="22"/>
  <c r="P84" i="22"/>
  <c r="K84" i="22" s="1"/>
  <c r="L84" i="22" s="1"/>
  <c r="H84" i="22"/>
  <c r="P83" i="22"/>
  <c r="K83" i="22"/>
  <c r="L83" i="22" s="1"/>
  <c r="H83" i="22"/>
  <c r="P82" i="22"/>
  <c r="K82" i="22" s="1"/>
  <c r="H82" i="22"/>
  <c r="L81" i="22"/>
  <c r="K81" i="22"/>
  <c r="J81" i="22"/>
  <c r="P80" i="22"/>
  <c r="H80" i="22"/>
  <c r="P79" i="22"/>
  <c r="H79" i="22"/>
  <c r="P78" i="22"/>
  <c r="H78" i="22"/>
  <c r="P77" i="22"/>
  <c r="H77" i="22"/>
  <c r="P76" i="22"/>
  <c r="H76" i="22"/>
  <c r="J75" i="22"/>
  <c r="P74" i="22"/>
  <c r="H74" i="22"/>
  <c r="P73" i="22"/>
  <c r="H73" i="22"/>
  <c r="P72" i="22"/>
  <c r="H72" i="22"/>
  <c r="P71" i="22"/>
  <c r="K71" i="22" s="1"/>
  <c r="L71" i="22" s="1"/>
  <c r="H71" i="22"/>
  <c r="P70" i="22"/>
  <c r="K70" i="22" s="1"/>
  <c r="L70" i="22" s="1"/>
  <c r="H70" i="22"/>
  <c r="P69" i="22"/>
  <c r="K69" i="22" s="1"/>
  <c r="L69" i="22" s="1"/>
  <c r="H69" i="22"/>
  <c r="P68" i="22"/>
  <c r="K68" i="22" s="1"/>
  <c r="L68" i="22" s="1"/>
  <c r="H68" i="22"/>
  <c r="P67" i="22"/>
  <c r="K67" i="22" s="1"/>
  <c r="L67" i="22" s="1"/>
  <c r="H67" i="22"/>
  <c r="P66" i="22"/>
  <c r="K66" i="22" s="1"/>
  <c r="L66" i="22" s="1"/>
  <c r="H66" i="22"/>
  <c r="P65" i="22"/>
  <c r="K65" i="22"/>
  <c r="H65" i="22"/>
  <c r="L64" i="22"/>
  <c r="K64" i="22"/>
  <c r="J64" i="22"/>
  <c r="P63" i="22"/>
  <c r="H63" i="22"/>
  <c r="P62" i="22"/>
  <c r="H62" i="22"/>
  <c r="P61" i="22"/>
  <c r="H61" i="22"/>
  <c r="P60" i="22"/>
  <c r="H60" i="22"/>
  <c r="P59" i="22"/>
  <c r="H59" i="22"/>
  <c r="P58" i="22"/>
  <c r="H58" i="22"/>
  <c r="P57" i="22"/>
  <c r="H57" i="22"/>
  <c r="P56" i="22"/>
  <c r="H56" i="22"/>
  <c r="P55" i="22"/>
  <c r="H55" i="22"/>
  <c r="P54" i="22"/>
  <c r="H54" i="22"/>
  <c r="P53" i="22"/>
  <c r="H53" i="22"/>
  <c r="P52" i="22"/>
  <c r="H52" i="22"/>
  <c r="J51" i="22"/>
  <c r="P50" i="22"/>
  <c r="H50" i="22"/>
  <c r="P49" i="22"/>
  <c r="H49" i="22"/>
  <c r="P48" i="22"/>
  <c r="P47" i="22"/>
  <c r="H47" i="22"/>
  <c r="P46" i="22"/>
  <c r="H46" i="22"/>
  <c r="P45" i="22"/>
  <c r="H45" i="22"/>
  <c r="P44" i="22"/>
  <c r="H44" i="22"/>
  <c r="P43" i="22"/>
  <c r="H43" i="22"/>
  <c r="P42" i="22"/>
  <c r="K42" i="22" s="1"/>
  <c r="L42" i="22" s="1"/>
  <c r="H42" i="22"/>
  <c r="P41" i="22"/>
  <c r="K41" i="22"/>
  <c r="L41" i="22" s="1"/>
  <c r="H41" i="22"/>
  <c r="P40" i="22"/>
  <c r="K40" i="22" s="1"/>
  <c r="L40" i="22" s="1"/>
  <c r="H40" i="22"/>
  <c r="P39" i="22"/>
  <c r="K39" i="22"/>
  <c r="L39" i="22" s="1"/>
  <c r="H39" i="22"/>
  <c r="J38" i="22"/>
  <c r="P37" i="22"/>
  <c r="H37" i="22"/>
  <c r="P36" i="22"/>
  <c r="H36" i="22"/>
  <c r="P35" i="22"/>
  <c r="H35" i="22"/>
  <c r="P34" i="22"/>
  <c r="H34" i="22"/>
  <c r="P33" i="22"/>
  <c r="H33" i="22"/>
  <c r="P32" i="22"/>
  <c r="H32" i="22"/>
  <c r="P31" i="22"/>
  <c r="H31" i="22"/>
  <c r="P30" i="22"/>
  <c r="H30" i="22"/>
  <c r="P29" i="22"/>
  <c r="H29" i="22"/>
  <c r="P28" i="22"/>
  <c r="K28" i="22" s="1"/>
  <c r="L28" i="22" s="1"/>
  <c r="H28" i="22"/>
  <c r="P27" i="22"/>
  <c r="K27" i="22" s="1"/>
  <c r="L27" i="22" s="1"/>
  <c r="H27" i="22"/>
  <c r="P26" i="22"/>
  <c r="K26" i="22"/>
  <c r="L26" i="22" s="1"/>
  <c r="H26" i="22"/>
  <c r="P25" i="22"/>
  <c r="K25" i="22" s="1"/>
  <c r="H25" i="22"/>
  <c r="J24" i="22"/>
  <c r="P23" i="22"/>
  <c r="H23" i="22"/>
  <c r="P22" i="22"/>
  <c r="H22" i="22"/>
  <c r="P21" i="22"/>
  <c r="H21" i="22"/>
  <c r="P20" i="22"/>
  <c r="H20" i="22"/>
  <c r="H19" i="22"/>
  <c r="P18" i="22"/>
  <c r="K18" i="22" s="1"/>
  <c r="L18" i="22" s="1"/>
  <c r="H18" i="22"/>
  <c r="P17" i="22"/>
  <c r="K17" i="22" s="1"/>
  <c r="K24" i="22" s="1"/>
  <c r="H17" i="22"/>
  <c r="J16" i="22"/>
  <c r="P15" i="22"/>
  <c r="H15" i="22"/>
  <c r="P14" i="22"/>
  <c r="K14" i="22" s="1"/>
  <c r="L14" i="22" s="1"/>
  <c r="H14" i="22"/>
  <c r="P13" i="22"/>
  <c r="K13" i="22"/>
  <c r="L13" i="22" s="1"/>
  <c r="H13" i="22"/>
  <c r="P12" i="22"/>
  <c r="K12" i="22" s="1"/>
  <c r="L12" i="22" s="1"/>
  <c r="H12" i="22"/>
  <c r="P11" i="22"/>
  <c r="K11" i="22" s="1"/>
  <c r="L11" i="22" s="1"/>
  <c r="H11" i="22"/>
  <c r="P10" i="22"/>
  <c r="K10" i="22" s="1"/>
  <c r="L10" i="22" s="1"/>
  <c r="H10" i="22"/>
  <c r="P9" i="22"/>
  <c r="K9" i="22"/>
  <c r="L9" i="22" s="1"/>
  <c r="H9" i="22"/>
  <c r="P8" i="22"/>
  <c r="K8" i="22" s="1"/>
  <c r="L8" i="22" s="1"/>
  <c r="H8" i="22"/>
  <c r="P7" i="22"/>
  <c r="L7" i="22"/>
  <c r="K7" i="22"/>
  <c r="H7" i="22"/>
  <c r="P6" i="22"/>
  <c r="K6" i="22" s="1"/>
  <c r="L6" i="22" s="1"/>
  <c r="H6" i="22"/>
  <c r="P5" i="22"/>
  <c r="K5" i="22" s="1"/>
  <c r="L5" i="22" s="1"/>
  <c r="L16" i="22" s="1"/>
  <c r="H5" i="22"/>
  <c r="I2" i="22"/>
  <c r="E1" i="22"/>
  <c r="J124" i="21"/>
  <c r="P123" i="21"/>
  <c r="H123" i="21"/>
  <c r="P122" i="21"/>
  <c r="P119" i="21"/>
  <c r="H119" i="21"/>
  <c r="P118" i="21"/>
  <c r="H118" i="21"/>
  <c r="P117" i="21"/>
  <c r="H117" i="21"/>
  <c r="P116" i="21"/>
  <c r="H116" i="21"/>
  <c r="P115" i="21"/>
  <c r="H115" i="21"/>
  <c r="P114" i="21"/>
  <c r="H114" i="21"/>
  <c r="P113" i="21"/>
  <c r="K113" i="21" s="1"/>
  <c r="L113" i="21" s="1"/>
  <c r="H113" i="21"/>
  <c r="P112" i="21"/>
  <c r="K112" i="21" s="1"/>
  <c r="H112" i="21"/>
  <c r="J111" i="21"/>
  <c r="P110" i="21"/>
  <c r="H110" i="21"/>
  <c r="P109" i="21"/>
  <c r="H109" i="21"/>
  <c r="P108" i="21"/>
  <c r="H108" i="21"/>
  <c r="P107" i="21"/>
  <c r="H107" i="21"/>
  <c r="P106" i="21"/>
  <c r="H106" i="21"/>
  <c r="P105" i="21"/>
  <c r="K105" i="21" s="1"/>
  <c r="L105" i="21" s="1"/>
  <c r="H105" i="21"/>
  <c r="P104" i="21"/>
  <c r="K104" i="21" s="1"/>
  <c r="L104" i="21" s="1"/>
  <c r="H104" i="21"/>
  <c r="P103" i="21"/>
  <c r="K103" i="21" s="1"/>
  <c r="L103" i="21" s="1"/>
  <c r="H103" i="21"/>
  <c r="P102" i="21"/>
  <c r="K102" i="21" s="1"/>
  <c r="L102" i="21" s="1"/>
  <c r="H102" i="21"/>
  <c r="P101" i="21"/>
  <c r="K101" i="21" s="1"/>
  <c r="K111" i="21" s="1"/>
  <c r="H101" i="21"/>
  <c r="J100" i="21"/>
  <c r="H99" i="21"/>
  <c r="H97" i="21"/>
  <c r="H96" i="21"/>
  <c r="P95" i="21"/>
  <c r="H95" i="21"/>
  <c r="P94" i="21"/>
  <c r="H94" i="21"/>
  <c r="P93" i="21"/>
  <c r="K93" i="21" s="1"/>
  <c r="L93" i="21" s="1"/>
  <c r="H93" i="21"/>
  <c r="P92" i="21"/>
  <c r="K92" i="21" s="1"/>
  <c r="H92" i="21"/>
  <c r="J91" i="21"/>
  <c r="P90" i="21"/>
  <c r="H90" i="21"/>
  <c r="P89" i="21"/>
  <c r="H89" i="21"/>
  <c r="P87" i="21"/>
  <c r="H87" i="21"/>
  <c r="P86" i="21"/>
  <c r="K86" i="21"/>
  <c r="L86" i="21" s="1"/>
  <c r="H86" i="21"/>
  <c r="P85" i="21"/>
  <c r="K85" i="21" s="1"/>
  <c r="L85" i="21" s="1"/>
  <c r="H85" i="21"/>
  <c r="P84" i="21"/>
  <c r="K84" i="21"/>
  <c r="L84" i="21" s="1"/>
  <c r="H84" i="21"/>
  <c r="P83" i="21"/>
  <c r="K83" i="21" s="1"/>
  <c r="L83" i="21" s="1"/>
  <c r="H83" i="21"/>
  <c r="P82" i="21"/>
  <c r="K82" i="21"/>
  <c r="H82" i="21"/>
  <c r="L81" i="21"/>
  <c r="K81" i="21"/>
  <c r="J81" i="21"/>
  <c r="P80" i="21"/>
  <c r="H80" i="21"/>
  <c r="P79" i="21"/>
  <c r="H79" i="21"/>
  <c r="P78" i="21"/>
  <c r="H78" i="21"/>
  <c r="P77" i="21"/>
  <c r="H77" i="21"/>
  <c r="P76" i="21"/>
  <c r="H76" i="21"/>
  <c r="J75" i="21"/>
  <c r="P74" i="21"/>
  <c r="H74" i="21"/>
  <c r="P73" i="21"/>
  <c r="H73" i="21"/>
  <c r="P72" i="21"/>
  <c r="H72" i="21"/>
  <c r="P71" i="21"/>
  <c r="K71" i="21" s="1"/>
  <c r="L71" i="21" s="1"/>
  <c r="H71" i="21"/>
  <c r="P70" i="21"/>
  <c r="K70" i="21" s="1"/>
  <c r="L70" i="21" s="1"/>
  <c r="H70" i="21"/>
  <c r="P69" i="21"/>
  <c r="K69" i="21" s="1"/>
  <c r="L69" i="21" s="1"/>
  <c r="H69" i="21"/>
  <c r="P68" i="21"/>
  <c r="L68" i="21"/>
  <c r="K68" i="21"/>
  <c r="H68" i="21"/>
  <c r="P67" i="21"/>
  <c r="K67" i="21" s="1"/>
  <c r="L67" i="21" s="1"/>
  <c r="H67" i="21"/>
  <c r="P66" i="21"/>
  <c r="K66" i="21" s="1"/>
  <c r="L66" i="21" s="1"/>
  <c r="H66" i="21"/>
  <c r="P65" i="21"/>
  <c r="K65" i="21" s="1"/>
  <c r="H65" i="21"/>
  <c r="L64" i="21"/>
  <c r="K64" i="21"/>
  <c r="J64" i="21"/>
  <c r="P63" i="21"/>
  <c r="H63" i="21"/>
  <c r="P62" i="21"/>
  <c r="H62" i="21"/>
  <c r="P61" i="21"/>
  <c r="H61" i="21"/>
  <c r="P60" i="21"/>
  <c r="H60" i="21"/>
  <c r="P59" i="21"/>
  <c r="H59" i="21"/>
  <c r="P58" i="21"/>
  <c r="H58" i="21"/>
  <c r="P57" i="21"/>
  <c r="H57" i="21"/>
  <c r="P56" i="21"/>
  <c r="H56" i="21"/>
  <c r="P55" i="21"/>
  <c r="H55" i="21"/>
  <c r="P54" i="21"/>
  <c r="H54" i="21"/>
  <c r="P53" i="21"/>
  <c r="H53" i="21"/>
  <c r="P52" i="21"/>
  <c r="H52" i="21"/>
  <c r="J51" i="21"/>
  <c r="P50" i="21"/>
  <c r="H50" i="21"/>
  <c r="P49" i="21"/>
  <c r="H49" i="21"/>
  <c r="P48" i="21"/>
  <c r="P47" i="21"/>
  <c r="H47" i="21"/>
  <c r="P46" i="21"/>
  <c r="H46" i="21"/>
  <c r="P45" i="21"/>
  <c r="H45" i="21"/>
  <c r="P44" i="21"/>
  <c r="H44" i="21"/>
  <c r="P43" i="21"/>
  <c r="H43" i="21"/>
  <c r="P42" i="21"/>
  <c r="K42" i="21" s="1"/>
  <c r="L42" i="21" s="1"/>
  <c r="H42" i="21"/>
  <c r="P41" i="21"/>
  <c r="K41" i="21" s="1"/>
  <c r="L41" i="21" s="1"/>
  <c r="H41" i="21"/>
  <c r="P40" i="21"/>
  <c r="K40" i="21" s="1"/>
  <c r="L40" i="21" s="1"/>
  <c r="H40" i="21"/>
  <c r="P39" i="21"/>
  <c r="K39" i="21"/>
  <c r="L39" i="21" s="1"/>
  <c r="H39" i="21"/>
  <c r="J38" i="21"/>
  <c r="P37" i="21"/>
  <c r="H37" i="21"/>
  <c r="P36" i="21"/>
  <c r="H36" i="21"/>
  <c r="P35" i="21"/>
  <c r="H35" i="21"/>
  <c r="P34" i="21"/>
  <c r="H34" i="21"/>
  <c r="P33" i="21"/>
  <c r="H33" i="21"/>
  <c r="P32" i="21"/>
  <c r="H32" i="21"/>
  <c r="P31" i="21"/>
  <c r="H31" i="21"/>
  <c r="P30" i="21"/>
  <c r="H30" i="21"/>
  <c r="P29" i="21"/>
  <c r="H29" i="21"/>
  <c r="P28" i="21"/>
  <c r="K28" i="21" s="1"/>
  <c r="L28" i="21" s="1"/>
  <c r="H28" i="21"/>
  <c r="P27" i="21"/>
  <c r="K27" i="21"/>
  <c r="L27" i="21" s="1"/>
  <c r="H27" i="21"/>
  <c r="P26" i="21"/>
  <c r="K26" i="21" s="1"/>
  <c r="L26" i="21" s="1"/>
  <c r="H26" i="21"/>
  <c r="P25" i="21"/>
  <c r="K25" i="21"/>
  <c r="H25" i="21"/>
  <c r="J24" i="21"/>
  <c r="P23" i="21"/>
  <c r="H23" i="21"/>
  <c r="P22" i="21"/>
  <c r="H22" i="21"/>
  <c r="P21" i="21"/>
  <c r="H21" i="21"/>
  <c r="P20" i="21"/>
  <c r="H20" i="21"/>
  <c r="H19" i="21"/>
  <c r="P18" i="21"/>
  <c r="K18" i="21" s="1"/>
  <c r="L18" i="21" s="1"/>
  <c r="H18" i="21"/>
  <c r="P17" i="21"/>
  <c r="K17" i="21" s="1"/>
  <c r="L17" i="21" s="1"/>
  <c r="L24" i="21" s="1"/>
  <c r="H17" i="21"/>
  <c r="J16" i="21"/>
  <c r="I1" i="21" s="1"/>
  <c r="P15" i="21"/>
  <c r="H15" i="21"/>
  <c r="P14" i="21"/>
  <c r="K14" i="21" s="1"/>
  <c r="L14" i="21" s="1"/>
  <c r="H14" i="21"/>
  <c r="P13" i="21"/>
  <c r="K13" i="21" s="1"/>
  <c r="L13" i="21" s="1"/>
  <c r="H13" i="21"/>
  <c r="P12" i="21"/>
  <c r="K12" i="21" s="1"/>
  <c r="L12" i="21" s="1"/>
  <c r="H12" i="21"/>
  <c r="P11" i="21"/>
  <c r="K11" i="21" s="1"/>
  <c r="L11" i="21" s="1"/>
  <c r="H11" i="21"/>
  <c r="P10" i="21"/>
  <c r="K10" i="21" s="1"/>
  <c r="L10" i="21" s="1"/>
  <c r="H10" i="21"/>
  <c r="P9" i="21"/>
  <c r="K9" i="21" s="1"/>
  <c r="L9" i="21" s="1"/>
  <c r="H9" i="21"/>
  <c r="P8" i="21"/>
  <c r="K8" i="21" s="1"/>
  <c r="L8" i="21" s="1"/>
  <c r="H8" i="21"/>
  <c r="P7" i="21"/>
  <c r="K7" i="21"/>
  <c r="L7" i="21" s="1"/>
  <c r="H7" i="21"/>
  <c r="P6" i="21"/>
  <c r="K6" i="21" s="1"/>
  <c r="L6" i="21" s="1"/>
  <c r="H6" i="21"/>
  <c r="P5" i="21"/>
  <c r="K5" i="21"/>
  <c r="L5" i="21" s="1"/>
  <c r="H5" i="21"/>
  <c r="I2" i="21"/>
  <c r="E1" i="21"/>
  <c r="J124" i="20"/>
  <c r="P123" i="20"/>
  <c r="H123" i="20"/>
  <c r="P122" i="20"/>
  <c r="P119" i="20"/>
  <c r="H119" i="20"/>
  <c r="P118" i="20"/>
  <c r="H118" i="20"/>
  <c r="P117" i="20"/>
  <c r="H117" i="20"/>
  <c r="P116" i="20"/>
  <c r="H116" i="20"/>
  <c r="P115" i="20"/>
  <c r="H115" i="20"/>
  <c r="P114" i="20"/>
  <c r="H114" i="20"/>
  <c r="P113" i="20"/>
  <c r="K113" i="20" s="1"/>
  <c r="L113" i="20" s="1"/>
  <c r="H113" i="20"/>
  <c r="P112" i="20"/>
  <c r="K112" i="20" s="1"/>
  <c r="H112" i="20"/>
  <c r="J111" i="20"/>
  <c r="P110" i="20"/>
  <c r="H110" i="20"/>
  <c r="P109" i="20"/>
  <c r="H109" i="20"/>
  <c r="P108" i="20"/>
  <c r="H108" i="20"/>
  <c r="P107" i="20"/>
  <c r="H107" i="20"/>
  <c r="P106" i="20"/>
  <c r="H106" i="20"/>
  <c r="P105" i="20"/>
  <c r="K105" i="20" s="1"/>
  <c r="L105" i="20" s="1"/>
  <c r="H105" i="20"/>
  <c r="P104" i="20"/>
  <c r="K104" i="20" s="1"/>
  <c r="L104" i="20" s="1"/>
  <c r="H104" i="20"/>
  <c r="P103" i="20"/>
  <c r="K103" i="20" s="1"/>
  <c r="L103" i="20" s="1"/>
  <c r="H103" i="20"/>
  <c r="P102" i="20"/>
  <c r="L102" i="20"/>
  <c r="K102" i="20"/>
  <c r="H102" i="20"/>
  <c r="P101" i="20"/>
  <c r="K101" i="20" s="1"/>
  <c r="H101" i="20"/>
  <c r="J100" i="20"/>
  <c r="H99" i="20"/>
  <c r="H97" i="20"/>
  <c r="H96" i="20"/>
  <c r="P95" i="20"/>
  <c r="H95" i="20"/>
  <c r="P94" i="20"/>
  <c r="H94" i="20"/>
  <c r="P93" i="20"/>
  <c r="K93" i="20" s="1"/>
  <c r="H93" i="20"/>
  <c r="P92" i="20"/>
  <c r="L92" i="20"/>
  <c r="K92" i="20"/>
  <c r="H92" i="20"/>
  <c r="J91" i="20"/>
  <c r="P90" i="20"/>
  <c r="H90" i="20"/>
  <c r="P89" i="20"/>
  <c r="H89" i="20"/>
  <c r="P87" i="20"/>
  <c r="H87" i="20"/>
  <c r="P86" i="20"/>
  <c r="K86" i="20" s="1"/>
  <c r="L86" i="20" s="1"/>
  <c r="H86" i="20"/>
  <c r="P85" i="20"/>
  <c r="K85" i="20" s="1"/>
  <c r="L85" i="20" s="1"/>
  <c r="H85" i="20"/>
  <c r="P84" i="20"/>
  <c r="L84" i="20"/>
  <c r="K84" i="20"/>
  <c r="H84" i="20"/>
  <c r="P83" i="20"/>
  <c r="K83" i="20" s="1"/>
  <c r="L83" i="20" s="1"/>
  <c r="H83" i="20"/>
  <c r="P82" i="20"/>
  <c r="K82" i="20" s="1"/>
  <c r="H82" i="20"/>
  <c r="L81" i="20"/>
  <c r="K81" i="20"/>
  <c r="J81" i="20"/>
  <c r="P80" i="20"/>
  <c r="H80" i="20"/>
  <c r="P79" i="20"/>
  <c r="H79" i="20"/>
  <c r="P78" i="20"/>
  <c r="H78" i="20"/>
  <c r="P77" i="20"/>
  <c r="H77" i="20"/>
  <c r="P76" i="20"/>
  <c r="H76" i="20"/>
  <c r="J75" i="20"/>
  <c r="P74" i="20"/>
  <c r="H74" i="20"/>
  <c r="P73" i="20"/>
  <c r="H73" i="20"/>
  <c r="P72" i="20"/>
  <c r="H72" i="20"/>
  <c r="P71" i="20"/>
  <c r="K71" i="20" s="1"/>
  <c r="L71" i="20" s="1"/>
  <c r="H71" i="20"/>
  <c r="P70" i="20"/>
  <c r="K70" i="20"/>
  <c r="L70" i="20" s="1"/>
  <c r="H70" i="20"/>
  <c r="P69" i="20"/>
  <c r="K69" i="20" s="1"/>
  <c r="L69" i="20" s="1"/>
  <c r="H69" i="20"/>
  <c r="P68" i="20"/>
  <c r="K68" i="20"/>
  <c r="L68" i="20" s="1"/>
  <c r="H68" i="20"/>
  <c r="P67" i="20"/>
  <c r="K67" i="20" s="1"/>
  <c r="L67" i="20"/>
  <c r="H67" i="20"/>
  <c r="P66" i="20"/>
  <c r="K66" i="20" s="1"/>
  <c r="L66" i="20" s="1"/>
  <c r="H66" i="20"/>
  <c r="P65" i="20"/>
  <c r="K65" i="20" s="1"/>
  <c r="H65" i="20"/>
  <c r="L64" i="20"/>
  <c r="K64" i="20"/>
  <c r="J64" i="20"/>
  <c r="P63" i="20"/>
  <c r="H63" i="20"/>
  <c r="P62" i="20"/>
  <c r="H62" i="20"/>
  <c r="P61" i="20"/>
  <c r="H61" i="20"/>
  <c r="P60" i="20"/>
  <c r="H60" i="20"/>
  <c r="P59" i="20"/>
  <c r="H59" i="20"/>
  <c r="P58" i="20"/>
  <c r="H58" i="20"/>
  <c r="P57" i="20"/>
  <c r="H57" i="20"/>
  <c r="P56" i="20"/>
  <c r="H56" i="20"/>
  <c r="P55" i="20"/>
  <c r="H55" i="20"/>
  <c r="P54" i="20"/>
  <c r="H54" i="20"/>
  <c r="P53" i="20"/>
  <c r="H53" i="20"/>
  <c r="P52" i="20"/>
  <c r="H52" i="20"/>
  <c r="J51" i="20"/>
  <c r="P50" i="20"/>
  <c r="H50" i="20"/>
  <c r="P49" i="20"/>
  <c r="H49" i="20"/>
  <c r="P48" i="20"/>
  <c r="P47" i="20"/>
  <c r="H47" i="20"/>
  <c r="P46" i="20"/>
  <c r="H46" i="20"/>
  <c r="P45" i="20"/>
  <c r="H45" i="20"/>
  <c r="P44" i="20"/>
  <c r="H44" i="20"/>
  <c r="P43" i="20"/>
  <c r="H43" i="20"/>
  <c r="P42" i="20"/>
  <c r="K42" i="20"/>
  <c r="L42" i="20" s="1"/>
  <c r="H42" i="20"/>
  <c r="P41" i="20"/>
  <c r="K41" i="20" s="1"/>
  <c r="L41" i="20" s="1"/>
  <c r="H41" i="20"/>
  <c r="P40" i="20"/>
  <c r="K40" i="20" s="1"/>
  <c r="L40" i="20" s="1"/>
  <c r="H40" i="20"/>
  <c r="P39" i="20"/>
  <c r="K39" i="20" s="1"/>
  <c r="H39" i="20"/>
  <c r="J38" i="20"/>
  <c r="I1" i="20" s="1"/>
  <c r="P37" i="20"/>
  <c r="H37" i="20"/>
  <c r="P36" i="20"/>
  <c r="H36" i="20"/>
  <c r="P35" i="20"/>
  <c r="H35" i="20"/>
  <c r="P34" i="20"/>
  <c r="H34" i="20"/>
  <c r="P33" i="20"/>
  <c r="H33" i="20"/>
  <c r="P32" i="20"/>
  <c r="H32" i="20"/>
  <c r="P31" i="20"/>
  <c r="H31" i="20"/>
  <c r="P30" i="20"/>
  <c r="H30" i="20"/>
  <c r="P29" i="20"/>
  <c r="H29" i="20"/>
  <c r="P28" i="20"/>
  <c r="K28" i="20" s="1"/>
  <c r="L28" i="20" s="1"/>
  <c r="H28" i="20"/>
  <c r="P27" i="20"/>
  <c r="K27" i="20" s="1"/>
  <c r="L27" i="20" s="1"/>
  <c r="H27" i="20"/>
  <c r="P26" i="20"/>
  <c r="K26" i="20" s="1"/>
  <c r="L26" i="20" s="1"/>
  <c r="H26" i="20"/>
  <c r="P25" i="20"/>
  <c r="K25" i="20" s="1"/>
  <c r="H25" i="20"/>
  <c r="J24" i="20"/>
  <c r="P23" i="20"/>
  <c r="H23" i="20"/>
  <c r="P22" i="20"/>
  <c r="H22" i="20"/>
  <c r="P21" i="20"/>
  <c r="H21" i="20"/>
  <c r="P20" i="20"/>
  <c r="H20" i="20"/>
  <c r="H19" i="20"/>
  <c r="P18" i="20"/>
  <c r="K18" i="20" s="1"/>
  <c r="L18" i="20" s="1"/>
  <c r="H18" i="20"/>
  <c r="P17" i="20"/>
  <c r="K17" i="20"/>
  <c r="L17" i="20" s="1"/>
  <c r="L24" i="20" s="1"/>
  <c r="H17" i="20"/>
  <c r="J16" i="20"/>
  <c r="P15" i="20"/>
  <c r="H15" i="20"/>
  <c r="P14" i="20"/>
  <c r="K14" i="20" s="1"/>
  <c r="L14" i="20" s="1"/>
  <c r="H14" i="20"/>
  <c r="P13" i="20"/>
  <c r="L13" i="20"/>
  <c r="K13" i="20"/>
  <c r="H13" i="20"/>
  <c r="P12" i="20"/>
  <c r="K12" i="20" s="1"/>
  <c r="L12" i="20" s="1"/>
  <c r="H12" i="20"/>
  <c r="P11" i="20"/>
  <c r="K11" i="20" s="1"/>
  <c r="L11" i="20" s="1"/>
  <c r="H11" i="20"/>
  <c r="P10" i="20"/>
  <c r="K10" i="20" s="1"/>
  <c r="L10" i="20" s="1"/>
  <c r="H10" i="20"/>
  <c r="P9" i="20"/>
  <c r="K9" i="20"/>
  <c r="L9" i="20" s="1"/>
  <c r="H9" i="20"/>
  <c r="P8" i="20"/>
  <c r="K8" i="20" s="1"/>
  <c r="L8" i="20" s="1"/>
  <c r="H8" i="20"/>
  <c r="P7" i="20"/>
  <c r="K7" i="20" s="1"/>
  <c r="L7" i="20" s="1"/>
  <c r="H7" i="20"/>
  <c r="P6" i="20"/>
  <c r="K6" i="20" s="1"/>
  <c r="L6" i="20" s="1"/>
  <c r="H6" i="20"/>
  <c r="P5" i="20"/>
  <c r="L5" i="20"/>
  <c r="K5" i="20"/>
  <c r="H5" i="20"/>
  <c r="I2" i="20"/>
  <c r="E1" i="20"/>
  <c r="J124" i="19"/>
  <c r="P123" i="19"/>
  <c r="H123" i="19"/>
  <c r="P122" i="19"/>
  <c r="P119" i="19"/>
  <c r="H119" i="19"/>
  <c r="P118" i="19"/>
  <c r="H118" i="19"/>
  <c r="P117" i="19"/>
  <c r="H117" i="19"/>
  <c r="P116" i="19"/>
  <c r="H116" i="19"/>
  <c r="P115" i="19"/>
  <c r="H115" i="19"/>
  <c r="P114" i="19"/>
  <c r="H114" i="19"/>
  <c r="P113" i="19"/>
  <c r="K113" i="19" s="1"/>
  <c r="L113" i="19" s="1"/>
  <c r="H113" i="19"/>
  <c r="P112" i="19"/>
  <c r="K112" i="19" s="1"/>
  <c r="H112" i="19"/>
  <c r="J111" i="19"/>
  <c r="P110" i="19"/>
  <c r="H110" i="19"/>
  <c r="P109" i="19"/>
  <c r="H109" i="19"/>
  <c r="P108" i="19"/>
  <c r="H108" i="19"/>
  <c r="P107" i="19"/>
  <c r="H107" i="19"/>
  <c r="P106" i="19"/>
  <c r="H106" i="19"/>
  <c r="P105" i="19"/>
  <c r="K105" i="19" s="1"/>
  <c r="L105" i="19" s="1"/>
  <c r="H105" i="19"/>
  <c r="P104" i="19"/>
  <c r="K104" i="19" s="1"/>
  <c r="L104" i="19" s="1"/>
  <c r="H104" i="19"/>
  <c r="P103" i="19"/>
  <c r="K103" i="19" s="1"/>
  <c r="L103" i="19" s="1"/>
  <c r="H103" i="19"/>
  <c r="P102" i="19"/>
  <c r="K102" i="19" s="1"/>
  <c r="L102" i="19" s="1"/>
  <c r="H102" i="19"/>
  <c r="P101" i="19"/>
  <c r="K101" i="19" s="1"/>
  <c r="H101" i="19"/>
  <c r="J100" i="19"/>
  <c r="H99" i="19"/>
  <c r="H97" i="19"/>
  <c r="H96" i="19"/>
  <c r="P95" i="19"/>
  <c r="H95" i="19"/>
  <c r="P94" i="19"/>
  <c r="H94" i="19"/>
  <c r="P93" i="19"/>
  <c r="K93" i="19" s="1"/>
  <c r="L93" i="19" s="1"/>
  <c r="H93" i="19"/>
  <c r="P92" i="19"/>
  <c r="K92" i="19" s="1"/>
  <c r="H92" i="19"/>
  <c r="J91" i="19"/>
  <c r="P90" i="19"/>
  <c r="H90" i="19"/>
  <c r="P89" i="19"/>
  <c r="H89" i="19"/>
  <c r="P87" i="19"/>
  <c r="H87" i="19"/>
  <c r="P86" i="19"/>
  <c r="K86" i="19"/>
  <c r="L86" i="19" s="1"/>
  <c r="H86" i="19"/>
  <c r="P85" i="19"/>
  <c r="K85" i="19" s="1"/>
  <c r="L85" i="19" s="1"/>
  <c r="H85" i="19"/>
  <c r="P84" i="19"/>
  <c r="K84" i="19"/>
  <c r="L84" i="19" s="1"/>
  <c r="H84" i="19"/>
  <c r="P83" i="19"/>
  <c r="K83" i="19" s="1"/>
  <c r="L83" i="19" s="1"/>
  <c r="H83" i="19"/>
  <c r="P82" i="19"/>
  <c r="K82" i="19" s="1"/>
  <c r="L82" i="19" s="1"/>
  <c r="H82" i="19"/>
  <c r="L81" i="19"/>
  <c r="K81" i="19"/>
  <c r="J81" i="19"/>
  <c r="P80" i="19"/>
  <c r="H80" i="19"/>
  <c r="P79" i="19"/>
  <c r="H79" i="19"/>
  <c r="P78" i="19"/>
  <c r="H78" i="19"/>
  <c r="P77" i="19"/>
  <c r="H77" i="19"/>
  <c r="P76" i="19"/>
  <c r="H76" i="19"/>
  <c r="J75" i="19"/>
  <c r="P74" i="19"/>
  <c r="H74" i="19"/>
  <c r="P73" i="19"/>
  <c r="H73" i="19"/>
  <c r="P72" i="19"/>
  <c r="H72" i="19"/>
  <c r="P71" i="19"/>
  <c r="K71" i="19" s="1"/>
  <c r="L71" i="19" s="1"/>
  <c r="H71" i="19"/>
  <c r="P70" i="19"/>
  <c r="K70" i="19" s="1"/>
  <c r="L70" i="19" s="1"/>
  <c r="H70" i="19"/>
  <c r="P69" i="19"/>
  <c r="K69" i="19" s="1"/>
  <c r="L69" i="19" s="1"/>
  <c r="H69" i="19"/>
  <c r="P68" i="19"/>
  <c r="K68" i="19" s="1"/>
  <c r="L68" i="19" s="1"/>
  <c r="H68" i="19"/>
  <c r="P67" i="19"/>
  <c r="K67" i="19" s="1"/>
  <c r="L67" i="19" s="1"/>
  <c r="H67" i="19"/>
  <c r="P66" i="19"/>
  <c r="K66" i="19"/>
  <c r="L66" i="19" s="1"/>
  <c r="H66" i="19"/>
  <c r="P65" i="19"/>
  <c r="K65" i="19" s="1"/>
  <c r="H65" i="19"/>
  <c r="L64" i="19"/>
  <c r="K64" i="19"/>
  <c r="J64" i="19"/>
  <c r="P63" i="19"/>
  <c r="H63" i="19"/>
  <c r="P62" i="19"/>
  <c r="H62" i="19"/>
  <c r="P61" i="19"/>
  <c r="H61" i="19"/>
  <c r="P60" i="19"/>
  <c r="H60" i="19"/>
  <c r="P59" i="19"/>
  <c r="H59" i="19"/>
  <c r="P58" i="19"/>
  <c r="H58" i="19"/>
  <c r="P57" i="19"/>
  <c r="H57" i="19"/>
  <c r="P56" i="19"/>
  <c r="H56" i="19"/>
  <c r="P55" i="19"/>
  <c r="H55" i="19"/>
  <c r="P54" i="19"/>
  <c r="H54" i="19"/>
  <c r="P53" i="19"/>
  <c r="H53" i="19"/>
  <c r="P52" i="19"/>
  <c r="H52" i="19"/>
  <c r="J51" i="19"/>
  <c r="P50" i="19"/>
  <c r="H50" i="19"/>
  <c r="P49" i="19"/>
  <c r="H49" i="19"/>
  <c r="P48" i="19"/>
  <c r="P47" i="19"/>
  <c r="H47" i="19"/>
  <c r="P46" i="19"/>
  <c r="H46" i="19"/>
  <c r="P45" i="19"/>
  <c r="H45" i="19"/>
  <c r="P44" i="19"/>
  <c r="H44" i="19"/>
  <c r="P43" i="19"/>
  <c r="H43" i="19"/>
  <c r="P42" i="19"/>
  <c r="K42" i="19"/>
  <c r="L42" i="19" s="1"/>
  <c r="H42" i="19"/>
  <c r="P41" i="19"/>
  <c r="K41" i="19" s="1"/>
  <c r="L41" i="19" s="1"/>
  <c r="H41" i="19"/>
  <c r="P40" i="19"/>
  <c r="K40" i="19"/>
  <c r="L40" i="19" s="1"/>
  <c r="H40" i="19"/>
  <c r="P39" i="19"/>
  <c r="K39" i="19" s="1"/>
  <c r="H39" i="19"/>
  <c r="J38" i="19"/>
  <c r="P37" i="19"/>
  <c r="H37" i="19"/>
  <c r="P36" i="19"/>
  <c r="H36" i="19"/>
  <c r="P35" i="19"/>
  <c r="H35" i="19"/>
  <c r="P34" i="19"/>
  <c r="H34" i="19"/>
  <c r="P33" i="19"/>
  <c r="H33" i="19"/>
  <c r="P32" i="19"/>
  <c r="H32" i="19"/>
  <c r="P31" i="19"/>
  <c r="H31" i="19"/>
  <c r="P30" i="19"/>
  <c r="H30" i="19"/>
  <c r="P29" i="19"/>
  <c r="H29" i="19"/>
  <c r="P28" i="19"/>
  <c r="K28" i="19"/>
  <c r="L28" i="19" s="1"/>
  <c r="H28" i="19"/>
  <c r="P27" i="19"/>
  <c r="K27" i="19" s="1"/>
  <c r="L27" i="19" s="1"/>
  <c r="H27" i="19"/>
  <c r="P26" i="19"/>
  <c r="K26" i="19" s="1"/>
  <c r="L26" i="19" s="1"/>
  <c r="H26" i="19"/>
  <c r="P25" i="19"/>
  <c r="K25" i="19" s="1"/>
  <c r="H25" i="19"/>
  <c r="J24" i="19"/>
  <c r="P23" i="19"/>
  <c r="H23" i="19"/>
  <c r="P22" i="19"/>
  <c r="H22" i="19"/>
  <c r="P21" i="19"/>
  <c r="H21" i="19"/>
  <c r="P20" i="19"/>
  <c r="H20" i="19"/>
  <c r="H19" i="19"/>
  <c r="P18" i="19"/>
  <c r="K18" i="19" s="1"/>
  <c r="L18" i="19" s="1"/>
  <c r="H18" i="19"/>
  <c r="P17" i="19"/>
  <c r="K17" i="19" s="1"/>
  <c r="L17" i="19" s="1"/>
  <c r="L24" i="19" s="1"/>
  <c r="H17" i="19"/>
  <c r="J16" i="19"/>
  <c r="I1" i="19" s="1"/>
  <c r="P15" i="19"/>
  <c r="H15" i="19"/>
  <c r="P14" i="19"/>
  <c r="K14" i="19" s="1"/>
  <c r="L14" i="19" s="1"/>
  <c r="H14" i="19"/>
  <c r="P13" i="19"/>
  <c r="K13" i="19" s="1"/>
  <c r="L13" i="19" s="1"/>
  <c r="H13" i="19"/>
  <c r="P12" i="19"/>
  <c r="K12" i="19" s="1"/>
  <c r="L12" i="19" s="1"/>
  <c r="H12" i="19"/>
  <c r="P11" i="19"/>
  <c r="K11" i="19" s="1"/>
  <c r="L11" i="19" s="1"/>
  <c r="H11" i="19"/>
  <c r="P10" i="19"/>
  <c r="K10" i="19" s="1"/>
  <c r="L10" i="19" s="1"/>
  <c r="H10" i="19"/>
  <c r="P9" i="19"/>
  <c r="K9" i="19" s="1"/>
  <c r="L9" i="19" s="1"/>
  <c r="H9" i="19"/>
  <c r="P8" i="19"/>
  <c r="K8" i="19" s="1"/>
  <c r="L8" i="19" s="1"/>
  <c r="H8" i="19"/>
  <c r="P7" i="19"/>
  <c r="K7" i="19"/>
  <c r="L7" i="19" s="1"/>
  <c r="H7" i="19"/>
  <c r="P6" i="19"/>
  <c r="K6" i="19" s="1"/>
  <c r="L6" i="19" s="1"/>
  <c r="H6" i="19"/>
  <c r="P5" i="19"/>
  <c r="K5" i="19" s="1"/>
  <c r="H5" i="19"/>
  <c r="I2" i="19"/>
  <c r="E1" i="19"/>
  <c r="J124" i="18"/>
  <c r="P123" i="18"/>
  <c r="H123" i="18"/>
  <c r="P122" i="18"/>
  <c r="P119" i="18"/>
  <c r="H119" i="18"/>
  <c r="P118" i="18"/>
  <c r="H118" i="18"/>
  <c r="P117" i="18"/>
  <c r="H117" i="18"/>
  <c r="P116" i="18"/>
  <c r="H116" i="18"/>
  <c r="P115" i="18"/>
  <c r="H115" i="18"/>
  <c r="P114" i="18"/>
  <c r="H114" i="18"/>
  <c r="P113" i="18"/>
  <c r="K113" i="18" s="1"/>
  <c r="L113" i="18" s="1"/>
  <c r="H113" i="18"/>
  <c r="P112" i="18"/>
  <c r="K112" i="18" s="1"/>
  <c r="H112" i="18"/>
  <c r="J111" i="18"/>
  <c r="P110" i="18"/>
  <c r="H110" i="18"/>
  <c r="P109" i="18"/>
  <c r="H109" i="18"/>
  <c r="P108" i="18"/>
  <c r="H108" i="18"/>
  <c r="P107" i="18"/>
  <c r="H107" i="18"/>
  <c r="P106" i="18"/>
  <c r="H106" i="18"/>
  <c r="P105" i="18"/>
  <c r="K105" i="18" s="1"/>
  <c r="L105" i="18" s="1"/>
  <c r="H105" i="18"/>
  <c r="P104" i="18"/>
  <c r="K104" i="18" s="1"/>
  <c r="L104" i="18" s="1"/>
  <c r="H104" i="18"/>
  <c r="P103" i="18"/>
  <c r="K103" i="18" s="1"/>
  <c r="L103" i="18" s="1"/>
  <c r="H103" i="18"/>
  <c r="P102" i="18"/>
  <c r="K102" i="18" s="1"/>
  <c r="L102" i="18" s="1"/>
  <c r="H102" i="18"/>
  <c r="P101" i="18"/>
  <c r="K101" i="18" s="1"/>
  <c r="H101" i="18"/>
  <c r="J100" i="18"/>
  <c r="H99" i="18"/>
  <c r="H97" i="18"/>
  <c r="H96" i="18"/>
  <c r="P95" i="18"/>
  <c r="H95" i="18"/>
  <c r="P94" i="18"/>
  <c r="H94" i="18"/>
  <c r="P93" i="18"/>
  <c r="K93" i="18"/>
  <c r="H93" i="18"/>
  <c r="P92" i="18"/>
  <c r="K92" i="18" s="1"/>
  <c r="L92" i="18"/>
  <c r="H92" i="18"/>
  <c r="J91" i="18"/>
  <c r="P90" i="18"/>
  <c r="H90" i="18"/>
  <c r="P89" i="18"/>
  <c r="H89" i="18"/>
  <c r="P87" i="18"/>
  <c r="H87" i="18"/>
  <c r="P86" i="18"/>
  <c r="K86" i="18"/>
  <c r="L86" i="18" s="1"/>
  <c r="H86" i="18"/>
  <c r="P85" i="18"/>
  <c r="K85" i="18" s="1"/>
  <c r="L85" i="18" s="1"/>
  <c r="H85" i="18"/>
  <c r="P84" i="18"/>
  <c r="K84" i="18" s="1"/>
  <c r="L84" i="18" s="1"/>
  <c r="H84" i="18"/>
  <c r="P83" i="18"/>
  <c r="K83" i="18" s="1"/>
  <c r="L83" i="18" s="1"/>
  <c r="H83" i="18"/>
  <c r="P82" i="18"/>
  <c r="K82" i="18" s="1"/>
  <c r="H82" i="18"/>
  <c r="L81" i="18"/>
  <c r="K81" i="18"/>
  <c r="J81" i="18"/>
  <c r="P80" i="18"/>
  <c r="H80" i="18"/>
  <c r="P79" i="18"/>
  <c r="H79" i="18"/>
  <c r="P78" i="18"/>
  <c r="H78" i="18"/>
  <c r="P77" i="18"/>
  <c r="H77" i="18"/>
  <c r="P76" i="18"/>
  <c r="H76" i="18"/>
  <c r="J75" i="18"/>
  <c r="P74" i="18"/>
  <c r="H74" i="18"/>
  <c r="P73" i="18"/>
  <c r="H73" i="18"/>
  <c r="P72" i="18"/>
  <c r="H72" i="18"/>
  <c r="P71" i="18"/>
  <c r="K71" i="18" s="1"/>
  <c r="L71" i="18" s="1"/>
  <c r="H71" i="18"/>
  <c r="P70" i="18"/>
  <c r="L70" i="18"/>
  <c r="K70" i="18"/>
  <c r="H70" i="18"/>
  <c r="P69" i="18"/>
  <c r="K69" i="18" s="1"/>
  <c r="L69" i="18" s="1"/>
  <c r="H69" i="18"/>
  <c r="P68" i="18"/>
  <c r="K68" i="18" s="1"/>
  <c r="L68" i="18" s="1"/>
  <c r="H68" i="18"/>
  <c r="P67" i="18"/>
  <c r="K67" i="18" s="1"/>
  <c r="L67" i="18" s="1"/>
  <c r="H67" i="18"/>
  <c r="P66" i="18"/>
  <c r="K66" i="18" s="1"/>
  <c r="L66" i="18" s="1"/>
  <c r="H66" i="18"/>
  <c r="P65" i="18"/>
  <c r="K65" i="18" s="1"/>
  <c r="H65" i="18"/>
  <c r="L64" i="18"/>
  <c r="K64" i="18"/>
  <c r="J64" i="18"/>
  <c r="P63" i="18"/>
  <c r="H63" i="18"/>
  <c r="P62" i="18"/>
  <c r="H62" i="18"/>
  <c r="P61" i="18"/>
  <c r="H61" i="18"/>
  <c r="P60" i="18"/>
  <c r="H60" i="18"/>
  <c r="P59" i="18"/>
  <c r="H59" i="18"/>
  <c r="P58" i="18"/>
  <c r="H58" i="18"/>
  <c r="P57" i="18"/>
  <c r="H57" i="18"/>
  <c r="P56" i="18"/>
  <c r="H56" i="18"/>
  <c r="P55" i="18"/>
  <c r="H55" i="18"/>
  <c r="P54" i="18"/>
  <c r="H54" i="18"/>
  <c r="P53" i="18"/>
  <c r="H53" i="18"/>
  <c r="P52" i="18"/>
  <c r="H52" i="18"/>
  <c r="J51" i="18"/>
  <c r="P50" i="18"/>
  <c r="H50" i="18"/>
  <c r="P49" i="18"/>
  <c r="H49" i="18"/>
  <c r="P48" i="18"/>
  <c r="P47" i="18"/>
  <c r="H47" i="18"/>
  <c r="P46" i="18"/>
  <c r="H46" i="18"/>
  <c r="P45" i="18"/>
  <c r="H45" i="18"/>
  <c r="P44" i="18"/>
  <c r="H44" i="18"/>
  <c r="P43" i="18"/>
  <c r="H43" i="18"/>
  <c r="P42" i="18"/>
  <c r="K42" i="18" s="1"/>
  <c r="L42" i="18" s="1"/>
  <c r="H42" i="18"/>
  <c r="P41" i="18"/>
  <c r="K41" i="18" s="1"/>
  <c r="L41" i="18" s="1"/>
  <c r="H41" i="18"/>
  <c r="P40" i="18"/>
  <c r="K40" i="18" s="1"/>
  <c r="L40" i="18" s="1"/>
  <c r="H40" i="18"/>
  <c r="P39" i="18"/>
  <c r="K39" i="18" s="1"/>
  <c r="H39" i="18"/>
  <c r="J38" i="18"/>
  <c r="P37" i="18"/>
  <c r="H37" i="18"/>
  <c r="P36" i="18"/>
  <c r="H36" i="18"/>
  <c r="P35" i="18"/>
  <c r="H35" i="18"/>
  <c r="P34" i="18"/>
  <c r="H34" i="18"/>
  <c r="P33" i="18"/>
  <c r="H33" i="18"/>
  <c r="P32" i="18"/>
  <c r="H32" i="18"/>
  <c r="P31" i="18"/>
  <c r="H31" i="18"/>
  <c r="P30" i="18"/>
  <c r="H30" i="18"/>
  <c r="P29" i="18"/>
  <c r="H29" i="18"/>
  <c r="P28" i="18"/>
  <c r="K28" i="18" s="1"/>
  <c r="L28" i="18" s="1"/>
  <c r="H28" i="18"/>
  <c r="P27" i="18"/>
  <c r="K27" i="18"/>
  <c r="L27" i="18" s="1"/>
  <c r="H27" i="18"/>
  <c r="P26" i="18"/>
  <c r="K26" i="18" s="1"/>
  <c r="L26" i="18" s="1"/>
  <c r="H26" i="18"/>
  <c r="P25" i="18"/>
  <c r="K25" i="18" s="1"/>
  <c r="H25" i="18"/>
  <c r="J24" i="18"/>
  <c r="P23" i="18"/>
  <c r="H23" i="18"/>
  <c r="P22" i="18"/>
  <c r="H22" i="18"/>
  <c r="P21" i="18"/>
  <c r="H21" i="18"/>
  <c r="P20" i="18"/>
  <c r="H20" i="18"/>
  <c r="H19" i="18"/>
  <c r="P18" i="18"/>
  <c r="K18" i="18" s="1"/>
  <c r="L18" i="18" s="1"/>
  <c r="H18" i="18"/>
  <c r="P17" i="18"/>
  <c r="K17" i="18" s="1"/>
  <c r="H17" i="18"/>
  <c r="J16" i="18"/>
  <c r="P15" i="18"/>
  <c r="H15" i="18"/>
  <c r="P14" i="18"/>
  <c r="K14" i="18" s="1"/>
  <c r="L14" i="18" s="1"/>
  <c r="H14" i="18"/>
  <c r="P13" i="18"/>
  <c r="K13" i="18" s="1"/>
  <c r="L13" i="18" s="1"/>
  <c r="H13" i="18"/>
  <c r="P12" i="18"/>
  <c r="K12" i="18" s="1"/>
  <c r="L12" i="18" s="1"/>
  <c r="H12" i="18"/>
  <c r="P11" i="18"/>
  <c r="K11" i="18" s="1"/>
  <c r="L11" i="18" s="1"/>
  <c r="H11" i="18"/>
  <c r="P10" i="18"/>
  <c r="K10" i="18" s="1"/>
  <c r="L10" i="18" s="1"/>
  <c r="H10" i="18"/>
  <c r="P9" i="18"/>
  <c r="L9" i="18"/>
  <c r="K9" i="18"/>
  <c r="H9" i="18"/>
  <c r="P8" i="18"/>
  <c r="K8" i="18" s="1"/>
  <c r="L8" i="18" s="1"/>
  <c r="H8" i="18"/>
  <c r="P7" i="18"/>
  <c r="K7" i="18"/>
  <c r="L7" i="18" s="1"/>
  <c r="H7" i="18"/>
  <c r="P6" i="18"/>
  <c r="K6" i="18" s="1"/>
  <c r="L6" i="18" s="1"/>
  <c r="H6" i="18"/>
  <c r="P5" i="18"/>
  <c r="K5" i="18" s="1"/>
  <c r="L5" i="18" s="1"/>
  <c r="H5" i="18"/>
  <c r="I2" i="18"/>
  <c r="E1" i="18"/>
  <c r="J124" i="17"/>
  <c r="P123" i="17"/>
  <c r="H123" i="17"/>
  <c r="P122" i="17"/>
  <c r="P119" i="17"/>
  <c r="H119" i="17"/>
  <c r="P118" i="17"/>
  <c r="H118" i="17"/>
  <c r="P117" i="17"/>
  <c r="H117" i="17"/>
  <c r="P116" i="17"/>
  <c r="H116" i="17"/>
  <c r="P115" i="17"/>
  <c r="H115" i="17"/>
  <c r="P114" i="17"/>
  <c r="H114" i="17"/>
  <c r="P113" i="17"/>
  <c r="K113" i="17" s="1"/>
  <c r="L113" i="17" s="1"/>
  <c r="H113" i="17"/>
  <c r="P112" i="17"/>
  <c r="K112" i="17" s="1"/>
  <c r="K124" i="17" s="1"/>
  <c r="H112" i="17"/>
  <c r="J111" i="17"/>
  <c r="P110" i="17"/>
  <c r="H110" i="17"/>
  <c r="P109" i="17"/>
  <c r="H109" i="17"/>
  <c r="P108" i="17"/>
  <c r="H108" i="17"/>
  <c r="P107" i="17"/>
  <c r="H107" i="17"/>
  <c r="P106" i="17"/>
  <c r="H106" i="17"/>
  <c r="P105" i="17"/>
  <c r="K105" i="17" s="1"/>
  <c r="L105" i="17" s="1"/>
  <c r="H105" i="17"/>
  <c r="P104" i="17"/>
  <c r="K104" i="17" s="1"/>
  <c r="L104" i="17" s="1"/>
  <c r="H104" i="17"/>
  <c r="P103" i="17"/>
  <c r="K103" i="17" s="1"/>
  <c r="L103" i="17" s="1"/>
  <c r="H103" i="17"/>
  <c r="P102" i="17"/>
  <c r="K102" i="17" s="1"/>
  <c r="L102" i="17" s="1"/>
  <c r="H102" i="17"/>
  <c r="P101" i="17"/>
  <c r="K101" i="17" s="1"/>
  <c r="H101" i="17"/>
  <c r="J100" i="17"/>
  <c r="H99" i="17"/>
  <c r="H97" i="17"/>
  <c r="H96" i="17"/>
  <c r="P95" i="17"/>
  <c r="H95" i="17"/>
  <c r="P94" i="17"/>
  <c r="H94" i="17"/>
  <c r="P93" i="17"/>
  <c r="K93" i="17" s="1"/>
  <c r="L93" i="17" s="1"/>
  <c r="H93" i="17"/>
  <c r="P92" i="17"/>
  <c r="K92" i="17"/>
  <c r="K100" i="17" s="1"/>
  <c r="H92" i="17"/>
  <c r="J91" i="17"/>
  <c r="P90" i="17"/>
  <c r="H90" i="17"/>
  <c r="P89" i="17"/>
  <c r="H89" i="17"/>
  <c r="P87" i="17"/>
  <c r="H87" i="17"/>
  <c r="P86" i="17"/>
  <c r="K86" i="17" s="1"/>
  <c r="L86" i="17" s="1"/>
  <c r="H86" i="17"/>
  <c r="P85" i="17"/>
  <c r="K85" i="17" s="1"/>
  <c r="L85" i="17" s="1"/>
  <c r="H85" i="17"/>
  <c r="P84" i="17"/>
  <c r="K84" i="17" s="1"/>
  <c r="L84" i="17" s="1"/>
  <c r="H84" i="17"/>
  <c r="P83" i="17"/>
  <c r="K83" i="17" s="1"/>
  <c r="L83" i="17" s="1"/>
  <c r="H83" i="17"/>
  <c r="P82" i="17"/>
  <c r="K82" i="17" s="1"/>
  <c r="H82" i="17"/>
  <c r="L81" i="17"/>
  <c r="K81" i="17"/>
  <c r="J81" i="17"/>
  <c r="P80" i="17"/>
  <c r="H80" i="17"/>
  <c r="P79" i="17"/>
  <c r="H79" i="17"/>
  <c r="P78" i="17"/>
  <c r="H78" i="17"/>
  <c r="P77" i="17"/>
  <c r="H77" i="17"/>
  <c r="P76" i="17"/>
  <c r="H76" i="17"/>
  <c r="J75" i="17"/>
  <c r="P74" i="17"/>
  <c r="H74" i="17"/>
  <c r="P73" i="17"/>
  <c r="H73" i="17"/>
  <c r="P72" i="17"/>
  <c r="H72" i="17"/>
  <c r="P71" i="17"/>
  <c r="K71" i="17" s="1"/>
  <c r="L71" i="17" s="1"/>
  <c r="H71" i="17"/>
  <c r="P70" i="17"/>
  <c r="K70" i="17" s="1"/>
  <c r="L70" i="17" s="1"/>
  <c r="H70" i="17"/>
  <c r="P69" i="17"/>
  <c r="K69" i="17" s="1"/>
  <c r="L69" i="17" s="1"/>
  <c r="H69" i="17"/>
  <c r="P68" i="17"/>
  <c r="K68" i="17" s="1"/>
  <c r="L68" i="17" s="1"/>
  <c r="H68" i="17"/>
  <c r="P67" i="17"/>
  <c r="K67" i="17" s="1"/>
  <c r="L67" i="17" s="1"/>
  <c r="H67" i="17"/>
  <c r="P66" i="17"/>
  <c r="K66" i="17" s="1"/>
  <c r="L66" i="17" s="1"/>
  <c r="H66" i="17"/>
  <c r="P65" i="17"/>
  <c r="K65" i="17" s="1"/>
  <c r="H65" i="17"/>
  <c r="L64" i="17"/>
  <c r="K64" i="17"/>
  <c r="J64" i="17"/>
  <c r="P63" i="17"/>
  <c r="H63" i="17"/>
  <c r="P62" i="17"/>
  <c r="H62" i="17"/>
  <c r="P61" i="17"/>
  <c r="H61" i="17"/>
  <c r="P60" i="17"/>
  <c r="H60" i="17"/>
  <c r="P59" i="17"/>
  <c r="H59" i="17"/>
  <c r="P58" i="17"/>
  <c r="H58" i="17"/>
  <c r="P57" i="17"/>
  <c r="H57" i="17"/>
  <c r="P56" i="17"/>
  <c r="H56" i="17"/>
  <c r="P55" i="17"/>
  <c r="H55" i="17"/>
  <c r="P54" i="17"/>
  <c r="H54" i="17"/>
  <c r="P53" i="17"/>
  <c r="H53" i="17"/>
  <c r="P52" i="17"/>
  <c r="H52" i="17"/>
  <c r="J51" i="17"/>
  <c r="P50" i="17"/>
  <c r="H50" i="17"/>
  <c r="P49" i="17"/>
  <c r="H49" i="17"/>
  <c r="P48" i="17"/>
  <c r="P47" i="17"/>
  <c r="H47" i="17"/>
  <c r="P46" i="17"/>
  <c r="H46" i="17"/>
  <c r="P45" i="17"/>
  <c r="H45" i="17"/>
  <c r="P44" i="17"/>
  <c r="H44" i="17"/>
  <c r="P43" i="17"/>
  <c r="H43" i="17"/>
  <c r="P42" i="17"/>
  <c r="K42" i="17" s="1"/>
  <c r="L42" i="17" s="1"/>
  <c r="H42" i="17"/>
  <c r="P41" i="17"/>
  <c r="K41" i="17" s="1"/>
  <c r="L41" i="17" s="1"/>
  <c r="H41" i="17"/>
  <c r="P40" i="17"/>
  <c r="K40" i="17" s="1"/>
  <c r="L40" i="17" s="1"/>
  <c r="H40" i="17"/>
  <c r="P39" i="17"/>
  <c r="K39" i="17"/>
  <c r="H39" i="17"/>
  <c r="J38" i="17"/>
  <c r="P37" i="17"/>
  <c r="H37" i="17"/>
  <c r="P36" i="17"/>
  <c r="H36" i="17"/>
  <c r="P35" i="17"/>
  <c r="H35" i="17"/>
  <c r="P34" i="17"/>
  <c r="H34" i="17"/>
  <c r="P33" i="17"/>
  <c r="H33" i="17"/>
  <c r="P32" i="17"/>
  <c r="H32" i="17"/>
  <c r="P31" i="17"/>
  <c r="H31" i="17"/>
  <c r="P30" i="17"/>
  <c r="H30" i="17"/>
  <c r="P29" i="17"/>
  <c r="H29" i="17"/>
  <c r="P28" i="17"/>
  <c r="K28" i="17" s="1"/>
  <c r="L28" i="17" s="1"/>
  <c r="H28" i="17"/>
  <c r="P27" i="17"/>
  <c r="K27" i="17" s="1"/>
  <c r="L27" i="17" s="1"/>
  <c r="H27" i="17"/>
  <c r="P26" i="17"/>
  <c r="K26" i="17"/>
  <c r="L26" i="17" s="1"/>
  <c r="H26" i="17"/>
  <c r="P25" i="17"/>
  <c r="K25" i="17" s="1"/>
  <c r="H25" i="17"/>
  <c r="J24" i="17"/>
  <c r="P23" i="17"/>
  <c r="H23" i="17"/>
  <c r="P22" i="17"/>
  <c r="H22" i="17"/>
  <c r="P21" i="17"/>
  <c r="H21" i="17"/>
  <c r="P20" i="17"/>
  <c r="H20" i="17"/>
  <c r="P18" i="17"/>
  <c r="K18" i="17" s="1"/>
  <c r="H18" i="17"/>
  <c r="P17" i="17"/>
  <c r="L17" i="17"/>
  <c r="K17" i="17"/>
  <c r="H17" i="17"/>
  <c r="J16" i="17"/>
  <c r="P15" i="17"/>
  <c r="H15" i="17"/>
  <c r="P14" i="17"/>
  <c r="K14" i="17" s="1"/>
  <c r="L14" i="17" s="1"/>
  <c r="H14" i="17"/>
  <c r="P13" i="17"/>
  <c r="K13" i="17" s="1"/>
  <c r="L13" i="17" s="1"/>
  <c r="H13" i="17"/>
  <c r="P12" i="17"/>
  <c r="K12" i="17" s="1"/>
  <c r="L12" i="17" s="1"/>
  <c r="H12" i="17"/>
  <c r="P11" i="17"/>
  <c r="K11" i="17"/>
  <c r="L11" i="17" s="1"/>
  <c r="H11" i="17"/>
  <c r="P10" i="17"/>
  <c r="K10" i="17" s="1"/>
  <c r="L10" i="17" s="1"/>
  <c r="H10" i="17"/>
  <c r="P9" i="17"/>
  <c r="L9" i="17"/>
  <c r="K9" i="17"/>
  <c r="H9" i="17"/>
  <c r="P8" i="17"/>
  <c r="K8" i="17" s="1"/>
  <c r="L8" i="17" s="1"/>
  <c r="H8" i="17"/>
  <c r="P7" i="17"/>
  <c r="K7" i="17"/>
  <c r="L7" i="17" s="1"/>
  <c r="H7" i="17"/>
  <c r="P6" i="17"/>
  <c r="K6" i="17" s="1"/>
  <c r="L6" i="17" s="1"/>
  <c r="H6" i="17"/>
  <c r="P5" i="17"/>
  <c r="K5" i="17" s="1"/>
  <c r="L5" i="17" s="1"/>
  <c r="H5" i="17"/>
  <c r="I2" i="17"/>
  <c r="I1" i="17"/>
  <c r="E1" i="17"/>
  <c r="J124" i="16"/>
  <c r="P123" i="16"/>
  <c r="H123" i="16"/>
  <c r="P122" i="16"/>
  <c r="P119" i="16"/>
  <c r="H119" i="16"/>
  <c r="P118" i="16"/>
  <c r="H118" i="16"/>
  <c r="P117" i="16"/>
  <c r="H117" i="16"/>
  <c r="P116" i="16"/>
  <c r="H116" i="16"/>
  <c r="P115" i="16"/>
  <c r="H115" i="16"/>
  <c r="P114" i="16"/>
  <c r="H114" i="16"/>
  <c r="P113" i="16"/>
  <c r="K113" i="16"/>
  <c r="L113" i="16" s="1"/>
  <c r="H113" i="16"/>
  <c r="P112" i="16"/>
  <c r="K112" i="16" s="1"/>
  <c r="H112" i="16"/>
  <c r="J111" i="16"/>
  <c r="P110" i="16"/>
  <c r="H110" i="16"/>
  <c r="P109" i="16"/>
  <c r="H109" i="16"/>
  <c r="P108" i="16"/>
  <c r="H108" i="16"/>
  <c r="P107" i="16"/>
  <c r="H107" i="16"/>
  <c r="P106" i="16"/>
  <c r="H106" i="16"/>
  <c r="P105" i="16"/>
  <c r="K105" i="16"/>
  <c r="L105" i="16" s="1"/>
  <c r="H105" i="16"/>
  <c r="P104" i="16"/>
  <c r="K104" i="16" s="1"/>
  <c r="L104" i="16" s="1"/>
  <c r="H104" i="16"/>
  <c r="P103" i="16"/>
  <c r="K103" i="16"/>
  <c r="L103" i="16" s="1"/>
  <c r="H103" i="16"/>
  <c r="P102" i="16"/>
  <c r="K102" i="16" s="1"/>
  <c r="L102" i="16"/>
  <c r="H102" i="16"/>
  <c r="P101" i="16"/>
  <c r="K101" i="16" s="1"/>
  <c r="H101" i="16"/>
  <c r="J100" i="16"/>
  <c r="H99" i="16"/>
  <c r="H97" i="16"/>
  <c r="H96" i="16"/>
  <c r="P95" i="16"/>
  <c r="H95" i="16"/>
  <c r="P94" i="16"/>
  <c r="H94" i="16"/>
  <c r="P93" i="16"/>
  <c r="K93" i="16" s="1"/>
  <c r="L93" i="16" s="1"/>
  <c r="H93" i="16"/>
  <c r="P92" i="16"/>
  <c r="K92" i="16" s="1"/>
  <c r="H92" i="16"/>
  <c r="J91" i="16"/>
  <c r="P90" i="16"/>
  <c r="H90" i="16"/>
  <c r="P89" i="16"/>
  <c r="H89" i="16"/>
  <c r="P87" i="16"/>
  <c r="H87" i="16"/>
  <c r="P86" i="16"/>
  <c r="K86" i="16"/>
  <c r="L86" i="16" s="1"/>
  <c r="H86" i="16"/>
  <c r="P85" i="16"/>
  <c r="K85" i="16" s="1"/>
  <c r="L85" i="16" s="1"/>
  <c r="H85" i="16"/>
  <c r="P84" i="16"/>
  <c r="K84" i="16" s="1"/>
  <c r="L84" i="16" s="1"/>
  <c r="H84" i="16"/>
  <c r="P83" i="16"/>
  <c r="K83" i="16" s="1"/>
  <c r="L83" i="16" s="1"/>
  <c r="H83" i="16"/>
  <c r="P82" i="16"/>
  <c r="K82" i="16" s="1"/>
  <c r="H82" i="16"/>
  <c r="L81" i="16"/>
  <c r="K81" i="16"/>
  <c r="J81" i="16"/>
  <c r="P80" i="16"/>
  <c r="H80" i="16"/>
  <c r="P79" i="16"/>
  <c r="H79" i="16"/>
  <c r="P78" i="16"/>
  <c r="H78" i="16"/>
  <c r="P77" i="16"/>
  <c r="H77" i="16"/>
  <c r="P76" i="16"/>
  <c r="H76" i="16"/>
  <c r="J75" i="16"/>
  <c r="P74" i="16"/>
  <c r="H74" i="16"/>
  <c r="P73" i="16"/>
  <c r="H73" i="16"/>
  <c r="P72" i="16"/>
  <c r="H72" i="16"/>
  <c r="P71" i="16"/>
  <c r="K71" i="16"/>
  <c r="L71" i="16" s="1"/>
  <c r="H71" i="16"/>
  <c r="P70" i="16"/>
  <c r="K70" i="16" s="1"/>
  <c r="L70" i="16" s="1"/>
  <c r="H70" i="16"/>
  <c r="P69" i="16"/>
  <c r="K69" i="16" s="1"/>
  <c r="L69" i="16" s="1"/>
  <c r="H69" i="16"/>
  <c r="P68" i="16"/>
  <c r="K68" i="16" s="1"/>
  <c r="L68" i="16" s="1"/>
  <c r="H68" i="16"/>
  <c r="P67" i="16"/>
  <c r="K67" i="16" s="1"/>
  <c r="L67" i="16" s="1"/>
  <c r="H67" i="16"/>
  <c r="P66" i="16"/>
  <c r="K66" i="16" s="1"/>
  <c r="L66" i="16" s="1"/>
  <c r="H66" i="16"/>
  <c r="P65" i="16"/>
  <c r="K65" i="16"/>
  <c r="H65" i="16"/>
  <c r="L64" i="16"/>
  <c r="K64" i="16"/>
  <c r="J64" i="16"/>
  <c r="P63" i="16"/>
  <c r="H63" i="16"/>
  <c r="P62" i="16"/>
  <c r="H62" i="16"/>
  <c r="P61" i="16"/>
  <c r="H61" i="16"/>
  <c r="P60" i="16"/>
  <c r="H60" i="16"/>
  <c r="P59" i="16"/>
  <c r="H59" i="16"/>
  <c r="P58" i="16"/>
  <c r="H58" i="16"/>
  <c r="P57" i="16"/>
  <c r="H57" i="16"/>
  <c r="P56" i="16"/>
  <c r="H56" i="16"/>
  <c r="P55" i="16"/>
  <c r="H55" i="16"/>
  <c r="P54" i="16"/>
  <c r="H54" i="16"/>
  <c r="P53" i="16"/>
  <c r="H53" i="16"/>
  <c r="P52" i="16"/>
  <c r="H52" i="16"/>
  <c r="J51" i="16"/>
  <c r="P50" i="16"/>
  <c r="H50" i="16"/>
  <c r="P49" i="16"/>
  <c r="H49" i="16"/>
  <c r="P48" i="16"/>
  <c r="P47" i="16"/>
  <c r="H47" i="16"/>
  <c r="P46" i="16"/>
  <c r="H46" i="16"/>
  <c r="P45" i="16"/>
  <c r="H45" i="16"/>
  <c r="P44" i="16"/>
  <c r="H44" i="16"/>
  <c r="P43" i="16"/>
  <c r="H43" i="16"/>
  <c r="P42" i="16"/>
  <c r="K42" i="16" s="1"/>
  <c r="L42" i="16" s="1"/>
  <c r="H42" i="16"/>
  <c r="P41" i="16"/>
  <c r="K41" i="16"/>
  <c r="L41" i="16" s="1"/>
  <c r="H41" i="16"/>
  <c r="P40" i="16"/>
  <c r="K40" i="16" s="1"/>
  <c r="L40" i="16" s="1"/>
  <c r="H40" i="16"/>
  <c r="P39" i="16"/>
  <c r="K39" i="16"/>
  <c r="K51" i="16" s="1"/>
  <c r="H39" i="16"/>
  <c r="J38" i="16"/>
  <c r="P37" i="16"/>
  <c r="H37" i="16"/>
  <c r="P36" i="16"/>
  <c r="H36" i="16"/>
  <c r="P35" i="16"/>
  <c r="H35" i="16"/>
  <c r="P34" i="16"/>
  <c r="H34" i="16"/>
  <c r="P33" i="16"/>
  <c r="H33" i="16"/>
  <c r="P32" i="16"/>
  <c r="H32" i="16"/>
  <c r="P31" i="16"/>
  <c r="H31" i="16"/>
  <c r="P30" i="16"/>
  <c r="H30" i="16"/>
  <c r="P29" i="16"/>
  <c r="H29" i="16"/>
  <c r="P28" i="16"/>
  <c r="K28" i="16" s="1"/>
  <c r="L28" i="16" s="1"/>
  <c r="H28" i="16"/>
  <c r="P27" i="16"/>
  <c r="K27" i="16" s="1"/>
  <c r="L27" i="16" s="1"/>
  <c r="H27" i="16"/>
  <c r="P26" i="16"/>
  <c r="K26" i="16" s="1"/>
  <c r="L26" i="16" s="1"/>
  <c r="H26" i="16"/>
  <c r="P25" i="16"/>
  <c r="K25" i="16" s="1"/>
  <c r="H25" i="16"/>
  <c r="J24" i="16"/>
  <c r="P23" i="16"/>
  <c r="H23" i="16"/>
  <c r="P22" i="16"/>
  <c r="H22" i="16"/>
  <c r="P21" i="16"/>
  <c r="H21" i="16"/>
  <c r="P20" i="16"/>
  <c r="H20" i="16"/>
  <c r="P18" i="16"/>
  <c r="K18" i="16" s="1"/>
  <c r="L18" i="16" s="1"/>
  <c r="H18" i="16"/>
  <c r="P17" i="16"/>
  <c r="K17" i="16" s="1"/>
  <c r="K24" i="16" s="1"/>
  <c r="H17" i="16"/>
  <c r="J16" i="16"/>
  <c r="P15" i="16"/>
  <c r="H15" i="16"/>
  <c r="P14" i="16"/>
  <c r="K14" i="16" s="1"/>
  <c r="L14" i="16" s="1"/>
  <c r="H14" i="16"/>
  <c r="P13" i="16"/>
  <c r="K13" i="16" s="1"/>
  <c r="L13" i="16" s="1"/>
  <c r="H13" i="16"/>
  <c r="P12" i="16"/>
  <c r="K12" i="16" s="1"/>
  <c r="L12" i="16" s="1"/>
  <c r="H12" i="16"/>
  <c r="P11" i="16"/>
  <c r="K11" i="16"/>
  <c r="L11" i="16" s="1"/>
  <c r="H11" i="16"/>
  <c r="P10" i="16"/>
  <c r="K10" i="16" s="1"/>
  <c r="L10" i="16" s="1"/>
  <c r="H10" i="16"/>
  <c r="P9" i="16"/>
  <c r="K9" i="16"/>
  <c r="L9" i="16" s="1"/>
  <c r="H9" i="16"/>
  <c r="P8" i="16"/>
  <c r="K8" i="16" s="1"/>
  <c r="L8" i="16" s="1"/>
  <c r="H8" i="16"/>
  <c r="P7" i="16"/>
  <c r="K7" i="16" s="1"/>
  <c r="L7" i="16" s="1"/>
  <c r="H7" i="16"/>
  <c r="P6" i="16"/>
  <c r="K6" i="16"/>
  <c r="L6" i="16" s="1"/>
  <c r="H6" i="16"/>
  <c r="P5" i="16"/>
  <c r="K5" i="16"/>
  <c r="L5" i="16" s="1"/>
  <c r="H5" i="16"/>
  <c r="I2" i="16"/>
  <c r="E1" i="16"/>
  <c r="AE173" i="15"/>
  <c r="AD173" i="15"/>
  <c r="AA173" i="15"/>
  <c r="Z173" i="15"/>
  <c r="M173" i="15"/>
  <c r="W172" i="15"/>
  <c r="H172" i="15"/>
  <c r="W171" i="15"/>
  <c r="H171" i="15"/>
  <c r="AG170" i="15"/>
  <c r="AF170" i="15"/>
  <c r="W170" i="15"/>
  <c r="H170" i="15"/>
  <c r="AG169" i="15"/>
  <c r="AF169" i="15"/>
  <c r="W169" i="15"/>
  <c r="H169" i="15"/>
  <c r="AG168" i="15"/>
  <c r="AF168" i="15"/>
  <c r="H168" i="15"/>
  <c r="AG167" i="15"/>
  <c r="AF167" i="15"/>
  <c r="H167" i="15"/>
  <c r="AG166" i="15"/>
  <c r="AF166" i="15"/>
  <c r="H166" i="15"/>
  <c r="W165" i="15"/>
  <c r="N165" i="15"/>
  <c r="P165" i="15"/>
  <c r="H165" i="15"/>
  <c r="W164" i="15"/>
  <c r="N164" i="15"/>
  <c r="AG164" i="15" s="1"/>
  <c r="P164" i="15"/>
  <c r="H164" i="15"/>
  <c r="AG163" i="15"/>
  <c r="W163" i="15"/>
  <c r="N163" i="15" s="1"/>
  <c r="P163" i="15"/>
  <c r="H163" i="15"/>
  <c r="W162" i="15"/>
  <c r="N162" i="15" s="1"/>
  <c r="P162" i="15"/>
  <c r="H162" i="15"/>
  <c r="W161" i="15"/>
  <c r="N161" i="15" s="1"/>
  <c r="H161" i="15"/>
  <c r="AE160" i="15"/>
  <c r="AD160" i="15"/>
  <c r="AA160" i="15"/>
  <c r="Z160" i="15"/>
  <c r="M160" i="15"/>
  <c r="W159" i="15"/>
  <c r="H159" i="15"/>
  <c r="W158" i="15"/>
  <c r="H158" i="15"/>
  <c r="W157" i="15"/>
  <c r="H157" i="15"/>
  <c r="W156" i="15"/>
  <c r="H156" i="15"/>
  <c r="W155" i="15"/>
  <c r="H155" i="15"/>
  <c r="AG154" i="15"/>
  <c r="AF154" i="15"/>
  <c r="W154" i="15"/>
  <c r="H154" i="15"/>
  <c r="AG153" i="15"/>
  <c r="AF153" i="15"/>
  <c r="W153" i="15"/>
  <c r="H153" i="15"/>
  <c r="W152" i="15"/>
  <c r="N152" i="15" s="1"/>
  <c r="AF152" i="15" s="1"/>
  <c r="P152" i="15"/>
  <c r="H152" i="15"/>
  <c r="W151" i="15"/>
  <c r="P151" i="15"/>
  <c r="N151" i="15"/>
  <c r="AG151" i="15" s="1"/>
  <c r="H151" i="15"/>
  <c r="W150" i="15"/>
  <c r="N150" i="15" s="1"/>
  <c r="AF150" i="15" s="1"/>
  <c r="P150" i="15"/>
  <c r="H150" i="15"/>
  <c r="W149" i="15"/>
  <c r="P149" i="15"/>
  <c r="N149" i="15"/>
  <c r="AG149" i="15" s="1"/>
  <c r="H149" i="15"/>
  <c r="W148" i="15"/>
  <c r="N148" i="15" s="1"/>
  <c r="P148" i="15"/>
  <c r="P160" i="15"/>
  <c r="H148" i="15"/>
  <c r="AE147" i="15"/>
  <c r="AD147" i="15"/>
  <c r="AA147" i="15"/>
  <c r="Z147" i="15"/>
  <c r="W147" i="15"/>
  <c r="M147" i="15"/>
  <c r="W146" i="15"/>
  <c r="H146" i="15"/>
  <c r="AG145" i="15"/>
  <c r="AF145" i="15"/>
  <c r="W145" i="15"/>
  <c r="H145" i="15"/>
  <c r="AG144" i="15"/>
  <c r="AF144" i="15"/>
  <c r="H144" i="15"/>
  <c r="AG143" i="15"/>
  <c r="AF143" i="15"/>
  <c r="H143" i="15"/>
  <c r="AG142" i="15"/>
  <c r="AF142" i="15"/>
  <c r="H142" i="15"/>
  <c r="W141" i="15"/>
  <c r="N141" i="15" s="1"/>
  <c r="P141" i="15"/>
  <c r="H141" i="15"/>
  <c r="W140" i="15"/>
  <c r="N140" i="15" s="1"/>
  <c r="AF140" i="15" s="1"/>
  <c r="P140" i="15"/>
  <c r="H140" i="15"/>
  <c r="W139" i="15"/>
  <c r="N139" i="15" s="1"/>
  <c r="P139" i="15"/>
  <c r="H139" i="15"/>
  <c r="W138" i="15"/>
  <c r="N138" i="15" s="1"/>
  <c r="AF138" i="15" s="1"/>
  <c r="P138" i="15"/>
  <c r="H138" i="15"/>
  <c r="W137" i="15"/>
  <c r="N137" i="15" s="1"/>
  <c r="P137" i="15"/>
  <c r="H137" i="15"/>
  <c r="W136" i="15"/>
  <c r="N136" i="15"/>
  <c r="AF136" i="15" s="1"/>
  <c r="P136" i="15"/>
  <c r="H136" i="15"/>
  <c r="W135" i="15"/>
  <c r="N135" i="15" s="1"/>
  <c r="O135" i="15" s="1"/>
  <c r="P135" i="15"/>
  <c r="H135" i="15"/>
  <c r="AE134" i="15"/>
  <c r="AD134" i="15"/>
  <c r="AA134" i="15"/>
  <c r="Z134" i="15"/>
  <c r="M134" i="15"/>
  <c r="W133" i="15"/>
  <c r="H133" i="15"/>
  <c r="W132" i="15"/>
  <c r="H132" i="15"/>
  <c r="W131" i="15"/>
  <c r="N131" i="15" s="1"/>
  <c r="O131" i="15" s="1"/>
  <c r="P131" i="15"/>
  <c r="H131" i="15"/>
  <c r="W130" i="15"/>
  <c r="N130" i="15" s="1"/>
  <c r="O130" i="15" s="1"/>
  <c r="P130" i="15"/>
  <c r="H130" i="15"/>
  <c r="W129" i="15"/>
  <c r="N129" i="15" s="1"/>
  <c r="O129" i="15" s="1"/>
  <c r="P129" i="15"/>
  <c r="H129" i="15"/>
  <c r="W128" i="15"/>
  <c r="N128" i="15" s="1"/>
  <c r="AG128" i="15" s="1"/>
  <c r="P128" i="15"/>
  <c r="H128" i="15"/>
  <c r="W127" i="15"/>
  <c r="N127" i="15" s="1"/>
  <c r="O127" i="15" s="1"/>
  <c r="P127" i="15"/>
  <c r="H127" i="15"/>
  <c r="W126" i="15"/>
  <c r="N126" i="15" s="1"/>
  <c r="AG126" i="15" s="1"/>
  <c r="P126" i="15"/>
  <c r="H126" i="15"/>
  <c r="W125" i="15"/>
  <c r="P125" i="15"/>
  <c r="N125" i="15"/>
  <c r="H125" i="15"/>
  <c r="W124" i="15"/>
  <c r="N124" i="15" s="1"/>
  <c r="AG124" i="15" s="1"/>
  <c r="P124" i="15"/>
  <c r="H124" i="15"/>
  <c r="W123" i="15"/>
  <c r="P123" i="15"/>
  <c r="N123" i="15"/>
  <c r="O123" i="15" s="1"/>
  <c r="H123" i="15"/>
  <c r="W122" i="15"/>
  <c r="N122" i="15" s="1"/>
  <c r="P122" i="15"/>
  <c r="H122" i="15"/>
  <c r="AE121" i="15"/>
  <c r="AD121" i="15"/>
  <c r="AD2" i="15" s="1"/>
  <c r="AA121" i="15"/>
  <c r="Z121" i="15"/>
  <c r="W121" i="15"/>
  <c r="M121" i="15"/>
  <c r="W120" i="15"/>
  <c r="H120" i="15"/>
  <c r="W119" i="15"/>
  <c r="H119" i="15"/>
  <c r="W118" i="15"/>
  <c r="H118" i="15"/>
  <c r="AG117" i="15"/>
  <c r="AF117" i="15"/>
  <c r="W117" i="15"/>
  <c r="H117" i="15"/>
  <c r="W116" i="15"/>
  <c r="N116" i="15" s="1"/>
  <c r="P116" i="15"/>
  <c r="H116" i="15"/>
  <c r="W115" i="15"/>
  <c r="N115" i="15" s="1"/>
  <c r="P115" i="15"/>
  <c r="H115" i="15"/>
  <c r="AG114" i="15"/>
  <c r="W114" i="15"/>
  <c r="N114" i="15" s="1"/>
  <c r="P114" i="15"/>
  <c r="H114" i="15"/>
  <c r="W113" i="15"/>
  <c r="N113" i="15" s="1"/>
  <c r="P113" i="15"/>
  <c r="H113" i="15"/>
  <c r="W112" i="15"/>
  <c r="N112" i="15" s="1"/>
  <c r="AF112" i="15" s="1"/>
  <c r="P112" i="15"/>
  <c r="H112" i="15"/>
  <c r="W111" i="15"/>
  <c r="N111" i="15" s="1"/>
  <c r="P111" i="15"/>
  <c r="H111" i="15"/>
  <c r="W110" i="15"/>
  <c r="P110" i="15"/>
  <c r="N110" i="15"/>
  <c r="O110" i="15" s="1"/>
  <c r="Q110" i="15" s="1"/>
  <c r="H110" i="15"/>
  <c r="W109" i="15"/>
  <c r="N109" i="15" s="1"/>
  <c r="P109" i="15"/>
  <c r="H109" i="15"/>
  <c r="AE108" i="15"/>
  <c r="AD108" i="15"/>
  <c r="AA108" i="15"/>
  <c r="AA2" i="15" s="1"/>
  <c r="Z108" i="15"/>
  <c r="W108" i="15"/>
  <c r="M108" i="15"/>
  <c r="W107" i="15"/>
  <c r="H107" i="15"/>
  <c r="W106" i="15"/>
  <c r="H106" i="15"/>
  <c r="W105" i="15"/>
  <c r="H105" i="15"/>
  <c r="AG104" i="15"/>
  <c r="AF104" i="15"/>
  <c r="H104" i="15"/>
  <c r="AG103" i="15"/>
  <c r="AF103" i="15"/>
  <c r="H103" i="15"/>
  <c r="AG102" i="15"/>
  <c r="AF102" i="15"/>
  <c r="H102" i="15"/>
  <c r="W101" i="15"/>
  <c r="N101" i="15" s="1"/>
  <c r="O101" i="15" s="1"/>
  <c r="H101" i="15"/>
  <c r="W100" i="15"/>
  <c r="N100" i="15" s="1"/>
  <c r="AG100" i="15" s="1"/>
  <c r="P100" i="15"/>
  <c r="H100" i="15"/>
  <c r="W99" i="15"/>
  <c r="N99" i="15" s="1"/>
  <c r="H99" i="15"/>
  <c r="AG98" i="15"/>
  <c r="W98" i="15"/>
  <c r="N98" i="15" s="1"/>
  <c r="P98" i="15"/>
  <c r="H98" i="15"/>
  <c r="W97" i="15"/>
  <c r="N97" i="15" s="1"/>
  <c r="O97" i="15" s="1"/>
  <c r="H97" i="15"/>
  <c r="W96" i="15"/>
  <c r="N96" i="15" s="1"/>
  <c r="O96" i="15" s="1"/>
  <c r="H96" i="15"/>
  <c r="AE95" i="15"/>
  <c r="AD95" i="15"/>
  <c r="AA95" i="15"/>
  <c r="Z95" i="15"/>
  <c r="M95" i="15"/>
  <c r="AG94" i="15"/>
  <c r="AF94" i="15"/>
  <c r="W94" i="15"/>
  <c r="H94" i="15"/>
  <c r="AG93" i="15"/>
  <c r="AF93" i="15"/>
  <c r="W93" i="15"/>
  <c r="H93" i="15"/>
  <c r="AG92" i="15"/>
  <c r="AF92" i="15"/>
  <c r="H92" i="15"/>
  <c r="AG91" i="15"/>
  <c r="AF91" i="15"/>
  <c r="H91" i="15"/>
  <c r="AG90" i="15"/>
  <c r="AF90" i="15"/>
  <c r="H90" i="15"/>
  <c r="AG89" i="15"/>
  <c r="AF89" i="15"/>
  <c r="H89" i="15"/>
  <c r="AG88" i="15"/>
  <c r="AF88" i="15"/>
  <c r="H88" i="15"/>
  <c r="W87" i="15"/>
  <c r="N87" i="15"/>
  <c r="P87" i="15"/>
  <c r="H87" i="15"/>
  <c r="W86" i="15"/>
  <c r="N86" i="15" s="1"/>
  <c r="O86" i="15" s="1"/>
  <c r="P86" i="15"/>
  <c r="H86" i="15"/>
  <c r="W85" i="15"/>
  <c r="N85" i="15"/>
  <c r="P85" i="15"/>
  <c r="H85" i="15"/>
  <c r="W84" i="15"/>
  <c r="N84" i="15" s="1"/>
  <c r="O84" i="15" s="1"/>
  <c r="P84" i="15"/>
  <c r="H84" i="15"/>
  <c r="W83" i="15"/>
  <c r="N83" i="15" s="1"/>
  <c r="P83" i="15"/>
  <c r="P95" i="15"/>
  <c r="H83" i="15"/>
  <c r="AE82" i="15"/>
  <c r="AD82" i="15"/>
  <c r="AA82" i="15"/>
  <c r="Z82" i="15"/>
  <c r="M82" i="15"/>
  <c r="W81" i="15"/>
  <c r="AG80" i="15"/>
  <c r="AF80" i="15"/>
  <c r="W80" i="15"/>
  <c r="H80" i="15"/>
  <c r="AG79" i="15"/>
  <c r="AF79" i="15"/>
  <c r="W79" i="15"/>
  <c r="H79" i="15"/>
  <c r="AG78" i="15"/>
  <c r="AF78" i="15"/>
  <c r="H78" i="15"/>
  <c r="AG77" i="15"/>
  <c r="AF77" i="15"/>
  <c r="H77" i="15"/>
  <c r="AG76" i="15"/>
  <c r="AF76" i="15"/>
  <c r="H76" i="15"/>
  <c r="AG75" i="15"/>
  <c r="AF75" i="15"/>
  <c r="W75" i="15"/>
  <c r="H75" i="15"/>
  <c r="W74" i="15"/>
  <c r="P74" i="15"/>
  <c r="N74" i="15"/>
  <c r="O74" i="15" s="1"/>
  <c r="H74" i="15"/>
  <c r="W73" i="15"/>
  <c r="N73" i="15"/>
  <c r="P73" i="15"/>
  <c r="H73" i="15"/>
  <c r="W72" i="15"/>
  <c r="P72" i="15"/>
  <c r="N72" i="15"/>
  <c r="O72" i="15" s="1"/>
  <c r="H72" i="15"/>
  <c r="W71" i="15"/>
  <c r="N71" i="15"/>
  <c r="P71" i="15"/>
  <c r="H71" i="15"/>
  <c r="W70" i="15"/>
  <c r="N70" i="15"/>
  <c r="AG70" i="15" s="1"/>
  <c r="P70" i="15"/>
  <c r="H70" i="15"/>
  <c r="AE69" i="15"/>
  <c r="AD69" i="15"/>
  <c r="AA69" i="15"/>
  <c r="Z69" i="15"/>
  <c r="W69" i="15"/>
  <c r="M69" i="15"/>
  <c r="W68" i="15"/>
  <c r="H68" i="15"/>
  <c r="AG67" i="15"/>
  <c r="AF67" i="15"/>
  <c r="W67" i="15"/>
  <c r="H67" i="15"/>
  <c r="AG66" i="15"/>
  <c r="AF66" i="15"/>
  <c r="W66" i="15"/>
  <c r="H66" i="15"/>
  <c r="AG65" i="15"/>
  <c r="AF65" i="15"/>
  <c r="W65" i="15"/>
  <c r="H65" i="15"/>
  <c r="AG64" i="15"/>
  <c r="AF64" i="15"/>
  <c r="H64" i="15"/>
  <c r="AG63" i="15"/>
  <c r="AF63" i="15"/>
  <c r="H63" i="15"/>
  <c r="AG62" i="15"/>
  <c r="AF62" i="15"/>
  <c r="H62" i="15"/>
  <c r="AG61" i="15"/>
  <c r="AF61" i="15"/>
  <c r="W60" i="15"/>
  <c r="N60" i="15" s="1"/>
  <c r="P60" i="15"/>
  <c r="H60" i="15"/>
  <c r="W59" i="15"/>
  <c r="N59" i="15" s="1"/>
  <c r="O59" i="15"/>
  <c r="P59" i="15"/>
  <c r="H59" i="15"/>
  <c r="W58" i="15"/>
  <c r="N58" i="15" s="1"/>
  <c r="AF58" i="15" s="1"/>
  <c r="P58" i="15"/>
  <c r="H58" i="15"/>
  <c r="AF57" i="15"/>
  <c r="W57" i="15"/>
  <c r="N57" i="15" s="1"/>
  <c r="P57" i="15"/>
  <c r="H57" i="15"/>
  <c r="AE56" i="15"/>
  <c r="AD56" i="15"/>
  <c r="AA56" i="15"/>
  <c r="Z56" i="15"/>
  <c r="W56" i="15"/>
  <c r="M56" i="15"/>
  <c r="W55" i="15"/>
  <c r="H55" i="15"/>
  <c r="W54" i="15"/>
  <c r="H54" i="15"/>
  <c r="W53" i="15"/>
  <c r="H53" i="15"/>
  <c r="AG52" i="15"/>
  <c r="AF52" i="15"/>
  <c r="W52" i="15"/>
  <c r="H52" i="15"/>
  <c r="AG51" i="15"/>
  <c r="AF51" i="15"/>
  <c r="H51" i="15"/>
  <c r="AG50" i="15"/>
  <c r="AF50" i="15"/>
  <c r="H50" i="15"/>
  <c r="AG49" i="15"/>
  <c r="AF49" i="15"/>
  <c r="H49" i="15"/>
  <c r="AG48" i="15"/>
  <c r="AF48" i="15"/>
  <c r="H48" i="15"/>
  <c r="AG47" i="15"/>
  <c r="AF47" i="15"/>
  <c r="H47" i="15"/>
  <c r="W46" i="15"/>
  <c r="N46" i="15" s="1"/>
  <c r="O46" i="15" s="1"/>
  <c r="P46" i="15"/>
  <c r="H46" i="15"/>
  <c r="W45" i="15"/>
  <c r="N45" i="15" s="1"/>
  <c r="P45" i="15"/>
  <c r="H45" i="15"/>
  <c r="W44" i="15"/>
  <c r="N44" i="15" s="1"/>
  <c r="H44" i="15"/>
  <c r="AE43" i="15"/>
  <c r="AD43" i="15"/>
  <c r="AA43" i="15"/>
  <c r="Z43" i="15"/>
  <c r="M43" i="15"/>
  <c r="W42" i="15"/>
  <c r="H42" i="15"/>
  <c r="W41" i="15"/>
  <c r="W40" i="15"/>
  <c r="H40" i="15"/>
  <c r="H39" i="15"/>
  <c r="AG38" i="15"/>
  <c r="AF38" i="15"/>
  <c r="H38" i="15"/>
  <c r="AG37" i="15"/>
  <c r="AF37" i="15"/>
  <c r="H37" i="15"/>
  <c r="W36" i="15"/>
  <c r="N36" i="15" s="1"/>
  <c r="P36" i="15"/>
  <c r="H36" i="15"/>
  <c r="W35" i="15"/>
  <c r="N35" i="15" s="1"/>
  <c r="P35" i="15"/>
  <c r="H35" i="15"/>
  <c r="W34" i="15"/>
  <c r="N34" i="15" s="1"/>
  <c r="H34" i="15"/>
  <c r="W33" i="15"/>
  <c r="N33" i="15" s="1"/>
  <c r="P33" i="15"/>
  <c r="H33" i="15"/>
  <c r="W32" i="15"/>
  <c r="N32" i="15" s="1"/>
  <c r="H32" i="15"/>
  <c r="W31" i="15"/>
  <c r="N31" i="15" s="1"/>
  <c r="H31" i="15"/>
  <c r="AE30" i="15"/>
  <c r="AD30" i="15"/>
  <c r="AA30" i="15"/>
  <c r="Z30" i="15"/>
  <c r="M30" i="15"/>
  <c r="AF29" i="15"/>
  <c r="W29" i="15"/>
  <c r="H29" i="15"/>
  <c r="AF28" i="15"/>
  <c r="W28" i="15"/>
  <c r="H28" i="15"/>
  <c r="AF27" i="15"/>
  <c r="W27" i="15"/>
  <c r="H27" i="15"/>
  <c r="AF26" i="15"/>
  <c r="W26" i="15"/>
  <c r="AF25" i="15"/>
  <c r="W25" i="15"/>
  <c r="W24" i="15"/>
  <c r="N24" i="15" s="1"/>
  <c r="P24" i="15"/>
  <c r="H24" i="15"/>
  <c r="W23" i="15"/>
  <c r="P23" i="15"/>
  <c r="N23" i="15"/>
  <c r="O23" i="15" s="1"/>
  <c r="R23" i="15" s="1"/>
  <c r="H23" i="15"/>
  <c r="W22" i="15"/>
  <c r="P22" i="15"/>
  <c r="N22" i="15"/>
  <c r="O22" i="15" s="1"/>
  <c r="H22" i="15"/>
  <c r="W21" i="15"/>
  <c r="P21" i="15"/>
  <c r="N21" i="15"/>
  <c r="H21" i="15"/>
  <c r="W20" i="15"/>
  <c r="P20" i="15"/>
  <c r="N20" i="15"/>
  <c r="O20" i="15" s="1"/>
  <c r="H20" i="15"/>
  <c r="W19" i="15"/>
  <c r="P19" i="15"/>
  <c r="N19" i="15"/>
  <c r="H19" i="15"/>
  <c r="W18" i="15"/>
  <c r="P18" i="15"/>
  <c r="N18" i="15"/>
  <c r="AG18" i="15" s="1"/>
  <c r="P30" i="15"/>
  <c r="H18" i="15"/>
  <c r="AE17" i="15"/>
  <c r="AD17" i="15"/>
  <c r="AA17" i="15"/>
  <c r="Z17" i="15"/>
  <c r="W17" i="15"/>
  <c r="M17" i="15"/>
  <c r="W16" i="15"/>
  <c r="H16" i="15"/>
  <c r="W15" i="15"/>
  <c r="H15" i="15"/>
  <c r="H14" i="15"/>
  <c r="H13" i="15"/>
  <c r="H12" i="15"/>
  <c r="W11" i="15"/>
  <c r="N11" i="15" s="1"/>
  <c r="P11" i="15"/>
  <c r="H11" i="15"/>
  <c r="W10" i="15"/>
  <c r="N10" i="15" s="1"/>
  <c r="O10" i="15" s="1"/>
  <c r="P10" i="15"/>
  <c r="H10" i="15"/>
  <c r="W9" i="15"/>
  <c r="N9" i="15" s="1"/>
  <c r="P9" i="15"/>
  <c r="H9" i="15"/>
  <c r="W8" i="15"/>
  <c r="N8" i="15" s="1"/>
  <c r="O8" i="15" s="1"/>
  <c r="P8" i="15"/>
  <c r="H8" i="15"/>
  <c r="W7" i="15"/>
  <c r="N7" i="15" s="1"/>
  <c r="P7" i="15"/>
  <c r="H7" i="15"/>
  <c r="W6" i="15"/>
  <c r="N6" i="15" s="1"/>
  <c r="O6" i="15" s="1"/>
  <c r="P6" i="15"/>
  <c r="H6" i="15"/>
  <c r="W5" i="15"/>
  <c r="N5" i="15" s="1"/>
  <c r="P5" i="15"/>
  <c r="H5" i="15"/>
  <c r="I2" i="15"/>
  <c r="E1" i="15"/>
  <c r="AE173" i="14"/>
  <c r="AD173" i="14"/>
  <c r="AA173" i="14"/>
  <c r="Z173" i="14"/>
  <c r="M173" i="14"/>
  <c r="W172" i="14"/>
  <c r="H172" i="14"/>
  <c r="W171" i="14"/>
  <c r="H171" i="14"/>
  <c r="AG170" i="14"/>
  <c r="AF170" i="14"/>
  <c r="W170" i="14"/>
  <c r="H170" i="14"/>
  <c r="AG169" i="14"/>
  <c r="AF169" i="14"/>
  <c r="W169" i="14"/>
  <c r="H169" i="14"/>
  <c r="AG168" i="14"/>
  <c r="AF168" i="14"/>
  <c r="H168" i="14"/>
  <c r="AG167" i="14"/>
  <c r="AF167" i="14"/>
  <c r="H167" i="14"/>
  <c r="AG166" i="14"/>
  <c r="AF166" i="14"/>
  <c r="H166" i="14"/>
  <c r="W165" i="14"/>
  <c r="N165" i="14" s="1"/>
  <c r="AG165" i="14" s="1"/>
  <c r="H165" i="14"/>
  <c r="AG164" i="14"/>
  <c r="W164" i="14"/>
  <c r="N164" i="14" s="1"/>
  <c r="AF164" i="14" s="1"/>
  <c r="P164" i="14"/>
  <c r="H164" i="14"/>
  <c r="W163" i="14"/>
  <c r="N163" i="14" s="1"/>
  <c r="H163" i="14"/>
  <c r="W162" i="14"/>
  <c r="N162" i="14" s="1"/>
  <c r="P162" i="14"/>
  <c r="H162" i="14"/>
  <c r="AF161" i="14"/>
  <c r="W161" i="14"/>
  <c r="N161" i="14" s="1"/>
  <c r="O161" i="14" s="1"/>
  <c r="P161" i="14"/>
  <c r="H161" i="14"/>
  <c r="AE160" i="14"/>
  <c r="AD160" i="14"/>
  <c r="AA160" i="14"/>
  <c r="Z160" i="14"/>
  <c r="M160" i="14"/>
  <c r="W159" i="14"/>
  <c r="H159" i="14"/>
  <c r="W158" i="14"/>
  <c r="H158" i="14"/>
  <c r="W157" i="14"/>
  <c r="H157" i="14"/>
  <c r="W156" i="14"/>
  <c r="H156" i="14"/>
  <c r="W155" i="14"/>
  <c r="H155" i="14"/>
  <c r="AG154" i="14"/>
  <c r="AF154" i="14"/>
  <c r="W154" i="14"/>
  <c r="H154" i="14"/>
  <c r="AG153" i="14"/>
  <c r="AF153" i="14"/>
  <c r="W153" i="14"/>
  <c r="H153" i="14"/>
  <c r="W152" i="14"/>
  <c r="N152" i="14" s="1"/>
  <c r="O152" i="14" s="1"/>
  <c r="P152" i="14"/>
  <c r="H152" i="14"/>
  <c r="W151" i="14"/>
  <c r="N151" i="14" s="1"/>
  <c r="P151" i="14"/>
  <c r="H151" i="14"/>
  <c r="W150" i="14"/>
  <c r="N150" i="14" s="1"/>
  <c r="P150" i="14"/>
  <c r="H150" i="14"/>
  <c r="W149" i="14"/>
  <c r="N149" i="14" s="1"/>
  <c r="P149" i="14"/>
  <c r="H149" i="14"/>
  <c r="W148" i="14"/>
  <c r="N148" i="14"/>
  <c r="H148" i="14"/>
  <c r="AE147" i="14"/>
  <c r="AD147" i="14"/>
  <c r="AA147" i="14"/>
  <c r="Z147" i="14"/>
  <c r="W147" i="14"/>
  <c r="M147" i="14"/>
  <c r="W146" i="14"/>
  <c r="H146" i="14"/>
  <c r="AG145" i="14"/>
  <c r="AF145" i="14"/>
  <c r="W145" i="14"/>
  <c r="H145" i="14"/>
  <c r="AG144" i="14"/>
  <c r="AF144" i="14"/>
  <c r="H144" i="14"/>
  <c r="AG143" i="14"/>
  <c r="AF143" i="14"/>
  <c r="H143" i="14"/>
  <c r="AG142" i="14"/>
  <c r="AF142" i="14"/>
  <c r="H142" i="14"/>
  <c r="W141" i="14"/>
  <c r="N141" i="14"/>
  <c r="P141" i="14"/>
  <c r="H141" i="14"/>
  <c r="W140" i="14"/>
  <c r="N140" i="14" s="1"/>
  <c r="O140" i="14" s="1"/>
  <c r="P140" i="14"/>
  <c r="H140" i="14"/>
  <c r="W139" i="14"/>
  <c r="N139" i="14"/>
  <c r="P139" i="14"/>
  <c r="H139" i="14"/>
  <c r="W138" i="14"/>
  <c r="N138" i="14" s="1"/>
  <c r="P138" i="14"/>
  <c r="H138" i="14"/>
  <c r="W137" i="14"/>
  <c r="N137" i="14"/>
  <c r="P137" i="14"/>
  <c r="H137" i="14"/>
  <c r="W136" i="14"/>
  <c r="N136" i="14" s="1"/>
  <c r="P136" i="14"/>
  <c r="H136" i="14"/>
  <c r="W135" i="14"/>
  <c r="N135" i="14" s="1"/>
  <c r="H135" i="14"/>
  <c r="AE134" i="14"/>
  <c r="AD134" i="14"/>
  <c r="AA134" i="14"/>
  <c r="Z134" i="14"/>
  <c r="M134" i="14"/>
  <c r="W133" i="14"/>
  <c r="H133" i="14"/>
  <c r="W132" i="14"/>
  <c r="H132" i="14"/>
  <c r="W131" i="14"/>
  <c r="N131" i="14" s="1"/>
  <c r="O131" i="14" s="1"/>
  <c r="P131" i="14"/>
  <c r="H131" i="14"/>
  <c r="W130" i="14"/>
  <c r="N130" i="14" s="1"/>
  <c r="O130" i="14" s="1"/>
  <c r="P130" i="14"/>
  <c r="H130" i="14"/>
  <c r="W129" i="14"/>
  <c r="N129" i="14" s="1"/>
  <c r="P129" i="14"/>
  <c r="O129" i="14"/>
  <c r="H129" i="14"/>
  <c r="W128" i="14"/>
  <c r="N128" i="14" s="1"/>
  <c r="H128" i="14"/>
  <c r="W127" i="14"/>
  <c r="N127" i="14" s="1"/>
  <c r="AF127" i="14" s="1"/>
  <c r="P127" i="14"/>
  <c r="H127" i="14"/>
  <c r="W126" i="14"/>
  <c r="N126" i="14" s="1"/>
  <c r="H126" i="14"/>
  <c r="W125" i="14"/>
  <c r="N125" i="14" s="1"/>
  <c r="AG125" i="14" s="1"/>
  <c r="O125" i="14"/>
  <c r="P125" i="14"/>
  <c r="H125" i="14"/>
  <c r="W124" i="14"/>
  <c r="N124" i="14" s="1"/>
  <c r="P124" i="14"/>
  <c r="H124" i="14"/>
  <c r="W123" i="14"/>
  <c r="N123" i="14" s="1"/>
  <c r="AG123" i="14" s="1"/>
  <c r="O123" i="14"/>
  <c r="P123" i="14"/>
  <c r="H123" i="14"/>
  <c r="AF122" i="14"/>
  <c r="W122" i="14"/>
  <c r="N122" i="14" s="1"/>
  <c r="P122" i="14"/>
  <c r="H122" i="14"/>
  <c r="AE121" i="14"/>
  <c r="AD121" i="14"/>
  <c r="AA121" i="14"/>
  <c r="Z121" i="14"/>
  <c r="W121" i="14"/>
  <c r="M121" i="14"/>
  <c r="P121" i="14" s="1"/>
  <c r="W120" i="14"/>
  <c r="H120" i="14"/>
  <c r="W119" i="14"/>
  <c r="H119" i="14"/>
  <c r="W118" i="14"/>
  <c r="H118" i="14"/>
  <c r="AG117" i="14"/>
  <c r="AF117" i="14"/>
  <c r="W117" i="14"/>
  <c r="H117" i="14"/>
  <c r="AG116" i="14"/>
  <c r="AF116" i="14"/>
  <c r="H116" i="14"/>
  <c r="W115" i="14"/>
  <c r="N115" i="14" s="1"/>
  <c r="P115" i="14"/>
  <c r="H115" i="14"/>
  <c r="W114" i="14"/>
  <c r="N114" i="14" s="1"/>
  <c r="AG114" i="14" s="1"/>
  <c r="P114" i="14"/>
  <c r="H114" i="14"/>
  <c r="W113" i="14"/>
  <c r="N113" i="14"/>
  <c r="P113" i="14"/>
  <c r="H113" i="14"/>
  <c r="W112" i="14"/>
  <c r="N112" i="14" s="1"/>
  <c r="P112" i="14"/>
  <c r="O112" i="14"/>
  <c r="H112" i="14"/>
  <c r="W111" i="14"/>
  <c r="N111" i="14"/>
  <c r="P111" i="14"/>
  <c r="H111" i="14"/>
  <c r="W110" i="14"/>
  <c r="N110" i="14" s="1"/>
  <c r="P110" i="14"/>
  <c r="O110" i="14"/>
  <c r="H110" i="14"/>
  <c r="W109" i="14"/>
  <c r="N109" i="14" s="1"/>
  <c r="P109" i="14"/>
  <c r="O109" i="14"/>
  <c r="H109" i="14"/>
  <c r="AE108" i="14"/>
  <c r="AD108" i="14"/>
  <c r="AA108" i="14"/>
  <c r="Z108" i="14"/>
  <c r="W108" i="14"/>
  <c r="M108" i="14"/>
  <c r="W107" i="14"/>
  <c r="H107" i="14"/>
  <c r="W106" i="14"/>
  <c r="H106" i="14"/>
  <c r="W105" i="14"/>
  <c r="H105" i="14"/>
  <c r="AG104" i="14"/>
  <c r="AF104" i="14"/>
  <c r="H104" i="14"/>
  <c r="AG103" i="14"/>
  <c r="AF103" i="14"/>
  <c r="H103" i="14"/>
  <c r="AG102" i="14"/>
  <c r="AF102" i="14"/>
  <c r="H102" i="14"/>
  <c r="W101" i="14"/>
  <c r="N101" i="14" s="1"/>
  <c r="P101" i="14"/>
  <c r="H101" i="14"/>
  <c r="W100" i="14"/>
  <c r="N100" i="14" s="1"/>
  <c r="AG100" i="14" s="1"/>
  <c r="P100" i="14"/>
  <c r="H100" i="14"/>
  <c r="W99" i="14"/>
  <c r="N99" i="14"/>
  <c r="P99" i="14"/>
  <c r="H99" i="14"/>
  <c r="W98" i="14"/>
  <c r="N98" i="14" s="1"/>
  <c r="AG98" i="14" s="1"/>
  <c r="P98" i="14"/>
  <c r="H98" i="14"/>
  <c r="W97" i="14"/>
  <c r="N97" i="14" s="1"/>
  <c r="P97" i="14"/>
  <c r="H97" i="14"/>
  <c r="W96" i="14"/>
  <c r="N96" i="14"/>
  <c r="O96" i="14" s="1"/>
  <c r="R96" i="14" s="1"/>
  <c r="P96" i="14"/>
  <c r="H96" i="14"/>
  <c r="AE95" i="14"/>
  <c r="AD95" i="14"/>
  <c r="AA95" i="14"/>
  <c r="Z95" i="14"/>
  <c r="M95" i="14"/>
  <c r="AG94" i="14"/>
  <c r="AF94" i="14"/>
  <c r="W94" i="14"/>
  <c r="H94" i="14"/>
  <c r="AG93" i="14"/>
  <c r="AF93" i="14"/>
  <c r="W93" i="14"/>
  <c r="H93" i="14"/>
  <c r="AG92" i="14"/>
  <c r="AF92" i="14"/>
  <c r="H92" i="14"/>
  <c r="AG91" i="14"/>
  <c r="AF91" i="14"/>
  <c r="H91" i="14"/>
  <c r="AG90" i="14"/>
  <c r="AF90" i="14"/>
  <c r="H90" i="14"/>
  <c r="AG89" i="14"/>
  <c r="AF89" i="14"/>
  <c r="H89" i="14"/>
  <c r="AG88" i="14"/>
  <c r="AF88" i="14"/>
  <c r="H88" i="14"/>
  <c r="W87" i="14"/>
  <c r="N87" i="14" s="1"/>
  <c r="P87" i="14"/>
  <c r="H87" i="14"/>
  <c r="W86" i="14"/>
  <c r="N86" i="14" s="1"/>
  <c r="P86" i="14"/>
  <c r="H86" i="14"/>
  <c r="W85" i="14"/>
  <c r="P85" i="14"/>
  <c r="N85" i="14"/>
  <c r="H85" i="14"/>
  <c r="W84" i="14"/>
  <c r="N84" i="14" s="1"/>
  <c r="O84" i="14" s="1"/>
  <c r="P84" i="14"/>
  <c r="H84" i="14"/>
  <c r="W83" i="14"/>
  <c r="N83" i="14" s="1"/>
  <c r="P83" i="14"/>
  <c r="H83" i="14"/>
  <c r="AE82" i="14"/>
  <c r="AD82" i="14"/>
  <c r="AA82" i="14"/>
  <c r="Z82" i="14"/>
  <c r="M82" i="14"/>
  <c r="W81" i="14"/>
  <c r="AG80" i="14"/>
  <c r="AF80" i="14"/>
  <c r="W80" i="14"/>
  <c r="H80" i="14"/>
  <c r="AG79" i="14"/>
  <c r="AF79" i="14"/>
  <c r="W79" i="14"/>
  <c r="H79" i="14"/>
  <c r="AG78" i="14"/>
  <c r="AF78" i="14"/>
  <c r="H78" i="14"/>
  <c r="AG77" i="14"/>
  <c r="AF77" i="14"/>
  <c r="H77" i="14"/>
  <c r="AG76" i="14"/>
  <c r="AF76" i="14"/>
  <c r="H76" i="14"/>
  <c r="AG75" i="14"/>
  <c r="AF75" i="14"/>
  <c r="W75" i="14"/>
  <c r="H75" i="14"/>
  <c r="W74" i="14"/>
  <c r="N74" i="14" s="1"/>
  <c r="O74" i="14" s="1"/>
  <c r="P74" i="14"/>
  <c r="H74" i="14"/>
  <c r="AG73" i="14"/>
  <c r="W73" i="14"/>
  <c r="P73" i="14"/>
  <c r="N73" i="14"/>
  <c r="O73" i="14" s="1"/>
  <c r="H73" i="14"/>
  <c r="W72" i="14"/>
  <c r="N72" i="14"/>
  <c r="O72" i="14" s="1"/>
  <c r="P72" i="14"/>
  <c r="H72" i="14"/>
  <c r="AG71" i="14"/>
  <c r="W71" i="14"/>
  <c r="N71" i="14" s="1"/>
  <c r="P71" i="14"/>
  <c r="H71" i="14"/>
  <c r="W70" i="14"/>
  <c r="N70" i="14" s="1"/>
  <c r="P70" i="14"/>
  <c r="P82" i="14"/>
  <c r="H70" i="14"/>
  <c r="AE69" i="14"/>
  <c r="AD69" i="14"/>
  <c r="AA69" i="14"/>
  <c r="Z69" i="14"/>
  <c r="W69" i="14"/>
  <c r="M69" i="14"/>
  <c r="W68" i="14"/>
  <c r="H68" i="14"/>
  <c r="AG67" i="14"/>
  <c r="AF67" i="14"/>
  <c r="W67" i="14"/>
  <c r="H67" i="14"/>
  <c r="AG66" i="14"/>
  <c r="AF66" i="14"/>
  <c r="W66" i="14"/>
  <c r="H66" i="14"/>
  <c r="AG65" i="14"/>
  <c r="AF65" i="14"/>
  <c r="W65" i="14"/>
  <c r="H65" i="14"/>
  <c r="AG64" i="14"/>
  <c r="AF64" i="14"/>
  <c r="H64" i="14"/>
  <c r="AG63" i="14"/>
  <c r="AF63" i="14"/>
  <c r="H63" i="14"/>
  <c r="AG62" i="14"/>
  <c r="AF62" i="14"/>
  <c r="H62" i="14"/>
  <c r="AG61" i="14"/>
  <c r="AF61" i="14"/>
  <c r="W60" i="14"/>
  <c r="N60" i="14" s="1"/>
  <c r="O60" i="14" s="1"/>
  <c r="P60" i="14"/>
  <c r="H60" i="14"/>
  <c r="W59" i="14"/>
  <c r="N59" i="14" s="1"/>
  <c r="P59" i="14"/>
  <c r="H59" i="14"/>
  <c r="W58" i="14"/>
  <c r="N58" i="14" s="1"/>
  <c r="AG58" i="14" s="1"/>
  <c r="P58" i="14"/>
  <c r="H58" i="14"/>
  <c r="W57" i="14"/>
  <c r="N57" i="14" s="1"/>
  <c r="P69" i="14"/>
  <c r="H57" i="14"/>
  <c r="AE56" i="14"/>
  <c r="AD56" i="14"/>
  <c r="AA56" i="14"/>
  <c r="Z56" i="14"/>
  <c r="W56" i="14"/>
  <c r="M56" i="14"/>
  <c r="W55" i="14"/>
  <c r="H55" i="14"/>
  <c r="W54" i="14"/>
  <c r="H54" i="14"/>
  <c r="W53" i="14"/>
  <c r="H53" i="14"/>
  <c r="AG52" i="14"/>
  <c r="AF52" i="14"/>
  <c r="W52" i="14"/>
  <c r="H52" i="14"/>
  <c r="AG51" i="14"/>
  <c r="AF51" i="14"/>
  <c r="H51" i="14"/>
  <c r="AG50" i="14"/>
  <c r="AF50" i="14"/>
  <c r="H50" i="14"/>
  <c r="AG49" i="14"/>
  <c r="AF49" i="14"/>
  <c r="H49" i="14"/>
  <c r="AG48" i="14"/>
  <c r="AF48" i="14"/>
  <c r="H48" i="14"/>
  <c r="AG47" i="14"/>
  <c r="AF47" i="14"/>
  <c r="H47" i="14"/>
  <c r="W46" i="14"/>
  <c r="N46" i="14"/>
  <c r="P46" i="14"/>
  <c r="H46" i="14"/>
  <c r="W45" i="14"/>
  <c r="N45" i="14" s="1"/>
  <c r="O45" i="14"/>
  <c r="P45" i="14"/>
  <c r="H45" i="14"/>
  <c r="W44" i="14"/>
  <c r="N44" i="14" s="1"/>
  <c r="O44" i="14"/>
  <c r="P44" i="14"/>
  <c r="H44" i="14"/>
  <c r="AE43" i="14"/>
  <c r="AD43" i="14"/>
  <c r="AA43" i="14"/>
  <c r="Z43" i="14"/>
  <c r="M43" i="14"/>
  <c r="W42" i="14"/>
  <c r="H42" i="14"/>
  <c r="W41" i="14"/>
  <c r="W40" i="14"/>
  <c r="H40" i="14"/>
  <c r="H39" i="14"/>
  <c r="AG38" i="14"/>
  <c r="AF38" i="14"/>
  <c r="H38" i="14"/>
  <c r="AG37" i="14"/>
  <c r="AF37" i="14"/>
  <c r="H37" i="14"/>
  <c r="W36" i="14"/>
  <c r="N36" i="14"/>
  <c r="AF36" i="14" s="1"/>
  <c r="P36" i="14"/>
  <c r="H36" i="14"/>
  <c r="AG35" i="14"/>
  <c r="AF35" i="14"/>
  <c r="W35" i="14"/>
  <c r="N35" i="14" s="1"/>
  <c r="O35" i="14" s="1"/>
  <c r="H35" i="14"/>
  <c r="W34" i="14"/>
  <c r="N34" i="14" s="1"/>
  <c r="AF34" i="14" s="1"/>
  <c r="P34" i="14"/>
  <c r="H34" i="14"/>
  <c r="W33" i="14"/>
  <c r="N33" i="14" s="1"/>
  <c r="AG33" i="14" s="1"/>
  <c r="P33" i="14"/>
  <c r="H33" i="14"/>
  <c r="W32" i="14"/>
  <c r="N32" i="14" s="1"/>
  <c r="P32" i="14"/>
  <c r="H32" i="14"/>
  <c r="W31" i="14"/>
  <c r="N31" i="14" s="1"/>
  <c r="P31" i="14"/>
  <c r="H31" i="14"/>
  <c r="AE30" i="14"/>
  <c r="AD30" i="14"/>
  <c r="AA30" i="14"/>
  <c r="Z30" i="14"/>
  <c r="M30" i="14"/>
  <c r="AF29" i="14"/>
  <c r="W29" i="14"/>
  <c r="H29" i="14"/>
  <c r="AF28" i="14"/>
  <c r="W28" i="14"/>
  <c r="H28" i="14"/>
  <c r="AF27" i="14"/>
  <c r="W27" i="14"/>
  <c r="H27" i="14"/>
  <c r="AF26" i="14"/>
  <c r="W26" i="14"/>
  <c r="AF25" i="14"/>
  <c r="W25" i="14"/>
  <c r="W24" i="14"/>
  <c r="O24" i="14"/>
  <c r="N24" i="14"/>
  <c r="AF24" i="14" s="1"/>
  <c r="P24" i="14"/>
  <c r="H24" i="14"/>
  <c r="W23" i="14"/>
  <c r="N23" i="14" s="1"/>
  <c r="O23" i="14" s="1"/>
  <c r="P23" i="14"/>
  <c r="H23" i="14"/>
  <c r="AG22" i="14"/>
  <c r="AF22" i="14"/>
  <c r="W22" i="14"/>
  <c r="N22" i="14" s="1"/>
  <c r="O22" i="14"/>
  <c r="H22" i="14"/>
  <c r="W21" i="14"/>
  <c r="N21" i="14" s="1"/>
  <c r="AF21" i="14" s="1"/>
  <c r="P21" i="14"/>
  <c r="H21" i="14"/>
  <c r="W20" i="14"/>
  <c r="N20" i="14" s="1"/>
  <c r="AG20" i="14" s="1"/>
  <c r="P20" i="14"/>
  <c r="H20" i="14"/>
  <c r="W19" i="14"/>
  <c r="N19" i="14" s="1"/>
  <c r="P19" i="14"/>
  <c r="H19" i="14"/>
  <c r="W18" i="14"/>
  <c r="N18" i="14" s="1"/>
  <c r="P18" i="14"/>
  <c r="P30" i="14"/>
  <c r="H18" i="14"/>
  <c r="AE17" i="14"/>
  <c r="AD17" i="14"/>
  <c r="AA17" i="14"/>
  <c r="Z17" i="14"/>
  <c r="W17" i="14"/>
  <c r="M17" i="14"/>
  <c r="I1" i="14" s="1"/>
  <c r="W16" i="14"/>
  <c r="H16" i="14"/>
  <c r="W15" i="14"/>
  <c r="H15" i="14"/>
  <c r="H14" i="14"/>
  <c r="H13" i="14"/>
  <c r="W12" i="14"/>
  <c r="N12" i="14" s="1"/>
  <c r="O12" i="14" s="1"/>
  <c r="P12" i="14"/>
  <c r="H12" i="14"/>
  <c r="W11" i="14"/>
  <c r="P11" i="14"/>
  <c r="N11" i="14"/>
  <c r="H11" i="14"/>
  <c r="W10" i="14"/>
  <c r="N10" i="14" s="1"/>
  <c r="P10" i="14"/>
  <c r="H10" i="14"/>
  <c r="W9" i="14"/>
  <c r="P9" i="14"/>
  <c r="N9" i="14"/>
  <c r="H9" i="14"/>
  <c r="W8" i="14"/>
  <c r="N8" i="14" s="1"/>
  <c r="P8" i="14"/>
  <c r="H8" i="14"/>
  <c r="W7" i="14"/>
  <c r="P7" i="14"/>
  <c r="N7" i="14"/>
  <c r="H7" i="14"/>
  <c r="W6" i="14"/>
  <c r="N6" i="14" s="1"/>
  <c r="P6" i="14"/>
  <c r="H6" i="14"/>
  <c r="W5" i="14"/>
  <c r="N5" i="14" s="1"/>
  <c r="P5" i="14"/>
  <c r="H5" i="14"/>
  <c r="AE2" i="14"/>
  <c r="I2" i="14"/>
  <c r="E1" i="14"/>
  <c r="AE173" i="13"/>
  <c r="AD173" i="13"/>
  <c r="AA173" i="13"/>
  <c r="Z173" i="13"/>
  <c r="M173" i="13"/>
  <c r="P173" i="13" s="1"/>
  <c r="W172" i="13"/>
  <c r="H172" i="13"/>
  <c r="W171" i="13"/>
  <c r="H171" i="13"/>
  <c r="AG170" i="13"/>
  <c r="AF170" i="13"/>
  <c r="W170" i="13"/>
  <c r="H170" i="13"/>
  <c r="AG169" i="13"/>
  <c r="AF169" i="13"/>
  <c r="W169" i="13"/>
  <c r="H169" i="13"/>
  <c r="AG168" i="13"/>
  <c r="AF168" i="13"/>
  <c r="H168" i="13"/>
  <c r="AG167" i="13"/>
  <c r="AF167" i="13"/>
  <c r="H167" i="13"/>
  <c r="AG166" i="13"/>
  <c r="AF166" i="13"/>
  <c r="H166" i="13"/>
  <c r="W165" i="13"/>
  <c r="N165" i="13"/>
  <c r="H165" i="13"/>
  <c r="W164" i="13"/>
  <c r="N164" i="13" s="1"/>
  <c r="P164" i="13"/>
  <c r="H164" i="13"/>
  <c r="W163" i="13"/>
  <c r="N163" i="13" s="1"/>
  <c r="H163" i="13"/>
  <c r="AF162" i="13"/>
  <c r="W162" i="13"/>
  <c r="N162" i="13" s="1"/>
  <c r="P162" i="13"/>
  <c r="H162" i="13"/>
  <c r="W161" i="13"/>
  <c r="N161" i="13" s="1"/>
  <c r="P161" i="13"/>
  <c r="H161" i="13"/>
  <c r="AE160" i="13"/>
  <c r="AD160" i="13"/>
  <c r="AA160" i="13"/>
  <c r="Z160" i="13"/>
  <c r="M160" i="13"/>
  <c r="W159" i="13"/>
  <c r="H159" i="13"/>
  <c r="W158" i="13"/>
  <c r="H158" i="13"/>
  <c r="W157" i="13"/>
  <c r="H157" i="13"/>
  <c r="W156" i="13"/>
  <c r="H156" i="13"/>
  <c r="W155" i="13"/>
  <c r="H155" i="13"/>
  <c r="AG154" i="13"/>
  <c r="AF154" i="13"/>
  <c r="W154" i="13"/>
  <c r="H154" i="13"/>
  <c r="AG153" i="13"/>
  <c r="AF153" i="13"/>
  <c r="W153" i="13"/>
  <c r="H153" i="13"/>
  <c r="W152" i="13"/>
  <c r="N152" i="13" s="1"/>
  <c r="H152" i="13"/>
  <c r="W151" i="13"/>
  <c r="N151" i="13" s="1"/>
  <c r="P151" i="13"/>
  <c r="H151" i="13"/>
  <c r="W150" i="13"/>
  <c r="N150" i="13" s="1"/>
  <c r="H150" i="13"/>
  <c r="W149" i="13"/>
  <c r="N149" i="13" s="1"/>
  <c r="P149" i="13"/>
  <c r="H149" i="13"/>
  <c r="W148" i="13"/>
  <c r="N148" i="13" s="1"/>
  <c r="P148" i="13"/>
  <c r="H148" i="13"/>
  <c r="AE147" i="13"/>
  <c r="AD147" i="13"/>
  <c r="AA147" i="13"/>
  <c r="Z147" i="13"/>
  <c r="W147" i="13"/>
  <c r="M147" i="13"/>
  <c r="W146" i="13"/>
  <c r="H146" i="13"/>
  <c r="AG145" i="13"/>
  <c r="AF145" i="13"/>
  <c r="W145" i="13"/>
  <c r="H145" i="13"/>
  <c r="AG144" i="13"/>
  <c r="AF144" i="13"/>
  <c r="H144" i="13"/>
  <c r="AG143" i="13"/>
  <c r="AF143" i="13"/>
  <c r="H143" i="13"/>
  <c r="AG142" i="13"/>
  <c r="AF142" i="13"/>
  <c r="H142" i="13"/>
  <c r="W141" i="13"/>
  <c r="N141" i="13" s="1"/>
  <c r="P141" i="13"/>
  <c r="H141" i="13"/>
  <c r="W140" i="13"/>
  <c r="N140" i="13" s="1"/>
  <c r="H140" i="13"/>
  <c r="W139" i="13"/>
  <c r="N139" i="13" s="1"/>
  <c r="P139" i="13"/>
  <c r="H139" i="13"/>
  <c r="W138" i="13"/>
  <c r="N138" i="13" s="1"/>
  <c r="H138" i="13"/>
  <c r="W137" i="13"/>
  <c r="N137" i="13" s="1"/>
  <c r="P137" i="13"/>
  <c r="H137" i="13"/>
  <c r="W136" i="13"/>
  <c r="N136" i="13" s="1"/>
  <c r="O136" i="13" s="1"/>
  <c r="P136" i="13"/>
  <c r="H136" i="13"/>
  <c r="W135" i="13"/>
  <c r="N135" i="13" s="1"/>
  <c r="O135" i="13"/>
  <c r="P135" i="13"/>
  <c r="H135" i="13"/>
  <c r="AE134" i="13"/>
  <c r="AD134" i="13"/>
  <c r="AA134" i="13"/>
  <c r="Z134" i="13"/>
  <c r="M134" i="13"/>
  <c r="W133" i="13"/>
  <c r="H133" i="13"/>
  <c r="W132" i="13"/>
  <c r="H132" i="13"/>
  <c r="W131" i="13"/>
  <c r="N131" i="13" s="1"/>
  <c r="O131" i="13" s="1"/>
  <c r="P131" i="13"/>
  <c r="H131" i="13"/>
  <c r="W130" i="13"/>
  <c r="N130" i="13" s="1"/>
  <c r="O130" i="13" s="1"/>
  <c r="P130" i="13"/>
  <c r="H130" i="13"/>
  <c r="W129" i="13"/>
  <c r="N129" i="13" s="1"/>
  <c r="O129" i="13" s="1"/>
  <c r="P129" i="13"/>
  <c r="H129" i="13"/>
  <c r="W128" i="13"/>
  <c r="N128" i="13" s="1"/>
  <c r="P128" i="13"/>
  <c r="H128" i="13"/>
  <c r="W127" i="13"/>
  <c r="N127" i="13" s="1"/>
  <c r="O127" i="13" s="1"/>
  <c r="P127" i="13"/>
  <c r="H127" i="13"/>
  <c r="W126" i="13"/>
  <c r="N126" i="13" s="1"/>
  <c r="P126" i="13"/>
  <c r="H126" i="13"/>
  <c r="W125" i="13"/>
  <c r="N125" i="13" s="1"/>
  <c r="O125" i="13" s="1"/>
  <c r="P125" i="13"/>
  <c r="H125" i="13"/>
  <c r="W124" i="13"/>
  <c r="N124" i="13" s="1"/>
  <c r="P124" i="13"/>
  <c r="H124" i="13"/>
  <c r="W123" i="13"/>
  <c r="N123" i="13" s="1"/>
  <c r="P123" i="13"/>
  <c r="H123" i="13"/>
  <c r="W122" i="13"/>
  <c r="N122" i="13" s="1"/>
  <c r="H122" i="13"/>
  <c r="AE121" i="13"/>
  <c r="AD121" i="13"/>
  <c r="AA121" i="13"/>
  <c r="Z121" i="13"/>
  <c r="W121" i="13"/>
  <c r="M121" i="13"/>
  <c r="W120" i="13"/>
  <c r="H120" i="13"/>
  <c r="W119" i="13"/>
  <c r="H119" i="13"/>
  <c r="W118" i="13"/>
  <c r="H118" i="13"/>
  <c r="AG117" i="13"/>
  <c r="AF117" i="13"/>
  <c r="W117" i="13"/>
  <c r="H117" i="13"/>
  <c r="AG116" i="13"/>
  <c r="AF116" i="13"/>
  <c r="H116" i="13"/>
  <c r="W115" i="13"/>
  <c r="N115" i="13" s="1"/>
  <c r="O115" i="13" s="1"/>
  <c r="P115" i="13"/>
  <c r="H115" i="13"/>
  <c r="W114" i="13"/>
  <c r="N114" i="13" s="1"/>
  <c r="P114" i="13"/>
  <c r="H114" i="13"/>
  <c r="W113" i="13"/>
  <c r="N113" i="13" s="1"/>
  <c r="O113" i="13" s="1"/>
  <c r="P113" i="13"/>
  <c r="H113" i="13"/>
  <c r="W112" i="13"/>
  <c r="N112" i="13" s="1"/>
  <c r="P112" i="13"/>
  <c r="H112" i="13"/>
  <c r="W111" i="13"/>
  <c r="N111" i="13" s="1"/>
  <c r="O111" i="13" s="1"/>
  <c r="P111" i="13"/>
  <c r="H111" i="13"/>
  <c r="W110" i="13"/>
  <c r="N110" i="13" s="1"/>
  <c r="P110" i="13"/>
  <c r="H110" i="13"/>
  <c r="W109" i="13"/>
  <c r="N109" i="13" s="1"/>
  <c r="AG109" i="13" s="1"/>
  <c r="P109" i="13"/>
  <c r="H109" i="13"/>
  <c r="AE108" i="13"/>
  <c r="AD108" i="13"/>
  <c r="AA108" i="13"/>
  <c r="Z108" i="13"/>
  <c r="W108" i="13"/>
  <c r="M108" i="13"/>
  <c r="W107" i="13"/>
  <c r="H107" i="13"/>
  <c r="W106" i="13"/>
  <c r="H106" i="13"/>
  <c r="W105" i="13"/>
  <c r="H105" i="13"/>
  <c r="AG104" i="13"/>
  <c r="AF104" i="13"/>
  <c r="H104" i="13"/>
  <c r="AG103" i="13"/>
  <c r="AF103" i="13"/>
  <c r="H103" i="13"/>
  <c r="W102" i="13"/>
  <c r="N102" i="13" s="1"/>
  <c r="O102" i="13" s="1"/>
  <c r="P102" i="13"/>
  <c r="H102" i="13"/>
  <c r="W101" i="13"/>
  <c r="N101" i="13"/>
  <c r="P101" i="13"/>
  <c r="H101" i="13"/>
  <c r="W100" i="13"/>
  <c r="N100" i="13" s="1"/>
  <c r="O100" i="13" s="1"/>
  <c r="P100" i="13"/>
  <c r="H100" i="13"/>
  <c r="W99" i="13"/>
  <c r="N99" i="13" s="1"/>
  <c r="P99" i="13"/>
  <c r="H99" i="13"/>
  <c r="W98" i="13"/>
  <c r="N98" i="13" s="1"/>
  <c r="P98" i="13"/>
  <c r="H98" i="13"/>
  <c r="W97" i="13"/>
  <c r="N97" i="13" s="1"/>
  <c r="P97" i="13"/>
  <c r="H97" i="13"/>
  <c r="AF96" i="13"/>
  <c r="W96" i="13"/>
  <c r="N96" i="13" s="1"/>
  <c r="P96" i="13"/>
  <c r="H96" i="13"/>
  <c r="AE95" i="13"/>
  <c r="AD95" i="13"/>
  <c r="AA95" i="13"/>
  <c r="Z95" i="13"/>
  <c r="M95" i="13"/>
  <c r="P95" i="13" s="1"/>
  <c r="AG94" i="13"/>
  <c r="AF94" i="13"/>
  <c r="W94" i="13"/>
  <c r="H94" i="13"/>
  <c r="AG93" i="13"/>
  <c r="AF93" i="13"/>
  <c r="W93" i="13"/>
  <c r="H93" i="13"/>
  <c r="AG92" i="13"/>
  <c r="AF92" i="13"/>
  <c r="H92" i="13"/>
  <c r="AG91" i="13"/>
  <c r="AF91" i="13"/>
  <c r="H91" i="13"/>
  <c r="AG90" i="13"/>
  <c r="AF90" i="13"/>
  <c r="H90" i="13"/>
  <c r="AG89" i="13"/>
  <c r="AF89" i="13"/>
  <c r="H89" i="13"/>
  <c r="AG88" i="13"/>
  <c r="AF88" i="13"/>
  <c r="H88" i="13"/>
  <c r="W87" i="13"/>
  <c r="N87" i="13" s="1"/>
  <c r="P87" i="13"/>
  <c r="H87" i="13"/>
  <c r="W86" i="13"/>
  <c r="N86" i="13" s="1"/>
  <c r="H86" i="13"/>
  <c r="AF85" i="13"/>
  <c r="W85" i="13"/>
  <c r="N85" i="13" s="1"/>
  <c r="P85" i="13"/>
  <c r="H85" i="13"/>
  <c r="W84" i="13"/>
  <c r="N84" i="13"/>
  <c r="H84" i="13"/>
  <c r="W83" i="13"/>
  <c r="N83" i="13"/>
  <c r="H83" i="13"/>
  <c r="AE82" i="13"/>
  <c r="AD82" i="13"/>
  <c r="AA82" i="13"/>
  <c r="Z82" i="13"/>
  <c r="M82" i="13"/>
  <c r="W81" i="13"/>
  <c r="AG80" i="13"/>
  <c r="AF80" i="13"/>
  <c r="W80" i="13"/>
  <c r="H80" i="13"/>
  <c r="AG79" i="13"/>
  <c r="AF79" i="13"/>
  <c r="W79" i="13"/>
  <c r="H79" i="13"/>
  <c r="AG78" i="13"/>
  <c r="AF78" i="13"/>
  <c r="H78" i="13"/>
  <c r="AG77" i="13"/>
  <c r="AF77" i="13"/>
  <c r="H77" i="13"/>
  <c r="AG76" i="13"/>
  <c r="AF76" i="13"/>
  <c r="H76" i="13"/>
  <c r="AG75" i="13"/>
  <c r="AF75" i="13"/>
  <c r="W75" i="13"/>
  <c r="H75" i="13"/>
  <c r="W74" i="13"/>
  <c r="N74" i="13" s="1"/>
  <c r="P74" i="13"/>
  <c r="H74" i="13"/>
  <c r="W73" i="13"/>
  <c r="N73" i="13" s="1"/>
  <c r="O73" i="13" s="1"/>
  <c r="P73" i="13"/>
  <c r="H73" i="13"/>
  <c r="W72" i="13"/>
  <c r="N72" i="13" s="1"/>
  <c r="P72" i="13"/>
  <c r="H72" i="13"/>
  <c r="W71" i="13"/>
  <c r="N71" i="13" s="1"/>
  <c r="O71" i="13" s="1"/>
  <c r="P71" i="13"/>
  <c r="H71" i="13"/>
  <c r="W70" i="13"/>
  <c r="N70" i="13" s="1"/>
  <c r="P70" i="13"/>
  <c r="P82" i="13"/>
  <c r="H70" i="13"/>
  <c r="AE69" i="13"/>
  <c r="AD69" i="13"/>
  <c r="AA69" i="13"/>
  <c r="Z69" i="13"/>
  <c r="W69" i="13"/>
  <c r="M69" i="13"/>
  <c r="W68" i="13"/>
  <c r="H68" i="13"/>
  <c r="AG67" i="13"/>
  <c r="AF67" i="13"/>
  <c r="W67" i="13"/>
  <c r="H67" i="13"/>
  <c r="AG66" i="13"/>
  <c r="AF66" i="13"/>
  <c r="W66" i="13"/>
  <c r="H66" i="13"/>
  <c r="AG65" i="13"/>
  <c r="AF65" i="13"/>
  <c r="W65" i="13"/>
  <c r="H65" i="13"/>
  <c r="AG64" i="13"/>
  <c r="AF64" i="13"/>
  <c r="H64" i="13"/>
  <c r="AG63" i="13"/>
  <c r="AF63" i="13"/>
  <c r="H63" i="13"/>
  <c r="AG62" i="13"/>
  <c r="AF62" i="13"/>
  <c r="H62" i="13"/>
  <c r="AG61" i="13"/>
  <c r="AF61" i="13"/>
  <c r="W60" i="13"/>
  <c r="N60" i="13" s="1"/>
  <c r="O60" i="13" s="1"/>
  <c r="P60" i="13"/>
  <c r="H60" i="13"/>
  <c r="W59" i="13"/>
  <c r="N59" i="13" s="1"/>
  <c r="P59" i="13"/>
  <c r="H59" i="13"/>
  <c r="W58" i="13"/>
  <c r="N58" i="13" s="1"/>
  <c r="O58" i="13" s="1"/>
  <c r="P58" i="13"/>
  <c r="H58" i="13"/>
  <c r="W57" i="13"/>
  <c r="N57" i="13" s="1"/>
  <c r="O57" i="13"/>
  <c r="P57" i="13"/>
  <c r="H57" i="13"/>
  <c r="AE56" i="13"/>
  <c r="AD56" i="13"/>
  <c r="AA56" i="13"/>
  <c r="Z56" i="13"/>
  <c r="W56" i="13"/>
  <c r="M56" i="13"/>
  <c r="W55" i="13"/>
  <c r="H55" i="13"/>
  <c r="W54" i="13"/>
  <c r="H54" i="13"/>
  <c r="W53" i="13"/>
  <c r="H53" i="13"/>
  <c r="AG52" i="13"/>
  <c r="AF52" i="13"/>
  <c r="W52" i="13"/>
  <c r="H52" i="13"/>
  <c r="AG51" i="13"/>
  <c r="AF51" i="13"/>
  <c r="H51" i="13"/>
  <c r="AG50" i="13"/>
  <c r="AF50" i="13"/>
  <c r="H50" i="13"/>
  <c r="AG49" i="13"/>
  <c r="AF49" i="13"/>
  <c r="H49" i="13"/>
  <c r="AG48" i="13"/>
  <c r="AF48" i="13"/>
  <c r="H48" i="13"/>
  <c r="AG47" i="13"/>
  <c r="AF47" i="13"/>
  <c r="H47" i="13"/>
  <c r="W46" i="13"/>
  <c r="N46" i="13"/>
  <c r="P46" i="13"/>
  <c r="H46" i="13"/>
  <c r="W45" i="13"/>
  <c r="N45" i="13" s="1"/>
  <c r="O45" i="13"/>
  <c r="P45" i="13"/>
  <c r="H45" i="13"/>
  <c r="W44" i="13"/>
  <c r="N44" i="13" s="1"/>
  <c r="O44" i="13"/>
  <c r="H44" i="13"/>
  <c r="AE43" i="13"/>
  <c r="AD43" i="13"/>
  <c r="AA43" i="13"/>
  <c r="Z43" i="13"/>
  <c r="M43" i="13"/>
  <c r="W42" i="13"/>
  <c r="H42" i="13"/>
  <c r="W41" i="13"/>
  <c r="W40" i="13"/>
  <c r="H40" i="13"/>
  <c r="H39" i="13"/>
  <c r="AG38" i="13"/>
  <c r="AF38" i="13"/>
  <c r="H38" i="13"/>
  <c r="AG37" i="13"/>
  <c r="AF37" i="13"/>
  <c r="H37" i="13"/>
  <c r="W36" i="13"/>
  <c r="N36" i="13"/>
  <c r="P36" i="13"/>
  <c r="H36" i="13"/>
  <c r="W35" i="13"/>
  <c r="N35" i="13" s="1"/>
  <c r="P35" i="13"/>
  <c r="H35" i="13"/>
  <c r="W34" i="13"/>
  <c r="N34" i="13"/>
  <c r="P34" i="13"/>
  <c r="H34" i="13"/>
  <c r="W33" i="13"/>
  <c r="N33" i="13" s="1"/>
  <c r="O33" i="13"/>
  <c r="P33" i="13"/>
  <c r="H33" i="13"/>
  <c r="W32" i="13"/>
  <c r="N32" i="13" s="1"/>
  <c r="P32" i="13"/>
  <c r="H32" i="13"/>
  <c r="AF31" i="13"/>
  <c r="W31" i="13"/>
  <c r="N31" i="13" s="1"/>
  <c r="P31" i="13"/>
  <c r="H31" i="13"/>
  <c r="AE30" i="13"/>
  <c r="AD30" i="13"/>
  <c r="AA30" i="13"/>
  <c r="Z30" i="13"/>
  <c r="M30" i="13"/>
  <c r="AF29" i="13"/>
  <c r="W29" i="13"/>
  <c r="H29" i="13"/>
  <c r="AF28" i="13"/>
  <c r="W28" i="13"/>
  <c r="H28" i="13"/>
  <c r="AF27" i="13"/>
  <c r="W27" i="13"/>
  <c r="H27" i="13"/>
  <c r="AF26" i="13"/>
  <c r="W26" i="13"/>
  <c r="AF25" i="13"/>
  <c r="W25" i="13"/>
  <c r="W24" i="13"/>
  <c r="N24" i="13" s="1"/>
  <c r="AF24" i="13" s="1"/>
  <c r="P24" i="13"/>
  <c r="H24" i="13"/>
  <c r="W23" i="13"/>
  <c r="Q23" i="13"/>
  <c r="P23" i="13"/>
  <c r="N23" i="13"/>
  <c r="O23" i="13" s="1"/>
  <c r="R23" i="13" s="1"/>
  <c r="H23" i="13"/>
  <c r="W22" i="13"/>
  <c r="N22" i="13" s="1"/>
  <c r="P22" i="13"/>
  <c r="H22" i="13"/>
  <c r="W21" i="13"/>
  <c r="N21" i="13" s="1"/>
  <c r="P21" i="13"/>
  <c r="H21" i="13"/>
  <c r="W20" i="13"/>
  <c r="N20" i="13" s="1"/>
  <c r="O20" i="13" s="1"/>
  <c r="H20" i="13"/>
  <c r="W19" i="13"/>
  <c r="N19" i="13" s="1"/>
  <c r="P19" i="13"/>
  <c r="H19" i="13"/>
  <c r="W18" i="13"/>
  <c r="N18" i="13" s="1"/>
  <c r="O18" i="13" s="1"/>
  <c r="Q18" i="13" s="1"/>
  <c r="P18" i="13"/>
  <c r="H18" i="13"/>
  <c r="AE17" i="13"/>
  <c r="AD17" i="13"/>
  <c r="AA17" i="13"/>
  <c r="Z17" i="13"/>
  <c r="W17" i="13"/>
  <c r="M17" i="13"/>
  <c r="W16" i="13"/>
  <c r="H16" i="13"/>
  <c r="W15" i="13"/>
  <c r="H15" i="13"/>
  <c r="H14" i="13"/>
  <c r="H13" i="13"/>
  <c r="W12" i="13"/>
  <c r="N12" i="13" s="1"/>
  <c r="O12" i="13" s="1"/>
  <c r="P12" i="13"/>
  <c r="H12" i="13"/>
  <c r="W11" i="13"/>
  <c r="N11" i="13" s="1"/>
  <c r="H11" i="13"/>
  <c r="W10" i="13"/>
  <c r="N10" i="13" s="1"/>
  <c r="P10" i="13"/>
  <c r="H10" i="13"/>
  <c r="W9" i="13"/>
  <c r="N9" i="13" s="1"/>
  <c r="H9" i="13"/>
  <c r="W8" i="13"/>
  <c r="N8" i="13" s="1"/>
  <c r="P8" i="13"/>
  <c r="H8" i="13"/>
  <c r="W7" i="13"/>
  <c r="N7" i="13" s="1"/>
  <c r="H7" i="13"/>
  <c r="W6" i="13"/>
  <c r="N6" i="13" s="1"/>
  <c r="O6" i="13"/>
  <c r="P6" i="13"/>
  <c r="H6" i="13"/>
  <c r="W5" i="13"/>
  <c r="N5" i="13" s="1"/>
  <c r="O5" i="13" s="1"/>
  <c r="P17" i="13"/>
  <c r="H5" i="13"/>
  <c r="I2" i="13"/>
  <c r="E1" i="13"/>
  <c r="AE173" i="12"/>
  <c r="AD173" i="12"/>
  <c r="AA173" i="12"/>
  <c r="Z173" i="12"/>
  <c r="M173" i="12"/>
  <c r="W172" i="12"/>
  <c r="H172" i="12"/>
  <c r="W171" i="12"/>
  <c r="H171" i="12"/>
  <c r="AG170" i="12"/>
  <c r="AF170" i="12"/>
  <c r="W170" i="12"/>
  <c r="H170" i="12"/>
  <c r="AG169" i="12"/>
  <c r="AF169" i="12"/>
  <c r="W169" i="12"/>
  <c r="H169" i="12"/>
  <c r="AG168" i="12"/>
  <c r="AF168" i="12"/>
  <c r="H168" i="12"/>
  <c r="AG167" i="12"/>
  <c r="AF167" i="12"/>
  <c r="H167" i="12"/>
  <c r="AG166" i="12"/>
  <c r="AF166" i="12"/>
  <c r="H166" i="12"/>
  <c r="W165" i="12"/>
  <c r="N165" i="12" s="1"/>
  <c r="O165" i="12" s="1"/>
  <c r="H165" i="12"/>
  <c r="W164" i="12"/>
  <c r="N164" i="12" s="1"/>
  <c r="AG164" i="12" s="1"/>
  <c r="P164" i="12"/>
  <c r="H164" i="12"/>
  <c r="W163" i="12"/>
  <c r="N163" i="12" s="1"/>
  <c r="H163" i="12"/>
  <c r="AG162" i="12"/>
  <c r="W162" i="12"/>
  <c r="N162" i="12" s="1"/>
  <c r="P162" i="12"/>
  <c r="H162" i="12"/>
  <c r="AF161" i="12"/>
  <c r="W161" i="12"/>
  <c r="N161" i="12" s="1"/>
  <c r="H161" i="12"/>
  <c r="AE160" i="12"/>
  <c r="AD160" i="12"/>
  <c r="AA160" i="12"/>
  <c r="Z160" i="12"/>
  <c r="M160" i="12"/>
  <c r="W159" i="12"/>
  <c r="H159" i="12"/>
  <c r="W158" i="12"/>
  <c r="H158" i="12"/>
  <c r="W157" i="12"/>
  <c r="H157" i="12"/>
  <c r="W156" i="12"/>
  <c r="H156" i="12"/>
  <c r="W155" i="12"/>
  <c r="H155" i="12"/>
  <c r="AG154" i="12"/>
  <c r="AF154" i="12"/>
  <c r="W154" i="12"/>
  <c r="H154" i="12"/>
  <c r="AG153" i="12"/>
  <c r="AF153" i="12"/>
  <c r="W153" i="12"/>
  <c r="H153" i="12"/>
  <c r="W152" i="12"/>
  <c r="N152" i="12" s="1"/>
  <c r="O152" i="12" s="1"/>
  <c r="H152" i="12"/>
  <c r="AG151" i="12"/>
  <c r="W151" i="12"/>
  <c r="N151" i="12" s="1"/>
  <c r="P151" i="12"/>
  <c r="H151" i="12"/>
  <c r="W150" i="12"/>
  <c r="N150" i="12" s="1"/>
  <c r="H150" i="12"/>
  <c r="W149" i="12"/>
  <c r="N149" i="12" s="1"/>
  <c r="P149" i="12"/>
  <c r="H149" i="12"/>
  <c r="W148" i="12"/>
  <c r="N148" i="12" s="1"/>
  <c r="P148" i="12"/>
  <c r="H148" i="12"/>
  <c r="AE147" i="12"/>
  <c r="AD147" i="12"/>
  <c r="AA147" i="12"/>
  <c r="Z147" i="12"/>
  <c r="W147" i="12"/>
  <c r="M147" i="12"/>
  <c r="W146" i="12"/>
  <c r="H146" i="12"/>
  <c r="AG145" i="12"/>
  <c r="AF145" i="12"/>
  <c r="W145" i="12"/>
  <c r="H145" i="12"/>
  <c r="AG144" i="12"/>
  <c r="AF144" i="12"/>
  <c r="H144" i="12"/>
  <c r="AG143" i="12"/>
  <c r="AF143" i="12"/>
  <c r="H143" i="12"/>
  <c r="AG142" i="12"/>
  <c r="AF142" i="12"/>
  <c r="H142" i="12"/>
  <c r="AG141" i="12"/>
  <c r="W141" i="12"/>
  <c r="N141" i="12" s="1"/>
  <c r="P141" i="12"/>
  <c r="H141" i="12"/>
  <c r="W140" i="12"/>
  <c r="N140" i="12" s="1"/>
  <c r="O140" i="12" s="1"/>
  <c r="H140" i="12"/>
  <c r="AG139" i="12"/>
  <c r="W139" i="12"/>
  <c r="N139" i="12" s="1"/>
  <c r="P139" i="12"/>
  <c r="H139" i="12"/>
  <c r="W138" i="12"/>
  <c r="N138" i="12" s="1"/>
  <c r="H138" i="12"/>
  <c r="W137" i="12"/>
  <c r="N137" i="12" s="1"/>
  <c r="P137" i="12"/>
  <c r="H137" i="12"/>
  <c r="W136" i="12"/>
  <c r="N136" i="12" s="1"/>
  <c r="H136" i="12"/>
  <c r="W135" i="12"/>
  <c r="N135" i="12"/>
  <c r="O135" i="12" s="1"/>
  <c r="H135" i="12"/>
  <c r="AE134" i="12"/>
  <c r="AD134" i="12"/>
  <c r="AA134" i="12"/>
  <c r="Z134" i="12"/>
  <c r="M134" i="12"/>
  <c r="W133" i="12"/>
  <c r="H133" i="12"/>
  <c r="W132" i="12"/>
  <c r="H132" i="12"/>
  <c r="W131" i="12"/>
  <c r="N131" i="12" s="1"/>
  <c r="O131" i="12" s="1"/>
  <c r="H131" i="12"/>
  <c r="W130" i="12"/>
  <c r="N130" i="12" s="1"/>
  <c r="O130" i="12" s="1"/>
  <c r="H130" i="12"/>
  <c r="W129" i="12"/>
  <c r="N129" i="12" s="1"/>
  <c r="O129" i="12" s="1"/>
  <c r="H129" i="12"/>
  <c r="W128" i="12"/>
  <c r="N128" i="12" s="1"/>
  <c r="AG128" i="12" s="1"/>
  <c r="P128" i="12"/>
  <c r="H128" i="12"/>
  <c r="W127" i="12"/>
  <c r="N127" i="12" s="1"/>
  <c r="H127" i="12"/>
  <c r="W126" i="12"/>
  <c r="N126" i="12" s="1"/>
  <c r="AG126" i="12" s="1"/>
  <c r="P126" i="12"/>
  <c r="H126" i="12"/>
  <c r="W125" i="12"/>
  <c r="N125" i="12" s="1"/>
  <c r="O125" i="12" s="1"/>
  <c r="H125" i="12"/>
  <c r="AG124" i="12"/>
  <c r="W124" i="12"/>
  <c r="N124" i="12" s="1"/>
  <c r="P124" i="12"/>
  <c r="H124" i="12"/>
  <c r="W123" i="12"/>
  <c r="N123" i="12" s="1"/>
  <c r="H123" i="12"/>
  <c r="W122" i="12"/>
  <c r="N122" i="12" s="1"/>
  <c r="O122" i="12" s="1"/>
  <c r="H122" i="12"/>
  <c r="AE121" i="12"/>
  <c r="AD121" i="12"/>
  <c r="AA121" i="12"/>
  <c r="Z121" i="12"/>
  <c r="W121" i="12"/>
  <c r="M121" i="12"/>
  <c r="W120" i="12"/>
  <c r="H120" i="12"/>
  <c r="W119" i="12"/>
  <c r="H119" i="12"/>
  <c r="W118" i="12"/>
  <c r="H118" i="12"/>
  <c r="AG117" i="12"/>
  <c r="AF117" i="12"/>
  <c r="W117" i="12"/>
  <c r="H117" i="12"/>
  <c r="AG116" i="12"/>
  <c r="AF116" i="12"/>
  <c r="H116" i="12"/>
  <c r="W115" i="12"/>
  <c r="P115" i="12"/>
  <c r="N115" i="12"/>
  <c r="O115" i="12" s="1"/>
  <c r="H115" i="12"/>
  <c r="W114" i="12"/>
  <c r="N114" i="12" s="1"/>
  <c r="P114" i="12"/>
  <c r="H114" i="12"/>
  <c r="W113" i="12"/>
  <c r="P113" i="12"/>
  <c r="N113" i="12"/>
  <c r="O113" i="12" s="1"/>
  <c r="H113" i="12"/>
  <c r="W112" i="12"/>
  <c r="N112" i="12" s="1"/>
  <c r="P112" i="12"/>
  <c r="H112" i="12"/>
  <c r="W111" i="12"/>
  <c r="P111" i="12"/>
  <c r="N111" i="12"/>
  <c r="O111" i="12" s="1"/>
  <c r="H111" i="12"/>
  <c r="W110" i="12"/>
  <c r="N110" i="12" s="1"/>
  <c r="P110" i="12"/>
  <c r="H110" i="12"/>
  <c r="W109" i="12"/>
  <c r="P109" i="12"/>
  <c r="N109" i="12"/>
  <c r="H109" i="12"/>
  <c r="AE108" i="12"/>
  <c r="AD108" i="12"/>
  <c r="AA108" i="12"/>
  <c r="Z108" i="12"/>
  <c r="W108" i="12"/>
  <c r="M108" i="12"/>
  <c r="W107" i="12"/>
  <c r="H107" i="12"/>
  <c r="W106" i="12"/>
  <c r="H106" i="12"/>
  <c r="W105" i="12"/>
  <c r="H105" i="12"/>
  <c r="AG104" i="12"/>
  <c r="AF104" i="12"/>
  <c r="H104" i="12"/>
  <c r="AG103" i="12"/>
  <c r="AF103" i="12"/>
  <c r="H103" i="12"/>
  <c r="W102" i="12"/>
  <c r="N102" i="12" s="1"/>
  <c r="O102" i="12"/>
  <c r="P102" i="12"/>
  <c r="H102" i="12"/>
  <c r="AG101" i="12"/>
  <c r="W101" i="12"/>
  <c r="N101" i="12" s="1"/>
  <c r="AF101" i="12" s="1"/>
  <c r="P101" i="12"/>
  <c r="H101" i="12"/>
  <c r="W100" i="12"/>
  <c r="N100" i="12" s="1"/>
  <c r="O100" i="12" s="1"/>
  <c r="P100" i="12"/>
  <c r="H100" i="12"/>
  <c r="W99" i="12"/>
  <c r="N99" i="12" s="1"/>
  <c r="AF99" i="12" s="1"/>
  <c r="P99" i="12"/>
  <c r="H99" i="12"/>
  <c r="W98" i="12"/>
  <c r="N98" i="12" s="1"/>
  <c r="O98" i="12" s="1"/>
  <c r="P98" i="12"/>
  <c r="H98" i="12"/>
  <c r="AG97" i="12"/>
  <c r="W97" i="12"/>
  <c r="N97" i="12" s="1"/>
  <c r="AF97" i="12" s="1"/>
  <c r="P97" i="12"/>
  <c r="H97" i="12"/>
  <c r="W96" i="12"/>
  <c r="P96" i="12"/>
  <c r="N96" i="12"/>
  <c r="H96" i="12"/>
  <c r="AE95" i="12"/>
  <c r="AD95" i="12"/>
  <c r="AA95" i="12"/>
  <c r="Z95" i="12"/>
  <c r="M95" i="12"/>
  <c r="P95" i="12" s="1"/>
  <c r="AG94" i="12"/>
  <c r="AF94" i="12"/>
  <c r="W94" i="12"/>
  <c r="H94" i="12"/>
  <c r="AG93" i="12"/>
  <c r="AF93" i="12"/>
  <c r="W93" i="12"/>
  <c r="H93" i="12"/>
  <c r="AG92" i="12"/>
  <c r="AF92" i="12"/>
  <c r="H92" i="12"/>
  <c r="AG91" i="12"/>
  <c r="AF91" i="12"/>
  <c r="H91" i="12"/>
  <c r="AG90" i="12"/>
  <c r="AF90" i="12"/>
  <c r="H90" i="12"/>
  <c r="AG89" i="12"/>
  <c r="AF89" i="12"/>
  <c r="H89" i="12"/>
  <c r="AG88" i="12"/>
  <c r="AF88" i="12"/>
  <c r="H88" i="12"/>
  <c r="W87" i="12"/>
  <c r="N87" i="12" s="1"/>
  <c r="P87" i="12"/>
  <c r="H87" i="12"/>
  <c r="W86" i="12"/>
  <c r="N86" i="12"/>
  <c r="P86" i="12"/>
  <c r="H86" i="12"/>
  <c r="W85" i="12"/>
  <c r="N85" i="12" s="1"/>
  <c r="P85" i="12"/>
  <c r="H85" i="12"/>
  <c r="W84" i="12"/>
  <c r="N84" i="12" s="1"/>
  <c r="P84" i="12"/>
  <c r="H84" i="12"/>
  <c r="W83" i="12"/>
  <c r="N83" i="12" s="1"/>
  <c r="P83" i="12"/>
  <c r="H83" i="12"/>
  <c r="AE82" i="12"/>
  <c r="AD82" i="12"/>
  <c r="AA82" i="12"/>
  <c r="Z82" i="12"/>
  <c r="M82" i="12"/>
  <c r="I1" i="12" s="1"/>
  <c r="W81" i="12"/>
  <c r="AG80" i="12"/>
  <c r="AF80" i="12"/>
  <c r="W80" i="12"/>
  <c r="H80" i="12"/>
  <c r="AG79" i="12"/>
  <c r="AF79" i="12"/>
  <c r="W79" i="12"/>
  <c r="H79" i="12"/>
  <c r="AG78" i="12"/>
  <c r="AF78" i="12"/>
  <c r="H78" i="12"/>
  <c r="AG77" i="12"/>
  <c r="AF77" i="12"/>
  <c r="H77" i="12"/>
  <c r="AG76" i="12"/>
  <c r="AF76" i="12"/>
  <c r="H76" i="12"/>
  <c r="AG75" i="12"/>
  <c r="AF75" i="12"/>
  <c r="W75" i="12"/>
  <c r="H75" i="12"/>
  <c r="W74" i="12"/>
  <c r="N74" i="12" s="1"/>
  <c r="P74" i="12"/>
  <c r="H74" i="12"/>
  <c r="W73" i="12"/>
  <c r="N73" i="12" s="1"/>
  <c r="O73" i="12" s="1"/>
  <c r="P73" i="12"/>
  <c r="H73" i="12"/>
  <c r="W72" i="12"/>
  <c r="N72" i="12" s="1"/>
  <c r="P72" i="12"/>
  <c r="H72" i="12"/>
  <c r="W71" i="12"/>
  <c r="N71" i="12" s="1"/>
  <c r="O71" i="12" s="1"/>
  <c r="P71" i="12"/>
  <c r="H71" i="12"/>
  <c r="W70" i="12"/>
  <c r="N70" i="12" s="1"/>
  <c r="P70" i="12"/>
  <c r="H70" i="12"/>
  <c r="AE69" i="12"/>
  <c r="AD69" i="12"/>
  <c r="AD2" i="12" s="1"/>
  <c r="AA69" i="12"/>
  <c r="Z69" i="12"/>
  <c r="W69" i="12"/>
  <c r="M69" i="12"/>
  <c r="W68" i="12"/>
  <c r="H68" i="12"/>
  <c r="AG67" i="12"/>
  <c r="AF67" i="12"/>
  <c r="W67" i="12"/>
  <c r="H67" i="12"/>
  <c r="AG66" i="12"/>
  <c r="AF66" i="12"/>
  <c r="W66" i="12"/>
  <c r="H66" i="12"/>
  <c r="AG65" i="12"/>
  <c r="AF65" i="12"/>
  <c r="W65" i="12"/>
  <c r="H65" i="12"/>
  <c r="AG64" i="12"/>
  <c r="AF64" i="12"/>
  <c r="H64" i="12"/>
  <c r="AG63" i="12"/>
  <c r="AF63" i="12"/>
  <c r="H63" i="12"/>
  <c r="AG62" i="12"/>
  <c r="AF62" i="12"/>
  <c r="H62" i="12"/>
  <c r="AG61" i="12"/>
  <c r="AF61" i="12"/>
  <c r="W60" i="12"/>
  <c r="N60" i="12" s="1"/>
  <c r="O60" i="12"/>
  <c r="P60" i="12"/>
  <c r="H60" i="12"/>
  <c r="W59" i="12"/>
  <c r="N59" i="12"/>
  <c r="P59" i="12"/>
  <c r="H59" i="12"/>
  <c r="W58" i="12"/>
  <c r="N58" i="12" s="1"/>
  <c r="O58" i="12" s="1"/>
  <c r="P58" i="12"/>
  <c r="H58" i="12"/>
  <c r="W57" i="12"/>
  <c r="N57" i="12" s="1"/>
  <c r="O57" i="12"/>
  <c r="P57" i="12"/>
  <c r="H57" i="12"/>
  <c r="AE56" i="12"/>
  <c r="AD56" i="12"/>
  <c r="AA56" i="12"/>
  <c r="Z56" i="12"/>
  <c r="W56" i="12"/>
  <c r="M56" i="12"/>
  <c r="W55" i="12"/>
  <c r="H55" i="12"/>
  <c r="W54" i="12"/>
  <c r="H54" i="12"/>
  <c r="W53" i="12"/>
  <c r="H53" i="12"/>
  <c r="AG52" i="12"/>
  <c r="AF52" i="12"/>
  <c r="W52" i="12"/>
  <c r="H52" i="12"/>
  <c r="AG51" i="12"/>
  <c r="AF51" i="12"/>
  <c r="H51" i="12"/>
  <c r="AG50" i="12"/>
  <c r="AF50" i="12"/>
  <c r="H50" i="12"/>
  <c r="AG49" i="12"/>
  <c r="AF49" i="12"/>
  <c r="H49" i="12"/>
  <c r="AG48" i="12"/>
  <c r="AF48" i="12"/>
  <c r="H48" i="12"/>
  <c r="AG47" i="12"/>
  <c r="AF47" i="12"/>
  <c r="H47" i="12"/>
  <c r="W46" i="12"/>
  <c r="N46" i="12" s="1"/>
  <c r="AF46" i="12" s="1"/>
  <c r="P46" i="12"/>
  <c r="H46" i="12"/>
  <c r="W45" i="12"/>
  <c r="N45" i="12" s="1"/>
  <c r="O45" i="12" s="1"/>
  <c r="H45" i="12"/>
  <c r="W44" i="12"/>
  <c r="N44" i="12" s="1"/>
  <c r="H44" i="12"/>
  <c r="AE43" i="12"/>
  <c r="AD43" i="12"/>
  <c r="AA43" i="12"/>
  <c r="Z43" i="12"/>
  <c r="M43" i="12"/>
  <c r="W42" i="12"/>
  <c r="H42" i="12"/>
  <c r="W41" i="12"/>
  <c r="W40" i="12"/>
  <c r="H40" i="12"/>
  <c r="H39" i="12"/>
  <c r="AG38" i="12"/>
  <c r="AF38" i="12"/>
  <c r="H38" i="12"/>
  <c r="AG37" i="12"/>
  <c r="AF37" i="12"/>
  <c r="H37" i="12"/>
  <c r="W36" i="12"/>
  <c r="N36" i="12"/>
  <c r="P36" i="12"/>
  <c r="H36" i="12"/>
  <c r="W35" i="12"/>
  <c r="N35" i="12" s="1"/>
  <c r="O35" i="12" s="1"/>
  <c r="P35" i="12"/>
  <c r="H35" i="12"/>
  <c r="W34" i="12"/>
  <c r="N34" i="12"/>
  <c r="P34" i="12"/>
  <c r="H34" i="12"/>
  <c r="W33" i="12"/>
  <c r="N33" i="12" s="1"/>
  <c r="O33" i="12" s="1"/>
  <c r="P33" i="12"/>
  <c r="H33" i="12"/>
  <c r="W32" i="12"/>
  <c r="N32" i="12" s="1"/>
  <c r="P32" i="12"/>
  <c r="H32" i="12"/>
  <c r="W31" i="12"/>
  <c r="N31" i="12" s="1"/>
  <c r="AF31" i="12" s="1"/>
  <c r="P31" i="12"/>
  <c r="H31" i="12"/>
  <c r="AE30" i="12"/>
  <c r="AD30" i="12"/>
  <c r="AA30" i="12"/>
  <c r="Z30" i="12"/>
  <c r="M30" i="12"/>
  <c r="AF29" i="12"/>
  <c r="W29" i="12"/>
  <c r="H29" i="12"/>
  <c r="AF28" i="12"/>
  <c r="W28" i="12"/>
  <c r="H28" i="12"/>
  <c r="AF27" i="12"/>
  <c r="W27" i="12"/>
  <c r="H27" i="12"/>
  <c r="AF26" i="12"/>
  <c r="W26" i="12"/>
  <c r="AF25" i="12"/>
  <c r="W25" i="12"/>
  <c r="W24" i="12"/>
  <c r="N24" i="12" s="1"/>
  <c r="P24" i="12"/>
  <c r="H24" i="12"/>
  <c r="W23" i="12"/>
  <c r="P23" i="12"/>
  <c r="N23" i="12"/>
  <c r="O23" i="12" s="1"/>
  <c r="H23" i="12"/>
  <c r="W22" i="12"/>
  <c r="N22" i="12" s="1"/>
  <c r="O22" i="12" s="1"/>
  <c r="P22" i="12"/>
  <c r="H22" i="12"/>
  <c r="W21" i="12"/>
  <c r="P21" i="12"/>
  <c r="N21" i="12"/>
  <c r="O21" i="12" s="1"/>
  <c r="Q21" i="12" s="1"/>
  <c r="H21" i="12"/>
  <c r="W20" i="12"/>
  <c r="N20" i="12" s="1"/>
  <c r="O20" i="12" s="1"/>
  <c r="P20" i="12"/>
  <c r="H20" i="12"/>
  <c r="W19" i="12"/>
  <c r="N19" i="12" s="1"/>
  <c r="P19" i="12"/>
  <c r="H19" i="12"/>
  <c r="W18" i="12"/>
  <c r="N18" i="12" s="1"/>
  <c r="AF18" i="12" s="1"/>
  <c r="P18" i="12"/>
  <c r="H18" i="12"/>
  <c r="AE17" i="12"/>
  <c r="AD17" i="12"/>
  <c r="AA17" i="12"/>
  <c r="Z17" i="12"/>
  <c r="W17" i="12"/>
  <c r="M17" i="12"/>
  <c r="W16" i="12"/>
  <c r="H16" i="12"/>
  <c r="W15" i="12"/>
  <c r="H15" i="12"/>
  <c r="H14" i="12"/>
  <c r="H13" i="12"/>
  <c r="W12" i="12"/>
  <c r="N12" i="12" s="1"/>
  <c r="O12" i="12" s="1"/>
  <c r="P12" i="12"/>
  <c r="H12" i="12"/>
  <c r="W11" i="12"/>
  <c r="N11" i="12" s="1"/>
  <c r="P11" i="12"/>
  <c r="H11" i="12"/>
  <c r="AF10" i="12"/>
  <c r="W10" i="12"/>
  <c r="N10" i="12" s="1"/>
  <c r="P10" i="12"/>
  <c r="H10" i="12"/>
  <c r="W9" i="12"/>
  <c r="N9" i="12" s="1"/>
  <c r="P9" i="12"/>
  <c r="H9" i="12"/>
  <c r="AF8" i="12"/>
  <c r="W8" i="12"/>
  <c r="N8" i="12" s="1"/>
  <c r="P8" i="12"/>
  <c r="H8" i="12"/>
  <c r="W7" i="12"/>
  <c r="N7" i="12" s="1"/>
  <c r="P7" i="12"/>
  <c r="H7" i="12"/>
  <c r="AF6" i="12"/>
  <c r="W6" i="12"/>
  <c r="N6" i="12" s="1"/>
  <c r="P6" i="12"/>
  <c r="H6" i="12"/>
  <c r="W5" i="12"/>
  <c r="N5" i="12" s="1"/>
  <c r="P5" i="12"/>
  <c r="H5" i="12"/>
  <c r="I2" i="12"/>
  <c r="E1" i="12"/>
  <c r="AE173" i="11"/>
  <c r="AD173" i="11"/>
  <c r="AA173" i="11"/>
  <c r="Z173" i="11"/>
  <c r="M173" i="11"/>
  <c r="W172" i="11"/>
  <c r="H172" i="11"/>
  <c r="W171" i="11"/>
  <c r="H171" i="11"/>
  <c r="AG170" i="11"/>
  <c r="AF170" i="11"/>
  <c r="W170" i="11"/>
  <c r="H170" i="11"/>
  <c r="AG169" i="11"/>
  <c r="AF169" i="11"/>
  <c r="W169" i="11"/>
  <c r="H169" i="11"/>
  <c r="AG168" i="11"/>
  <c r="AF168" i="11"/>
  <c r="H168" i="11"/>
  <c r="AG167" i="11"/>
  <c r="AF167" i="11"/>
  <c r="H167" i="11"/>
  <c r="AG166" i="11"/>
  <c r="AF166" i="11"/>
  <c r="H166" i="11"/>
  <c r="W165" i="11"/>
  <c r="N165" i="11" s="1"/>
  <c r="O165" i="11" s="1"/>
  <c r="H165" i="11"/>
  <c r="W164" i="11"/>
  <c r="N164" i="11" s="1"/>
  <c r="P164" i="11"/>
  <c r="H164" i="11"/>
  <c r="W163" i="11"/>
  <c r="N163" i="11" s="1"/>
  <c r="O163" i="11"/>
  <c r="H163" i="11"/>
  <c r="W162" i="11"/>
  <c r="N162" i="11" s="1"/>
  <c r="AG162" i="11" s="1"/>
  <c r="P162" i="11"/>
  <c r="H162" i="11"/>
  <c r="W161" i="11"/>
  <c r="N161" i="11" s="1"/>
  <c r="AF161" i="11" s="1"/>
  <c r="H161" i="11"/>
  <c r="AE160" i="11"/>
  <c r="AD160" i="11"/>
  <c r="AA160" i="11"/>
  <c r="Z160" i="11"/>
  <c r="M160" i="11"/>
  <c r="W159" i="11"/>
  <c r="H159" i="11"/>
  <c r="W158" i="11"/>
  <c r="H158" i="11"/>
  <c r="W157" i="11"/>
  <c r="H157" i="11"/>
  <c r="W156" i="11"/>
  <c r="H156" i="11"/>
  <c r="W155" i="11"/>
  <c r="H155" i="11"/>
  <c r="AG154" i="11"/>
  <c r="AF154" i="11"/>
  <c r="W154" i="11"/>
  <c r="H154" i="11"/>
  <c r="AG153" i="11"/>
  <c r="AF153" i="11"/>
  <c r="W153" i="11"/>
  <c r="H153" i="11"/>
  <c r="W152" i="11"/>
  <c r="N152" i="11" s="1"/>
  <c r="O152" i="11"/>
  <c r="H152" i="11"/>
  <c r="W151" i="11"/>
  <c r="N151" i="11" s="1"/>
  <c r="AG151" i="11" s="1"/>
  <c r="P151" i="11"/>
  <c r="H151" i="11"/>
  <c r="W150" i="11"/>
  <c r="N150" i="11" s="1"/>
  <c r="O150" i="11"/>
  <c r="H150" i="11"/>
  <c r="W149" i="11"/>
  <c r="P149" i="11"/>
  <c r="N149" i="11"/>
  <c r="H149" i="11"/>
  <c r="W148" i="11"/>
  <c r="N148" i="11" s="1"/>
  <c r="AF148" i="11" s="1"/>
  <c r="P148" i="11"/>
  <c r="H148" i="11"/>
  <c r="AE147" i="11"/>
  <c r="AD147" i="11"/>
  <c r="AA147" i="11"/>
  <c r="Z147" i="11"/>
  <c r="W147" i="11"/>
  <c r="M147" i="11"/>
  <c r="W146" i="11"/>
  <c r="H146" i="11"/>
  <c r="AG145" i="11"/>
  <c r="AF145" i="11"/>
  <c r="W145" i="11"/>
  <c r="H145" i="11"/>
  <c r="AG144" i="11"/>
  <c r="AF144" i="11"/>
  <c r="H144" i="11"/>
  <c r="AG143" i="11"/>
  <c r="AF143" i="11"/>
  <c r="H143" i="11"/>
  <c r="AG142" i="11"/>
  <c r="AF142" i="11"/>
  <c r="H142" i="11"/>
  <c r="AG141" i="11"/>
  <c r="W141" i="11"/>
  <c r="N141" i="11" s="1"/>
  <c r="P141" i="11"/>
  <c r="H141" i="11"/>
  <c r="W140" i="11"/>
  <c r="N140" i="11" s="1"/>
  <c r="O140" i="11" s="1"/>
  <c r="H140" i="11"/>
  <c r="W139" i="11"/>
  <c r="N139" i="11" s="1"/>
  <c r="AG139" i="11" s="1"/>
  <c r="P139" i="11"/>
  <c r="H139" i="11"/>
  <c r="W138" i="11"/>
  <c r="N138" i="11" s="1"/>
  <c r="O138" i="11" s="1"/>
  <c r="H138" i="11"/>
  <c r="AG137" i="11"/>
  <c r="W137" i="11"/>
  <c r="N137" i="11" s="1"/>
  <c r="P137" i="11"/>
  <c r="H137" i="11"/>
  <c r="W136" i="11"/>
  <c r="N136" i="11" s="1"/>
  <c r="O136" i="11" s="1"/>
  <c r="H136" i="11"/>
  <c r="W135" i="11"/>
  <c r="N135" i="11"/>
  <c r="H135" i="11"/>
  <c r="AE134" i="11"/>
  <c r="AD134" i="11"/>
  <c r="AA134" i="11"/>
  <c r="Z134" i="11"/>
  <c r="M134" i="11"/>
  <c r="W133" i="11"/>
  <c r="H133" i="11"/>
  <c r="W132" i="11"/>
  <c r="H132" i="11"/>
  <c r="W131" i="11"/>
  <c r="N131" i="11" s="1"/>
  <c r="O131" i="11" s="1"/>
  <c r="P131" i="11"/>
  <c r="H131" i="11"/>
  <c r="W130" i="11"/>
  <c r="N130" i="11" s="1"/>
  <c r="O130" i="11"/>
  <c r="P130" i="11"/>
  <c r="H130" i="11"/>
  <c r="W129" i="11"/>
  <c r="N129" i="11" s="1"/>
  <c r="O129" i="11" s="1"/>
  <c r="P129" i="11"/>
  <c r="H129" i="11"/>
  <c r="W128" i="11"/>
  <c r="N128" i="11"/>
  <c r="P128" i="11"/>
  <c r="H128" i="11"/>
  <c r="W127" i="11"/>
  <c r="N127" i="11" s="1"/>
  <c r="P127" i="11"/>
  <c r="H127" i="11"/>
  <c r="W126" i="11"/>
  <c r="N126" i="11"/>
  <c r="P126" i="11"/>
  <c r="H126" i="11"/>
  <c r="W125" i="11"/>
  <c r="N125" i="11" s="1"/>
  <c r="O125" i="11" s="1"/>
  <c r="P125" i="11"/>
  <c r="H125" i="11"/>
  <c r="W124" i="11"/>
  <c r="N124" i="11" s="1"/>
  <c r="P124" i="11"/>
  <c r="H124" i="11"/>
  <c r="W123" i="11"/>
  <c r="N123" i="11" s="1"/>
  <c r="P123" i="11"/>
  <c r="H123" i="11"/>
  <c r="W122" i="11"/>
  <c r="N122" i="11" s="1"/>
  <c r="O122" i="11"/>
  <c r="H122" i="11"/>
  <c r="AE121" i="11"/>
  <c r="AD121" i="11"/>
  <c r="AA121" i="11"/>
  <c r="Z121" i="11"/>
  <c r="W121" i="11"/>
  <c r="M121" i="11"/>
  <c r="W120" i="11"/>
  <c r="H120" i="11"/>
  <c r="W119" i="11"/>
  <c r="H119" i="11"/>
  <c r="W118" i="11"/>
  <c r="H118" i="11"/>
  <c r="AG117" i="11"/>
  <c r="AF117" i="11"/>
  <c r="W117" i="11"/>
  <c r="H117" i="11"/>
  <c r="AG116" i="11"/>
  <c r="AF116" i="11"/>
  <c r="H116" i="11"/>
  <c r="AF115" i="11"/>
  <c r="W115" i="11"/>
  <c r="N115" i="11" s="1"/>
  <c r="P115" i="11"/>
  <c r="H115" i="11"/>
  <c r="W114" i="11"/>
  <c r="N114" i="11" s="1"/>
  <c r="H114" i="11"/>
  <c r="W113" i="11"/>
  <c r="N113" i="11" s="1"/>
  <c r="P113" i="11"/>
  <c r="H113" i="11"/>
  <c r="W112" i="11"/>
  <c r="N112" i="11"/>
  <c r="P112" i="11"/>
  <c r="H112" i="11"/>
  <c r="W111" i="11"/>
  <c r="P111" i="11"/>
  <c r="N111" i="11"/>
  <c r="O111" i="11" s="1"/>
  <c r="H111" i="11"/>
  <c r="W110" i="11"/>
  <c r="N110" i="11"/>
  <c r="P110" i="11"/>
  <c r="H110" i="11"/>
  <c r="W109" i="11"/>
  <c r="N109" i="11"/>
  <c r="AG109" i="11" s="1"/>
  <c r="P109" i="11"/>
  <c r="H109" i="11"/>
  <c r="AE108" i="11"/>
  <c r="AD108" i="11"/>
  <c r="AA108" i="11"/>
  <c r="Z108" i="11"/>
  <c r="W108" i="11"/>
  <c r="M108" i="11"/>
  <c r="W107" i="11"/>
  <c r="H107" i="11"/>
  <c r="W106" i="11"/>
  <c r="H106" i="11"/>
  <c r="W105" i="11"/>
  <c r="H105" i="11"/>
  <c r="AG104" i="11"/>
  <c r="AF104" i="11"/>
  <c r="H104" i="11"/>
  <c r="AG103" i="11"/>
  <c r="AF103" i="11"/>
  <c r="H103" i="11"/>
  <c r="W102" i="11"/>
  <c r="N102" i="11" s="1"/>
  <c r="P102" i="11"/>
  <c r="H102" i="11"/>
  <c r="W101" i="11"/>
  <c r="N101" i="11" s="1"/>
  <c r="P101" i="11"/>
  <c r="H101" i="11"/>
  <c r="W100" i="11"/>
  <c r="N100" i="11" s="1"/>
  <c r="O100" i="11"/>
  <c r="P100" i="11"/>
  <c r="H100" i="11"/>
  <c r="W99" i="11"/>
  <c r="N99" i="11"/>
  <c r="AF99" i="11" s="1"/>
  <c r="P99" i="11"/>
  <c r="H99" i="11"/>
  <c r="W98" i="11"/>
  <c r="N98" i="11" s="1"/>
  <c r="O98" i="11" s="1"/>
  <c r="P98" i="11"/>
  <c r="H98" i="11"/>
  <c r="W97" i="11"/>
  <c r="N97" i="11"/>
  <c r="AF97" i="11" s="1"/>
  <c r="P97" i="11"/>
  <c r="H97" i="11"/>
  <c r="W96" i="11"/>
  <c r="N96" i="11"/>
  <c r="P96" i="11"/>
  <c r="H96" i="11"/>
  <c r="AE95" i="11"/>
  <c r="AD95" i="11"/>
  <c r="AA95" i="11"/>
  <c r="Z95" i="11"/>
  <c r="M95" i="11"/>
  <c r="P95" i="11" s="1"/>
  <c r="AG94" i="11"/>
  <c r="AF94" i="11"/>
  <c r="W94" i="11"/>
  <c r="H94" i="11"/>
  <c r="AG93" i="11"/>
  <c r="AF93" i="11"/>
  <c r="W93" i="11"/>
  <c r="H93" i="11"/>
  <c r="AG92" i="11"/>
  <c r="AF92" i="11"/>
  <c r="H92" i="11"/>
  <c r="AG91" i="11"/>
  <c r="AF91" i="11"/>
  <c r="H91" i="11"/>
  <c r="AG90" i="11"/>
  <c r="AF90" i="11"/>
  <c r="H90" i="11"/>
  <c r="AG89" i="11"/>
  <c r="AF89" i="11"/>
  <c r="H89" i="11"/>
  <c r="AG88" i="11"/>
  <c r="AF88" i="11"/>
  <c r="H88" i="11"/>
  <c r="W87" i="11"/>
  <c r="N87" i="11" s="1"/>
  <c r="P87" i="11"/>
  <c r="H87" i="11"/>
  <c r="W86" i="11"/>
  <c r="N86" i="11"/>
  <c r="H86" i="11"/>
  <c r="W85" i="11"/>
  <c r="N85" i="11" s="1"/>
  <c r="AF85" i="11" s="1"/>
  <c r="P85" i="11"/>
  <c r="H85" i="11"/>
  <c r="W84" i="11"/>
  <c r="N84" i="11" s="1"/>
  <c r="H84" i="11"/>
  <c r="W83" i="11"/>
  <c r="N83" i="11" s="1"/>
  <c r="N95" i="11" s="1"/>
  <c r="P83" i="11"/>
  <c r="H83" i="11"/>
  <c r="AE82" i="11"/>
  <c r="AD82" i="11"/>
  <c r="AA82" i="11"/>
  <c r="Z82" i="11"/>
  <c r="M82" i="11"/>
  <c r="W81" i="11"/>
  <c r="AG80" i="11"/>
  <c r="AF80" i="11"/>
  <c r="W80" i="11"/>
  <c r="H80" i="11"/>
  <c r="AG79" i="11"/>
  <c r="AF79" i="11"/>
  <c r="W79" i="11"/>
  <c r="H79" i="11"/>
  <c r="AG78" i="11"/>
  <c r="AF78" i="11"/>
  <c r="H78" i="11"/>
  <c r="AG77" i="11"/>
  <c r="AF77" i="11"/>
  <c r="H77" i="11"/>
  <c r="AG76" i="11"/>
  <c r="AF76" i="11"/>
  <c r="H76" i="11"/>
  <c r="AG75" i="11"/>
  <c r="AF75" i="11"/>
  <c r="W75" i="11"/>
  <c r="H75" i="11"/>
  <c r="W74" i="11"/>
  <c r="N74" i="11" s="1"/>
  <c r="P74" i="11"/>
  <c r="H74" i="11"/>
  <c r="W73" i="11"/>
  <c r="N73" i="11" s="1"/>
  <c r="O73" i="11" s="1"/>
  <c r="P73" i="11"/>
  <c r="H73" i="11"/>
  <c r="W72" i="11"/>
  <c r="N72" i="11" s="1"/>
  <c r="P72" i="11"/>
  <c r="H72" i="11"/>
  <c r="W71" i="11"/>
  <c r="N71" i="11" s="1"/>
  <c r="O71" i="11" s="1"/>
  <c r="P71" i="11"/>
  <c r="H71" i="11"/>
  <c r="W70" i="11"/>
  <c r="N70" i="11" s="1"/>
  <c r="P70" i="11"/>
  <c r="H70" i="11"/>
  <c r="AE69" i="11"/>
  <c r="AD69" i="11"/>
  <c r="AA69" i="11"/>
  <c r="Z69" i="11"/>
  <c r="W69" i="11"/>
  <c r="M69" i="11"/>
  <c r="I1" i="11" s="1"/>
  <c r="W68" i="11"/>
  <c r="H68" i="11"/>
  <c r="AG67" i="11"/>
  <c r="AF67" i="11"/>
  <c r="W67" i="11"/>
  <c r="H67" i="11"/>
  <c r="AG66" i="11"/>
  <c r="AF66" i="11"/>
  <c r="W66" i="11"/>
  <c r="H66" i="11"/>
  <c r="AG65" i="11"/>
  <c r="AF65" i="11"/>
  <c r="W65" i="11"/>
  <c r="H65" i="11"/>
  <c r="AG64" i="11"/>
  <c r="AF64" i="11"/>
  <c r="H64" i="11"/>
  <c r="AG63" i="11"/>
  <c r="AF63" i="11"/>
  <c r="H63" i="11"/>
  <c r="AG62" i="11"/>
  <c r="AF62" i="11"/>
  <c r="H62" i="11"/>
  <c r="AG61" i="11"/>
  <c r="AF61" i="11"/>
  <c r="W60" i="11"/>
  <c r="N60" i="11" s="1"/>
  <c r="P60" i="11"/>
  <c r="H60" i="11"/>
  <c r="AG59" i="11"/>
  <c r="W59" i="11"/>
  <c r="P59" i="11"/>
  <c r="N59" i="11"/>
  <c r="AF59" i="11" s="1"/>
  <c r="H59" i="11"/>
  <c r="W58" i="11"/>
  <c r="N58" i="11" s="1"/>
  <c r="O58" i="11"/>
  <c r="P58" i="11"/>
  <c r="H58" i="11"/>
  <c r="W57" i="11"/>
  <c r="N57" i="11" s="1"/>
  <c r="P57" i="11"/>
  <c r="H57" i="11"/>
  <c r="AE56" i="11"/>
  <c r="AD56" i="11"/>
  <c r="AA56" i="11"/>
  <c r="Z56" i="11"/>
  <c r="W56" i="11"/>
  <c r="M56" i="11"/>
  <c r="W55" i="11"/>
  <c r="H55" i="11"/>
  <c r="W54" i="11"/>
  <c r="H54" i="11"/>
  <c r="W53" i="11"/>
  <c r="H53" i="11"/>
  <c r="AG52" i="11"/>
  <c r="AF52" i="11"/>
  <c r="W52" i="11"/>
  <c r="H52" i="11"/>
  <c r="AG51" i="11"/>
  <c r="AF51" i="11"/>
  <c r="H51" i="11"/>
  <c r="AG50" i="11"/>
  <c r="AF50" i="11"/>
  <c r="H50" i="11"/>
  <c r="AG49" i="11"/>
  <c r="AF49" i="11"/>
  <c r="H49" i="11"/>
  <c r="AG48" i="11"/>
  <c r="AF48" i="11"/>
  <c r="H48" i="11"/>
  <c r="AG47" i="11"/>
  <c r="AF47" i="11"/>
  <c r="H47" i="11"/>
  <c r="W46" i="11"/>
  <c r="N46" i="11" s="1"/>
  <c r="P46" i="11"/>
  <c r="H46" i="11"/>
  <c r="W45" i="11"/>
  <c r="N45" i="11" s="1"/>
  <c r="O45" i="11" s="1"/>
  <c r="P45" i="11"/>
  <c r="H45" i="11"/>
  <c r="W44" i="11"/>
  <c r="N44" i="11" s="1"/>
  <c r="O44" i="11" s="1"/>
  <c r="H44" i="11"/>
  <c r="AE43" i="11"/>
  <c r="AD43" i="11"/>
  <c r="AA43" i="11"/>
  <c r="Z43" i="11"/>
  <c r="M43" i="11"/>
  <c r="W42" i="11"/>
  <c r="H42" i="11"/>
  <c r="W41" i="11"/>
  <c r="W40" i="11"/>
  <c r="H40" i="11"/>
  <c r="H39" i="11"/>
  <c r="AG38" i="11"/>
  <c r="AF38" i="11"/>
  <c r="H38" i="11"/>
  <c r="AG37" i="11"/>
  <c r="AF37" i="11"/>
  <c r="H37" i="11"/>
  <c r="W36" i="11"/>
  <c r="N36" i="11"/>
  <c r="AF36" i="11" s="1"/>
  <c r="P36" i="11"/>
  <c r="H36" i="11"/>
  <c r="W35" i="11"/>
  <c r="N35" i="11" s="1"/>
  <c r="O35" i="11" s="1"/>
  <c r="P35" i="11"/>
  <c r="H35" i="11"/>
  <c r="W34" i="11"/>
  <c r="N34" i="11" s="1"/>
  <c r="P34" i="11"/>
  <c r="H34" i="11"/>
  <c r="W33" i="11"/>
  <c r="N33" i="11" s="1"/>
  <c r="O33" i="11" s="1"/>
  <c r="P33" i="11"/>
  <c r="H33" i="11"/>
  <c r="W32" i="11"/>
  <c r="N32" i="11" s="1"/>
  <c r="P32" i="11"/>
  <c r="H32" i="11"/>
  <c r="W31" i="11"/>
  <c r="N31" i="11"/>
  <c r="P31" i="11"/>
  <c r="H31" i="11"/>
  <c r="AE30" i="11"/>
  <c r="AD30" i="11"/>
  <c r="AA30" i="11"/>
  <c r="Z30" i="11"/>
  <c r="M30" i="11"/>
  <c r="P30" i="11" s="1"/>
  <c r="AF29" i="11"/>
  <c r="W29" i="11"/>
  <c r="H29" i="11"/>
  <c r="AF28" i="11"/>
  <c r="W28" i="11"/>
  <c r="H28" i="11"/>
  <c r="AF27" i="11"/>
  <c r="W27" i="11"/>
  <c r="H27" i="11"/>
  <c r="AF26" i="11"/>
  <c r="W26" i="11"/>
  <c r="AF25" i="11"/>
  <c r="W25" i="11"/>
  <c r="W24" i="11"/>
  <c r="N24" i="11" s="1"/>
  <c r="P24" i="11"/>
  <c r="H24" i="11"/>
  <c r="W23" i="11"/>
  <c r="N23" i="11" s="1"/>
  <c r="O23" i="11" s="1"/>
  <c r="R23" i="11" s="1"/>
  <c r="P23" i="11"/>
  <c r="H23" i="11"/>
  <c r="W22" i="11"/>
  <c r="N22" i="11" s="1"/>
  <c r="O22" i="11"/>
  <c r="P22" i="11"/>
  <c r="H22" i="11"/>
  <c r="AG21" i="11"/>
  <c r="W21" i="11"/>
  <c r="P21" i="11"/>
  <c r="N21" i="11"/>
  <c r="O21" i="11" s="1"/>
  <c r="R21" i="11" s="1"/>
  <c r="AF21" i="11"/>
  <c r="H21" i="11"/>
  <c r="W20" i="11"/>
  <c r="N20" i="11" s="1"/>
  <c r="P20" i="11"/>
  <c r="H20" i="11"/>
  <c r="W19" i="11"/>
  <c r="N19" i="11" s="1"/>
  <c r="P19" i="11"/>
  <c r="H19" i="11"/>
  <c r="W18" i="11"/>
  <c r="N18" i="11" s="1"/>
  <c r="P18" i="11"/>
  <c r="H18" i="11"/>
  <c r="AE17" i="11"/>
  <c r="AD17" i="11"/>
  <c r="AA17" i="11"/>
  <c r="Z17" i="11"/>
  <c r="W17" i="11"/>
  <c r="M17" i="11"/>
  <c r="W16" i="11"/>
  <c r="H16" i="11"/>
  <c r="W15" i="11"/>
  <c r="H15" i="11"/>
  <c r="H14" i="11"/>
  <c r="H13" i="11"/>
  <c r="W12" i="11"/>
  <c r="N12" i="11" s="1"/>
  <c r="O12" i="11" s="1"/>
  <c r="P12" i="11"/>
  <c r="H12" i="11"/>
  <c r="W11" i="11"/>
  <c r="N11" i="11" s="1"/>
  <c r="P11" i="11"/>
  <c r="H11" i="11"/>
  <c r="AF10" i="11"/>
  <c r="W10" i="11"/>
  <c r="N10" i="11" s="1"/>
  <c r="P10" i="11"/>
  <c r="H10" i="11"/>
  <c r="W9" i="11"/>
  <c r="N9" i="11" s="1"/>
  <c r="P9" i="11"/>
  <c r="H9" i="11"/>
  <c r="AF8" i="11"/>
  <c r="W8" i="11"/>
  <c r="N8" i="11" s="1"/>
  <c r="P8" i="11"/>
  <c r="H8" i="11"/>
  <c r="W7" i="11"/>
  <c r="N7" i="11" s="1"/>
  <c r="P7" i="11"/>
  <c r="H7" i="11"/>
  <c r="AF6" i="11"/>
  <c r="W6" i="11"/>
  <c r="N6" i="11" s="1"/>
  <c r="P6" i="11"/>
  <c r="H6" i="11"/>
  <c r="W5" i="11"/>
  <c r="N5" i="11" s="1"/>
  <c r="P5" i="11"/>
  <c r="P17" i="11"/>
  <c r="H5" i="11"/>
  <c r="Z2" i="11"/>
  <c r="I2" i="11"/>
  <c r="E1" i="11"/>
  <c r="AE173" i="10"/>
  <c r="AD173" i="10"/>
  <c r="AA173" i="10"/>
  <c r="Z173" i="10"/>
  <c r="M173" i="10"/>
  <c r="P173" i="10" s="1"/>
  <c r="W172" i="10"/>
  <c r="H172" i="10"/>
  <c r="W171" i="10"/>
  <c r="H171" i="10"/>
  <c r="AG170" i="10"/>
  <c r="AF170" i="10"/>
  <c r="W170" i="10"/>
  <c r="H170" i="10"/>
  <c r="AG169" i="10"/>
  <c r="AF169" i="10"/>
  <c r="W169" i="10"/>
  <c r="H169" i="10"/>
  <c r="AG168" i="10"/>
  <c r="AF168" i="10"/>
  <c r="H168" i="10"/>
  <c r="AG167" i="10"/>
  <c r="AF167" i="10"/>
  <c r="H167" i="10"/>
  <c r="AG166" i="10"/>
  <c r="AF166" i="10"/>
  <c r="H166" i="10"/>
  <c r="W165" i="10"/>
  <c r="N165" i="10" s="1"/>
  <c r="O165" i="10" s="1"/>
  <c r="H165" i="10"/>
  <c r="W164" i="10"/>
  <c r="N164" i="10" s="1"/>
  <c r="P164" i="10"/>
  <c r="H164" i="10"/>
  <c r="W163" i="10"/>
  <c r="N163" i="10" s="1"/>
  <c r="O163" i="10" s="1"/>
  <c r="H163" i="10"/>
  <c r="W162" i="10"/>
  <c r="N162" i="10" s="1"/>
  <c r="P162" i="10"/>
  <c r="H162" i="10"/>
  <c r="W161" i="10"/>
  <c r="N161" i="10" s="1"/>
  <c r="H161" i="10"/>
  <c r="AE160" i="10"/>
  <c r="AD160" i="10"/>
  <c r="AA160" i="10"/>
  <c r="Z160" i="10"/>
  <c r="M160" i="10"/>
  <c r="W159" i="10"/>
  <c r="H159" i="10"/>
  <c r="W158" i="10"/>
  <c r="H158" i="10"/>
  <c r="W157" i="10"/>
  <c r="H157" i="10"/>
  <c r="W156" i="10"/>
  <c r="H156" i="10"/>
  <c r="W155" i="10"/>
  <c r="H155" i="10"/>
  <c r="AG154" i="10"/>
  <c r="AF154" i="10"/>
  <c r="W154" i="10"/>
  <c r="H154" i="10"/>
  <c r="AG153" i="10"/>
  <c r="AF153" i="10"/>
  <c r="W153" i="10"/>
  <c r="H153" i="10"/>
  <c r="W152" i="10"/>
  <c r="N152" i="10" s="1"/>
  <c r="O152" i="10" s="1"/>
  <c r="P152" i="10"/>
  <c r="H152" i="10"/>
  <c r="AG151" i="10"/>
  <c r="W151" i="10"/>
  <c r="P151" i="10"/>
  <c r="N151" i="10"/>
  <c r="O151" i="10" s="1"/>
  <c r="Q151" i="10" s="1"/>
  <c r="H151" i="10"/>
  <c r="W150" i="10"/>
  <c r="N150" i="10" s="1"/>
  <c r="O150" i="10" s="1"/>
  <c r="H150" i="10"/>
  <c r="W149" i="10"/>
  <c r="N149" i="10" s="1"/>
  <c r="P149" i="10"/>
  <c r="H149" i="10"/>
  <c r="AF148" i="10"/>
  <c r="W148" i="10"/>
  <c r="N148" i="10" s="1"/>
  <c r="N160" i="10" s="1"/>
  <c r="P148" i="10"/>
  <c r="H148" i="10"/>
  <c r="AE147" i="10"/>
  <c r="AD147" i="10"/>
  <c r="AA147" i="10"/>
  <c r="Z147" i="10"/>
  <c r="W147" i="10"/>
  <c r="M147" i="10"/>
  <c r="W146" i="10"/>
  <c r="H146" i="10"/>
  <c r="AG145" i="10"/>
  <c r="AF145" i="10"/>
  <c r="W145" i="10"/>
  <c r="H145" i="10"/>
  <c r="AG144" i="10"/>
  <c r="AF144" i="10"/>
  <c r="H144" i="10"/>
  <c r="AG143" i="10"/>
  <c r="AF143" i="10"/>
  <c r="H143" i="10"/>
  <c r="AG142" i="10"/>
  <c r="AF142" i="10"/>
  <c r="H142" i="10"/>
  <c r="W141" i="10"/>
  <c r="N141" i="10" s="1"/>
  <c r="AG141" i="10" s="1"/>
  <c r="P141" i="10"/>
  <c r="H141" i="10"/>
  <c r="W140" i="10"/>
  <c r="N140" i="10" s="1"/>
  <c r="O140" i="10"/>
  <c r="H140" i="10"/>
  <c r="AG139" i="10"/>
  <c r="W139" i="10"/>
  <c r="N139" i="10" s="1"/>
  <c r="P139" i="10"/>
  <c r="H139" i="10"/>
  <c r="W138" i="10"/>
  <c r="N138" i="10" s="1"/>
  <c r="O138" i="10" s="1"/>
  <c r="H138" i="10"/>
  <c r="W137" i="10"/>
  <c r="N137" i="10" s="1"/>
  <c r="AG137" i="10" s="1"/>
  <c r="P137" i="10"/>
  <c r="H137" i="10"/>
  <c r="W136" i="10"/>
  <c r="N136" i="10" s="1"/>
  <c r="O136" i="10" s="1"/>
  <c r="H136" i="10"/>
  <c r="W135" i="10"/>
  <c r="N135" i="10"/>
  <c r="H135" i="10"/>
  <c r="AE134" i="10"/>
  <c r="AD134" i="10"/>
  <c r="AA134" i="10"/>
  <c r="Z134" i="10"/>
  <c r="M134" i="10"/>
  <c r="W133" i="10"/>
  <c r="H133" i="10"/>
  <c r="W132" i="10"/>
  <c r="H132" i="10"/>
  <c r="W131" i="10"/>
  <c r="N131" i="10" s="1"/>
  <c r="O131" i="10" s="1"/>
  <c r="P131" i="10"/>
  <c r="H131" i="10"/>
  <c r="W130" i="10"/>
  <c r="N130" i="10" s="1"/>
  <c r="O130" i="10" s="1"/>
  <c r="P130" i="10"/>
  <c r="H130" i="10"/>
  <c r="W129" i="10"/>
  <c r="N129" i="10" s="1"/>
  <c r="O129" i="10"/>
  <c r="P129" i="10"/>
  <c r="H129" i="10"/>
  <c r="AG128" i="10"/>
  <c r="W128" i="10"/>
  <c r="P128" i="10"/>
  <c r="N128" i="10"/>
  <c r="AF128" i="10" s="1"/>
  <c r="H128" i="10"/>
  <c r="W127" i="10"/>
  <c r="N127" i="10" s="1"/>
  <c r="P127" i="10"/>
  <c r="H127" i="10"/>
  <c r="W126" i="10"/>
  <c r="N126" i="10"/>
  <c r="AF126" i="10" s="1"/>
  <c r="P126" i="10"/>
  <c r="H126" i="10"/>
  <c r="W125" i="10"/>
  <c r="N125" i="10" s="1"/>
  <c r="P125" i="10"/>
  <c r="H125" i="10"/>
  <c r="W124" i="10"/>
  <c r="N124" i="10"/>
  <c r="AF124" i="10" s="1"/>
  <c r="P124" i="10"/>
  <c r="H124" i="10"/>
  <c r="W123" i="10"/>
  <c r="N123" i="10" s="1"/>
  <c r="O123" i="10" s="1"/>
  <c r="P123" i="10"/>
  <c r="H123" i="10"/>
  <c r="W122" i="10"/>
  <c r="N122" i="10" s="1"/>
  <c r="O122" i="10"/>
  <c r="H122" i="10"/>
  <c r="AE121" i="10"/>
  <c r="AD121" i="10"/>
  <c r="AA121" i="10"/>
  <c r="Z121" i="10"/>
  <c r="W121" i="10"/>
  <c r="M121" i="10"/>
  <c r="W120" i="10"/>
  <c r="H120" i="10"/>
  <c r="W119" i="10"/>
  <c r="H119" i="10"/>
  <c r="W118" i="10"/>
  <c r="H118" i="10"/>
  <c r="AG117" i="10"/>
  <c r="AF117" i="10"/>
  <c r="W117" i="10"/>
  <c r="H117" i="10"/>
  <c r="AG116" i="10"/>
  <c r="AF116" i="10"/>
  <c r="H116" i="10"/>
  <c r="W115" i="10"/>
  <c r="P115" i="10"/>
  <c r="N115" i="10"/>
  <c r="O115" i="10" s="1"/>
  <c r="H115" i="10"/>
  <c r="W114" i="10"/>
  <c r="N114" i="10" s="1"/>
  <c r="P114" i="10"/>
  <c r="H114" i="10"/>
  <c r="W113" i="10"/>
  <c r="P113" i="10"/>
  <c r="N113" i="10"/>
  <c r="O113" i="10" s="1"/>
  <c r="H113" i="10"/>
  <c r="W112" i="10"/>
  <c r="N112" i="10" s="1"/>
  <c r="P112" i="10"/>
  <c r="H112" i="10"/>
  <c r="W111" i="10"/>
  <c r="P111" i="10"/>
  <c r="N111" i="10"/>
  <c r="O111" i="10" s="1"/>
  <c r="H111" i="10"/>
  <c r="W110" i="10"/>
  <c r="N110" i="10" s="1"/>
  <c r="P110" i="10"/>
  <c r="H110" i="10"/>
  <c r="W109" i="10"/>
  <c r="N109" i="10" s="1"/>
  <c r="AG109" i="10" s="1"/>
  <c r="P109" i="10"/>
  <c r="H109" i="10"/>
  <c r="AE108" i="10"/>
  <c r="AD108" i="10"/>
  <c r="AA108" i="10"/>
  <c r="Z108" i="10"/>
  <c r="W108" i="10"/>
  <c r="M108" i="10"/>
  <c r="P108" i="10" s="1"/>
  <c r="W107" i="10"/>
  <c r="H107" i="10"/>
  <c r="W106" i="10"/>
  <c r="H106" i="10"/>
  <c r="W105" i="10"/>
  <c r="H105" i="10"/>
  <c r="AG104" i="10"/>
  <c r="AF104" i="10"/>
  <c r="H104" i="10"/>
  <c r="W103" i="10"/>
  <c r="N103" i="10"/>
  <c r="P103" i="10"/>
  <c r="H103" i="10"/>
  <c r="W102" i="10"/>
  <c r="P102" i="10"/>
  <c r="N102" i="10"/>
  <c r="O102" i="10" s="1"/>
  <c r="H102" i="10"/>
  <c r="W101" i="10"/>
  <c r="N101" i="10"/>
  <c r="P101" i="10"/>
  <c r="H101" i="10"/>
  <c r="W100" i="10"/>
  <c r="P100" i="10"/>
  <c r="N100" i="10"/>
  <c r="O100" i="10" s="1"/>
  <c r="H100" i="10"/>
  <c r="W99" i="10"/>
  <c r="N99" i="10"/>
  <c r="P99" i="10"/>
  <c r="H99" i="10"/>
  <c r="W98" i="10"/>
  <c r="P98" i="10"/>
  <c r="N98" i="10"/>
  <c r="O98" i="10" s="1"/>
  <c r="H98" i="10"/>
  <c r="W97" i="10"/>
  <c r="N97" i="10"/>
  <c r="P97" i="10"/>
  <c r="H97" i="10"/>
  <c r="W96" i="10"/>
  <c r="N96" i="10"/>
  <c r="AG96" i="10" s="1"/>
  <c r="H96" i="10"/>
  <c r="AE95" i="10"/>
  <c r="AD95" i="10"/>
  <c r="AA95" i="10"/>
  <c r="Z95" i="10"/>
  <c r="M95" i="10"/>
  <c r="AG94" i="10"/>
  <c r="AF94" i="10"/>
  <c r="W94" i="10"/>
  <c r="H94" i="10"/>
  <c r="AG93" i="10"/>
  <c r="AF93" i="10"/>
  <c r="W93" i="10"/>
  <c r="H93" i="10"/>
  <c r="AG92" i="10"/>
  <c r="AF92" i="10"/>
  <c r="H92" i="10"/>
  <c r="AG91" i="10"/>
  <c r="AF91" i="10"/>
  <c r="H91" i="10"/>
  <c r="AG90" i="10"/>
  <c r="AF90" i="10"/>
  <c r="H90" i="10"/>
  <c r="AG89" i="10"/>
  <c r="AF89" i="10"/>
  <c r="H89" i="10"/>
  <c r="AG88" i="10"/>
  <c r="AF88" i="10"/>
  <c r="H88" i="10"/>
  <c r="AG87" i="10"/>
  <c r="W87" i="10"/>
  <c r="N87" i="10" s="1"/>
  <c r="P87" i="10"/>
  <c r="H87" i="10"/>
  <c r="W86" i="10"/>
  <c r="N86" i="10" s="1"/>
  <c r="O86" i="10" s="1"/>
  <c r="H86" i="10"/>
  <c r="W85" i="10"/>
  <c r="N85" i="10" s="1"/>
  <c r="AG85" i="10" s="1"/>
  <c r="P85" i="10"/>
  <c r="H85" i="10"/>
  <c r="W84" i="10"/>
  <c r="N84" i="10" s="1"/>
  <c r="H84" i="10"/>
  <c r="W83" i="10"/>
  <c r="N83" i="10" s="1"/>
  <c r="O83" i="10"/>
  <c r="H83" i="10"/>
  <c r="AE82" i="10"/>
  <c r="AD82" i="10"/>
  <c r="AA82" i="10"/>
  <c r="Z82" i="10"/>
  <c r="M82" i="10"/>
  <c r="W81" i="10"/>
  <c r="AG80" i="10"/>
  <c r="AF80" i="10"/>
  <c r="W80" i="10"/>
  <c r="H80" i="10"/>
  <c r="AG79" i="10"/>
  <c r="AF79" i="10"/>
  <c r="W79" i="10"/>
  <c r="H79" i="10"/>
  <c r="AG78" i="10"/>
  <c r="AF78" i="10"/>
  <c r="H78" i="10"/>
  <c r="AG77" i="10"/>
  <c r="AF77" i="10"/>
  <c r="H77" i="10"/>
  <c r="AG76" i="10"/>
  <c r="AF76" i="10"/>
  <c r="H76" i="10"/>
  <c r="AG75" i="10"/>
  <c r="AF75" i="10"/>
  <c r="W75" i="10"/>
  <c r="H75" i="10"/>
  <c r="W74" i="10"/>
  <c r="N74" i="10" s="1"/>
  <c r="O74" i="10" s="1"/>
  <c r="P74" i="10"/>
  <c r="H74" i="10"/>
  <c r="W73" i="10"/>
  <c r="N73" i="10"/>
  <c r="P73" i="10"/>
  <c r="H73" i="10"/>
  <c r="AF72" i="10"/>
  <c r="W72" i="10"/>
  <c r="N72" i="10" s="1"/>
  <c r="O72" i="10" s="1"/>
  <c r="H72" i="10"/>
  <c r="W71" i="10"/>
  <c r="N71" i="10"/>
  <c r="AF71" i="10" s="1"/>
  <c r="P71" i="10"/>
  <c r="H71" i="10"/>
  <c r="W70" i="10"/>
  <c r="N70" i="10" s="1"/>
  <c r="H70" i="10"/>
  <c r="AE69" i="10"/>
  <c r="AD69" i="10"/>
  <c r="AA69" i="10"/>
  <c r="Z69" i="10"/>
  <c r="W69" i="10"/>
  <c r="M69" i="10"/>
  <c r="W68" i="10"/>
  <c r="H68" i="10"/>
  <c r="AG67" i="10"/>
  <c r="AF67" i="10"/>
  <c r="W67" i="10"/>
  <c r="H67" i="10"/>
  <c r="AG66" i="10"/>
  <c r="AF66" i="10"/>
  <c r="W66" i="10"/>
  <c r="H66" i="10"/>
  <c r="AG65" i="10"/>
  <c r="AF65" i="10"/>
  <c r="W65" i="10"/>
  <c r="H65" i="10"/>
  <c r="AG64" i="10"/>
  <c r="AF64" i="10"/>
  <c r="H64" i="10"/>
  <c r="AG63" i="10"/>
  <c r="AF63" i="10"/>
  <c r="H63" i="10"/>
  <c r="AG62" i="10"/>
  <c r="AF62" i="10"/>
  <c r="H62" i="10"/>
  <c r="AG61" i="10"/>
  <c r="AF61" i="10"/>
  <c r="W60" i="10"/>
  <c r="N60" i="10" s="1"/>
  <c r="H60" i="10"/>
  <c r="W59" i="10"/>
  <c r="N59" i="10" s="1"/>
  <c r="P59" i="10"/>
  <c r="H59" i="10"/>
  <c r="W58" i="10"/>
  <c r="N58" i="10" s="1"/>
  <c r="H58" i="10"/>
  <c r="W57" i="10"/>
  <c r="N57" i="10" s="1"/>
  <c r="H57" i="10"/>
  <c r="AE56" i="10"/>
  <c r="AD56" i="10"/>
  <c r="AA56" i="10"/>
  <c r="Z56" i="10"/>
  <c r="W56" i="10"/>
  <c r="M56" i="10"/>
  <c r="W55" i="10"/>
  <c r="H55" i="10"/>
  <c r="W54" i="10"/>
  <c r="H54" i="10"/>
  <c r="W53" i="10"/>
  <c r="H53" i="10"/>
  <c r="AG52" i="10"/>
  <c r="AF52" i="10"/>
  <c r="W52" i="10"/>
  <c r="H52" i="10"/>
  <c r="AG51" i="10"/>
  <c r="AF51" i="10"/>
  <c r="H51" i="10"/>
  <c r="AG50" i="10"/>
  <c r="AF50" i="10"/>
  <c r="H50" i="10"/>
  <c r="AG49" i="10"/>
  <c r="AF49" i="10"/>
  <c r="H49" i="10"/>
  <c r="AG48" i="10"/>
  <c r="AF48" i="10"/>
  <c r="H48" i="10"/>
  <c r="AG47" i="10"/>
  <c r="AF47" i="10"/>
  <c r="H47" i="10"/>
  <c r="W46" i="10"/>
  <c r="N46" i="10" s="1"/>
  <c r="P46" i="10"/>
  <c r="H46" i="10"/>
  <c r="W45" i="10"/>
  <c r="N45" i="10" s="1"/>
  <c r="H45" i="10"/>
  <c r="W44" i="10"/>
  <c r="N44" i="10"/>
  <c r="AG44" i="10" s="1"/>
  <c r="H44" i="10"/>
  <c r="AE43" i="10"/>
  <c r="AD43" i="10"/>
  <c r="AA43" i="10"/>
  <c r="Z43" i="10"/>
  <c r="M43" i="10"/>
  <c r="I1" i="10" s="1"/>
  <c r="W42" i="10"/>
  <c r="H42" i="10"/>
  <c r="W41" i="10"/>
  <c r="W40" i="10"/>
  <c r="H40" i="10"/>
  <c r="H39" i="10"/>
  <c r="AG38" i="10"/>
  <c r="AF38" i="10"/>
  <c r="H38" i="10"/>
  <c r="AG37" i="10"/>
  <c r="AF37" i="10"/>
  <c r="H37" i="10"/>
  <c r="W36" i="10"/>
  <c r="N36" i="10" s="1"/>
  <c r="P36" i="10"/>
  <c r="H36" i="10"/>
  <c r="W35" i="10"/>
  <c r="N35" i="10" s="1"/>
  <c r="P35" i="10"/>
  <c r="H35" i="10"/>
  <c r="W34" i="10"/>
  <c r="N34" i="10" s="1"/>
  <c r="P34" i="10"/>
  <c r="H34" i="10"/>
  <c r="W33" i="10"/>
  <c r="N33" i="10" s="1"/>
  <c r="P33" i="10"/>
  <c r="H33" i="10"/>
  <c r="W32" i="10"/>
  <c r="N32" i="10" s="1"/>
  <c r="P32" i="10"/>
  <c r="H32" i="10"/>
  <c r="AF31" i="10"/>
  <c r="W31" i="10"/>
  <c r="N31" i="10"/>
  <c r="P31" i="10"/>
  <c r="H31" i="10"/>
  <c r="AE30" i="10"/>
  <c r="AD30" i="10"/>
  <c r="AA30" i="10"/>
  <c r="Z30" i="10"/>
  <c r="Z2" i="10" s="1"/>
  <c r="M30" i="10"/>
  <c r="AF29" i="10"/>
  <c r="W29" i="10"/>
  <c r="H29" i="10"/>
  <c r="AF28" i="10"/>
  <c r="W28" i="10"/>
  <c r="H28" i="10"/>
  <c r="AF27" i="10"/>
  <c r="W27" i="10"/>
  <c r="H27" i="10"/>
  <c r="AF26" i="10"/>
  <c r="W26" i="10"/>
  <c r="AF25" i="10"/>
  <c r="W25" i="10"/>
  <c r="W24" i="10"/>
  <c r="P24" i="10"/>
  <c r="N24" i="10"/>
  <c r="AF24" i="10" s="1"/>
  <c r="H24" i="10"/>
  <c r="W23" i="10"/>
  <c r="N23" i="10" s="1"/>
  <c r="O23" i="10" s="1"/>
  <c r="P23" i="10"/>
  <c r="H23" i="10"/>
  <c r="W22" i="10"/>
  <c r="N22" i="10" s="1"/>
  <c r="P22" i="10"/>
  <c r="H22" i="10"/>
  <c r="W21" i="10"/>
  <c r="N21" i="10" s="1"/>
  <c r="P21" i="10"/>
  <c r="H21" i="10"/>
  <c r="W20" i="10"/>
  <c r="N20" i="10" s="1"/>
  <c r="P20" i="10"/>
  <c r="H20" i="10"/>
  <c r="W19" i="10"/>
  <c r="N19" i="10" s="1"/>
  <c r="P19" i="10"/>
  <c r="H19" i="10"/>
  <c r="W18" i="10"/>
  <c r="N18" i="10" s="1"/>
  <c r="P18" i="10"/>
  <c r="H18" i="10"/>
  <c r="AE17" i="10"/>
  <c r="AD17" i="10"/>
  <c r="AA17" i="10"/>
  <c r="Z17" i="10"/>
  <c r="W17" i="10"/>
  <c r="M17" i="10"/>
  <c r="W16" i="10"/>
  <c r="H16" i="10"/>
  <c r="W15" i="10"/>
  <c r="H15" i="10"/>
  <c r="H14" i="10"/>
  <c r="H13" i="10"/>
  <c r="W12" i="10"/>
  <c r="N12" i="10" s="1"/>
  <c r="O12" i="10" s="1"/>
  <c r="P12" i="10"/>
  <c r="H12" i="10"/>
  <c r="W11" i="10"/>
  <c r="N11" i="10" s="1"/>
  <c r="AG11" i="10" s="1"/>
  <c r="H11" i="10"/>
  <c r="W10" i="10"/>
  <c r="N10" i="10" s="1"/>
  <c r="P10" i="10"/>
  <c r="H10" i="10"/>
  <c r="W9" i="10"/>
  <c r="N9" i="10" s="1"/>
  <c r="AG9" i="10" s="1"/>
  <c r="H9" i="10"/>
  <c r="W8" i="10"/>
  <c r="N8" i="10" s="1"/>
  <c r="P8" i="10"/>
  <c r="H8" i="10"/>
  <c r="W7" i="10"/>
  <c r="N7" i="10"/>
  <c r="AG7" i="10" s="1"/>
  <c r="H7" i="10"/>
  <c r="W6" i="10"/>
  <c r="N6" i="10" s="1"/>
  <c r="P6" i="10"/>
  <c r="H6" i="10"/>
  <c r="W5" i="10"/>
  <c r="N5" i="10" s="1"/>
  <c r="P5" i="10"/>
  <c r="P17" i="10"/>
  <c r="H5" i="10"/>
  <c r="I2" i="10"/>
  <c r="E1" i="10"/>
  <c r="AE173" i="9"/>
  <c r="AD173" i="9"/>
  <c r="AA173" i="9"/>
  <c r="Z173" i="9"/>
  <c r="M173" i="9"/>
  <c r="W172" i="9"/>
  <c r="H172" i="9"/>
  <c r="W171" i="9"/>
  <c r="H171" i="9"/>
  <c r="AG170" i="9"/>
  <c r="AF170" i="9"/>
  <c r="W170" i="9"/>
  <c r="H170" i="9"/>
  <c r="AG169" i="9"/>
  <c r="AF169" i="9"/>
  <c r="W169" i="9"/>
  <c r="H169" i="9"/>
  <c r="AG168" i="9"/>
  <c r="AF168" i="9"/>
  <c r="H168" i="9"/>
  <c r="AG167" i="9"/>
  <c r="AF167" i="9"/>
  <c r="H167" i="9"/>
  <c r="AG166" i="9"/>
  <c r="AF166" i="9"/>
  <c r="H166" i="9"/>
  <c r="W165" i="9"/>
  <c r="N165" i="9" s="1"/>
  <c r="P165" i="9"/>
  <c r="H165" i="9"/>
  <c r="W164" i="9"/>
  <c r="N164" i="9" s="1"/>
  <c r="P164" i="9"/>
  <c r="H164" i="9"/>
  <c r="W163" i="9"/>
  <c r="N163" i="9" s="1"/>
  <c r="P173" i="9"/>
  <c r="H163" i="9"/>
  <c r="W162" i="9"/>
  <c r="N162" i="9" s="1"/>
  <c r="P162" i="9"/>
  <c r="H162" i="9"/>
  <c r="W161" i="9"/>
  <c r="N161" i="9" s="1"/>
  <c r="P161" i="9"/>
  <c r="H161" i="9"/>
  <c r="AE160" i="9"/>
  <c r="AD160" i="9"/>
  <c r="AA160" i="9"/>
  <c r="Z160" i="9"/>
  <c r="M160" i="9"/>
  <c r="W159" i="9"/>
  <c r="H159" i="9"/>
  <c r="W158" i="9"/>
  <c r="H158" i="9"/>
  <c r="W157" i="9"/>
  <c r="H157" i="9"/>
  <c r="W156" i="9"/>
  <c r="H156" i="9"/>
  <c r="W155" i="9"/>
  <c r="H155" i="9"/>
  <c r="AG154" i="9"/>
  <c r="AF154" i="9"/>
  <c r="W154" i="9"/>
  <c r="H154" i="9"/>
  <c r="AG153" i="9"/>
  <c r="AF153" i="9"/>
  <c r="W153" i="9"/>
  <c r="H153" i="9"/>
  <c r="W152" i="9"/>
  <c r="N152" i="9" s="1"/>
  <c r="P152" i="9"/>
  <c r="H152" i="9"/>
  <c r="AG151" i="9"/>
  <c r="W151" i="9"/>
  <c r="P151" i="9"/>
  <c r="N151" i="9"/>
  <c r="AF151" i="9" s="1"/>
  <c r="H151" i="9"/>
  <c r="W150" i="9"/>
  <c r="N150" i="9" s="1"/>
  <c r="P150" i="9"/>
  <c r="H150" i="9"/>
  <c r="AG149" i="9"/>
  <c r="W149" i="9"/>
  <c r="P149" i="9"/>
  <c r="N149" i="9"/>
  <c r="AF149" i="9" s="1"/>
  <c r="H149" i="9"/>
  <c r="W148" i="9"/>
  <c r="P148" i="9"/>
  <c r="N148" i="9"/>
  <c r="O148" i="9" s="1"/>
  <c r="H148" i="9"/>
  <c r="AE147" i="9"/>
  <c r="AD147" i="9"/>
  <c r="AA147" i="9"/>
  <c r="Z147" i="9"/>
  <c r="W147" i="9"/>
  <c r="M147" i="9"/>
  <c r="W146" i="9"/>
  <c r="H146" i="9"/>
  <c r="AG145" i="9"/>
  <c r="AF145" i="9"/>
  <c r="W145" i="9"/>
  <c r="H145" i="9"/>
  <c r="AG144" i="9"/>
  <c r="AF144" i="9"/>
  <c r="H144" i="9"/>
  <c r="AG143" i="9"/>
  <c r="AF143" i="9"/>
  <c r="H143" i="9"/>
  <c r="AG142" i="9"/>
  <c r="AF142" i="9"/>
  <c r="H142" i="9"/>
  <c r="W141" i="9"/>
  <c r="P141" i="9"/>
  <c r="N141" i="9"/>
  <c r="AF141" i="9" s="1"/>
  <c r="H141" i="9"/>
  <c r="W140" i="9"/>
  <c r="N140" i="9" s="1"/>
  <c r="P140" i="9"/>
  <c r="H140" i="9"/>
  <c r="W139" i="9"/>
  <c r="P139" i="9"/>
  <c r="N139" i="9"/>
  <c r="AF139" i="9" s="1"/>
  <c r="H139" i="9"/>
  <c r="W138" i="9"/>
  <c r="N138" i="9" s="1"/>
  <c r="P138" i="9"/>
  <c r="H138" i="9"/>
  <c r="W137" i="9"/>
  <c r="P137" i="9"/>
  <c r="N137" i="9"/>
  <c r="O137" i="9" s="1"/>
  <c r="H137" i="9"/>
  <c r="W136" i="9"/>
  <c r="N136" i="9" s="1"/>
  <c r="P136" i="9"/>
  <c r="H136" i="9"/>
  <c r="W135" i="9"/>
  <c r="N135" i="9"/>
  <c r="O135" i="9" s="1"/>
  <c r="P147" i="9"/>
  <c r="H135" i="9"/>
  <c r="AE134" i="9"/>
  <c r="AD134" i="9"/>
  <c r="AA134" i="9"/>
  <c r="Z134" i="9"/>
  <c r="M134" i="9"/>
  <c r="W133" i="9"/>
  <c r="H133" i="9"/>
  <c r="W132" i="9"/>
  <c r="H132" i="9"/>
  <c r="W131" i="9"/>
  <c r="N131" i="9" s="1"/>
  <c r="O131" i="9" s="1"/>
  <c r="P131" i="9"/>
  <c r="H131" i="9"/>
  <c r="W130" i="9"/>
  <c r="N130" i="9" s="1"/>
  <c r="O130" i="9" s="1"/>
  <c r="P130" i="9"/>
  <c r="H130" i="9"/>
  <c r="W129" i="9"/>
  <c r="N129" i="9" s="1"/>
  <c r="O129" i="9" s="1"/>
  <c r="P129" i="9"/>
  <c r="H129" i="9"/>
  <c r="W128" i="9"/>
  <c r="P128" i="9"/>
  <c r="N128" i="9"/>
  <c r="AF128" i="9" s="1"/>
  <c r="H128" i="9"/>
  <c r="W127" i="9"/>
  <c r="N127" i="9" s="1"/>
  <c r="P127" i="9"/>
  <c r="H127" i="9"/>
  <c r="W126" i="9"/>
  <c r="P126" i="9"/>
  <c r="N126" i="9"/>
  <c r="AF126" i="9" s="1"/>
  <c r="H126" i="9"/>
  <c r="W125" i="9"/>
  <c r="N125" i="9" s="1"/>
  <c r="P125" i="9"/>
  <c r="H125" i="9"/>
  <c r="W124" i="9"/>
  <c r="P124" i="9"/>
  <c r="N124" i="9"/>
  <c r="AF124" i="9" s="1"/>
  <c r="H124" i="9"/>
  <c r="W123" i="9"/>
  <c r="N123" i="9" s="1"/>
  <c r="P123" i="9"/>
  <c r="H123" i="9"/>
  <c r="W122" i="9"/>
  <c r="N122" i="9" s="1"/>
  <c r="P134" i="9"/>
  <c r="H122" i="9"/>
  <c r="AE121" i="9"/>
  <c r="AD121" i="9"/>
  <c r="AA121" i="9"/>
  <c r="Z121" i="9"/>
  <c r="W121" i="9"/>
  <c r="M121" i="9"/>
  <c r="W120" i="9"/>
  <c r="H120" i="9"/>
  <c r="W119" i="9"/>
  <c r="H119" i="9"/>
  <c r="W118" i="9"/>
  <c r="H118" i="9"/>
  <c r="AG117" i="9"/>
  <c r="AF117" i="9"/>
  <c r="W117" i="9"/>
  <c r="H117" i="9"/>
  <c r="W116" i="9"/>
  <c r="N116" i="9" s="1"/>
  <c r="P116" i="9"/>
  <c r="H116" i="9"/>
  <c r="W115" i="9"/>
  <c r="N115" i="9" s="1"/>
  <c r="AG115" i="9" s="1"/>
  <c r="H115" i="9"/>
  <c r="W114" i="9"/>
  <c r="N114" i="9" s="1"/>
  <c r="P114" i="9"/>
  <c r="H114" i="9"/>
  <c r="W113" i="9"/>
  <c r="N113" i="9"/>
  <c r="AG113" i="9" s="1"/>
  <c r="H113" i="9"/>
  <c r="W112" i="9"/>
  <c r="N112" i="9" s="1"/>
  <c r="P112" i="9"/>
  <c r="H112" i="9"/>
  <c r="W111" i="9"/>
  <c r="N111" i="9"/>
  <c r="AG111" i="9" s="1"/>
  <c r="H111" i="9"/>
  <c r="W110" i="9"/>
  <c r="N110" i="9" s="1"/>
  <c r="P110" i="9"/>
  <c r="H110" i="9"/>
  <c r="W109" i="9"/>
  <c r="N109" i="9" s="1"/>
  <c r="P109" i="9"/>
  <c r="H109" i="9"/>
  <c r="AE108" i="9"/>
  <c r="AD108" i="9"/>
  <c r="AA108" i="9"/>
  <c r="Z108" i="9"/>
  <c r="W108" i="9"/>
  <c r="M108" i="9"/>
  <c r="P108" i="9" s="1"/>
  <c r="W107" i="9"/>
  <c r="H107" i="9"/>
  <c r="W106" i="9"/>
  <c r="H106" i="9"/>
  <c r="W105" i="9"/>
  <c r="H105" i="9"/>
  <c r="AG104" i="9"/>
  <c r="AF104" i="9"/>
  <c r="H104" i="9"/>
  <c r="W103" i="9"/>
  <c r="N103" i="9" s="1"/>
  <c r="P103" i="9"/>
  <c r="H103" i="9"/>
  <c r="W102" i="9"/>
  <c r="N102" i="9"/>
  <c r="AG102" i="9" s="1"/>
  <c r="H102" i="9"/>
  <c r="W101" i="9"/>
  <c r="N101" i="9" s="1"/>
  <c r="P101" i="9"/>
  <c r="H101" i="9"/>
  <c r="W100" i="9"/>
  <c r="N100" i="9" s="1"/>
  <c r="AG100" i="9" s="1"/>
  <c r="H100" i="9"/>
  <c r="W99" i="9"/>
  <c r="N99" i="9" s="1"/>
  <c r="P99" i="9"/>
  <c r="H99" i="9"/>
  <c r="W98" i="9"/>
  <c r="N98" i="9" s="1"/>
  <c r="AG98" i="9" s="1"/>
  <c r="H98" i="9"/>
  <c r="W97" i="9"/>
  <c r="N97" i="9" s="1"/>
  <c r="P97" i="9"/>
  <c r="H97" i="9"/>
  <c r="W96" i="9"/>
  <c r="N96" i="9" s="1"/>
  <c r="P96" i="9"/>
  <c r="H96" i="9"/>
  <c r="AE95" i="9"/>
  <c r="AD95" i="9"/>
  <c r="AA95" i="9"/>
  <c r="Z95" i="9"/>
  <c r="M95" i="9"/>
  <c r="AG94" i="9"/>
  <c r="AF94" i="9"/>
  <c r="W94" i="9"/>
  <c r="H94" i="9"/>
  <c r="AG93" i="9"/>
  <c r="AF93" i="9"/>
  <c r="W93" i="9"/>
  <c r="H93" i="9"/>
  <c r="AG92" i="9"/>
  <c r="AF92" i="9"/>
  <c r="H92" i="9"/>
  <c r="AG91" i="9"/>
  <c r="AF91" i="9"/>
  <c r="H91" i="9"/>
  <c r="AG90" i="9"/>
  <c r="AF90" i="9"/>
  <c r="H90" i="9"/>
  <c r="AG89" i="9"/>
  <c r="AF89" i="9"/>
  <c r="H89" i="9"/>
  <c r="W88" i="9"/>
  <c r="N88" i="9" s="1"/>
  <c r="AG88" i="9" s="1"/>
  <c r="H88" i="9"/>
  <c r="W87" i="9"/>
  <c r="N87" i="9" s="1"/>
  <c r="P87" i="9"/>
  <c r="H87" i="9"/>
  <c r="W86" i="9"/>
  <c r="N86" i="9" s="1"/>
  <c r="AG86" i="9" s="1"/>
  <c r="H86" i="9"/>
  <c r="W85" i="9"/>
  <c r="N85" i="9" s="1"/>
  <c r="P85" i="9"/>
  <c r="H85" i="9"/>
  <c r="W84" i="9"/>
  <c r="N84" i="9" s="1"/>
  <c r="AG84" i="9" s="1"/>
  <c r="H84" i="9"/>
  <c r="W83" i="9"/>
  <c r="N83" i="9"/>
  <c r="AF83" i="9" s="1"/>
  <c r="H83" i="9"/>
  <c r="AE82" i="9"/>
  <c r="AD82" i="9"/>
  <c r="AA82" i="9"/>
  <c r="Z82" i="9"/>
  <c r="M82" i="9"/>
  <c r="P82" i="9" s="1"/>
  <c r="W81" i="9"/>
  <c r="AG80" i="9"/>
  <c r="AF80" i="9"/>
  <c r="W80" i="9"/>
  <c r="H80" i="9"/>
  <c r="AG79" i="9"/>
  <c r="AF79" i="9"/>
  <c r="W79" i="9"/>
  <c r="H79" i="9"/>
  <c r="AG78" i="9"/>
  <c r="AF78" i="9"/>
  <c r="H78" i="9"/>
  <c r="AG77" i="9"/>
  <c r="AF77" i="9"/>
  <c r="H77" i="9"/>
  <c r="AG76" i="9"/>
  <c r="AF76" i="9"/>
  <c r="H76" i="9"/>
  <c r="AG75" i="9"/>
  <c r="AF75" i="9"/>
  <c r="W75" i="9"/>
  <c r="H75" i="9"/>
  <c r="W74" i="9"/>
  <c r="N74" i="9"/>
  <c r="AG74" i="9" s="1"/>
  <c r="H74" i="9"/>
  <c r="W73" i="9"/>
  <c r="N73" i="9" s="1"/>
  <c r="P73" i="9"/>
  <c r="H73" i="9"/>
  <c r="W72" i="9"/>
  <c r="N72" i="9" s="1"/>
  <c r="AG72" i="9" s="1"/>
  <c r="H72" i="9"/>
  <c r="W71" i="9"/>
  <c r="N71" i="9" s="1"/>
  <c r="P71" i="9"/>
  <c r="H71" i="9"/>
  <c r="W70" i="9"/>
  <c r="N70" i="9" s="1"/>
  <c r="P70" i="9"/>
  <c r="H70" i="9"/>
  <c r="AE69" i="9"/>
  <c r="AD69" i="9"/>
  <c r="AA69" i="9"/>
  <c r="Z69" i="9"/>
  <c r="W69" i="9"/>
  <c r="M69" i="9"/>
  <c r="W68" i="9"/>
  <c r="H68" i="9"/>
  <c r="AG67" i="9"/>
  <c r="AF67" i="9"/>
  <c r="W67" i="9"/>
  <c r="H67" i="9"/>
  <c r="AG66" i="9"/>
  <c r="AF66" i="9"/>
  <c r="W66" i="9"/>
  <c r="H66" i="9"/>
  <c r="AG65" i="9"/>
  <c r="AF65" i="9"/>
  <c r="W65" i="9"/>
  <c r="H65" i="9"/>
  <c r="AG64" i="9"/>
  <c r="AF64" i="9"/>
  <c r="H64" i="9"/>
  <c r="AG63" i="9"/>
  <c r="AF63" i="9"/>
  <c r="H63" i="9"/>
  <c r="AG62" i="9"/>
  <c r="AF62" i="9"/>
  <c r="H62" i="9"/>
  <c r="AG61" i="9"/>
  <c r="AF61" i="9"/>
  <c r="W60" i="9"/>
  <c r="N60" i="9" s="1"/>
  <c r="P60" i="9"/>
  <c r="H60" i="9"/>
  <c r="W59" i="9"/>
  <c r="N59" i="9" s="1"/>
  <c r="P59" i="9"/>
  <c r="H59" i="9"/>
  <c r="W58" i="9"/>
  <c r="N58" i="9" s="1"/>
  <c r="P58" i="9"/>
  <c r="H58" i="9"/>
  <c r="W57" i="9"/>
  <c r="N57" i="9" s="1"/>
  <c r="P57" i="9"/>
  <c r="H57" i="9"/>
  <c r="AE56" i="9"/>
  <c r="AD56" i="9"/>
  <c r="AA56" i="9"/>
  <c r="Z56" i="9"/>
  <c r="W56" i="9"/>
  <c r="M56" i="9"/>
  <c r="W55" i="9"/>
  <c r="H55" i="9"/>
  <c r="W54" i="9"/>
  <c r="H54" i="9"/>
  <c r="W53" i="9"/>
  <c r="H53" i="9"/>
  <c r="AG52" i="9"/>
  <c r="AF52" i="9"/>
  <c r="W52" i="9"/>
  <c r="H52" i="9"/>
  <c r="AG51" i="9"/>
  <c r="AF51" i="9"/>
  <c r="H51" i="9"/>
  <c r="AG50" i="9"/>
  <c r="AF50" i="9"/>
  <c r="H50" i="9"/>
  <c r="AG49" i="9"/>
  <c r="AF49" i="9"/>
  <c r="H49" i="9"/>
  <c r="AG48" i="9"/>
  <c r="AF48" i="9"/>
  <c r="H48" i="9"/>
  <c r="W47" i="9"/>
  <c r="N47" i="9" s="1"/>
  <c r="P47" i="9"/>
  <c r="H47" i="9"/>
  <c r="W46" i="9"/>
  <c r="N46" i="9" s="1"/>
  <c r="AG46" i="9" s="1"/>
  <c r="H46" i="9"/>
  <c r="W45" i="9"/>
  <c r="N45" i="9" s="1"/>
  <c r="P45" i="9"/>
  <c r="H45" i="9"/>
  <c r="W44" i="9"/>
  <c r="N44" i="9" s="1"/>
  <c r="P44" i="9"/>
  <c r="H44" i="9"/>
  <c r="AE43" i="9"/>
  <c r="AD43" i="9"/>
  <c r="AA43" i="9"/>
  <c r="Z43" i="9"/>
  <c r="M43" i="9"/>
  <c r="W42" i="9"/>
  <c r="H42" i="9"/>
  <c r="W41" i="9"/>
  <c r="W40" i="9"/>
  <c r="H40" i="9"/>
  <c r="H39" i="9"/>
  <c r="AG38" i="9"/>
  <c r="AF38" i="9"/>
  <c r="H38" i="9"/>
  <c r="AG37" i="9"/>
  <c r="AF37" i="9"/>
  <c r="H37" i="9"/>
  <c r="W36" i="9"/>
  <c r="N36" i="9" s="1"/>
  <c r="AG36" i="9" s="1"/>
  <c r="H36" i="9"/>
  <c r="W35" i="9"/>
  <c r="N35" i="9" s="1"/>
  <c r="P35" i="9"/>
  <c r="H35" i="9"/>
  <c r="W34" i="9"/>
  <c r="N34" i="9"/>
  <c r="AG34" i="9" s="1"/>
  <c r="H34" i="9"/>
  <c r="W33" i="9"/>
  <c r="N33" i="9" s="1"/>
  <c r="P33" i="9"/>
  <c r="H33" i="9"/>
  <c r="W32" i="9"/>
  <c r="N32" i="9"/>
  <c r="AG32" i="9" s="1"/>
  <c r="H32" i="9"/>
  <c r="W31" i="9"/>
  <c r="N31" i="9"/>
  <c r="AF31" i="9" s="1"/>
  <c r="H31" i="9"/>
  <c r="AE30" i="9"/>
  <c r="AD30" i="9"/>
  <c r="AA30" i="9"/>
  <c r="Z30" i="9"/>
  <c r="M30" i="9"/>
  <c r="AF29" i="9"/>
  <c r="W29" i="9"/>
  <c r="H29" i="9"/>
  <c r="AF28" i="9"/>
  <c r="W28" i="9"/>
  <c r="H28" i="9"/>
  <c r="AF27" i="9"/>
  <c r="W27" i="9"/>
  <c r="H27" i="9"/>
  <c r="AF26" i="9"/>
  <c r="W26" i="9"/>
  <c r="AF25" i="9"/>
  <c r="W25" i="9"/>
  <c r="W24" i="9"/>
  <c r="N24" i="9"/>
  <c r="AF24" i="9" s="1"/>
  <c r="H24" i="9"/>
  <c r="W23" i="9"/>
  <c r="N23" i="9"/>
  <c r="O23" i="9" s="1"/>
  <c r="H23" i="9"/>
  <c r="W22" i="9"/>
  <c r="N22" i="9" s="1"/>
  <c r="P22" i="9"/>
  <c r="H22" i="9"/>
  <c r="W21" i="9"/>
  <c r="N21" i="9" s="1"/>
  <c r="H21" i="9"/>
  <c r="W20" i="9"/>
  <c r="N20" i="9" s="1"/>
  <c r="P20" i="9"/>
  <c r="H20" i="9"/>
  <c r="W19" i="9"/>
  <c r="N19" i="9" s="1"/>
  <c r="H19" i="9"/>
  <c r="W18" i="9"/>
  <c r="N18" i="9"/>
  <c r="AG18" i="9" s="1"/>
  <c r="P30" i="9"/>
  <c r="H18" i="9"/>
  <c r="AE17" i="9"/>
  <c r="AD17" i="9"/>
  <c r="AA17" i="9"/>
  <c r="AA2" i="9" s="1"/>
  <c r="Z17" i="9"/>
  <c r="W17" i="9"/>
  <c r="M17" i="9"/>
  <c r="W16" i="9"/>
  <c r="H16" i="9"/>
  <c r="W15" i="9"/>
  <c r="H15" i="9"/>
  <c r="H14" i="9"/>
  <c r="H13" i="9"/>
  <c r="W12" i="9"/>
  <c r="N12" i="9" s="1"/>
  <c r="O12" i="9" s="1"/>
  <c r="P12" i="9"/>
  <c r="H12" i="9"/>
  <c r="W11" i="9"/>
  <c r="N11" i="9" s="1"/>
  <c r="O11" i="9" s="1"/>
  <c r="P11" i="9"/>
  <c r="H11" i="9"/>
  <c r="W10" i="9"/>
  <c r="N10" i="9" s="1"/>
  <c r="P10" i="9"/>
  <c r="H10" i="9"/>
  <c r="W9" i="9"/>
  <c r="N9" i="9" s="1"/>
  <c r="O9" i="9"/>
  <c r="P9" i="9"/>
  <c r="H9" i="9"/>
  <c r="W8" i="9"/>
  <c r="P8" i="9"/>
  <c r="N8" i="9"/>
  <c r="AF8" i="9" s="1"/>
  <c r="H8" i="9"/>
  <c r="W7" i="9"/>
  <c r="N7" i="9" s="1"/>
  <c r="O7" i="9" s="1"/>
  <c r="P7" i="9"/>
  <c r="H7" i="9"/>
  <c r="W6" i="9"/>
  <c r="N6" i="9" s="1"/>
  <c r="P6" i="9"/>
  <c r="H6" i="9"/>
  <c r="W5" i="9"/>
  <c r="N5" i="9" s="1"/>
  <c r="AF5" i="9" s="1"/>
  <c r="P5" i="9"/>
  <c r="H5" i="9"/>
  <c r="I2" i="9"/>
  <c r="E1" i="9"/>
  <c r="M32" i="8"/>
  <c r="L32" i="8"/>
  <c r="K32" i="8"/>
  <c r="J32" i="8"/>
  <c r="I32" i="8"/>
  <c r="H32" i="8"/>
  <c r="G32" i="8"/>
  <c r="F32" i="8"/>
  <c r="E32" i="8"/>
  <c r="D32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J8" i="8"/>
  <c r="L7" i="8"/>
  <c r="J7" i="8"/>
  <c r="H7" i="8"/>
  <c r="F7" i="8"/>
  <c r="L6" i="8"/>
  <c r="J6" i="8"/>
  <c r="H6" i="8"/>
  <c r="F6" i="8"/>
  <c r="M32" i="7"/>
  <c r="L32" i="7"/>
  <c r="K32" i="7"/>
  <c r="L8" i="7" s="1"/>
  <c r="J32" i="7"/>
  <c r="I32" i="7"/>
  <c r="H32" i="7"/>
  <c r="G32" i="7"/>
  <c r="F32" i="7"/>
  <c r="J8" i="7" s="1"/>
  <c r="E32" i="7"/>
  <c r="D32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L7" i="7"/>
  <c r="J7" i="7"/>
  <c r="H7" i="7"/>
  <c r="F7" i="7"/>
  <c r="L6" i="7"/>
  <c r="J6" i="7"/>
  <c r="H6" i="7"/>
  <c r="F6" i="7"/>
  <c r="M32" i="6"/>
  <c r="L32" i="6"/>
  <c r="L8" i="6" s="1"/>
  <c r="K32" i="6"/>
  <c r="J32" i="6"/>
  <c r="I32" i="6"/>
  <c r="H32" i="6"/>
  <c r="G32" i="6"/>
  <c r="F32" i="6"/>
  <c r="E32" i="6"/>
  <c r="D32" i="6"/>
  <c r="J8" i="6" s="1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L7" i="6"/>
  <c r="J7" i="6"/>
  <c r="H7" i="6"/>
  <c r="F7" i="6"/>
  <c r="L6" i="6"/>
  <c r="J6" i="6"/>
  <c r="H6" i="6"/>
  <c r="F6" i="6"/>
  <c r="M32" i="5"/>
  <c r="L32" i="5"/>
  <c r="K32" i="5"/>
  <c r="J32" i="5"/>
  <c r="I32" i="5"/>
  <c r="H32" i="5"/>
  <c r="G32" i="5"/>
  <c r="F32" i="5"/>
  <c r="E32" i="5"/>
  <c r="D32" i="5"/>
  <c r="J8" i="5" s="1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F8" i="5" s="1"/>
  <c r="D15" i="5"/>
  <c r="L7" i="5"/>
  <c r="J7" i="5"/>
  <c r="H7" i="5"/>
  <c r="F7" i="5"/>
  <c r="L6" i="5"/>
  <c r="J6" i="5"/>
  <c r="H6" i="5"/>
  <c r="F6" i="5"/>
  <c r="M32" i="4"/>
  <c r="L32" i="4"/>
  <c r="K32" i="4"/>
  <c r="L8" i="4" s="1"/>
  <c r="J32" i="4"/>
  <c r="I32" i="4"/>
  <c r="H32" i="4"/>
  <c r="G32" i="4"/>
  <c r="F32" i="4"/>
  <c r="J8" i="4" s="1"/>
  <c r="E32" i="4"/>
  <c r="D32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H8" i="4" s="1"/>
  <c r="L7" i="4"/>
  <c r="J7" i="4"/>
  <c r="H7" i="4"/>
  <c r="F7" i="4"/>
  <c r="L6" i="4"/>
  <c r="J6" i="4"/>
  <c r="H6" i="4"/>
  <c r="F6" i="4"/>
  <c r="M32" i="3"/>
  <c r="L32" i="3"/>
  <c r="K32" i="3"/>
  <c r="L8" i="3" s="1"/>
  <c r="J32" i="3"/>
  <c r="I32" i="3"/>
  <c r="H32" i="3"/>
  <c r="G32" i="3"/>
  <c r="F32" i="3"/>
  <c r="E32" i="3"/>
  <c r="D32" i="3"/>
  <c r="Q15" i="3"/>
  <c r="P15" i="3"/>
  <c r="O15" i="3"/>
  <c r="N15" i="3"/>
  <c r="M15" i="3"/>
  <c r="L15" i="3"/>
  <c r="K15" i="3"/>
  <c r="J15" i="3"/>
  <c r="I15" i="3"/>
  <c r="H15" i="3"/>
  <c r="G15" i="3"/>
  <c r="F15" i="3"/>
  <c r="H8" i="3" s="1"/>
  <c r="E15" i="3"/>
  <c r="D15" i="3"/>
  <c r="J8" i="3"/>
  <c r="L7" i="3"/>
  <c r="J7" i="3"/>
  <c r="H7" i="3"/>
  <c r="F7" i="3"/>
  <c r="L6" i="3"/>
  <c r="J6" i="3"/>
  <c r="H6" i="3"/>
  <c r="F6" i="3"/>
  <c r="M32" i="1"/>
  <c r="L32" i="1"/>
  <c r="K32" i="1"/>
  <c r="J32" i="1"/>
  <c r="I32" i="1"/>
  <c r="H32" i="1"/>
  <c r="G32" i="1"/>
  <c r="F32" i="1"/>
  <c r="E32" i="1"/>
  <c r="D32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L7" i="1"/>
  <c r="J7" i="1"/>
  <c r="H7" i="1"/>
  <c r="F7" i="1"/>
  <c r="L6" i="1"/>
  <c r="J6" i="1"/>
  <c r="H6" i="1"/>
  <c r="F6" i="1"/>
  <c r="Q30" i="25" l="1"/>
  <c r="R30" i="25"/>
  <c r="S18" i="25" s="1"/>
  <c r="R134" i="25"/>
  <c r="S122" i="25" s="1"/>
  <c r="Q134" i="25"/>
  <c r="Q108" i="25"/>
  <c r="R108" i="25"/>
  <c r="S96" i="25" s="1"/>
  <c r="AF134" i="28"/>
  <c r="AG134" i="28"/>
  <c r="AH122" i="28" s="1"/>
  <c r="Q135" i="28"/>
  <c r="O147" i="28"/>
  <c r="R135" i="28"/>
  <c r="R150" i="28"/>
  <c r="Q150" i="28"/>
  <c r="R150" i="25"/>
  <c r="Q150" i="25"/>
  <c r="R5" i="28"/>
  <c r="Q5" i="28"/>
  <c r="O17" i="28"/>
  <c r="R127" i="28"/>
  <c r="Q127" i="28"/>
  <c r="R173" i="28"/>
  <c r="S161" i="28" s="1"/>
  <c r="Q173" i="28"/>
  <c r="R37" i="28"/>
  <c r="Q37" i="28"/>
  <c r="Q126" i="28"/>
  <c r="R126" i="28"/>
  <c r="R10" i="28"/>
  <c r="Q10" i="28"/>
  <c r="AG160" i="28"/>
  <c r="AH148" i="28" s="1"/>
  <c r="AF160" i="28"/>
  <c r="AG173" i="28"/>
  <c r="AH161" i="28" s="1"/>
  <c r="AF173" i="28"/>
  <c r="R112" i="28"/>
  <c r="Q112" i="28"/>
  <c r="R34" i="28"/>
  <c r="Q34" i="28"/>
  <c r="O82" i="28"/>
  <c r="R82" i="28" s="1"/>
  <c r="S70" i="28" s="1"/>
  <c r="Q70" i="28"/>
  <c r="R70" i="28"/>
  <c r="R165" i="25"/>
  <c r="Q165" i="25"/>
  <c r="R151" i="25"/>
  <c r="Q151" i="25"/>
  <c r="R74" i="25"/>
  <c r="Q74" i="25"/>
  <c r="R127" i="25"/>
  <c r="Q127" i="25"/>
  <c r="O56" i="25"/>
  <c r="R56" i="25" s="1"/>
  <c r="S44" i="25" s="1"/>
  <c r="R20" i="25"/>
  <c r="Q20" i="25"/>
  <c r="R6" i="25"/>
  <c r="Q6" i="25"/>
  <c r="R99" i="28"/>
  <c r="Q99" i="28"/>
  <c r="AG121" i="28"/>
  <c r="AH109" i="28" s="1"/>
  <c r="AF121" i="28"/>
  <c r="R19" i="28"/>
  <c r="Q19" i="28"/>
  <c r="R137" i="28"/>
  <c r="Q137" i="28"/>
  <c r="Q85" i="28"/>
  <c r="R85" i="28"/>
  <c r="AG134" i="25"/>
  <c r="AH122" i="25" s="1"/>
  <c r="AF134" i="25"/>
  <c r="AF82" i="28"/>
  <c r="Q82" i="28"/>
  <c r="AG82" i="28"/>
  <c r="AH70" i="28" s="1"/>
  <c r="R164" i="25"/>
  <c r="Q164" i="25"/>
  <c r="Q33" i="25"/>
  <c r="R33" i="25"/>
  <c r="R50" i="28"/>
  <c r="Q50" i="28"/>
  <c r="Q121" i="25"/>
  <c r="R121" i="25"/>
  <c r="S109" i="25" s="1"/>
  <c r="Q103" i="25"/>
  <c r="R103" i="25"/>
  <c r="R162" i="25"/>
  <c r="Q162" i="25"/>
  <c r="AG56" i="25"/>
  <c r="AH44" i="25" s="1"/>
  <c r="Q56" i="25"/>
  <c r="AF56" i="25"/>
  <c r="AG30" i="28"/>
  <c r="AH18" i="28" s="1"/>
  <c r="AF30" i="28"/>
  <c r="Q51" i="25"/>
  <c r="R51" i="25"/>
  <c r="AG108" i="28"/>
  <c r="AH96" i="28" s="1"/>
  <c r="AF108" i="28"/>
  <c r="R7" i="28"/>
  <c r="Q7" i="28"/>
  <c r="O108" i="28"/>
  <c r="R139" i="28"/>
  <c r="Q139" i="28"/>
  <c r="Q18" i="28"/>
  <c r="R18" i="28"/>
  <c r="O30" i="28"/>
  <c r="Q100" i="28"/>
  <c r="R100" i="28"/>
  <c r="R59" i="28"/>
  <c r="Q59" i="28"/>
  <c r="R74" i="28"/>
  <c r="Q74" i="28"/>
  <c r="R149" i="25"/>
  <c r="Q149" i="25"/>
  <c r="Q46" i="28"/>
  <c r="R46" i="28"/>
  <c r="R101" i="25"/>
  <c r="Q101" i="25"/>
  <c r="R137" i="25"/>
  <c r="Q137" i="25"/>
  <c r="R7" i="25"/>
  <c r="Q7" i="25"/>
  <c r="Q82" i="25"/>
  <c r="AG82" i="25"/>
  <c r="AH70" i="25" s="1"/>
  <c r="AF82" i="25"/>
  <c r="R31" i="28"/>
  <c r="O43" i="28"/>
  <c r="R43" i="28" s="1"/>
  <c r="S31" i="28" s="1"/>
  <c r="Q31" i="28"/>
  <c r="R32" i="25"/>
  <c r="Q32" i="25"/>
  <c r="O17" i="25"/>
  <c r="R101" i="28"/>
  <c r="Q101" i="28"/>
  <c r="AG121" i="25"/>
  <c r="AH109" i="25" s="1"/>
  <c r="AF121" i="25"/>
  <c r="Q151" i="28"/>
  <c r="R151" i="28"/>
  <c r="O134" i="28"/>
  <c r="R22" i="28"/>
  <c r="Q22" i="28"/>
  <c r="R72" i="28"/>
  <c r="Q72" i="28"/>
  <c r="R141" i="25"/>
  <c r="Q141" i="25"/>
  <c r="R139" i="25"/>
  <c r="Q139" i="25"/>
  <c r="R85" i="25"/>
  <c r="Q85" i="25"/>
  <c r="AG69" i="25"/>
  <c r="AH57" i="25" s="1"/>
  <c r="Q69" i="25"/>
  <c r="AF69" i="25"/>
  <c r="R22" i="25"/>
  <c r="Q22" i="25"/>
  <c r="O43" i="25"/>
  <c r="R43" i="25" s="1"/>
  <c r="S31" i="25" s="1"/>
  <c r="AG43" i="28"/>
  <c r="AH31" i="28" s="1"/>
  <c r="AF43" i="28"/>
  <c r="Q43" i="28"/>
  <c r="Q43" i="25"/>
  <c r="AF43" i="25"/>
  <c r="AG43" i="25"/>
  <c r="AH31" i="25" s="1"/>
  <c r="Q11" i="25"/>
  <c r="R11" i="25"/>
  <c r="Q21" i="25"/>
  <c r="R21" i="25"/>
  <c r="R49" i="28"/>
  <c r="Q49" i="28"/>
  <c r="R126" i="25"/>
  <c r="Q126" i="25"/>
  <c r="R136" i="25"/>
  <c r="Q136" i="25"/>
  <c r="AG108" i="25"/>
  <c r="AH96" i="25" s="1"/>
  <c r="AF108" i="25"/>
  <c r="R83" i="28"/>
  <c r="O95" i="28"/>
  <c r="Q83" i="28"/>
  <c r="O121" i="28"/>
  <c r="Q60" i="28"/>
  <c r="R60" i="28"/>
  <c r="R135" i="25"/>
  <c r="O147" i="25"/>
  <c r="Q135" i="25"/>
  <c r="R36" i="25"/>
  <c r="Q36" i="25"/>
  <c r="R125" i="28"/>
  <c r="Q125" i="28"/>
  <c r="O160" i="25"/>
  <c r="Q148" i="25"/>
  <c r="R148" i="25"/>
  <c r="AG30" i="25"/>
  <c r="AH18" i="25" s="1"/>
  <c r="AF30" i="25"/>
  <c r="R9" i="25"/>
  <c r="Q9" i="25"/>
  <c r="AG95" i="25"/>
  <c r="AH83" i="25" s="1"/>
  <c r="AF95" i="25"/>
  <c r="R128" i="28"/>
  <c r="Q128" i="28"/>
  <c r="R165" i="28"/>
  <c r="Q165" i="28"/>
  <c r="R71" i="28"/>
  <c r="Q71" i="28"/>
  <c r="Q164" i="28"/>
  <c r="R164" i="28"/>
  <c r="R84" i="28"/>
  <c r="Q84" i="28"/>
  <c r="R47" i="28"/>
  <c r="Q47" i="28"/>
  <c r="Q113" i="28"/>
  <c r="R113" i="28"/>
  <c r="AF69" i="28"/>
  <c r="Q69" i="28"/>
  <c r="AG69" i="28"/>
  <c r="AH57" i="28" s="1"/>
  <c r="R163" i="28"/>
  <c r="Q163" i="28"/>
  <c r="Q36" i="28"/>
  <c r="R36" i="28"/>
  <c r="AG95" i="28"/>
  <c r="AH83" i="28" s="1"/>
  <c r="AF95" i="28"/>
  <c r="R124" i="25"/>
  <c r="Q124" i="25"/>
  <c r="Q6" i="28"/>
  <c r="R6" i="28"/>
  <c r="Q57" i="25"/>
  <c r="O69" i="25"/>
  <c r="R69" i="25" s="1"/>
  <c r="S57" i="25" s="1"/>
  <c r="R57" i="25"/>
  <c r="Q48" i="28"/>
  <c r="R48" i="28"/>
  <c r="O173" i="25"/>
  <c r="R161" i="25"/>
  <c r="Q161" i="25"/>
  <c r="AF160" i="25"/>
  <c r="AG160" i="25"/>
  <c r="AH148" i="25" s="1"/>
  <c r="AG17" i="25"/>
  <c r="AH5" i="25" s="1"/>
  <c r="AF17" i="25"/>
  <c r="R73" i="25"/>
  <c r="Q73" i="25"/>
  <c r="R98" i="25"/>
  <c r="Q98" i="25"/>
  <c r="R48" i="25"/>
  <c r="Q48" i="25"/>
  <c r="AG56" i="28"/>
  <c r="AH44" i="28" s="1"/>
  <c r="Q56" i="28"/>
  <c r="AF56" i="28"/>
  <c r="R136" i="28"/>
  <c r="Q136" i="28"/>
  <c r="R61" i="28"/>
  <c r="Q61" i="28"/>
  <c r="AG147" i="28"/>
  <c r="AH135" i="28" s="1"/>
  <c r="AF147" i="28"/>
  <c r="AF17" i="28"/>
  <c r="AG17" i="28"/>
  <c r="AH5" i="28" s="1"/>
  <c r="O160" i="28"/>
  <c r="Q58" i="28"/>
  <c r="R58" i="28"/>
  <c r="R111" i="25"/>
  <c r="Q111" i="25"/>
  <c r="R83" i="25"/>
  <c r="O95" i="25"/>
  <c r="Q83" i="25"/>
  <c r="R60" i="25"/>
  <c r="Q60" i="25"/>
  <c r="R34" i="25"/>
  <c r="Q34" i="25"/>
  <c r="O69" i="28"/>
  <c r="R69" i="28" s="1"/>
  <c r="S57" i="28" s="1"/>
  <c r="AF173" i="25"/>
  <c r="AG173" i="25"/>
  <c r="AH161" i="25" s="1"/>
  <c r="AF147" i="25"/>
  <c r="AG147" i="25"/>
  <c r="AH135" i="25" s="1"/>
  <c r="R35" i="25"/>
  <c r="Q35" i="25"/>
  <c r="R8" i="25"/>
  <c r="Q8" i="25"/>
  <c r="R10" i="25"/>
  <c r="Q10" i="25"/>
  <c r="O18" i="10"/>
  <c r="AF18" i="10"/>
  <c r="AF21" i="10"/>
  <c r="AG21" i="10"/>
  <c r="N173" i="9"/>
  <c r="AF161" i="9"/>
  <c r="AF32" i="11"/>
  <c r="AG32" i="11"/>
  <c r="AF10" i="9"/>
  <c r="AG10" i="9"/>
  <c r="AF164" i="9"/>
  <c r="AG164" i="9"/>
  <c r="AF19" i="10"/>
  <c r="AG19" i="10"/>
  <c r="AF34" i="10"/>
  <c r="AG34" i="10"/>
  <c r="AG57" i="10"/>
  <c r="AF57" i="10"/>
  <c r="O57" i="10"/>
  <c r="AF70" i="10"/>
  <c r="AG70" i="10"/>
  <c r="O70" i="10"/>
  <c r="R70" i="10" s="1"/>
  <c r="O149" i="10"/>
  <c r="AG149" i="10"/>
  <c r="AF149" i="10"/>
  <c r="O19" i="11"/>
  <c r="Q19" i="11" s="1"/>
  <c r="AG19" i="11"/>
  <c r="AF19" i="11"/>
  <c r="AF101" i="11"/>
  <c r="AG101" i="11"/>
  <c r="AF59" i="9"/>
  <c r="AG59" i="9"/>
  <c r="AF162" i="9"/>
  <c r="AG162" i="9"/>
  <c r="AF32" i="10"/>
  <c r="AG32" i="10"/>
  <c r="AF34" i="11"/>
  <c r="AG34" i="11"/>
  <c r="AF46" i="11"/>
  <c r="AG46" i="11"/>
  <c r="AF32" i="14"/>
  <c r="O32" i="14"/>
  <c r="AG32" i="14"/>
  <c r="AF36" i="10"/>
  <c r="AG36" i="10"/>
  <c r="AF6" i="9"/>
  <c r="AG6" i="9"/>
  <c r="O24" i="11"/>
  <c r="R24" i="11" s="1"/>
  <c r="AF24" i="11"/>
  <c r="AF124" i="11"/>
  <c r="AG124" i="11"/>
  <c r="N147" i="10"/>
  <c r="O149" i="11"/>
  <c r="AG149" i="11"/>
  <c r="AF149" i="11"/>
  <c r="AF59" i="12"/>
  <c r="AG59" i="12"/>
  <c r="AF99" i="13"/>
  <c r="AG99" i="13"/>
  <c r="AF138" i="13"/>
  <c r="AG138" i="13"/>
  <c r="O138" i="13"/>
  <c r="R138" i="13" s="1"/>
  <c r="O116" i="15"/>
  <c r="AG116" i="15"/>
  <c r="AF116" i="15"/>
  <c r="K51" i="18"/>
  <c r="H8" i="6"/>
  <c r="F8" i="7"/>
  <c r="O44" i="10"/>
  <c r="R44" i="10" s="1"/>
  <c r="O135" i="10"/>
  <c r="R135" i="10" s="1"/>
  <c r="AA2" i="11"/>
  <c r="AD2" i="11"/>
  <c r="AG57" i="12"/>
  <c r="N69" i="12"/>
  <c r="N95" i="12"/>
  <c r="AG99" i="12"/>
  <c r="AF46" i="13"/>
  <c r="AG46" i="13"/>
  <c r="N56" i="15"/>
  <c r="AF44" i="15"/>
  <c r="N69" i="15"/>
  <c r="O114" i="15"/>
  <c r="AF114" i="15"/>
  <c r="K75" i="17"/>
  <c r="AG124" i="10"/>
  <c r="N43" i="11"/>
  <c r="AG43" i="11" s="1"/>
  <c r="AH31" i="11" s="1"/>
  <c r="O19" i="12"/>
  <c r="AG19" i="12"/>
  <c r="AF19" i="12"/>
  <c r="H8" i="1"/>
  <c r="H8" i="8"/>
  <c r="AG124" i="9"/>
  <c r="AG126" i="9"/>
  <c r="AG128" i="9"/>
  <c r="AG137" i="9"/>
  <c r="AG139" i="9"/>
  <c r="AG141" i="9"/>
  <c r="AD2" i="10"/>
  <c r="AF44" i="10"/>
  <c r="AE2" i="11"/>
  <c r="N147" i="11"/>
  <c r="O135" i="11"/>
  <c r="AG21" i="12"/>
  <c r="AF18" i="13"/>
  <c r="AF21" i="13"/>
  <c r="AG21" i="13"/>
  <c r="AF59" i="13"/>
  <c r="AG59" i="13"/>
  <c r="N56" i="14"/>
  <c r="O112" i="15"/>
  <c r="R112" i="15" s="1"/>
  <c r="AG112" i="15"/>
  <c r="AF127" i="15"/>
  <c r="K100" i="16"/>
  <c r="L92" i="16"/>
  <c r="L100" i="16" s="1"/>
  <c r="K111" i="19"/>
  <c r="L16" i="21"/>
  <c r="I1" i="22"/>
  <c r="H8" i="7"/>
  <c r="AE2" i="9"/>
  <c r="AG126" i="10"/>
  <c r="O162" i="14"/>
  <c r="AG162" i="14"/>
  <c r="AF162" i="14"/>
  <c r="K16" i="19"/>
  <c r="L5" i="19"/>
  <c r="L16" i="19" s="1"/>
  <c r="F8" i="3"/>
  <c r="L8" i="5"/>
  <c r="AE2" i="10"/>
  <c r="AA2" i="10"/>
  <c r="AF151" i="10"/>
  <c r="AF31" i="11"/>
  <c r="AF128" i="11"/>
  <c r="AG128" i="11"/>
  <c r="AF36" i="12"/>
  <c r="AG36" i="12"/>
  <c r="N108" i="12"/>
  <c r="AG108" i="12" s="1"/>
  <c r="AH96" i="12" s="1"/>
  <c r="AF96" i="12"/>
  <c r="Z2" i="13"/>
  <c r="AF126" i="13"/>
  <c r="AG126" i="13"/>
  <c r="AF11" i="14"/>
  <c r="AG11" i="14"/>
  <c r="O19" i="14"/>
  <c r="AG19" i="14"/>
  <c r="AG31" i="14"/>
  <c r="AF31" i="14"/>
  <c r="O31" i="14"/>
  <c r="O71" i="14"/>
  <c r="R71" i="14" s="1"/>
  <c r="AF71" i="14"/>
  <c r="O85" i="14"/>
  <c r="R85" i="14" s="1"/>
  <c r="AG85" i="14"/>
  <c r="P17" i="15"/>
  <c r="I1" i="15"/>
  <c r="AF45" i="15"/>
  <c r="AG45" i="15"/>
  <c r="O125" i="15"/>
  <c r="AF125" i="15"/>
  <c r="L16" i="18"/>
  <c r="L93" i="18"/>
  <c r="K100" i="18"/>
  <c r="K51" i="20"/>
  <c r="H8" i="5"/>
  <c r="AG8" i="9"/>
  <c r="AF126" i="11"/>
  <c r="AG126" i="11"/>
  <c r="O24" i="12"/>
  <c r="Q24" i="12" s="1"/>
  <c r="AF24" i="12"/>
  <c r="AF34" i="12"/>
  <c r="AG34" i="12"/>
  <c r="AF36" i="13"/>
  <c r="AG36" i="13"/>
  <c r="AF9" i="14"/>
  <c r="AG9" i="14"/>
  <c r="O87" i="14"/>
  <c r="R87" i="14" s="1"/>
  <c r="AG87" i="14"/>
  <c r="AF87" i="14"/>
  <c r="AF128" i="14"/>
  <c r="O128" i="14"/>
  <c r="AF60" i="15"/>
  <c r="AG60" i="15"/>
  <c r="G1" i="18"/>
  <c r="G2" i="18" s="1"/>
  <c r="K91" i="20"/>
  <c r="K124" i="20"/>
  <c r="L112" i="20"/>
  <c r="L124" i="20" s="1"/>
  <c r="N108" i="11"/>
  <c r="AG108" i="11" s="1"/>
  <c r="AH96" i="11" s="1"/>
  <c r="AG36" i="11"/>
  <c r="AF96" i="11"/>
  <c r="AF165" i="14"/>
  <c r="O165" i="14"/>
  <c r="F8" i="4"/>
  <c r="L8" i="8"/>
  <c r="N30" i="11"/>
  <c r="AF30" i="11" s="1"/>
  <c r="Q21" i="11"/>
  <c r="AF32" i="12"/>
  <c r="AG32" i="12"/>
  <c r="AG46" i="12"/>
  <c r="AF19" i="13"/>
  <c r="AG19" i="13"/>
  <c r="N30" i="13"/>
  <c r="AF34" i="13"/>
  <c r="AG34" i="13"/>
  <c r="AF124" i="13"/>
  <c r="AG124" i="13"/>
  <c r="AF137" i="13"/>
  <c r="AG137" i="13"/>
  <c r="AF7" i="14"/>
  <c r="AG7" i="14"/>
  <c r="Z2" i="14"/>
  <c r="AG128" i="14"/>
  <c r="AG58" i="15"/>
  <c r="O163" i="15"/>
  <c r="AF163" i="15"/>
  <c r="AF165" i="15"/>
  <c r="AG165" i="15"/>
  <c r="I1" i="16"/>
  <c r="K24" i="18"/>
  <c r="L17" i="18"/>
  <c r="L24" i="18" s="1"/>
  <c r="F8" i="8"/>
  <c r="AF97" i="13"/>
  <c r="AG97" i="13"/>
  <c r="AF128" i="13"/>
  <c r="AG128" i="13"/>
  <c r="AD2" i="9"/>
  <c r="AF148" i="9"/>
  <c r="J8" i="1"/>
  <c r="L8" i="1"/>
  <c r="Z2" i="9"/>
  <c r="AF137" i="9"/>
  <c r="AF18" i="11"/>
  <c r="N69" i="11"/>
  <c r="AG97" i="11"/>
  <c r="AG99" i="11"/>
  <c r="AF21" i="12"/>
  <c r="AF32" i="13"/>
  <c r="AG32" i="13"/>
  <c r="AF101" i="13"/>
  <c r="AG101" i="13"/>
  <c r="AF83" i="14"/>
  <c r="AG83" i="14"/>
  <c r="O83" i="14"/>
  <c r="AF85" i="14"/>
  <c r="L51" i="22"/>
  <c r="AE2" i="13"/>
  <c r="AF73" i="14"/>
  <c r="K75" i="20"/>
  <c r="Z2" i="12"/>
  <c r="AD2" i="14"/>
  <c r="AA2" i="14"/>
  <c r="AF123" i="14"/>
  <c r="AF125" i="14"/>
  <c r="Z2" i="15"/>
  <c r="AE2" i="15"/>
  <c r="AF110" i="15"/>
  <c r="K75" i="16"/>
  <c r="G1" i="17"/>
  <c r="G2" i="17" s="1"/>
  <c r="K51" i="17"/>
  <c r="I1" i="18"/>
  <c r="L100" i="18"/>
  <c r="K75" i="22"/>
  <c r="K111" i="22"/>
  <c r="AD2" i="13"/>
  <c r="AG110" i="15"/>
  <c r="AF123" i="15"/>
  <c r="G1" i="16"/>
  <c r="G2" i="16" s="1"/>
  <c r="L65" i="20"/>
  <c r="G1" i="19"/>
  <c r="G2" i="19" s="1"/>
  <c r="G1" i="14"/>
  <c r="G2" i="14" s="1"/>
  <c r="G1" i="15"/>
  <c r="G2" i="15" s="1"/>
  <c r="F8" i="6"/>
  <c r="K91" i="16"/>
  <c r="L82" i="16"/>
  <c r="L91" i="16" s="1"/>
  <c r="K38" i="16"/>
  <c r="L25" i="16"/>
  <c r="L38" i="16" s="1"/>
  <c r="L16" i="16"/>
  <c r="K16" i="16"/>
  <c r="L39" i="16"/>
  <c r="L51" i="16" s="1"/>
  <c r="L16" i="17"/>
  <c r="L24" i="17"/>
  <c r="K91" i="17"/>
  <c r="L82" i="17"/>
  <c r="L91" i="17" s="1"/>
  <c r="K124" i="16"/>
  <c r="L112" i="16"/>
  <c r="L124" i="16" s="1"/>
  <c r="K24" i="17"/>
  <c r="L18" i="17"/>
  <c r="K38" i="17"/>
  <c r="L25" i="17"/>
  <c r="L38" i="17" s="1"/>
  <c r="K111" i="17"/>
  <c r="L101" i="17"/>
  <c r="L111" i="17" s="1"/>
  <c r="K38" i="18"/>
  <c r="L25" i="18"/>
  <c r="L38" i="18" s="1"/>
  <c r="L17" i="16"/>
  <c r="L24" i="16" s="1"/>
  <c r="L65" i="16"/>
  <c r="L75" i="16" s="1"/>
  <c r="K111" i="16"/>
  <c r="L101" i="16"/>
  <c r="L111" i="16" s="1"/>
  <c r="K16" i="17"/>
  <c r="L39" i="17"/>
  <c r="L51" i="17" s="1"/>
  <c r="L92" i="17"/>
  <c r="L100" i="17" s="1"/>
  <c r="L112" i="17"/>
  <c r="L124" i="17" s="1"/>
  <c r="K16" i="18"/>
  <c r="L39" i="18"/>
  <c r="L51" i="18" s="1"/>
  <c r="K75" i="18"/>
  <c r="L65" i="18"/>
  <c r="L75" i="18" s="1"/>
  <c r="K111" i="18"/>
  <c r="L101" i="18"/>
  <c r="L111" i="18" s="1"/>
  <c r="K51" i="19"/>
  <c r="L39" i="19"/>
  <c r="L51" i="19" s="1"/>
  <c r="K100" i="19"/>
  <c r="L92" i="19"/>
  <c r="L100" i="19" s="1"/>
  <c r="G1" i="20"/>
  <c r="G2" i="20" s="1"/>
  <c r="L75" i="20"/>
  <c r="K91" i="18"/>
  <c r="K75" i="19"/>
  <c r="L65" i="19"/>
  <c r="L75" i="19" s="1"/>
  <c r="L91" i="19"/>
  <c r="K16" i="20"/>
  <c r="K111" i="20"/>
  <c r="L101" i="20"/>
  <c r="L111" i="20" s="1"/>
  <c r="L82" i="18"/>
  <c r="L91" i="18" s="1"/>
  <c r="L16" i="20"/>
  <c r="K38" i="20"/>
  <c r="L25" i="20"/>
  <c r="L38" i="20" s="1"/>
  <c r="L93" i="20"/>
  <c r="L100" i="20" s="1"/>
  <c r="K100" i="20"/>
  <c r="L65" i="17"/>
  <c r="L75" i="17" s="1"/>
  <c r="K124" i="18"/>
  <c r="L112" i="18"/>
  <c r="L124" i="18" s="1"/>
  <c r="E2" i="19"/>
  <c r="L25" i="19"/>
  <c r="L38" i="19" s="1"/>
  <c r="K38" i="19"/>
  <c r="K124" i="19"/>
  <c r="L112" i="19"/>
  <c r="L124" i="19" s="1"/>
  <c r="K24" i="19"/>
  <c r="K91" i="19"/>
  <c r="L101" i="19"/>
  <c r="L111" i="19" s="1"/>
  <c r="K24" i="20"/>
  <c r="L39" i="20"/>
  <c r="L51" i="20" s="1"/>
  <c r="L82" i="20"/>
  <c r="L91" i="20" s="1"/>
  <c r="L51" i="21"/>
  <c r="G1" i="21"/>
  <c r="G2" i="21" s="1"/>
  <c r="K24" i="21"/>
  <c r="K51" i="21"/>
  <c r="K75" i="21"/>
  <c r="L65" i="21"/>
  <c r="L75" i="21" s="1"/>
  <c r="K16" i="22"/>
  <c r="K16" i="21"/>
  <c r="K38" i="21"/>
  <c r="K100" i="21"/>
  <c r="L92" i="21"/>
  <c r="L100" i="21" s="1"/>
  <c r="L25" i="22"/>
  <c r="L38" i="22" s="1"/>
  <c r="K38" i="22"/>
  <c r="L25" i="21"/>
  <c r="L38" i="21" s="1"/>
  <c r="K91" i="21"/>
  <c r="L82" i="21"/>
  <c r="L91" i="21" s="1"/>
  <c r="L112" i="21"/>
  <c r="L124" i="21" s="1"/>
  <c r="K124" i="21"/>
  <c r="K91" i="22"/>
  <c r="L82" i="22"/>
  <c r="L91" i="22" s="1"/>
  <c r="G1" i="22"/>
  <c r="G2" i="22" s="1"/>
  <c r="K100" i="22"/>
  <c r="L92" i="22"/>
  <c r="L100" i="22" s="1"/>
  <c r="L17" i="22"/>
  <c r="L24" i="22" s="1"/>
  <c r="K51" i="22"/>
  <c r="L101" i="21"/>
  <c r="L111" i="21" s="1"/>
  <c r="L112" i="22"/>
  <c r="L124" i="22" s="1"/>
  <c r="L65" i="22"/>
  <c r="L75" i="22" s="1"/>
  <c r="L101" i="22"/>
  <c r="L111" i="22" s="1"/>
  <c r="Q23" i="9"/>
  <c r="R23" i="9"/>
  <c r="O35" i="9"/>
  <c r="AF35" i="9"/>
  <c r="AG35" i="9"/>
  <c r="O96" i="9"/>
  <c r="AG96" i="9"/>
  <c r="AF96" i="9"/>
  <c r="N108" i="9"/>
  <c r="O101" i="9"/>
  <c r="AG101" i="9"/>
  <c r="AF101" i="9"/>
  <c r="O112" i="9"/>
  <c r="AG112" i="9"/>
  <c r="AF112" i="9"/>
  <c r="AG138" i="9"/>
  <c r="AF138" i="9"/>
  <c r="O138" i="9"/>
  <c r="AG173" i="9"/>
  <c r="AH161" i="9" s="1"/>
  <c r="AF173" i="9"/>
  <c r="O6" i="10"/>
  <c r="AG6" i="10"/>
  <c r="AF6" i="10"/>
  <c r="AF59" i="10"/>
  <c r="O59" i="10"/>
  <c r="AG59" i="10"/>
  <c r="R152" i="10"/>
  <c r="Q152" i="10"/>
  <c r="G1" i="9"/>
  <c r="G2" i="9" s="1"/>
  <c r="AG7" i="9"/>
  <c r="AF7" i="9"/>
  <c r="R9" i="9"/>
  <c r="Q9" i="9"/>
  <c r="O8" i="10"/>
  <c r="AG8" i="10"/>
  <c r="AF8" i="10"/>
  <c r="R18" i="10"/>
  <c r="Q18" i="10"/>
  <c r="AG95" i="11"/>
  <c r="AH83" i="11" s="1"/>
  <c r="AF95" i="11"/>
  <c r="R12" i="9"/>
  <c r="N30" i="9"/>
  <c r="AF18" i="9"/>
  <c r="O18" i="9"/>
  <c r="AG127" i="9"/>
  <c r="AF127" i="9"/>
  <c r="O127" i="9"/>
  <c r="R135" i="9"/>
  <c r="AG152" i="9"/>
  <c r="AF152" i="9"/>
  <c r="O152" i="9"/>
  <c r="AG163" i="9"/>
  <c r="AF163" i="9"/>
  <c r="O163" i="9"/>
  <c r="G1" i="10"/>
  <c r="G2" i="10" s="1"/>
  <c r="N17" i="10"/>
  <c r="O5" i="10"/>
  <c r="AG5" i="10"/>
  <c r="AF5" i="10"/>
  <c r="O10" i="10"/>
  <c r="AG10" i="10"/>
  <c r="AF10" i="10"/>
  <c r="AG20" i="10"/>
  <c r="AF20" i="10"/>
  <c r="N30" i="10"/>
  <c r="O20" i="10"/>
  <c r="AG33" i="10"/>
  <c r="AF33" i="10"/>
  <c r="O33" i="10"/>
  <c r="AG58" i="10"/>
  <c r="AF58" i="10"/>
  <c r="N69" i="10"/>
  <c r="O58" i="10"/>
  <c r="R130" i="10"/>
  <c r="Q130" i="10"/>
  <c r="R45" i="11"/>
  <c r="Q45" i="11"/>
  <c r="R98" i="11"/>
  <c r="Q98" i="11"/>
  <c r="O47" i="9"/>
  <c r="AF47" i="9"/>
  <c r="AG47" i="9"/>
  <c r="AG58" i="9"/>
  <c r="O58" i="9"/>
  <c r="AF58" i="9"/>
  <c r="N82" i="9"/>
  <c r="O70" i="9"/>
  <c r="AG70" i="9"/>
  <c r="AF70" i="9"/>
  <c r="O87" i="9"/>
  <c r="AG87" i="9"/>
  <c r="AF87" i="9"/>
  <c r="AG123" i="9"/>
  <c r="AF123" i="9"/>
  <c r="O123" i="9"/>
  <c r="AG30" i="11"/>
  <c r="AH18" i="11" s="1"/>
  <c r="AG21" i="9"/>
  <c r="AF21" i="9"/>
  <c r="O21" i="9"/>
  <c r="O22" i="9"/>
  <c r="AG22" i="9"/>
  <c r="O44" i="9"/>
  <c r="AG44" i="9"/>
  <c r="N56" i="9"/>
  <c r="AF44" i="9"/>
  <c r="O103" i="9"/>
  <c r="AG103" i="9"/>
  <c r="AF103" i="9"/>
  <c r="O109" i="9"/>
  <c r="AG109" i="9"/>
  <c r="N121" i="9"/>
  <c r="AF109" i="9"/>
  <c r="O114" i="9"/>
  <c r="AG114" i="9"/>
  <c r="AF114" i="9"/>
  <c r="R129" i="9"/>
  <c r="Q129" i="9"/>
  <c r="R131" i="9"/>
  <c r="Q131" i="9"/>
  <c r="N147" i="9"/>
  <c r="AG136" i="9"/>
  <c r="AF136" i="9"/>
  <c r="O136" i="9"/>
  <c r="R148" i="9"/>
  <c r="Q148" i="9"/>
  <c r="AG165" i="9"/>
  <c r="AF165" i="9"/>
  <c r="O165" i="9"/>
  <c r="AG22" i="10"/>
  <c r="AF22" i="10"/>
  <c r="O22" i="10"/>
  <c r="AF46" i="10"/>
  <c r="O46" i="10"/>
  <c r="O56" i="10" s="1"/>
  <c r="R56" i="10" s="1"/>
  <c r="S44" i="10" s="1"/>
  <c r="AG46" i="10"/>
  <c r="AG60" i="10"/>
  <c r="AF60" i="10"/>
  <c r="O60" i="10"/>
  <c r="P17" i="9"/>
  <c r="AG9" i="9"/>
  <c r="AF9" i="9"/>
  <c r="R11" i="9"/>
  <c r="Q11" i="9"/>
  <c r="AG19" i="9"/>
  <c r="AF19" i="9"/>
  <c r="O19" i="9"/>
  <c r="O20" i="9"/>
  <c r="AG20" i="9"/>
  <c r="AF22" i="9"/>
  <c r="AG57" i="9"/>
  <c r="N69" i="9"/>
  <c r="AF57" i="9"/>
  <c r="O57" i="9"/>
  <c r="O71" i="9"/>
  <c r="AF71" i="9"/>
  <c r="AG71" i="9"/>
  <c r="O97" i="9"/>
  <c r="AG97" i="9"/>
  <c r="AF97" i="9"/>
  <c r="O116" i="9"/>
  <c r="AG116" i="9"/>
  <c r="AF116" i="9"/>
  <c r="AG122" i="9"/>
  <c r="N134" i="9"/>
  <c r="AF122" i="9"/>
  <c r="O122" i="9"/>
  <c r="N17" i="9"/>
  <c r="O5" i="9"/>
  <c r="AG5" i="9"/>
  <c r="AG11" i="9"/>
  <c r="AF11" i="9"/>
  <c r="Q12" i="9"/>
  <c r="AF20" i="9"/>
  <c r="O33" i="9"/>
  <c r="AF33" i="9"/>
  <c r="AG33" i="9"/>
  <c r="O45" i="9"/>
  <c r="AF45" i="9"/>
  <c r="AG45" i="9"/>
  <c r="AG60" i="9"/>
  <c r="O60" i="9"/>
  <c r="AF60" i="9"/>
  <c r="O73" i="9"/>
  <c r="AG73" i="9"/>
  <c r="AF73" i="9"/>
  <c r="O85" i="9"/>
  <c r="AG85" i="9"/>
  <c r="AF85" i="9"/>
  <c r="O99" i="9"/>
  <c r="AG99" i="9"/>
  <c r="AF99" i="9"/>
  <c r="O110" i="9"/>
  <c r="AG110" i="9"/>
  <c r="AF110" i="9"/>
  <c r="AG125" i="9"/>
  <c r="AF125" i="9"/>
  <c r="O125" i="9"/>
  <c r="R130" i="9"/>
  <c r="Q130" i="9"/>
  <c r="R137" i="9"/>
  <c r="Q137" i="9"/>
  <c r="AG140" i="9"/>
  <c r="AF140" i="9"/>
  <c r="O140" i="9"/>
  <c r="AG150" i="9"/>
  <c r="AF150" i="9"/>
  <c r="N160" i="9"/>
  <c r="O150" i="9"/>
  <c r="R12" i="10"/>
  <c r="Q12" i="10"/>
  <c r="R23" i="10"/>
  <c r="Q23" i="10"/>
  <c r="N43" i="10"/>
  <c r="AG35" i="10"/>
  <c r="AF35" i="10"/>
  <c r="O35" i="10"/>
  <c r="AG45" i="10"/>
  <c r="AF45" i="10"/>
  <c r="O45" i="10"/>
  <c r="R57" i="10"/>
  <c r="R33" i="11"/>
  <c r="Q33" i="11"/>
  <c r="AG31" i="9"/>
  <c r="P160" i="9"/>
  <c r="P30" i="10"/>
  <c r="P69" i="10"/>
  <c r="P72" i="10"/>
  <c r="AG84" i="10"/>
  <c r="AF84" i="10"/>
  <c r="AG97" i="10"/>
  <c r="AF97" i="10"/>
  <c r="O97" i="10"/>
  <c r="AG99" i="10"/>
  <c r="AF99" i="10"/>
  <c r="O99" i="10"/>
  <c r="AG101" i="10"/>
  <c r="AF101" i="10"/>
  <c r="O101" i="10"/>
  <c r="AG103" i="10"/>
  <c r="AF103" i="10"/>
  <c r="O103" i="10"/>
  <c r="AG110" i="10"/>
  <c r="AF110" i="10"/>
  <c r="O110" i="10"/>
  <c r="AG112" i="10"/>
  <c r="AF112" i="10"/>
  <c r="O112" i="10"/>
  <c r="AG114" i="10"/>
  <c r="AF114" i="10"/>
  <c r="O114" i="10"/>
  <c r="AG125" i="10"/>
  <c r="AF125" i="10"/>
  <c r="AG127" i="10"/>
  <c r="AF127" i="10"/>
  <c r="P135" i="10"/>
  <c r="AG160" i="10"/>
  <c r="AH148" i="10" s="1"/>
  <c r="AF160" i="10"/>
  <c r="N173" i="10"/>
  <c r="O161" i="10"/>
  <c r="AG161" i="10"/>
  <c r="AF162" i="10"/>
  <c r="O162" i="10"/>
  <c r="P163" i="10"/>
  <c r="R12" i="11"/>
  <c r="Q12" i="11"/>
  <c r="AG20" i="11"/>
  <c r="AF20" i="11"/>
  <c r="R22" i="11"/>
  <c r="Q22" i="11"/>
  <c r="R35" i="11"/>
  <c r="Q35" i="11"/>
  <c r="AG60" i="11"/>
  <c r="AF60" i="11"/>
  <c r="R71" i="11"/>
  <c r="Q71" i="11"/>
  <c r="AG102" i="11"/>
  <c r="AF102" i="11"/>
  <c r="AG111" i="11"/>
  <c r="AF111" i="11"/>
  <c r="AG127" i="11"/>
  <c r="AF127" i="11"/>
  <c r="O127" i="11"/>
  <c r="P138" i="11"/>
  <c r="R149" i="11"/>
  <c r="Q149" i="11"/>
  <c r="P44" i="12"/>
  <c r="AF71" i="12"/>
  <c r="AG123" i="12"/>
  <c r="AF123" i="12"/>
  <c r="O123" i="12"/>
  <c r="AG136" i="12"/>
  <c r="AF136" i="12"/>
  <c r="O136" i="12"/>
  <c r="O148" i="12"/>
  <c r="AG148" i="12"/>
  <c r="N160" i="12"/>
  <c r="AF148" i="12"/>
  <c r="AG150" i="12"/>
  <c r="AF150" i="12"/>
  <c r="O150" i="12"/>
  <c r="AG30" i="13"/>
  <c r="AH18" i="13" s="1"/>
  <c r="AF30" i="13"/>
  <c r="R102" i="13"/>
  <c r="Q102" i="13"/>
  <c r="O148" i="13"/>
  <c r="AG148" i="13"/>
  <c r="N160" i="13"/>
  <c r="AF148" i="13"/>
  <c r="AG5" i="14"/>
  <c r="AF5" i="14"/>
  <c r="N17" i="14"/>
  <c r="O5" i="14"/>
  <c r="AG10" i="14"/>
  <c r="AF10" i="14"/>
  <c r="O10" i="14"/>
  <c r="P69" i="9"/>
  <c r="O31" i="9"/>
  <c r="O32" i="9"/>
  <c r="O34" i="9"/>
  <c r="O36" i="9"/>
  <c r="P43" i="9"/>
  <c r="N43" i="9"/>
  <c r="O46" i="9"/>
  <c r="P56" i="9"/>
  <c r="O72" i="9"/>
  <c r="O74" i="9"/>
  <c r="O83" i="9"/>
  <c r="O84" i="9"/>
  <c r="O86" i="9"/>
  <c r="O88" i="9"/>
  <c r="P95" i="9"/>
  <c r="N95" i="9"/>
  <c r="O98" i="9"/>
  <c r="O100" i="9"/>
  <c r="O102" i="9"/>
  <c r="O111" i="9"/>
  <c r="O113" i="9"/>
  <c r="O115" i="9"/>
  <c r="P121" i="9"/>
  <c r="P122" i="9"/>
  <c r="P135" i="9"/>
  <c r="AG148" i="9"/>
  <c r="AG161" i="9"/>
  <c r="P163" i="9"/>
  <c r="O7" i="10"/>
  <c r="O9" i="10"/>
  <c r="O11" i="10"/>
  <c r="AG18" i="10"/>
  <c r="AG31" i="10"/>
  <c r="P44" i="10"/>
  <c r="P45" i="10"/>
  <c r="P56" i="10"/>
  <c r="N56" i="10"/>
  <c r="P57" i="10"/>
  <c r="P58" i="10"/>
  <c r="P60" i="10"/>
  <c r="O69" i="10"/>
  <c r="R69" i="10" s="1"/>
  <c r="S57" i="10" s="1"/>
  <c r="N82" i="10"/>
  <c r="O71" i="10"/>
  <c r="AG71" i="10"/>
  <c r="AG72" i="10"/>
  <c r="AF73" i="10"/>
  <c r="O73" i="10"/>
  <c r="AG73" i="10"/>
  <c r="P95" i="10"/>
  <c r="P83" i="10"/>
  <c r="N95" i="10"/>
  <c r="AG83" i="10"/>
  <c r="AF83" i="10"/>
  <c r="P84" i="10"/>
  <c r="AF87" i="10"/>
  <c r="O87" i="10"/>
  <c r="P134" i="10"/>
  <c r="P122" i="10"/>
  <c r="AG122" i="10"/>
  <c r="N134" i="10"/>
  <c r="AF122" i="10"/>
  <c r="AG123" i="10"/>
  <c r="AF123" i="10"/>
  <c r="AG136" i="10"/>
  <c r="AF136" i="10"/>
  <c r="AF137" i="10"/>
  <c r="O137" i="10"/>
  <c r="AG138" i="10"/>
  <c r="AF138" i="10"/>
  <c r="AF139" i="10"/>
  <c r="O139" i="10"/>
  <c r="AG140" i="10"/>
  <c r="AF140" i="10"/>
  <c r="AF141" i="10"/>
  <c r="O141" i="10"/>
  <c r="P147" i="10"/>
  <c r="AG150" i="10"/>
  <c r="AF150" i="10"/>
  <c r="AF161" i="10"/>
  <c r="AG162" i="10"/>
  <c r="AG165" i="10"/>
  <c r="AF165" i="10"/>
  <c r="G1" i="11"/>
  <c r="G2" i="11" s="1"/>
  <c r="N17" i="11"/>
  <c r="O5" i="11"/>
  <c r="AG5" i="11"/>
  <c r="AF5" i="11"/>
  <c r="R19" i="11"/>
  <c r="AG22" i="11"/>
  <c r="AF22" i="11"/>
  <c r="Q23" i="11"/>
  <c r="AG35" i="11"/>
  <c r="AF35" i="11"/>
  <c r="O57" i="11"/>
  <c r="AG72" i="11"/>
  <c r="AF72" i="11"/>
  <c r="O72" i="11"/>
  <c r="AF73" i="11"/>
  <c r="P82" i="11"/>
  <c r="AG83" i="11"/>
  <c r="AG100" i="11"/>
  <c r="AF100" i="11"/>
  <c r="AF109" i="11"/>
  <c r="N121" i="11"/>
  <c r="O109" i="11"/>
  <c r="R111" i="11"/>
  <c r="Q111" i="11"/>
  <c r="AG114" i="11"/>
  <c r="AF114" i="11"/>
  <c r="O114" i="11"/>
  <c r="O115" i="11"/>
  <c r="AG115" i="11"/>
  <c r="R125" i="11"/>
  <c r="Q125" i="11"/>
  <c r="P165" i="11"/>
  <c r="R22" i="12"/>
  <c r="Q22" i="12"/>
  <c r="R35" i="12"/>
  <c r="Q35" i="12"/>
  <c r="P45" i="12"/>
  <c r="P69" i="12"/>
  <c r="AG110" i="12"/>
  <c r="AF110" i="12"/>
  <c r="O110" i="12"/>
  <c r="AG114" i="12"/>
  <c r="AF114" i="12"/>
  <c r="O114" i="12"/>
  <c r="AG127" i="12"/>
  <c r="AF127" i="12"/>
  <c r="O127" i="12"/>
  <c r="AG138" i="12"/>
  <c r="AF138" i="12"/>
  <c r="O138" i="12"/>
  <c r="AG83" i="9"/>
  <c r="O24" i="9"/>
  <c r="O6" i="9"/>
  <c r="O8" i="9"/>
  <c r="O10" i="9"/>
  <c r="P18" i="9"/>
  <c r="P19" i="9"/>
  <c r="P21" i="9"/>
  <c r="P23" i="9"/>
  <c r="P24" i="9"/>
  <c r="P31" i="9"/>
  <c r="P32" i="9"/>
  <c r="AF32" i="9"/>
  <c r="P34" i="9"/>
  <c r="AF34" i="9"/>
  <c r="P36" i="9"/>
  <c r="AF36" i="9"/>
  <c r="P46" i="9"/>
  <c r="AF46" i="9"/>
  <c r="O59" i="9"/>
  <c r="P72" i="9"/>
  <c r="AF72" i="9"/>
  <c r="P74" i="9"/>
  <c r="AF74" i="9"/>
  <c r="P83" i="9"/>
  <c r="P84" i="9"/>
  <c r="AF84" i="9"/>
  <c r="P86" i="9"/>
  <c r="AF86" i="9"/>
  <c r="P88" i="9"/>
  <c r="AF88" i="9"/>
  <c r="P98" i="9"/>
  <c r="AF98" i="9"/>
  <c r="P100" i="9"/>
  <c r="AF100" i="9"/>
  <c r="P102" i="9"/>
  <c r="AF102" i="9"/>
  <c r="P111" i="9"/>
  <c r="AF111" i="9"/>
  <c r="P113" i="9"/>
  <c r="AF113" i="9"/>
  <c r="P115" i="9"/>
  <c r="AF115" i="9"/>
  <c r="O124" i="9"/>
  <c r="O126" i="9"/>
  <c r="O128" i="9"/>
  <c r="Q135" i="9"/>
  <c r="AF135" i="9"/>
  <c r="O139" i="9"/>
  <c r="O147" i="9" s="1"/>
  <c r="O141" i="9"/>
  <c r="O149" i="9"/>
  <c r="O151" i="9"/>
  <c r="O161" i="9"/>
  <c r="O162" i="9"/>
  <c r="O164" i="9"/>
  <c r="P7" i="10"/>
  <c r="AF7" i="10"/>
  <c r="P9" i="10"/>
  <c r="AF9" i="10"/>
  <c r="P11" i="10"/>
  <c r="AF11" i="10"/>
  <c r="O19" i="10"/>
  <c r="O21" i="10"/>
  <c r="O24" i="10"/>
  <c r="O31" i="10"/>
  <c r="O32" i="10"/>
  <c r="O34" i="10"/>
  <c r="O36" i="10"/>
  <c r="P43" i="10"/>
  <c r="Q44" i="10"/>
  <c r="Q57" i="10"/>
  <c r="P70" i="10"/>
  <c r="P82" i="10"/>
  <c r="R74" i="10"/>
  <c r="Q74" i="10"/>
  <c r="AG86" i="10"/>
  <c r="AF86" i="10"/>
  <c r="AG98" i="10"/>
  <c r="AF98" i="10"/>
  <c r="AG100" i="10"/>
  <c r="AF100" i="10"/>
  <c r="AG102" i="10"/>
  <c r="AF102" i="10"/>
  <c r="AG111" i="10"/>
  <c r="AF111" i="10"/>
  <c r="AG113" i="10"/>
  <c r="AF113" i="10"/>
  <c r="AG115" i="10"/>
  <c r="AF115" i="10"/>
  <c r="R131" i="10"/>
  <c r="Q131" i="10"/>
  <c r="AG147" i="10"/>
  <c r="AH135" i="10" s="1"/>
  <c r="AF147" i="10"/>
  <c r="R136" i="10"/>
  <c r="P136" i="10"/>
  <c r="R138" i="10"/>
  <c r="P138" i="10"/>
  <c r="R140" i="10"/>
  <c r="P140" i="10"/>
  <c r="Q150" i="10"/>
  <c r="P150" i="10"/>
  <c r="AG152" i="10"/>
  <c r="AF152" i="10"/>
  <c r="R163" i="10"/>
  <c r="Q163" i="10"/>
  <c r="AF164" i="10"/>
  <c r="O164" i="10"/>
  <c r="R165" i="10"/>
  <c r="P165" i="10"/>
  <c r="O18" i="11"/>
  <c r="AG18" i="11"/>
  <c r="Q24" i="11"/>
  <c r="AG33" i="11"/>
  <c r="AF33" i="11"/>
  <c r="AG45" i="11"/>
  <c r="AF45" i="11"/>
  <c r="R58" i="11"/>
  <c r="Q58" i="11"/>
  <c r="N82" i="11"/>
  <c r="O70" i="11"/>
  <c r="AG70" i="11"/>
  <c r="AF70" i="11"/>
  <c r="R73" i="11"/>
  <c r="Q73" i="11"/>
  <c r="AF83" i="11"/>
  <c r="O83" i="11"/>
  <c r="AG86" i="11"/>
  <c r="AF86" i="11"/>
  <c r="O86" i="11"/>
  <c r="O87" i="11"/>
  <c r="AG87" i="11"/>
  <c r="AG98" i="11"/>
  <c r="AF98" i="11"/>
  <c r="AG110" i="11"/>
  <c r="AF110" i="11"/>
  <c r="O110" i="11"/>
  <c r="AG112" i="11"/>
  <c r="AF112" i="11"/>
  <c r="O112" i="11"/>
  <c r="O113" i="11"/>
  <c r="AG113" i="11"/>
  <c r="P134" i="11"/>
  <c r="P122" i="11"/>
  <c r="N134" i="11"/>
  <c r="AG122" i="11"/>
  <c r="AF122" i="11"/>
  <c r="AG123" i="11"/>
  <c r="AF123" i="11"/>
  <c r="O123" i="11"/>
  <c r="R131" i="11"/>
  <c r="Q131" i="11"/>
  <c r="Q136" i="11"/>
  <c r="P136" i="11"/>
  <c r="R138" i="11"/>
  <c r="Q138" i="11"/>
  <c r="Q140" i="11"/>
  <c r="P140" i="11"/>
  <c r="P152" i="11"/>
  <c r="AF164" i="11"/>
  <c r="O164" i="11"/>
  <c r="AG164" i="11"/>
  <c r="G1" i="12"/>
  <c r="G2" i="12" s="1"/>
  <c r="N17" i="12"/>
  <c r="O5" i="12"/>
  <c r="AG5" i="12"/>
  <c r="AF5" i="12"/>
  <c r="AG44" i="12"/>
  <c r="AF44" i="12"/>
  <c r="N56" i="12"/>
  <c r="O44" i="12"/>
  <c r="R100" i="12"/>
  <c r="Q100" i="12"/>
  <c r="AF108" i="12"/>
  <c r="AF149" i="12"/>
  <c r="O149" i="12"/>
  <c r="AG149" i="12"/>
  <c r="AG163" i="12"/>
  <c r="AF163" i="12"/>
  <c r="O163" i="12"/>
  <c r="I1" i="9"/>
  <c r="AG135" i="9"/>
  <c r="R72" i="10"/>
  <c r="Q72" i="10"/>
  <c r="AG74" i="10"/>
  <c r="AF74" i="10"/>
  <c r="R83" i="10"/>
  <c r="Q83" i="10"/>
  <c r="O84" i="10"/>
  <c r="AF85" i="10"/>
  <c r="O85" i="10"/>
  <c r="R86" i="10"/>
  <c r="P86" i="10"/>
  <c r="AF96" i="10"/>
  <c r="N108" i="10"/>
  <c r="O96" i="10"/>
  <c r="R98" i="10"/>
  <c r="Q98" i="10"/>
  <c r="R100" i="10"/>
  <c r="Q100" i="10"/>
  <c r="R102" i="10"/>
  <c r="Q102" i="10"/>
  <c r="AF109" i="10"/>
  <c r="N121" i="10"/>
  <c r="O109" i="10"/>
  <c r="R111" i="10"/>
  <c r="Q111" i="10"/>
  <c r="R113" i="10"/>
  <c r="Q113" i="10"/>
  <c r="R115" i="10"/>
  <c r="Q115" i="10"/>
  <c r="R123" i="10"/>
  <c r="O125" i="10"/>
  <c r="O127" i="10"/>
  <c r="Q129" i="10"/>
  <c r="O148" i="10"/>
  <c r="AG148" i="10"/>
  <c r="R151" i="10"/>
  <c r="P160" i="10"/>
  <c r="AG163" i="10"/>
  <c r="AF163" i="10"/>
  <c r="AG164" i="10"/>
  <c r="O6" i="11"/>
  <c r="AG6" i="11"/>
  <c r="AG7" i="11"/>
  <c r="AF7" i="11"/>
  <c r="O7" i="11"/>
  <c r="O8" i="11"/>
  <c r="AG8" i="11"/>
  <c r="AG9" i="11"/>
  <c r="AF9" i="11"/>
  <c r="O9" i="11"/>
  <c r="O10" i="11"/>
  <c r="AG10" i="11"/>
  <c r="AG11" i="11"/>
  <c r="AF11" i="11"/>
  <c r="O11" i="11"/>
  <c r="O20" i="11"/>
  <c r="P56" i="11"/>
  <c r="P44" i="11"/>
  <c r="AG44" i="11"/>
  <c r="AF44" i="11"/>
  <c r="N56" i="11"/>
  <c r="AG57" i="11"/>
  <c r="AF57" i="11"/>
  <c r="AG58" i="11"/>
  <c r="AF58" i="11"/>
  <c r="O60" i="11"/>
  <c r="P69" i="11"/>
  <c r="AF71" i="11"/>
  <c r="AG74" i="11"/>
  <c r="AF74" i="11"/>
  <c r="O74" i="11"/>
  <c r="AG84" i="11"/>
  <c r="AF84" i="11"/>
  <c r="O84" i="11"/>
  <c r="O85" i="11"/>
  <c r="AG85" i="11"/>
  <c r="AF87" i="11"/>
  <c r="R100" i="11"/>
  <c r="O102" i="11"/>
  <c r="AF108" i="11"/>
  <c r="AF113" i="11"/>
  <c r="AG147" i="11"/>
  <c r="AH135" i="11" s="1"/>
  <c r="AF147" i="11"/>
  <c r="P150" i="11"/>
  <c r="P160" i="11"/>
  <c r="R23" i="12"/>
  <c r="Q23" i="12"/>
  <c r="AG74" i="12"/>
  <c r="AF74" i="12"/>
  <c r="O74" i="12"/>
  <c r="AG112" i="12"/>
  <c r="AF112" i="12"/>
  <c r="O112" i="12"/>
  <c r="AF137" i="12"/>
  <c r="O137" i="12"/>
  <c r="AG137" i="12"/>
  <c r="R152" i="12"/>
  <c r="P152" i="12"/>
  <c r="P160" i="12"/>
  <c r="AA2" i="13"/>
  <c r="P121" i="10"/>
  <c r="AG31" i="11"/>
  <c r="AG69" i="11"/>
  <c r="AH57" i="11" s="1"/>
  <c r="AG71" i="11"/>
  <c r="AG73" i="11"/>
  <c r="AG96" i="11"/>
  <c r="P121" i="11"/>
  <c r="AG125" i="11"/>
  <c r="AF125" i="11"/>
  <c r="R129" i="11"/>
  <c r="R130" i="11"/>
  <c r="Q130" i="11"/>
  <c r="O148" i="11"/>
  <c r="AG148" i="11"/>
  <c r="N160" i="11"/>
  <c r="P173" i="11"/>
  <c r="N173" i="11"/>
  <c r="O161" i="11"/>
  <c r="AG161" i="11"/>
  <c r="AF162" i="11"/>
  <c r="O162" i="11"/>
  <c r="AG163" i="11"/>
  <c r="AF163" i="11"/>
  <c r="O8" i="12"/>
  <c r="AG8" i="12"/>
  <c r="AG9" i="12"/>
  <c r="AF9" i="12"/>
  <c r="O9" i="12"/>
  <c r="R12" i="12"/>
  <c r="Q12" i="12"/>
  <c r="P17" i="12"/>
  <c r="AG20" i="12"/>
  <c r="AF20" i="12"/>
  <c r="P30" i="12"/>
  <c r="N43" i="12"/>
  <c r="AG58" i="12"/>
  <c r="AF58" i="12"/>
  <c r="AG60" i="12"/>
  <c r="AF60" i="12"/>
  <c r="R71" i="12"/>
  <c r="Q71" i="12"/>
  <c r="AG95" i="12"/>
  <c r="AH83" i="12" s="1"/>
  <c r="P108" i="12"/>
  <c r="AG102" i="12"/>
  <c r="AF102" i="12"/>
  <c r="P134" i="12"/>
  <c r="P122" i="12"/>
  <c r="AG122" i="12"/>
  <c r="N134" i="12"/>
  <c r="AF122" i="12"/>
  <c r="P123" i="12"/>
  <c r="AF126" i="12"/>
  <c r="O126" i="12"/>
  <c r="P127" i="12"/>
  <c r="Q130" i="12"/>
  <c r="P130" i="12"/>
  <c r="N147" i="12"/>
  <c r="P136" i="12"/>
  <c r="P138" i="12"/>
  <c r="P150" i="12"/>
  <c r="N173" i="12"/>
  <c r="O161" i="12"/>
  <c r="AG161" i="12"/>
  <c r="AF162" i="12"/>
  <c r="O162" i="12"/>
  <c r="P163" i="12"/>
  <c r="AF5" i="13"/>
  <c r="AG6" i="13"/>
  <c r="AF6" i="13"/>
  <c r="Q6" i="13"/>
  <c r="R45" i="13"/>
  <c r="Q45" i="13"/>
  <c r="I1" i="13"/>
  <c r="AF83" i="13"/>
  <c r="O83" i="13"/>
  <c r="N95" i="13"/>
  <c r="AG83" i="13"/>
  <c r="O87" i="13"/>
  <c r="AG87" i="13"/>
  <c r="AF87" i="13"/>
  <c r="AG98" i="13"/>
  <c r="AF98" i="13"/>
  <c r="O98" i="13"/>
  <c r="AG112" i="13"/>
  <c r="AF112" i="13"/>
  <c r="O112" i="13"/>
  <c r="AG123" i="13"/>
  <c r="AF123" i="13"/>
  <c r="O123" i="13"/>
  <c r="P96" i="10"/>
  <c r="O124" i="10"/>
  <c r="O126" i="10"/>
  <c r="O128" i="10"/>
  <c r="AF135" i="10"/>
  <c r="O31" i="11"/>
  <c r="O32" i="11"/>
  <c r="O34" i="11"/>
  <c r="O36" i="11"/>
  <c r="P43" i="11"/>
  <c r="O46" i="11"/>
  <c r="O56" i="11" s="1"/>
  <c r="R56" i="11" s="1"/>
  <c r="S44" i="11" s="1"/>
  <c r="O59" i="11"/>
  <c r="P84" i="11"/>
  <c r="P86" i="11"/>
  <c r="O96" i="11"/>
  <c r="O97" i="11"/>
  <c r="O99" i="11"/>
  <c r="O101" i="11"/>
  <c r="P108" i="11"/>
  <c r="P114" i="11"/>
  <c r="P135" i="11"/>
  <c r="R150" i="11"/>
  <c r="Q150" i="11"/>
  <c r="R152" i="11"/>
  <c r="Q152" i="11"/>
  <c r="R163" i="11"/>
  <c r="P163" i="11"/>
  <c r="R165" i="11"/>
  <c r="Q165" i="11"/>
  <c r="AG22" i="12"/>
  <c r="AF22" i="12"/>
  <c r="N30" i="12"/>
  <c r="R33" i="12"/>
  <c r="Q33" i="12"/>
  <c r="AG35" i="12"/>
  <c r="AF35" i="12"/>
  <c r="AA2" i="12"/>
  <c r="R45" i="12"/>
  <c r="Q45" i="12"/>
  <c r="P56" i="12"/>
  <c r="AG72" i="12"/>
  <c r="AF72" i="12"/>
  <c r="O72" i="12"/>
  <c r="AF73" i="12"/>
  <c r="P82" i="12"/>
  <c r="AG84" i="12"/>
  <c r="AF84" i="12"/>
  <c r="O84" i="12"/>
  <c r="O85" i="12"/>
  <c r="AG85" i="12"/>
  <c r="AG86" i="12"/>
  <c r="AF86" i="12"/>
  <c r="O86" i="12"/>
  <c r="O87" i="12"/>
  <c r="AG87" i="12"/>
  <c r="R98" i="12"/>
  <c r="Q98" i="12"/>
  <c r="AG100" i="12"/>
  <c r="AF100" i="12"/>
  <c r="AF109" i="12"/>
  <c r="N121" i="12"/>
  <c r="O109" i="12"/>
  <c r="AG109" i="12"/>
  <c r="AF111" i="12"/>
  <c r="AG113" i="12"/>
  <c r="AF113" i="12"/>
  <c r="AF115" i="12"/>
  <c r="AG125" i="12"/>
  <c r="AF125" i="12"/>
  <c r="AG140" i="12"/>
  <c r="AF140" i="12"/>
  <c r="AF141" i="12"/>
  <c r="O141" i="12"/>
  <c r="AG165" i="12"/>
  <c r="AF165" i="12"/>
  <c r="P173" i="12"/>
  <c r="G1" i="13"/>
  <c r="G2" i="13" s="1"/>
  <c r="O10" i="13"/>
  <c r="AG10" i="13"/>
  <c r="AF10" i="13"/>
  <c r="P20" i="13"/>
  <c r="AG35" i="13"/>
  <c r="AF35" i="13"/>
  <c r="O35" i="13"/>
  <c r="R58" i="13"/>
  <c r="Q58" i="13"/>
  <c r="AG86" i="13"/>
  <c r="AF86" i="13"/>
  <c r="O86" i="13"/>
  <c r="AG135" i="10"/>
  <c r="P161" i="10"/>
  <c r="AG136" i="11"/>
  <c r="AF136" i="11"/>
  <c r="AF137" i="11"/>
  <c r="O137" i="11"/>
  <c r="AG138" i="11"/>
  <c r="AF138" i="11"/>
  <c r="AF139" i="11"/>
  <c r="O139" i="11"/>
  <c r="AG140" i="11"/>
  <c r="AF140" i="11"/>
  <c r="AF141" i="11"/>
  <c r="O141" i="11"/>
  <c r="P147" i="11"/>
  <c r="AG150" i="11"/>
  <c r="AF150" i="11"/>
  <c r="AF151" i="11"/>
  <c r="O151" i="11"/>
  <c r="AG152" i="11"/>
  <c r="AF152" i="11"/>
  <c r="AG165" i="11"/>
  <c r="AF165" i="11"/>
  <c r="O6" i="12"/>
  <c r="AG6" i="12"/>
  <c r="AG7" i="12"/>
  <c r="AF7" i="12"/>
  <c r="O7" i="12"/>
  <c r="O10" i="12"/>
  <c r="AG10" i="12"/>
  <c r="AG11" i="12"/>
  <c r="AF11" i="12"/>
  <c r="O11" i="12"/>
  <c r="AE2" i="12"/>
  <c r="O18" i="12"/>
  <c r="AG18" i="12"/>
  <c r="R20" i="12"/>
  <c r="R21" i="12"/>
  <c r="AG33" i="12"/>
  <c r="AF33" i="12"/>
  <c r="AG45" i="12"/>
  <c r="AF45" i="12"/>
  <c r="R57" i="12"/>
  <c r="Q57" i="12"/>
  <c r="R58" i="12"/>
  <c r="R60" i="12"/>
  <c r="N82" i="12"/>
  <c r="O70" i="12"/>
  <c r="AG70" i="12"/>
  <c r="AF70" i="12"/>
  <c r="R73" i="12"/>
  <c r="Q73" i="12"/>
  <c r="AF83" i="12"/>
  <c r="O83" i="12"/>
  <c r="AG83" i="12"/>
  <c r="AF85" i="12"/>
  <c r="AF87" i="12"/>
  <c r="AG98" i="12"/>
  <c r="AF98" i="12"/>
  <c r="Q102" i="12"/>
  <c r="R111" i="12"/>
  <c r="Q111" i="12"/>
  <c r="R113" i="12"/>
  <c r="Q113" i="12"/>
  <c r="R115" i="12"/>
  <c r="Q115" i="12"/>
  <c r="P121" i="12"/>
  <c r="R122" i="12"/>
  <c r="Q122" i="12"/>
  <c r="AF124" i="12"/>
  <c r="O124" i="12"/>
  <c r="R125" i="12"/>
  <c r="P125" i="12"/>
  <c r="AF128" i="12"/>
  <c r="O128" i="12"/>
  <c r="R129" i="12"/>
  <c r="P129" i="12"/>
  <c r="R131" i="12"/>
  <c r="P131" i="12"/>
  <c r="P147" i="12"/>
  <c r="R135" i="12"/>
  <c r="P135" i="12"/>
  <c r="AF139" i="12"/>
  <c r="O139" i="12"/>
  <c r="Q140" i="12"/>
  <c r="P140" i="12"/>
  <c r="AF151" i="12"/>
  <c r="O151" i="12"/>
  <c r="AG152" i="12"/>
  <c r="AF152" i="12"/>
  <c r="AF164" i="12"/>
  <c r="O164" i="12"/>
  <c r="Q165" i="12"/>
  <c r="P165" i="12"/>
  <c r="AG9" i="13"/>
  <c r="AF9" i="13"/>
  <c r="O9" i="13"/>
  <c r="AG22" i="13"/>
  <c r="AF22" i="13"/>
  <c r="O22" i="13"/>
  <c r="R33" i="13"/>
  <c r="Q33" i="13"/>
  <c r="R57" i="13"/>
  <c r="Q57" i="13"/>
  <c r="AG110" i="13"/>
  <c r="AF110" i="13"/>
  <c r="O110" i="13"/>
  <c r="AG114" i="13"/>
  <c r="AF114" i="13"/>
  <c r="O114" i="13"/>
  <c r="R127" i="13"/>
  <c r="Q127" i="13"/>
  <c r="R131" i="13"/>
  <c r="Q131" i="13"/>
  <c r="P138" i="13"/>
  <c r="AG31" i="12"/>
  <c r="AG69" i="12"/>
  <c r="AH57" i="12" s="1"/>
  <c r="AG71" i="12"/>
  <c r="AG73" i="12"/>
  <c r="AG96" i="12"/>
  <c r="AG111" i="12"/>
  <c r="AG115" i="12"/>
  <c r="AG7" i="13"/>
  <c r="AF7" i="13"/>
  <c r="O7" i="13"/>
  <c r="O8" i="13"/>
  <c r="AG8" i="13"/>
  <c r="Q20" i="13"/>
  <c r="AG33" i="13"/>
  <c r="AF33" i="13"/>
  <c r="AG45" i="13"/>
  <c r="AF45" i="13"/>
  <c r="R60" i="13"/>
  <c r="AG72" i="13"/>
  <c r="AF72" i="13"/>
  <c r="O72" i="13"/>
  <c r="AG74" i="13"/>
  <c r="AF74" i="13"/>
  <c r="O74" i="13"/>
  <c r="AG84" i="13"/>
  <c r="AF84" i="13"/>
  <c r="O84" i="13"/>
  <c r="O85" i="13"/>
  <c r="AG85" i="13"/>
  <c r="P134" i="13"/>
  <c r="P122" i="13"/>
  <c r="AG122" i="13"/>
  <c r="N134" i="13"/>
  <c r="AF122" i="13"/>
  <c r="R125" i="13"/>
  <c r="Q130" i="13"/>
  <c r="R135" i="13"/>
  <c r="Q135" i="13"/>
  <c r="R136" i="13"/>
  <c r="Q136" i="13"/>
  <c r="AG140" i="13"/>
  <c r="AF140" i="13"/>
  <c r="O140" i="13"/>
  <c r="AG152" i="13"/>
  <c r="AF152" i="13"/>
  <c r="O152" i="13"/>
  <c r="O124" i="11"/>
  <c r="O126" i="11"/>
  <c r="O128" i="11"/>
  <c r="AF135" i="11"/>
  <c r="O31" i="12"/>
  <c r="O32" i="12"/>
  <c r="O34" i="12"/>
  <c r="O36" i="12"/>
  <c r="P43" i="12"/>
  <c r="O46" i="12"/>
  <c r="AF57" i="12"/>
  <c r="O59" i="12"/>
  <c r="O69" i="12" s="1"/>
  <c r="O96" i="12"/>
  <c r="O97" i="12"/>
  <c r="O99" i="12"/>
  <c r="O101" i="12"/>
  <c r="AF135" i="12"/>
  <c r="R5" i="13"/>
  <c r="N17" i="13"/>
  <c r="AG5" i="13"/>
  <c r="R6" i="13"/>
  <c r="AF8" i="13"/>
  <c r="R18" i="13"/>
  <c r="P56" i="13"/>
  <c r="P44" i="13"/>
  <c r="AG44" i="13"/>
  <c r="AF44" i="13"/>
  <c r="N56" i="13"/>
  <c r="AG57" i="13"/>
  <c r="AF57" i="13"/>
  <c r="AG58" i="13"/>
  <c r="AF58" i="13"/>
  <c r="P69" i="13"/>
  <c r="N108" i="13"/>
  <c r="R100" i="13"/>
  <c r="Q100" i="13"/>
  <c r="AG102" i="13"/>
  <c r="AF102" i="13"/>
  <c r="AG111" i="13"/>
  <c r="AF111" i="13"/>
  <c r="AG113" i="13"/>
  <c r="AF113" i="13"/>
  <c r="AG115" i="13"/>
  <c r="AF115" i="13"/>
  <c r="AG127" i="13"/>
  <c r="AF127" i="13"/>
  <c r="AF136" i="13"/>
  <c r="AG136" i="13"/>
  <c r="AG135" i="11"/>
  <c r="P161" i="11"/>
  <c r="AG135" i="12"/>
  <c r="P161" i="12"/>
  <c r="P5" i="13"/>
  <c r="P7" i="13"/>
  <c r="AG11" i="13"/>
  <c r="AF11" i="13"/>
  <c r="O11" i="13"/>
  <c r="R12" i="13"/>
  <c r="Q12" i="13"/>
  <c r="AG20" i="13"/>
  <c r="AF20" i="13"/>
  <c r="P30" i="13"/>
  <c r="N43" i="13"/>
  <c r="AG60" i="13"/>
  <c r="AF60" i="13"/>
  <c r="N69" i="13"/>
  <c r="N82" i="13"/>
  <c r="O70" i="13"/>
  <c r="AG70" i="13"/>
  <c r="AF70" i="13"/>
  <c r="AG71" i="13"/>
  <c r="R71" i="13"/>
  <c r="AF71" i="13"/>
  <c r="AG73" i="13"/>
  <c r="R73" i="13"/>
  <c r="AF73" i="13"/>
  <c r="AG100" i="13"/>
  <c r="AF100" i="13"/>
  <c r="AF109" i="13"/>
  <c r="N121" i="13"/>
  <c r="O109" i="13"/>
  <c r="R111" i="13"/>
  <c r="Q111" i="13"/>
  <c r="R113" i="13"/>
  <c r="Q113" i="13"/>
  <c r="R115" i="13"/>
  <c r="Q115" i="13"/>
  <c r="P121" i="13"/>
  <c r="O122" i="13"/>
  <c r="AG125" i="13"/>
  <c r="AF125" i="13"/>
  <c r="R129" i="13"/>
  <c r="N147" i="13"/>
  <c r="AG135" i="13"/>
  <c r="AF135" i="13"/>
  <c r="AG139" i="13"/>
  <c r="O141" i="13"/>
  <c r="AG141" i="13"/>
  <c r="AF141" i="13"/>
  <c r="AG18" i="13"/>
  <c r="AG31" i="13"/>
  <c r="AG96" i="13"/>
  <c r="AG150" i="13"/>
  <c r="AF150" i="13"/>
  <c r="O150" i="13"/>
  <c r="O151" i="13"/>
  <c r="AG151" i="13"/>
  <c r="O161" i="13"/>
  <c r="AG161" i="13"/>
  <c r="AF161" i="13"/>
  <c r="N173" i="13"/>
  <c r="AG165" i="13"/>
  <c r="AF165" i="13"/>
  <c r="O165" i="13"/>
  <c r="AG8" i="14"/>
  <c r="AF8" i="14"/>
  <c r="O8" i="14"/>
  <c r="AG86" i="14"/>
  <c r="AF86" i="14"/>
  <c r="N95" i="14"/>
  <c r="O86" i="14"/>
  <c r="AF126" i="14"/>
  <c r="AG126" i="14"/>
  <c r="O126" i="14"/>
  <c r="P9" i="13"/>
  <c r="P11" i="13"/>
  <c r="O19" i="13"/>
  <c r="O21" i="13"/>
  <c r="O24" i="13"/>
  <c r="O31" i="13"/>
  <c r="O32" i="13"/>
  <c r="O34" i="13"/>
  <c r="O36" i="13"/>
  <c r="P43" i="13"/>
  <c r="O46" i="13"/>
  <c r="O59" i="13"/>
  <c r="O69" i="13" s="1"/>
  <c r="R69" i="13" s="1"/>
  <c r="S57" i="13" s="1"/>
  <c r="P83" i="13"/>
  <c r="P84" i="13"/>
  <c r="P86" i="13"/>
  <c r="O96" i="13"/>
  <c r="O97" i="13"/>
  <c r="O99" i="13"/>
  <c r="O101" i="13"/>
  <c r="P108" i="13"/>
  <c r="O124" i="13"/>
  <c r="O126" i="13"/>
  <c r="O128" i="13"/>
  <c r="O139" i="13"/>
  <c r="AF139" i="13"/>
  <c r="P147" i="13"/>
  <c r="O149" i="13"/>
  <c r="AG149" i="13"/>
  <c r="AF151" i="13"/>
  <c r="P160" i="13"/>
  <c r="AG163" i="13"/>
  <c r="AF163" i="13"/>
  <c r="O163" i="13"/>
  <c r="O164" i="13"/>
  <c r="AG164" i="13"/>
  <c r="AG6" i="14"/>
  <c r="AF6" i="14"/>
  <c r="O6" i="14"/>
  <c r="O137" i="13"/>
  <c r="P140" i="13"/>
  <c r="AF149" i="13"/>
  <c r="O162" i="13"/>
  <c r="AG162" i="13"/>
  <c r="AF164" i="13"/>
  <c r="R12" i="14"/>
  <c r="Q12" i="14"/>
  <c r="N30" i="14"/>
  <c r="O18" i="14"/>
  <c r="AG18" i="14"/>
  <c r="AF18" i="14"/>
  <c r="AF124" i="14"/>
  <c r="AG124" i="14"/>
  <c r="O124" i="14"/>
  <c r="P17" i="14"/>
  <c r="R22" i="14"/>
  <c r="R35" i="14"/>
  <c r="N43" i="14"/>
  <c r="AF45" i="14"/>
  <c r="AF56" i="14"/>
  <c r="AG56" i="14"/>
  <c r="AH44" i="14" s="1"/>
  <c r="AG57" i="14"/>
  <c r="AF57" i="14"/>
  <c r="AF59" i="14"/>
  <c r="O59" i="14"/>
  <c r="AG59" i="14"/>
  <c r="AF60" i="14"/>
  <c r="R73" i="14"/>
  <c r="AF101" i="14"/>
  <c r="O101" i="14"/>
  <c r="AG101" i="14"/>
  <c r="AF110" i="14"/>
  <c r="R112" i="14"/>
  <c r="Q112" i="14"/>
  <c r="R129" i="14"/>
  <c r="Q129" i="14"/>
  <c r="N147" i="14"/>
  <c r="AG135" i="14"/>
  <c r="AF135" i="14"/>
  <c r="O135" i="14"/>
  <c r="AG138" i="14"/>
  <c r="O138" i="14"/>
  <c r="AF139" i="14"/>
  <c r="O139" i="14"/>
  <c r="R140" i="14"/>
  <c r="Q140" i="14"/>
  <c r="N160" i="14"/>
  <c r="O148" i="14"/>
  <c r="AG148" i="14"/>
  <c r="AG150" i="14"/>
  <c r="O150" i="14"/>
  <c r="AF151" i="14"/>
  <c r="O151" i="14"/>
  <c r="R152" i="14"/>
  <c r="Q152" i="14"/>
  <c r="R161" i="14"/>
  <c r="Q161" i="14"/>
  <c r="R162" i="14"/>
  <c r="Q162" i="14"/>
  <c r="P163" i="14"/>
  <c r="P165" i="14"/>
  <c r="Q165" i="14"/>
  <c r="AG99" i="15"/>
  <c r="AF99" i="15"/>
  <c r="O99" i="15"/>
  <c r="O115" i="15"/>
  <c r="AG115" i="15"/>
  <c r="AF115" i="15"/>
  <c r="AG137" i="15"/>
  <c r="AF137" i="15"/>
  <c r="O137" i="15"/>
  <c r="AG141" i="15"/>
  <c r="AF141" i="15"/>
  <c r="O141" i="15"/>
  <c r="AG161" i="15"/>
  <c r="AF161" i="15"/>
  <c r="N173" i="15"/>
  <c r="O161" i="15"/>
  <c r="R163" i="15"/>
  <c r="Q163" i="15"/>
  <c r="O20" i="14"/>
  <c r="AF20" i="14"/>
  <c r="P22" i="14"/>
  <c r="O33" i="14"/>
  <c r="O43" i="14" s="1"/>
  <c r="AF33" i="14"/>
  <c r="P35" i="14"/>
  <c r="O36" i="14"/>
  <c r="AG36" i="14"/>
  <c r="P43" i="14"/>
  <c r="R45" i="14"/>
  <c r="Q45" i="14"/>
  <c r="Q56" i="14"/>
  <c r="O57" i="14"/>
  <c r="AF58" i="14"/>
  <c r="R60" i="14"/>
  <c r="Q60" i="14"/>
  <c r="N82" i="14"/>
  <c r="O70" i="14"/>
  <c r="AG70" i="14"/>
  <c r="P95" i="14"/>
  <c r="AF99" i="14"/>
  <c r="O99" i="14"/>
  <c r="AG99" i="14"/>
  <c r="AF100" i="14"/>
  <c r="R110" i="14"/>
  <c r="Q110" i="14"/>
  <c r="AF115" i="14"/>
  <c r="O115" i="14"/>
  <c r="AG115" i="14"/>
  <c r="R123" i="14"/>
  <c r="Q123" i="14"/>
  <c r="R125" i="14"/>
  <c r="Q125" i="14"/>
  <c r="P126" i="14"/>
  <c r="P128" i="14"/>
  <c r="R128" i="14"/>
  <c r="P147" i="14"/>
  <c r="P135" i="14"/>
  <c r="AF137" i="14"/>
  <c r="O137" i="14"/>
  <c r="AF138" i="14"/>
  <c r="AF149" i="14"/>
  <c r="O149" i="14"/>
  <c r="AF150" i="14"/>
  <c r="AF6" i="15"/>
  <c r="AF22" i="15"/>
  <c r="O33" i="15"/>
  <c r="AG33" i="15"/>
  <c r="AF33" i="15"/>
  <c r="P150" i="13"/>
  <c r="P152" i="13"/>
  <c r="P163" i="13"/>
  <c r="P165" i="13"/>
  <c r="O7" i="14"/>
  <c r="O9" i="14"/>
  <c r="O11" i="14"/>
  <c r="AF19" i="14"/>
  <c r="O21" i="14"/>
  <c r="AG21" i="14"/>
  <c r="Q22" i="14"/>
  <c r="R24" i="14"/>
  <c r="Q31" i="14"/>
  <c r="R31" i="14"/>
  <c r="O34" i="14"/>
  <c r="AG34" i="14"/>
  <c r="Q35" i="14"/>
  <c r="R44" i="14"/>
  <c r="AG44" i="14"/>
  <c r="P57" i="14"/>
  <c r="O58" i="14"/>
  <c r="N69" i="14"/>
  <c r="AF70" i="14"/>
  <c r="Q71" i="14"/>
  <c r="Q72" i="14"/>
  <c r="Q73" i="14"/>
  <c r="Q74" i="14"/>
  <c r="Q83" i="14"/>
  <c r="Q84" i="14"/>
  <c r="Q85" i="14"/>
  <c r="AF96" i="14"/>
  <c r="AF97" i="14"/>
  <c r="O97" i="14"/>
  <c r="AG97" i="14"/>
  <c r="AF98" i="14"/>
  <c r="O100" i="14"/>
  <c r="P108" i="14"/>
  <c r="AG112" i="14"/>
  <c r="AF113" i="14"/>
  <c r="O113" i="14"/>
  <c r="AG113" i="14"/>
  <c r="AF114" i="14"/>
  <c r="N134" i="14"/>
  <c r="O122" i="14"/>
  <c r="AG122" i="14"/>
  <c r="AG127" i="14"/>
  <c r="AG136" i="14"/>
  <c r="O136" i="14"/>
  <c r="AF136" i="14"/>
  <c r="AF140" i="14"/>
  <c r="AF148" i="14"/>
  <c r="AF152" i="14"/>
  <c r="AF163" i="14"/>
  <c r="O163" i="14"/>
  <c r="AG21" i="15"/>
  <c r="AF21" i="15"/>
  <c r="O21" i="15"/>
  <c r="R22" i="15"/>
  <c r="Q22" i="15"/>
  <c r="AG36" i="15"/>
  <c r="AF36" i="15"/>
  <c r="O36" i="15"/>
  <c r="R23" i="14"/>
  <c r="AF44" i="14"/>
  <c r="AG45" i="14"/>
  <c r="AF46" i="14"/>
  <c r="O46" i="14"/>
  <c r="O56" i="14" s="1"/>
  <c r="AG46" i="14"/>
  <c r="P56" i="14"/>
  <c r="AG60" i="14"/>
  <c r="AG72" i="14"/>
  <c r="AF72" i="14"/>
  <c r="AG74" i="14"/>
  <c r="AF74" i="14"/>
  <c r="AG84" i="14"/>
  <c r="AF84" i="14"/>
  <c r="Q96" i="14"/>
  <c r="AG96" i="14"/>
  <c r="O98" i="14"/>
  <c r="N108" i="14"/>
  <c r="AG109" i="14"/>
  <c r="AF109" i="14"/>
  <c r="AG110" i="14"/>
  <c r="AF111" i="14"/>
  <c r="O111" i="14"/>
  <c r="AG111" i="14"/>
  <c r="AF112" i="14"/>
  <c r="O114" i="14"/>
  <c r="N121" i="14"/>
  <c r="AG137" i="14"/>
  <c r="AG139" i="14"/>
  <c r="AG149" i="14"/>
  <c r="AG151" i="14"/>
  <c r="AG163" i="14"/>
  <c r="AG34" i="15"/>
  <c r="AF34" i="15"/>
  <c r="O34" i="15"/>
  <c r="R131" i="14"/>
  <c r="P160" i="14"/>
  <c r="AG161" i="14"/>
  <c r="N173" i="14"/>
  <c r="AF10" i="15"/>
  <c r="AF31" i="15"/>
  <c r="N43" i="15"/>
  <c r="O31" i="15"/>
  <c r="AG31" i="15"/>
  <c r="AG32" i="15"/>
  <c r="AF32" i="15"/>
  <c r="O32" i="15"/>
  <c r="O83" i="15"/>
  <c r="N95" i="15"/>
  <c r="AG83" i="15"/>
  <c r="AF83" i="15"/>
  <c r="AG84" i="15"/>
  <c r="AF84" i="15"/>
  <c r="P134" i="14"/>
  <c r="O127" i="14"/>
  <c r="R130" i="14"/>
  <c r="AG140" i="14"/>
  <c r="AF141" i="14"/>
  <c r="O141" i="14"/>
  <c r="AG141" i="14"/>
  <c r="AG152" i="14"/>
  <c r="R165" i="14"/>
  <c r="O5" i="15"/>
  <c r="N17" i="15"/>
  <c r="AG5" i="15"/>
  <c r="AF5" i="15"/>
  <c r="R8" i="15"/>
  <c r="Q8" i="15"/>
  <c r="AG9" i="15"/>
  <c r="AF9" i="15"/>
  <c r="O9" i="15"/>
  <c r="N30" i="15"/>
  <c r="AF18" i="15"/>
  <c r="O18" i="15"/>
  <c r="O35" i="15"/>
  <c r="AG35" i="15"/>
  <c r="AF35" i="15"/>
  <c r="AG74" i="15"/>
  <c r="AF74" i="15"/>
  <c r="P173" i="14"/>
  <c r="R6" i="15"/>
  <c r="Q6" i="15"/>
  <c r="R10" i="15"/>
  <c r="Q10" i="15"/>
  <c r="AG19" i="15"/>
  <c r="AF19" i="15"/>
  <c r="O19" i="15"/>
  <c r="AF20" i="15"/>
  <c r="Q23" i="15"/>
  <c r="AG69" i="15"/>
  <c r="AH57" i="15" s="1"/>
  <c r="Q69" i="15"/>
  <c r="AF69" i="15"/>
  <c r="AG72" i="15"/>
  <c r="AF72" i="15"/>
  <c r="P148" i="14"/>
  <c r="O164" i="14"/>
  <c r="AG7" i="15"/>
  <c r="AF7" i="15"/>
  <c r="O7" i="15"/>
  <c r="AF8" i="15"/>
  <c r="AG11" i="15"/>
  <c r="AF11" i="15"/>
  <c r="O11" i="15"/>
  <c r="R20" i="15"/>
  <c r="Q20" i="15"/>
  <c r="AF24" i="15"/>
  <c r="O24" i="15"/>
  <c r="AG86" i="15"/>
  <c r="AF86" i="15"/>
  <c r="AG6" i="15"/>
  <c r="AG8" i="15"/>
  <c r="AG10" i="15"/>
  <c r="AG20" i="15"/>
  <c r="AG22" i="15"/>
  <c r="P43" i="15"/>
  <c r="AG56" i="15"/>
  <c r="AH44" i="15" s="1"/>
  <c r="Q56" i="15"/>
  <c r="AF56" i="15"/>
  <c r="R59" i="15"/>
  <c r="Q59" i="15"/>
  <c r="AF70" i="15"/>
  <c r="N82" i="15"/>
  <c r="O70" i="15"/>
  <c r="R72" i="15"/>
  <c r="Q72" i="15"/>
  <c r="R74" i="15"/>
  <c r="Q74" i="15"/>
  <c r="R84" i="15"/>
  <c r="Q84" i="15"/>
  <c r="R86" i="15"/>
  <c r="Q86" i="15"/>
  <c r="AF98" i="15"/>
  <c r="O98" i="15"/>
  <c r="P99" i="15"/>
  <c r="P31" i="15"/>
  <c r="P32" i="15"/>
  <c r="P34" i="15"/>
  <c r="P56" i="15"/>
  <c r="AG59" i="15"/>
  <c r="AF59" i="15"/>
  <c r="AG71" i="15"/>
  <c r="AF71" i="15"/>
  <c r="O71" i="15"/>
  <c r="AG73" i="15"/>
  <c r="AF73" i="15"/>
  <c r="O73" i="15"/>
  <c r="AG85" i="15"/>
  <c r="AF85" i="15"/>
  <c r="O85" i="15"/>
  <c r="AG87" i="15"/>
  <c r="AF87" i="15"/>
  <c r="O87" i="15"/>
  <c r="AG97" i="15"/>
  <c r="AF97" i="15"/>
  <c r="AG101" i="15"/>
  <c r="AF101" i="15"/>
  <c r="N121" i="15"/>
  <c r="O109" i="15"/>
  <c r="AG109" i="15"/>
  <c r="AF109" i="15"/>
  <c r="AG111" i="15"/>
  <c r="AF111" i="15"/>
  <c r="O111" i="15"/>
  <c r="AG46" i="15"/>
  <c r="AF46" i="15"/>
  <c r="P108" i="15"/>
  <c r="Q96" i="15"/>
  <c r="P96" i="15"/>
  <c r="N108" i="15"/>
  <c r="AG96" i="15"/>
  <c r="AF96" i="15"/>
  <c r="R97" i="15"/>
  <c r="P97" i="15"/>
  <c r="AF100" i="15"/>
  <c r="O100" i="15"/>
  <c r="R101" i="15"/>
  <c r="P101" i="15"/>
  <c r="AG44" i="15"/>
  <c r="AG57" i="15"/>
  <c r="P82" i="15"/>
  <c r="O113" i="15"/>
  <c r="AG113" i="15"/>
  <c r="AF113" i="15"/>
  <c r="O122" i="15"/>
  <c r="AG122" i="15"/>
  <c r="N134" i="15"/>
  <c r="AF122" i="15"/>
  <c r="R135" i="15"/>
  <c r="Q135" i="15"/>
  <c r="O44" i="15"/>
  <c r="O45" i="15"/>
  <c r="O57" i="15"/>
  <c r="O58" i="15"/>
  <c r="O60" i="15"/>
  <c r="P69" i="15"/>
  <c r="Q116" i="15"/>
  <c r="R116" i="15"/>
  <c r="R129" i="15"/>
  <c r="Q129" i="15"/>
  <c r="R130" i="15"/>
  <c r="Q130" i="15"/>
  <c r="R131" i="15"/>
  <c r="Q131" i="15"/>
  <c r="P134" i="15"/>
  <c r="AG139" i="15"/>
  <c r="AF139" i="15"/>
  <c r="O139" i="15"/>
  <c r="AG162" i="15"/>
  <c r="AF162" i="15"/>
  <c r="O162" i="15"/>
  <c r="P44" i="15"/>
  <c r="P121" i="15"/>
  <c r="R110" i="15"/>
  <c r="Q114" i="15"/>
  <c r="R114" i="15"/>
  <c r="AG148" i="15"/>
  <c r="N160" i="15"/>
  <c r="AF148" i="15"/>
  <c r="O148" i="15"/>
  <c r="P173" i="15"/>
  <c r="R123" i="15"/>
  <c r="AG123" i="15"/>
  <c r="O124" i="15"/>
  <c r="R125" i="15"/>
  <c r="AG125" i="15"/>
  <c r="O126" i="15"/>
  <c r="R127" i="15"/>
  <c r="AG127" i="15"/>
  <c r="O128" i="15"/>
  <c r="AF135" i="15"/>
  <c r="AG136" i="15"/>
  <c r="AG138" i="15"/>
  <c r="AG140" i="15"/>
  <c r="O149" i="15"/>
  <c r="AG150" i="15"/>
  <c r="O151" i="15"/>
  <c r="AG152" i="15"/>
  <c r="O164" i="15"/>
  <c r="AF124" i="15"/>
  <c r="AF126" i="15"/>
  <c r="AF128" i="15"/>
  <c r="AG135" i="15"/>
  <c r="P147" i="15"/>
  <c r="N147" i="15"/>
  <c r="AF149" i="15"/>
  <c r="AF151" i="15"/>
  <c r="P161" i="15"/>
  <c r="AF164" i="15"/>
  <c r="O136" i="15"/>
  <c r="O138" i="15"/>
  <c r="O140" i="15"/>
  <c r="O150" i="15"/>
  <c r="O152" i="15"/>
  <c r="O165" i="15"/>
  <c r="F8" i="1"/>
  <c r="Q160" i="25" l="1"/>
  <c r="R160" i="25"/>
  <c r="S148" i="25" s="1"/>
  <c r="R134" i="28"/>
  <c r="S122" i="28" s="1"/>
  <c r="Q134" i="28"/>
  <c r="R30" i="28"/>
  <c r="S18" i="28" s="1"/>
  <c r="Q30" i="28"/>
  <c r="R95" i="25"/>
  <c r="S83" i="25" s="1"/>
  <c r="Q95" i="25"/>
  <c r="Q95" i="28"/>
  <c r="R95" i="28"/>
  <c r="S83" i="28" s="1"/>
  <c r="R108" i="28"/>
  <c r="S96" i="28" s="1"/>
  <c r="Q108" i="28"/>
  <c r="R147" i="25"/>
  <c r="S135" i="25" s="1"/>
  <c r="Q147" i="25"/>
  <c r="R17" i="28"/>
  <c r="S5" i="28" s="1"/>
  <c r="E2" i="28"/>
  <c r="Q17" i="28"/>
  <c r="Q147" i="28"/>
  <c r="R147" i="28"/>
  <c r="S135" i="28" s="1"/>
  <c r="R121" i="28"/>
  <c r="S109" i="28" s="1"/>
  <c r="Q121" i="28"/>
  <c r="R160" i="28"/>
  <c r="S148" i="28" s="1"/>
  <c r="Q160" i="28"/>
  <c r="Q173" i="25"/>
  <c r="R173" i="25"/>
  <c r="S161" i="25" s="1"/>
  <c r="R17" i="25"/>
  <c r="S5" i="25" s="1"/>
  <c r="Q17" i="25"/>
  <c r="E2" i="25"/>
  <c r="Q138" i="13"/>
  <c r="Q135" i="10"/>
  <c r="O82" i="10"/>
  <c r="Q43" i="11"/>
  <c r="E2" i="20"/>
  <c r="Q87" i="14"/>
  <c r="AF43" i="11"/>
  <c r="R19" i="12"/>
  <c r="Q19" i="12"/>
  <c r="R149" i="10"/>
  <c r="Q149" i="10"/>
  <c r="R24" i="12"/>
  <c r="Q70" i="10"/>
  <c r="Q112" i="15"/>
  <c r="O108" i="15"/>
  <c r="O147" i="13"/>
  <c r="Q147" i="13" s="1"/>
  <c r="O134" i="11"/>
  <c r="E2" i="21"/>
  <c r="O95" i="14"/>
  <c r="O147" i="12"/>
  <c r="E2" i="22"/>
  <c r="E2" i="18"/>
  <c r="R32" i="14"/>
  <c r="Q32" i="14"/>
  <c r="O147" i="15"/>
  <c r="E2" i="17"/>
  <c r="E2" i="16"/>
  <c r="R147" i="15"/>
  <c r="S135" i="15" s="1"/>
  <c r="Q147" i="15"/>
  <c r="R134" i="11"/>
  <c r="S122" i="11" s="1"/>
  <c r="Q134" i="11"/>
  <c r="R147" i="9"/>
  <c r="S135" i="9" s="1"/>
  <c r="Q147" i="9"/>
  <c r="R140" i="15"/>
  <c r="Q140" i="15"/>
  <c r="R151" i="15"/>
  <c r="Q151" i="15"/>
  <c r="AF160" i="15"/>
  <c r="AG160" i="15"/>
  <c r="AH148" i="15" s="1"/>
  <c r="R139" i="15"/>
  <c r="Q139" i="15"/>
  <c r="R45" i="15"/>
  <c r="Q45" i="15"/>
  <c r="O134" i="15"/>
  <c r="R122" i="15"/>
  <c r="Q122" i="15"/>
  <c r="Q111" i="15"/>
  <c r="R111" i="15"/>
  <c r="Q87" i="15"/>
  <c r="R87" i="15"/>
  <c r="Q73" i="15"/>
  <c r="R73" i="15"/>
  <c r="Q11" i="15"/>
  <c r="R11" i="15"/>
  <c r="Q7" i="15"/>
  <c r="R7" i="15"/>
  <c r="Q46" i="15"/>
  <c r="Q43" i="15"/>
  <c r="AG43" i="15"/>
  <c r="AH31" i="15" s="1"/>
  <c r="AF43" i="15"/>
  <c r="Q34" i="15"/>
  <c r="R34" i="15"/>
  <c r="Q131" i="14"/>
  <c r="AG121" i="14"/>
  <c r="AH109" i="14" s="1"/>
  <c r="AF121" i="14"/>
  <c r="R111" i="14"/>
  <c r="Q111" i="14"/>
  <c r="R136" i="14"/>
  <c r="Q136" i="14"/>
  <c r="Q97" i="14"/>
  <c r="R97" i="14"/>
  <c r="AG69" i="14"/>
  <c r="AH57" i="14" s="1"/>
  <c r="Q69" i="14"/>
  <c r="AF69" i="14"/>
  <c r="R33" i="15"/>
  <c r="Q33" i="15"/>
  <c r="R149" i="14"/>
  <c r="Q149" i="14"/>
  <c r="R74" i="14"/>
  <c r="Q82" i="14"/>
  <c r="AG82" i="14"/>
  <c r="AH70" i="14" s="1"/>
  <c r="AF82" i="14"/>
  <c r="R36" i="14"/>
  <c r="Q36" i="14"/>
  <c r="R20" i="14"/>
  <c r="Q20" i="14"/>
  <c r="Q125" i="15"/>
  <c r="R115" i="15"/>
  <c r="Q115" i="15"/>
  <c r="R151" i="14"/>
  <c r="Q151" i="14"/>
  <c r="AG147" i="14"/>
  <c r="AH135" i="14" s="1"/>
  <c r="AF147" i="14"/>
  <c r="O121" i="14"/>
  <c r="Q109" i="14"/>
  <c r="R149" i="13"/>
  <c r="Q149" i="13"/>
  <c r="R124" i="13"/>
  <c r="Q124" i="13"/>
  <c r="R101" i="13"/>
  <c r="Q101" i="13"/>
  <c r="R46" i="13"/>
  <c r="Q46" i="13"/>
  <c r="R34" i="13"/>
  <c r="Q34" i="13"/>
  <c r="R21" i="13"/>
  <c r="Q21" i="13"/>
  <c r="R126" i="14"/>
  <c r="Q126" i="14"/>
  <c r="AG95" i="14"/>
  <c r="AH83" i="14" s="1"/>
  <c r="AF95" i="14"/>
  <c r="Q23" i="14"/>
  <c r="R161" i="13"/>
  <c r="O173" i="13"/>
  <c r="Q161" i="13"/>
  <c r="AG108" i="13"/>
  <c r="AH96" i="13" s="1"/>
  <c r="AF108" i="13"/>
  <c r="O108" i="12"/>
  <c r="R96" i="12"/>
  <c r="Q96" i="12"/>
  <c r="R32" i="12"/>
  <c r="Q32" i="12"/>
  <c r="R126" i="11"/>
  <c r="Q126" i="11"/>
  <c r="AF134" i="13"/>
  <c r="AG134" i="13"/>
  <c r="AH122" i="13" s="1"/>
  <c r="Q44" i="13"/>
  <c r="Q9" i="13"/>
  <c r="R9" i="13"/>
  <c r="R128" i="12"/>
  <c r="Q128" i="12"/>
  <c r="R124" i="12"/>
  <c r="Q124" i="12"/>
  <c r="O134" i="12"/>
  <c r="R70" i="12"/>
  <c r="Q70" i="12"/>
  <c r="O82" i="12"/>
  <c r="R82" i="12" s="1"/>
  <c r="S70" i="12" s="1"/>
  <c r="Q11" i="12"/>
  <c r="R11" i="12"/>
  <c r="R10" i="12"/>
  <c r="Q10" i="12"/>
  <c r="R141" i="11"/>
  <c r="Q141" i="11"/>
  <c r="R139" i="11"/>
  <c r="Q139" i="11"/>
  <c r="R137" i="11"/>
  <c r="Q137" i="11"/>
  <c r="R130" i="13"/>
  <c r="AF69" i="12"/>
  <c r="R99" i="11"/>
  <c r="Q99" i="11"/>
  <c r="O43" i="11"/>
  <c r="R43" i="11" s="1"/>
  <c r="S31" i="11" s="1"/>
  <c r="R31" i="11"/>
  <c r="Q31" i="11"/>
  <c r="R124" i="10"/>
  <c r="Q124" i="10"/>
  <c r="Q112" i="13"/>
  <c r="R112" i="13"/>
  <c r="R87" i="13"/>
  <c r="Q87" i="13"/>
  <c r="AG147" i="12"/>
  <c r="AH135" i="12" s="1"/>
  <c r="AF147" i="12"/>
  <c r="AG160" i="11"/>
  <c r="AH148" i="11" s="1"/>
  <c r="AF160" i="11"/>
  <c r="Q135" i="11"/>
  <c r="R137" i="12"/>
  <c r="Q137" i="12"/>
  <c r="Q112" i="12"/>
  <c r="R112" i="12"/>
  <c r="R102" i="12"/>
  <c r="AF56" i="11"/>
  <c r="Q56" i="11"/>
  <c r="AG56" i="11"/>
  <c r="AH44" i="11" s="1"/>
  <c r="Q11" i="11"/>
  <c r="R11" i="11"/>
  <c r="R10" i="11"/>
  <c r="Q10" i="11"/>
  <c r="Q122" i="10"/>
  <c r="AG108" i="10"/>
  <c r="AH96" i="10" s="1"/>
  <c r="AF108" i="10"/>
  <c r="R85" i="10"/>
  <c r="Q85" i="10"/>
  <c r="R165" i="12"/>
  <c r="R130" i="12"/>
  <c r="R44" i="12"/>
  <c r="O56" i="12"/>
  <c r="R56" i="12" s="1"/>
  <c r="S44" i="12" s="1"/>
  <c r="Q44" i="12"/>
  <c r="AG17" i="12"/>
  <c r="AH5" i="12" s="1"/>
  <c r="AF17" i="12"/>
  <c r="AF134" i="11"/>
  <c r="AG134" i="11"/>
  <c r="AH122" i="11" s="1"/>
  <c r="R113" i="11"/>
  <c r="Q113" i="11"/>
  <c r="Q110" i="11"/>
  <c r="R110" i="11"/>
  <c r="R70" i="11"/>
  <c r="Q70" i="11"/>
  <c r="O82" i="11"/>
  <c r="R82" i="11" s="1"/>
  <c r="S70" i="11" s="1"/>
  <c r="R82" i="10"/>
  <c r="S70" i="10" s="1"/>
  <c r="R34" i="10"/>
  <c r="Q34" i="10"/>
  <c r="R21" i="10"/>
  <c r="Q21" i="10"/>
  <c r="R164" i="9"/>
  <c r="Q164" i="9"/>
  <c r="R149" i="9"/>
  <c r="Q149" i="9"/>
  <c r="R59" i="9"/>
  <c r="Q59" i="9"/>
  <c r="R8" i="9"/>
  <c r="Q8" i="9"/>
  <c r="Q129" i="13"/>
  <c r="R20" i="13"/>
  <c r="R140" i="12"/>
  <c r="Q129" i="12"/>
  <c r="Q110" i="12"/>
  <c r="R110" i="12"/>
  <c r="Q60" i="12"/>
  <c r="Q129" i="11"/>
  <c r="AF121" i="11"/>
  <c r="AG121" i="11"/>
  <c r="AH109" i="11" s="1"/>
  <c r="Q72" i="11"/>
  <c r="R72" i="11"/>
  <c r="R57" i="11"/>
  <c r="Q57" i="11"/>
  <c r="O69" i="11"/>
  <c r="R69" i="11" s="1"/>
  <c r="S57" i="11" s="1"/>
  <c r="R141" i="10"/>
  <c r="Q141" i="10"/>
  <c r="R139" i="10"/>
  <c r="Q139" i="10"/>
  <c r="R137" i="10"/>
  <c r="Q137" i="10"/>
  <c r="AF134" i="10"/>
  <c r="AG134" i="10"/>
  <c r="AH122" i="10" s="1"/>
  <c r="R87" i="10"/>
  <c r="Q87" i="10"/>
  <c r="R73" i="10"/>
  <c r="Q73" i="10"/>
  <c r="R71" i="10"/>
  <c r="Q71" i="10"/>
  <c r="Q111" i="9"/>
  <c r="R111" i="9"/>
  <c r="Q98" i="9"/>
  <c r="R98" i="9"/>
  <c r="Q88" i="9"/>
  <c r="R88" i="9"/>
  <c r="Q74" i="9"/>
  <c r="R74" i="9"/>
  <c r="Q31" i="9"/>
  <c r="O43" i="9"/>
  <c r="R43" i="9" s="1"/>
  <c r="S31" i="9" s="1"/>
  <c r="R31" i="9"/>
  <c r="O160" i="12"/>
  <c r="R148" i="12"/>
  <c r="Q148" i="12"/>
  <c r="Q125" i="12"/>
  <c r="R140" i="11"/>
  <c r="R136" i="11"/>
  <c r="Q122" i="11"/>
  <c r="Q165" i="10"/>
  <c r="R162" i="10"/>
  <c r="Q162" i="10"/>
  <c r="AG173" i="10"/>
  <c r="AH161" i="10" s="1"/>
  <c r="AF173" i="10"/>
  <c r="R150" i="10"/>
  <c r="Q138" i="10"/>
  <c r="R129" i="10"/>
  <c r="Q103" i="10"/>
  <c r="R103" i="10"/>
  <c r="R35" i="10"/>
  <c r="Q35" i="10"/>
  <c r="R45" i="9"/>
  <c r="Q45" i="9"/>
  <c r="R33" i="9"/>
  <c r="Q33" i="9"/>
  <c r="O17" i="9"/>
  <c r="R5" i="9"/>
  <c r="Q5" i="9"/>
  <c r="AF134" i="9"/>
  <c r="AG134" i="9"/>
  <c r="AH122" i="9" s="1"/>
  <c r="R116" i="9"/>
  <c r="Q116" i="9"/>
  <c r="R57" i="9"/>
  <c r="Q57" i="9"/>
  <c r="O69" i="9"/>
  <c r="R69" i="9" s="1"/>
  <c r="S57" i="9" s="1"/>
  <c r="R22" i="10"/>
  <c r="Q22" i="10"/>
  <c r="O160" i="9"/>
  <c r="AG147" i="9"/>
  <c r="AH135" i="9" s="1"/>
  <c r="AF147" i="9"/>
  <c r="R123" i="9"/>
  <c r="Q123" i="9"/>
  <c r="R70" i="9"/>
  <c r="O82" i="9"/>
  <c r="R82" i="9" s="1"/>
  <c r="S70" i="9" s="1"/>
  <c r="Q70" i="9"/>
  <c r="Q7" i="9"/>
  <c r="R58" i="10"/>
  <c r="Q58" i="10"/>
  <c r="R33" i="10"/>
  <c r="Q33" i="10"/>
  <c r="R20" i="10"/>
  <c r="Q20" i="10"/>
  <c r="R163" i="9"/>
  <c r="Q163" i="9"/>
  <c r="R152" i="9"/>
  <c r="Q152" i="9"/>
  <c r="R127" i="9"/>
  <c r="Q127" i="9"/>
  <c r="R59" i="10"/>
  <c r="Q59" i="10"/>
  <c r="R6" i="10"/>
  <c r="Q6" i="10"/>
  <c r="R112" i="9"/>
  <c r="Q112" i="9"/>
  <c r="AG108" i="9"/>
  <c r="AH96" i="9" s="1"/>
  <c r="AF108" i="9"/>
  <c r="R152" i="15"/>
  <c r="Q152" i="15"/>
  <c r="R138" i="15"/>
  <c r="Q138" i="15"/>
  <c r="R124" i="15"/>
  <c r="Q124" i="15"/>
  <c r="R162" i="15"/>
  <c r="Q162" i="15"/>
  <c r="R60" i="15"/>
  <c r="Q60" i="15"/>
  <c r="R44" i="15"/>
  <c r="Q44" i="15"/>
  <c r="O56" i="15"/>
  <c r="R56" i="15" s="1"/>
  <c r="S44" i="15" s="1"/>
  <c r="AG108" i="15"/>
  <c r="AH96" i="15" s="1"/>
  <c r="AF108" i="15"/>
  <c r="O121" i="15"/>
  <c r="R109" i="15"/>
  <c r="Q109" i="15"/>
  <c r="Q97" i="15"/>
  <c r="R46" i="15"/>
  <c r="AG30" i="15"/>
  <c r="AH18" i="15" s="1"/>
  <c r="AF30" i="15"/>
  <c r="AG17" i="15"/>
  <c r="AH5" i="15" s="1"/>
  <c r="AF17" i="15"/>
  <c r="AF95" i="15"/>
  <c r="AG95" i="15"/>
  <c r="AH83" i="15" s="1"/>
  <c r="R114" i="14"/>
  <c r="Q114" i="14"/>
  <c r="Q36" i="15"/>
  <c r="R36" i="15"/>
  <c r="R163" i="14"/>
  <c r="Q163" i="14"/>
  <c r="Q95" i="14"/>
  <c r="R58" i="14"/>
  <c r="Q58" i="14"/>
  <c r="Q34" i="14"/>
  <c r="R34" i="14"/>
  <c r="R11" i="14"/>
  <c r="Q11" i="14"/>
  <c r="R99" i="14"/>
  <c r="Q99" i="14"/>
  <c r="R72" i="14"/>
  <c r="R57" i="14"/>
  <c r="Q57" i="14"/>
  <c r="O69" i="14"/>
  <c r="R69" i="14" s="1"/>
  <c r="S57" i="14" s="1"/>
  <c r="R56" i="14"/>
  <c r="S44" i="14" s="1"/>
  <c r="Q44" i="14"/>
  <c r="Q24" i="14"/>
  <c r="R19" i="14"/>
  <c r="Q19" i="14"/>
  <c r="R161" i="15"/>
  <c r="O173" i="15"/>
  <c r="Q161" i="15"/>
  <c r="R137" i="15"/>
  <c r="Q137" i="15"/>
  <c r="Q101" i="15"/>
  <c r="O160" i="14"/>
  <c r="R148" i="14"/>
  <c r="Q148" i="14"/>
  <c r="R139" i="14"/>
  <c r="Q139" i="14"/>
  <c r="R135" i="14"/>
  <c r="Q135" i="14"/>
  <c r="O147" i="14"/>
  <c r="R109" i="14"/>
  <c r="Q124" i="14"/>
  <c r="R124" i="14"/>
  <c r="R162" i="13"/>
  <c r="Q162" i="13"/>
  <c r="R6" i="14"/>
  <c r="Q6" i="14"/>
  <c r="R164" i="13"/>
  <c r="Q164" i="13"/>
  <c r="R139" i="13"/>
  <c r="Q139" i="13"/>
  <c r="R99" i="13"/>
  <c r="Q99" i="13"/>
  <c r="R32" i="13"/>
  <c r="Q32" i="13"/>
  <c r="R19" i="13"/>
  <c r="Q19" i="13"/>
  <c r="AG173" i="13"/>
  <c r="AH161" i="13" s="1"/>
  <c r="AF173" i="13"/>
  <c r="AG147" i="13"/>
  <c r="AH135" i="13" s="1"/>
  <c r="AF147" i="13"/>
  <c r="O134" i="13"/>
  <c r="R122" i="13"/>
  <c r="Q122" i="13"/>
  <c r="Q109" i="13"/>
  <c r="O121" i="13"/>
  <c r="R109" i="13"/>
  <c r="R70" i="13"/>
  <c r="Q70" i="13"/>
  <c r="O82" i="13"/>
  <c r="R82" i="13" s="1"/>
  <c r="S70" i="13" s="1"/>
  <c r="O30" i="13"/>
  <c r="AG17" i="13"/>
  <c r="AH5" i="13" s="1"/>
  <c r="AF17" i="13"/>
  <c r="R101" i="12"/>
  <c r="Q101" i="12"/>
  <c r="R59" i="12"/>
  <c r="Q59" i="12"/>
  <c r="O43" i="12"/>
  <c r="R43" i="12" s="1"/>
  <c r="S31" i="12" s="1"/>
  <c r="R31" i="12"/>
  <c r="Q31" i="12"/>
  <c r="R124" i="11"/>
  <c r="Q124" i="11"/>
  <c r="Q72" i="13"/>
  <c r="R72" i="13"/>
  <c r="O56" i="13"/>
  <c r="R56" i="13" s="1"/>
  <c r="S44" i="13" s="1"/>
  <c r="R22" i="13"/>
  <c r="Q22" i="13"/>
  <c r="R164" i="12"/>
  <c r="Q164" i="12"/>
  <c r="Q82" i="12"/>
  <c r="AG82" i="12"/>
  <c r="AH70" i="12" s="1"/>
  <c r="AF82" i="12"/>
  <c r="Q7" i="12"/>
  <c r="R7" i="12"/>
  <c r="R6" i="12"/>
  <c r="Q6" i="12"/>
  <c r="Q125" i="13"/>
  <c r="R10" i="13"/>
  <c r="Q10" i="13"/>
  <c r="Q109" i="12"/>
  <c r="O121" i="12"/>
  <c r="R109" i="12"/>
  <c r="R87" i="12"/>
  <c r="Q87" i="12"/>
  <c r="Q72" i="12"/>
  <c r="R72" i="12"/>
  <c r="Q69" i="12"/>
  <c r="R97" i="11"/>
  <c r="Q97" i="11"/>
  <c r="R59" i="11"/>
  <c r="Q59" i="11"/>
  <c r="R36" i="11"/>
  <c r="Q36" i="11"/>
  <c r="R123" i="13"/>
  <c r="Q123" i="13"/>
  <c r="Q60" i="13"/>
  <c r="R126" i="12"/>
  <c r="Q126" i="12"/>
  <c r="R69" i="12"/>
  <c r="S57" i="12" s="1"/>
  <c r="R161" i="11"/>
  <c r="O173" i="11"/>
  <c r="Q161" i="11"/>
  <c r="R135" i="11"/>
  <c r="AF95" i="12"/>
  <c r="Q163" i="11"/>
  <c r="R20" i="11"/>
  <c r="Q20" i="11"/>
  <c r="Q9" i="11"/>
  <c r="R9" i="11"/>
  <c r="R8" i="11"/>
  <c r="Q8" i="11"/>
  <c r="O160" i="10"/>
  <c r="R148" i="10"/>
  <c r="Q148" i="10"/>
  <c r="R127" i="10"/>
  <c r="Q127" i="10"/>
  <c r="R122" i="10"/>
  <c r="Q71" i="13"/>
  <c r="R163" i="12"/>
  <c r="Q163" i="12"/>
  <c r="R149" i="12"/>
  <c r="Q149" i="12"/>
  <c r="AF56" i="12"/>
  <c r="Q56" i="12"/>
  <c r="AG56" i="12"/>
  <c r="AH44" i="12" s="1"/>
  <c r="Q112" i="11"/>
  <c r="R112" i="11"/>
  <c r="Q82" i="11"/>
  <c r="AG82" i="11"/>
  <c r="AH70" i="11" s="1"/>
  <c r="AF82" i="11"/>
  <c r="R164" i="10"/>
  <c r="Q164" i="10"/>
  <c r="R32" i="10"/>
  <c r="Q32" i="10"/>
  <c r="R19" i="10"/>
  <c r="Q19" i="10"/>
  <c r="R162" i="9"/>
  <c r="Q162" i="9"/>
  <c r="R141" i="9"/>
  <c r="Q141" i="9"/>
  <c r="R128" i="9"/>
  <c r="Q128" i="9"/>
  <c r="R6" i="9"/>
  <c r="Q6" i="9"/>
  <c r="Q152" i="12"/>
  <c r="R138" i="12"/>
  <c r="Q138" i="12"/>
  <c r="Q114" i="12"/>
  <c r="R114" i="12"/>
  <c r="R115" i="11"/>
  <c r="Q115" i="11"/>
  <c r="AF82" i="10"/>
  <c r="Q82" i="10"/>
  <c r="AG82" i="10"/>
  <c r="AH70" i="10" s="1"/>
  <c r="Q11" i="10"/>
  <c r="R11" i="10"/>
  <c r="Q86" i="9"/>
  <c r="R86" i="9"/>
  <c r="Q72" i="9"/>
  <c r="R72" i="9"/>
  <c r="Q46" i="9"/>
  <c r="R46" i="9"/>
  <c r="Q36" i="9"/>
  <c r="R36" i="9"/>
  <c r="O160" i="13"/>
  <c r="R148" i="13"/>
  <c r="Q148" i="13"/>
  <c r="R136" i="12"/>
  <c r="Q136" i="12"/>
  <c r="R127" i="11"/>
  <c r="Q127" i="11"/>
  <c r="R122" i="11"/>
  <c r="Q100" i="11"/>
  <c r="Q123" i="10"/>
  <c r="Q110" i="10"/>
  <c r="R110" i="10"/>
  <c r="Q97" i="10"/>
  <c r="R97" i="10"/>
  <c r="R45" i="10"/>
  <c r="Q45" i="10"/>
  <c r="R125" i="9"/>
  <c r="Q125" i="9"/>
  <c r="R85" i="9"/>
  <c r="Q85" i="9"/>
  <c r="R73" i="9"/>
  <c r="Q73" i="9"/>
  <c r="AG17" i="9"/>
  <c r="AH5" i="9" s="1"/>
  <c r="AF17" i="9"/>
  <c r="R44" i="11"/>
  <c r="R136" i="9"/>
  <c r="Q136" i="9"/>
  <c r="AF121" i="9"/>
  <c r="AG121" i="9"/>
  <c r="AH109" i="9" s="1"/>
  <c r="AF56" i="9"/>
  <c r="AG56" i="9"/>
  <c r="AH44" i="9" s="1"/>
  <c r="Q56" i="9"/>
  <c r="R22" i="9"/>
  <c r="Q22" i="9"/>
  <c r="R87" i="9"/>
  <c r="Q87" i="9"/>
  <c r="Q82" i="9"/>
  <c r="AF82" i="9"/>
  <c r="AG82" i="9"/>
  <c r="AH70" i="9" s="1"/>
  <c r="R7" i="9"/>
  <c r="AF69" i="11"/>
  <c r="Q86" i="10"/>
  <c r="Q69" i="10"/>
  <c r="AG69" i="10"/>
  <c r="AH57" i="10" s="1"/>
  <c r="AF69" i="10"/>
  <c r="AG30" i="10"/>
  <c r="AH18" i="10" s="1"/>
  <c r="AF30" i="10"/>
  <c r="R5" i="10"/>
  <c r="Q5" i="10"/>
  <c r="O17" i="10"/>
  <c r="AG30" i="9"/>
  <c r="AH18" i="9" s="1"/>
  <c r="AF30" i="9"/>
  <c r="R150" i="15"/>
  <c r="Q150" i="15"/>
  <c r="R136" i="15"/>
  <c r="Q136" i="15"/>
  <c r="R164" i="15"/>
  <c r="Q164" i="15"/>
  <c r="R149" i="15"/>
  <c r="Q149" i="15"/>
  <c r="R126" i="15"/>
  <c r="Q126" i="15"/>
  <c r="O160" i="15"/>
  <c r="R148" i="15"/>
  <c r="Q148" i="15"/>
  <c r="Q127" i="15"/>
  <c r="Q123" i="15"/>
  <c r="R58" i="15"/>
  <c r="Q58" i="15"/>
  <c r="AG134" i="15"/>
  <c r="AH122" i="15" s="1"/>
  <c r="AF134" i="15"/>
  <c r="AG121" i="15"/>
  <c r="AH109" i="15" s="1"/>
  <c r="AF121" i="15"/>
  <c r="Q70" i="15"/>
  <c r="O82" i="15"/>
  <c r="R82" i="15" s="1"/>
  <c r="S70" i="15" s="1"/>
  <c r="R70" i="15"/>
  <c r="Q19" i="15"/>
  <c r="R19" i="15"/>
  <c r="R35" i="15"/>
  <c r="Q35" i="15"/>
  <c r="Q9" i="15"/>
  <c r="R9" i="15"/>
  <c r="O17" i="15"/>
  <c r="R5" i="15"/>
  <c r="Q5" i="15"/>
  <c r="O95" i="15"/>
  <c r="R83" i="15"/>
  <c r="Q83" i="15"/>
  <c r="Q130" i="14"/>
  <c r="AF108" i="14"/>
  <c r="AG108" i="14"/>
  <c r="AH96" i="14" s="1"/>
  <c r="Q21" i="15"/>
  <c r="R21" i="15"/>
  <c r="O134" i="14"/>
  <c r="R122" i="14"/>
  <c r="Q122" i="14"/>
  <c r="R9" i="14"/>
  <c r="Q9" i="14"/>
  <c r="R115" i="14"/>
  <c r="Q115" i="14"/>
  <c r="R84" i="14"/>
  <c r="AG173" i="15"/>
  <c r="AH161" i="15" s="1"/>
  <c r="AF173" i="15"/>
  <c r="R141" i="15"/>
  <c r="Q141" i="15"/>
  <c r="R150" i="14"/>
  <c r="Q150" i="14"/>
  <c r="AF160" i="14"/>
  <c r="AG160" i="14"/>
  <c r="AH148" i="14" s="1"/>
  <c r="R18" i="14"/>
  <c r="Q18" i="14"/>
  <c r="O30" i="14"/>
  <c r="Q163" i="13"/>
  <c r="R163" i="13"/>
  <c r="R128" i="13"/>
  <c r="Q128" i="13"/>
  <c r="R97" i="13"/>
  <c r="Q97" i="13"/>
  <c r="O43" i="13"/>
  <c r="R43" i="13" s="1"/>
  <c r="S31" i="13" s="1"/>
  <c r="R31" i="13"/>
  <c r="Q31" i="13"/>
  <c r="Q165" i="13"/>
  <c r="R165" i="13"/>
  <c r="R151" i="13"/>
  <c r="Q151" i="13"/>
  <c r="AF121" i="13"/>
  <c r="AG121" i="13"/>
  <c r="AH109" i="13" s="1"/>
  <c r="Q82" i="13"/>
  <c r="AG82" i="13"/>
  <c r="AH70" i="13" s="1"/>
  <c r="AF82" i="13"/>
  <c r="Q11" i="13"/>
  <c r="R11" i="13"/>
  <c r="R99" i="12"/>
  <c r="Q99" i="12"/>
  <c r="R36" i="12"/>
  <c r="Q36" i="12"/>
  <c r="Q152" i="13"/>
  <c r="R152" i="13"/>
  <c r="Q140" i="13"/>
  <c r="R140" i="13"/>
  <c r="R85" i="13"/>
  <c r="Q85" i="13"/>
  <c r="Q74" i="13"/>
  <c r="R74" i="13"/>
  <c r="R8" i="13"/>
  <c r="Q8" i="13"/>
  <c r="Q110" i="13"/>
  <c r="R110" i="13"/>
  <c r="R44" i="13"/>
  <c r="R151" i="12"/>
  <c r="Q151" i="12"/>
  <c r="R147" i="12"/>
  <c r="S135" i="12" s="1"/>
  <c r="Q83" i="12"/>
  <c r="O95" i="12"/>
  <c r="R83" i="12"/>
  <c r="O30" i="12"/>
  <c r="R18" i="12"/>
  <c r="Q18" i="12"/>
  <c r="Q73" i="13"/>
  <c r="R35" i="13"/>
  <c r="Q35" i="13"/>
  <c r="AF121" i="12"/>
  <c r="AG121" i="12"/>
  <c r="AH109" i="12" s="1"/>
  <c r="Q86" i="12"/>
  <c r="R86" i="12"/>
  <c r="R85" i="12"/>
  <c r="Q85" i="12"/>
  <c r="O108" i="11"/>
  <c r="R96" i="11"/>
  <c r="Q96" i="11"/>
  <c r="R46" i="11"/>
  <c r="Q46" i="11"/>
  <c r="R34" i="11"/>
  <c r="Q34" i="11"/>
  <c r="R128" i="10"/>
  <c r="Q128" i="10"/>
  <c r="AG95" i="13"/>
  <c r="AH83" i="13" s="1"/>
  <c r="AF95" i="13"/>
  <c r="Q5" i="13"/>
  <c r="R161" i="12"/>
  <c r="O173" i="12"/>
  <c r="Q161" i="12"/>
  <c r="AF134" i="12"/>
  <c r="AG134" i="12"/>
  <c r="AH122" i="12" s="1"/>
  <c r="R162" i="11"/>
  <c r="Q162" i="11"/>
  <c r="AG173" i="11"/>
  <c r="AH161" i="11" s="1"/>
  <c r="AF173" i="11"/>
  <c r="Q131" i="12"/>
  <c r="R102" i="11"/>
  <c r="Q102" i="11"/>
  <c r="R85" i="11"/>
  <c r="Q85" i="11"/>
  <c r="Q74" i="11"/>
  <c r="R74" i="11"/>
  <c r="Q7" i="11"/>
  <c r="R7" i="11"/>
  <c r="R6" i="11"/>
  <c r="Q6" i="11"/>
  <c r="R125" i="10"/>
  <c r="Q125" i="10"/>
  <c r="O134" i="10"/>
  <c r="Q109" i="10"/>
  <c r="O121" i="10"/>
  <c r="R109" i="10"/>
  <c r="R84" i="10"/>
  <c r="Q84" i="10"/>
  <c r="O95" i="10"/>
  <c r="R87" i="11"/>
  <c r="Q87" i="11"/>
  <c r="Q83" i="11"/>
  <c r="O95" i="11"/>
  <c r="R83" i="11"/>
  <c r="O30" i="11"/>
  <c r="R18" i="11"/>
  <c r="Q18" i="11"/>
  <c r="O43" i="10"/>
  <c r="R43" i="10" s="1"/>
  <c r="S31" i="10" s="1"/>
  <c r="R31" i="10"/>
  <c r="Q31" i="10"/>
  <c r="R161" i="9"/>
  <c r="O173" i="9"/>
  <c r="Q161" i="9"/>
  <c r="R139" i="9"/>
  <c r="Q139" i="9"/>
  <c r="R126" i="9"/>
  <c r="Q126" i="9"/>
  <c r="Q24" i="9"/>
  <c r="R24" i="9"/>
  <c r="R127" i="12"/>
  <c r="Q127" i="12"/>
  <c r="Q58" i="12"/>
  <c r="Q20" i="12"/>
  <c r="Q114" i="11"/>
  <c r="R114" i="11"/>
  <c r="R5" i="11"/>
  <c r="Q5" i="11"/>
  <c r="O17" i="11"/>
  <c r="AG95" i="10"/>
  <c r="AH83" i="10" s="1"/>
  <c r="AF95" i="10"/>
  <c r="AF56" i="10"/>
  <c r="AG56" i="10"/>
  <c r="AH44" i="10" s="1"/>
  <c r="Q56" i="10"/>
  <c r="Q9" i="10"/>
  <c r="R9" i="10"/>
  <c r="Q115" i="9"/>
  <c r="R115" i="9"/>
  <c r="Q102" i="9"/>
  <c r="R102" i="9"/>
  <c r="AG95" i="9"/>
  <c r="AH83" i="9" s="1"/>
  <c r="AF95" i="9"/>
  <c r="Q84" i="9"/>
  <c r="R84" i="9"/>
  <c r="Q34" i="9"/>
  <c r="R34" i="9"/>
  <c r="R5" i="14"/>
  <c r="Q5" i="14"/>
  <c r="O17" i="14"/>
  <c r="R150" i="12"/>
  <c r="Q150" i="12"/>
  <c r="AG160" i="12"/>
  <c r="AH148" i="12" s="1"/>
  <c r="AF160" i="12"/>
  <c r="R123" i="12"/>
  <c r="Q123" i="12"/>
  <c r="O147" i="11"/>
  <c r="Q140" i="10"/>
  <c r="Q136" i="10"/>
  <c r="Q112" i="10"/>
  <c r="R112" i="10"/>
  <c r="Q99" i="10"/>
  <c r="R99" i="10"/>
  <c r="R150" i="9"/>
  <c r="Q150" i="9"/>
  <c r="R140" i="9"/>
  <c r="Q140" i="9"/>
  <c r="R99" i="9"/>
  <c r="Q99" i="9"/>
  <c r="O134" i="9"/>
  <c r="R122" i="9"/>
  <c r="Q122" i="9"/>
  <c r="AG69" i="9"/>
  <c r="AH57" i="9" s="1"/>
  <c r="Q69" i="9"/>
  <c r="AF69" i="9"/>
  <c r="R20" i="9"/>
  <c r="Q20" i="9"/>
  <c r="R60" i="10"/>
  <c r="Q60" i="10"/>
  <c r="R46" i="10"/>
  <c r="Q46" i="10"/>
  <c r="R103" i="9"/>
  <c r="Q103" i="9"/>
  <c r="Q21" i="9"/>
  <c r="R21" i="9"/>
  <c r="Q69" i="11"/>
  <c r="O147" i="10"/>
  <c r="R10" i="10"/>
  <c r="Q10" i="10"/>
  <c r="AG17" i="10"/>
  <c r="AH5" i="10" s="1"/>
  <c r="AF17" i="10"/>
  <c r="R8" i="10"/>
  <c r="Q8" i="10"/>
  <c r="R35" i="9"/>
  <c r="Q35" i="9"/>
  <c r="R165" i="15"/>
  <c r="Q165" i="15"/>
  <c r="AF147" i="15"/>
  <c r="AG147" i="15"/>
  <c r="AH135" i="15" s="1"/>
  <c r="R128" i="15"/>
  <c r="Q128" i="15"/>
  <c r="O69" i="15"/>
  <c r="R69" i="15" s="1"/>
  <c r="S57" i="15" s="1"/>
  <c r="R57" i="15"/>
  <c r="Q57" i="15"/>
  <c r="R113" i="15"/>
  <c r="Q113" i="15"/>
  <c r="R100" i="15"/>
  <c r="Q100" i="15"/>
  <c r="R108" i="15"/>
  <c r="S96" i="15" s="1"/>
  <c r="Q85" i="15"/>
  <c r="R85" i="15"/>
  <c r="Q71" i="15"/>
  <c r="R71" i="15"/>
  <c r="R98" i="15"/>
  <c r="Q98" i="15"/>
  <c r="AG82" i="15"/>
  <c r="AH70" i="15" s="1"/>
  <c r="AF82" i="15"/>
  <c r="Q82" i="15"/>
  <c r="Q24" i="15"/>
  <c r="R24" i="15"/>
  <c r="R164" i="14"/>
  <c r="Q164" i="14"/>
  <c r="Q18" i="15"/>
  <c r="R18" i="15"/>
  <c r="O30" i="15"/>
  <c r="R141" i="14"/>
  <c r="Q141" i="14"/>
  <c r="R127" i="14"/>
  <c r="Q127" i="14"/>
  <c r="R96" i="15"/>
  <c r="Q32" i="15"/>
  <c r="R32" i="15"/>
  <c r="O43" i="15"/>
  <c r="R43" i="15" s="1"/>
  <c r="S31" i="15" s="1"/>
  <c r="Q31" i="15"/>
  <c r="R31" i="15"/>
  <c r="AG173" i="14"/>
  <c r="AH161" i="14" s="1"/>
  <c r="AF173" i="14"/>
  <c r="O173" i="14"/>
  <c r="R98" i="14"/>
  <c r="Q98" i="14"/>
  <c r="R46" i="14"/>
  <c r="Q46" i="14"/>
  <c r="AF134" i="14"/>
  <c r="AG134" i="14"/>
  <c r="AH122" i="14" s="1"/>
  <c r="Q113" i="14"/>
  <c r="R113" i="14"/>
  <c r="R100" i="14"/>
  <c r="Q100" i="14"/>
  <c r="O108" i="14"/>
  <c r="R43" i="14"/>
  <c r="S31" i="14" s="1"/>
  <c r="Q21" i="14"/>
  <c r="R21" i="14"/>
  <c r="R7" i="14"/>
  <c r="Q7" i="14"/>
  <c r="R137" i="14"/>
  <c r="Q137" i="14"/>
  <c r="Q128" i="14"/>
  <c r="R83" i="14"/>
  <c r="R70" i="14"/>
  <c r="O82" i="14"/>
  <c r="Q70" i="14"/>
  <c r="R33" i="14"/>
  <c r="Q33" i="14"/>
  <c r="R99" i="15"/>
  <c r="Q99" i="15"/>
  <c r="R138" i="14"/>
  <c r="Q138" i="14"/>
  <c r="R101" i="14"/>
  <c r="Q101" i="14"/>
  <c r="R59" i="14"/>
  <c r="Q59" i="14"/>
  <c r="AF43" i="14"/>
  <c r="Q43" i="14"/>
  <c r="AG43" i="14"/>
  <c r="AH31" i="14" s="1"/>
  <c r="AF30" i="14"/>
  <c r="AG30" i="14"/>
  <c r="AH18" i="14" s="1"/>
  <c r="R137" i="13"/>
  <c r="Q137" i="13"/>
  <c r="R126" i="13"/>
  <c r="Q126" i="13"/>
  <c r="O108" i="13"/>
  <c r="R96" i="13"/>
  <c r="Q96" i="13"/>
  <c r="R59" i="13"/>
  <c r="Q59" i="13"/>
  <c r="R36" i="13"/>
  <c r="Q36" i="13"/>
  <c r="R24" i="13"/>
  <c r="Q24" i="13"/>
  <c r="Q86" i="14"/>
  <c r="R86" i="14"/>
  <c r="R8" i="14"/>
  <c r="Q8" i="14"/>
  <c r="Q150" i="13"/>
  <c r="R150" i="13"/>
  <c r="R141" i="13"/>
  <c r="Q141" i="13"/>
  <c r="AG69" i="13"/>
  <c r="AH57" i="13" s="1"/>
  <c r="Q69" i="13"/>
  <c r="AF69" i="13"/>
  <c r="AF43" i="13"/>
  <c r="Q43" i="13"/>
  <c r="AG43" i="13"/>
  <c r="AH31" i="13" s="1"/>
  <c r="O17" i="13"/>
  <c r="AF56" i="13"/>
  <c r="AG56" i="13"/>
  <c r="AH44" i="13" s="1"/>
  <c r="Q56" i="13"/>
  <c r="R97" i="12"/>
  <c r="Q97" i="12"/>
  <c r="R46" i="12"/>
  <c r="Q46" i="12"/>
  <c r="R34" i="12"/>
  <c r="Q34" i="12"/>
  <c r="R128" i="11"/>
  <c r="Q128" i="11"/>
  <c r="Q84" i="13"/>
  <c r="R84" i="13"/>
  <c r="Q7" i="13"/>
  <c r="R7" i="13"/>
  <c r="Q114" i="13"/>
  <c r="R114" i="13"/>
  <c r="R139" i="12"/>
  <c r="Q139" i="12"/>
  <c r="R151" i="11"/>
  <c r="Q151" i="11"/>
  <c r="Q86" i="13"/>
  <c r="R86" i="13"/>
  <c r="R141" i="12"/>
  <c r="Q141" i="12"/>
  <c r="Q135" i="12"/>
  <c r="Q84" i="12"/>
  <c r="R84" i="12"/>
  <c r="AG30" i="12"/>
  <c r="AH18" i="12" s="1"/>
  <c r="AF30" i="12"/>
  <c r="R101" i="11"/>
  <c r="Q101" i="11"/>
  <c r="R32" i="11"/>
  <c r="Q32" i="11"/>
  <c r="R126" i="10"/>
  <c r="Q126" i="10"/>
  <c r="R98" i="13"/>
  <c r="Q98" i="13"/>
  <c r="Q83" i="13"/>
  <c r="O95" i="13"/>
  <c r="R83" i="13"/>
  <c r="R162" i="12"/>
  <c r="Q162" i="12"/>
  <c r="AF173" i="12"/>
  <c r="AG173" i="12"/>
  <c r="AH161" i="12" s="1"/>
  <c r="AF43" i="12"/>
  <c r="Q43" i="12"/>
  <c r="AG43" i="12"/>
  <c r="AH31" i="12" s="1"/>
  <c r="Q9" i="12"/>
  <c r="R9" i="12"/>
  <c r="R8" i="12"/>
  <c r="Q8" i="12"/>
  <c r="O160" i="11"/>
  <c r="R148" i="11"/>
  <c r="Q148" i="11"/>
  <c r="Q74" i="12"/>
  <c r="R74" i="12"/>
  <c r="Q84" i="11"/>
  <c r="R84" i="11"/>
  <c r="R60" i="11"/>
  <c r="Q60" i="11"/>
  <c r="AF121" i="10"/>
  <c r="AG121" i="10"/>
  <c r="AH109" i="10" s="1"/>
  <c r="O108" i="10"/>
  <c r="Q96" i="10"/>
  <c r="R96" i="10"/>
  <c r="R5" i="12"/>
  <c r="Q5" i="12"/>
  <c r="O17" i="12"/>
  <c r="R164" i="11"/>
  <c r="Q164" i="11"/>
  <c r="Q123" i="11"/>
  <c r="R123" i="11"/>
  <c r="Q86" i="11"/>
  <c r="R86" i="11"/>
  <c r="R36" i="10"/>
  <c r="Q36" i="10"/>
  <c r="R24" i="10"/>
  <c r="Q24" i="10"/>
  <c r="R151" i="9"/>
  <c r="Q151" i="9"/>
  <c r="R124" i="9"/>
  <c r="Q124" i="9"/>
  <c r="R10" i="9"/>
  <c r="Q10" i="9"/>
  <c r="Q109" i="11"/>
  <c r="O121" i="11"/>
  <c r="R109" i="11"/>
  <c r="AG17" i="11"/>
  <c r="AH5" i="11" s="1"/>
  <c r="AF17" i="11"/>
  <c r="Q7" i="10"/>
  <c r="R7" i="10"/>
  <c r="Q113" i="9"/>
  <c r="R113" i="9"/>
  <c r="Q100" i="9"/>
  <c r="R100" i="9"/>
  <c r="Q83" i="9"/>
  <c r="O95" i="9"/>
  <c r="R83" i="9"/>
  <c r="AG43" i="9"/>
  <c r="AH31" i="9" s="1"/>
  <c r="AF43" i="9"/>
  <c r="Q43" i="9"/>
  <c r="Q32" i="9"/>
  <c r="R32" i="9"/>
  <c r="R10" i="14"/>
  <c r="Q10" i="14"/>
  <c r="AG17" i="14"/>
  <c r="AH5" i="14" s="1"/>
  <c r="AF17" i="14"/>
  <c r="AG160" i="13"/>
  <c r="AH148" i="13" s="1"/>
  <c r="AF160" i="13"/>
  <c r="R161" i="10"/>
  <c r="Q161" i="10"/>
  <c r="O173" i="10"/>
  <c r="Q114" i="10"/>
  <c r="R114" i="10"/>
  <c r="Q101" i="10"/>
  <c r="R101" i="10"/>
  <c r="AF43" i="10"/>
  <c r="Q43" i="10"/>
  <c r="AG43" i="10"/>
  <c r="AH31" i="10" s="1"/>
  <c r="AG160" i="9"/>
  <c r="AH148" i="9" s="1"/>
  <c r="AF160" i="9"/>
  <c r="R110" i="9"/>
  <c r="Q110" i="9"/>
  <c r="R60" i="9"/>
  <c r="Q60" i="9"/>
  <c r="R97" i="9"/>
  <c r="Q97" i="9"/>
  <c r="R71" i="9"/>
  <c r="Q71" i="9"/>
  <c r="Q19" i="9"/>
  <c r="R19" i="9"/>
  <c r="Q44" i="11"/>
  <c r="R165" i="9"/>
  <c r="Q165" i="9"/>
  <c r="R114" i="9"/>
  <c r="Q114" i="9"/>
  <c r="O121" i="9"/>
  <c r="R109" i="9"/>
  <c r="Q109" i="9"/>
  <c r="O56" i="9"/>
  <c r="R56" i="9" s="1"/>
  <c r="S44" i="9" s="1"/>
  <c r="R44" i="9"/>
  <c r="Q44" i="9"/>
  <c r="R58" i="9"/>
  <c r="Q58" i="9"/>
  <c r="R47" i="9"/>
  <c r="Q47" i="9"/>
  <c r="Q18" i="9"/>
  <c r="O30" i="9"/>
  <c r="R18" i="9"/>
  <c r="O30" i="10"/>
  <c r="R138" i="9"/>
  <c r="Q138" i="9"/>
  <c r="R101" i="9"/>
  <c r="Q101" i="9"/>
  <c r="R96" i="9"/>
  <c r="O108" i="9"/>
  <c r="Q96" i="9"/>
  <c r="R147" i="13" l="1"/>
  <c r="S135" i="13" s="1"/>
  <c r="R30" i="9"/>
  <c r="S18" i="9" s="1"/>
  <c r="Q30" i="9"/>
  <c r="R173" i="10"/>
  <c r="S161" i="10" s="1"/>
  <c r="Q173" i="10"/>
  <c r="R121" i="9"/>
  <c r="S109" i="9" s="1"/>
  <c r="Q121" i="9"/>
  <c r="R95" i="9"/>
  <c r="S83" i="9" s="1"/>
  <c r="Q95" i="9"/>
  <c r="R147" i="10"/>
  <c r="S135" i="10" s="1"/>
  <c r="Q147" i="10"/>
  <c r="Q30" i="11"/>
  <c r="R30" i="11"/>
  <c r="S18" i="11" s="1"/>
  <c r="R134" i="10"/>
  <c r="S122" i="10" s="1"/>
  <c r="Q134" i="10"/>
  <c r="R108" i="11"/>
  <c r="S96" i="11" s="1"/>
  <c r="Q108" i="11"/>
  <c r="Q30" i="12"/>
  <c r="R30" i="12"/>
  <c r="S18" i="12" s="1"/>
  <c r="R95" i="15"/>
  <c r="S83" i="15" s="1"/>
  <c r="Q95" i="15"/>
  <c r="R17" i="10"/>
  <c r="S5" i="10" s="1"/>
  <c r="Q17" i="10"/>
  <c r="E2" i="10"/>
  <c r="R173" i="11"/>
  <c r="S161" i="11" s="1"/>
  <c r="Q173" i="11"/>
  <c r="R121" i="13"/>
  <c r="S109" i="13" s="1"/>
  <c r="Q121" i="13"/>
  <c r="R134" i="13"/>
  <c r="S122" i="13" s="1"/>
  <c r="Q134" i="13"/>
  <c r="R108" i="12"/>
  <c r="S96" i="12" s="1"/>
  <c r="Q108" i="12"/>
  <c r="Q173" i="13"/>
  <c r="R173" i="13"/>
  <c r="S161" i="13" s="1"/>
  <c r="Q121" i="14"/>
  <c r="R121" i="14"/>
  <c r="S109" i="14" s="1"/>
  <c r="R95" i="14"/>
  <c r="S83" i="14" s="1"/>
  <c r="R134" i="9"/>
  <c r="S122" i="9" s="1"/>
  <c r="Q134" i="9"/>
  <c r="Q17" i="14"/>
  <c r="E2" i="14"/>
  <c r="R17" i="14"/>
  <c r="S5" i="14" s="1"/>
  <c r="R17" i="11"/>
  <c r="S5" i="11" s="1"/>
  <c r="Q17" i="11"/>
  <c r="E2" i="11"/>
  <c r="R173" i="9"/>
  <c r="S161" i="9" s="1"/>
  <c r="Q173" i="9"/>
  <c r="Q30" i="14"/>
  <c r="R30" i="14"/>
  <c r="S18" i="14" s="1"/>
  <c r="Q160" i="10"/>
  <c r="R160" i="10"/>
  <c r="S148" i="10" s="1"/>
  <c r="R121" i="12"/>
  <c r="S109" i="12" s="1"/>
  <c r="Q121" i="12"/>
  <c r="R160" i="14"/>
  <c r="S148" i="14" s="1"/>
  <c r="Q160" i="14"/>
  <c r="Q134" i="15"/>
  <c r="R134" i="15"/>
  <c r="S122" i="15" s="1"/>
  <c r="Q147" i="12"/>
  <c r="Q108" i="15"/>
  <c r="Q108" i="9"/>
  <c r="R108" i="9"/>
  <c r="S96" i="9" s="1"/>
  <c r="R17" i="12"/>
  <c r="S5" i="12" s="1"/>
  <c r="Q17" i="12"/>
  <c r="E2" i="12"/>
  <c r="Q160" i="11"/>
  <c r="R160" i="11"/>
  <c r="S148" i="11" s="1"/>
  <c r="Q173" i="14"/>
  <c r="R173" i="14"/>
  <c r="S161" i="14" s="1"/>
  <c r="R108" i="10"/>
  <c r="S96" i="10" s="1"/>
  <c r="Q108" i="10"/>
  <c r="R82" i="14"/>
  <c r="S70" i="14" s="1"/>
  <c r="R30" i="15"/>
  <c r="S18" i="15" s="1"/>
  <c r="Q30" i="15"/>
  <c r="R147" i="11"/>
  <c r="S135" i="11" s="1"/>
  <c r="Q147" i="11"/>
  <c r="Q95" i="11"/>
  <c r="R95" i="11"/>
  <c r="S83" i="11" s="1"/>
  <c r="R95" i="10"/>
  <c r="S83" i="10" s="1"/>
  <c r="Q95" i="10"/>
  <c r="R121" i="10"/>
  <c r="S109" i="10" s="1"/>
  <c r="Q121" i="10"/>
  <c r="Q173" i="12"/>
  <c r="R173" i="12"/>
  <c r="S161" i="12" s="1"/>
  <c r="Q95" i="12"/>
  <c r="R95" i="12"/>
  <c r="S83" i="12" s="1"/>
  <c r="R147" i="14"/>
  <c r="S135" i="14" s="1"/>
  <c r="Q147" i="14"/>
  <c r="R173" i="15"/>
  <c r="S161" i="15" s="1"/>
  <c r="Q173" i="15"/>
  <c r="R121" i="15"/>
  <c r="S109" i="15" s="1"/>
  <c r="Q121" i="15"/>
  <c r="Q160" i="12"/>
  <c r="R160" i="12"/>
  <c r="S148" i="12" s="1"/>
  <c r="R134" i="12"/>
  <c r="S122" i="12" s="1"/>
  <c r="Q134" i="12"/>
  <c r="R108" i="13"/>
  <c r="S96" i="13" s="1"/>
  <c r="Q108" i="13"/>
  <c r="Q95" i="13"/>
  <c r="R95" i="13"/>
  <c r="S83" i="13" s="1"/>
  <c r="R17" i="13"/>
  <c r="S5" i="13" s="1"/>
  <c r="Q17" i="13"/>
  <c r="E2" i="13"/>
  <c r="R108" i="14"/>
  <c r="S96" i="14" s="1"/>
  <c r="Q108" i="14"/>
  <c r="Q30" i="10"/>
  <c r="R30" i="10"/>
  <c r="S18" i="10" s="1"/>
  <c r="R121" i="11"/>
  <c r="S109" i="11" s="1"/>
  <c r="Q121" i="11"/>
  <c r="R134" i="14"/>
  <c r="S122" i="14" s="1"/>
  <c r="Q134" i="14"/>
  <c r="R17" i="15"/>
  <c r="S5" i="15" s="1"/>
  <c r="Q17" i="15"/>
  <c r="E2" i="15"/>
  <c r="R160" i="15"/>
  <c r="S148" i="15" s="1"/>
  <c r="Q160" i="15"/>
  <c r="R160" i="13"/>
  <c r="S148" i="13" s="1"/>
  <c r="Q160" i="13"/>
  <c r="Q30" i="13"/>
  <c r="R30" i="13"/>
  <c r="S18" i="13" s="1"/>
  <c r="Q160" i="9"/>
  <c r="R160" i="9"/>
  <c r="S148" i="9" s="1"/>
  <c r="R17" i="9"/>
  <c r="S5" i="9" s="1"/>
  <c r="Q17" i="9"/>
  <c r="E2" i="9"/>
</calcChain>
</file>

<file path=xl/sharedStrings.xml><?xml version="1.0" encoding="utf-8"?>
<sst xmlns="http://schemas.openxmlformats.org/spreadsheetml/2006/main" count="6377" uniqueCount="398">
  <si>
    <t>晉欣廠組合室生產人時性分析</t>
    <phoneticPr fontId="4" type="noConversion"/>
  </si>
  <si>
    <t>日期</t>
  </si>
  <si>
    <t>訂單量</t>
  </si>
  <si>
    <t>營業額</t>
  </si>
  <si>
    <t>項目</t>
    <phoneticPr fontId="4" type="noConversion"/>
  </si>
  <si>
    <t>項目</t>
    <phoneticPr fontId="9" type="noConversion"/>
  </si>
  <si>
    <t>➀</t>
    <phoneticPr fontId="9" type="noConversion"/>
  </si>
  <si>
    <t>➁</t>
    <phoneticPr fontId="9" type="noConversion"/>
  </si>
  <si>
    <t>➂</t>
    <phoneticPr fontId="9" type="noConversion"/>
  </si>
  <si>
    <t>➃</t>
    <phoneticPr fontId="9" type="noConversion"/>
  </si>
  <si>
    <t>異常停線</t>
    <phoneticPr fontId="9" type="noConversion"/>
  </si>
  <si>
    <t>短暫停線</t>
    <phoneticPr fontId="9" type="noConversion"/>
  </si>
  <si>
    <t>人時性</t>
    <phoneticPr fontId="4" type="noConversion"/>
  </si>
  <si>
    <t>組合室</t>
    <phoneticPr fontId="4" type="noConversion"/>
  </si>
  <si>
    <t>全溫層</t>
  </si>
  <si>
    <t>4度C(含4度飯糰)</t>
  </si>
  <si>
    <t>18度C 一配</t>
  </si>
  <si>
    <t>18度C 二配</t>
  </si>
  <si>
    <t>合計次數</t>
    <phoneticPr fontId="9" type="noConversion"/>
  </si>
  <si>
    <t>時間</t>
    <phoneticPr fontId="4" type="noConversion"/>
  </si>
  <si>
    <t>設備次數</t>
    <phoneticPr fontId="4" type="noConversion"/>
  </si>
  <si>
    <t>排關平均</t>
  </si>
  <si>
    <t>實績平均</t>
  </si>
  <si>
    <t>達成率平均</t>
  </si>
  <si>
    <t>溫層</t>
    <phoneticPr fontId="4" type="noConversion"/>
  </si>
  <si>
    <t>➁4度C-各編組展開</t>
    <phoneticPr fontId="4" type="noConversion"/>
  </si>
  <si>
    <t>編組</t>
    <phoneticPr fontId="4" type="noConversion"/>
  </si>
  <si>
    <t>4度一組</t>
    <phoneticPr fontId="4" type="noConversion"/>
  </si>
  <si>
    <t xml:space="preserve">
4度二組A
</t>
    <phoneticPr fontId="4" type="noConversion"/>
  </si>
  <si>
    <t xml:space="preserve">
4度二組B
</t>
    <phoneticPr fontId="4" type="noConversion"/>
  </si>
  <si>
    <t xml:space="preserve">
4度二組C1
</t>
    <phoneticPr fontId="4" type="noConversion"/>
  </si>
  <si>
    <t>4度一組B</t>
    <phoneticPr fontId="4" type="noConversion"/>
  </si>
  <si>
    <t xml:space="preserve">
4度三組
</t>
    <phoneticPr fontId="4" type="noConversion"/>
  </si>
  <si>
    <t xml:space="preserve">
4度四組
</t>
    <phoneticPr fontId="4" type="noConversion"/>
  </si>
  <si>
    <t xml:space="preserve">
4度五組
</t>
    <phoneticPr fontId="4" type="noConversion"/>
  </si>
  <si>
    <t xml:space="preserve">
綜合一組
</t>
    <phoneticPr fontId="4" type="noConversion"/>
  </si>
  <si>
    <t xml:space="preserve">
綜合二組
</t>
    <phoneticPr fontId="4" type="noConversion"/>
  </si>
  <si>
    <t xml:space="preserve">
綜合三組
</t>
    <phoneticPr fontId="4" type="noConversion"/>
  </si>
  <si>
    <t xml:space="preserve">
綜合四組
</t>
    <phoneticPr fontId="4" type="noConversion"/>
  </si>
  <si>
    <t xml:space="preserve">
便當組
</t>
    <phoneticPr fontId="4" type="noConversion"/>
  </si>
  <si>
    <t>壽司線</t>
  </si>
  <si>
    <t>人時性</t>
    <phoneticPr fontId="9" type="noConversion"/>
  </si>
  <si>
    <t>排關</t>
    <phoneticPr fontId="4" type="noConversion"/>
  </si>
  <si>
    <t>實績</t>
    <phoneticPr fontId="4" type="noConversion"/>
  </si>
  <si>
    <t>達成率</t>
    <phoneticPr fontId="4" type="noConversion"/>
  </si>
  <si>
    <t>作業
時間</t>
    <phoneticPr fontId="4" type="noConversion"/>
  </si>
  <si>
    <t>開始</t>
    <phoneticPr fontId="4" type="noConversion"/>
  </si>
  <si>
    <t>結束</t>
    <phoneticPr fontId="4" type="noConversion"/>
  </si>
  <si>
    <t>產線異常
(5分鐘以上)</t>
    <phoneticPr fontId="20" type="noConversion"/>
  </si>
  <si>
    <t/>
  </si>
  <si>
    <t>短暫停線
(5分鐘以下)</t>
    <phoneticPr fontId="20" type="noConversion"/>
  </si>
  <si>
    <t>配置人數</t>
    <phoneticPr fontId="4" type="noConversion"/>
  </si>
  <si>
    <t>主要應用設備</t>
    <phoneticPr fontId="4" type="noConversion"/>
  </si>
  <si>
    <t>ET-600</t>
  </si>
  <si>
    <t>八爪機</t>
  </si>
  <si>
    <t>十爪機</t>
  </si>
  <si>
    <t>ET-55</t>
  </si>
  <si>
    <t>伺服包裝機</t>
  </si>
  <si>
    <t>次要應用設備</t>
    <phoneticPr fontId="4" type="noConversion"/>
  </si>
  <si>
    <t>備註</t>
    <phoneticPr fontId="4" type="noConversion"/>
  </si>
  <si>
    <t>熱麵固定線</t>
  </si>
  <si>
    <t>烤飯糰</t>
  </si>
  <si>
    <t>吸收產線</t>
  </si>
  <si>
    <t>大口固定線</t>
  </si>
  <si>
    <t>➂18度C 一配-各編組展開</t>
    <phoneticPr fontId="4" type="noConversion"/>
  </si>
  <si>
    <t>➃18度C 二配-各編組展開</t>
    <phoneticPr fontId="9" type="noConversion"/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</si>
  <si>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</si>
  <si>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</si>
  <si>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</si>
  <si>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</si>
  <si>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</si>
  <si>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</si>
  <si>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</si>
  <si>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</si>
  <si>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</si>
  <si>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平均</t>
    <phoneticPr fontId="9" type="noConversion"/>
  </si>
  <si>
    <t>人時性</t>
  </si>
  <si>
    <t xml:space="preserve">4度二組A
</t>
    <phoneticPr fontId="4" type="noConversion"/>
  </si>
  <si>
    <t>結束</t>
  </si>
  <si>
    <t>壽司線</t>
    <phoneticPr fontId="4" type="noConversion"/>
  </si>
  <si>
    <t>02月03日  星期二</t>
  </si>
  <si>
    <t xml:space="preserve">晉欣廠四度C日報分析                              </t>
    <phoneticPr fontId="9" type="noConversion"/>
  </si>
  <si>
    <t>總生產量</t>
    <phoneticPr fontId="9" type="noConversion"/>
  </si>
  <si>
    <t>出勤人數</t>
  </si>
  <si>
    <t>產線配置圖</t>
  </si>
  <si>
    <t>生產實績</t>
  </si>
  <si>
    <t>人時性差異分析</t>
    <phoneticPr fontId="9" type="noConversion"/>
  </si>
  <si>
    <t>日報登錄</t>
    <phoneticPr fontId="9" type="noConversion"/>
  </si>
  <si>
    <t>合計
次數</t>
    <phoneticPr fontId="9" type="noConversion"/>
  </si>
  <si>
    <t>合計
時間/分</t>
    <phoneticPr fontId="4" type="noConversion"/>
  </si>
  <si>
    <t>產線異常分析
說明(5分鐘以上)</t>
    <phoneticPr fontId="9" type="noConversion"/>
  </si>
  <si>
    <t>合計
設備次數</t>
    <phoneticPr fontId="4" type="noConversion"/>
  </si>
  <si>
    <t>產能差異分析</t>
    <phoneticPr fontId="9" type="noConversion"/>
  </si>
  <si>
    <t>02月03日  星期二</t>
    <phoneticPr fontId="9" type="noConversion"/>
  </si>
  <si>
    <t>平均廠價</t>
  </si>
  <si>
    <t>多次生產數</t>
  </si>
  <si>
    <t>線別</t>
    <phoneticPr fontId="4" type="noConversion"/>
  </si>
  <si>
    <t>品類</t>
  </si>
  <si>
    <t>品名</t>
    <phoneticPr fontId="4" type="noConversion"/>
  </si>
  <si>
    <t>廠價</t>
  </si>
  <si>
    <t>生產量</t>
  </si>
  <si>
    <t>營收</t>
  </si>
  <si>
    <t>多次
生產</t>
    <phoneticPr fontId="9" type="noConversion"/>
  </si>
  <si>
    <t>人數</t>
  </si>
  <si>
    <t>產能/時</t>
  </si>
  <si>
    <t>產能/時</t>
    <phoneticPr fontId="9" type="noConversion"/>
  </si>
  <si>
    <t>人數</t>
    <phoneticPr fontId="9" type="noConversion"/>
  </si>
  <si>
    <t>達成率</t>
    <phoneticPr fontId="9" type="noConversion"/>
  </si>
  <si>
    <t>達成率平均</t>
    <phoneticPr fontId="9" type="noConversion"/>
  </si>
  <si>
    <t>生產時間</t>
    <rPh sb="0" eb="4">
      <t>カイシジカン</t>
    </rPh>
    <phoneticPr fontId="5"/>
  </si>
  <si>
    <t>前置、換線時間/分</t>
    <rPh sb="0" eb="2">
      <t>キリカエ</t>
    </rPh>
    <phoneticPr fontId="5"/>
  </si>
  <si>
    <t>稼動時間/分</t>
    <phoneticPr fontId="9" type="noConversion"/>
  </si>
  <si>
    <t>休息時間</t>
    <phoneticPr fontId="9" type="noConversion"/>
  </si>
  <si>
    <t>產線異常統計
(5分鐘以上)</t>
    <phoneticPr fontId="5"/>
  </si>
  <si>
    <t>分析說明</t>
    <phoneticPr fontId="9" type="noConversion"/>
  </si>
  <si>
    <t>短暫停線統計
(5分鐘以下)</t>
    <phoneticPr fontId="5"/>
  </si>
  <si>
    <t>開始</t>
    <rPh sb="0" eb="2">
      <t>カイシジカン</t>
    </rPh>
    <phoneticPr fontId="5"/>
  </si>
  <si>
    <t>結束</t>
    <rPh sb="0" eb="2">
      <t>シュウリョウジカン</t>
    </rPh>
    <phoneticPr fontId="5"/>
  </si>
  <si>
    <t>開始</t>
    <phoneticPr fontId="9" type="noConversion"/>
  </si>
  <si>
    <t>次數</t>
    <phoneticPr fontId="5"/>
  </si>
  <si>
    <t>時間/分</t>
    <phoneticPr fontId="5"/>
  </si>
  <si>
    <t>總次數</t>
    <phoneticPr fontId="5"/>
  </si>
  <si>
    <t>設備因素(次數)</t>
    <phoneticPr fontId="5"/>
  </si>
  <si>
    <t>四度一組
(ET-600)</t>
    <phoneticPr fontId="9" type="noConversion"/>
  </si>
  <si>
    <t>椒麻香蔥雞涼拌麵</t>
  </si>
  <si>
    <t>台式麻醬涼麵</t>
  </si>
  <si>
    <t>大滿足香辣涼麵</t>
  </si>
  <si>
    <t>大滿足麻醬涼麵</t>
  </si>
  <si>
    <t>美式雞丁餐盒</t>
  </si>
  <si>
    <t>蔬活腿排補力餐盒</t>
  </si>
  <si>
    <t>嫩烤香料雞胸排蔬滿盒</t>
  </si>
  <si>
    <t>海陸雙拼肉肉餐盒</t>
  </si>
  <si>
    <t>四度二組A
熱麵
固定線
(ET-55)</t>
    <phoneticPr fontId="9" type="noConversion"/>
  </si>
  <si>
    <t>日式蕎麥沾麵</t>
  </si>
  <si>
    <t>蔥蔥玉子拌麵</t>
  </si>
  <si>
    <t>麻婆豆腐波浪麵</t>
  </si>
  <si>
    <t>鮑滿福氣中華燴麵</t>
  </si>
  <si>
    <t>古早味炒炊粉</t>
  </si>
  <si>
    <t>愛恨椒芝麵</t>
  </si>
  <si>
    <t>四度二組
(ET-55)</t>
    <phoneticPr fontId="4" type="noConversion"/>
  </si>
  <si>
    <t>大口金黃薯牛堡飯糰</t>
  </si>
  <si>
    <t>大口日式塔塔醬蝦排飯糰</t>
  </si>
  <si>
    <t>大口義式香草雞腿排飯糰</t>
  </si>
  <si>
    <t>日式野菜烘蛋燴飯</t>
  </si>
  <si>
    <t>壽喜燒牛丼</t>
  </si>
  <si>
    <t>香辣醬粉絲煲</t>
  </si>
  <si>
    <t>四度二組
(烤飯糰/八爪機)</t>
    <phoneticPr fontId="9" type="noConversion"/>
  </si>
  <si>
    <t>媽媽煮藝-鹹酥雞</t>
    <phoneticPr fontId="4" type="noConversion"/>
  </si>
  <si>
    <t>多穀紫米飯</t>
  </si>
  <si>
    <t>優質池上飯</t>
  </si>
  <si>
    <t>媽媽煮藝-鹹酥雞</t>
  </si>
  <si>
    <t>四度二組
(烤飯糰/十爪機)</t>
    <phoneticPr fontId="4" type="noConversion"/>
  </si>
  <si>
    <t>糖燻豬耳絲</t>
  </si>
  <si>
    <t>燻之味-糖燻雞胗</t>
  </si>
  <si>
    <t>韓式蒜味炸雞</t>
  </si>
  <si>
    <t xml:space="preserve">
4度二組C2
</t>
    <phoneticPr fontId="4" type="noConversion"/>
  </si>
  <si>
    <t>四度三組
(ET-55)</t>
    <phoneticPr fontId="9" type="noConversion"/>
  </si>
  <si>
    <t>蕃茄起司手工千層麵(區2)</t>
  </si>
  <si>
    <t>嘉義劉里長雞肉飯</t>
  </si>
  <si>
    <t>好吃雞肉便當</t>
  </si>
  <si>
    <t>香腸腿排雙拼便當</t>
  </si>
  <si>
    <t>新招牌腿排便當</t>
  </si>
  <si>
    <t>四度四組
(ET-55)</t>
    <phoneticPr fontId="9" type="noConversion"/>
  </si>
  <si>
    <t>韓式部隊鍋</t>
  </si>
  <si>
    <t>鴻運番茄湯麵</t>
  </si>
  <si>
    <t>二配蒙古風味烤肉飯</t>
  </si>
  <si>
    <t>二配起司控培根白醬焗烤飯</t>
  </si>
  <si>
    <t>四度五組
(ET-55)</t>
    <phoneticPr fontId="4" type="noConversion"/>
  </si>
  <si>
    <t>媽媽煮藝-(區)香滷牛肚絲</t>
  </si>
  <si>
    <t>淡麗清酒蒸蛤蜊烤飯糰</t>
  </si>
  <si>
    <t>糖燻野郎起司炙燒牛烤飯糰</t>
  </si>
  <si>
    <t>香料咖哩炸雞烤飯糰</t>
  </si>
  <si>
    <t>明太子奶油炸飯糰</t>
  </si>
  <si>
    <t>和風牛肉咖哩炸飯糰</t>
  </si>
  <si>
    <t>極上炙烤親子丼</t>
  </si>
  <si>
    <t>鐵板滑蛋炸豬排丼</t>
  </si>
  <si>
    <t>綜合一組
(ET-55)</t>
    <phoneticPr fontId="4" type="noConversion"/>
  </si>
  <si>
    <t>壹號醬雞豚雙拼</t>
  </si>
  <si>
    <t>美乃炙烤雞肉飯</t>
  </si>
  <si>
    <t>好多蒜燒豚飯</t>
  </si>
  <si>
    <t>二配鮭魚蛋炒飯</t>
  </si>
  <si>
    <t>二配香拌海鮮醬肉絲蛋炒飯</t>
  </si>
  <si>
    <t>二配香辣醬蒜味香腸蛋炒飯</t>
  </si>
  <si>
    <t>二配粗飽系雞排炒飯</t>
  </si>
  <si>
    <t>綜合二組
(ET-55)</t>
    <phoneticPr fontId="9" type="noConversion"/>
  </si>
  <si>
    <t>福氣魚四喜開運便當</t>
  </si>
  <si>
    <t>健身G肉餐盒</t>
  </si>
  <si>
    <t>烤蛋白餐盒</t>
  </si>
  <si>
    <t>二配里肌豬排可可咖哩歐姆蛋飯</t>
  </si>
  <si>
    <t>二配黃金雞排蘑菇白醬歐姆蛋飯</t>
  </si>
  <si>
    <t>二配失控起司薯餅焗飯</t>
  </si>
  <si>
    <t>二配乳酪燻腸紅醬焗飯</t>
  </si>
  <si>
    <t>二配哞哞培根奶香海陸焗飯</t>
  </si>
  <si>
    <t>二配西班牙風味海鮮燉飯</t>
  </si>
  <si>
    <t>二配濃蕃茄火腿蛋包飯</t>
  </si>
  <si>
    <t>綜合三組
(ET-55)</t>
    <phoneticPr fontId="4" type="noConversion"/>
  </si>
  <si>
    <t>二配港式香滑嫩蛋牛肉燴飯</t>
  </si>
  <si>
    <t>二配金咖哩濃厚辛口咖哩飯</t>
  </si>
  <si>
    <t>二配美味蟹煲</t>
  </si>
  <si>
    <t>二配金咖哩果香甘口咖哩飯</t>
  </si>
  <si>
    <t>二配麻油雞燴飯</t>
  </si>
  <si>
    <t>二配泰式綠咖哩雞</t>
  </si>
  <si>
    <t>二配川味麻婆燒豆腐燴飯</t>
  </si>
  <si>
    <t>綜合四組</t>
    <phoneticPr fontId="4" type="noConversion"/>
  </si>
  <si>
    <t>二配紅燒牛肉燴飯</t>
  </si>
  <si>
    <t>二配香炒沙茶豬肉飯</t>
  </si>
  <si>
    <t>二配厚香料咖哩雞排飯</t>
  </si>
  <si>
    <t>便當組
大口
固定線
(伺服包裝機)</t>
    <phoneticPr fontId="9" type="noConversion"/>
  </si>
  <si>
    <t>大口歐風焙煎咖哩漢堡排飯糰</t>
  </si>
  <si>
    <t>大口蒜味香腸燒肉雙拼飯糰</t>
  </si>
  <si>
    <t>大口起司熔岩白醬炸魚飯糰</t>
  </si>
  <si>
    <t>大口法式蕈菇起司雞排飯糰</t>
  </si>
  <si>
    <t>1.當日出勤人數較多</t>
  </si>
  <si>
    <t xml:space="preserve"> </t>
    <phoneticPr fontId="4" type="noConversion"/>
  </si>
  <si>
    <t>2.當日出勤人數較少</t>
  </si>
  <si>
    <t>3.當日出勤熟手較少</t>
    <phoneticPr fontId="9" type="noConversion"/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</si>
  <si>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</si>
  <si>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</si>
  <si>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</si>
  <si>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</si>
  <si>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</si>
  <si>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</si>
  <si>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</si>
  <si>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</si>
  <si>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  <phoneticPr fontId="4" type="noConversion"/>
  </si>
  <si>
    <t>13.區域出貨，分段生產</t>
    <phoneticPr fontId="4" type="noConversion"/>
  </si>
  <si>
    <t xml:space="preserve">晉欣廠四度C日報分析                              </t>
    <phoneticPr fontId="9" type="noConversion"/>
  </si>
  <si>
    <t>總生產量</t>
    <phoneticPr fontId="9" type="noConversion"/>
  </si>
  <si>
    <t>人時性差異分析</t>
    <phoneticPr fontId="9" type="noConversion"/>
  </si>
  <si>
    <t>日報登錄</t>
    <phoneticPr fontId="9" type="noConversion"/>
  </si>
  <si>
    <t>合計
次數</t>
    <phoneticPr fontId="9" type="noConversion"/>
  </si>
  <si>
    <t>合計
時間/分</t>
    <phoneticPr fontId="4" type="noConversion"/>
  </si>
  <si>
    <t>產線異常分析
說明(5分鐘以上)</t>
    <phoneticPr fontId="9" type="noConversion"/>
  </si>
  <si>
    <t>合計
設備次數</t>
    <phoneticPr fontId="4" type="noConversion"/>
  </si>
  <si>
    <t>產能差異分析</t>
    <phoneticPr fontId="9" type="noConversion"/>
  </si>
  <si>
    <t>02月04日  星期三</t>
    <phoneticPr fontId="9" type="noConversion"/>
  </si>
  <si>
    <t>人時性</t>
    <phoneticPr fontId="9" type="noConversion"/>
  </si>
  <si>
    <t>線別</t>
    <phoneticPr fontId="4" type="noConversion"/>
  </si>
  <si>
    <t>品名</t>
    <phoneticPr fontId="4" type="noConversion"/>
  </si>
  <si>
    <t>多次
生產</t>
    <phoneticPr fontId="9" type="noConversion"/>
  </si>
  <si>
    <t>產能/時</t>
    <phoneticPr fontId="9" type="noConversion"/>
  </si>
  <si>
    <t>人數</t>
    <phoneticPr fontId="9" type="noConversion"/>
  </si>
  <si>
    <t>達成率</t>
    <phoneticPr fontId="9" type="noConversion"/>
  </si>
  <si>
    <t>達成率平均</t>
    <phoneticPr fontId="9" type="noConversion"/>
  </si>
  <si>
    <t>稼動時間/分</t>
    <phoneticPr fontId="9" type="noConversion"/>
  </si>
  <si>
    <t>休息時間</t>
    <phoneticPr fontId="9" type="noConversion"/>
  </si>
  <si>
    <t>產線異常統計
(5分鐘以上)</t>
    <phoneticPr fontId="5"/>
  </si>
  <si>
    <t>分析說明</t>
    <phoneticPr fontId="9" type="noConversion"/>
  </si>
  <si>
    <t>短暫停線統計
(5分鐘以下)</t>
    <phoneticPr fontId="5"/>
  </si>
  <si>
    <t>開始</t>
    <phoneticPr fontId="9" type="noConversion"/>
  </si>
  <si>
    <t>次數</t>
    <phoneticPr fontId="5"/>
  </si>
  <si>
    <t>時間/分</t>
    <phoneticPr fontId="5"/>
  </si>
  <si>
    <t>總次數</t>
    <phoneticPr fontId="5"/>
  </si>
  <si>
    <t>設備因素(次數)</t>
    <phoneticPr fontId="5"/>
  </si>
  <si>
    <t>四度一組
(ET-600)</t>
    <phoneticPr fontId="9" type="noConversion"/>
  </si>
  <si>
    <t>4度一組</t>
    <phoneticPr fontId="4" type="noConversion"/>
  </si>
  <si>
    <t>平均</t>
    <phoneticPr fontId="9" type="noConversion"/>
  </si>
  <si>
    <t>四度二組A
熱麵
固定線
(ET-55)</t>
    <phoneticPr fontId="9" type="noConversion"/>
  </si>
  <si>
    <t xml:space="preserve">4度二組A
</t>
    <phoneticPr fontId="4" type="noConversion"/>
  </si>
  <si>
    <t>四度二組
(ET-55)</t>
    <phoneticPr fontId="4" type="noConversion"/>
  </si>
  <si>
    <t xml:space="preserve">
4度二組B
</t>
    <phoneticPr fontId="4" type="noConversion"/>
  </si>
  <si>
    <t>四度二組
(烤飯糰/八爪機)</t>
    <phoneticPr fontId="9" type="noConversion"/>
  </si>
  <si>
    <t>媽媽煮藝-鹹酥雞</t>
    <phoneticPr fontId="4" type="noConversion"/>
  </si>
  <si>
    <t xml:space="preserve">
4度二組C1
</t>
    <phoneticPr fontId="4" type="noConversion"/>
  </si>
  <si>
    <t>四度二組
(烤飯糰/十爪機)</t>
    <phoneticPr fontId="4" type="noConversion"/>
  </si>
  <si>
    <t xml:space="preserve">
4度二組C2
</t>
    <phoneticPr fontId="4" type="noConversion"/>
  </si>
  <si>
    <t>四度三組
(ET-55)</t>
    <phoneticPr fontId="9" type="noConversion"/>
  </si>
  <si>
    <t xml:space="preserve">
4度三組
</t>
    <phoneticPr fontId="4" type="noConversion"/>
  </si>
  <si>
    <t>四度四組
(ET-55)</t>
    <phoneticPr fontId="9" type="noConversion"/>
  </si>
  <si>
    <t xml:space="preserve">
4度四組
</t>
    <phoneticPr fontId="4" type="noConversion"/>
  </si>
  <si>
    <t>四度五組
(ET-55)</t>
    <phoneticPr fontId="4" type="noConversion"/>
  </si>
  <si>
    <t xml:space="preserve">
4度五組
</t>
    <phoneticPr fontId="4" type="noConversion"/>
  </si>
  <si>
    <t>綜合一組
(ET-55)</t>
    <phoneticPr fontId="4" type="noConversion"/>
  </si>
  <si>
    <t xml:space="preserve">
綜合一組
</t>
    <phoneticPr fontId="4" type="noConversion"/>
  </si>
  <si>
    <t>綜合二組
(ET-55)</t>
    <phoneticPr fontId="9" type="noConversion"/>
  </si>
  <si>
    <t xml:space="preserve">
綜合二組
</t>
    <phoneticPr fontId="4" type="noConversion"/>
  </si>
  <si>
    <t>平均</t>
    <phoneticPr fontId="9" type="noConversion"/>
  </si>
  <si>
    <t>綜合三組
(ET-55)</t>
    <phoneticPr fontId="4" type="noConversion"/>
  </si>
  <si>
    <t xml:space="preserve">
綜合三組
</t>
    <phoneticPr fontId="4" type="noConversion"/>
  </si>
  <si>
    <t>綜合四組</t>
    <phoneticPr fontId="4" type="noConversion"/>
  </si>
  <si>
    <t xml:space="preserve">
綜合四組
</t>
    <phoneticPr fontId="4" type="noConversion"/>
  </si>
  <si>
    <t>便當組
大口
固定線
(伺服包裝機)</t>
    <phoneticPr fontId="9" type="noConversion"/>
  </si>
  <si>
    <t xml:space="preserve">
便當組
</t>
    <phoneticPr fontId="4" type="noConversion"/>
  </si>
  <si>
    <t>3.當日出勤熟手較少</t>
    <phoneticPr fontId="9" type="noConversion"/>
  </si>
  <si>
    <t>12.商品結構，產能較低</t>
    <phoneticPr fontId="4" type="noConversion"/>
  </si>
  <si>
    <t>13.區域出貨，分段生產</t>
    <phoneticPr fontId="4" type="noConversion"/>
  </si>
  <si>
    <t>02月05日  星期四</t>
    <phoneticPr fontId="9" type="noConversion"/>
  </si>
  <si>
    <t xml:space="preserve">
綜合二組
</t>
    <phoneticPr fontId="4" type="noConversion"/>
  </si>
  <si>
    <t>綜合三組
(ET-55)</t>
    <phoneticPr fontId="4" type="noConversion"/>
  </si>
  <si>
    <t>02月06日  星期五</t>
    <phoneticPr fontId="9" type="noConversion"/>
  </si>
  <si>
    <t>02月07日  星期六</t>
    <phoneticPr fontId="9" type="noConversion"/>
  </si>
  <si>
    <t>02月08日  星期日</t>
    <phoneticPr fontId="9" type="noConversion"/>
  </si>
  <si>
    <t>02月09日  星期一</t>
    <phoneticPr fontId="9" type="noConversion"/>
  </si>
  <si>
    <t xml:space="preserve">晉欣廠18度C日報分析                              </t>
    <phoneticPr fontId="9" type="noConversion"/>
  </si>
  <si>
    <t>出勤人數</t>
    <phoneticPr fontId="9" type="noConversion"/>
  </si>
  <si>
    <t>生產實績</t>
    <phoneticPr fontId="9" type="noConversion"/>
  </si>
  <si>
    <t>02月03日  星期二</t>
    <phoneticPr fontId="9" type="noConversion"/>
  </si>
  <si>
    <t>多次生產數</t>
    <phoneticPr fontId="9" type="noConversion"/>
  </si>
  <si>
    <t>品類</t>
    <phoneticPr fontId="9" type="noConversion"/>
  </si>
  <si>
    <t>生產量</t>
    <phoneticPr fontId="9" type="noConversion"/>
  </si>
  <si>
    <t>營收</t>
    <phoneticPr fontId="4" type="noConversion"/>
  </si>
  <si>
    <t>換線/分</t>
    <rPh sb="0" eb="2">
      <t>キリカエ</t>
    </rPh>
    <phoneticPr fontId="5"/>
  </si>
  <si>
    <t>結束</t>
    <phoneticPr fontId="9" type="noConversion"/>
  </si>
  <si>
    <t>壽司線</t>
    <phoneticPr fontId="9" type="noConversion"/>
  </si>
  <si>
    <t>麻油雞飯糰</t>
    <phoneticPr fontId="4" type="noConversion"/>
  </si>
  <si>
    <t>雙饗雙手卷(捲)</t>
    <phoneticPr fontId="9" type="noConversion"/>
  </si>
  <si>
    <t>海饌雙手卷(捲)</t>
    <phoneticPr fontId="9" type="noConversion"/>
  </si>
  <si>
    <t>明太子玉子脆卷</t>
    <phoneticPr fontId="9" type="noConversion"/>
  </si>
  <si>
    <t>明太子泡菜牛飯卷</t>
    <phoneticPr fontId="4" type="noConversion"/>
  </si>
  <si>
    <t>雙倍德腸飯卷</t>
    <phoneticPr fontId="4" type="noConversion"/>
  </si>
  <si>
    <t>長野稻荷壽司</t>
    <phoneticPr fontId="4" type="noConversion"/>
  </si>
  <si>
    <t>雙饗雙手卷</t>
    <phoneticPr fontId="4" type="noConversion"/>
  </si>
  <si>
    <t>海饌雙手卷</t>
    <phoneticPr fontId="4" type="noConversion"/>
  </si>
  <si>
    <t>兩粒飯糰(鮪魚.焦糖鮭魚)</t>
  </si>
  <si>
    <t>捲壽司機</t>
    <phoneticPr fontId="4" type="noConversion"/>
  </si>
  <si>
    <t>雙鬆細卷</t>
    <phoneticPr fontId="9" type="noConversion"/>
  </si>
  <si>
    <t>經典鮪魚沙拉細卷</t>
    <phoneticPr fontId="9" type="noConversion"/>
  </si>
  <si>
    <t>連續式
海苔機</t>
    <phoneticPr fontId="9" type="noConversion"/>
  </si>
  <si>
    <t>3300型
飯糰機A</t>
    <phoneticPr fontId="9" type="noConversion"/>
  </si>
  <si>
    <t>壹號醬炙烤牛飯糰</t>
    <phoneticPr fontId="4" type="noConversion"/>
  </si>
  <si>
    <t>雞肉飯飯糰</t>
    <phoneticPr fontId="4" type="noConversion"/>
  </si>
  <si>
    <t>碳烤燒肉飯飯糰(區)</t>
  </si>
  <si>
    <t>鹽蔥燒肉飯糰</t>
    <phoneticPr fontId="4" type="noConversion"/>
  </si>
  <si>
    <t>平均</t>
  </si>
  <si>
    <t xml:space="preserve"> 3300型B
飯糰機</t>
    <phoneticPr fontId="4" type="noConversion"/>
  </si>
  <si>
    <t>照燒雞肉飯糰</t>
  </si>
  <si>
    <t>油蔥雞汁飯糰(區)</t>
  </si>
  <si>
    <t>鮭魚奶油醬油飯糰</t>
  </si>
  <si>
    <t>紅運烏魚子紹興飯糰</t>
  </si>
  <si>
    <t>3600型(A)
飯糰機</t>
    <phoneticPr fontId="9" type="noConversion"/>
  </si>
  <si>
    <t>3600型
飯糰機A</t>
    <phoneticPr fontId="9" type="noConversion"/>
  </si>
  <si>
    <t>3600型(B)
飯糰機</t>
    <phoneticPr fontId="9" type="noConversion"/>
  </si>
  <si>
    <t>熟成紅鮭飯糰</t>
  </si>
  <si>
    <t>北海道秋鮭親子飯糰</t>
  </si>
  <si>
    <t>贅沢鮭魚肚飯糰</t>
  </si>
  <si>
    <t>經典肉鬆飯糰</t>
  </si>
  <si>
    <t>蔬食鮪魚飯糰</t>
  </si>
  <si>
    <t>明太子龍蝦風味沙拉飯糰</t>
  </si>
  <si>
    <t>鮪魚飯糰</t>
  </si>
  <si>
    <t>3600型
飯糰機B</t>
    <phoneticPr fontId="9" type="noConversion"/>
  </si>
  <si>
    <t>二配 夾心型
飯糰機</t>
  </si>
  <si>
    <t>二配 3300型A
飯糰機</t>
    <phoneticPr fontId="4" type="noConversion"/>
  </si>
  <si>
    <t>二配雞肉飯飯糰</t>
  </si>
  <si>
    <t>二配油蔥G絲飯糰</t>
  </si>
  <si>
    <t>二配三杯醬爆菇菇飯糰</t>
  </si>
  <si>
    <t>二配壹號醬炙烤牛飯糰</t>
  </si>
  <si>
    <t>二配鹽蔥燒肉飯糰</t>
  </si>
  <si>
    <t>二配 3300型B
飯糰機</t>
    <phoneticPr fontId="4" type="noConversion"/>
  </si>
  <si>
    <t>二配大飯糰韓式蒜烤豬五花</t>
    <phoneticPr fontId="4" type="noConversion"/>
  </si>
  <si>
    <t>二配大飯糰滷肉飯加蛋</t>
  </si>
  <si>
    <t>3300型
飯糰機B</t>
    <phoneticPr fontId="9" type="noConversion"/>
  </si>
  <si>
    <t>二配 3600型A
飯糰機</t>
    <phoneticPr fontId="4" type="noConversion"/>
  </si>
  <si>
    <t>二配熟成紅鮭飯糰</t>
  </si>
  <si>
    <t>二配北海道秋鮭親子飯糰</t>
  </si>
  <si>
    <t>二配明太子龍蝦風味沙拉飯糰</t>
  </si>
  <si>
    <t>二配經典肉鬆飯糰</t>
    <phoneticPr fontId="4" type="noConversion"/>
  </si>
  <si>
    <t>二配鮪魚飯糰</t>
  </si>
  <si>
    <t>二配 3600型B
飯糰機</t>
    <phoneticPr fontId="4" type="noConversion"/>
  </si>
  <si>
    <t>二配芝麻香鬆飯糰</t>
  </si>
  <si>
    <t>二配蔬食鮪魚飯糰</t>
    <phoneticPr fontId="4" type="noConversion"/>
  </si>
  <si>
    <t xml:space="preserve">晉欣廠18度C日報分析                              </t>
    <phoneticPr fontId="9" type="noConversion"/>
  </si>
  <si>
    <t>出勤人數</t>
    <phoneticPr fontId="9" type="noConversion"/>
  </si>
  <si>
    <t>生產實績</t>
    <phoneticPr fontId="9" type="noConversion"/>
  </si>
  <si>
    <t>02月04日  星期三</t>
    <phoneticPr fontId="9" type="noConversion"/>
  </si>
  <si>
    <t>多次生產數</t>
    <phoneticPr fontId="9" type="noConversion"/>
  </si>
  <si>
    <t>品類</t>
    <phoneticPr fontId="9" type="noConversion"/>
  </si>
  <si>
    <t>生產量</t>
    <phoneticPr fontId="9" type="noConversion"/>
  </si>
  <si>
    <t>營收</t>
    <phoneticPr fontId="4" type="noConversion"/>
  </si>
  <si>
    <t>結束</t>
    <phoneticPr fontId="9" type="noConversion"/>
  </si>
  <si>
    <t>壽司線</t>
    <phoneticPr fontId="9" type="noConversion"/>
  </si>
  <si>
    <t>麻油雞飯糰</t>
    <phoneticPr fontId="4" type="noConversion"/>
  </si>
  <si>
    <t>雙饗雙手卷(捲)</t>
    <phoneticPr fontId="9" type="noConversion"/>
  </si>
  <si>
    <t>海饌雙手卷(捲)</t>
    <phoneticPr fontId="9" type="noConversion"/>
  </si>
  <si>
    <t>明太子玉子脆卷</t>
    <phoneticPr fontId="9" type="noConversion"/>
  </si>
  <si>
    <t>02月05日  星期四</t>
    <phoneticPr fontId="9" type="noConversion"/>
  </si>
  <si>
    <t>02月06日  星期五</t>
    <phoneticPr fontId="9" type="noConversion"/>
  </si>
  <si>
    <t>02月07日  星期六</t>
    <phoneticPr fontId="9" type="noConversion"/>
  </si>
  <si>
    <t>02月08日  星期日</t>
    <phoneticPr fontId="9" type="noConversion"/>
  </si>
  <si>
    <t>02月09日  星期一</t>
    <phoneticPr fontId="9" type="noConversion"/>
  </si>
  <si>
    <t>02月04日  星期三</t>
  </si>
  <si>
    <t>02月05日  星期四</t>
  </si>
  <si>
    <t>02月06日  星期五</t>
  </si>
  <si>
    <t>02月07日  星期六</t>
  </si>
  <si>
    <t>02月08日  星期日</t>
  </si>
  <si>
    <t>02月09日  星期一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</si>
  <si>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</si>
  <si>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</si>
  <si>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</si>
  <si>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</si>
  <si>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</si>
  <si>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</si>
  <si>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</si>
  <si>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壽司手卷</t>
  </si>
  <si>
    <t>02月01日  星期日</t>
  </si>
  <si>
    <t>02月01日  星期日</t>
    <phoneticPr fontId="9" type="noConversion"/>
  </si>
  <si>
    <t>鴻運烏魚子紹興飯糰</t>
    <phoneticPr fontId="4" type="noConversion"/>
  </si>
  <si>
    <t>02月02日  星期一</t>
  </si>
  <si>
    <t>02月02日  星期一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</si>
</sst>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0_);[Red]\(0\)"/>
    <numFmt numFmtId="182" formatCode="&quot;¥&quot;#,##0;[Red]&quot;¥&quot;\-#,##0"/>
    <numFmt numFmtId="183" formatCode="0_ "/>
    <numFmt numFmtId="184" formatCode="0.0_ "/>
    <numFmt numFmtId="185" formatCode="h:mm;@"/>
  </numFmts>
  <fonts count="47"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</borders>
  <cellStyleXfs count="366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2" fillId="0" borderId="0">
      <alignment vertical="center"/>
    </xf>
    <xf numFmtId="0" fontId="23" fillId="0" borderId="0"/>
    <xf numFmtId="0" fontId="23" fillId="0" borderId="0"/>
    <xf numFmtId="0" fontId="22" fillId="0" borderId="0">
      <alignment vertical="center"/>
    </xf>
    <xf numFmtId="0" fontId="22" fillId="0" borderId="0">
      <alignment vertical="center"/>
    </xf>
    <xf numFmtId="0" fontId="23" fillId="0" borderId="0"/>
    <xf numFmtId="0" fontId="22" fillId="0" borderId="0">
      <alignment vertical="center"/>
    </xf>
    <xf numFmtId="0" fontId="23" fillId="0" borderId="0"/>
    <xf numFmtId="0" fontId="2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6" fillId="0" borderId="0"/>
    <xf numFmtId="0" fontId="2" fillId="0" borderId="0">
      <alignment vertical="center"/>
    </xf>
    <xf numFmtId="0" fontId="24" fillId="0" borderId="0">
      <alignment vertical="center"/>
    </xf>
    <xf numFmtId="0" fontId="2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2" fillId="0" borderId="0"/>
    <xf numFmtId="0" fontId="23" fillId="0" borderId="0"/>
    <xf numFmtId="0" fontId="2" fillId="0" borderId="0">
      <alignment vertical="center"/>
    </xf>
    <xf numFmtId="0" fontId="2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2" fillId="0" borderId="0"/>
    <xf numFmtId="0" fontId="22" fillId="0" borderId="0">
      <alignment vertical="center"/>
    </xf>
    <xf numFmtId="0" fontId="23" fillId="0" borderId="0"/>
    <xf numFmtId="0" fontId="22" fillId="0" borderId="0">
      <alignment vertical="center"/>
    </xf>
    <xf numFmtId="0" fontId="22" fillId="0" borderId="0">
      <alignment vertical="center"/>
    </xf>
    <xf numFmtId="0" fontId="23" fillId="0" borderId="0"/>
    <xf numFmtId="0" fontId="2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3" fillId="0" borderId="0"/>
    <xf numFmtId="0" fontId="22" fillId="0" borderId="0">
      <alignment vertical="center"/>
    </xf>
    <xf numFmtId="0" fontId="23" fillId="0" borderId="0"/>
    <xf numFmtId="43" fontId="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2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38" fontId="29" fillId="0" borderId="0" applyFont="0" applyFill="0" applyBorder="0" applyAlignment="0" applyProtection="0"/>
    <xf numFmtId="44" fontId="26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0" borderId="0"/>
    <xf numFmtId="0" fontId="3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</cellStyleXfs>
  <cellXfs count="717">
    <xf numFmtId="0" fontId="0" fillId="0" borderId="0" xfId="0">
      <alignment vertical="center"/>
    </xf>
    <xf numFmtId="0" fontId="3" fillId="0" borderId="0" xfId="1" applyFont="1">
      <alignment vertical="center"/>
    </xf>
    <xf numFmtId="0" fontId="5" fillId="0" borderId="0" xfId="1" applyFont="1">
      <alignment vertical="center"/>
    </xf>
    <xf numFmtId="176" fontId="6" fillId="0" borderId="0" xfId="3" applyNumberFormat="1" applyFont="1" applyBorder="1" applyAlignment="1">
      <alignment vertical="center"/>
    </xf>
    <xf numFmtId="0" fontId="12" fillId="0" borderId="6" xfId="4" applyFont="1" applyBorder="1" applyAlignment="1">
      <alignment horizontal="center" vertical="center" wrapText="1"/>
    </xf>
    <xf numFmtId="0" fontId="12" fillId="0" borderId="7" xfId="4" applyFont="1" applyBorder="1" applyAlignment="1">
      <alignment horizontal="center" vertical="center"/>
    </xf>
    <xf numFmtId="0" fontId="15" fillId="0" borderId="0" xfId="1" applyFont="1">
      <alignment vertical="center"/>
    </xf>
    <xf numFmtId="0" fontId="6" fillId="0" borderId="0" xfId="1" applyFont="1">
      <alignment vertical="center"/>
    </xf>
    <xf numFmtId="0" fontId="16" fillId="0" borderId="0" xfId="1" applyFont="1">
      <alignment vertical="center"/>
    </xf>
    <xf numFmtId="0" fontId="17" fillId="0" borderId="0" xfId="1" applyFont="1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18" fillId="0" borderId="2" xfId="1" applyFont="1" applyBorder="1" applyAlignment="1">
      <alignment horizontal="center" vertical="center" wrapText="1"/>
    </xf>
    <xf numFmtId="0" fontId="18" fillId="0" borderId="18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178" fontId="19" fillId="0" borderId="2" xfId="1" applyNumberFormat="1" applyFont="1" applyBorder="1" applyAlignment="1">
      <alignment horizontal="center" vertical="center"/>
    </xf>
    <xf numFmtId="178" fontId="19" fillId="0" borderId="18" xfId="1" applyNumberFormat="1" applyFont="1" applyBorder="1" applyAlignment="1">
      <alignment horizontal="center" vertical="center"/>
    </xf>
    <xf numFmtId="180" fontId="19" fillId="0" borderId="2" xfId="6" applyNumberFormat="1" applyFont="1" applyBorder="1" applyAlignment="1">
      <alignment horizontal="center" vertical="center"/>
    </xf>
    <xf numFmtId="180" fontId="19" fillId="0" borderId="18" xfId="6" applyNumberFormat="1" applyFont="1" applyBorder="1" applyAlignment="1">
      <alignment horizontal="center" vertical="center"/>
    </xf>
    <xf numFmtId="20" fontId="15" fillId="0" borderId="2" xfId="1" applyNumberFormat="1" applyFont="1" applyBorder="1" applyAlignment="1">
      <alignment horizontal="center" vertical="center" wrapText="1"/>
    </xf>
    <xf numFmtId="20" fontId="15" fillId="0" borderId="18" xfId="1" applyNumberFormat="1" applyFont="1" applyBorder="1" applyAlignment="1">
      <alignment horizontal="center" vertical="center" wrapText="1"/>
    </xf>
    <xf numFmtId="181" fontId="15" fillId="5" borderId="2" xfId="1" applyNumberFormat="1" applyFont="1" applyFill="1" applyBorder="1" applyAlignment="1">
      <alignment horizontal="center" vertical="center" wrapText="1"/>
    </xf>
    <xf numFmtId="181" fontId="15" fillId="5" borderId="18" xfId="1" applyNumberFormat="1" applyFont="1" applyFill="1" applyBorder="1" applyAlignment="1">
      <alignment horizontal="center" vertical="center" wrapText="1"/>
    </xf>
    <xf numFmtId="181" fontId="15" fillId="0" borderId="2" xfId="1" applyNumberFormat="1" applyFont="1" applyBorder="1" applyAlignment="1">
      <alignment horizontal="center" vertical="center" wrapText="1"/>
    </xf>
    <xf numFmtId="181" fontId="15" fillId="0" borderId="18" xfId="1" applyNumberFormat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180" fontId="15" fillId="0" borderId="18" xfId="6" applyNumberFormat="1" applyFont="1" applyBorder="1" applyAlignment="1">
      <alignment horizontal="center" vertical="center"/>
    </xf>
    <xf numFmtId="0" fontId="15" fillId="0" borderId="26" xfId="1" applyFont="1" applyBorder="1">
      <alignment vertical="center"/>
    </xf>
    <xf numFmtId="0" fontId="15" fillId="0" borderId="26" xfId="1" applyFont="1" applyBorder="1" applyAlignment="1">
      <alignment horizontal="center" vertical="center"/>
    </xf>
    <xf numFmtId="0" fontId="15" fillId="0" borderId="27" xfId="1" applyFont="1" applyBorder="1">
      <alignment vertical="center"/>
    </xf>
    <xf numFmtId="0" fontId="5" fillId="0" borderId="31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5" fillId="0" borderId="33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178" fontId="15" fillId="0" borderId="2" xfId="1" applyNumberFormat="1" applyFont="1" applyBorder="1" applyAlignment="1">
      <alignment horizontal="center" vertical="center"/>
    </xf>
    <xf numFmtId="178" fontId="15" fillId="0" borderId="3" xfId="1" applyNumberFormat="1" applyFont="1" applyBorder="1" applyAlignment="1">
      <alignment horizontal="center" vertical="center"/>
    </xf>
    <xf numFmtId="178" fontId="15" fillId="0" borderId="33" xfId="1" applyNumberFormat="1" applyFont="1" applyBorder="1" applyAlignment="1">
      <alignment horizontal="center" vertical="center"/>
    </xf>
    <xf numFmtId="178" fontId="15" fillId="0" borderId="18" xfId="1" applyNumberFormat="1" applyFont="1" applyBorder="1" applyAlignment="1">
      <alignment horizontal="center" vertical="center"/>
    </xf>
    <xf numFmtId="178" fontId="19" fillId="0" borderId="3" xfId="1" applyNumberFormat="1" applyFont="1" applyBorder="1" applyAlignment="1">
      <alignment horizontal="center" vertical="center"/>
    </xf>
    <xf numFmtId="178" fontId="19" fillId="0" borderId="33" xfId="1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180" fontId="19" fillId="0" borderId="3" xfId="6" applyNumberFormat="1" applyFont="1" applyBorder="1" applyAlignment="1">
      <alignment horizontal="center" vertical="center"/>
    </xf>
    <xf numFmtId="180" fontId="19" fillId="0" borderId="33" xfId="6" applyNumberFormat="1" applyFont="1" applyBorder="1" applyAlignment="1">
      <alignment horizontal="center" vertical="center"/>
    </xf>
    <xf numFmtId="20" fontId="15" fillId="0" borderId="3" xfId="1" applyNumberFormat="1" applyFont="1" applyBorder="1" applyAlignment="1">
      <alignment horizontal="center" vertical="center" wrapText="1"/>
    </xf>
    <xf numFmtId="20" fontId="15" fillId="0" borderId="33" xfId="1" applyNumberFormat="1" applyFont="1" applyBorder="1" applyAlignment="1">
      <alignment horizontal="center" vertical="center" wrapText="1"/>
    </xf>
    <xf numFmtId="1" fontId="15" fillId="0" borderId="2" xfId="1" applyNumberFormat="1" applyFont="1" applyBorder="1" applyAlignment="1">
      <alignment horizontal="center" vertical="center" wrapText="1"/>
    </xf>
    <xf numFmtId="1" fontId="15" fillId="0" borderId="3" xfId="1" applyNumberFormat="1" applyFont="1" applyBorder="1" applyAlignment="1">
      <alignment horizontal="center" vertical="center" wrapText="1"/>
    </xf>
    <xf numFmtId="1" fontId="15" fillId="0" borderId="33" xfId="1" applyNumberFormat="1" applyFont="1" applyBorder="1" applyAlignment="1">
      <alignment horizontal="center" vertical="center" wrapText="1"/>
    </xf>
    <xf numFmtId="1" fontId="15" fillId="0" borderId="18" xfId="1" applyNumberFormat="1" applyFont="1" applyBorder="1" applyAlignment="1">
      <alignment horizontal="center" vertical="center" wrapText="1"/>
    </xf>
    <xf numFmtId="180" fontId="5" fillId="0" borderId="2" xfId="6" applyNumberFormat="1" applyFont="1" applyBorder="1" applyAlignment="1">
      <alignment horizontal="center" vertical="center"/>
    </xf>
    <xf numFmtId="180" fontId="5" fillId="0" borderId="3" xfId="6" applyNumberFormat="1" applyFont="1" applyBorder="1" applyAlignment="1">
      <alignment horizontal="center" vertical="center"/>
    </xf>
    <xf numFmtId="49" fontId="5" fillId="0" borderId="33" xfId="6" applyNumberFormat="1" applyFont="1" applyBorder="1" applyAlignment="1">
      <alignment horizontal="center" vertical="center"/>
    </xf>
    <xf numFmtId="180" fontId="5" fillId="0" borderId="18" xfId="6" applyNumberFormat="1" applyFont="1" applyBorder="1" applyAlignment="1">
      <alignment horizontal="center" vertical="center"/>
    </xf>
    <xf numFmtId="180" fontId="15" fillId="0" borderId="2" xfId="6" applyNumberFormat="1" applyFont="1" applyBorder="1" applyAlignment="1">
      <alignment horizontal="center" vertical="center"/>
    </xf>
    <xf numFmtId="180" fontId="15" fillId="0" borderId="3" xfId="6" applyNumberFormat="1" applyFont="1" applyBorder="1" applyAlignment="1">
      <alignment horizontal="center" vertical="center"/>
    </xf>
    <xf numFmtId="49" fontId="15" fillId="0" borderId="33" xfId="6" applyNumberFormat="1" applyFont="1" applyBorder="1" applyAlignment="1">
      <alignment horizontal="center" vertical="center"/>
    </xf>
    <xf numFmtId="0" fontId="15" fillId="0" borderId="34" xfId="1" applyFont="1" applyBorder="1">
      <alignment vertical="center"/>
    </xf>
    <xf numFmtId="0" fontId="15" fillId="0" borderId="35" xfId="1" applyFont="1" applyBorder="1">
      <alignment vertical="center"/>
    </xf>
    <xf numFmtId="0" fontId="5" fillId="0" borderId="0" xfId="1" applyFont="1" applyAlignment="1">
      <alignment horizontal="center" vertical="center"/>
    </xf>
    <xf numFmtId="0" fontId="35" fillId="0" borderId="39" xfId="4" applyFont="1" applyBorder="1">
      <alignment vertical="center"/>
    </xf>
    <xf numFmtId="0" fontId="35" fillId="0" borderId="39" xfId="4" applyFont="1" applyBorder="1" applyAlignment="1">
      <alignment horizontal="left" vertical="center"/>
    </xf>
    <xf numFmtId="176" fontId="12" fillId="12" borderId="39" xfId="286" applyNumberFormat="1" applyFont="1" applyFill="1" applyBorder="1" applyAlignment="1">
      <alignment horizontal="center" vertical="center"/>
    </xf>
    <xf numFmtId="0" fontId="36" fillId="0" borderId="39" xfId="4" applyFont="1" applyBorder="1" applyAlignment="1">
      <alignment horizontal="center" vertical="center"/>
    </xf>
    <xf numFmtId="43" fontId="35" fillId="0" borderId="39" xfId="286" applyFont="1" applyBorder="1" applyAlignment="1">
      <alignment horizontal="center" vertical="center"/>
    </xf>
    <xf numFmtId="0" fontId="35" fillId="0" borderId="39" xfId="4" applyFont="1" applyBorder="1" applyAlignment="1">
      <alignment horizontal="center" vertical="center"/>
    </xf>
    <xf numFmtId="1" fontId="35" fillId="0" borderId="39" xfId="4" applyNumberFormat="1" applyFont="1" applyBorder="1" applyAlignment="1">
      <alignment horizontal="center" vertical="center"/>
    </xf>
    <xf numFmtId="0" fontId="20" fillId="0" borderId="40" xfId="4" applyFont="1" applyBorder="1" applyAlignment="1">
      <alignment horizontal="center" vertical="center" wrapText="1"/>
    </xf>
    <xf numFmtId="0" fontId="35" fillId="0" borderId="39" xfId="4" applyFont="1" applyBorder="1" applyAlignment="1">
      <alignment horizontal="center" vertical="center"/>
    </xf>
    <xf numFmtId="0" fontId="36" fillId="0" borderId="0" xfId="4" applyFont="1">
      <alignment vertical="center"/>
    </xf>
    <xf numFmtId="0" fontId="35" fillId="0" borderId="39" xfId="4" applyFont="1" applyBorder="1" applyAlignment="1">
      <alignment horizontal="left" vertical="center"/>
    </xf>
    <xf numFmtId="178" fontId="35" fillId="0" borderId="39" xfId="4" applyNumberFormat="1" applyFont="1" applyBorder="1" applyAlignment="1">
      <alignment horizontal="center" vertical="center"/>
    </xf>
    <xf numFmtId="178" fontId="38" fillId="0" borderId="39" xfId="4" applyNumberFormat="1" applyFont="1" applyBorder="1" applyAlignment="1">
      <alignment horizontal="center" vertical="center" wrapText="1"/>
    </xf>
    <xf numFmtId="2" fontId="35" fillId="0" borderId="39" xfId="4" applyNumberFormat="1" applyFont="1" applyBorder="1" applyAlignment="1">
      <alignment horizontal="center" vertical="center"/>
    </xf>
    <xf numFmtId="183" fontId="37" fillId="0" borderId="40" xfId="4" applyNumberFormat="1" applyFont="1" applyBorder="1" applyAlignment="1">
      <alignment horizontal="center" vertical="center"/>
    </xf>
    <xf numFmtId="0" fontId="37" fillId="0" borderId="40" xfId="4" applyFont="1" applyBorder="1" applyAlignment="1">
      <alignment horizontal="center" vertical="center"/>
    </xf>
    <xf numFmtId="0" fontId="36" fillId="0" borderId="39" xfId="4" applyFont="1" applyBorder="1" applyAlignment="1">
      <alignment horizontal="center" vertical="center"/>
    </xf>
    <xf numFmtId="0" fontId="39" fillId="3" borderId="39" xfId="4" applyFont="1" applyFill="1" applyBorder="1" applyAlignment="1">
      <alignment horizontal="center" vertical="center"/>
    </xf>
    <xf numFmtId="0" fontId="41" fillId="3" borderId="39" xfId="4" applyFont="1" applyFill="1" applyBorder="1" applyAlignment="1">
      <alignment horizontal="center" vertical="center" wrapText="1"/>
    </xf>
    <xf numFmtId="0" fontId="36" fillId="0" borderId="47" xfId="4" applyFont="1" applyBorder="1" applyAlignment="1">
      <alignment horizontal="center"/>
    </xf>
    <xf numFmtId="0" fontId="36" fillId="0" borderId="48" xfId="4" applyFont="1" applyBorder="1" applyAlignment="1">
      <alignment horizontal="center"/>
    </xf>
    <xf numFmtId="0" fontId="36" fillId="0" borderId="44" xfId="160" applyFont="1" applyBorder="1" applyAlignment="1"/>
    <xf numFmtId="0" fontId="36" fillId="0" borderId="47" xfId="160" applyFont="1" applyBorder="1" applyAlignment="1"/>
    <xf numFmtId="178" fontId="36" fillId="0" borderId="47" xfId="160" applyNumberFormat="1" applyFont="1" applyBorder="1" applyAlignment="1">
      <alignment horizontal="right"/>
    </xf>
    <xf numFmtId="1" fontId="36" fillId="0" borderId="39" xfId="4" applyNumberFormat="1" applyFont="1" applyBorder="1" applyAlignment="1">
      <alignment horizontal="center" vertical="center"/>
    </xf>
    <xf numFmtId="43" fontId="36" fillId="0" borderId="39" xfId="286" applyFont="1" applyBorder="1" applyAlignment="1">
      <alignment horizontal="center" vertical="center"/>
    </xf>
    <xf numFmtId="0" fontId="36" fillId="0" borderId="39" xfId="4" applyFont="1" applyBorder="1" applyAlignment="1">
      <alignment horizontal="center" vertical="center" wrapText="1"/>
    </xf>
    <xf numFmtId="1" fontId="36" fillId="4" borderId="39" xfId="4" applyNumberFormat="1" applyFont="1" applyFill="1" applyBorder="1" applyAlignment="1">
      <alignment horizontal="center" vertical="center"/>
    </xf>
    <xf numFmtId="178" fontId="36" fillId="0" borderId="39" xfId="4" applyNumberFormat="1" applyFont="1" applyBorder="1" applyAlignment="1">
      <alignment horizontal="center" vertical="center"/>
    </xf>
    <xf numFmtId="0" fontId="36" fillId="4" borderId="39" xfId="4" applyFont="1" applyFill="1" applyBorder="1" applyAlignment="1">
      <alignment horizontal="center" vertical="center"/>
    </xf>
    <xf numFmtId="183" fontId="36" fillId="0" borderId="39" xfId="4" applyNumberFormat="1" applyFont="1" applyBorder="1" applyAlignment="1">
      <alignment horizontal="center" vertical="center"/>
    </xf>
    <xf numFmtId="184" fontId="36" fillId="0" borderId="39" xfId="4" applyNumberFormat="1" applyFont="1" applyBorder="1" applyAlignment="1">
      <alignment horizontal="center" vertical="center"/>
    </xf>
    <xf numFmtId="180" fontId="36" fillId="0" borderId="39" xfId="341" applyNumberFormat="1" applyFont="1" applyBorder="1" applyAlignment="1">
      <alignment horizontal="center" vertical="center"/>
    </xf>
    <xf numFmtId="180" fontId="36" fillId="0" borderId="39" xfId="341" applyNumberFormat="1" applyFont="1" applyBorder="1" applyAlignment="1">
      <alignment horizontal="center" vertical="center"/>
    </xf>
    <xf numFmtId="185" fontId="36" fillId="0" borderId="39" xfId="4" applyNumberFormat="1" applyFont="1" applyBorder="1" applyAlignment="1">
      <alignment horizontal="center" vertical="center"/>
    </xf>
    <xf numFmtId="183" fontId="36" fillId="0" borderId="31" xfId="4" applyNumberFormat="1" applyFont="1" applyBorder="1" applyAlignment="1">
      <alignment horizontal="center" vertical="center"/>
    </xf>
    <xf numFmtId="0" fontId="36" fillId="0" borderId="31" xfId="4" applyFont="1" applyBorder="1" applyAlignment="1">
      <alignment horizontal="center" vertical="center"/>
    </xf>
    <xf numFmtId="20" fontId="36" fillId="0" borderId="39" xfId="4" applyNumberFormat="1" applyFont="1" applyBorder="1" applyAlignment="1">
      <alignment horizontal="center" vertical="center"/>
    </xf>
    <xf numFmtId="183" fontId="36" fillId="0" borderId="2" xfId="4" applyNumberFormat="1" applyFont="1" applyBorder="1" applyAlignment="1">
      <alignment horizontal="center" vertical="center"/>
    </xf>
    <xf numFmtId="0" fontId="36" fillId="0" borderId="2" xfId="4" applyFont="1" applyBorder="1" applyAlignment="1">
      <alignment horizontal="center" vertical="center"/>
    </xf>
    <xf numFmtId="0" fontId="36" fillId="0" borderId="3" xfId="4" applyFont="1" applyBorder="1" applyAlignment="1">
      <alignment horizontal="center" vertical="center"/>
    </xf>
    <xf numFmtId="0" fontId="36" fillId="14" borderId="1" xfId="160" applyFont="1" applyFill="1" applyBorder="1" applyAlignment="1"/>
    <xf numFmtId="1" fontId="36" fillId="0" borderId="2" xfId="4" applyNumberFormat="1" applyFont="1" applyBorder="1" applyAlignment="1">
      <alignment horizontal="center" vertical="center"/>
    </xf>
    <xf numFmtId="0" fontId="36" fillId="0" borderId="49" xfId="4" applyFont="1" applyBorder="1" applyAlignment="1">
      <alignment horizontal="center" vertical="center"/>
    </xf>
    <xf numFmtId="0" fontId="36" fillId="0" borderId="50" xfId="160" applyFont="1" applyBorder="1" applyAlignment="1"/>
    <xf numFmtId="0" fontId="36" fillId="0" borderId="51" xfId="160" applyFont="1" applyBorder="1" applyAlignment="1"/>
    <xf numFmtId="1" fontId="36" fillId="0" borderId="40" xfId="4" applyNumberFormat="1" applyFont="1" applyBorder="1" applyAlignment="1">
      <alignment horizontal="center" vertical="center"/>
    </xf>
    <xf numFmtId="0" fontId="36" fillId="0" borderId="40" xfId="4" applyFont="1" applyBorder="1" applyAlignment="1">
      <alignment horizontal="center" vertical="center"/>
    </xf>
    <xf numFmtId="0" fontId="36" fillId="4" borderId="40" xfId="4" applyFont="1" applyFill="1" applyBorder="1" applyAlignment="1">
      <alignment horizontal="center" vertical="center"/>
    </xf>
    <xf numFmtId="185" fontId="36" fillId="0" borderId="40" xfId="4" applyNumberFormat="1" applyFont="1" applyBorder="1" applyAlignment="1">
      <alignment horizontal="center" vertical="center"/>
    </xf>
    <xf numFmtId="20" fontId="36" fillId="0" borderId="40" xfId="4" applyNumberFormat="1" applyFont="1" applyBorder="1" applyAlignment="1">
      <alignment horizontal="center" vertical="center"/>
    </xf>
    <xf numFmtId="183" fontId="36" fillId="0" borderId="40" xfId="4" applyNumberFormat="1" applyFont="1" applyBorder="1" applyAlignment="1">
      <alignment horizontal="center" vertical="center"/>
    </xf>
    <xf numFmtId="180" fontId="36" fillId="0" borderId="40" xfId="341" applyNumberFormat="1" applyFont="1" applyBorder="1" applyAlignment="1">
      <alignment horizontal="center" vertical="center"/>
    </xf>
    <xf numFmtId="0" fontId="36" fillId="0" borderId="0" xfId="4" applyFont="1" applyAlignment="1">
      <alignment horizontal="center"/>
    </xf>
    <xf numFmtId="0" fontId="36" fillId="0" borderId="51" xfId="4" applyFont="1" applyBorder="1" applyAlignment="1">
      <alignment horizontal="center" vertical="center"/>
    </xf>
    <xf numFmtId="1" fontId="36" fillId="0" borderId="47" xfId="4" applyNumberFormat="1" applyFont="1" applyBorder="1" applyAlignment="1">
      <alignment horizontal="center" vertical="center"/>
    </xf>
    <xf numFmtId="0" fontId="36" fillId="0" borderId="51" xfId="4" applyFont="1" applyBorder="1" applyAlignment="1">
      <alignment horizontal="center"/>
    </xf>
    <xf numFmtId="178" fontId="36" fillId="15" borderId="40" xfId="4" applyNumberFormat="1" applyFont="1" applyFill="1" applyBorder="1" applyAlignment="1">
      <alignment horizontal="right"/>
    </xf>
    <xf numFmtId="1" fontId="36" fillId="15" borderId="40" xfId="4" applyNumberFormat="1" applyFont="1" applyFill="1" applyBorder="1" applyAlignment="1">
      <alignment horizontal="center" vertical="center"/>
    </xf>
    <xf numFmtId="43" fontId="36" fillId="15" borderId="40" xfId="286" applyFont="1" applyFill="1" applyBorder="1" applyAlignment="1">
      <alignment horizontal="center" vertical="center"/>
    </xf>
    <xf numFmtId="0" fontId="36" fillId="15" borderId="40" xfId="4" applyFont="1" applyFill="1" applyBorder="1" applyAlignment="1">
      <alignment horizontal="center" vertical="center"/>
    </xf>
    <xf numFmtId="178" fontId="36" fillId="15" borderId="40" xfId="4" applyNumberFormat="1" applyFont="1" applyFill="1" applyBorder="1" applyAlignment="1">
      <alignment horizontal="center" vertical="center"/>
    </xf>
    <xf numFmtId="184" fontId="36" fillId="0" borderId="40" xfId="4" applyNumberFormat="1" applyFont="1" applyBorder="1" applyAlignment="1">
      <alignment horizontal="center" vertical="center"/>
    </xf>
    <xf numFmtId="180" fontId="36" fillId="0" borderId="40" xfId="341" applyNumberFormat="1" applyFont="1" applyFill="1" applyBorder="1" applyAlignment="1">
      <alignment horizontal="center" vertical="center"/>
    </xf>
    <xf numFmtId="0" fontId="36" fillId="0" borderId="40" xfId="4" applyFont="1" applyBorder="1" applyAlignment="1">
      <alignment horizontal="center" vertical="center" wrapText="1"/>
    </xf>
    <xf numFmtId="178" fontId="36" fillId="0" borderId="40" xfId="4" applyNumberFormat="1" applyFont="1" applyBorder="1" applyAlignment="1">
      <alignment horizontal="center" vertical="center"/>
    </xf>
    <xf numFmtId="183" fontId="36" fillId="3" borderId="36" xfId="4" applyNumberFormat="1" applyFont="1" applyFill="1" applyBorder="1" applyAlignment="1">
      <alignment horizontal="center" vertical="center"/>
    </xf>
    <xf numFmtId="0" fontId="36" fillId="3" borderId="36" xfId="4" applyFont="1" applyFill="1" applyBorder="1" applyAlignment="1">
      <alignment horizontal="center" vertical="center"/>
    </xf>
    <xf numFmtId="0" fontId="36" fillId="0" borderId="37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3" xfId="160" applyFont="1" applyBorder="1" applyAlignment="1"/>
    <xf numFmtId="0" fontId="36" fillId="0" borderId="1" xfId="160" applyFont="1" applyBorder="1" applyAlignment="1"/>
    <xf numFmtId="178" fontId="36" fillId="0" borderId="52" xfId="160" applyNumberFormat="1" applyFont="1" applyBorder="1" applyAlignment="1">
      <alignment horizontal="right"/>
    </xf>
    <xf numFmtId="43" fontId="36" fillId="0" borderId="2" xfId="286" applyFont="1" applyBorder="1" applyAlignment="1">
      <alignment horizontal="center" vertical="center"/>
    </xf>
    <xf numFmtId="1" fontId="36" fillId="4" borderId="53" xfId="4" applyNumberFormat="1" applyFont="1" applyFill="1" applyBorder="1" applyAlignment="1">
      <alignment horizontal="center" vertical="center"/>
    </xf>
    <xf numFmtId="178" fontId="36" fillId="0" borderId="2" xfId="4" applyNumberFormat="1" applyFont="1" applyBorder="1" applyAlignment="1">
      <alignment horizontal="center" vertical="center"/>
    </xf>
    <xf numFmtId="1" fontId="36" fillId="4" borderId="2" xfId="4" applyNumberFormat="1" applyFont="1" applyFill="1" applyBorder="1" applyAlignment="1">
      <alignment horizontal="center" vertical="center"/>
    </xf>
    <xf numFmtId="184" fontId="36" fillId="0" borderId="2" xfId="4" applyNumberFormat="1" applyFont="1" applyBorder="1" applyAlignment="1">
      <alignment horizontal="center" vertical="center"/>
    </xf>
    <xf numFmtId="180" fontId="36" fillId="0" borderId="2" xfId="341" applyNumberFormat="1" applyFont="1" applyBorder="1" applyAlignment="1">
      <alignment horizontal="center" vertical="center"/>
    </xf>
    <xf numFmtId="180" fontId="36" fillId="0" borderId="2" xfId="341" applyNumberFormat="1" applyFont="1" applyBorder="1" applyAlignment="1">
      <alignment horizontal="center" vertical="center"/>
    </xf>
    <xf numFmtId="185" fontId="36" fillId="0" borderId="2" xfId="4" applyNumberFormat="1" applyFont="1" applyBorder="1" applyAlignment="1">
      <alignment horizontal="center" vertical="center"/>
    </xf>
    <xf numFmtId="0" fontId="36" fillId="0" borderId="2" xfId="4" applyFont="1" applyBorder="1" applyAlignment="1">
      <alignment horizontal="center" vertical="center" wrapText="1"/>
    </xf>
    <xf numFmtId="183" fontId="36" fillId="0" borderId="53" xfId="4" applyNumberFormat="1" applyFont="1" applyBorder="1" applyAlignment="1">
      <alignment horizontal="center" vertical="center"/>
    </xf>
    <xf numFmtId="180" fontId="36" fillId="0" borderId="53" xfId="341" applyNumberFormat="1" applyFont="1" applyBorder="1" applyAlignment="1">
      <alignment horizontal="center" vertical="center"/>
    </xf>
    <xf numFmtId="0" fontId="36" fillId="0" borderId="47" xfId="4" applyFont="1" applyBorder="1" applyAlignment="1">
      <alignment horizontal="center" vertical="center"/>
    </xf>
    <xf numFmtId="0" fontId="36" fillId="0" borderId="44" xfId="4" applyFont="1" applyBorder="1" applyAlignment="1">
      <alignment horizontal="center" vertical="center"/>
    </xf>
    <xf numFmtId="1" fontId="36" fillId="4" borderId="55" xfId="4" applyNumberFormat="1" applyFont="1" applyFill="1" applyBorder="1" applyAlignment="1">
      <alignment horizontal="center" vertical="center"/>
    </xf>
    <xf numFmtId="1" fontId="36" fillId="0" borderId="31" xfId="4" applyNumberFormat="1" applyFont="1" applyBorder="1" applyAlignment="1">
      <alignment horizontal="center" vertical="center"/>
    </xf>
    <xf numFmtId="178" fontId="36" fillId="0" borderId="31" xfId="4" applyNumberFormat="1" applyFont="1" applyBorder="1" applyAlignment="1">
      <alignment horizontal="center" vertical="center"/>
    </xf>
    <xf numFmtId="20" fontId="36" fillId="0" borderId="2" xfId="4" applyNumberFormat="1" applyFont="1" applyBorder="1" applyAlignment="1">
      <alignment horizontal="center" vertical="center"/>
    </xf>
    <xf numFmtId="0" fontId="36" fillId="0" borderId="44" xfId="4" applyFont="1" applyBorder="1" applyAlignment="1">
      <alignment horizontal="center"/>
    </xf>
    <xf numFmtId="0" fontId="36" fillId="14" borderId="44" xfId="160" applyFont="1" applyFill="1" applyBorder="1" applyAlignment="1"/>
    <xf numFmtId="178" fontId="36" fillId="0" borderId="1" xfId="160" applyNumberFormat="1" applyFont="1" applyBorder="1" applyAlignment="1">
      <alignment horizontal="right"/>
    </xf>
    <xf numFmtId="0" fontId="36" fillId="0" borderId="1" xfId="4" applyFont="1" applyBorder="1" applyAlignment="1">
      <alignment horizontal="center"/>
    </xf>
    <xf numFmtId="0" fontId="18" fillId="0" borderId="2" xfId="1" applyFont="1" applyBorder="1" applyAlignment="1">
      <alignment horizontal="center" vertical="center"/>
    </xf>
    <xf numFmtId="178" fontId="36" fillId="15" borderId="2" xfId="4" applyNumberFormat="1" applyFont="1" applyFill="1" applyBorder="1" applyAlignment="1">
      <alignment horizontal="right"/>
    </xf>
    <xf numFmtId="1" fontId="36" fillId="15" borderId="2" xfId="4" applyNumberFormat="1" applyFont="1" applyFill="1" applyBorder="1" applyAlignment="1">
      <alignment horizontal="center" vertical="center"/>
    </xf>
    <xf numFmtId="43" fontId="36" fillId="15" borderId="2" xfId="286" applyFont="1" applyFill="1" applyBorder="1" applyAlignment="1">
      <alignment horizontal="center" vertical="center"/>
    </xf>
    <xf numFmtId="0" fontId="36" fillId="15" borderId="2" xfId="4" applyFont="1" applyFill="1" applyBorder="1" applyAlignment="1">
      <alignment horizontal="center" vertical="center"/>
    </xf>
    <xf numFmtId="178" fontId="36" fillId="15" borderId="2" xfId="4" applyNumberFormat="1" applyFont="1" applyFill="1" applyBorder="1" applyAlignment="1">
      <alignment horizontal="center" vertical="center"/>
    </xf>
    <xf numFmtId="180" fontId="36" fillId="0" borderId="2" xfId="341" applyNumberFormat="1" applyFont="1" applyFill="1" applyBorder="1" applyAlignment="1">
      <alignment horizontal="center" vertical="center"/>
    </xf>
    <xf numFmtId="183" fontId="36" fillId="3" borderId="2" xfId="4" applyNumberFormat="1" applyFont="1" applyFill="1" applyBorder="1" applyAlignment="1">
      <alignment horizontal="center" vertical="center"/>
    </xf>
    <xf numFmtId="0" fontId="36" fillId="3" borderId="2" xfId="4" applyFont="1" applyFill="1" applyBorder="1" applyAlignment="1">
      <alignment horizontal="center" vertical="center"/>
    </xf>
    <xf numFmtId="183" fontId="36" fillId="0" borderId="55" xfId="4" applyNumberFormat="1" applyFont="1" applyBorder="1" applyAlignment="1">
      <alignment horizontal="center" vertical="center"/>
    </xf>
    <xf numFmtId="180" fontId="36" fillId="0" borderId="55" xfId="341" applyNumberFormat="1" applyFont="1" applyBorder="1" applyAlignment="1">
      <alignment horizontal="center" vertical="center"/>
    </xf>
    <xf numFmtId="0" fontId="36" fillId="0" borderId="31" xfId="4" applyFont="1" applyBorder="1" applyAlignment="1">
      <alignment horizontal="center"/>
    </xf>
    <xf numFmtId="0" fontId="36" fillId="14" borderId="60" xfId="160" applyFont="1" applyFill="1" applyBorder="1" applyAlignment="1"/>
    <xf numFmtId="0" fontId="36" fillId="0" borderId="61" xfId="160" applyFont="1" applyBorder="1" applyAlignment="1"/>
    <xf numFmtId="178" fontId="36" fillId="0" borderId="60" xfId="160" applyNumberFormat="1" applyFont="1" applyBorder="1" applyAlignment="1">
      <alignment horizontal="right"/>
    </xf>
    <xf numFmtId="43" fontId="36" fillId="0" borderId="31" xfId="286" applyFont="1" applyBorder="1" applyAlignment="1">
      <alignment horizontal="center" vertical="center"/>
    </xf>
    <xf numFmtId="1" fontId="36" fillId="4" borderId="31" xfId="4" applyNumberFormat="1" applyFont="1" applyFill="1" applyBorder="1" applyAlignment="1">
      <alignment horizontal="center" vertical="center"/>
    </xf>
    <xf numFmtId="1" fontId="36" fillId="0" borderId="46" xfId="4" applyNumberFormat="1" applyFont="1" applyBorder="1" applyAlignment="1">
      <alignment horizontal="center" vertical="center"/>
    </xf>
    <xf numFmtId="178" fontId="36" fillId="0" borderId="46" xfId="4" applyNumberFormat="1" applyFont="1" applyBorder="1" applyAlignment="1">
      <alignment horizontal="center" vertical="center"/>
    </xf>
    <xf numFmtId="183" fontId="36" fillId="0" borderId="46" xfId="4" applyNumberFormat="1" applyFont="1" applyBorder="1" applyAlignment="1">
      <alignment horizontal="center" vertical="center"/>
    </xf>
    <xf numFmtId="184" fontId="36" fillId="0" borderId="46" xfId="4" applyNumberFormat="1" applyFont="1" applyBorder="1" applyAlignment="1">
      <alignment horizontal="center" vertical="center"/>
    </xf>
    <xf numFmtId="180" fontId="36" fillId="0" borderId="46" xfId="341" applyNumberFormat="1" applyFont="1" applyBorder="1" applyAlignment="1">
      <alignment horizontal="center" vertical="center"/>
    </xf>
    <xf numFmtId="185" fontId="36" fillId="0" borderId="31" xfId="4" applyNumberFormat="1" applyFont="1" applyBorder="1" applyAlignment="1">
      <alignment horizontal="center" vertical="center"/>
    </xf>
    <xf numFmtId="0" fontId="36" fillId="0" borderId="31" xfId="4" applyFont="1" applyBorder="1" applyAlignment="1">
      <alignment horizontal="center" vertical="center" wrapText="1"/>
    </xf>
    <xf numFmtId="180" fontId="36" fillId="0" borderId="59" xfId="341" applyNumberFormat="1" applyFont="1" applyBorder="1" applyAlignment="1">
      <alignment horizontal="center" vertical="center"/>
    </xf>
    <xf numFmtId="180" fontId="36" fillId="0" borderId="46" xfId="341" applyNumberFormat="1" applyFont="1" applyBorder="1" applyAlignment="1">
      <alignment horizontal="center" vertical="center"/>
    </xf>
    <xf numFmtId="0" fontId="36" fillId="0" borderId="2" xfId="4" applyFont="1" applyBorder="1" applyAlignment="1">
      <alignment horizontal="center"/>
    </xf>
    <xf numFmtId="0" fontId="36" fillId="0" borderId="49" xfId="4" applyFont="1" applyBorder="1" applyAlignment="1">
      <alignment horizontal="center"/>
    </xf>
    <xf numFmtId="20" fontId="36" fillId="0" borderId="2" xfId="160" applyNumberFormat="1" applyFont="1" applyBorder="1" applyAlignment="1">
      <alignment horizontal="center" vertical="center"/>
    </xf>
    <xf numFmtId="183" fontId="36" fillId="0" borderId="2" xfId="160" applyNumberFormat="1" applyFont="1" applyBorder="1" applyAlignment="1">
      <alignment horizontal="center" vertical="center"/>
    </xf>
    <xf numFmtId="180" fontId="36" fillId="0" borderId="44" xfId="341" applyNumberFormat="1" applyFont="1" applyBorder="1" applyAlignment="1">
      <alignment horizontal="center" vertical="center"/>
    </xf>
    <xf numFmtId="0" fontId="36" fillId="0" borderId="48" xfId="4" applyFont="1" applyBorder="1" applyAlignment="1">
      <alignment horizontal="center" vertical="center"/>
    </xf>
    <xf numFmtId="1" fontId="36" fillId="14" borderId="39" xfId="4" applyNumberFormat="1" applyFont="1" applyFill="1" applyBorder="1" applyAlignment="1">
      <alignment horizontal="center" vertical="center"/>
    </xf>
    <xf numFmtId="0" fontId="36" fillId="4" borderId="2" xfId="4" applyFont="1" applyFill="1" applyBorder="1" applyAlignment="1">
      <alignment horizontal="center" vertical="center"/>
    </xf>
    <xf numFmtId="0" fontId="36" fillId="0" borderId="37" xfId="4" applyFont="1" applyBorder="1" applyAlignment="1">
      <alignment horizontal="center" vertical="center"/>
    </xf>
    <xf numFmtId="180" fontId="36" fillId="0" borderId="50" xfId="341" applyNumberFormat="1" applyFont="1" applyBorder="1" applyAlignment="1">
      <alignment horizontal="center" vertical="center"/>
    </xf>
    <xf numFmtId="0" fontId="36" fillId="0" borderId="46" xfId="4" applyFont="1" applyBorder="1" applyAlignment="1">
      <alignment horizontal="center"/>
    </xf>
    <xf numFmtId="1" fontId="36" fillId="4" borderId="7" xfId="197" applyNumberFormat="1" applyFont="1" applyFill="1" applyBorder="1" applyAlignment="1">
      <alignment horizontal="center" vertical="center"/>
    </xf>
    <xf numFmtId="1" fontId="36" fillId="0" borderId="7" xfId="197" applyNumberFormat="1" applyFont="1" applyBorder="1" applyAlignment="1">
      <alignment horizontal="center" vertical="center"/>
    </xf>
    <xf numFmtId="178" fontId="36" fillId="0" borderId="7" xfId="4" applyNumberFormat="1" applyFont="1" applyBorder="1" applyAlignment="1">
      <alignment horizontal="center" vertical="center"/>
    </xf>
    <xf numFmtId="178" fontId="36" fillId="0" borderId="2" xfId="160" applyNumberFormat="1" applyFont="1" applyBorder="1" applyAlignment="1">
      <alignment horizontal="right"/>
    </xf>
    <xf numFmtId="183" fontId="36" fillId="3" borderId="2" xfId="160" applyNumberFormat="1" applyFont="1" applyFill="1" applyBorder="1" applyAlignment="1">
      <alignment horizontal="center" vertical="center"/>
    </xf>
    <xf numFmtId="0" fontId="5" fillId="0" borderId="10" xfId="136" applyFont="1" applyBorder="1" applyAlignment="1">
      <alignment horizontal="center"/>
    </xf>
    <xf numFmtId="178" fontId="36" fillId="0" borderId="48" xfId="160" applyNumberFormat="1" applyFont="1" applyBorder="1" applyAlignment="1">
      <alignment horizontal="right"/>
    </xf>
    <xf numFmtId="1" fontId="5" fillId="0" borderId="2" xfId="136" applyNumberFormat="1" applyFont="1" applyBorder="1" applyAlignment="1">
      <alignment horizontal="center" vertical="center"/>
    </xf>
    <xf numFmtId="0" fontId="5" fillId="0" borderId="31" xfId="136" applyFont="1" applyBorder="1" applyAlignment="1">
      <alignment horizontal="center" vertical="center"/>
    </xf>
    <xf numFmtId="1" fontId="5" fillId="4" borderId="31" xfId="136" applyNumberFormat="1" applyFont="1" applyFill="1" applyBorder="1" applyAlignment="1">
      <alignment horizontal="center" vertical="center"/>
    </xf>
    <xf numFmtId="1" fontId="5" fillId="0" borderId="31" xfId="136" applyNumberFormat="1" applyFont="1" applyBorder="1" applyAlignment="1">
      <alignment horizontal="center" vertical="center"/>
    </xf>
    <xf numFmtId="178" fontId="5" fillId="0" borderId="31" xfId="136" applyNumberFormat="1" applyFont="1" applyBorder="1" applyAlignment="1">
      <alignment horizontal="center" vertical="center"/>
    </xf>
    <xf numFmtId="184" fontId="36" fillId="0" borderId="31" xfId="4" applyNumberFormat="1" applyFont="1" applyBorder="1" applyAlignment="1">
      <alignment horizontal="center" vertical="center"/>
    </xf>
    <xf numFmtId="180" fontId="36" fillId="0" borderId="61" xfId="341" applyNumberFormat="1" applyFont="1" applyBorder="1" applyAlignment="1">
      <alignment horizontal="center" vertical="center"/>
    </xf>
    <xf numFmtId="185" fontId="5" fillId="0" borderId="31" xfId="136" applyNumberFormat="1" applyFont="1" applyBorder="1" applyAlignment="1">
      <alignment horizontal="center" vertical="center"/>
    </xf>
    <xf numFmtId="0" fontId="36" fillId="14" borderId="39" xfId="4" applyFont="1" applyFill="1" applyBorder="1" applyAlignment="1">
      <alignment horizontal="center" vertical="center"/>
    </xf>
    <xf numFmtId="0" fontId="5" fillId="0" borderId="2" xfId="4" applyFont="1" applyBorder="1" applyAlignment="1">
      <alignment horizontal="center" vertical="center" wrapText="1"/>
    </xf>
    <xf numFmtId="183" fontId="5" fillId="0" borderId="37" xfId="136" applyNumberFormat="1" applyFont="1" applyBorder="1" applyAlignment="1">
      <alignment horizontal="center" vertical="center"/>
    </xf>
    <xf numFmtId="180" fontId="5" fillId="0" borderId="2" xfId="5" applyNumberFormat="1" applyFont="1" applyBorder="1" applyAlignment="1">
      <alignment horizontal="center" vertical="center"/>
    </xf>
    <xf numFmtId="180" fontId="5" fillId="0" borderId="2" xfId="5" applyNumberFormat="1" applyFont="1" applyBorder="1" applyAlignment="1">
      <alignment horizontal="center" vertical="center"/>
    </xf>
    <xf numFmtId="0" fontId="5" fillId="0" borderId="0" xfId="136" applyFont="1">
      <alignment vertical="center"/>
    </xf>
    <xf numFmtId="0" fontId="5" fillId="0" borderId="2" xfId="136" applyFont="1" applyBorder="1" applyAlignment="1">
      <alignment horizontal="center" vertical="center"/>
    </xf>
    <xf numFmtId="0" fontId="5" fillId="14" borderId="3" xfId="136" applyFont="1" applyFill="1" applyBorder="1" applyAlignment="1">
      <alignment horizontal="left"/>
    </xf>
    <xf numFmtId="0" fontId="5" fillId="0" borderId="1" xfId="136" applyFont="1" applyBorder="1" applyAlignment="1">
      <alignment horizontal="left"/>
    </xf>
    <xf numFmtId="1" fontId="5" fillId="4" borderId="2" xfId="136" applyNumberFormat="1" applyFont="1" applyFill="1" applyBorder="1" applyAlignment="1">
      <alignment horizontal="center" vertical="center"/>
    </xf>
    <xf numFmtId="0" fontId="5" fillId="0" borderId="3" xfId="136" applyFont="1" applyBorder="1" applyAlignment="1">
      <alignment horizontal="left"/>
    </xf>
    <xf numFmtId="185" fontId="5" fillId="0" borderId="2" xfId="136" applyNumberFormat="1" applyFont="1" applyBorder="1" applyAlignment="1">
      <alignment horizontal="center" vertical="center"/>
    </xf>
    <xf numFmtId="20" fontId="5" fillId="0" borderId="2" xfId="41" applyNumberFormat="1" applyFont="1" applyBorder="1" applyAlignment="1">
      <alignment horizontal="center" vertical="center"/>
    </xf>
    <xf numFmtId="183" fontId="5" fillId="0" borderId="2" xfId="41" applyNumberFormat="1" applyFont="1" applyBorder="1" applyAlignment="1">
      <alignment horizontal="center" vertical="center"/>
    </xf>
    <xf numFmtId="43" fontId="5" fillId="0" borderId="2" xfId="286" applyFont="1" applyBorder="1" applyAlignment="1">
      <alignment horizontal="center" vertical="center"/>
    </xf>
    <xf numFmtId="178" fontId="5" fillId="0" borderId="2" xfId="136" applyNumberFormat="1" applyFont="1" applyBorder="1" applyAlignment="1">
      <alignment horizontal="center" vertical="center"/>
    </xf>
    <xf numFmtId="0" fontId="5" fillId="0" borderId="50" xfId="136" applyFont="1" applyBorder="1" applyAlignment="1">
      <alignment horizontal="center"/>
    </xf>
    <xf numFmtId="178" fontId="5" fillId="0" borderId="2" xfId="136" applyNumberFormat="1" applyFont="1" applyBorder="1" applyAlignment="1">
      <alignment horizontal="right"/>
    </xf>
    <xf numFmtId="0" fontId="36" fillId="0" borderId="50" xfId="4" applyFont="1" applyBorder="1" applyAlignment="1">
      <alignment horizontal="center"/>
    </xf>
    <xf numFmtId="183" fontId="36" fillId="0" borderId="61" xfId="4" applyNumberFormat="1" applyFont="1" applyBorder="1" applyAlignment="1">
      <alignment horizontal="center" vertical="center"/>
    </xf>
    <xf numFmtId="180" fontId="36" fillId="0" borderId="46" xfId="341" applyNumberFormat="1" applyFont="1" applyFill="1" applyBorder="1" applyAlignment="1">
      <alignment horizontal="center" vertical="center"/>
    </xf>
    <xf numFmtId="185" fontId="36" fillId="0" borderId="46" xfId="4" applyNumberFormat="1" applyFont="1" applyBorder="1" applyAlignment="1">
      <alignment horizontal="center" vertical="center"/>
    </xf>
    <xf numFmtId="0" fontId="36" fillId="0" borderId="46" xfId="4" applyFont="1" applyBorder="1" applyAlignment="1">
      <alignment horizontal="center" vertical="center"/>
    </xf>
    <xf numFmtId="20" fontId="36" fillId="0" borderId="46" xfId="4" applyNumberFormat="1" applyFont="1" applyBorder="1" applyAlignment="1">
      <alignment horizontal="center" vertical="center"/>
    </xf>
    <xf numFmtId="183" fontId="36" fillId="0" borderId="44" xfId="4" applyNumberFormat="1" applyFont="1" applyBorder="1" applyAlignment="1">
      <alignment horizontal="center" vertical="center"/>
    </xf>
    <xf numFmtId="0" fontId="36" fillId="0" borderId="59" xfId="4" applyFont="1" applyBorder="1" applyAlignment="1">
      <alignment horizontal="center"/>
    </xf>
    <xf numFmtId="0" fontId="36" fillId="0" borderId="59" xfId="160" applyFont="1" applyBorder="1" applyAlignment="1"/>
    <xf numFmtId="183" fontId="36" fillId="0" borderId="47" xfId="4" applyNumberFormat="1" applyFont="1" applyBorder="1" applyAlignment="1">
      <alignment horizontal="center" vertical="center"/>
    </xf>
    <xf numFmtId="185" fontId="5" fillId="14" borderId="31" xfId="136" applyNumberFormat="1" applyFont="1" applyFill="1" applyBorder="1" applyAlignment="1">
      <alignment horizontal="center" vertical="center"/>
    </xf>
    <xf numFmtId="0" fontId="36" fillId="0" borderId="44" xfId="4" applyFont="1" applyBorder="1" applyAlignment="1">
      <alignment horizontal="center" vertical="center"/>
    </xf>
    <xf numFmtId="0" fontId="36" fillId="0" borderId="47" xfId="4" applyFont="1" applyBorder="1" applyAlignment="1">
      <alignment horizontal="center" vertical="center"/>
    </xf>
    <xf numFmtId="1" fontId="36" fillId="4" borderId="40" xfId="4" applyNumberFormat="1" applyFont="1" applyFill="1" applyBorder="1" applyAlignment="1">
      <alignment horizontal="center" vertical="center"/>
    </xf>
    <xf numFmtId="0" fontId="36" fillId="0" borderId="39" xfId="4" applyFont="1" applyBorder="1" applyAlignment="1">
      <alignment horizontal="center"/>
    </xf>
    <xf numFmtId="178" fontId="36" fillId="15" borderId="39" xfId="4" applyNumberFormat="1" applyFont="1" applyFill="1" applyBorder="1" applyAlignment="1">
      <alignment horizontal="right"/>
    </xf>
    <xf numFmtId="1" fontId="36" fillId="15" borderId="46" xfId="4" applyNumberFormat="1" applyFont="1" applyFill="1" applyBorder="1" applyAlignment="1">
      <alignment horizontal="center" vertical="center"/>
    </xf>
    <xf numFmtId="43" fontId="36" fillId="15" borderId="39" xfId="286" applyFont="1" applyFill="1" applyBorder="1" applyAlignment="1">
      <alignment horizontal="center" vertical="center"/>
    </xf>
    <xf numFmtId="178" fontId="36" fillId="15" borderId="39" xfId="4" applyNumberFormat="1" applyFont="1" applyFill="1" applyBorder="1" applyAlignment="1">
      <alignment horizontal="center" vertical="center"/>
    </xf>
    <xf numFmtId="180" fontId="36" fillId="0" borderId="39" xfId="341" applyNumberFormat="1" applyFont="1" applyFill="1" applyBorder="1" applyAlignment="1">
      <alignment horizontal="center" vertical="center"/>
    </xf>
    <xf numFmtId="0" fontId="36" fillId="0" borderId="48" xfId="160" applyFont="1" applyBorder="1" applyAlignment="1"/>
    <xf numFmtId="1" fontId="36" fillId="0" borderId="55" xfId="4" applyNumberFormat="1" applyFont="1" applyBorder="1" applyAlignment="1">
      <alignment horizontal="center" vertical="center"/>
    </xf>
    <xf numFmtId="0" fontId="36" fillId="0" borderId="62" xfId="4" applyFont="1" applyBorder="1" applyAlignment="1">
      <alignment horizontal="center"/>
    </xf>
    <xf numFmtId="0" fontId="36" fillId="0" borderId="62" xfId="160" applyFont="1" applyBorder="1" applyAlignment="1"/>
    <xf numFmtId="0" fontId="36" fillId="0" borderId="63" xfId="160" applyFont="1" applyBorder="1" applyAlignment="1"/>
    <xf numFmtId="1" fontId="36" fillId="4" borderId="2" xfId="197" applyNumberFormat="1" applyFont="1" applyFill="1" applyBorder="1" applyAlignment="1">
      <alignment horizontal="center" vertical="center"/>
    </xf>
    <xf numFmtId="1" fontId="36" fillId="0" borderId="2" xfId="197" applyNumberFormat="1" applyFont="1" applyBorder="1" applyAlignment="1">
      <alignment horizontal="center" vertical="center"/>
    </xf>
    <xf numFmtId="20" fontId="36" fillId="0" borderId="39" xfId="160" applyNumberFormat="1" applyFont="1" applyBorder="1" applyAlignment="1">
      <alignment horizontal="center" vertical="center"/>
    </xf>
    <xf numFmtId="178" fontId="36" fillId="0" borderId="63" xfId="4" applyNumberFormat="1" applyFont="1" applyBorder="1" applyAlignment="1">
      <alignment horizontal="center" vertical="center"/>
    </xf>
    <xf numFmtId="184" fontId="36" fillId="0" borderId="55" xfId="4" applyNumberFormat="1" applyFont="1" applyBorder="1" applyAlignment="1">
      <alignment horizontal="center" vertical="center"/>
    </xf>
    <xf numFmtId="178" fontId="36" fillId="0" borderId="1" xfId="4" applyNumberFormat="1" applyFont="1" applyBorder="1" applyAlignment="1">
      <alignment horizontal="center" vertical="center"/>
    </xf>
    <xf numFmtId="180" fontId="36" fillId="0" borderId="47" xfId="341" applyNumberFormat="1" applyFont="1" applyBorder="1" applyAlignment="1">
      <alignment horizontal="center" vertical="center"/>
    </xf>
    <xf numFmtId="178" fontId="36" fillId="15" borderId="44" xfId="4" applyNumberFormat="1" applyFont="1" applyFill="1" applyBorder="1" applyAlignment="1">
      <alignment horizontal="right"/>
    </xf>
    <xf numFmtId="178" fontId="36" fillId="15" borderId="6" xfId="4" applyNumberFormat="1" applyFont="1" applyFill="1" applyBorder="1" applyAlignment="1">
      <alignment horizontal="center" vertical="center"/>
    </xf>
    <xf numFmtId="0" fontId="5" fillId="0" borderId="48" xfId="160" applyFont="1" applyBorder="1" applyAlignment="1"/>
    <xf numFmtId="180" fontId="36" fillId="0" borderId="48" xfId="341" applyNumberFormat="1" applyFont="1" applyBorder="1" applyAlignment="1">
      <alignment horizontal="center" vertical="center"/>
    </xf>
    <xf numFmtId="0" fontId="5" fillId="0" borderId="44" xfId="160" applyFont="1" applyBorder="1" applyAlignment="1"/>
    <xf numFmtId="0" fontId="36" fillId="14" borderId="36" xfId="4" applyFont="1" applyFill="1" applyBorder="1" applyAlignment="1">
      <alignment horizontal="center" vertical="center"/>
    </xf>
    <xf numFmtId="20" fontId="36" fillId="0" borderId="55" xfId="4" applyNumberFormat="1" applyFont="1" applyBorder="1" applyAlignment="1">
      <alignment horizontal="center" vertical="center"/>
    </xf>
    <xf numFmtId="0" fontId="36" fillId="0" borderId="36" xfId="4" applyFont="1" applyBorder="1" applyAlignment="1">
      <alignment horizontal="center" vertical="center"/>
    </xf>
    <xf numFmtId="1" fontId="36" fillId="4" borderId="36" xfId="4" applyNumberFormat="1" applyFont="1" applyFill="1" applyBorder="1" applyAlignment="1">
      <alignment horizontal="center" vertical="center"/>
    </xf>
    <xf numFmtId="1" fontId="36" fillId="0" borderId="36" xfId="4" applyNumberFormat="1" applyFont="1" applyBorder="1" applyAlignment="1">
      <alignment horizontal="center" vertical="center"/>
    </xf>
    <xf numFmtId="178" fontId="36" fillId="0" borderId="36" xfId="4" applyNumberFormat="1" applyFont="1" applyBorder="1" applyAlignment="1">
      <alignment horizontal="center" vertical="center"/>
    </xf>
    <xf numFmtId="183" fontId="36" fillId="0" borderId="36" xfId="4" applyNumberFormat="1" applyFont="1" applyBorder="1" applyAlignment="1">
      <alignment horizontal="center" vertical="center"/>
    </xf>
    <xf numFmtId="184" fontId="36" fillId="0" borderId="36" xfId="4" applyNumberFormat="1" applyFont="1" applyBorder="1" applyAlignment="1">
      <alignment horizontal="center" vertical="center"/>
    </xf>
    <xf numFmtId="180" fontId="36" fillId="0" borderId="51" xfId="341" applyNumberFormat="1" applyFont="1" applyBorder="1" applyAlignment="1">
      <alignment horizontal="center" vertical="center"/>
    </xf>
    <xf numFmtId="0" fontId="36" fillId="0" borderId="50" xfId="4" applyFont="1" applyBorder="1" applyAlignment="1">
      <alignment horizontal="center" vertical="center"/>
    </xf>
    <xf numFmtId="0" fontId="36" fillId="0" borderId="1" xfId="4" applyFont="1" applyBorder="1" applyAlignment="1">
      <alignment horizontal="center" vertical="center"/>
    </xf>
    <xf numFmtId="180" fontId="36" fillId="0" borderId="51" xfId="341" applyNumberFormat="1" applyFont="1" applyBorder="1" applyAlignment="1">
      <alignment horizontal="center" vertical="center"/>
    </xf>
    <xf numFmtId="20" fontId="36" fillId="0" borderId="40" xfId="160" applyNumberFormat="1" applyFont="1" applyBorder="1" applyAlignment="1">
      <alignment horizontal="center" vertical="center"/>
    </xf>
    <xf numFmtId="1" fontId="36" fillId="0" borderId="3" xfId="4" applyNumberFormat="1" applyFont="1" applyBorder="1" applyAlignment="1">
      <alignment horizontal="center" vertical="center"/>
    </xf>
    <xf numFmtId="0" fontId="36" fillId="4" borderId="1" xfId="4" applyFont="1" applyFill="1" applyBorder="1" applyAlignment="1">
      <alignment horizontal="center" vertical="center"/>
    </xf>
    <xf numFmtId="0" fontId="36" fillId="0" borderId="40" xfId="4" applyFont="1" applyBorder="1" applyAlignment="1">
      <alignment horizontal="center"/>
    </xf>
    <xf numFmtId="43" fontId="36" fillId="15" borderId="7" xfId="286" applyFont="1" applyFill="1" applyBorder="1" applyAlignment="1">
      <alignment horizontal="center" vertical="center"/>
    </xf>
    <xf numFmtId="1" fontId="36" fillId="15" borderId="7" xfId="4" applyNumberFormat="1" applyFont="1" applyFill="1" applyBorder="1" applyAlignment="1">
      <alignment horizontal="center" vertical="center"/>
    </xf>
    <xf numFmtId="178" fontId="36" fillId="15" borderId="7" xfId="4" applyNumberFormat="1" applyFont="1" applyFill="1" applyBorder="1" applyAlignment="1">
      <alignment horizontal="center" vertical="center"/>
    </xf>
    <xf numFmtId="183" fontId="36" fillId="0" borderId="7" xfId="4" applyNumberFormat="1" applyFont="1" applyBorder="1" applyAlignment="1">
      <alignment horizontal="center" vertical="center"/>
    </xf>
    <xf numFmtId="184" fontId="36" fillId="0" borderId="7" xfId="4" applyNumberFormat="1" applyFont="1" applyBorder="1" applyAlignment="1">
      <alignment horizontal="center" vertical="center"/>
    </xf>
    <xf numFmtId="180" fontId="36" fillId="0" borderId="7" xfId="341" applyNumberFormat="1" applyFont="1" applyFill="1" applyBorder="1" applyAlignment="1">
      <alignment horizontal="center" vertical="center"/>
    </xf>
    <xf numFmtId="0" fontId="36" fillId="14" borderId="3" xfId="4" applyFont="1" applyFill="1" applyBorder="1" applyAlignment="1">
      <alignment horizontal="center"/>
    </xf>
    <xf numFmtId="0" fontId="36" fillId="14" borderId="3" xfId="160" applyFont="1" applyFill="1" applyBorder="1" applyAlignment="1"/>
    <xf numFmtId="178" fontId="36" fillId="14" borderId="1" xfId="160" applyNumberFormat="1" applyFont="1" applyFill="1" applyBorder="1" applyAlignment="1">
      <alignment horizontal="right"/>
    </xf>
    <xf numFmtId="1" fontId="36" fillId="14" borderId="2" xfId="4" applyNumberFormat="1" applyFont="1" applyFill="1" applyBorder="1" applyAlignment="1">
      <alignment horizontal="center" vertical="center"/>
    </xf>
    <xf numFmtId="43" fontId="36" fillId="14" borderId="39" xfId="286" applyFont="1" applyFill="1" applyBorder="1" applyAlignment="1">
      <alignment horizontal="center" vertical="center"/>
    </xf>
    <xf numFmtId="185" fontId="36" fillId="14" borderId="2" xfId="4" applyNumberFormat="1" applyFont="1" applyFill="1" applyBorder="1" applyAlignment="1">
      <alignment horizontal="center" vertical="center"/>
    </xf>
    <xf numFmtId="0" fontId="36" fillId="14" borderId="2" xfId="4" applyFont="1" applyFill="1" applyBorder="1" applyAlignment="1">
      <alignment horizontal="center" vertical="center"/>
    </xf>
    <xf numFmtId="183" fontId="36" fillId="14" borderId="2" xfId="4" applyNumberFormat="1" applyFont="1" applyFill="1" applyBorder="1" applyAlignment="1">
      <alignment horizontal="center" vertical="center"/>
    </xf>
    <xf numFmtId="180" fontId="36" fillId="14" borderId="2" xfId="341" applyNumberFormat="1" applyFont="1" applyFill="1" applyBorder="1" applyAlignment="1">
      <alignment horizontal="center" vertical="center"/>
    </xf>
    <xf numFmtId="0" fontId="36" fillId="14" borderId="0" xfId="4" applyFont="1" applyFill="1">
      <alignment vertical="center"/>
    </xf>
    <xf numFmtId="20" fontId="36" fillId="0" borderId="39" xfId="197" applyNumberFormat="1" applyFont="1" applyBorder="1" applyAlignment="1">
      <alignment horizontal="center" vertical="center"/>
    </xf>
    <xf numFmtId="183" fontId="36" fillId="0" borderId="2" xfId="197" applyNumberFormat="1" applyFont="1" applyBorder="1" applyAlignment="1">
      <alignment horizontal="center" vertical="center"/>
    </xf>
    <xf numFmtId="183" fontId="36" fillId="0" borderId="39" xfId="197" applyNumberFormat="1" applyFont="1" applyBorder="1" applyAlignment="1">
      <alignment horizontal="center" vertical="center"/>
    </xf>
    <xf numFmtId="0" fontId="36" fillId="0" borderId="0" xfId="197" applyFont="1">
      <alignment vertical="center"/>
    </xf>
    <xf numFmtId="20" fontId="36" fillId="0" borderId="40" xfId="197" applyNumberFormat="1" applyFont="1" applyBorder="1" applyAlignment="1">
      <alignment horizontal="center" vertical="center"/>
    </xf>
    <xf numFmtId="20" fontId="36" fillId="0" borderId="2" xfId="197" applyNumberFormat="1" applyFont="1" applyBorder="1" applyAlignment="1">
      <alignment horizontal="center" vertical="center"/>
    </xf>
    <xf numFmtId="0" fontId="36" fillId="0" borderId="2" xfId="197" applyFont="1" applyBorder="1" applyAlignment="1">
      <alignment horizontal="center" vertical="center"/>
    </xf>
    <xf numFmtId="0" fontId="36" fillId="0" borderId="55" xfId="197" applyFont="1" applyBorder="1" applyAlignment="1">
      <alignment horizontal="center" vertical="center"/>
    </xf>
    <xf numFmtId="0" fontId="36" fillId="0" borderId="3" xfId="197" applyFont="1" applyBorder="1" applyAlignment="1">
      <alignment horizontal="center" vertical="center"/>
    </xf>
    <xf numFmtId="1" fontId="36" fillId="4" borderId="46" xfId="4" applyNumberFormat="1" applyFont="1" applyFill="1" applyBorder="1" applyAlignment="1">
      <alignment horizontal="center" vertical="center"/>
    </xf>
    <xf numFmtId="178" fontId="36" fillId="0" borderId="2" xfId="197" applyNumberFormat="1" applyFont="1" applyBorder="1" applyAlignment="1">
      <alignment horizontal="center" vertical="center"/>
    </xf>
    <xf numFmtId="43" fontId="36" fillId="0" borderId="40" xfId="286" applyFont="1" applyBorder="1" applyAlignment="1">
      <alignment horizontal="center" vertical="center"/>
    </xf>
    <xf numFmtId="178" fontId="36" fillId="15" borderId="31" xfId="4" applyNumberFormat="1" applyFont="1" applyFill="1" applyBorder="1" applyAlignment="1">
      <alignment horizontal="right"/>
    </xf>
    <xf numFmtId="185" fontId="5" fillId="0" borderId="39" xfId="4" applyNumberFormat="1" applyFont="1" applyBorder="1" applyAlignment="1">
      <alignment horizontal="center" vertical="center"/>
    </xf>
    <xf numFmtId="0" fontId="5" fillId="0" borderId="39" xfId="4" applyFont="1" applyBorder="1" applyAlignment="1">
      <alignment horizontal="center" vertical="center"/>
    </xf>
    <xf numFmtId="0" fontId="36" fillId="4" borderId="46" xfId="4" applyFont="1" applyFill="1" applyBorder="1" applyAlignment="1">
      <alignment horizontal="center" vertical="center"/>
    </xf>
    <xf numFmtId="1" fontId="36" fillId="0" borderId="44" xfId="4" applyNumberFormat="1" applyFont="1" applyBorder="1" applyAlignment="1">
      <alignment horizontal="center" vertical="center"/>
    </xf>
    <xf numFmtId="43" fontId="36" fillId="0" borderId="66" xfId="286" applyFont="1" applyBorder="1" applyAlignment="1">
      <alignment horizontal="center" vertical="center"/>
    </xf>
    <xf numFmtId="1" fontId="36" fillId="0" borderId="3" xfId="197" applyNumberFormat="1" applyFont="1" applyBorder="1" applyAlignment="1">
      <alignment horizontal="center" vertical="center"/>
    </xf>
    <xf numFmtId="0" fontId="36" fillId="15" borderId="67" xfId="4" applyFont="1" applyFill="1" applyBorder="1" applyAlignment="1"/>
    <xf numFmtId="0" fontId="36" fillId="15" borderId="52" xfId="4" applyFont="1" applyFill="1" applyBorder="1" applyAlignment="1"/>
    <xf numFmtId="1" fontId="36" fillId="15" borderId="39" xfId="4" applyNumberFormat="1" applyFont="1" applyFill="1" applyBorder="1" applyAlignment="1">
      <alignment horizontal="center" vertical="center"/>
    </xf>
    <xf numFmtId="43" fontId="36" fillId="15" borderId="46" xfId="286" applyFont="1" applyFill="1" applyBorder="1" applyAlignment="1">
      <alignment horizontal="center" vertical="center"/>
    </xf>
    <xf numFmtId="0" fontId="36" fillId="15" borderId="39" xfId="4" applyFont="1" applyFill="1" applyBorder="1" applyAlignment="1">
      <alignment horizontal="center" vertical="center"/>
    </xf>
    <xf numFmtId="178" fontId="36" fillId="0" borderId="55" xfId="4" applyNumberFormat="1" applyFont="1" applyBorder="1" applyAlignment="1">
      <alignment horizontal="center" vertical="center"/>
    </xf>
    <xf numFmtId="0" fontId="36" fillId="0" borderId="55" xfId="4" applyFont="1" applyBorder="1" applyAlignment="1">
      <alignment horizontal="center" vertical="center"/>
    </xf>
    <xf numFmtId="180" fontId="36" fillId="0" borderId="47" xfId="341" applyNumberFormat="1" applyFont="1" applyBorder="1" applyAlignment="1">
      <alignment horizontal="center" vertical="center"/>
    </xf>
    <xf numFmtId="0" fontId="36" fillId="0" borderId="55" xfId="4" applyFont="1" applyBorder="1" applyAlignment="1">
      <alignment horizontal="center" vertical="center" wrapText="1"/>
    </xf>
    <xf numFmtId="178" fontId="36" fillId="0" borderId="49" xfId="160" applyNumberFormat="1" applyFont="1" applyBorder="1" applyAlignment="1">
      <alignment horizontal="right"/>
    </xf>
    <xf numFmtId="43" fontId="36" fillId="0" borderId="50" xfId="286" applyFont="1" applyBorder="1" applyAlignment="1">
      <alignment horizontal="center" vertical="center"/>
    </xf>
    <xf numFmtId="0" fontId="36" fillId="15" borderId="31" xfId="4" applyFont="1" applyFill="1" applyBorder="1" applyAlignment="1">
      <alignment horizontal="center" vertical="center"/>
    </xf>
    <xf numFmtId="1" fontId="36" fillId="15" borderId="31" xfId="4" applyNumberFormat="1" applyFont="1" applyFill="1" applyBorder="1" applyAlignment="1">
      <alignment horizontal="center" vertical="center"/>
    </xf>
    <xf numFmtId="178" fontId="36" fillId="15" borderId="31" xfId="4" applyNumberFormat="1" applyFont="1" applyFill="1" applyBorder="1" applyAlignment="1">
      <alignment horizontal="center" vertical="center"/>
    </xf>
    <xf numFmtId="180" fontId="36" fillId="0" borderId="61" xfId="341" applyNumberFormat="1" applyFont="1" applyFill="1" applyBorder="1" applyAlignment="1">
      <alignment horizontal="center" vertical="center"/>
    </xf>
    <xf numFmtId="43" fontId="36" fillId="0" borderId="46" xfId="286" applyFont="1" applyBorder="1" applyAlignment="1">
      <alignment horizontal="center" vertical="center"/>
    </xf>
    <xf numFmtId="185" fontId="36" fillId="0" borderId="47" xfId="4" applyNumberFormat="1" applyFont="1" applyBorder="1" applyAlignment="1">
      <alignment horizontal="center" vertical="center"/>
    </xf>
    <xf numFmtId="0" fontId="36" fillId="0" borderId="46" xfId="4" applyFont="1" applyBorder="1" applyAlignment="1">
      <alignment horizontal="center" vertical="center" wrapText="1"/>
    </xf>
    <xf numFmtId="0" fontId="36" fillId="0" borderId="2" xfId="160" applyFont="1" applyBorder="1" applyAlignment="1"/>
    <xf numFmtId="0" fontId="36" fillId="14" borderId="46" xfId="4" applyFont="1" applyFill="1" applyBorder="1" applyAlignment="1">
      <alignment horizontal="center" vertical="center"/>
    </xf>
    <xf numFmtId="0" fontId="36" fillId="14" borderId="68" xfId="4" applyFont="1" applyFill="1" applyBorder="1" applyAlignment="1">
      <alignment horizontal="center" vertical="center"/>
    </xf>
    <xf numFmtId="0" fontId="36" fillId="0" borderId="49" xfId="160" applyFont="1" applyBorder="1" applyAlignment="1"/>
    <xf numFmtId="185" fontId="36" fillId="0" borderId="50" xfId="4" applyNumberFormat="1" applyFont="1" applyBorder="1" applyAlignment="1">
      <alignment horizontal="center" vertical="center"/>
    </xf>
    <xf numFmtId="0" fontId="36" fillId="14" borderId="3" xfId="4" applyFont="1" applyFill="1" applyBorder="1" applyAlignment="1">
      <alignment horizontal="center" vertical="center"/>
    </xf>
    <xf numFmtId="0" fontId="36" fillId="0" borderId="45" xfId="160" applyFont="1" applyBorder="1" applyAlignment="1"/>
    <xf numFmtId="0" fontId="36" fillId="0" borderId="0" xfId="4" applyFont="1" applyAlignment="1">
      <alignment horizontal="center" vertical="center"/>
    </xf>
    <xf numFmtId="0" fontId="36" fillId="0" borderId="0" xfId="160" applyFont="1" applyAlignment="1"/>
    <xf numFmtId="0" fontId="36" fillId="0" borderId="7" xfId="4" applyFont="1" applyBorder="1" applyAlignment="1">
      <alignment horizontal="center"/>
    </xf>
    <xf numFmtId="178" fontId="36" fillId="15" borderId="68" xfId="4" applyNumberFormat="1" applyFont="1" applyFill="1" applyBorder="1" applyAlignment="1">
      <alignment horizontal="right"/>
    </xf>
    <xf numFmtId="180" fontId="36" fillId="0" borderId="6" xfId="341" applyNumberFormat="1" applyFont="1" applyFill="1" applyBorder="1" applyAlignment="1">
      <alignment horizontal="center" vertical="center"/>
    </xf>
    <xf numFmtId="180" fontId="36" fillId="0" borderId="68" xfId="341" applyNumberFormat="1" applyFont="1" applyBorder="1" applyAlignment="1">
      <alignment horizontal="center" vertical="center"/>
    </xf>
    <xf numFmtId="0" fontId="36" fillId="0" borderId="39" xfId="197" applyFont="1" applyBorder="1" applyAlignment="1">
      <alignment horizontal="center" vertical="center"/>
    </xf>
    <xf numFmtId="185" fontId="36" fillId="0" borderId="51" xfId="4" applyNumberFormat="1" applyFont="1" applyBorder="1" applyAlignment="1">
      <alignment horizontal="center" vertical="center"/>
    </xf>
    <xf numFmtId="1" fontId="36" fillId="4" borderId="1" xfId="197" applyNumberFormat="1" applyFont="1" applyFill="1" applyBorder="1" applyAlignment="1">
      <alignment horizontal="center" vertical="center"/>
    </xf>
    <xf numFmtId="183" fontId="36" fillId="0" borderId="51" xfId="4" applyNumberFormat="1" applyFont="1" applyBorder="1" applyAlignment="1">
      <alignment horizontal="center" vertical="center"/>
    </xf>
    <xf numFmtId="183" fontId="36" fillId="0" borderId="40" xfId="197" applyNumberFormat="1" applyFont="1" applyBorder="1" applyAlignment="1">
      <alignment horizontal="center" vertical="center"/>
    </xf>
    <xf numFmtId="0" fontId="36" fillId="0" borderId="39" xfId="197" applyFont="1" applyBorder="1" applyAlignment="1">
      <alignment horizontal="center" vertical="center" wrapText="1"/>
    </xf>
    <xf numFmtId="0" fontId="36" fillId="0" borderId="40" xfId="197" applyFont="1" applyBorder="1" applyAlignment="1">
      <alignment horizontal="center" vertical="center" wrapText="1"/>
    </xf>
    <xf numFmtId="0" fontId="36" fillId="0" borderId="36" xfId="4" applyFont="1" applyBorder="1" applyAlignment="1">
      <alignment horizontal="center"/>
    </xf>
    <xf numFmtId="0" fontId="18" fillId="0" borderId="36" xfId="1" applyFont="1" applyBorder="1" applyAlignment="1">
      <alignment horizontal="center" vertical="center"/>
    </xf>
    <xf numFmtId="1" fontId="36" fillId="15" borderId="36" xfId="4" applyNumberFormat="1" applyFont="1" applyFill="1" applyBorder="1" applyAlignment="1">
      <alignment horizontal="center" vertical="center"/>
    </xf>
    <xf numFmtId="178" fontId="36" fillId="15" borderId="36" xfId="4" applyNumberFormat="1" applyFont="1" applyFill="1" applyBorder="1" applyAlignment="1">
      <alignment horizontal="center" vertical="center"/>
    </xf>
    <xf numFmtId="180" fontId="36" fillId="0" borderId="50" xfId="341" applyNumberFormat="1" applyFont="1" applyFill="1" applyBorder="1" applyAlignment="1">
      <alignment horizontal="center" vertical="center"/>
    </xf>
    <xf numFmtId="185" fontId="36" fillId="0" borderId="36" xfId="4" applyNumberFormat="1" applyFont="1" applyBorder="1" applyAlignment="1">
      <alignment horizontal="center" vertical="center"/>
    </xf>
    <xf numFmtId="0" fontId="36" fillId="0" borderId="36" xfId="160" applyFont="1" applyBorder="1" applyAlignment="1"/>
    <xf numFmtId="0" fontId="36" fillId="0" borderId="2" xfId="4" applyFont="1" applyBorder="1" applyAlignment="1">
      <alignment horizontal="center" vertical="center"/>
    </xf>
    <xf numFmtId="0" fontId="36" fillId="0" borderId="0" xfId="4" applyFont="1" applyAlignment="1">
      <alignment vertical="center" wrapText="1"/>
    </xf>
    <xf numFmtId="0" fontId="36" fillId="0" borderId="2" xfId="4" applyFont="1" applyBorder="1">
      <alignment vertical="center"/>
    </xf>
    <xf numFmtId="0" fontId="15" fillId="0" borderId="70" xfId="97" applyFont="1" applyBorder="1" applyAlignment="1">
      <alignment vertical="center"/>
    </xf>
    <xf numFmtId="0" fontId="15" fillId="0" borderId="71" xfId="97" applyFont="1" applyBorder="1" applyAlignment="1">
      <alignment vertical="center"/>
    </xf>
    <xf numFmtId="0" fontId="15" fillId="0" borderId="2" xfId="97" applyFont="1" applyBorder="1" applyAlignment="1">
      <alignment vertical="center"/>
    </xf>
    <xf numFmtId="0" fontId="15" fillId="0" borderId="72" xfId="97" applyFont="1" applyBorder="1" applyAlignment="1">
      <alignment horizontal="left" vertical="center"/>
    </xf>
    <xf numFmtId="176" fontId="15" fillId="12" borderId="73" xfId="237" applyNumberFormat="1" applyFont="1" applyFill="1" applyBorder="1" applyAlignment="1">
      <alignment horizontal="center" vertical="center"/>
    </xf>
    <xf numFmtId="2" fontId="5" fillId="14" borderId="73" xfId="97" applyNumberFormat="1" applyFont="1" applyFill="1" applyBorder="1" applyAlignment="1">
      <alignment horizontal="center" vertical="center"/>
    </xf>
    <xf numFmtId="43" fontId="15" fillId="0" borderId="74" xfId="237" applyFont="1" applyBorder="1" applyAlignment="1">
      <alignment horizontal="center" vertical="center"/>
    </xf>
    <xf numFmtId="0" fontId="15" fillId="0" borderId="74" xfId="97" applyFont="1" applyBorder="1" applyAlignment="1">
      <alignment horizontal="center" vertical="center"/>
    </xf>
    <xf numFmtId="1" fontId="15" fillId="0" borderId="73" xfId="97" applyNumberFormat="1" applyFont="1" applyBorder="1" applyAlignment="1">
      <alignment horizontal="center" vertical="center"/>
    </xf>
    <xf numFmtId="0" fontId="5" fillId="0" borderId="0" xfId="97" applyFont="1">
      <alignment vertical="center"/>
    </xf>
    <xf numFmtId="0" fontId="15" fillId="0" borderId="2" xfId="97" applyFont="1" applyBorder="1" applyAlignment="1">
      <alignment horizontal="left" vertical="center"/>
    </xf>
    <xf numFmtId="0" fontId="15" fillId="0" borderId="1" xfId="97" applyFont="1" applyBorder="1" applyAlignment="1">
      <alignment horizontal="left" vertical="center"/>
    </xf>
    <xf numFmtId="178" fontId="15" fillId="0" borderId="3" xfId="97" applyNumberFormat="1" applyFont="1" applyBorder="1" applyAlignment="1">
      <alignment horizontal="center" vertical="center"/>
    </xf>
    <xf numFmtId="2" fontId="46" fillId="0" borderId="3" xfId="97" applyNumberFormat="1" applyFont="1" applyBorder="1" applyAlignment="1">
      <alignment horizontal="center" vertical="center"/>
    </xf>
    <xf numFmtId="43" fontId="15" fillId="0" borderId="2" xfId="97" applyNumberFormat="1" applyFont="1" applyBorder="1" applyAlignment="1">
      <alignment horizontal="center" vertical="center"/>
    </xf>
    <xf numFmtId="0" fontId="15" fillId="0" borderId="2" xfId="97" applyFont="1" applyBorder="1" applyAlignment="1">
      <alignment horizontal="center" vertical="center"/>
    </xf>
    <xf numFmtId="0" fontId="15" fillId="0" borderId="3" xfId="97" applyFont="1" applyBorder="1" applyAlignment="1">
      <alignment horizontal="center" vertical="center"/>
    </xf>
    <xf numFmtId="0" fontId="5" fillId="0" borderId="2" xfId="97" applyFont="1" applyBorder="1" applyAlignment="1">
      <alignment horizontal="center" vertical="center"/>
    </xf>
    <xf numFmtId="0" fontId="5" fillId="0" borderId="2" xfId="97" applyFont="1" applyBorder="1" applyAlignment="1">
      <alignment horizontal="center" vertical="center"/>
    </xf>
    <xf numFmtId="0" fontId="39" fillId="3" borderId="39" xfId="97" applyFont="1" applyFill="1" applyBorder="1" applyAlignment="1">
      <alignment horizontal="center" vertical="center"/>
    </xf>
    <xf numFmtId="0" fontId="5" fillId="0" borderId="39" xfId="97" applyFont="1" applyBorder="1" applyAlignment="1">
      <alignment horizontal="center" vertical="center"/>
    </xf>
    <xf numFmtId="0" fontId="5" fillId="0" borderId="2" xfId="97" applyFont="1" applyFill="1" applyBorder="1" applyAlignment="1">
      <alignment horizontal="center"/>
    </xf>
    <xf numFmtId="0" fontId="5" fillId="0" borderId="37" xfId="160" applyFont="1" applyFill="1" applyBorder="1" applyAlignment="1">
      <alignment vertical="top"/>
    </xf>
    <xf numFmtId="2" fontId="5" fillId="0" borderId="2" xfId="160" applyNumberFormat="1" applyFont="1" applyFill="1" applyBorder="1" applyAlignment="1">
      <alignment horizontal="center" vertical="top"/>
    </xf>
    <xf numFmtId="43" fontId="5" fillId="0" borderId="3" xfId="237" applyFont="1" applyBorder="1" applyAlignment="1">
      <alignment horizontal="center" vertical="center"/>
    </xf>
    <xf numFmtId="0" fontId="5" fillId="0" borderId="3" xfId="97" applyFont="1" applyBorder="1" applyAlignment="1">
      <alignment horizontal="center" vertical="center" wrapText="1"/>
    </xf>
    <xf numFmtId="1" fontId="5" fillId="4" borderId="39" xfId="97" applyNumberFormat="1" applyFont="1" applyFill="1" applyBorder="1" applyAlignment="1">
      <alignment horizontal="center" vertical="center"/>
    </xf>
    <xf numFmtId="1" fontId="5" fillId="0" borderId="39" xfId="97" applyNumberFormat="1" applyFont="1" applyBorder="1" applyAlignment="1">
      <alignment horizontal="center" vertical="center"/>
    </xf>
    <xf numFmtId="178" fontId="5" fillId="0" borderId="39" xfId="97" applyNumberFormat="1" applyFont="1" applyBorder="1" applyAlignment="1">
      <alignment horizontal="center" vertical="center"/>
    </xf>
    <xf numFmtId="185" fontId="5" fillId="0" borderId="39" xfId="97" applyNumberFormat="1" applyFont="1" applyBorder="1" applyAlignment="1">
      <alignment horizontal="center" vertical="center"/>
    </xf>
    <xf numFmtId="0" fontId="5" fillId="0" borderId="39" xfId="97" applyFont="1" applyBorder="1" applyAlignment="1">
      <alignment horizontal="center" vertical="center" wrapText="1"/>
    </xf>
    <xf numFmtId="20" fontId="5" fillId="0" borderId="39" xfId="97" applyNumberFormat="1" applyFont="1" applyBorder="1" applyAlignment="1">
      <alignment horizontal="center" vertical="center"/>
    </xf>
    <xf numFmtId="0" fontId="5" fillId="0" borderId="5" xfId="97" applyFont="1" applyBorder="1" applyAlignment="1">
      <alignment horizontal="center" vertical="center"/>
    </xf>
    <xf numFmtId="0" fontId="5" fillId="0" borderId="2" xfId="97" applyFont="1" applyFill="1" applyBorder="1" applyAlignment="1">
      <alignment horizontal="center" vertical="center"/>
    </xf>
    <xf numFmtId="0" fontId="5" fillId="0" borderId="3" xfId="97" applyFont="1" applyBorder="1" applyAlignment="1">
      <alignment horizontal="center" vertical="center"/>
    </xf>
    <xf numFmtId="0" fontId="5" fillId="0" borderId="4" xfId="97" applyFont="1" applyBorder="1" applyAlignment="1">
      <alignment horizontal="left" vertical="center"/>
    </xf>
    <xf numFmtId="0" fontId="5" fillId="0" borderId="5" xfId="97" applyFont="1" applyBorder="1" applyAlignment="1">
      <alignment horizontal="left" vertical="center"/>
    </xf>
    <xf numFmtId="0" fontId="5" fillId="0" borderId="64" xfId="160" applyFont="1" applyFill="1" applyBorder="1" applyAlignment="1">
      <alignment vertical="top"/>
    </xf>
    <xf numFmtId="0" fontId="5" fillId="0" borderId="2" xfId="97" applyFont="1" applyBorder="1" applyAlignment="1">
      <alignment horizontal="center"/>
    </xf>
    <xf numFmtId="2" fontId="5" fillId="15" borderId="2" xfId="97" applyNumberFormat="1" applyFont="1" applyFill="1" applyBorder="1" applyAlignment="1">
      <alignment horizontal="right"/>
    </xf>
    <xf numFmtId="178" fontId="5" fillId="15" borderId="5" xfId="97" applyNumberFormat="1" applyFont="1" applyFill="1" applyBorder="1" applyAlignment="1">
      <alignment horizontal="center" vertical="center"/>
    </xf>
    <xf numFmtId="43" fontId="5" fillId="15" borderId="3" xfId="237" applyFont="1" applyFill="1" applyBorder="1" applyAlignment="1">
      <alignment horizontal="center" vertical="center"/>
    </xf>
    <xf numFmtId="0" fontId="5" fillId="15" borderId="3" xfId="97" applyFont="1" applyFill="1" applyBorder="1" applyAlignment="1">
      <alignment horizontal="center" vertical="center" wrapText="1"/>
    </xf>
    <xf numFmtId="1" fontId="5" fillId="15" borderId="39" xfId="97" applyNumberFormat="1" applyFont="1" applyFill="1" applyBorder="1" applyAlignment="1">
      <alignment horizontal="center" vertical="center"/>
    </xf>
    <xf numFmtId="178" fontId="5" fillId="15" borderId="39" xfId="97" applyNumberFormat="1" applyFont="1" applyFill="1" applyBorder="1" applyAlignment="1">
      <alignment horizontal="center" vertical="center"/>
    </xf>
    <xf numFmtId="43" fontId="5" fillId="0" borderId="10" xfId="237" applyFont="1" applyBorder="1" applyAlignment="1">
      <alignment horizontal="center" vertical="center"/>
    </xf>
    <xf numFmtId="0" fontId="5" fillId="0" borderId="10" xfId="97" applyFont="1" applyBorder="1" applyAlignment="1">
      <alignment horizontal="center" vertical="center" wrapText="1"/>
    </xf>
    <xf numFmtId="0" fontId="5" fillId="0" borderId="4" xfId="97" applyFont="1" applyBorder="1" applyAlignment="1">
      <alignment horizontal="left" vertical="center"/>
    </xf>
    <xf numFmtId="0" fontId="5" fillId="0" borderId="5" xfId="97" applyFont="1" applyBorder="1" applyAlignment="1">
      <alignment horizontal="left" vertical="center"/>
    </xf>
    <xf numFmtId="0" fontId="5" fillId="0" borderId="64" xfId="97" applyFont="1" applyBorder="1" applyAlignment="1">
      <alignment horizontal="left" vertical="center"/>
    </xf>
    <xf numFmtId="0" fontId="5" fillId="15" borderId="3" xfId="97" applyFont="1" applyFill="1" applyBorder="1" applyAlignment="1">
      <alignment horizontal="center" vertical="center"/>
    </xf>
    <xf numFmtId="0" fontId="5" fillId="0" borderId="2" xfId="97" applyFont="1" applyBorder="1" applyAlignment="1">
      <alignment horizontal="center" vertical="top"/>
    </xf>
    <xf numFmtId="0" fontId="5" fillId="0" borderId="37" xfId="97" applyFont="1" applyBorder="1" applyAlignment="1">
      <alignment horizontal="left" vertical="top"/>
    </xf>
    <xf numFmtId="0" fontId="5" fillId="0" borderId="88" xfId="97" applyFont="1" applyBorder="1" applyAlignment="1">
      <alignment horizontal="left" vertical="top"/>
    </xf>
    <xf numFmtId="0" fontId="5" fillId="0" borderId="37" xfId="97" applyFont="1" applyBorder="1" applyAlignment="1">
      <alignment horizontal="left" vertical="center"/>
    </xf>
    <xf numFmtId="0" fontId="5" fillId="0" borderId="1" xfId="97" applyFont="1" applyBorder="1" applyAlignment="1">
      <alignment horizontal="left" vertical="center"/>
    </xf>
    <xf numFmtId="0" fontId="5" fillId="0" borderId="49" xfId="97" applyFont="1" applyBorder="1" applyAlignment="1">
      <alignment horizontal="left" vertical="top"/>
    </xf>
    <xf numFmtId="0" fontId="5" fillId="0" borderId="1" xfId="97" applyFont="1" applyBorder="1" applyAlignment="1">
      <alignment horizontal="center" vertical="center"/>
    </xf>
    <xf numFmtId="1" fontId="5" fillId="15" borderId="1" xfId="97" applyNumberFormat="1" applyFont="1" applyFill="1" applyBorder="1" applyAlignment="1">
      <alignment horizontal="center" vertical="center"/>
    </xf>
    <xf numFmtId="0" fontId="5" fillId="14" borderId="39" xfId="97" applyFont="1" applyFill="1" applyBorder="1" applyAlignment="1">
      <alignment horizontal="center" vertical="center" wrapText="1"/>
    </xf>
    <xf numFmtId="0" fontId="5" fillId="0" borderId="89" xfId="97" applyFont="1" applyBorder="1" applyAlignment="1">
      <alignment horizontal="left" vertical="top"/>
    </xf>
    <xf numFmtId="0" fontId="5" fillId="0" borderId="36" xfId="97" applyFont="1" applyBorder="1" applyAlignment="1">
      <alignment horizontal="center" vertical="center"/>
    </xf>
    <xf numFmtId="43" fontId="5" fillId="0" borderId="4" xfId="237" applyFont="1" applyBorder="1" applyAlignment="1">
      <alignment horizontal="center" vertical="center"/>
    </xf>
    <xf numFmtId="0" fontId="5" fillId="0" borderId="4" xfId="97" applyFont="1" applyBorder="1" applyAlignment="1">
      <alignment horizontal="center" vertical="center" wrapText="1"/>
    </xf>
    <xf numFmtId="0" fontId="5" fillId="0" borderId="48" xfId="97" applyFont="1" applyBorder="1" applyAlignment="1">
      <alignment horizontal="left" vertical="top"/>
    </xf>
    <xf numFmtId="0" fontId="5" fillId="0" borderId="47" xfId="97" applyFont="1" applyBorder="1" applyAlignment="1">
      <alignment horizontal="left" vertical="top"/>
    </xf>
    <xf numFmtId="43" fontId="5" fillId="15" borderId="39" xfId="237" applyFont="1" applyFill="1" applyBorder="1" applyAlignment="1">
      <alignment horizontal="center" vertical="center"/>
    </xf>
    <xf numFmtId="0" fontId="5" fillId="15" borderId="44" xfId="97" applyFont="1" applyFill="1" applyBorder="1" applyAlignment="1">
      <alignment horizontal="center" vertical="center" wrapText="1"/>
    </xf>
    <xf numFmtId="185" fontId="5" fillId="0" borderId="39" xfId="97" applyNumberFormat="1" applyFont="1" applyBorder="1" applyAlignment="1">
      <alignment horizontal="left" vertical="center"/>
    </xf>
    <xf numFmtId="0" fontId="5" fillId="0" borderId="91" xfId="97" applyFont="1" applyFill="1" applyBorder="1" applyAlignment="1">
      <alignment vertical="center"/>
    </xf>
    <xf numFmtId="0" fontId="5" fillId="0" borderId="1" xfId="97" applyFont="1" applyBorder="1" applyAlignment="1">
      <alignment vertical="top"/>
    </xf>
    <xf numFmtId="0" fontId="5" fillId="0" borderId="37" xfId="97" applyFont="1" applyBorder="1" applyAlignment="1">
      <alignment vertical="top"/>
    </xf>
    <xf numFmtId="0" fontId="5" fillId="0" borderId="92" xfId="97" applyFont="1" applyFill="1" applyBorder="1" applyAlignment="1">
      <alignment vertical="center"/>
    </xf>
    <xf numFmtId="0" fontId="5" fillId="0" borderId="2" xfId="97" applyFont="1" applyFill="1" applyBorder="1" applyAlignment="1">
      <alignment horizontal="center" vertical="top"/>
    </xf>
    <xf numFmtId="1" fontId="5" fillId="0" borderId="2" xfId="97" applyNumberFormat="1" applyFont="1" applyBorder="1" applyAlignment="1">
      <alignment horizontal="center" vertical="center"/>
    </xf>
    <xf numFmtId="0" fontId="5" fillId="0" borderId="64" xfId="97" applyFont="1" applyBorder="1" applyAlignment="1">
      <alignment horizontal="left" vertical="top"/>
    </xf>
    <xf numFmtId="0" fontId="5" fillId="0" borderId="0" xfId="97" applyFont="1" applyBorder="1" applyAlignment="1">
      <alignment horizontal="left" vertical="top"/>
    </xf>
    <xf numFmtId="0" fontId="5" fillId="0" borderId="48" xfId="97" applyFont="1" applyFill="1" applyBorder="1" applyAlignment="1">
      <alignment vertical="center"/>
    </xf>
    <xf numFmtId="0" fontId="5" fillId="0" borderId="31" xfId="97" applyFont="1" applyBorder="1" applyAlignment="1">
      <alignment horizontal="center" vertical="center"/>
    </xf>
    <xf numFmtId="0" fontId="5" fillId="0" borderId="37" xfId="97" applyFont="1" applyBorder="1" applyAlignment="1"/>
    <xf numFmtId="0" fontId="5" fillId="15" borderId="2" xfId="97" applyFont="1" applyFill="1" applyBorder="1" applyAlignment="1">
      <alignment horizontal="center" vertical="center"/>
    </xf>
    <xf numFmtId="0" fontId="5" fillId="0" borderId="1" xfId="97" applyFont="1" applyBorder="1" applyAlignment="1">
      <alignment horizontal="left" vertical="top"/>
    </xf>
    <xf numFmtId="43" fontId="5" fillId="0" borderId="2" xfId="237" applyFont="1" applyBorder="1" applyAlignment="1">
      <alignment horizontal="center" vertical="center"/>
    </xf>
    <xf numFmtId="43" fontId="18" fillId="0" borderId="2" xfId="237" applyFont="1" applyBorder="1" applyAlignment="1">
      <alignment horizontal="center" vertical="center"/>
    </xf>
    <xf numFmtId="185" fontId="5" fillId="0" borderId="39" xfId="97" quotePrefix="1" applyNumberFormat="1" applyFont="1" applyBorder="1" applyAlignment="1">
      <alignment horizontal="center" vertical="center"/>
    </xf>
    <xf numFmtId="178" fontId="5" fillId="15" borderId="2" xfId="97" applyNumberFormat="1" applyFont="1" applyFill="1" applyBorder="1" applyAlignment="1">
      <alignment horizontal="center" vertical="center"/>
    </xf>
    <xf numFmtId="43" fontId="5" fillId="15" borderId="2" xfId="237" applyFont="1" applyFill="1" applyBorder="1" applyAlignment="1">
      <alignment horizontal="center" vertical="center"/>
    </xf>
    <xf numFmtId="0" fontId="5" fillId="0" borderId="3" xfId="97" applyFont="1" applyBorder="1" applyAlignment="1">
      <alignment vertical="top"/>
    </xf>
    <xf numFmtId="43" fontId="5" fillId="15" borderId="4" xfId="237" applyFont="1" applyFill="1" applyBorder="1" applyAlignment="1">
      <alignment horizontal="center" vertical="center"/>
    </xf>
    <xf numFmtId="0" fontId="5" fillId="0" borderId="1" xfId="97" applyFont="1" applyBorder="1" applyAlignment="1"/>
    <xf numFmtId="2" fontId="5" fillId="15" borderId="2" xfId="160" applyNumberFormat="1" applyFont="1" applyFill="1" applyBorder="1" applyAlignment="1">
      <alignment horizontal="center" vertical="top"/>
    </xf>
    <xf numFmtId="0" fontId="5" fillId="15" borderId="31" xfId="97" applyFont="1" applyFill="1" applyBorder="1" applyAlignment="1">
      <alignment horizontal="center" vertical="center"/>
    </xf>
    <xf numFmtId="0" fontId="5" fillId="0" borderId="88" xfId="97" applyFont="1" applyBorder="1" applyAlignment="1"/>
    <xf numFmtId="2" fontId="5" fillId="0" borderId="0" xfId="97" applyNumberFormat="1" applyFont="1">
      <alignment vertical="center"/>
    </xf>
    <xf numFmtId="0" fontId="5" fillId="0" borderId="0" xfId="97" applyFont="1" applyAlignment="1">
      <alignment vertical="center" wrapText="1"/>
    </xf>
    <xf numFmtId="0" fontId="5" fillId="0" borderId="2" xfId="97" applyFont="1" applyBorder="1">
      <alignment vertical="center"/>
    </xf>
    <xf numFmtId="0" fontId="5" fillId="0" borderId="23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5" borderId="29" xfId="1" applyFont="1" applyFill="1" applyBorder="1" applyAlignment="1">
      <alignment horizontal="center" vertical="center"/>
    </xf>
    <xf numFmtId="0" fontId="5" fillId="5" borderId="28" xfId="1" applyFont="1" applyFill="1" applyBorder="1" applyAlignment="1">
      <alignment horizontal="center" vertical="center"/>
    </xf>
    <xf numFmtId="0" fontId="5" fillId="5" borderId="30" xfId="1" applyFont="1" applyFill="1" applyBorder="1" applyAlignment="1">
      <alignment horizontal="center" vertical="center"/>
    </xf>
    <xf numFmtId="0" fontId="5" fillId="9" borderId="29" xfId="1" applyFont="1" applyFill="1" applyBorder="1" applyAlignment="1">
      <alignment horizontal="center" vertical="center"/>
    </xf>
    <xf numFmtId="0" fontId="5" fillId="9" borderId="28" xfId="1" applyFont="1" applyFill="1" applyBorder="1" applyAlignment="1">
      <alignment horizontal="center" vertical="center"/>
    </xf>
    <xf numFmtId="0" fontId="5" fillId="9" borderId="30" xfId="1" applyFont="1" applyFill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 textRotation="255"/>
    </xf>
    <xf numFmtId="0" fontId="5" fillId="0" borderId="21" xfId="1" applyFont="1" applyBorder="1" applyAlignment="1">
      <alignment horizontal="center" vertical="center" textRotation="255"/>
    </xf>
    <xf numFmtId="0" fontId="5" fillId="0" borderId="22" xfId="1" applyFont="1" applyBorder="1" applyAlignment="1">
      <alignment horizontal="center" vertical="center" textRotation="255"/>
    </xf>
    <xf numFmtId="0" fontId="5" fillId="0" borderId="20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18" fillId="8" borderId="17" xfId="2" applyFont="1" applyFill="1" applyBorder="1" applyAlignment="1">
      <alignment horizontal="center" vertical="center" wrapText="1"/>
    </xf>
    <xf numFmtId="0" fontId="18" fillId="8" borderId="5" xfId="2" applyFont="1" applyFill="1" applyBorder="1" applyAlignment="1">
      <alignment horizontal="center" vertical="center" wrapText="1"/>
    </xf>
    <xf numFmtId="0" fontId="18" fillId="8" borderId="19" xfId="2" applyFont="1" applyFill="1" applyBorder="1" applyAlignment="1">
      <alignment horizontal="center" vertical="center" wrapText="1"/>
    </xf>
    <xf numFmtId="0" fontId="18" fillId="8" borderId="11" xfId="2" applyFont="1" applyFill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6" fillId="4" borderId="14" xfId="1" applyFont="1" applyFill="1" applyBorder="1" applyAlignment="1">
      <alignment horizontal="center" vertical="center"/>
    </xf>
    <xf numFmtId="0" fontId="6" fillId="4" borderId="15" xfId="1" applyFont="1" applyFill="1" applyBorder="1" applyAlignment="1">
      <alignment horizontal="center" vertical="center"/>
    </xf>
    <xf numFmtId="0" fontId="6" fillId="4" borderId="16" xfId="1" applyFont="1" applyFill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178" fontId="14" fillId="7" borderId="3" xfId="1" applyNumberFormat="1" applyFont="1" applyFill="1" applyBorder="1" applyAlignment="1">
      <alignment horizontal="center" vertical="center"/>
    </xf>
    <xf numFmtId="178" fontId="14" fillId="7" borderId="1" xfId="1" applyNumberFormat="1" applyFont="1" applyFill="1" applyBorder="1" applyAlignment="1">
      <alignment horizontal="center" vertical="center"/>
    </xf>
    <xf numFmtId="178" fontId="14" fillId="7" borderId="3" xfId="3" applyNumberFormat="1" applyFont="1" applyFill="1" applyBorder="1" applyAlignment="1">
      <alignment horizontal="center" vertical="center"/>
    </xf>
    <xf numFmtId="178" fontId="14" fillId="7" borderId="1" xfId="3" applyNumberFormat="1" applyFont="1" applyFill="1" applyBorder="1" applyAlignment="1">
      <alignment horizontal="center" vertical="center"/>
    </xf>
    <xf numFmtId="179" fontId="14" fillId="7" borderId="3" xfId="3" applyNumberFormat="1" applyFont="1" applyFill="1" applyBorder="1" applyAlignment="1">
      <alignment horizontal="center" vertical="center"/>
    </xf>
    <xf numFmtId="179" fontId="14" fillId="7" borderId="1" xfId="3" applyNumberFormat="1" applyFont="1" applyFill="1" applyBorder="1" applyAlignment="1">
      <alignment horizontal="center" vertical="center"/>
    </xf>
    <xf numFmtId="180" fontId="14" fillId="0" borderId="3" xfId="5" applyNumberFormat="1" applyFont="1" applyFill="1" applyBorder="1" applyAlignment="1">
      <alignment horizontal="center" vertical="center"/>
    </xf>
    <xf numFmtId="180" fontId="14" fillId="0" borderId="1" xfId="5" applyNumberFormat="1" applyFont="1" applyFill="1" applyBorder="1" applyAlignment="1">
      <alignment horizontal="center" vertical="center"/>
    </xf>
    <xf numFmtId="178" fontId="6" fillId="0" borderId="3" xfId="3" applyNumberFormat="1" applyFont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179" fontId="6" fillId="0" borderId="3" xfId="3" applyNumberFormat="1" applyFont="1" applyBorder="1" applyAlignment="1">
      <alignment horizontal="center" vertical="center"/>
    </xf>
    <xf numFmtId="179" fontId="6" fillId="0" borderId="1" xfId="3" applyNumberFormat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1" fillId="3" borderId="1" xfId="4" applyFont="1" applyFill="1" applyBorder="1" applyAlignment="1">
      <alignment horizontal="center" vertical="center"/>
    </xf>
    <xf numFmtId="0" fontId="11" fillId="3" borderId="2" xfId="4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76" fontId="6" fillId="4" borderId="3" xfId="3" applyNumberFormat="1" applyFont="1" applyFill="1" applyBorder="1" applyAlignment="1">
      <alignment horizontal="center" vertical="center"/>
    </xf>
    <xf numFmtId="176" fontId="6" fillId="4" borderId="1" xfId="3" applyNumberFormat="1" applyFont="1" applyFill="1" applyBorder="1" applyAlignment="1">
      <alignment horizontal="center" vertical="center"/>
    </xf>
    <xf numFmtId="176" fontId="6" fillId="5" borderId="3" xfId="3" applyNumberFormat="1" applyFont="1" applyFill="1" applyBorder="1" applyAlignment="1">
      <alignment horizontal="center" vertical="center"/>
    </xf>
    <xf numFmtId="176" fontId="6" fillId="5" borderId="1" xfId="3" applyNumberFormat="1" applyFont="1" applyFill="1" applyBorder="1" applyAlignment="1">
      <alignment horizontal="center" vertical="center"/>
    </xf>
    <xf numFmtId="176" fontId="6" fillId="6" borderId="3" xfId="3" applyNumberFormat="1" applyFont="1" applyFill="1" applyBorder="1" applyAlignment="1">
      <alignment horizontal="center" vertical="center"/>
    </xf>
    <xf numFmtId="176" fontId="6" fillId="6" borderId="1" xfId="3" applyNumberFormat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78" fontId="6" fillId="0" borderId="3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176" fontId="6" fillId="0" borderId="3" xfId="3" applyNumberFormat="1" applyFont="1" applyBorder="1" applyAlignment="1">
      <alignment horizontal="center" vertical="center"/>
    </xf>
    <xf numFmtId="176" fontId="6" fillId="0" borderId="1" xfId="3" applyNumberFormat="1" applyFont="1" applyBorder="1" applyAlignment="1">
      <alignment horizontal="center" vertical="center"/>
    </xf>
    <xf numFmtId="177" fontId="6" fillId="0" borderId="3" xfId="3" applyNumberFormat="1" applyFont="1" applyBorder="1" applyAlignment="1">
      <alignment horizontal="center" vertical="center"/>
    </xf>
    <xf numFmtId="177" fontId="6" fillId="0" borderId="1" xfId="3" applyNumberFormat="1" applyFont="1" applyBorder="1" applyAlignment="1">
      <alignment horizontal="center" vertical="center"/>
    </xf>
    <xf numFmtId="0" fontId="5" fillId="6" borderId="2" xfId="97" applyFont="1" applyFill="1" applyBorder="1" applyAlignment="1">
      <alignment horizontal="center" vertical="center" wrapText="1"/>
    </xf>
    <xf numFmtId="0" fontId="5" fillId="15" borderId="2" xfId="97" applyFont="1" applyFill="1" applyBorder="1" applyAlignment="1"/>
    <xf numFmtId="0" fontId="5" fillId="24" borderId="2" xfId="97" applyFont="1" applyFill="1" applyBorder="1" applyAlignment="1">
      <alignment horizontal="center" vertical="center" wrapText="1"/>
    </xf>
    <xf numFmtId="0" fontId="5" fillId="24" borderId="2" xfId="97" applyFont="1" applyFill="1" applyBorder="1" applyAlignment="1">
      <alignment horizontal="center" vertical="center"/>
    </xf>
    <xf numFmtId="0" fontId="5" fillId="15" borderId="36" xfId="97" applyFont="1" applyFill="1" applyBorder="1" applyAlignment="1"/>
    <xf numFmtId="0" fontId="5" fillId="17" borderId="82" xfId="97" applyFont="1" applyFill="1" applyBorder="1" applyAlignment="1">
      <alignment horizontal="center" vertical="center" wrapText="1"/>
    </xf>
    <xf numFmtId="0" fontId="5" fillId="17" borderId="84" xfId="97" applyFont="1" applyFill="1" applyBorder="1" applyAlignment="1">
      <alignment horizontal="center" vertical="center" wrapText="1"/>
    </xf>
    <xf numFmtId="0" fontId="5" fillId="17" borderId="85" xfId="97" applyFont="1" applyFill="1" applyBorder="1" applyAlignment="1">
      <alignment horizontal="center" vertical="center" wrapText="1"/>
    </xf>
    <xf numFmtId="0" fontId="5" fillId="15" borderId="3" xfId="97" applyFont="1" applyFill="1" applyBorder="1" applyAlignment="1"/>
    <xf numFmtId="0" fontId="5" fillId="15" borderId="1" xfId="97" applyFont="1" applyFill="1" applyBorder="1" applyAlignment="1"/>
    <xf numFmtId="0" fontId="5" fillId="25" borderId="87" xfId="97" applyFont="1" applyFill="1" applyBorder="1" applyAlignment="1">
      <alignment horizontal="center" vertical="center" wrapText="1"/>
    </xf>
    <xf numFmtId="0" fontId="5" fillId="15" borderId="37" xfId="97" applyFont="1" applyFill="1" applyBorder="1" applyAlignment="1"/>
    <xf numFmtId="0" fontId="5" fillId="15" borderId="88" xfId="97" applyFont="1" applyFill="1" applyBorder="1" applyAlignment="1"/>
    <xf numFmtId="0" fontId="5" fillId="22" borderId="90" xfId="97" applyFont="1" applyFill="1" applyBorder="1" applyAlignment="1">
      <alignment horizontal="center" vertical="center" wrapText="1"/>
    </xf>
    <xf numFmtId="0" fontId="5" fillId="22" borderId="85" xfId="97" applyFont="1" applyFill="1" applyBorder="1" applyAlignment="1">
      <alignment horizontal="center" vertical="center" wrapText="1"/>
    </xf>
    <xf numFmtId="0" fontId="5" fillId="22" borderId="86" xfId="97" applyFont="1" applyFill="1" applyBorder="1" applyAlignment="1">
      <alignment horizontal="center" vertical="center" wrapText="1"/>
    </xf>
    <xf numFmtId="0" fontId="5" fillId="15" borderId="39" xfId="97" applyFont="1" applyFill="1" applyBorder="1" applyAlignment="1"/>
    <xf numFmtId="0" fontId="5" fillId="23" borderId="87" xfId="97" applyFont="1" applyFill="1" applyBorder="1" applyAlignment="1">
      <alignment horizontal="center" vertical="center" wrapText="1"/>
    </xf>
    <xf numFmtId="0" fontId="5" fillId="0" borderId="3" xfId="97" applyFont="1" applyBorder="1" applyAlignment="1"/>
    <xf numFmtId="0" fontId="5" fillId="0" borderId="37" xfId="97" applyFont="1" applyBorder="1" applyAlignment="1"/>
    <xf numFmtId="0" fontId="5" fillId="8" borderId="87" xfId="97" applyFont="1" applyFill="1" applyBorder="1" applyAlignment="1">
      <alignment horizontal="center" vertical="center" wrapText="1"/>
    </xf>
    <xf numFmtId="0" fontId="5" fillId="8" borderId="87" xfId="97" applyFont="1" applyFill="1" applyBorder="1" applyAlignment="1">
      <alignment horizontal="center" vertical="center"/>
    </xf>
    <xf numFmtId="0" fontId="5" fillId="9" borderId="82" xfId="97" applyFont="1" applyFill="1" applyBorder="1" applyAlignment="1">
      <alignment horizontal="center" vertical="center" wrapText="1"/>
    </xf>
    <xf numFmtId="0" fontId="5" fillId="9" borderId="84" xfId="97" applyFont="1" applyFill="1" applyBorder="1" applyAlignment="1">
      <alignment horizontal="center" vertical="center" wrapText="1"/>
    </xf>
    <xf numFmtId="0" fontId="5" fillId="9" borderId="85" xfId="97" applyFont="1" applyFill="1" applyBorder="1" applyAlignment="1">
      <alignment horizontal="center" vertical="center" wrapText="1"/>
    </xf>
    <xf numFmtId="0" fontId="5" fillId="9" borderId="83" xfId="97" applyFont="1" applyFill="1" applyBorder="1" applyAlignment="1">
      <alignment horizontal="center" vertical="center" wrapText="1"/>
    </xf>
    <xf numFmtId="0" fontId="5" fillId="0" borderId="4" xfId="97" applyFont="1" applyBorder="1" applyAlignment="1">
      <alignment horizontal="left" vertical="center"/>
    </xf>
    <xf numFmtId="0" fontId="5" fillId="0" borderId="5" xfId="97" applyFont="1" applyBorder="1" applyAlignment="1">
      <alignment horizontal="left" vertical="center"/>
    </xf>
    <xf numFmtId="0" fontId="5" fillId="7" borderId="90" xfId="97" applyFont="1" applyFill="1" applyBorder="1" applyAlignment="1">
      <alignment horizontal="center" vertical="center" wrapText="1"/>
    </xf>
    <xf numFmtId="0" fontId="5" fillId="7" borderId="85" xfId="97" applyFont="1" applyFill="1" applyBorder="1" applyAlignment="1">
      <alignment horizontal="center" vertical="center" wrapText="1"/>
    </xf>
    <xf numFmtId="0" fontId="5" fillId="7" borderId="86" xfId="97" applyFont="1" applyFill="1" applyBorder="1" applyAlignment="1">
      <alignment horizontal="center" vertical="center" wrapText="1"/>
    </xf>
    <xf numFmtId="0" fontId="39" fillId="3" borderId="46" xfId="97" applyFont="1" applyFill="1" applyBorder="1" applyAlignment="1">
      <alignment horizontal="center" vertical="center"/>
    </xf>
    <xf numFmtId="0" fontId="5" fillId="4" borderId="84" xfId="97" applyFont="1" applyFill="1" applyBorder="1" applyAlignment="1">
      <alignment horizontal="center" vertical="center"/>
    </xf>
    <xf numFmtId="0" fontId="5" fillId="4" borderId="85" xfId="97" applyFont="1" applyFill="1" applyBorder="1" applyAlignment="1">
      <alignment horizontal="center" vertical="center"/>
    </xf>
    <xf numFmtId="0" fontId="5" fillId="4" borderId="83" xfId="97" applyFont="1" applyFill="1" applyBorder="1" applyAlignment="1">
      <alignment horizontal="center" vertical="center"/>
    </xf>
    <xf numFmtId="0" fontId="5" fillId="13" borderId="84" xfId="97" applyFont="1" applyFill="1" applyBorder="1" applyAlignment="1">
      <alignment horizontal="center" vertical="center" wrapText="1"/>
    </xf>
    <xf numFmtId="0" fontId="5" fillId="13" borderId="85" xfId="97" applyFont="1" applyFill="1" applyBorder="1" applyAlignment="1">
      <alignment horizontal="center" vertical="center" wrapText="1"/>
    </xf>
    <xf numFmtId="0" fontId="5" fillId="13" borderId="86" xfId="97" applyFont="1" applyFill="1" applyBorder="1" applyAlignment="1">
      <alignment horizontal="center" vertical="center" wrapText="1"/>
    </xf>
    <xf numFmtId="0" fontId="5" fillId="0" borderId="8" xfId="97" applyFont="1" applyBorder="1" applyAlignment="1">
      <alignment horizontal="left" vertical="center"/>
    </xf>
    <xf numFmtId="0" fontId="5" fillId="0" borderId="9" xfId="97" applyFont="1" applyBorder="1" applyAlignment="1">
      <alignment horizontal="left" vertical="center"/>
    </xf>
    <xf numFmtId="0" fontId="39" fillId="3" borderId="39" xfId="97" applyFont="1" applyFill="1" applyBorder="1" applyAlignment="1">
      <alignment horizontal="center" vertical="center"/>
    </xf>
    <xf numFmtId="0" fontId="5" fillId="13" borderId="46" xfId="97" applyFont="1" applyFill="1" applyBorder="1" applyAlignment="1">
      <alignment horizontal="center" vertical="center"/>
    </xf>
    <xf numFmtId="0" fontId="5" fillId="13" borderId="39" xfId="97" applyFont="1" applyFill="1" applyBorder="1" applyAlignment="1">
      <alignment horizontal="center" vertical="center"/>
    </xf>
    <xf numFmtId="0" fontId="5" fillId="21" borderId="46" xfId="97" applyFont="1" applyFill="1" applyBorder="1" applyAlignment="1">
      <alignment horizontal="center" vertical="center"/>
    </xf>
    <xf numFmtId="0" fontId="5" fillId="21" borderId="39" xfId="97" applyFont="1" applyFill="1" applyBorder="1" applyAlignment="1">
      <alignment horizontal="center" vertical="center"/>
    </xf>
    <xf numFmtId="0" fontId="5" fillId="0" borderId="46" xfId="97" applyFont="1" applyBorder="1" applyAlignment="1">
      <alignment horizontal="center" vertical="center"/>
    </xf>
    <xf numFmtId="0" fontId="5" fillId="0" borderId="46" xfId="97" applyFont="1" applyBorder="1" applyAlignment="1">
      <alignment horizontal="center" vertical="center" wrapText="1"/>
    </xf>
    <xf numFmtId="0" fontId="5" fillId="0" borderId="39" xfId="97" applyFont="1" applyBorder="1" applyAlignment="1">
      <alignment horizontal="center" vertical="center" wrapText="1"/>
    </xf>
    <xf numFmtId="0" fontId="45" fillId="0" borderId="75" xfId="97" applyFont="1" applyBorder="1" applyAlignment="1">
      <alignment horizontal="center" vertical="center"/>
    </xf>
    <xf numFmtId="0" fontId="45" fillId="0" borderId="76" xfId="97" applyFont="1" applyBorder="1" applyAlignment="1">
      <alignment horizontal="center" vertical="center"/>
    </xf>
    <xf numFmtId="0" fontId="45" fillId="0" borderId="77" xfId="97" applyFont="1" applyBorder="1" applyAlignment="1">
      <alignment horizontal="center" vertical="center"/>
    </xf>
    <xf numFmtId="0" fontId="45" fillId="0" borderId="79" xfId="97" applyFont="1" applyBorder="1" applyAlignment="1">
      <alignment horizontal="center" vertical="center"/>
    </xf>
    <xf numFmtId="0" fontId="45" fillId="0" borderId="80" xfId="97" applyFont="1" applyBorder="1" applyAlignment="1">
      <alignment horizontal="center" vertical="center"/>
    </xf>
    <xf numFmtId="0" fontId="45" fillId="0" borderId="81" xfId="97" applyFont="1" applyBorder="1" applyAlignment="1">
      <alignment horizontal="center" vertical="center"/>
    </xf>
    <xf numFmtId="0" fontId="15" fillId="0" borderId="78" xfId="97" applyFont="1" applyBorder="1" applyAlignment="1">
      <alignment horizontal="left" vertical="center"/>
    </xf>
    <xf numFmtId="0" fontId="15" fillId="0" borderId="1" xfId="97" applyFont="1" applyBorder="1" applyAlignment="1">
      <alignment horizontal="left" vertical="center"/>
    </xf>
    <xf numFmtId="0" fontId="5" fillId="0" borderId="82" xfId="97" applyFont="1" applyBorder="1" applyAlignment="1">
      <alignment horizontal="center" vertical="center"/>
    </xf>
    <xf numFmtId="0" fontId="5" fillId="0" borderId="83" xfId="97" applyFont="1" applyBorder="1" applyAlignment="1">
      <alignment horizontal="center" vertical="center"/>
    </xf>
    <xf numFmtId="0" fontId="5" fillId="0" borderId="3" xfId="97" applyFont="1" applyBorder="1" applyAlignment="1">
      <alignment horizontal="center" vertical="center"/>
    </xf>
    <xf numFmtId="0" fontId="5" fillId="0" borderId="2" xfId="97" applyFont="1" applyBorder="1" applyAlignment="1">
      <alignment horizontal="center" vertical="center"/>
    </xf>
    <xf numFmtId="2" fontId="5" fillId="0" borderId="2" xfId="97" applyNumberFormat="1" applyFont="1" applyBorder="1" applyAlignment="1">
      <alignment horizontal="center" vertical="center"/>
    </xf>
    <xf numFmtId="0" fontId="39" fillId="3" borderId="2" xfId="97" applyFont="1" applyFill="1" applyBorder="1" applyAlignment="1">
      <alignment horizontal="center" vertical="center"/>
    </xf>
    <xf numFmtId="0" fontId="5" fillId="0" borderId="2" xfId="97" applyFont="1" applyFill="1" applyBorder="1" applyAlignment="1">
      <alignment horizontal="center" vertical="center"/>
    </xf>
    <xf numFmtId="0" fontId="5" fillId="0" borderId="3" xfId="97" applyFont="1" applyBorder="1" applyAlignment="1">
      <alignment horizontal="center" vertical="center" wrapText="1"/>
    </xf>
    <xf numFmtId="0" fontId="5" fillId="0" borderId="4" xfId="97" applyFont="1" applyBorder="1" applyAlignment="1">
      <alignment horizontal="center" vertical="center" wrapText="1"/>
    </xf>
    <xf numFmtId="0" fontId="36" fillId="0" borderId="39" xfId="4" applyFont="1" applyBorder="1" applyAlignment="1">
      <alignment horizontal="center" vertical="center"/>
    </xf>
    <xf numFmtId="0" fontId="36" fillId="15" borderId="2" xfId="4" applyFont="1" applyFill="1" applyBorder="1" applyAlignment="1"/>
    <xf numFmtId="0" fontId="36" fillId="0" borderId="2" xfId="4" applyFont="1" applyBorder="1" applyAlignment="1">
      <alignment horizontal="center" vertical="center"/>
    </xf>
    <xf numFmtId="0" fontId="42" fillId="7" borderId="2" xfId="4" applyFont="1" applyFill="1" applyBorder="1" applyAlignment="1">
      <alignment horizontal="center" vertical="center" wrapText="1"/>
    </xf>
    <xf numFmtId="180" fontId="36" fillId="0" borderId="2" xfId="341" applyNumberFormat="1" applyFont="1" applyBorder="1" applyAlignment="1">
      <alignment horizontal="center" vertical="center"/>
    </xf>
    <xf numFmtId="0" fontId="36" fillId="15" borderId="51" xfId="4" applyFont="1" applyFill="1" applyBorder="1" applyAlignment="1"/>
    <xf numFmtId="0" fontId="36" fillId="15" borderId="40" xfId="4" applyFont="1" applyFill="1" applyBorder="1" applyAlignment="1"/>
    <xf numFmtId="0" fontId="36" fillId="20" borderId="0" xfId="4" applyFont="1" applyFill="1" applyAlignment="1">
      <alignment horizontal="center" vertical="center" wrapText="1"/>
    </xf>
    <xf numFmtId="180" fontId="44" fillId="0" borderId="36" xfId="341" applyNumberFormat="1" applyFont="1" applyBorder="1" applyAlignment="1">
      <alignment horizontal="center" vertical="center"/>
    </xf>
    <xf numFmtId="180" fontId="44" fillId="0" borderId="38" xfId="341" applyNumberFormat="1" applyFont="1" applyBorder="1" applyAlignment="1">
      <alignment horizontal="center" vertical="center"/>
    </xf>
    <xf numFmtId="180" fontId="36" fillId="0" borderId="36" xfId="341" applyNumberFormat="1" applyFont="1" applyBorder="1" applyAlignment="1">
      <alignment horizontal="center" vertical="center"/>
    </xf>
    <xf numFmtId="0" fontId="36" fillId="19" borderId="40" xfId="4" applyFont="1" applyFill="1" applyBorder="1" applyAlignment="1">
      <alignment horizontal="center" vertical="center" wrapText="1"/>
    </xf>
    <xf numFmtId="0" fontId="36" fillId="19" borderId="7" xfId="4" applyFont="1" applyFill="1" applyBorder="1" applyAlignment="1">
      <alignment horizontal="center" vertical="center" wrapText="1"/>
    </xf>
    <xf numFmtId="0" fontId="36" fillId="19" borderId="68" xfId="4" applyFont="1" applyFill="1" applyBorder="1" applyAlignment="1">
      <alignment horizontal="center" vertical="center" wrapText="1"/>
    </xf>
    <xf numFmtId="0" fontId="36" fillId="19" borderId="69" xfId="4" applyFont="1" applyFill="1" applyBorder="1" applyAlignment="1">
      <alignment horizontal="center" vertical="center" wrapText="1"/>
    </xf>
    <xf numFmtId="180" fontId="36" fillId="0" borderId="7" xfId="341" applyNumberFormat="1" applyFont="1" applyBorder="1" applyAlignment="1">
      <alignment horizontal="center" vertical="center"/>
    </xf>
    <xf numFmtId="180" fontId="36" fillId="0" borderId="6" xfId="341" applyNumberFormat="1" applyFont="1" applyBorder="1" applyAlignment="1">
      <alignment horizontal="center" vertical="center"/>
    </xf>
    <xf numFmtId="180" fontId="36" fillId="0" borderId="66" xfId="341" applyNumberFormat="1" applyFont="1" applyBorder="1" applyAlignment="1">
      <alignment horizontal="center" vertical="center"/>
    </xf>
    <xf numFmtId="0" fontId="36" fillId="18" borderId="39" xfId="4" applyFont="1" applyFill="1" applyBorder="1" applyAlignment="1">
      <alignment horizontal="center" vertical="center" wrapText="1"/>
    </xf>
    <xf numFmtId="180" fontId="36" fillId="0" borderId="39" xfId="341" applyNumberFormat="1" applyFont="1" applyBorder="1" applyAlignment="1">
      <alignment horizontal="center" vertical="center"/>
    </xf>
    <xf numFmtId="180" fontId="36" fillId="0" borderId="47" xfId="341" applyNumberFormat="1" applyFont="1" applyBorder="1" applyAlignment="1">
      <alignment horizontal="center" vertical="center"/>
    </xf>
    <xf numFmtId="180" fontId="36" fillId="0" borderId="46" xfId="341" applyNumberFormat="1" applyFont="1" applyBorder="1" applyAlignment="1">
      <alignment horizontal="center" vertical="center"/>
    </xf>
    <xf numFmtId="180" fontId="36" fillId="0" borderId="40" xfId="341" applyNumberFormat="1" applyFont="1" applyBorder="1" applyAlignment="1">
      <alignment horizontal="center" vertical="center"/>
    </xf>
    <xf numFmtId="0" fontId="36" fillId="13" borderId="64" xfId="4" applyFont="1" applyFill="1" applyBorder="1" applyAlignment="1">
      <alignment horizontal="center" vertical="center" wrapText="1"/>
    </xf>
    <xf numFmtId="0" fontId="36" fillId="13" borderId="0" xfId="4" applyFont="1" applyFill="1" applyAlignment="1">
      <alignment horizontal="center" vertical="center" wrapText="1"/>
    </xf>
    <xf numFmtId="0" fontId="36" fillId="13" borderId="60" xfId="4" applyFont="1" applyFill="1" applyBorder="1" applyAlignment="1">
      <alignment horizontal="center" vertical="center" wrapText="1"/>
    </xf>
    <xf numFmtId="180" fontId="36" fillId="0" borderId="65" xfId="341" applyNumberFormat="1" applyFont="1" applyBorder="1" applyAlignment="1">
      <alignment horizontal="center" vertical="center"/>
    </xf>
    <xf numFmtId="0" fontId="36" fillId="7" borderId="2" xfId="4" applyFont="1" applyFill="1" applyBorder="1" applyAlignment="1">
      <alignment horizontal="center" vertical="center" wrapText="1"/>
    </xf>
    <xf numFmtId="180" fontId="36" fillId="0" borderId="51" xfId="341" applyNumberFormat="1" applyFont="1" applyBorder="1" applyAlignment="1">
      <alignment horizontal="center" vertical="center"/>
    </xf>
    <xf numFmtId="0" fontId="36" fillId="17" borderId="40" xfId="4" applyFont="1" applyFill="1" applyBorder="1" applyAlignment="1">
      <alignment horizontal="center" vertical="center" wrapText="1"/>
    </xf>
    <xf numFmtId="0" fontId="36" fillId="17" borderId="7" xfId="4" applyFont="1" applyFill="1" applyBorder="1" applyAlignment="1">
      <alignment horizontal="center" vertical="center" wrapText="1"/>
    </xf>
    <xf numFmtId="0" fontId="36" fillId="9" borderId="39" xfId="4" applyFont="1" applyFill="1" applyBorder="1" applyAlignment="1">
      <alignment horizontal="center" vertical="center" wrapText="1"/>
    </xf>
    <xf numFmtId="0" fontId="36" fillId="9" borderId="39" xfId="4" applyFont="1" applyFill="1" applyBorder="1" applyAlignment="1">
      <alignment horizontal="center" vertical="center"/>
    </xf>
    <xf numFmtId="0" fontId="36" fillId="5" borderId="39" xfId="4" applyFont="1" applyFill="1" applyBorder="1" applyAlignment="1">
      <alignment horizontal="center" vertical="center" wrapText="1"/>
    </xf>
    <xf numFmtId="0" fontId="36" fillId="5" borderId="39" xfId="4" applyFont="1" applyFill="1" applyBorder="1" applyAlignment="1">
      <alignment horizontal="center" vertical="center"/>
    </xf>
    <xf numFmtId="0" fontId="36" fillId="0" borderId="44" xfId="4" applyFont="1" applyBorder="1" applyAlignment="1">
      <alignment horizontal="center" vertical="center"/>
    </xf>
    <xf numFmtId="0" fontId="36" fillId="0" borderId="47" xfId="4" applyFont="1" applyBorder="1" applyAlignment="1">
      <alignment horizontal="center" vertical="center"/>
    </xf>
    <xf numFmtId="0" fontId="43" fillId="16" borderId="49" xfId="136" applyFont="1" applyFill="1" applyBorder="1" applyAlignment="1">
      <alignment horizontal="center" vertical="center" wrapText="1"/>
    </xf>
    <xf numFmtId="0" fontId="43" fillId="16" borderId="0" xfId="136" applyFont="1" applyFill="1" applyAlignment="1">
      <alignment horizontal="center" vertical="center" wrapText="1"/>
    </xf>
    <xf numFmtId="0" fontId="43" fillId="16" borderId="60" xfId="136" applyFont="1" applyFill="1" applyBorder="1" applyAlignment="1">
      <alignment horizontal="center" vertical="center" wrapText="1"/>
    </xf>
    <xf numFmtId="180" fontId="5" fillId="0" borderId="2" xfId="5" applyNumberFormat="1" applyFont="1" applyBorder="1" applyAlignment="1">
      <alignment horizontal="center" vertical="center"/>
    </xf>
    <xf numFmtId="0" fontId="36" fillId="5" borderId="59" xfId="4" applyFont="1" applyFill="1" applyBorder="1" applyAlignment="1">
      <alignment horizontal="center" vertical="center" wrapText="1"/>
    </xf>
    <xf numFmtId="0" fontId="36" fillId="5" borderId="44" xfId="4" applyFont="1" applyFill="1" applyBorder="1" applyAlignment="1">
      <alignment horizontal="center" vertical="center"/>
    </xf>
    <xf numFmtId="180" fontId="36" fillId="0" borderId="31" xfId="341" applyNumberFormat="1" applyFont="1" applyBorder="1" applyAlignment="1">
      <alignment horizontal="center" vertical="center"/>
    </xf>
    <xf numFmtId="0" fontId="36" fillId="15" borderId="31" xfId="4" applyFont="1" applyFill="1" applyBorder="1" applyAlignment="1"/>
    <xf numFmtId="180" fontId="36" fillId="0" borderId="54" xfId="341" applyNumberFormat="1" applyFont="1" applyBorder="1" applyAlignment="1">
      <alignment horizontal="center" vertical="center"/>
    </xf>
    <xf numFmtId="180" fontId="36" fillId="0" borderId="56" xfId="341" applyNumberFormat="1" applyFont="1" applyBorder="1" applyAlignment="1">
      <alignment horizontal="center" vertical="center"/>
    </xf>
    <xf numFmtId="180" fontId="36" fillId="0" borderId="57" xfId="341" applyNumberFormat="1" applyFont="1" applyBorder="1" applyAlignment="1">
      <alignment horizontal="center" vertical="center"/>
    </xf>
    <xf numFmtId="180" fontId="36" fillId="0" borderId="58" xfId="341" applyNumberFormat="1" applyFont="1" applyBorder="1" applyAlignment="1">
      <alignment horizontal="center" vertical="center"/>
    </xf>
    <xf numFmtId="0" fontId="12" fillId="0" borderId="2" xfId="4" applyFont="1" applyBorder="1" applyAlignment="1">
      <alignment horizontal="center" vertical="center" wrapText="1"/>
    </xf>
    <xf numFmtId="0" fontId="12" fillId="0" borderId="2" xfId="4" applyFont="1" applyBorder="1" applyAlignment="1">
      <alignment horizontal="center" vertical="center"/>
    </xf>
    <xf numFmtId="0" fontId="39" fillId="3" borderId="44" xfId="4" applyFont="1" applyFill="1" applyBorder="1" applyAlignment="1">
      <alignment horizontal="center" vertical="center" wrapText="1"/>
    </xf>
    <xf numFmtId="0" fontId="39" fillId="3" borderId="45" xfId="4" applyFont="1" applyFill="1" applyBorder="1" applyAlignment="1">
      <alignment horizontal="center" vertical="center" wrapText="1"/>
    </xf>
    <xf numFmtId="0" fontId="36" fillId="13" borderId="39" xfId="4" applyFont="1" applyFill="1" applyBorder="1" applyAlignment="1">
      <alignment horizontal="center" vertical="center"/>
    </xf>
    <xf numFmtId="0" fontId="36" fillId="7" borderId="39" xfId="4" applyFont="1" applyFill="1" applyBorder="1" applyAlignment="1">
      <alignment horizontal="center" vertical="center"/>
    </xf>
    <xf numFmtId="0" fontId="36" fillId="4" borderId="2" xfId="4" applyFont="1" applyFill="1" applyBorder="1" applyAlignment="1">
      <alignment horizontal="center" vertical="center" wrapText="1"/>
    </xf>
    <xf numFmtId="0" fontId="36" fillId="4" borderId="2" xfId="4" applyFont="1" applyFill="1" applyBorder="1" applyAlignment="1">
      <alignment horizontal="center" vertical="center"/>
    </xf>
    <xf numFmtId="0" fontId="36" fillId="4" borderId="36" xfId="4" applyFont="1" applyFill="1" applyBorder="1" applyAlignment="1">
      <alignment horizontal="center" vertical="center"/>
    </xf>
    <xf numFmtId="0" fontId="39" fillId="3" borderId="39" xfId="4" applyFont="1" applyFill="1" applyBorder="1" applyAlignment="1">
      <alignment horizontal="center" vertical="center"/>
    </xf>
    <xf numFmtId="0" fontId="39" fillId="3" borderId="39" xfId="4" applyFont="1" applyFill="1" applyBorder="1" applyAlignment="1">
      <alignment horizontal="center" vertical="center" wrapText="1"/>
    </xf>
    <xf numFmtId="0" fontId="36" fillId="0" borderId="39" xfId="4" applyFont="1" applyBorder="1" applyAlignment="1">
      <alignment horizontal="center" vertical="center" wrapText="1"/>
    </xf>
    <xf numFmtId="0" fontId="40" fillId="3" borderId="44" xfId="4" applyFont="1" applyFill="1" applyBorder="1" applyAlignment="1">
      <alignment horizontal="center" vertical="center" wrapText="1"/>
    </xf>
    <xf numFmtId="0" fontId="40" fillId="3" borderId="45" xfId="4" applyFont="1" applyFill="1" applyBorder="1" applyAlignment="1">
      <alignment horizontal="center" vertical="center" wrapText="1"/>
    </xf>
    <xf numFmtId="0" fontId="36" fillId="4" borderId="39" xfId="4" applyFont="1" applyFill="1" applyBorder="1" applyAlignment="1">
      <alignment horizontal="center" vertical="center"/>
    </xf>
    <xf numFmtId="0" fontId="36" fillId="0" borderId="40" xfId="4" applyFont="1" applyBorder="1" applyAlignment="1">
      <alignment horizontal="center" vertical="center"/>
    </xf>
    <xf numFmtId="0" fontId="36" fillId="0" borderId="46" xfId="4" applyFont="1" applyBorder="1" applyAlignment="1">
      <alignment horizontal="center" vertical="center"/>
    </xf>
    <xf numFmtId="0" fontId="35" fillId="0" borderId="39" xfId="4" applyFont="1" applyBorder="1" applyAlignment="1">
      <alignment horizontal="left" vertical="center"/>
    </xf>
    <xf numFmtId="0" fontId="37" fillId="0" borderId="39" xfId="4" applyFont="1" applyBorder="1" applyAlignment="1">
      <alignment horizontal="center" vertical="center"/>
    </xf>
    <xf numFmtId="0" fontId="6" fillId="0" borderId="41" xfId="98" applyFont="1" applyBorder="1" applyAlignment="1">
      <alignment horizontal="center" vertical="center" wrapText="1"/>
    </xf>
    <xf numFmtId="0" fontId="6" fillId="0" borderId="42" xfId="98" applyFont="1" applyBorder="1" applyAlignment="1">
      <alignment horizontal="center" vertical="center" wrapText="1"/>
    </xf>
    <xf numFmtId="0" fontId="6" fillId="0" borderId="43" xfId="98" applyFont="1" applyBorder="1" applyAlignment="1">
      <alignment horizontal="center" vertical="center" wrapText="1"/>
    </xf>
    <xf numFmtId="0" fontId="6" fillId="0" borderId="0" xfId="98" applyFont="1" applyBorder="1" applyAlignment="1">
      <alignment horizontal="center" vertical="center" wrapText="1"/>
    </xf>
    <xf numFmtId="0" fontId="35" fillId="0" borderId="39" xfId="4" applyFont="1" applyBorder="1" applyAlignment="1">
      <alignment horizontal="center" vertical="center"/>
    </xf>
    <xf numFmtId="0" fontId="1" fillId="0" borderId="0" xfId="1" applyFont="1">
      <alignment vertical="center"/>
    </xf>
    <xf numFmtId="20" fontId="1" fillId="0" borderId="2" xfId="1" applyNumberFormat="1" applyFont="1" applyBorder="1" applyAlignment="1">
      <alignment horizontal="center" vertical="center" wrapText="1"/>
    </xf>
    <xf numFmtId="20" fontId="1" fillId="0" borderId="18" xfId="1" applyNumberFormat="1" applyFont="1" applyBorder="1" applyAlignment="1">
      <alignment horizontal="center" vertical="center" wrapText="1"/>
    </xf>
    <xf numFmtId="181" fontId="1" fillId="5" borderId="2" xfId="1" applyNumberFormat="1" applyFont="1" applyFill="1" applyBorder="1" applyAlignment="1">
      <alignment horizontal="center" vertical="center" wrapText="1"/>
    </xf>
    <xf numFmtId="181" fontId="1" fillId="5" borderId="18" xfId="1" applyNumberFormat="1" applyFont="1" applyFill="1" applyBorder="1" applyAlignment="1">
      <alignment horizontal="center" vertical="center" wrapText="1"/>
    </xf>
    <xf numFmtId="181" fontId="1" fillId="0" borderId="2" xfId="1" applyNumberFormat="1" applyFont="1" applyBorder="1" applyAlignment="1">
      <alignment horizontal="center" vertical="center" wrapText="1"/>
    </xf>
    <xf numFmtId="181" fontId="1" fillId="0" borderId="18" xfId="1" applyNumberFormat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180" fontId="1" fillId="0" borderId="18" xfId="6" applyNumberFormat="1" applyFont="1" applyBorder="1" applyAlignment="1">
      <alignment horizontal="center" vertical="center"/>
    </xf>
    <xf numFmtId="0" fontId="1" fillId="0" borderId="26" xfId="1" applyFont="1" applyBorder="1">
      <alignment vertical="center"/>
    </xf>
    <xf numFmtId="0" fontId="1" fillId="0" borderId="26" xfId="1" applyFont="1" applyBorder="1" applyAlignment="1">
      <alignment horizontal="center" vertical="center"/>
    </xf>
    <xf numFmtId="0" fontId="1" fillId="0" borderId="27" xfId="1" applyFont="1" applyBorder="1">
      <alignment vertical="center"/>
    </xf>
    <xf numFmtId="178" fontId="1" fillId="0" borderId="2" xfId="1" applyNumberFormat="1" applyFont="1" applyBorder="1" applyAlignment="1">
      <alignment horizontal="center" vertical="center"/>
    </xf>
    <xf numFmtId="178" fontId="1" fillId="0" borderId="3" xfId="1" applyNumberFormat="1" applyFont="1" applyBorder="1" applyAlignment="1">
      <alignment horizontal="center" vertical="center"/>
    </xf>
    <xf numFmtId="178" fontId="1" fillId="0" borderId="33" xfId="1" applyNumberFormat="1" applyFont="1" applyBorder="1" applyAlignment="1">
      <alignment horizontal="center" vertical="center"/>
    </xf>
    <xf numFmtId="178" fontId="1" fillId="0" borderId="18" xfId="1" applyNumberFormat="1" applyFont="1" applyBorder="1" applyAlignment="1">
      <alignment horizontal="center" vertical="center"/>
    </xf>
    <xf numFmtId="20" fontId="1" fillId="0" borderId="3" xfId="1" applyNumberFormat="1" applyFont="1" applyBorder="1" applyAlignment="1">
      <alignment horizontal="center" vertical="center" wrapText="1"/>
    </xf>
    <xf numFmtId="20" fontId="1" fillId="0" borderId="33" xfId="1" applyNumberFormat="1" applyFont="1" applyBorder="1" applyAlignment="1">
      <alignment horizontal="center" vertical="center" wrapText="1"/>
    </xf>
    <xf numFmtId="1" fontId="1" fillId="0" borderId="2" xfId="1" applyNumberFormat="1" applyFont="1" applyBorder="1" applyAlignment="1">
      <alignment horizontal="center" vertical="center" wrapText="1"/>
    </xf>
    <xf numFmtId="1" fontId="1" fillId="0" borderId="3" xfId="1" applyNumberFormat="1" applyFont="1" applyBorder="1" applyAlignment="1">
      <alignment horizontal="center" vertical="center" wrapText="1"/>
    </xf>
    <xf numFmtId="1" fontId="1" fillId="0" borderId="33" xfId="1" applyNumberFormat="1" applyFont="1" applyBorder="1" applyAlignment="1">
      <alignment horizontal="center" vertical="center" wrapText="1"/>
    </xf>
    <xf numFmtId="1" fontId="1" fillId="0" borderId="18" xfId="1" applyNumberFormat="1" applyFont="1" applyBorder="1" applyAlignment="1">
      <alignment horizontal="center" vertical="center" wrapText="1"/>
    </xf>
    <xf numFmtId="180" fontId="1" fillId="0" borderId="2" xfId="6" applyNumberFormat="1" applyFont="1" applyBorder="1" applyAlignment="1">
      <alignment horizontal="center" vertical="center"/>
    </xf>
    <xf numFmtId="180" fontId="1" fillId="0" borderId="3" xfId="6" applyNumberFormat="1" applyFont="1" applyBorder="1" applyAlignment="1">
      <alignment horizontal="center" vertical="center"/>
    </xf>
    <xf numFmtId="49" fontId="1" fillId="0" borderId="33" xfId="6" applyNumberFormat="1" applyFont="1" applyBorder="1" applyAlignment="1">
      <alignment horizontal="center" vertical="center"/>
    </xf>
    <xf numFmtId="0" fontId="1" fillId="0" borderId="34" xfId="1" applyFont="1" applyBorder="1">
      <alignment vertical="center"/>
    </xf>
    <xf numFmtId="0" fontId="1" fillId="0" borderId="35" xfId="1" applyFont="1" applyBorder="1">
      <alignment vertical="center"/>
    </xf>
    <xf numFmtId="0" fontId="1" fillId="0" borderId="70" xfId="97" applyFont="1" applyBorder="1" applyAlignment="1">
      <alignment vertical="center"/>
    </xf>
    <xf numFmtId="0" fontId="1" fillId="0" borderId="71" xfId="97" applyFont="1" applyBorder="1" applyAlignment="1">
      <alignment vertical="center"/>
    </xf>
    <xf numFmtId="0" fontId="1" fillId="0" borderId="2" xfId="97" applyFont="1" applyBorder="1" applyAlignment="1">
      <alignment vertical="center"/>
    </xf>
    <xf numFmtId="0" fontId="1" fillId="0" borderId="72" xfId="97" applyFont="1" applyBorder="1" applyAlignment="1">
      <alignment horizontal="left" vertical="center"/>
    </xf>
    <xf numFmtId="176" fontId="1" fillId="12" borderId="73" xfId="237" applyNumberFormat="1" applyFont="1" applyFill="1" applyBorder="1" applyAlignment="1">
      <alignment horizontal="center" vertical="center"/>
    </xf>
    <xf numFmtId="43" fontId="1" fillId="0" borderId="74" xfId="237" applyFont="1" applyBorder="1" applyAlignment="1">
      <alignment horizontal="center" vertical="center"/>
    </xf>
    <xf numFmtId="0" fontId="1" fillId="0" borderId="74" xfId="97" applyFont="1" applyBorder="1" applyAlignment="1">
      <alignment horizontal="center" vertical="center"/>
    </xf>
    <xf numFmtId="1" fontId="1" fillId="0" borderId="73" xfId="97" applyNumberFormat="1" applyFont="1" applyBorder="1" applyAlignment="1">
      <alignment horizontal="center" vertical="center"/>
    </xf>
    <xf numFmtId="0" fontId="1" fillId="0" borderId="78" xfId="97" applyFont="1" applyBorder="1" applyAlignment="1">
      <alignment horizontal="left" vertical="center"/>
    </xf>
    <xf numFmtId="0" fontId="1" fillId="0" borderId="1" xfId="97" applyFont="1" applyBorder="1" applyAlignment="1">
      <alignment horizontal="left" vertical="center"/>
    </xf>
    <xf numFmtId="0" fontId="1" fillId="0" borderId="2" xfId="97" applyFont="1" applyBorder="1" applyAlignment="1">
      <alignment horizontal="left" vertical="center"/>
    </xf>
    <xf numFmtId="0" fontId="1" fillId="0" borderId="1" xfId="97" applyFont="1" applyBorder="1" applyAlignment="1">
      <alignment horizontal="left" vertical="center"/>
    </xf>
    <xf numFmtId="178" fontId="1" fillId="0" borderId="3" xfId="97" applyNumberFormat="1" applyFont="1" applyBorder="1" applyAlignment="1">
      <alignment horizontal="center" vertical="center"/>
    </xf>
    <xf numFmtId="43" fontId="1" fillId="0" borderId="2" xfId="97" applyNumberFormat="1" applyFont="1" applyBorder="1" applyAlignment="1">
      <alignment horizontal="center" vertical="center"/>
    </xf>
    <xf numFmtId="0" fontId="1" fillId="0" borderId="2" xfId="97" applyFont="1" applyBorder="1" applyAlignment="1">
      <alignment horizontal="center" vertical="center"/>
    </xf>
    <xf numFmtId="0" fontId="1" fillId="0" borderId="3" xfId="97" applyFont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3104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H3" sqref="H3:I3"/>
    </sheetView>
  </sheetViews>
  <sheetFormatPr defaultColWidth="8.125" defaultRowHeight="15.75"/>
  <cols>
    <col min="1" max="1" width="8.125" style="2"/>
    <col min="2" max="2" width="7.125" style="2" customWidth="1"/>
    <col min="3" max="3" width="7.125" style="61" customWidth="1"/>
    <col min="4" max="17" width="14.125" style="2" customWidth="1"/>
    <col min="18" max="21" width="9.625" style="2" customWidth="1"/>
    <col min="22" max="22" width="11.125" style="2" customWidth="1"/>
    <col min="23" max="23" width="11.5" style="2" customWidth="1"/>
    <col min="24" max="16384" width="8.125" style="2"/>
  </cols>
  <sheetData>
    <row r="1" spans="2:17" ht="27.75" customHeight="1">
      <c r="B1" s="527" t="s">
        <v>0</v>
      </c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9"/>
      <c r="N1" s="1"/>
      <c r="O1" s="1"/>
    </row>
    <row r="2" spans="2:17" ht="27.75" customHeight="1">
      <c r="B2" s="527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9"/>
      <c r="N2" s="1"/>
      <c r="O2" s="1"/>
    </row>
    <row r="3" spans="2:17" ht="46.5" customHeight="1">
      <c r="B3" s="521" t="s">
        <v>1</v>
      </c>
      <c r="C3" s="522"/>
      <c r="D3" s="530" t="s">
        <v>393</v>
      </c>
      <c r="E3" s="531"/>
      <c r="F3" s="521" t="s">
        <v>2</v>
      </c>
      <c r="G3" s="522"/>
      <c r="H3" s="532">
        <v>210542.1</v>
      </c>
      <c r="I3" s="533"/>
      <c r="J3" s="521" t="s">
        <v>3</v>
      </c>
      <c r="K3" s="522"/>
      <c r="L3" s="534">
        <v>6711067.08415969</v>
      </c>
      <c r="M3" s="535"/>
      <c r="N3" s="3"/>
    </row>
    <row r="4" spans="2:17" ht="24" customHeight="1">
      <c r="B4" s="521" t="s">
        <v>4</v>
      </c>
      <c r="C4" s="522"/>
      <c r="D4" s="513" t="s">
        <v>5</v>
      </c>
      <c r="E4" s="514"/>
      <c r="F4" s="525" t="s">
        <v>6</v>
      </c>
      <c r="G4" s="526"/>
      <c r="H4" s="525" t="s">
        <v>7</v>
      </c>
      <c r="I4" s="526"/>
      <c r="J4" s="525" t="s">
        <v>8</v>
      </c>
      <c r="K4" s="526"/>
      <c r="L4" s="525" t="s">
        <v>9</v>
      </c>
      <c r="M4" s="526"/>
      <c r="N4" s="505" t="s">
        <v>10</v>
      </c>
      <c r="O4" s="506"/>
      <c r="P4" s="506" t="s">
        <v>11</v>
      </c>
      <c r="Q4" s="506"/>
    </row>
    <row r="5" spans="2:17" ht="24" customHeight="1">
      <c r="B5" s="507" t="s">
        <v>12</v>
      </c>
      <c r="C5" s="508"/>
      <c r="D5" s="513" t="s">
        <v>13</v>
      </c>
      <c r="E5" s="514"/>
      <c r="F5" s="513" t="s">
        <v>14</v>
      </c>
      <c r="G5" s="514"/>
      <c r="H5" s="515" t="s">
        <v>15</v>
      </c>
      <c r="I5" s="516"/>
      <c r="J5" s="517" t="s">
        <v>16</v>
      </c>
      <c r="K5" s="518"/>
      <c r="L5" s="519" t="s">
        <v>17</v>
      </c>
      <c r="M5" s="520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509"/>
      <c r="C6" s="510"/>
      <c r="D6" s="521" t="s">
        <v>21</v>
      </c>
      <c r="E6" s="522"/>
      <c r="F6" s="523">
        <f>AVERAGE(D13:O13,P13:Q13,D30:F30,H30,J30:L30)</f>
        <v>348.82848225210864</v>
      </c>
      <c r="G6" s="524"/>
      <c r="H6" s="499">
        <f>AVERAGE(D13:P13,Q13)</f>
        <v>136.09986623530583</v>
      </c>
      <c r="I6" s="500"/>
      <c r="J6" s="499">
        <f>AVERAGE(D30:F30,H30)</f>
        <v>717.5</v>
      </c>
      <c r="K6" s="500"/>
      <c r="L6" s="501">
        <f>AVERAGE(J30:L30)</f>
        <v>850</v>
      </c>
      <c r="M6" s="502"/>
      <c r="N6" s="503">
        <v>0</v>
      </c>
      <c r="O6" s="488">
        <v>0</v>
      </c>
      <c r="P6" s="504">
        <v>2</v>
      </c>
      <c r="Q6" s="488">
        <v>2</v>
      </c>
    </row>
    <row r="7" spans="2:17" s="674" customFormat="1" ht="39.6" customHeight="1">
      <c r="B7" s="509"/>
      <c r="C7" s="510"/>
      <c r="D7" s="489" t="s">
        <v>22</v>
      </c>
      <c r="E7" s="490"/>
      <c r="F7" s="491">
        <f>AVERAGE(D14:O14,P14:Q14,D31:F31,J31:L31,H31)</f>
        <v>323.1028061942244</v>
      </c>
      <c r="G7" s="492"/>
      <c r="H7" s="493">
        <f>AVERAGE(D14:P14,Q14)</f>
        <v>117.53059782558127</v>
      </c>
      <c r="I7" s="494"/>
      <c r="J7" s="493">
        <f>AVERAGE(D31:F31,H31)</f>
        <v>717.87250431066195</v>
      </c>
      <c r="K7" s="494"/>
      <c r="L7" s="495">
        <f>AVERAGE(J31:L31)</f>
        <v>756.08018109264185</v>
      </c>
      <c r="M7" s="496"/>
      <c r="N7" s="503"/>
      <c r="O7" s="488"/>
      <c r="P7" s="504"/>
      <c r="Q7" s="488"/>
    </row>
    <row r="8" spans="2:17" s="674" customFormat="1" ht="39.6" customHeight="1">
      <c r="B8" s="511"/>
      <c r="C8" s="512"/>
      <c r="D8" s="489" t="s">
        <v>23</v>
      </c>
      <c r="E8" s="490"/>
      <c r="F8" s="497">
        <f>AVERAGE(D15:O15,P15:Q15,D32:F32,H32,J32:K32,L32)</f>
        <v>0.8863611978943885</v>
      </c>
      <c r="G8" s="498"/>
      <c r="H8" s="497">
        <f>AVERAGE(D15:O15,P15:Q15)</f>
        <v>0.85951404207039694</v>
      </c>
      <c r="I8" s="498"/>
      <c r="J8" s="497">
        <f>AVERAGE(D32:F32,H32)</f>
        <v>0.9801549961670748</v>
      </c>
      <c r="K8" s="498"/>
      <c r="L8" s="497">
        <f>AVERAGE(J32:L32)</f>
        <v>0.88658952737609997</v>
      </c>
      <c r="M8" s="498"/>
      <c r="N8" s="503"/>
      <c r="O8" s="488"/>
      <c r="P8" s="504"/>
      <c r="Q8" s="48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462" t="s">
        <v>24</v>
      </c>
      <c r="C10" s="484"/>
      <c r="D10" s="485" t="s">
        <v>25</v>
      </c>
      <c r="E10" s="486"/>
      <c r="F10" s="486"/>
      <c r="G10" s="486"/>
      <c r="H10" s="486"/>
      <c r="I10" s="486"/>
      <c r="J10" s="486"/>
      <c r="K10" s="486"/>
      <c r="L10" s="486"/>
      <c r="M10" s="486"/>
      <c r="N10" s="486"/>
      <c r="O10" s="486"/>
      <c r="P10" s="486"/>
      <c r="Q10" s="487"/>
    </row>
    <row r="11" spans="2:17" ht="17.25" customHeight="1">
      <c r="B11" s="470" t="s">
        <v>26</v>
      </c>
      <c r="C11" s="47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50000000000003" customHeight="1">
      <c r="B12" s="472"/>
      <c r="C12" s="473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50000000000003" customHeight="1">
      <c r="B13" s="474" t="s">
        <v>41</v>
      </c>
      <c r="C13" s="14" t="s">
        <v>42</v>
      </c>
      <c r="D13" s="15">
        <v>110.18984348125215</v>
      </c>
      <c r="E13" s="15">
        <v>95.550108932461868</v>
      </c>
      <c r="F13" s="15">
        <v>134.8294413919414</v>
      </c>
      <c r="G13" s="15">
        <v>388.24999999999994</v>
      </c>
      <c r="H13" s="15">
        <v>250</v>
      </c>
      <c r="I13" s="15">
        <v>90.095238095238088</v>
      </c>
      <c r="J13" s="15">
        <v>73.69736842105263</v>
      </c>
      <c r="K13" s="15">
        <v>77.467381689517921</v>
      </c>
      <c r="L13" s="15">
        <v>81.984502923976606</v>
      </c>
      <c r="M13" s="15">
        <v>87.147228134674933</v>
      </c>
      <c r="N13" s="15">
        <v>84.656346749226003</v>
      </c>
      <c r="O13" s="15">
        <v>86.006191950464398</v>
      </c>
      <c r="P13" s="15">
        <v>195.52447552447552</v>
      </c>
      <c r="Q13" s="16">
        <v>150</v>
      </c>
    </row>
    <row r="14" spans="2:17" ht="39.950000000000003" customHeight="1">
      <c r="B14" s="475"/>
      <c r="C14" s="14" t="s">
        <v>43</v>
      </c>
      <c r="D14" s="15">
        <v>94.850025409187538</v>
      </c>
      <c r="E14" s="15">
        <v>80.658034363174508</v>
      </c>
      <c r="F14" s="15">
        <v>114.06668493417965</v>
      </c>
      <c r="G14" s="15">
        <v>319.02429078134656</v>
      </c>
      <c r="H14" s="15">
        <v>217.21366896262788</v>
      </c>
      <c r="I14" s="15">
        <v>78.519635706174199</v>
      </c>
      <c r="J14" s="15">
        <v>60.2111389062608</v>
      </c>
      <c r="K14" s="15">
        <v>62.043716240102299</v>
      </c>
      <c r="L14" s="15">
        <v>68.541582387340924</v>
      </c>
      <c r="M14" s="15">
        <v>73.009135869684229</v>
      </c>
      <c r="N14" s="15">
        <v>74.88885003020917</v>
      </c>
      <c r="O14" s="15">
        <v>72.313388961870885</v>
      </c>
      <c r="P14" s="15">
        <v>191.67460394708053</v>
      </c>
      <c r="Q14" s="16">
        <v>138.4136130588989</v>
      </c>
    </row>
    <row r="15" spans="2:17" ht="39.950000000000003" customHeight="1">
      <c r="B15" s="476"/>
      <c r="C15" s="10" t="s">
        <v>44</v>
      </c>
      <c r="D15" s="17">
        <f t="shared" ref="D15:P15" si="0">D14/D13</f>
        <v>0.8607873685320685</v>
      </c>
      <c r="E15" s="17">
        <f t="shared" si="0"/>
        <v>0.84414382426488288</v>
      </c>
      <c r="F15" s="17">
        <f t="shared" si="0"/>
        <v>0.84600725002334154</v>
      </c>
      <c r="G15" s="17">
        <f t="shared" si="0"/>
        <v>0.82169810890237371</v>
      </c>
      <c r="H15" s="17">
        <f t="shared" si="0"/>
        <v>0.86885467585051146</v>
      </c>
      <c r="I15" s="17">
        <f t="shared" si="0"/>
        <v>0.87151815530108789</v>
      </c>
      <c r="J15" s="17">
        <f t="shared" si="0"/>
        <v>0.81700527707120529</v>
      </c>
      <c r="K15" s="17">
        <f t="shared" si="0"/>
        <v>0.80090116494149444</v>
      </c>
      <c r="L15" s="17">
        <f t="shared" si="0"/>
        <v>0.83603095637353364</v>
      </c>
      <c r="M15" s="17">
        <f t="shared" si="0"/>
        <v>0.83776773435476248</v>
      </c>
      <c r="N15" s="17">
        <f t="shared" si="0"/>
        <v>0.88462180221465636</v>
      </c>
      <c r="O15" s="17">
        <f t="shared" si="0"/>
        <v>0.84079282342276085</v>
      </c>
      <c r="P15" s="17">
        <f t="shared" si="0"/>
        <v>0.98031002734021877</v>
      </c>
      <c r="Q15" s="18">
        <f>Q14/Q13</f>
        <v>0.9227574203926594</v>
      </c>
    </row>
    <row r="16" spans="2:17" ht="22.7" customHeight="1">
      <c r="B16" s="477" t="s">
        <v>45</v>
      </c>
      <c r="C16" s="10" t="s">
        <v>46</v>
      </c>
      <c r="D16" s="675">
        <v>0.29166666666666669</v>
      </c>
      <c r="E16" s="675">
        <v>0.16666666666666666</v>
      </c>
      <c r="F16" s="675">
        <v>0.16666666666666666</v>
      </c>
      <c r="G16" s="675">
        <v>0.16666666666666666</v>
      </c>
      <c r="H16" s="675">
        <v>0.16666666666666666</v>
      </c>
      <c r="I16" s="675">
        <v>0.29166666666666669</v>
      </c>
      <c r="J16" s="675">
        <v>0.33333333333333331</v>
      </c>
      <c r="K16" s="675">
        <v>0.33333333333333331</v>
      </c>
      <c r="L16" s="675">
        <v>0.70833333333333337</v>
      </c>
      <c r="M16" s="675">
        <v>0.70833333333333337</v>
      </c>
      <c r="N16" s="675">
        <v>0.70833333333333337</v>
      </c>
      <c r="O16" s="675">
        <v>0.70833333333333337</v>
      </c>
      <c r="P16" s="675">
        <v>0.16666666666666666</v>
      </c>
      <c r="Q16" s="676">
        <v>0.17361111111111113</v>
      </c>
    </row>
    <row r="17" spans="2:17" ht="22.7" customHeight="1">
      <c r="B17" s="478"/>
      <c r="C17" s="10" t="s">
        <v>47</v>
      </c>
      <c r="D17" s="675">
        <v>0.69305555555555554</v>
      </c>
      <c r="E17" s="675">
        <v>0.53402777777777766</v>
      </c>
      <c r="F17" s="675">
        <v>0.53888888888888886</v>
      </c>
      <c r="G17" s="675">
        <v>0.6680555555555554</v>
      </c>
      <c r="H17" s="675">
        <v>0.625</v>
      </c>
      <c r="I17" s="675">
        <v>0.6368055555555554</v>
      </c>
      <c r="J17" s="675">
        <v>0.49444444444444446</v>
      </c>
      <c r="K17" s="675">
        <v>0.68194444444444424</v>
      </c>
      <c r="L17" s="675">
        <v>0.9194444444444444</v>
      </c>
      <c r="M17" s="675">
        <v>1.0118055555555556</v>
      </c>
      <c r="N17" s="675">
        <v>1.0166666666666666</v>
      </c>
      <c r="O17" s="675">
        <v>0.875</v>
      </c>
      <c r="P17" s="675">
        <v>0.64027777777777772</v>
      </c>
      <c r="Q17" s="676">
        <v>0.6875</v>
      </c>
    </row>
    <row r="18" spans="2:17" ht="22.7" customHeight="1">
      <c r="B18" s="479" t="s">
        <v>48</v>
      </c>
      <c r="C18" s="480"/>
      <c r="D18" s="677" t="s">
        <v>49</v>
      </c>
      <c r="E18" s="677" t="s">
        <v>49</v>
      </c>
      <c r="F18" s="677" t="s">
        <v>49</v>
      </c>
      <c r="G18" s="677" t="s">
        <v>49</v>
      </c>
      <c r="H18" s="677" t="s">
        <v>49</v>
      </c>
      <c r="I18" s="677" t="s">
        <v>49</v>
      </c>
      <c r="J18" s="677" t="s">
        <v>49</v>
      </c>
      <c r="K18" s="677" t="s">
        <v>49</v>
      </c>
      <c r="L18" s="677" t="s">
        <v>49</v>
      </c>
      <c r="M18" s="677" t="s">
        <v>49</v>
      </c>
      <c r="N18" s="677" t="s">
        <v>49</v>
      </c>
      <c r="O18" s="677" t="s">
        <v>49</v>
      </c>
      <c r="P18" s="677" t="s">
        <v>49</v>
      </c>
      <c r="Q18" s="678"/>
    </row>
    <row r="19" spans="2:17" ht="22.7" customHeight="1">
      <c r="B19" s="481"/>
      <c r="C19" s="482"/>
      <c r="D19" s="677" t="s">
        <v>49</v>
      </c>
      <c r="E19" s="677" t="s">
        <v>49</v>
      </c>
      <c r="F19" s="677" t="s">
        <v>49</v>
      </c>
      <c r="G19" s="677" t="s">
        <v>49</v>
      </c>
      <c r="H19" s="677" t="s">
        <v>49</v>
      </c>
      <c r="I19" s="677" t="s">
        <v>49</v>
      </c>
      <c r="J19" s="677" t="s">
        <v>49</v>
      </c>
      <c r="K19" s="677" t="s">
        <v>49</v>
      </c>
      <c r="L19" s="677" t="s">
        <v>49</v>
      </c>
      <c r="M19" s="677" t="s">
        <v>49</v>
      </c>
      <c r="N19" s="677" t="s">
        <v>49</v>
      </c>
      <c r="O19" s="677" t="s">
        <v>49</v>
      </c>
      <c r="P19" s="677" t="s">
        <v>49</v>
      </c>
      <c r="Q19" s="678"/>
    </row>
    <row r="20" spans="2:17" ht="22.7" customHeight="1">
      <c r="B20" s="479" t="s">
        <v>50</v>
      </c>
      <c r="C20" s="480"/>
      <c r="D20" s="677" t="s">
        <v>49</v>
      </c>
      <c r="E20" s="677" t="s">
        <v>49</v>
      </c>
      <c r="F20" s="677" t="s">
        <v>49</v>
      </c>
      <c r="G20" s="677" t="s">
        <v>49</v>
      </c>
      <c r="H20" s="677">
        <v>1</v>
      </c>
      <c r="I20" s="677" t="s">
        <v>49</v>
      </c>
      <c r="J20" s="677">
        <v>1</v>
      </c>
      <c r="K20" s="677" t="s">
        <v>49</v>
      </c>
      <c r="L20" s="677" t="s">
        <v>49</v>
      </c>
      <c r="M20" s="677" t="s">
        <v>49</v>
      </c>
      <c r="N20" s="677" t="s">
        <v>49</v>
      </c>
      <c r="O20" s="677" t="s">
        <v>49</v>
      </c>
      <c r="P20" s="677" t="s">
        <v>49</v>
      </c>
      <c r="Q20" s="678"/>
    </row>
    <row r="21" spans="2:17" ht="22.7" customHeight="1">
      <c r="B21" s="481"/>
      <c r="C21" s="482"/>
      <c r="D21" s="677" t="s">
        <v>49</v>
      </c>
      <c r="E21" s="677" t="s">
        <v>49</v>
      </c>
      <c r="F21" s="677" t="s">
        <v>49</v>
      </c>
      <c r="G21" s="677" t="s">
        <v>49</v>
      </c>
      <c r="H21" s="677" t="s">
        <v>49</v>
      </c>
      <c r="I21" s="677" t="s">
        <v>49</v>
      </c>
      <c r="J21" s="677" t="s">
        <v>49</v>
      </c>
      <c r="K21" s="677" t="s">
        <v>49</v>
      </c>
      <c r="L21" s="677" t="s">
        <v>49</v>
      </c>
      <c r="M21" s="677">
        <v>1</v>
      </c>
      <c r="N21" s="677" t="s">
        <v>49</v>
      </c>
      <c r="O21" s="677">
        <v>1</v>
      </c>
      <c r="P21" s="677" t="s">
        <v>49</v>
      </c>
      <c r="Q21" s="678"/>
    </row>
    <row r="22" spans="2:17" ht="22.7" customHeight="1">
      <c r="B22" s="458" t="s">
        <v>51</v>
      </c>
      <c r="C22" s="459"/>
      <c r="D22" s="679">
        <v>18.875</v>
      </c>
      <c r="E22" s="679">
        <v>17.833333333333332</v>
      </c>
      <c r="F22" s="679">
        <v>14.714285714285714</v>
      </c>
      <c r="G22" s="679">
        <v>5.75</v>
      </c>
      <c r="H22" s="679">
        <v>6.6</v>
      </c>
      <c r="I22" s="679">
        <v>16.2</v>
      </c>
      <c r="J22" s="679">
        <v>19.333333333333332</v>
      </c>
      <c r="K22" s="679">
        <v>18.75</v>
      </c>
      <c r="L22" s="679">
        <v>18.399999999999999</v>
      </c>
      <c r="M22" s="679">
        <v>16.875</v>
      </c>
      <c r="N22" s="679">
        <v>17.285714285714285</v>
      </c>
      <c r="O22" s="679">
        <v>17.5</v>
      </c>
      <c r="P22" s="679">
        <v>11.6</v>
      </c>
      <c r="Q22" s="680">
        <v>11.3</v>
      </c>
    </row>
    <row r="23" spans="2:17" ht="22.7" customHeight="1">
      <c r="B23" s="458" t="s">
        <v>52</v>
      </c>
      <c r="C23" s="459"/>
      <c r="D23" s="681" t="s">
        <v>53</v>
      </c>
      <c r="E23" s="681" t="s">
        <v>53</v>
      </c>
      <c r="F23" s="681" t="s">
        <v>53</v>
      </c>
      <c r="G23" s="681" t="s">
        <v>54</v>
      </c>
      <c r="H23" s="681" t="s">
        <v>55</v>
      </c>
      <c r="I23" s="681" t="s">
        <v>56</v>
      </c>
      <c r="J23" s="681" t="s">
        <v>56</v>
      </c>
      <c r="K23" s="681" t="s">
        <v>56</v>
      </c>
      <c r="L23" s="681" t="s">
        <v>56</v>
      </c>
      <c r="M23" s="681" t="s">
        <v>56</v>
      </c>
      <c r="N23" s="681" t="s">
        <v>56</v>
      </c>
      <c r="O23" s="681" t="s">
        <v>56</v>
      </c>
      <c r="P23" s="681" t="s">
        <v>57</v>
      </c>
      <c r="Q23" s="682" t="s">
        <v>57</v>
      </c>
    </row>
    <row r="24" spans="2:17" ht="22.7" customHeight="1">
      <c r="B24" s="458" t="s">
        <v>58</v>
      </c>
      <c r="C24" s="459"/>
      <c r="D24" s="681"/>
      <c r="E24" s="681"/>
      <c r="F24" s="681"/>
      <c r="G24" s="681"/>
      <c r="H24" s="681"/>
      <c r="I24" s="681"/>
      <c r="J24" s="681"/>
      <c r="K24" s="681"/>
      <c r="L24" s="681"/>
      <c r="M24" s="681"/>
      <c r="N24" s="681"/>
      <c r="O24" s="681"/>
      <c r="P24" s="681"/>
      <c r="Q24" s="682"/>
    </row>
    <row r="25" spans="2:17" ht="22.7" customHeight="1" thickBot="1">
      <c r="B25" s="460" t="s">
        <v>59</v>
      </c>
      <c r="C25" s="461"/>
      <c r="D25" s="683"/>
      <c r="E25" s="684" t="s">
        <v>60</v>
      </c>
      <c r="F25" s="684"/>
      <c r="G25" s="684" t="s">
        <v>61</v>
      </c>
      <c r="H25" s="684" t="s">
        <v>61</v>
      </c>
      <c r="I25" s="684"/>
      <c r="J25" s="684"/>
      <c r="K25" s="684" t="s">
        <v>62</v>
      </c>
      <c r="L25" s="684"/>
      <c r="M25" s="684"/>
      <c r="N25" s="684"/>
      <c r="O25" s="684"/>
      <c r="P25" s="684" t="s">
        <v>63</v>
      </c>
      <c r="Q25" s="685"/>
    </row>
    <row r="26" spans="2:17" ht="16.5" thickBot="1">
      <c r="B26" s="483"/>
      <c r="C26" s="483"/>
    </row>
    <row r="27" spans="2:17" ht="30" customHeight="1" thickBot="1">
      <c r="B27" s="462" t="s">
        <v>24</v>
      </c>
      <c r="C27" s="463"/>
      <c r="D27" s="464" t="s">
        <v>64</v>
      </c>
      <c r="E27" s="465"/>
      <c r="F27" s="465"/>
      <c r="G27" s="465"/>
      <c r="H27" s="466"/>
      <c r="I27" s="467" t="s">
        <v>65</v>
      </c>
      <c r="J27" s="468"/>
      <c r="K27" s="468"/>
      <c r="L27" s="468"/>
      <c r="M27" s="469"/>
    </row>
    <row r="28" spans="2:17" ht="17.25" customHeight="1">
      <c r="B28" s="470" t="s">
        <v>26</v>
      </c>
      <c r="C28" s="471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472"/>
      <c r="C29" s="473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50000000000003" customHeight="1">
      <c r="B30" s="474" t="s">
        <v>41</v>
      </c>
      <c r="C30" s="34" t="s">
        <v>42</v>
      </c>
      <c r="D30" s="686">
        <v>320</v>
      </c>
      <c r="E30" s="686">
        <v>825</v>
      </c>
      <c r="F30" s="686">
        <v>825</v>
      </c>
      <c r="G30" s="686">
        <v>900</v>
      </c>
      <c r="H30" s="687">
        <v>900</v>
      </c>
      <c r="I30" s="688">
        <v>680</v>
      </c>
      <c r="J30" s="686">
        <v>825</v>
      </c>
      <c r="K30" s="686">
        <v>825</v>
      </c>
      <c r="L30" s="686">
        <v>900</v>
      </c>
      <c r="M30" s="689">
        <v>900</v>
      </c>
    </row>
    <row r="31" spans="2:17" ht="39.950000000000003" customHeight="1">
      <c r="B31" s="475"/>
      <c r="C31" s="34" t="s">
        <v>43</v>
      </c>
      <c r="D31" s="15">
        <v>281.56209150326799</v>
      </c>
      <c r="E31" s="15">
        <v>777.48161764705981</v>
      </c>
      <c r="F31" s="15">
        <v>836.62184155356897</v>
      </c>
      <c r="G31" s="15">
        <v>0</v>
      </c>
      <c r="H31" s="41">
        <v>975.82446653875127</v>
      </c>
      <c r="I31" s="42">
        <v>0</v>
      </c>
      <c r="J31" s="15">
        <v>734.27727272727111</v>
      </c>
      <c r="K31" s="15">
        <v>646.78571428571422</v>
      </c>
      <c r="L31" s="15">
        <v>887.17755626494034</v>
      </c>
      <c r="M31" s="16">
        <v>749.74999999999727</v>
      </c>
    </row>
    <row r="32" spans="2:17" ht="39.950000000000003" customHeight="1">
      <c r="B32" s="476"/>
      <c r="C32" s="43" t="s">
        <v>44</v>
      </c>
      <c r="D32" s="17">
        <f t="shared" ref="D32:M32" si="1">D31/D30</f>
        <v>0.87988153594771246</v>
      </c>
      <c r="E32" s="17">
        <f t="shared" si="1"/>
        <v>0.94240196078431493</v>
      </c>
      <c r="F32" s="17">
        <f t="shared" si="1"/>
        <v>1.0140870806709927</v>
      </c>
      <c r="G32" s="17">
        <f t="shared" si="1"/>
        <v>0</v>
      </c>
      <c r="H32" s="44">
        <f t="shared" si="1"/>
        <v>1.0842494072652791</v>
      </c>
      <c r="I32" s="45">
        <f t="shared" si="1"/>
        <v>0</v>
      </c>
      <c r="J32" s="17">
        <f t="shared" si="1"/>
        <v>0.89003305785123776</v>
      </c>
      <c r="K32" s="17">
        <f t="shared" si="1"/>
        <v>0.78398268398268389</v>
      </c>
      <c r="L32" s="17">
        <f t="shared" si="1"/>
        <v>0.98575284029437815</v>
      </c>
      <c r="M32" s="18">
        <f t="shared" si="1"/>
        <v>0.83305555555555255</v>
      </c>
    </row>
    <row r="33" spans="2:13" ht="25.7" customHeight="1">
      <c r="B33" s="477" t="s">
        <v>45</v>
      </c>
      <c r="C33" s="43" t="s">
        <v>46</v>
      </c>
      <c r="D33" s="675">
        <v>0.17361111111111113</v>
      </c>
      <c r="E33" s="675">
        <v>0.17361111111111113</v>
      </c>
      <c r="F33" s="675">
        <v>0.18055555555555555</v>
      </c>
      <c r="G33" s="675">
        <v>0</v>
      </c>
      <c r="H33" s="690">
        <v>0.18055555555555555</v>
      </c>
      <c r="I33" s="691">
        <v>0</v>
      </c>
      <c r="J33" s="675">
        <v>0.72222222222222221</v>
      </c>
      <c r="K33" s="675">
        <v>0.72222222222222221</v>
      </c>
      <c r="L33" s="675">
        <v>0.72222222222222221</v>
      </c>
      <c r="M33" s="676">
        <v>0.72222222222222221</v>
      </c>
    </row>
    <row r="34" spans="2:13" ht="25.7" customHeight="1">
      <c r="B34" s="478"/>
      <c r="C34" s="43" t="s">
        <v>47</v>
      </c>
      <c r="D34" s="675">
        <v>0.21805555555555556</v>
      </c>
      <c r="E34" s="675">
        <v>0.36180555555555555</v>
      </c>
      <c r="F34" s="675">
        <v>0.36944444444444446</v>
      </c>
      <c r="G34" s="675">
        <v>0</v>
      </c>
      <c r="H34" s="690">
        <v>0.45416666666666666</v>
      </c>
      <c r="I34" s="691">
        <v>0</v>
      </c>
      <c r="J34" s="675">
        <v>0.98958333333333337</v>
      </c>
      <c r="K34" s="675">
        <v>0.79513888888888884</v>
      </c>
      <c r="L34" s="675">
        <v>46055.086805555555</v>
      </c>
      <c r="M34" s="676">
        <v>0.76736111111111116</v>
      </c>
    </row>
    <row r="35" spans="2:13" ht="25.7" customHeight="1">
      <c r="B35" s="458" t="s">
        <v>51</v>
      </c>
      <c r="C35" s="459"/>
      <c r="D35" s="692">
        <v>5.5</v>
      </c>
      <c r="E35" s="692">
        <v>3.75</v>
      </c>
      <c r="F35" s="692">
        <v>3.5</v>
      </c>
      <c r="G35" s="692">
        <v>0</v>
      </c>
      <c r="H35" s="693">
        <v>3.4285714285714284</v>
      </c>
      <c r="I35" s="694">
        <v>0</v>
      </c>
      <c r="J35" s="692">
        <v>3.6</v>
      </c>
      <c r="K35" s="692">
        <v>3.5</v>
      </c>
      <c r="L35" s="692">
        <v>3.4</v>
      </c>
      <c r="M35" s="695">
        <v>3.5</v>
      </c>
    </row>
    <row r="36" spans="2:13" ht="25.7" customHeight="1">
      <c r="B36" s="458" t="s">
        <v>52</v>
      </c>
      <c r="C36" s="459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7" customHeight="1">
      <c r="B37" s="458" t="s">
        <v>58</v>
      </c>
      <c r="C37" s="459"/>
      <c r="D37" s="696"/>
      <c r="E37" s="696"/>
      <c r="F37" s="696"/>
      <c r="G37" s="696"/>
      <c r="H37" s="697"/>
      <c r="I37" s="698"/>
      <c r="J37" s="696"/>
      <c r="K37" s="696"/>
      <c r="L37" s="696"/>
      <c r="M37" s="682"/>
    </row>
    <row r="38" spans="2:13" ht="25.7" customHeight="1" thickBot="1">
      <c r="B38" s="460" t="s">
        <v>59</v>
      </c>
      <c r="C38" s="461"/>
      <c r="D38" s="683"/>
      <c r="E38" s="683"/>
      <c r="F38" s="684"/>
      <c r="G38" s="683"/>
      <c r="H38" s="699"/>
      <c r="I38" s="700"/>
      <c r="J38" s="683"/>
      <c r="K38" s="683"/>
      <c r="L38" s="683"/>
      <c r="M38" s="685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0:C21"/>
    <mergeCell ref="B22:C22"/>
    <mergeCell ref="B23:C23"/>
    <mergeCell ref="B24:C24"/>
    <mergeCell ref="B25:C25"/>
    <mergeCell ref="B26:C26"/>
    <mergeCell ref="B10:C10"/>
    <mergeCell ref="D10:Q10"/>
    <mergeCell ref="B11:C12"/>
    <mergeCell ref="B13:B15"/>
    <mergeCell ref="B16:B17"/>
    <mergeCell ref="B18:C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4" type="noConversion"/>
  <conditionalFormatting sqref="D32 F32:J32 L32">
    <cfRule type="cellIs" dxfId="7263" priority="6" operator="lessThan">
      <formula>0.8</formula>
    </cfRule>
  </conditionalFormatting>
  <conditionalFormatting sqref="M32">
    <cfRule type="cellIs" dxfId="7262" priority="5" operator="lessThan">
      <formula>0.8</formula>
    </cfRule>
  </conditionalFormatting>
  <conditionalFormatting sqref="K32">
    <cfRule type="cellIs" dxfId="7261" priority="4" operator="lessThan">
      <formula>0.8</formula>
    </cfRule>
  </conditionalFormatting>
  <conditionalFormatting sqref="E32">
    <cfRule type="cellIs" dxfId="7260" priority="3" operator="lessThan">
      <formula>0.8</formula>
    </cfRule>
  </conditionalFormatting>
  <conditionalFormatting sqref="D15:P15">
    <cfRule type="cellIs" dxfId="7259" priority="2" operator="lessThan">
      <formula>0.8</formula>
    </cfRule>
  </conditionalFormatting>
  <conditionalFormatting sqref="Q15">
    <cfRule type="cellIs" dxfId="725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abSelected="1" zoomScale="85" zoomScaleNormal="85" workbookViewId="0">
      <selection activeCell="L68" sqref="L68"/>
    </sheetView>
  </sheetViews>
  <sheetFormatPr defaultColWidth="7.875" defaultRowHeight="15.75"/>
  <cols>
    <col min="1" max="1" width="13.625" style="371" customWidth="1"/>
    <col min="2" max="2" width="12.875" style="371" customWidth="1"/>
    <col min="3" max="3" width="12.875" style="457" hidden="1" customWidth="1"/>
    <col min="4" max="5" width="18.375" style="371" customWidth="1"/>
    <col min="6" max="6" width="9.875" style="455" customWidth="1"/>
    <col min="7" max="7" width="21.125" style="371" bestFit="1" customWidth="1"/>
    <col min="8" max="8" width="15.625" style="371" customWidth="1"/>
    <col min="9" max="9" width="12.125" style="371" bestFit="1" customWidth="1"/>
    <col min="10" max="15" width="9.875" style="371" customWidth="1"/>
    <col min="16" max="16" width="9.875" style="456" customWidth="1"/>
    <col min="17" max="18" width="9.875" style="371" customWidth="1"/>
    <col min="19" max="16384" width="7.875" style="371"/>
  </cols>
  <sheetData>
    <row r="1" spans="1:18" ht="26.25" customHeight="1">
      <c r="A1" s="701" t="s">
        <v>293</v>
      </c>
      <c r="B1" s="702"/>
      <c r="C1" s="703"/>
      <c r="D1" s="704" t="s">
        <v>82</v>
      </c>
      <c r="E1" s="705">
        <f>SUM(G5:G124)</f>
        <v>78437</v>
      </c>
      <c r="F1" s="367" t="s">
        <v>3</v>
      </c>
      <c r="G1" s="706">
        <f>SUM(H5:H124)</f>
        <v>1530041.4358429008</v>
      </c>
      <c r="H1" s="707" t="s">
        <v>294</v>
      </c>
      <c r="I1" s="708">
        <f>+J16+J64+J24+J38+J51+J81+J100+J91+J57+J124+J111</f>
        <v>38.050000000000004</v>
      </c>
      <c r="J1" s="584" t="s">
        <v>295</v>
      </c>
      <c r="K1" s="585"/>
      <c r="L1" s="586"/>
      <c r="M1" s="584" t="s">
        <v>87</v>
      </c>
      <c r="N1" s="585"/>
      <c r="O1" s="585"/>
      <c r="P1" s="585"/>
      <c r="Q1" s="585"/>
      <c r="R1" s="586"/>
    </row>
    <row r="2" spans="1:18" ht="26.25" customHeight="1" thickBot="1">
      <c r="A2" s="709" t="s">
        <v>394</v>
      </c>
      <c r="B2" s="710"/>
      <c r="C2" s="711"/>
      <c r="D2" s="712" t="s">
        <v>41</v>
      </c>
      <c r="E2" s="713">
        <f>AVERAGE(L16,L24,L38,L51,L100,L111,L91)</f>
        <v>614.61710100581729</v>
      </c>
      <c r="F2" s="375" t="s">
        <v>94</v>
      </c>
      <c r="G2" s="714">
        <f>G1/E1</f>
        <v>19.5066287063873</v>
      </c>
      <c r="H2" s="715" t="s">
        <v>297</v>
      </c>
      <c r="I2" s="716">
        <f>COUNT(I5:I124)</f>
        <v>0</v>
      </c>
      <c r="J2" s="587"/>
      <c r="K2" s="588"/>
      <c r="L2" s="589"/>
      <c r="M2" s="587"/>
      <c r="N2" s="588"/>
      <c r="O2" s="588"/>
      <c r="P2" s="588"/>
      <c r="Q2" s="588"/>
      <c r="R2" s="589"/>
    </row>
    <row r="3" spans="1:18" ht="23.25" customHeight="1">
      <c r="A3" s="592" t="s">
        <v>96</v>
      </c>
      <c r="B3" s="594" t="s">
        <v>298</v>
      </c>
      <c r="C3" s="380"/>
      <c r="D3" s="595" t="s">
        <v>98</v>
      </c>
      <c r="E3" s="595"/>
      <c r="F3" s="596" t="s">
        <v>99</v>
      </c>
      <c r="G3" s="597" t="s">
        <v>299</v>
      </c>
      <c r="H3" s="598" t="s">
        <v>300</v>
      </c>
      <c r="I3" s="599" t="s">
        <v>102</v>
      </c>
      <c r="J3" s="567" t="s">
        <v>106</v>
      </c>
      <c r="K3" s="577" t="s">
        <v>105</v>
      </c>
      <c r="L3" s="579" t="s">
        <v>41</v>
      </c>
      <c r="M3" s="581" t="s">
        <v>109</v>
      </c>
      <c r="N3" s="581"/>
      <c r="O3" s="567" t="s">
        <v>301</v>
      </c>
      <c r="P3" s="582" t="s">
        <v>111</v>
      </c>
      <c r="Q3" s="567" t="s">
        <v>112</v>
      </c>
      <c r="R3" s="567"/>
    </row>
    <row r="4" spans="1:18" ht="15.75" customHeight="1">
      <c r="A4" s="593"/>
      <c r="B4" s="594"/>
      <c r="C4" s="380"/>
      <c r="D4" s="595"/>
      <c r="E4" s="595"/>
      <c r="F4" s="596"/>
      <c r="G4" s="597"/>
      <c r="H4" s="598"/>
      <c r="I4" s="600"/>
      <c r="J4" s="576"/>
      <c r="K4" s="578"/>
      <c r="L4" s="580"/>
      <c r="M4" s="381" t="s">
        <v>116</v>
      </c>
      <c r="N4" s="381" t="s">
        <v>117</v>
      </c>
      <c r="O4" s="576"/>
      <c r="P4" s="583"/>
      <c r="Q4" s="382" t="s">
        <v>118</v>
      </c>
      <c r="R4" s="382" t="s">
        <v>302</v>
      </c>
    </row>
    <row r="5" spans="1:18">
      <c r="A5" s="568" t="s">
        <v>303</v>
      </c>
      <c r="B5" s="383" t="s">
        <v>389</v>
      </c>
      <c r="C5" s="383"/>
      <c r="D5" s="384" t="s">
        <v>304</v>
      </c>
      <c r="E5" s="384"/>
      <c r="F5" s="385">
        <v>29.965493443754308</v>
      </c>
      <c r="G5" s="380">
        <v>2090</v>
      </c>
      <c r="H5" s="386">
        <f>F5*G5</f>
        <v>62627.881297446504</v>
      </c>
      <c r="I5" s="387"/>
      <c r="J5" s="388">
        <v>13</v>
      </c>
      <c r="K5" s="389">
        <f t="shared" ref="K5:K12" si="0">G5/P5*60</f>
        <v>1254.0000000000005</v>
      </c>
      <c r="L5" s="390">
        <f t="shared" ref="L5:L12" si="1">K5/J5</f>
        <v>96.461538461538495</v>
      </c>
      <c r="M5" s="391">
        <v>0.17361111111111113</v>
      </c>
      <c r="N5" s="391">
        <v>0.24305555555555555</v>
      </c>
      <c r="O5" s="382">
        <v>10</v>
      </c>
      <c r="P5" s="392">
        <f t="shared" ref="P5:P80" si="2">(N5-M5)*24*60</f>
        <v>99.999999999999972</v>
      </c>
      <c r="Q5" s="393"/>
      <c r="R5" s="393"/>
    </row>
    <row r="6" spans="1:18">
      <c r="A6" s="568"/>
      <c r="B6" s="383">
        <v>0</v>
      </c>
      <c r="C6" s="383"/>
      <c r="D6" s="384" t="s">
        <v>305</v>
      </c>
      <c r="E6" s="384"/>
      <c r="F6" s="385" t="s">
        <v>391</v>
      </c>
      <c r="G6" s="380">
        <v>1190</v>
      </c>
      <c r="H6" s="386">
        <f t="shared" ref="H6:H113" si="3">F6*G6</f>
        <v>0</v>
      </c>
      <c r="I6" s="387"/>
      <c r="J6" s="388">
        <v>9</v>
      </c>
      <c r="K6" s="389">
        <f t="shared" si="0"/>
        <v>1785.0000000000027</v>
      </c>
      <c r="L6" s="390">
        <f t="shared" si="1"/>
        <v>198.33333333333363</v>
      </c>
      <c r="M6" s="391">
        <v>0.24652777777777779</v>
      </c>
      <c r="N6" s="391">
        <v>0.27430555555555552</v>
      </c>
      <c r="O6" s="382">
        <v>5</v>
      </c>
      <c r="P6" s="392">
        <f t="shared" si="2"/>
        <v>39.999999999999936</v>
      </c>
      <c r="Q6" s="382"/>
      <c r="R6" s="382"/>
    </row>
    <row r="7" spans="1:18">
      <c r="A7" s="568"/>
      <c r="B7" s="383">
        <v>0</v>
      </c>
      <c r="C7" s="383"/>
      <c r="D7" s="384" t="s">
        <v>306</v>
      </c>
      <c r="E7" s="384"/>
      <c r="F7" s="385" t="s">
        <v>391</v>
      </c>
      <c r="G7" s="380">
        <v>1220</v>
      </c>
      <c r="H7" s="386">
        <f t="shared" si="3"/>
        <v>0</v>
      </c>
      <c r="I7" s="387"/>
      <c r="J7" s="388">
        <v>9</v>
      </c>
      <c r="K7" s="389">
        <f t="shared" si="0"/>
        <v>1626.6666666666667</v>
      </c>
      <c r="L7" s="390">
        <f t="shared" si="1"/>
        <v>180.74074074074076</v>
      </c>
      <c r="M7" s="391">
        <v>0.27777777777777779</v>
      </c>
      <c r="N7" s="391">
        <v>0.30902777777777779</v>
      </c>
      <c r="O7" s="382">
        <v>5</v>
      </c>
      <c r="P7" s="392">
        <f t="shared" si="2"/>
        <v>45</v>
      </c>
      <c r="Q7" s="393"/>
      <c r="R7" s="393"/>
    </row>
    <row r="8" spans="1:18">
      <c r="A8" s="568"/>
      <c r="B8" s="383" t="s">
        <v>392</v>
      </c>
      <c r="C8" s="383"/>
      <c r="D8" s="384" t="s">
        <v>307</v>
      </c>
      <c r="E8" s="384"/>
      <c r="F8" s="385">
        <v>19.7</v>
      </c>
      <c r="G8" s="380">
        <v>169</v>
      </c>
      <c r="H8" s="386">
        <f t="shared" si="3"/>
        <v>3329.2999999999997</v>
      </c>
      <c r="I8" s="387"/>
      <c r="J8" s="388">
        <v>12</v>
      </c>
      <c r="K8" s="389">
        <f t="shared" si="0"/>
        <v>1013.9999999999955</v>
      </c>
      <c r="L8" s="390">
        <f t="shared" si="1"/>
        <v>84.499999999999616</v>
      </c>
      <c r="M8" s="391">
        <v>0.3125</v>
      </c>
      <c r="N8" s="391">
        <v>0.31944444444444448</v>
      </c>
      <c r="O8" s="382">
        <v>5</v>
      </c>
      <c r="P8" s="392">
        <f t="shared" si="2"/>
        <v>10.000000000000044</v>
      </c>
      <c r="Q8" s="393"/>
      <c r="R8" s="393"/>
    </row>
    <row r="9" spans="1:18">
      <c r="A9" s="568"/>
      <c r="B9" s="383" t="s">
        <v>392</v>
      </c>
      <c r="C9" s="383"/>
      <c r="D9" s="384" t="s">
        <v>308</v>
      </c>
      <c r="E9" s="384"/>
      <c r="F9" s="385">
        <v>27.05</v>
      </c>
      <c r="G9" s="394">
        <v>828</v>
      </c>
      <c r="H9" s="386">
        <f t="shared" si="3"/>
        <v>22397.4</v>
      </c>
      <c r="I9" s="387"/>
      <c r="J9" s="388">
        <v>13</v>
      </c>
      <c r="K9" s="389">
        <f t="shared" si="0"/>
        <v>1419.42857142857</v>
      </c>
      <c r="L9" s="390">
        <f t="shared" si="1"/>
        <v>109.18681318681307</v>
      </c>
      <c r="M9" s="391">
        <v>0.32291666666666669</v>
      </c>
      <c r="N9" s="391">
        <v>0.34722222222222227</v>
      </c>
      <c r="O9" s="382">
        <v>5</v>
      </c>
      <c r="P9" s="392">
        <f t="shared" si="2"/>
        <v>35.000000000000036</v>
      </c>
      <c r="Q9" s="393">
        <v>0.34722222222222227</v>
      </c>
      <c r="R9" s="393">
        <v>0.3888888888888889</v>
      </c>
    </row>
    <row r="10" spans="1:18">
      <c r="A10" s="568"/>
      <c r="B10" s="383" t="s">
        <v>392</v>
      </c>
      <c r="C10" s="383"/>
      <c r="D10" s="384" t="s">
        <v>309</v>
      </c>
      <c r="E10" s="384"/>
      <c r="F10" s="385">
        <v>36.450000000000003</v>
      </c>
      <c r="G10" s="394">
        <v>6143</v>
      </c>
      <c r="H10" s="386">
        <f t="shared" si="3"/>
        <v>223912.35</v>
      </c>
      <c r="I10" s="387"/>
      <c r="J10" s="388">
        <v>13</v>
      </c>
      <c r="K10" s="389">
        <f t="shared" si="0"/>
        <v>1504.408163265306</v>
      </c>
      <c r="L10" s="390">
        <f t="shared" si="1"/>
        <v>115.723704866562</v>
      </c>
      <c r="M10" s="391">
        <v>0.3888888888888889</v>
      </c>
      <c r="N10" s="391">
        <v>0.55902777777777779</v>
      </c>
      <c r="O10" s="382">
        <v>5</v>
      </c>
      <c r="P10" s="392">
        <f t="shared" si="2"/>
        <v>245.00000000000003</v>
      </c>
      <c r="Q10" s="393"/>
      <c r="R10" s="393"/>
    </row>
    <row r="11" spans="1:18">
      <c r="A11" s="568"/>
      <c r="B11" s="383" t="s">
        <v>392</v>
      </c>
      <c r="C11" s="383"/>
      <c r="D11" s="384" t="s">
        <v>310</v>
      </c>
      <c r="E11" s="384"/>
      <c r="F11" s="385">
        <v>25.64</v>
      </c>
      <c r="G11" s="394">
        <v>596</v>
      </c>
      <c r="H11" s="386">
        <f t="shared" si="3"/>
        <v>15281.44</v>
      </c>
      <c r="I11" s="387"/>
      <c r="J11" s="388">
        <v>10</v>
      </c>
      <c r="K11" s="389">
        <f t="shared" si="0"/>
        <v>1430.4000000000051</v>
      </c>
      <c r="L11" s="390">
        <f t="shared" si="1"/>
        <v>143.0400000000005</v>
      </c>
      <c r="M11" s="391">
        <v>0.5625</v>
      </c>
      <c r="N11" s="391">
        <v>0.57986111111111105</v>
      </c>
      <c r="O11" s="382">
        <v>5</v>
      </c>
      <c r="P11" s="392">
        <f t="shared" si="2"/>
        <v>24.999999999999911</v>
      </c>
      <c r="Q11" s="393"/>
      <c r="R11" s="393"/>
    </row>
    <row r="12" spans="1:18">
      <c r="A12" s="569"/>
      <c r="B12" s="383" t="s">
        <v>392</v>
      </c>
      <c r="C12" s="383"/>
      <c r="D12" s="384" t="s">
        <v>311</v>
      </c>
      <c r="E12" s="384"/>
      <c r="F12" s="385">
        <v>29.52</v>
      </c>
      <c r="G12" s="394">
        <v>1190</v>
      </c>
      <c r="H12" s="386">
        <f t="shared" si="3"/>
        <v>35128.800000000003</v>
      </c>
      <c r="I12" s="387"/>
      <c r="J12" s="388">
        <v>12</v>
      </c>
      <c r="K12" s="389">
        <f t="shared" si="0"/>
        <v>1785.0000000000064</v>
      </c>
      <c r="L12" s="390">
        <f t="shared" si="1"/>
        <v>148.75000000000054</v>
      </c>
      <c r="M12" s="391">
        <v>0.58333333333333337</v>
      </c>
      <c r="N12" s="391">
        <v>0.61111111111111105</v>
      </c>
      <c r="O12" s="382">
        <v>5</v>
      </c>
      <c r="P12" s="392">
        <f t="shared" si="2"/>
        <v>39.999999999999858</v>
      </c>
      <c r="Q12" s="393"/>
      <c r="R12" s="393"/>
    </row>
    <row r="13" spans="1:18">
      <c r="A13" s="569"/>
      <c r="B13" s="383" t="s">
        <v>392</v>
      </c>
      <c r="C13" s="395"/>
      <c r="D13" s="384" t="s">
        <v>312</v>
      </c>
      <c r="E13" s="384"/>
      <c r="F13" s="385">
        <v>29.856999999999999</v>
      </c>
      <c r="G13" s="396">
        <v>1220</v>
      </c>
      <c r="H13" s="386">
        <f t="shared" si="3"/>
        <v>36425.54</v>
      </c>
      <c r="I13" s="387"/>
      <c r="J13" s="388">
        <v>12</v>
      </c>
      <c r="K13" s="389">
        <f>G13/P13*60</f>
        <v>1830.0000000000064</v>
      </c>
      <c r="L13" s="390">
        <f>K13/J13</f>
        <v>152.50000000000054</v>
      </c>
      <c r="M13" s="391">
        <v>0.61458333333333337</v>
      </c>
      <c r="N13" s="391">
        <v>0.64236111111111105</v>
      </c>
      <c r="O13" s="382">
        <v>5</v>
      </c>
      <c r="P13" s="392">
        <f t="shared" si="2"/>
        <v>39.999999999999858</v>
      </c>
      <c r="Q13" s="393"/>
      <c r="R13" s="382"/>
    </row>
    <row r="14" spans="1:18">
      <c r="A14" s="569"/>
      <c r="B14" s="383" t="s">
        <v>389</v>
      </c>
      <c r="C14" s="383"/>
      <c r="D14" s="409" t="s">
        <v>313</v>
      </c>
      <c r="E14" s="410"/>
      <c r="F14" s="385">
        <v>28.57</v>
      </c>
      <c r="G14" s="394">
        <v>1549</v>
      </c>
      <c r="H14" s="386">
        <f t="shared" si="3"/>
        <v>44254.93</v>
      </c>
      <c r="I14" s="387"/>
      <c r="J14" s="388">
        <v>10</v>
      </c>
      <c r="K14" s="389">
        <f>G14/P14*60</f>
        <v>1549.0000000000014</v>
      </c>
      <c r="L14" s="390">
        <f>K14/J14</f>
        <v>154.90000000000015</v>
      </c>
      <c r="M14" s="391">
        <v>0.64583333333333337</v>
      </c>
      <c r="N14" s="391">
        <v>0.6875</v>
      </c>
      <c r="O14" s="382">
        <v>5</v>
      </c>
      <c r="P14" s="392">
        <f t="shared" si="2"/>
        <v>59.999999999999943</v>
      </c>
      <c r="Q14" s="382"/>
      <c r="R14" s="382"/>
    </row>
    <row r="15" spans="1:18">
      <c r="A15" s="569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70"/>
      <c r="B16" s="383">
        <v>0</v>
      </c>
      <c r="C16" s="400" t="s">
        <v>79</v>
      </c>
      <c r="D16" s="552" t="s">
        <v>75</v>
      </c>
      <c r="E16" s="552"/>
      <c r="F16" s="401"/>
      <c r="G16" s="402"/>
      <c r="H16" s="403"/>
      <c r="I16" s="404"/>
      <c r="J16" s="405">
        <f>AVERAGE(J5:J15)</f>
        <v>11.3</v>
      </c>
      <c r="K16" s="405">
        <f>AVERAGE(K5:K15)</f>
        <v>1519.7903401360561</v>
      </c>
      <c r="L16" s="406">
        <f>AVERAGE(L5:L15)</f>
        <v>138.4136130588989</v>
      </c>
      <c r="M16" s="391"/>
      <c r="N16" s="391"/>
      <c r="O16" s="389"/>
      <c r="P16" s="389"/>
      <c r="Q16" s="390"/>
      <c r="R16" s="390"/>
    </row>
    <row r="17" spans="1:18" ht="15.75" customHeight="1">
      <c r="A17" s="571" t="s">
        <v>314</v>
      </c>
      <c r="B17" s="383" t="s">
        <v>392</v>
      </c>
      <c r="C17" s="395"/>
      <c r="D17" s="574" t="s">
        <v>315</v>
      </c>
      <c r="E17" s="575"/>
      <c r="F17" s="385">
        <v>14.03</v>
      </c>
      <c r="G17" s="380">
        <v>439</v>
      </c>
      <c r="H17" s="407">
        <f t="shared" ref="H17:H23" si="4">F17*G17</f>
        <v>6159.17</v>
      </c>
      <c r="I17" s="408"/>
      <c r="J17" s="388">
        <v>6</v>
      </c>
      <c r="K17" s="389">
        <f>G17/P17*60</f>
        <v>1549.4117647058843</v>
      </c>
      <c r="L17" s="390">
        <f>K17/J17</f>
        <v>258.23529411764736</v>
      </c>
      <c r="M17" s="391">
        <v>0.17361111111111113</v>
      </c>
      <c r="N17" s="391">
        <v>0.18541666666666667</v>
      </c>
      <c r="O17" s="382">
        <v>10</v>
      </c>
      <c r="P17" s="392">
        <f>(N17-M17)*24*60</f>
        <v>16.999999999999979</v>
      </c>
      <c r="Q17" s="382"/>
      <c r="R17" s="382"/>
    </row>
    <row r="18" spans="1:18" ht="15.75" customHeight="1">
      <c r="A18" s="571"/>
      <c r="B18" s="383" t="s">
        <v>389</v>
      </c>
      <c r="C18" s="395"/>
      <c r="D18" s="562" t="s">
        <v>316</v>
      </c>
      <c r="E18" s="563"/>
      <c r="F18" s="385">
        <v>14.49</v>
      </c>
      <c r="G18" s="396">
        <v>686</v>
      </c>
      <c r="H18" s="386">
        <f t="shared" si="4"/>
        <v>9940.14</v>
      </c>
      <c r="I18" s="387"/>
      <c r="J18" s="388">
        <v>5</v>
      </c>
      <c r="K18" s="389">
        <f>G18/P18*60</f>
        <v>1524.444444444443</v>
      </c>
      <c r="L18" s="390">
        <f>K18/J18</f>
        <v>304.88888888888857</v>
      </c>
      <c r="M18" s="391">
        <v>0.19930555555555554</v>
      </c>
      <c r="N18" s="391">
        <v>0.21805555555555556</v>
      </c>
      <c r="O18" s="382">
        <v>20</v>
      </c>
      <c r="P18" s="392">
        <f t="shared" ref="P18:P23" si="5">(N18-M18)*24*60</f>
        <v>27.000000000000025</v>
      </c>
      <c r="Q18" s="393"/>
      <c r="R18" s="393"/>
    </row>
    <row r="19" spans="1:18" ht="15.75" customHeight="1">
      <c r="A19" s="571"/>
      <c r="B19" s="383">
        <v>0</v>
      </c>
      <c r="C19" s="395"/>
      <c r="D19" s="562"/>
      <c r="E19" s="563"/>
      <c r="F19" s="385" t="s">
        <v>391</v>
      </c>
      <c r="G19" s="396"/>
      <c r="H19" s="386"/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72"/>
      <c r="B20" s="383">
        <v>0</v>
      </c>
      <c r="C20" s="395"/>
      <c r="D20" s="411"/>
      <c r="E20" s="410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72"/>
      <c r="B21" s="383">
        <v>0</v>
      </c>
      <c r="C21" s="395"/>
      <c r="D21" s="411"/>
      <c r="E21" s="410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72"/>
      <c r="B22" s="383">
        <v>0</v>
      </c>
      <c r="C22" s="395"/>
      <c r="D22" s="411"/>
      <c r="E22" s="410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72"/>
      <c r="B23" s="383">
        <v>0</v>
      </c>
      <c r="C23" s="395"/>
      <c r="D23" s="411"/>
      <c r="E23" s="410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45" customHeight="1">
      <c r="A24" s="573"/>
      <c r="B24" s="383">
        <v>0</v>
      </c>
      <c r="C24" s="12" t="s">
        <v>317</v>
      </c>
      <c r="D24" s="552" t="s">
        <v>75</v>
      </c>
      <c r="E24" s="552"/>
      <c r="F24" s="401"/>
      <c r="G24" s="412"/>
      <c r="H24" s="403"/>
      <c r="I24" s="404"/>
      <c r="J24" s="405">
        <f>AVERAGE(J17:J23)</f>
        <v>5.5</v>
      </c>
      <c r="K24" s="405">
        <f>AVERAGE(K17:K23)</f>
        <v>1536.9281045751636</v>
      </c>
      <c r="L24" s="406">
        <f>AVERAGE(L17:L23)</f>
        <v>281.56209150326799</v>
      </c>
      <c r="M24" s="391"/>
      <c r="N24" s="391"/>
      <c r="O24" s="382"/>
      <c r="P24" s="382"/>
      <c r="Q24" s="382"/>
      <c r="R24" s="382"/>
    </row>
    <row r="25" spans="1:18">
      <c r="A25" s="556" t="s">
        <v>318</v>
      </c>
      <c r="B25" s="383" t="s">
        <v>389</v>
      </c>
      <c r="C25" s="413"/>
      <c r="D25" s="414" t="s">
        <v>319</v>
      </c>
      <c r="E25" s="415"/>
      <c r="F25" s="385">
        <v>22.281818181818181</v>
      </c>
      <c r="G25" s="380">
        <v>590</v>
      </c>
      <c r="H25" s="386">
        <f t="shared" ref="H25:H37" si="6">F25*G25</f>
        <v>13146.272727272726</v>
      </c>
      <c r="I25" s="387"/>
      <c r="J25" s="388">
        <v>4</v>
      </c>
      <c r="K25" s="389">
        <f t="shared" ref="K25:K28" si="7">G25/P25*60</f>
        <v>2950.0000000000105</v>
      </c>
      <c r="L25" s="390">
        <f t="shared" ref="L25:L28" si="8">K25/J25</f>
        <v>737.50000000000261</v>
      </c>
      <c r="M25" s="391">
        <v>0.17361111111111113</v>
      </c>
      <c r="N25" s="391">
        <v>0.18194444444444444</v>
      </c>
      <c r="O25" s="382">
        <v>10</v>
      </c>
      <c r="P25" s="392">
        <f t="shared" ref="P25:P37" si="9">(N25-M25)*24*60</f>
        <v>11.999999999999957</v>
      </c>
      <c r="Q25" s="393"/>
      <c r="R25" s="393"/>
    </row>
    <row r="26" spans="1:18">
      <c r="A26" s="556"/>
      <c r="B26" s="383" t="s">
        <v>389</v>
      </c>
      <c r="C26" s="413"/>
      <c r="D26" s="416" t="s">
        <v>320</v>
      </c>
      <c r="E26" s="414"/>
      <c r="F26" s="385">
        <v>16.66</v>
      </c>
      <c r="G26" s="380">
        <v>2401</v>
      </c>
      <c r="H26" s="386">
        <f t="shared" si="6"/>
        <v>40000.660000000003</v>
      </c>
      <c r="I26" s="387"/>
      <c r="J26" s="388">
        <v>4</v>
      </c>
      <c r="K26" s="389">
        <f t="shared" si="7"/>
        <v>2824.7058823529424</v>
      </c>
      <c r="L26" s="390">
        <f t="shared" si="8"/>
        <v>706.17647058823559</v>
      </c>
      <c r="M26" s="391">
        <v>0.19583333333333333</v>
      </c>
      <c r="N26" s="391">
        <v>0.23124999999999998</v>
      </c>
      <c r="O26" s="382">
        <v>20</v>
      </c>
      <c r="P26" s="392">
        <f t="shared" si="9"/>
        <v>50.999999999999979</v>
      </c>
      <c r="Q26" s="393"/>
      <c r="R26" s="393"/>
    </row>
    <row r="27" spans="1:18">
      <c r="A27" s="556"/>
      <c r="B27" s="383" t="s">
        <v>389</v>
      </c>
      <c r="C27" s="413"/>
      <c r="D27" s="411" t="s">
        <v>321</v>
      </c>
      <c r="E27" s="414"/>
      <c r="F27" s="385">
        <v>18.18</v>
      </c>
      <c r="G27" s="380">
        <v>2639</v>
      </c>
      <c r="H27" s="386">
        <f t="shared" si="6"/>
        <v>47977.02</v>
      </c>
      <c r="I27" s="387"/>
      <c r="J27" s="388">
        <v>4</v>
      </c>
      <c r="K27" s="389">
        <f t="shared" si="7"/>
        <v>2827.5</v>
      </c>
      <c r="L27" s="390">
        <f t="shared" si="8"/>
        <v>706.875</v>
      </c>
      <c r="M27" s="391">
        <v>0.24513888888888888</v>
      </c>
      <c r="N27" s="391">
        <v>0.28402777777777777</v>
      </c>
      <c r="O27" s="382">
        <v>20</v>
      </c>
      <c r="P27" s="392">
        <f t="shared" si="9"/>
        <v>56</v>
      </c>
      <c r="Q27" s="393">
        <v>0.28402777777777777</v>
      </c>
      <c r="R27" s="393">
        <v>0.32569444444444445</v>
      </c>
    </row>
    <row r="28" spans="1:18">
      <c r="A28" s="556"/>
      <c r="B28" s="383" t="s">
        <v>389</v>
      </c>
      <c r="C28" s="395"/>
      <c r="D28" s="416" t="s">
        <v>322</v>
      </c>
      <c r="E28" s="417"/>
      <c r="F28" s="385">
        <v>17.890909090909091</v>
      </c>
      <c r="G28" s="380">
        <v>1535</v>
      </c>
      <c r="H28" s="386">
        <f t="shared" si="6"/>
        <v>27462.545454545456</v>
      </c>
      <c r="I28" s="387"/>
      <c r="J28" s="388">
        <v>3</v>
      </c>
      <c r="K28" s="389">
        <f t="shared" si="7"/>
        <v>2878.1250000000032</v>
      </c>
      <c r="L28" s="390">
        <f t="shared" si="8"/>
        <v>959.37500000000102</v>
      </c>
      <c r="M28" s="391">
        <v>0.33958333333333335</v>
      </c>
      <c r="N28" s="391">
        <v>0.36180555555555555</v>
      </c>
      <c r="O28" s="382">
        <v>20</v>
      </c>
      <c r="P28" s="392">
        <f t="shared" si="9"/>
        <v>31.999999999999964</v>
      </c>
      <c r="Q28" s="393"/>
      <c r="R28" s="393"/>
    </row>
    <row r="29" spans="1:18">
      <c r="A29" s="556"/>
      <c r="B29" s="383">
        <v>0</v>
      </c>
      <c r="C29" s="380"/>
      <c r="D29" s="416"/>
      <c r="E29" s="417"/>
      <c r="F29" s="385" t="s">
        <v>391</v>
      </c>
      <c r="G29" s="380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56"/>
      <c r="B30" s="383">
        <v>0</v>
      </c>
      <c r="C30" s="380"/>
      <c r="D30" s="418"/>
      <c r="E30" s="417"/>
      <c r="F30" s="385" t="s">
        <v>391</v>
      </c>
      <c r="G30" s="380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56"/>
      <c r="B31" s="383">
        <v>0</v>
      </c>
      <c r="C31" s="395"/>
      <c r="D31" s="414"/>
      <c r="E31" s="417"/>
      <c r="F31" s="385" t="s">
        <v>391</v>
      </c>
      <c r="G31" s="380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56"/>
      <c r="B32" s="383">
        <v>0</v>
      </c>
      <c r="C32" s="395"/>
      <c r="D32" s="416"/>
      <c r="E32" s="410"/>
      <c r="F32" s="385" t="s">
        <v>391</v>
      </c>
      <c r="G32" s="380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56"/>
      <c r="B33" s="383">
        <v>0</v>
      </c>
      <c r="C33" s="380"/>
      <c r="D33" s="416"/>
      <c r="E33" s="417"/>
      <c r="F33" s="385" t="s">
        <v>391</v>
      </c>
      <c r="G33" s="380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56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56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56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56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45" customHeight="1">
      <c r="A38" s="557"/>
      <c r="B38" s="383">
        <v>0</v>
      </c>
      <c r="C38" s="12" t="s">
        <v>67</v>
      </c>
      <c r="D38" s="547" t="s">
        <v>323</v>
      </c>
      <c r="E38" s="547"/>
      <c r="F38" s="401"/>
      <c r="G38" s="420"/>
      <c r="H38" s="403"/>
      <c r="I38" s="404"/>
      <c r="J38" s="405">
        <f>AVERAGE(J25:J37)</f>
        <v>3.75</v>
      </c>
      <c r="K38" s="405">
        <f>AVERAGE(K25:K37)</f>
        <v>2870.0827205882392</v>
      </c>
      <c r="L38" s="406">
        <f>AVERAGE(L25:L37)</f>
        <v>777.48161764705981</v>
      </c>
      <c r="M38" s="391"/>
      <c r="N38" s="391"/>
      <c r="O38" s="389"/>
      <c r="P38" s="389"/>
      <c r="Q38" s="390"/>
      <c r="R38" s="390"/>
    </row>
    <row r="39" spans="1:18" ht="16.350000000000001" customHeight="1">
      <c r="A39" s="558" t="s">
        <v>324</v>
      </c>
      <c r="B39" s="383" t="s">
        <v>389</v>
      </c>
      <c r="C39" s="395"/>
      <c r="D39" s="416" t="s">
        <v>325</v>
      </c>
      <c r="E39" s="410"/>
      <c r="F39" s="385">
        <v>21.45</v>
      </c>
      <c r="G39" s="380">
        <v>926</v>
      </c>
      <c r="H39" s="386">
        <f t="shared" ref="H39:H47" si="10">F39*G39</f>
        <v>19862.7</v>
      </c>
      <c r="I39" s="387"/>
      <c r="J39" s="388">
        <v>3</v>
      </c>
      <c r="K39" s="389">
        <f>G39/P39*60</f>
        <v>2924.2105263157873</v>
      </c>
      <c r="L39" s="390">
        <f>K39/J39</f>
        <v>974.73684210526244</v>
      </c>
      <c r="M39" s="391">
        <v>0.18055555555555555</v>
      </c>
      <c r="N39" s="391">
        <v>0.19375000000000001</v>
      </c>
      <c r="O39" s="382">
        <v>20</v>
      </c>
      <c r="P39" s="421">
        <f t="shared" ref="P39:P50" si="11">(N39-M39)*24*60</f>
        <v>19.000000000000014</v>
      </c>
      <c r="Q39" s="393"/>
      <c r="R39" s="393"/>
    </row>
    <row r="40" spans="1:18">
      <c r="A40" s="559"/>
      <c r="B40" s="383" t="s">
        <v>389</v>
      </c>
      <c r="C40" s="395"/>
      <c r="D40" s="411" t="s">
        <v>326</v>
      </c>
      <c r="E40" s="410"/>
      <c r="F40" s="385">
        <v>15.15</v>
      </c>
      <c r="G40" s="380">
        <v>1282</v>
      </c>
      <c r="H40" s="386">
        <f t="shared" si="10"/>
        <v>19422.3</v>
      </c>
      <c r="I40" s="387"/>
      <c r="J40" s="388">
        <v>4</v>
      </c>
      <c r="K40" s="389">
        <f>G40/P40*60</f>
        <v>2848.8888888888905</v>
      </c>
      <c r="L40" s="390">
        <f>K40/J40</f>
        <v>712.22222222222263</v>
      </c>
      <c r="M40" s="391">
        <v>0.2076388888888889</v>
      </c>
      <c r="N40" s="391">
        <v>0.22638888888888889</v>
      </c>
      <c r="O40" s="382">
        <v>20</v>
      </c>
      <c r="P40" s="421">
        <f t="shared" si="11"/>
        <v>26.999999999999986</v>
      </c>
      <c r="Q40" s="393">
        <v>0.22638888888888889</v>
      </c>
      <c r="R40" s="393">
        <v>0.26805555555555555</v>
      </c>
    </row>
    <row r="41" spans="1:18">
      <c r="A41" s="559"/>
      <c r="B41" s="383" t="s">
        <v>389</v>
      </c>
      <c r="C41" s="395"/>
      <c r="D41" s="416" t="s">
        <v>327</v>
      </c>
      <c r="E41" s="410"/>
      <c r="F41" s="385">
        <v>18.53</v>
      </c>
      <c r="G41" s="380">
        <v>2477</v>
      </c>
      <c r="H41" s="386">
        <f t="shared" si="10"/>
        <v>45898.810000000005</v>
      </c>
      <c r="I41" s="387"/>
      <c r="J41" s="388">
        <v>3</v>
      </c>
      <c r="K41" s="389">
        <f t="shared" ref="K41:K42" si="12">G41/P41*60</f>
        <v>2804.1509433962242</v>
      </c>
      <c r="L41" s="390">
        <f t="shared" ref="L41:L42" si="13">K41/J41</f>
        <v>934.71698113207469</v>
      </c>
      <c r="M41" s="391">
        <v>0.28194444444444444</v>
      </c>
      <c r="N41" s="391">
        <v>0.31875000000000003</v>
      </c>
      <c r="O41" s="382">
        <v>20</v>
      </c>
      <c r="P41" s="421">
        <f t="shared" si="11"/>
        <v>53.00000000000005</v>
      </c>
      <c r="Q41" s="393"/>
      <c r="R41" s="393"/>
    </row>
    <row r="42" spans="1:18">
      <c r="A42" s="559"/>
      <c r="B42" s="383">
        <v>0</v>
      </c>
      <c r="C42" s="395"/>
      <c r="D42" s="411" t="s">
        <v>395</v>
      </c>
      <c r="E42" s="410"/>
      <c r="F42" s="385" t="s">
        <v>391</v>
      </c>
      <c r="G42" s="380">
        <v>2561</v>
      </c>
      <c r="H42" s="386">
        <f t="shared" si="10"/>
        <v>0</v>
      </c>
      <c r="I42" s="387"/>
      <c r="J42" s="388">
        <v>4</v>
      </c>
      <c r="K42" s="389">
        <f t="shared" si="12"/>
        <v>2899.2452830188649</v>
      </c>
      <c r="L42" s="390">
        <f t="shared" si="13"/>
        <v>724.81132075471623</v>
      </c>
      <c r="M42" s="391">
        <v>0.33263888888888887</v>
      </c>
      <c r="N42" s="391">
        <v>0.36944444444444446</v>
      </c>
      <c r="O42" s="382">
        <v>20</v>
      </c>
      <c r="P42" s="421">
        <f t="shared" si="11"/>
        <v>53.00000000000005</v>
      </c>
      <c r="Q42" s="393"/>
      <c r="R42" s="393"/>
    </row>
    <row r="43" spans="1:18" ht="15.75" customHeight="1">
      <c r="A43" s="559"/>
      <c r="B43" s="383">
        <v>0</v>
      </c>
      <c r="C43" s="395"/>
      <c r="D43" s="418"/>
      <c r="E43" s="410"/>
      <c r="F43" s="385" t="s">
        <v>391</v>
      </c>
      <c r="G43" s="380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59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59"/>
      <c r="B45" s="383">
        <v>0</v>
      </c>
      <c r="C45" s="395"/>
      <c r="D45" s="416"/>
      <c r="E45" s="417"/>
      <c r="F45" s="385" t="s">
        <v>391</v>
      </c>
      <c r="G45" s="380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59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59"/>
      <c r="B47" s="383">
        <v>0</v>
      </c>
      <c r="C47" s="395"/>
      <c r="D47" s="416"/>
      <c r="E47" s="417"/>
      <c r="F47" s="385" t="s">
        <v>391</v>
      </c>
      <c r="G47" s="380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60"/>
      <c r="B48" s="383">
        <v>0</v>
      </c>
      <c r="C48" s="380"/>
      <c r="D48" s="562"/>
      <c r="E48" s="563"/>
      <c r="F48" s="385" t="s">
        <v>391</v>
      </c>
      <c r="G48" s="380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60"/>
      <c r="B49" s="383">
        <v>0</v>
      </c>
      <c r="C49" s="380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60"/>
      <c r="B50" s="383">
        <v>0</v>
      </c>
      <c r="C50" s="380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61"/>
      <c r="B51" s="383">
        <v>0</v>
      </c>
      <c r="C51" s="12" t="s">
        <v>68</v>
      </c>
      <c r="D51" s="552" t="s">
        <v>75</v>
      </c>
      <c r="E51" s="552"/>
      <c r="F51" s="401"/>
      <c r="G51" s="406"/>
      <c r="H51" s="428"/>
      <c r="I51" s="429"/>
      <c r="J51" s="405">
        <f>AVERAGE(J39:J50)</f>
        <v>3.5</v>
      </c>
      <c r="K51" s="405">
        <f>AVERAGE(K39:K50)</f>
        <v>2869.1239104049419</v>
      </c>
      <c r="L51" s="406">
        <f>AVERAGE(L39:L50)</f>
        <v>836.62184155356897</v>
      </c>
      <c r="M51" s="430"/>
      <c r="N51" s="391"/>
      <c r="O51" s="389"/>
      <c r="P51" s="389"/>
      <c r="Q51" s="390"/>
      <c r="R51" s="390"/>
    </row>
    <row r="52" spans="1:18" ht="15.6" customHeight="1">
      <c r="A52" s="564" t="s">
        <v>329</v>
      </c>
      <c r="B52" s="383">
        <v>0</v>
      </c>
      <c r="C52" s="395"/>
      <c r="D52" s="414"/>
      <c r="E52" s="431"/>
      <c r="F52" s="385" t="s">
        <v>391</v>
      </c>
      <c r="G52" s="380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6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65"/>
      <c r="B54" s="383">
        <v>0</v>
      </c>
      <c r="C54" s="395"/>
      <c r="D54" s="414"/>
      <c r="E54" s="410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6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6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6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6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6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6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6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6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6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66"/>
      <c r="B64" s="383">
        <v>0</v>
      </c>
      <c r="C64" s="12" t="s">
        <v>330</v>
      </c>
      <c r="D64" s="552" t="s">
        <v>75</v>
      </c>
      <c r="E64" s="552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49" t="s">
        <v>331</v>
      </c>
      <c r="B65" s="383" t="s">
        <v>389</v>
      </c>
      <c r="C65" s="395"/>
      <c r="D65" s="414" t="s">
        <v>332</v>
      </c>
      <c r="E65" s="431"/>
      <c r="F65" s="385">
        <v>25.03</v>
      </c>
      <c r="G65" s="380">
        <v>738</v>
      </c>
      <c r="H65" s="386">
        <f>F65*G65</f>
        <v>18472.14</v>
      </c>
      <c r="I65" s="387"/>
      <c r="J65" s="388">
        <v>4</v>
      </c>
      <c r="K65" s="389">
        <f t="shared" ref="K65:K71" si="16">G65/P65*60</f>
        <v>3406.153846153848</v>
      </c>
      <c r="L65" s="390">
        <f t="shared" ref="L65:L71" si="17">K65/J65</f>
        <v>851.538461538462</v>
      </c>
      <c r="M65" s="391">
        <v>0.18055555555555555</v>
      </c>
      <c r="N65" s="391">
        <v>0.18958333333333333</v>
      </c>
      <c r="O65" s="389">
        <v>20</v>
      </c>
      <c r="P65" s="392">
        <f>(N65-M65)*24*60</f>
        <v>12.999999999999993</v>
      </c>
      <c r="Q65" s="393"/>
      <c r="R65" s="393"/>
    </row>
    <row r="66" spans="1:18" ht="15.6" customHeight="1">
      <c r="A66" s="550"/>
      <c r="B66" s="383" t="s">
        <v>389</v>
      </c>
      <c r="C66" s="395"/>
      <c r="D66" s="414" t="s">
        <v>333</v>
      </c>
      <c r="E66" s="432"/>
      <c r="F66" s="385">
        <v>24.82</v>
      </c>
      <c r="G66" s="394">
        <v>933</v>
      </c>
      <c r="H66" s="386">
        <f t="shared" ref="H66:H74" si="18">F66*G66</f>
        <v>23157.06</v>
      </c>
      <c r="I66" s="387"/>
      <c r="J66" s="388">
        <v>4</v>
      </c>
      <c r="K66" s="389">
        <f t="shared" si="16"/>
        <v>3292.9411764705769</v>
      </c>
      <c r="L66" s="390">
        <f t="shared" si="17"/>
        <v>823.23529411764423</v>
      </c>
      <c r="M66" s="391">
        <v>0.20347222222222219</v>
      </c>
      <c r="N66" s="391">
        <v>0.21527777777777779</v>
      </c>
      <c r="O66" s="389">
        <v>20</v>
      </c>
      <c r="P66" s="392">
        <f t="shared" ref="P66:P74" si="19">(N66-M66)*24*60</f>
        <v>17.00000000000006</v>
      </c>
      <c r="Q66" s="393"/>
      <c r="R66" s="393"/>
    </row>
    <row r="67" spans="1:18" ht="15.6" customHeight="1">
      <c r="A67" s="550"/>
      <c r="B67" s="383" t="s">
        <v>389</v>
      </c>
      <c r="C67" s="395"/>
      <c r="D67" s="414" t="s">
        <v>334</v>
      </c>
      <c r="E67" s="417"/>
      <c r="F67" s="385">
        <v>30</v>
      </c>
      <c r="G67" s="394">
        <v>1492</v>
      </c>
      <c r="H67" s="386">
        <f t="shared" si="18"/>
        <v>44760</v>
      </c>
      <c r="I67" s="387"/>
      <c r="J67" s="388">
        <v>4</v>
      </c>
      <c r="K67" s="389">
        <f t="shared" si="16"/>
        <v>3315.5555555555525</v>
      </c>
      <c r="L67" s="390">
        <f t="shared" si="17"/>
        <v>828.88888888888812</v>
      </c>
      <c r="M67" s="391">
        <v>0.22916666666666666</v>
      </c>
      <c r="N67" s="391">
        <v>0.24791666666666667</v>
      </c>
      <c r="O67" s="389">
        <v>20</v>
      </c>
      <c r="P67" s="392">
        <f t="shared" si="19"/>
        <v>27.000000000000025</v>
      </c>
      <c r="Q67" s="393"/>
      <c r="R67" s="393"/>
    </row>
    <row r="68" spans="1:18" ht="15.6" customHeight="1">
      <c r="A68" s="550"/>
      <c r="B68" s="383" t="s">
        <v>389</v>
      </c>
      <c r="C68" s="395"/>
      <c r="D68" s="434" t="s">
        <v>335</v>
      </c>
      <c r="E68" s="417"/>
      <c r="F68" s="385">
        <v>14.03</v>
      </c>
      <c r="G68" s="394">
        <v>2584</v>
      </c>
      <c r="H68" s="386">
        <f t="shared" si="18"/>
        <v>36253.519999999997</v>
      </c>
      <c r="I68" s="387"/>
      <c r="J68" s="388">
        <v>3</v>
      </c>
      <c r="K68" s="389">
        <f t="shared" si="16"/>
        <v>3230.0000000000009</v>
      </c>
      <c r="L68" s="390">
        <f t="shared" si="17"/>
        <v>1076.666666666667</v>
      </c>
      <c r="M68" s="391">
        <v>0.26180555555555557</v>
      </c>
      <c r="N68" s="391">
        <v>0.2951388888888889</v>
      </c>
      <c r="O68" s="389">
        <v>25</v>
      </c>
      <c r="P68" s="392">
        <f t="shared" si="19"/>
        <v>47.999999999999986</v>
      </c>
      <c r="Q68" s="393"/>
      <c r="R68" s="393"/>
    </row>
    <row r="69" spans="1:18" ht="15.6" customHeight="1">
      <c r="A69" s="550"/>
      <c r="B69" s="383" t="s">
        <v>389</v>
      </c>
      <c r="C69" s="395"/>
      <c r="D69" s="414" t="s">
        <v>336</v>
      </c>
      <c r="E69" s="417"/>
      <c r="F69" s="385">
        <v>18.18</v>
      </c>
      <c r="G69" s="394">
        <v>795</v>
      </c>
      <c r="H69" s="386">
        <f t="shared" si="18"/>
        <v>14453.1</v>
      </c>
      <c r="I69" s="387"/>
      <c r="J69" s="388">
        <v>3</v>
      </c>
      <c r="K69" s="389">
        <f t="shared" si="16"/>
        <v>3407.1428571428496</v>
      </c>
      <c r="L69" s="390">
        <f t="shared" si="17"/>
        <v>1135.7142857142833</v>
      </c>
      <c r="M69" s="391">
        <v>0.35069444444444442</v>
      </c>
      <c r="N69" s="391">
        <v>0.36041666666666666</v>
      </c>
      <c r="O69" s="389">
        <v>20</v>
      </c>
      <c r="P69" s="392">
        <f t="shared" si="19"/>
        <v>14.00000000000003</v>
      </c>
      <c r="Q69" s="393">
        <v>0.36041666666666666</v>
      </c>
      <c r="R69" s="393">
        <v>0.40208333333333335</v>
      </c>
    </row>
    <row r="70" spans="1:18" ht="15.75" customHeight="1">
      <c r="A70" s="550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1381</v>
      </c>
      <c r="H70" s="386">
        <f t="shared" si="18"/>
        <v>25106.579999999998</v>
      </c>
      <c r="I70" s="387"/>
      <c r="J70" s="388">
        <v>3</v>
      </c>
      <c r="K70" s="389">
        <f t="shared" si="16"/>
        <v>3068.8888888888814</v>
      </c>
      <c r="L70" s="390">
        <f t="shared" si="17"/>
        <v>1022.9629629629604</v>
      </c>
      <c r="M70" s="391">
        <v>0.3743055555555555</v>
      </c>
      <c r="N70" s="391">
        <v>0.39305555555555555</v>
      </c>
      <c r="O70" s="389">
        <v>20</v>
      </c>
      <c r="P70" s="392">
        <f t="shared" si="19"/>
        <v>27.000000000000064</v>
      </c>
      <c r="Q70" s="393"/>
      <c r="R70" s="393"/>
    </row>
    <row r="71" spans="1:18" ht="15.6" customHeight="1">
      <c r="A71" s="550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3712</v>
      </c>
      <c r="H71" s="386">
        <f t="shared" si="18"/>
        <v>53028.57142857142</v>
      </c>
      <c r="I71" s="387"/>
      <c r="J71" s="388">
        <v>3</v>
      </c>
      <c r="K71" s="389">
        <f t="shared" si="16"/>
        <v>3275.2941176470631</v>
      </c>
      <c r="L71" s="390">
        <f t="shared" si="17"/>
        <v>1091.7647058823543</v>
      </c>
      <c r="M71" s="391">
        <v>0.4069444444444445</v>
      </c>
      <c r="N71" s="391">
        <v>0.45416666666666666</v>
      </c>
      <c r="O71" s="389">
        <v>20</v>
      </c>
      <c r="P71" s="392">
        <f t="shared" si="19"/>
        <v>67.999999999999915</v>
      </c>
      <c r="Q71" s="393"/>
      <c r="R71" s="393"/>
    </row>
    <row r="72" spans="1:18" ht="15.6" customHeight="1">
      <c r="A72" s="550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50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50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51"/>
      <c r="B75" s="383">
        <v>0</v>
      </c>
      <c r="C75" s="12" t="s">
        <v>339</v>
      </c>
      <c r="D75" s="552" t="s">
        <v>75</v>
      </c>
      <c r="E75" s="552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3285.1394916941103</v>
      </c>
      <c r="L75" s="406">
        <f>AVERAGE(L65:L74)</f>
        <v>975.82446653875127</v>
      </c>
      <c r="M75" s="391"/>
      <c r="N75" s="391"/>
      <c r="O75" s="382"/>
      <c r="P75" s="382"/>
      <c r="Q75" s="382"/>
      <c r="R75" s="382"/>
    </row>
    <row r="76" spans="1:18" ht="16.350000000000001" customHeight="1">
      <c r="A76" s="553" t="s">
        <v>340</v>
      </c>
      <c r="B76" s="383">
        <v>0</v>
      </c>
      <c r="C76" s="400"/>
      <c r="D76" s="554"/>
      <c r="E76" s="555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53"/>
      <c r="B77" s="383">
        <v>0</v>
      </c>
      <c r="C77" s="400"/>
      <c r="D77" s="554"/>
      <c r="E77" s="555"/>
      <c r="F77" s="385" t="s">
        <v>391</v>
      </c>
      <c r="G77" s="380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53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53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53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53"/>
      <c r="B81" s="383">
        <v>0</v>
      </c>
      <c r="C81" s="12" t="s">
        <v>71</v>
      </c>
      <c r="D81" s="547" t="s">
        <v>75</v>
      </c>
      <c r="E81" s="547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38" t="s">
        <v>341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5083</v>
      </c>
      <c r="H82" s="444">
        <f t="shared" ref="H82:H87" si="20">F82*G82</f>
        <v>84682.78</v>
      </c>
      <c r="I82" s="387"/>
      <c r="J82" s="388">
        <v>4</v>
      </c>
      <c r="K82" s="389">
        <f t="shared" ref="K82:K86" si="21">G82/P82*60</f>
        <v>2772.5454545454527</v>
      </c>
      <c r="L82" s="390">
        <f t="shared" ref="L82:L86" si="22">K82/J82</f>
        <v>693.13636363636317</v>
      </c>
      <c r="M82" s="391">
        <v>0.72222222222222221</v>
      </c>
      <c r="N82" s="391">
        <v>0.79861111111111116</v>
      </c>
      <c r="O82" s="389">
        <v>20</v>
      </c>
      <c r="P82" s="392">
        <f>(N82-M82)*24*60</f>
        <v>110.00000000000009</v>
      </c>
      <c r="Q82" s="393"/>
      <c r="R82" s="393"/>
    </row>
    <row r="83" spans="1:18">
      <c r="A83" s="539"/>
      <c r="B83" s="383" t="s">
        <v>389</v>
      </c>
      <c r="C83" s="413"/>
      <c r="D83" s="414" t="s">
        <v>343</v>
      </c>
      <c r="E83" s="443"/>
      <c r="F83" s="385">
        <v>18.18</v>
      </c>
      <c r="G83" s="419">
        <v>349</v>
      </c>
      <c r="H83" s="444">
        <f t="shared" si="20"/>
        <v>6344.82</v>
      </c>
      <c r="I83" s="387"/>
      <c r="J83" s="388">
        <v>4</v>
      </c>
      <c r="K83" s="389">
        <f t="shared" si="21"/>
        <v>2093.9999999999741</v>
      </c>
      <c r="L83" s="390">
        <f t="shared" si="22"/>
        <v>523.49999999999352</v>
      </c>
      <c r="M83" s="391">
        <v>0.8125</v>
      </c>
      <c r="N83" s="391">
        <v>0.81944444444444453</v>
      </c>
      <c r="O83" s="389">
        <v>20</v>
      </c>
      <c r="P83" s="392">
        <f>(N83-M83)*24*60</f>
        <v>10.000000000000124</v>
      </c>
      <c r="Q83" s="393"/>
      <c r="R83" s="393"/>
    </row>
    <row r="84" spans="1:18">
      <c r="A84" s="539"/>
      <c r="B84" s="383" t="s">
        <v>389</v>
      </c>
      <c r="C84" s="413"/>
      <c r="D84" s="433" t="s">
        <v>344</v>
      </c>
      <c r="E84" s="443"/>
      <c r="F84" s="385">
        <v>16.7</v>
      </c>
      <c r="G84" s="419">
        <v>1125</v>
      </c>
      <c r="H84" s="445">
        <f t="shared" si="20"/>
        <v>18787.5</v>
      </c>
      <c r="I84" s="387"/>
      <c r="J84" s="388">
        <v>3</v>
      </c>
      <c r="K84" s="389">
        <f t="shared" si="21"/>
        <v>2699.9999999999923</v>
      </c>
      <c r="L84" s="390">
        <f t="shared" si="22"/>
        <v>899.99999999999739</v>
      </c>
      <c r="M84" s="391">
        <v>0.83333333333333337</v>
      </c>
      <c r="N84" s="391">
        <v>0.85069444444444453</v>
      </c>
      <c r="O84" s="389">
        <v>20</v>
      </c>
      <c r="P84" s="421">
        <f t="shared" ref="P84:P85" si="23">(N84-M84)*24*60</f>
        <v>25.000000000000071</v>
      </c>
      <c r="Q84" s="393">
        <v>0.85069444444444453</v>
      </c>
      <c r="R84" s="393">
        <v>0.89236111111111116</v>
      </c>
    </row>
    <row r="85" spans="1:18">
      <c r="A85" s="539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888</v>
      </c>
      <c r="H85" s="445">
        <f t="shared" si="20"/>
        <v>19786.254545454543</v>
      </c>
      <c r="I85" s="387"/>
      <c r="J85" s="388">
        <v>4</v>
      </c>
      <c r="K85" s="389">
        <f t="shared" si="21"/>
        <v>2664.0000000000091</v>
      </c>
      <c r="L85" s="390">
        <f t="shared" si="22"/>
        <v>666.00000000000227</v>
      </c>
      <c r="M85" s="391">
        <v>0.90625</v>
      </c>
      <c r="N85" s="391">
        <v>0.92013888888888884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39"/>
      <c r="B86" s="383" t="s">
        <v>389</v>
      </c>
      <c r="C86" s="413"/>
      <c r="D86" s="414" t="s">
        <v>346</v>
      </c>
      <c r="E86" s="443"/>
      <c r="F86" s="385">
        <v>17.890909090909091</v>
      </c>
      <c r="G86" s="380">
        <v>3555</v>
      </c>
      <c r="H86" s="445">
        <f t="shared" si="20"/>
        <v>63602.181818181816</v>
      </c>
      <c r="I86" s="387"/>
      <c r="J86" s="388">
        <v>3</v>
      </c>
      <c r="K86" s="389">
        <f t="shared" si="21"/>
        <v>2666.2499999999991</v>
      </c>
      <c r="L86" s="390">
        <f t="shared" si="22"/>
        <v>888.74999999999966</v>
      </c>
      <c r="M86" s="391">
        <v>0.93402777777777779</v>
      </c>
      <c r="N86" s="446">
        <v>0.98958333333333337</v>
      </c>
      <c r="O86" s="382">
        <v>20</v>
      </c>
      <c r="P86" s="421">
        <f>(N86-M86)*24*60</f>
        <v>80.000000000000028</v>
      </c>
      <c r="Q86" s="382"/>
      <c r="R86" s="382"/>
    </row>
    <row r="87" spans="1:18">
      <c r="A87" s="539"/>
      <c r="B87" s="383"/>
      <c r="C87" s="413"/>
      <c r="D87" s="414"/>
      <c r="E87" s="443"/>
      <c r="F87" s="385" t="s">
        <v>391</v>
      </c>
      <c r="G87" s="380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39"/>
      <c r="B88" s="383">
        <v>0</v>
      </c>
      <c r="C88" s="413"/>
      <c r="D88" s="414"/>
      <c r="E88" s="443"/>
      <c r="F88" s="385" t="s">
        <v>391</v>
      </c>
      <c r="G88" s="380"/>
      <c r="H88" s="445"/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39"/>
      <c r="B89" s="383">
        <v>0</v>
      </c>
      <c r="C89" s="413"/>
      <c r="D89" s="414"/>
      <c r="E89" s="443"/>
      <c r="F89" s="385" t="s">
        <v>391</v>
      </c>
      <c r="G89" s="380"/>
      <c r="H89" s="445">
        <f t="shared" ref="H89:H90" si="24">F89*G89</f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5">(N89-M89)*24*60</f>
        <v>0</v>
      </c>
      <c r="Q89" s="382"/>
      <c r="R89" s="382"/>
    </row>
    <row r="90" spans="1:18">
      <c r="A90" s="539"/>
      <c r="B90" s="383">
        <v>0</v>
      </c>
      <c r="C90" s="413"/>
      <c r="D90" s="414"/>
      <c r="E90" s="443"/>
      <c r="F90" s="385" t="s">
        <v>391</v>
      </c>
      <c r="G90" s="380"/>
      <c r="H90" s="445">
        <f t="shared" si="24"/>
        <v>0</v>
      </c>
      <c r="I90" s="387"/>
      <c r="J90" s="388"/>
      <c r="K90" s="389"/>
      <c r="L90" s="390"/>
      <c r="M90" s="391"/>
      <c r="N90" s="446"/>
      <c r="O90" s="382"/>
      <c r="P90" s="421">
        <f t="shared" si="25"/>
        <v>0</v>
      </c>
      <c r="Q90" s="382"/>
      <c r="R90" s="382"/>
    </row>
    <row r="91" spans="1:18" ht="17.45" customHeight="1">
      <c r="A91" s="539"/>
      <c r="B91" s="383">
        <v>0</v>
      </c>
      <c r="C91" s="12" t="s">
        <v>318</v>
      </c>
      <c r="D91" s="540" t="s">
        <v>75</v>
      </c>
      <c r="E91" s="540"/>
      <c r="F91" s="401"/>
      <c r="G91" s="447"/>
      <c r="H91" s="448"/>
      <c r="I91" s="404"/>
      <c r="J91" s="405">
        <f>AVERAGE(J82:J90)</f>
        <v>3.6</v>
      </c>
      <c r="K91" s="405">
        <f>AVERAGE(K82:K90)</f>
        <v>2579.3590909090854</v>
      </c>
      <c r="L91" s="406">
        <f>AVERAGE(L82:L90)</f>
        <v>734.27727272727111</v>
      </c>
      <c r="M91" s="391"/>
      <c r="N91" s="391"/>
      <c r="O91" s="389"/>
      <c r="P91" s="389"/>
      <c r="Q91" s="390"/>
      <c r="R91" s="390"/>
    </row>
    <row r="92" spans="1:18" ht="16.350000000000001" customHeight="1">
      <c r="A92" s="541" t="s">
        <v>347</v>
      </c>
      <c r="B92" s="383" t="s">
        <v>389</v>
      </c>
      <c r="C92" s="400"/>
      <c r="D92" s="449" t="s">
        <v>348</v>
      </c>
      <c r="E92" s="443"/>
      <c r="F92" s="385">
        <v>24.54</v>
      </c>
      <c r="G92" s="380">
        <v>1825</v>
      </c>
      <c r="H92" s="386">
        <f t="shared" ref="H92:H97" si="26">F92*G92</f>
        <v>44785.5</v>
      </c>
      <c r="I92" s="387"/>
      <c r="J92" s="388">
        <v>3</v>
      </c>
      <c r="K92" s="389">
        <f>G92/P92*60</f>
        <v>2189.9999999999936</v>
      </c>
      <c r="L92" s="390">
        <f t="shared" ref="L92:L93" si="27">K92/J92</f>
        <v>729.99999999999784</v>
      </c>
      <c r="M92" s="391">
        <v>0.72222222222222221</v>
      </c>
      <c r="N92" s="391">
        <v>0.75694444444444453</v>
      </c>
      <c r="O92" s="382">
        <v>20</v>
      </c>
      <c r="P92" s="392">
        <f>(N92-M92)*24*60</f>
        <v>50.000000000000142</v>
      </c>
      <c r="Q92" s="393"/>
      <c r="R92" s="393"/>
    </row>
    <row r="93" spans="1:18">
      <c r="A93" s="542"/>
      <c r="B93" s="383" t="s">
        <v>389</v>
      </c>
      <c r="C93" s="400"/>
      <c r="D93" s="414" t="s">
        <v>349</v>
      </c>
      <c r="E93" s="443"/>
      <c r="F93" s="385">
        <v>22.48</v>
      </c>
      <c r="G93" s="380">
        <v>1315</v>
      </c>
      <c r="H93" s="386">
        <f t="shared" si="26"/>
        <v>29561.200000000001</v>
      </c>
      <c r="I93" s="387"/>
      <c r="J93" s="388">
        <v>4</v>
      </c>
      <c r="K93" s="389">
        <f t="shared" ref="K93" si="28">G93/P93*60</f>
        <v>2254.2857142857229</v>
      </c>
      <c r="L93" s="390">
        <f t="shared" si="27"/>
        <v>563.57142857143072</v>
      </c>
      <c r="M93" s="391">
        <v>0.77083333333333337</v>
      </c>
      <c r="N93" s="391">
        <v>0.79513888888888884</v>
      </c>
      <c r="O93" s="382">
        <v>20</v>
      </c>
      <c r="P93" s="392">
        <f>(N93-M93)*24*60</f>
        <v>34.999999999999872</v>
      </c>
      <c r="Q93" s="393"/>
      <c r="R93" s="393"/>
    </row>
    <row r="94" spans="1:18">
      <c r="A94" s="542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6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43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6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43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6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43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6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43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43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43"/>
      <c r="B100" s="383">
        <v>0</v>
      </c>
      <c r="C100" s="12" t="s">
        <v>350</v>
      </c>
      <c r="D100" s="544" t="s">
        <v>75</v>
      </c>
      <c r="E100" s="545"/>
      <c r="F100" s="401"/>
      <c r="G100" s="402"/>
      <c r="H100" s="450"/>
      <c r="I100" s="404"/>
      <c r="J100" s="405">
        <f>AVERAGE(J92:J99)</f>
        <v>3.5</v>
      </c>
      <c r="K100" s="405">
        <f>AVERAGE(K92:K99)</f>
        <v>2222.1428571428582</v>
      </c>
      <c r="L100" s="406">
        <f>AVERAGE(L92:L99)</f>
        <v>646.78571428571422</v>
      </c>
      <c r="M100" s="391"/>
      <c r="N100" s="391"/>
      <c r="O100" s="389"/>
      <c r="P100" s="389"/>
      <c r="Q100" s="390"/>
      <c r="R100" s="390"/>
    </row>
    <row r="101" spans="1:18" ht="16.350000000000001" customHeight="1">
      <c r="A101" s="546" t="s">
        <v>351</v>
      </c>
      <c r="B101" s="383" t="s">
        <v>389</v>
      </c>
      <c r="C101" s="12"/>
      <c r="D101" s="437" t="s">
        <v>352</v>
      </c>
      <c r="E101" s="451"/>
      <c r="F101" s="385">
        <v>25.03</v>
      </c>
      <c r="G101" s="380">
        <v>1065</v>
      </c>
      <c r="H101" s="386">
        <f t="shared" ref="H101:H110" si="29">F101*G101</f>
        <v>26656.95</v>
      </c>
      <c r="I101" s="387"/>
      <c r="J101" s="388">
        <v>4</v>
      </c>
      <c r="K101" s="389">
        <f>G101/P101*60</f>
        <v>3194.9999999999859</v>
      </c>
      <c r="L101" s="390">
        <f t="shared" ref="L101:L105" si="30">K101/J101</f>
        <v>798.74999999999648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1">(N101-M101)*24*60</f>
        <v>20.000000000000089</v>
      </c>
      <c r="Q101" s="390"/>
      <c r="R101" s="393"/>
    </row>
    <row r="102" spans="1:18">
      <c r="A102" s="546"/>
      <c r="B102" s="383" t="s">
        <v>389</v>
      </c>
      <c r="C102" s="12"/>
      <c r="D102" s="414" t="s">
        <v>353</v>
      </c>
      <c r="E102" s="451"/>
      <c r="F102" s="385">
        <v>24.82</v>
      </c>
      <c r="G102" s="380">
        <v>1632</v>
      </c>
      <c r="H102" s="386">
        <f t="shared" si="29"/>
        <v>40506.239999999998</v>
      </c>
      <c r="I102" s="387"/>
      <c r="J102" s="388">
        <v>4</v>
      </c>
      <c r="K102" s="389">
        <f t="shared" ref="K102:K105" si="32">G102/P102*60</f>
        <v>2797.7142857142958</v>
      </c>
      <c r="L102" s="390">
        <f t="shared" si="30"/>
        <v>699.42857142857395</v>
      </c>
      <c r="M102" s="391">
        <v>0.75</v>
      </c>
      <c r="N102" s="391">
        <v>0.77430555555555547</v>
      </c>
      <c r="O102" s="382">
        <v>20</v>
      </c>
      <c r="P102" s="389">
        <f t="shared" si="31"/>
        <v>34.999999999999872</v>
      </c>
      <c r="Q102" s="393"/>
      <c r="R102" s="393"/>
    </row>
    <row r="103" spans="1:18">
      <c r="A103" s="546"/>
      <c r="B103" s="383" t="s">
        <v>389</v>
      </c>
      <c r="C103" s="12"/>
      <c r="D103" s="433" t="s">
        <v>354</v>
      </c>
      <c r="E103" s="414"/>
      <c r="F103" s="385">
        <v>28.57</v>
      </c>
      <c r="G103" s="380">
        <v>2824</v>
      </c>
      <c r="H103" s="386">
        <f t="shared" si="29"/>
        <v>80681.680000000008</v>
      </c>
      <c r="I103" s="387"/>
      <c r="J103" s="388">
        <v>3</v>
      </c>
      <c r="K103" s="389">
        <f t="shared" si="32"/>
        <v>2824.0000000000027</v>
      </c>
      <c r="L103" s="390">
        <f t="shared" si="30"/>
        <v>941.33333333333428</v>
      </c>
      <c r="M103" s="391">
        <v>0.78819444444444453</v>
      </c>
      <c r="N103" s="391">
        <v>0.82986111111111116</v>
      </c>
      <c r="O103" s="382">
        <v>20</v>
      </c>
      <c r="P103" s="389">
        <f t="shared" si="31"/>
        <v>59.999999999999943</v>
      </c>
      <c r="Q103" s="393"/>
      <c r="R103" s="393"/>
    </row>
    <row r="104" spans="1:18">
      <c r="A104" s="546"/>
      <c r="B104" s="383" t="s">
        <v>389</v>
      </c>
      <c r="C104" s="12"/>
      <c r="D104" s="414" t="s">
        <v>355</v>
      </c>
      <c r="E104" s="437"/>
      <c r="F104" s="385">
        <v>14.03</v>
      </c>
      <c r="G104" s="380">
        <v>5721</v>
      </c>
      <c r="H104" s="386">
        <f t="shared" si="29"/>
        <v>80265.62999999999</v>
      </c>
      <c r="I104" s="387"/>
      <c r="J104" s="388">
        <v>3</v>
      </c>
      <c r="K104" s="389">
        <f t="shared" si="32"/>
        <v>2984.8695652173897</v>
      </c>
      <c r="L104" s="390">
        <f t="shared" si="30"/>
        <v>994.95652173912993</v>
      </c>
      <c r="M104" s="391">
        <v>0.84375</v>
      </c>
      <c r="N104" s="391">
        <v>0.92361111111111116</v>
      </c>
      <c r="O104" s="382">
        <v>20</v>
      </c>
      <c r="P104" s="389">
        <f>(N104-M104)*24*60</f>
        <v>115.00000000000007</v>
      </c>
      <c r="Q104" s="393">
        <v>0.92361111111111116</v>
      </c>
      <c r="R104" s="393">
        <v>0.96527777777777779</v>
      </c>
    </row>
    <row r="105" spans="1:18">
      <c r="A105" s="546"/>
      <c r="B105" s="383" t="s">
        <v>389</v>
      </c>
      <c r="C105" s="12"/>
      <c r="D105" s="414" t="s">
        <v>356</v>
      </c>
      <c r="E105" s="433"/>
      <c r="F105" s="385">
        <v>14.285714285714283</v>
      </c>
      <c r="G105" s="380">
        <v>7761</v>
      </c>
      <c r="H105" s="386">
        <f t="shared" si="29"/>
        <v>110871.42857142855</v>
      </c>
      <c r="I105" s="387"/>
      <c r="J105" s="388">
        <v>3</v>
      </c>
      <c r="K105" s="389">
        <f t="shared" si="32"/>
        <v>3004.258064471001</v>
      </c>
      <c r="L105" s="390">
        <f t="shared" si="30"/>
        <v>1001.419354823667</v>
      </c>
      <c r="M105" s="391">
        <v>46054.979166666664</v>
      </c>
      <c r="N105" s="446">
        <v>46055.086805555555</v>
      </c>
      <c r="O105" s="382">
        <v>20</v>
      </c>
      <c r="P105" s="389">
        <f>(N105-M105)*24*60</f>
        <v>155.00000000232831</v>
      </c>
      <c r="Q105" s="390"/>
      <c r="R105" s="393"/>
    </row>
    <row r="106" spans="1:18">
      <c r="A106" s="546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9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1"/>
        <v>0</v>
      </c>
      <c r="Q106" s="390"/>
      <c r="R106" s="393"/>
    </row>
    <row r="107" spans="1:18">
      <c r="A107" s="546"/>
      <c r="B107" s="383">
        <v>0</v>
      </c>
      <c r="C107" s="12"/>
      <c r="D107" s="414"/>
      <c r="E107" s="433"/>
      <c r="F107" s="385" t="s">
        <v>391</v>
      </c>
      <c r="G107" s="380"/>
      <c r="H107" s="386">
        <f t="shared" si="29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1"/>
        <v>0</v>
      </c>
      <c r="Q107" s="390"/>
      <c r="R107" s="393"/>
    </row>
    <row r="108" spans="1:18">
      <c r="A108" s="546"/>
      <c r="B108" s="383">
        <v>0</v>
      </c>
      <c r="C108" s="12"/>
      <c r="D108" s="414"/>
      <c r="E108" s="433"/>
      <c r="F108" s="385" t="s">
        <v>391</v>
      </c>
      <c r="G108" s="380"/>
      <c r="H108" s="386">
        <f t="shared" si="29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1"/>
        <v>0</v>
      </c>
      <c r="Q108" s="390"/>
      <c r="R108" s="393"/>
    </row>
    <row r="109" spans="1:18">
      <c r="A109" s="546"/>
      <c r="B109" s="383">
        <v>0</v>
      </c>
      <c r="C109" s="400"/>
      <c r="D109" s="414"/>
      <c r="E109" s="433"/>
      <c r="F109" s="385" t="s">
        <v>391</v>
      </c>
      <c r="G109" s="380"/>
      <c r="H109" s="386">
        <f t="shared" si="29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1"/>
        <v>0</v>
      </c>
      <c r="Q109" s="390"/>
      <c r="R109" s="393"/>
    </row>
    <row r="110" spans="1:18">
      <c r="A110" s="546"/>
      <c r="B110" s="383">
        <v>0</v>
      </c>
      <c r="C110" s="400"/>
      <c r="D110" s="414"/>
      <c r="E110" s="433"/>
      <c r="F110" s="385" t="s">
        <v>391</v>
      </c>
      <c r="G110" s="380"/>
      <c r="H110" s="386">
        <f t="shared" si="29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1"/>
        <v>0</v>
      </c>
      <c r="Q110" s="390"/>
      <c r="R110" s="393"/>
    </row>
    <row r="111" spans="1:18" ht="15.75" customHeight="1">
      <c r="A111" s="546"/>
      <c r="B111" s="383">
        <v>0</v>
      </c>
      <c r="C111" s="12" t="s">
        <v>330</v>
      </c>
      <c r="D111" s="547" t="s">
        <v>75</v>
      </c>
      <c r="E111" s="548"/>
      <c r="F111" s="452"/>
      <c r="G111" s="453"/>
      <c r="H111" s="403"/>
      <c r="I111" s="404"/>
      <c r="J111" s="405">
        <f>AVERAGE(J101:J110)</f>
        <v>3.4</v>
      </c>
      <c r="K111" s="405">
        <f>AVERAGE(K101:K110)</f>
        <v>2961.168383080535</v>
      </c>
      <c r="L111" s="406">
        <f>AVERAGE(L101:L110)</f>
        <v>887.17755626494034</v>
      </c>
      <c r="M111" s="391"/>
      <c r="N111" s="391"/>
      <c r="O111" s="389"/>
      <c r="P111" s="389"/>
      <c r="Q111" s="390"/>
      <c r="R111" s="382"/>
    </row>
    <row r="112" spans="1:18" ht="16.350000000000001" customHeight="1">
      <c r="A112" s="536" t="s">
        <v>357</v>
      </c>
      <c r="B112" s="383" t="s">
        <v>389</v>
      </c>
      <c r="C112" s="12"/>
      <c r="D112" s="441" t="s">
        <v>358</v>
      </c>
      <c r="E112" s="454"/>
      <c r="F112" s="385">
        <v>18.18</v>
      </c>
      <c r="G112" s="380">
        <v>858</v>
      </c>
      <c r="H112" s="444">
        <f t="shared" si="3"/>
        <v>15598.44</v>
      </c>
      <c r="I112" s="387"/>
      <c r="J112" s="388">
        <v>4</v>
      </c>
      <c r="K112" s="389">
        <f t="shared" ref="K112:K113" si="33">G112/P112*60</f>
        <v>2573.9999999999882</v>
      </c>
      <c r="L112" s="390">
        <f t="shared" ref="L112:L113" si="34">K112/J112</f>
        <v>643.49999999999704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5">(N112-M112)*24*60</f>
        <v>20.000000000000089</v>
      </c>
      <c r="Q112" s="382"/>
      <c r="R112" s="382"/>
    </row>
    <row r="113" spans="1:18">
      <c r="A113" s="536"/>
      <c r="B113" s="383" t="s">
        <v>389</v>
      </c>
      <c r="C113" s="413"/>
      <c r="D113" s="441" t="s">
        <v>359</v>
      </c>
      <c r="E113" s="441"/>
      <c r="F113" s="385">
        <v>18.18</v>
      </c>
      <c r="G113" s="380">
        <v>1070</v>
      </c>
      <c r="H113" s="444">
        <f t="shared" si="3"/>
        <v>19452.599999999999</v>
      </c>
      <c r="I113" s="387"/>
      <c r="J113" s="388">
        <v>3</v>
      </c>
      <c r="K113" s="389">
        <f t="shared" si="33"/>
        <v>2567.9999999999927</v>
      </c>
      <c r="L113" s="390">
        <f t="shared" si="34"/>
        <v>855.99999999999761</v>
      </c>
      <c r="M113" s="391">
        <v>0.75</v>
      </c>
      <c r="N113" s="391">
        <v>0.76736111111111116</v>
      </c>
      <c r="O113" s="382">
        <v>20</v>
      </c>
      <c r="P113" s="392">
        <f t="shared" si="35"/>
        <v>25.000000000000071</v>
      </c>
      <c r="Q113" s="393"/>
      <c r="R113" s="393"/>
    </row>
    <row r="114" spans="1:18">
      <c r="A114" s="536"/>
      <c r="B114" s="383">
        <v>0</v>
      </c>
      <c r="C114" s="413"/>
      <c r="D114" s="437"/>
      <c r="E114" s="414"/>
      <c r="F114" s="385" t="s">
        <v>391</v>
      </c>
      <c r="G114" s="380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5"/>
        <v>0</v>
      </c>
      <c r="Q114" s="393"/>
      <c r="R114" s="393"/>
    </row>
    <row r="115" spans="1:18">
      <c r="A115" s="536"/>
      <c r="B115" s="383">
        <v>0</v>
      </c>
      <c r="C115" s="413"/>
      <c r="D115" s="414"/>
      <c r="E115" s="437"/>
      <c r="F115" s="385" t="s">
        <v>391</v>
      </c>
      <c r="G115" s="380"/>
      <c r="H115" s="444">
        <f t="shared" ref="H115:H123" si="36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5"/>
        <v>0</v>
      </c>
      <c r="Q115" s="393"/>
      <c r="R115" s="393"/>
    </row>
    <row r="116" spans="1:18">
      <c r="A116" s="536"/>
      <c r="B116" s="383">
        <v>0</v>
      </c>
      <c r="C116" s="413"/>
      <c r="D116" s="414"/>
      <c r="E116" s="433"/>
      <c r="F116" s="385" t="s">
        <v>391</v>
      </c>
      <c r="G116" s="380"/>
      <c r="H116" s="444">
        <f t="shared" si="36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5"/>
        <v>0</v>
      </c>
      <c r="Q116" s="393"/>
      <c r="R116" s="393"/>
    </row>
    <row r="117" spans="1:18">
      <c r="A117" s="536"/>
      <c r="B117" s="383">
        <v>0</v>
      </c>
      <c r="C117" s="413"/>
      <c r="D117" s="433"/>
      <c r="E117" s="432"/>
      <c r="F117" s="385" t="s">
        <v>391</v>
      </c>
      <c r="G117" s="380"/>
      <c r="H117" s="444">
        <f t="shared" si="36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5"/>
        <v>0</v>
      </c>
      <c r="Q117" s="393"/>
      <c r="R117" s="393"/>
    </row>
    <row r="118" spans="1:18">
      <c r="A118" s="536"/>
      <c r="B118" s="383">
        <v>0</v>
      </c>
      <c r="C118" s="413"/>
      <c r="D118" s="433"/>
      <c r="E118" s="432"/>
      <c r="F118" s="385" t="s">
        <v>391</v>
      </c>
      <c r="G118" s="380"/>
      <c r="H118" s="444">
        <f t="shared" si="36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5"/>
        <v>0</v>
      </c>
      <c r="Q118" s="393"/>
      <c r="R118" s="393"/>
    </row>
    <row r="119" spans="1:18">
      <c r="A119" s="536"/>
      <c r="B119" s="383">
        <v>0</v>
      </c>
      <c r="C119" s="413"/>
      <c r="D119" s="433"/>
      <c r="E119" s="432"/>
      <c r="F119" s="385" t="s">
        <v>391</v>
      </c>
      <c r="G119" s="380"/>
      <c r="H119" s="444">
        <f t="shared" si="36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5"/>
        <v>0</v>
      </c>
      <c r="Q119" s="393"/>
      <c r="R119" s="393"/>
    </row>
    <row r="120" spans="1:18">
      <c r="A120" s="536"/>
      <c r="B120" s="383">
        <v>0</v>
      </c>
      <c r="C120" s="413"/>
      <c r="D120" s="433"/>
      <c r="E120" s="432"/>
      <c r="F120" s="385" t="s">
        <v>391</v>
      </c>
      <c r="G120" s="380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36"/>
      <c r="B121" s="383">
        <v>0</v>
      </c>
      <c r="C121" s="413"/>
      <c r="D121" s="433"/>
      <c r="E121" s="432"/>
      <c r="F121" s="385" t="s">
        <v>391</v>
      </c>
      <c r="G121" s="380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36"/>
      <c r="B122" s="383">
        <v>0</v>
      </c>
      <c r="C122" s="413"/>
      <c r="D122" s="433"/>
      <c r="E122" s="432"/>
      <c r="F122" s="385" t="s">
        <v>391</v>
      </c>
      <c r="G122" s="380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5"/>
        <v>0</v>
      </c>
      <c r="Q122" s="393"/>
      <c r="R122" s="393"/>
    </row>
    <row r="123" spans="1:18">
      <c r="A123" s="536"/>
      <c r="B123" s="383">
        <v>0</v>
      </c>
      <c r="C123" s="413"/>
      <c r="D123" s="433"/>
      <c r="E123" s="432"/>
      <c r="F123" s="385" t="s">
        <v>391</v>
      </c>
      <c r="G123" s="380"/>
      <c r="H123" s="444">
        <f t="shared" si="36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5"/>
        <v>0</v>
      </c>
      <c r="Q123" s="393"/>
      <c r="R123" s="393"/>
    </row>
    <row r="124" spans="1:18" ht="17.45" customHeight="1">
      <c r="A124" s="536"/>
      <c r="B124" s="400">
        <v>0</v>
      </c>
      <c r="C124" s="12" t="s">
        <v>339</v>
      </c>
      <c r="D124" s="537" t="s">
        <v>75</v>
      </c>
      <c r="E124" s="537"/>
      <c r="F124" s="401"/>
      <c r="G124" s="447"/>
      <c r="H124" s="448"/>
      <c r="I124" s="404"/>
      <c r="J124" s="405">
        <f>AVERAGE(J112:J123)</f>
        <v>3.5</v>
      </c>
      <c r="K124" s="405">
        <f>AVERAGE(K112:K123)</f>
        <v>2570.9999999999905</v>
      </c>
      <c r="L124" s="406">
        <f>AVERAGE(L112:L123)</f>
        <v>749.74999999999727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48:E48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4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" activePane="bottomLeft" state="frozen"/>
      <selection activeCell="L68" sqref="L68"/>
      <selection pane="bottomLeft" activeCell="L68" sqref="L68"/>
    </sheetView>
  </sheetViews>
  <sheetFormatPr defaultColWidth="7.875" defaultRowHeight="15.75"/>
  <cols>
    <col min="1" max="1" width="14.125" style="71" customWidth="1"/>
    <col min="2" max="2" width="12.875" style="71" customWidth="1"/>
    <col min="3" max="3" width="12.875" style="71" hidden="1" customWidth="1"/>
    <col min="4" max="4" width="14.125" style="71" customWidth="1"/>
    <col min="5" max="5" width="16.5" style="71" customWidth="1"/>
    <col min="6" max="6" width="8.875" style="71" customWidth="1"/>
    <col min="7" max="7" width="20.125" style="71" bestFit="1" customWidth="1"/>
    <col min="8" max="8" width="16.375" style="71" customWidth="1"/>
    <col min="9" max="9" width="6.375" style="71" customWidth="1"/>
    <col min="10" max="10" width="10.125" style="71" customWidth="1"/>
    <col min="11" max="11" width="10.625" style="71" customWidth="1"/>
    <col min="12" max="12" width="14.5" style="71" customWidth="1"/>
    <col min="13" max="13" width="10.125" style="71" customWidth="1"/>
    <col min="14" max="14" width="9.125" style="71" customWidth="1"/>
    <col min="15" max="15" width="11.875" style="71" customWidth="1"/>
    <col min="16" max="16" width="6" style="71" customWidth="1"/>
    <col min="17" max="18" width="9.125" style="71" customWidth="1"/>
    <col min="19" max="19" width="8.625" style="71" customWidth="1"/>
    <col min="20" max="21" width="7.625" style="71" bestFit="1" customWidth="1"/>
    <col min="22" max="22" width="10.625" style="71" customWidth="1"/>
    <col min="23" max="23" width="8.625" style="360" customWidth="1"/>
    <col min="24" max="25" width="7.125" style="71" customWidth="1"/>
    <col min="26" max="27" width="9.5" style="71" customWidth="1"/>
    <col min="28" max="28" width="12.625" style="71" customWidth="1"/>
    <col min="29" max="29" width="12.5" style="71" customWidth="1"/>
    <col min="30" max="31" width="9.5" style="71" customWidth="1"/>
    <col min="32" max="32" width="13.125" style="71" customWidth="1"/>
    <col min="33" max="33" width="10.375" style="71" customWidth="1"/>
    <col min="34" max="34" width="9.125" style="71" customWidth="1"/>
    <col min="35" max="35" width="7.875" style="71" customWidth="1"/>
    <col min="36" max="36" width="24.5" style="71" bestFit="1" customWidth="1"/>
    <col min="37" max="16384" width="7.875" style="71"/>
  </cols>
  <sheetData>
    <row r="1" spans="1:34" ht="26.25" customHeight="1">
      <c r="A1" s="62" t="s">
        <v>81</v>
      </c>
      <c r="B1" s="62"/>
      <c r="C1" s="62"/>
      <c r="D1" s="72" t="s">
        <v>82</v>
      </c>
      <c r="E1" s="64">
        <f>SUM(G5:G173)</f>
        <v>132105.1</v>
      </c>
      <c r="F1" s="78" t="s">
        <v>3</v>
      </c>
      <c r="G1" s="66">
        <f>SUM(H5:H173)</f>
        <v>5181025.6483167894</v>
      </c>
      <c r="H1" s="70" t="s">
        <v>83</v>
      </c>
      <c r="I1" s="68">
        <f>M17+M30+M43+M56+M69+M82+M95+M108+M121+M134+M147+M160+M173</f>
        <v>199.71666666666664</v>
      </c>
      <c r="J1" s="668" t="s">
        <v>84</v>
      </c>
      <c r="K1" s="668"/>
      <c r="L1" s="668"/>
      <c r="M1" s="668" t="s">
        <v>85</v>
      </c>
      <c r="N1" s="668"/>
      <c r="O1" s="668"/>
      <c r="P1" s="668" t="s">
        <v>86</v>
      </c>
      <c r="Q1" s="668"/>
      <c r="R1" s="668"/>
      <c r="S1" s="668"/>
      <c r="T1" s="668" t="s">
        <v>87</v>
      </c>
      <c r="U1" s="668"/>
      <c r="V1" s="668"/>
      <c r="W1" s="668"/>
      <c r="X1" s="668"/>
      <c r="Y1" s="668"/>
      <c r="Z1" s="69" t="s">
        <v>88</v>
      </c>
      <c r="AA1" s="69" t="s">
        <v>89</v>
      </c>
      <c r="AB1" s="669" t="s">
        <v>90</v>
      </c>
      <c r="AC1" s="670"/>
      <c r="AD1" s="69" t="s">
        <v>88</v>
      </c>
      <c r="AE1" s="69" t="s">
        <v>91</v>
      </c>
      <c r="AF1" s="668" t="s">
        <v>92</v>
      </c>
      <c r="AG1" s="673"/>
      <c r="AH1" s="673"/>
    </row>
    <row r="2" spans="1:34" ht="26.25" customHeight="1">
      <c r="A2" s="667" t="s">
        <v>394</v>
      </c>
      <c r="B2" s="667"/>
      <c r="C2" s="72"/>
      <c r="D2" s="72" t="s">
        <v>41</v>
      </c>
      <c r="E2" s="73">
        <f>AVERAGE(O17,O30,O43,O56,O69,O82,O95,O108,O121,O134,O147,O160,O173)</f>
        <v>115.924212038403</v>
      </c>
      <c r="F2" s="74" t="s">
        <v>94</v>
      </c>
      <c r="G2" s="75">
        <f>G1/E1</f>
        <v>39.218967687975628</v>
      </c>
      <c r="H2" s="70" t="s">
        <v>95</v>
      </c>
      <c r="I2" s="70">
        <f>COUNT(I5:I173)</f>
        <v>5</v>
      </c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8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71"/>
      <c r="AC2" s="672"/>
      <c r="AD2" s="77">
        <f>AD17+AD30+AD43+AD56+AD69+AD82+AD95+AD108+AD121+AD134+AD147+AD160+AD173</f>
        <v>2</v>
      </c>
      <c r="AE2" s="77">
        <f>AE17+AE30+AE43+AE56+AE69+AE82+AE95+AE108+AE121+AE134+AE147+AE160+AE173</f>
        <v>2</v>
      </c>
      <c r="AF2" s="673"/>
      <c r="AG2" s="673"/>
      <c r="AH2" s="673"/>
    </row>
    <row r="3" spans="1:34" ht="30.6" customHeight="1">
      <c r="A3" s="601" t="s">
        <v>96</v>
      </c>
      <c r="B3" s="601" t="s">
        <v>97</v>
      </c>
      <c r="C3" s="665"/>
      <c r="D3" s="601" t="s">
        <v>98</v>
      </c>
      <c r="E3" s="601"/>
      <c r="F3" s="665" t="s">
        <v>99</v>
      </c>
      <c r="G3" s="659" t="s">
        <v>100</v>
      </c>
      <c r="H3" s="665" t="s">
        <v>101</v>
      </c>
      <c r="I3" s="661" t="s">
        <v>102</v>
      </c>
      <c r="J3" s="664" t="s">
        <v>103</v>
      </c>
      <c r="K3" s="654" t="s">
        <v>104</v>
      </c>
      <c r="L3" s="635" t="s">
        <v>76</v>
      </c>
      <c r="M3" s="659" t="s">
        <v>103</v>
      </c>
      <c r="N3" s="654" t="s">
        <v>105</v>
      </c>
      <c r="O3" s="635" t="s">
        <v>41</v>
      </c>
      <c r="P3" s="664" t="s">
        <v>106</v>
      </c>
      <c r="Q3" s="635" t="s">
        <v>41</v>
      </c>
      <c r="R3" s="655" t="s">
        <v>107</v>
      </c>
      <c r="S3" s="632" t="s">
        <v>108</v>
      </c>
      <c r="T3" s="659" t="s">
        <v>109</v>
      </c>
      <c r="U3" s="659"/>
      <c r="V3" s="660" t="s">
        <v>110</v>
      </c>
      <c r="W3" s="661" t="s">
        <v>111</v>
      </c>
      <c r="X3" s="659" t="s">
        <v>112</v>
      </c>
      <c r="Y3" s="659"/>
      <c r="Z3" s="662" t="s">
        <v>113</v>
      </c>
      <c r="AA3" s="663"/>
      <c r="AB3" s="650" t="s">
        <v>114</v>
      </c>
      <c r="AC3" s="651"/>
      <c r="AD3" s="652" t="s">
        <v>115</v>
      </c>
      <c r="AE3" s="653"/>
      <c r="AF3" s="654" t="s">
        <v>105</v>
      </c>
      <c r="AG3" s="655" t="s">
        <v>107</v>
      </c>
      <c r="AH3" s="632" t="s">
        <v>108</v>
      </c>
    </row>
    <row r="4" spans="1:34" ht="30.6" customHeight="1">
      <c r="A4" s="665"/>
      <c r="B4" s="601"/>
      <c r="C4" s="666"/>
      <c r="D4" s="601"/>
      <c r="E4" s="601"/>
      <c r="F4" s="666"/>
      <c r="G4" s="659"/>
      <c r="H4" s="666"/>
      <c r="I4" s="661"/>
      <c r="J4" s="664"/>
      <c r="K4" s="654"/>
      <c r="L4" s="635"/>
      <c r="M4" s="659"/>
      <c r="N4" s="654"/>
      <c r="O4" s="635"/>
      <c r="P4" s="664"/>
      <c r="Q4" s="635"/>
      <c r="R4" s="655"/>
      <c r="S4" s="632"/>
      <c r="T4" s="79" t="s">
        <v>116</v>
      </c>
      <c r="U4" s="79" t="s">
        <v>117</v>
      </c>
      <c r="V4" s="659"/>
      <c r="W4" s="661"/>
      <c r="X4" s="78" t="s">
        <v>118</v>
      </c>
      <c r="Y4" s="78" t="s">
        <v>78</v>
      </c>
      <c r="Z4" s="79" t="s">
        <v>119</v>
      </c>
      <c r="AA4" s="79" t="s">
        <v>120</v>
      </c>
      <c r="AB4" s="651"/>
      <c r="AC4" s="651"/>
      <c r="AD4" s="79" t="s">
        <v>121</v>
      </c>
      <c r="AE4" s="80" t="s">
        <v>122</v>
      </c>
      <c r="AF4" s="654"/>
      <c r="AG4" s="655"/>
      <c r="AH4" s="632"/>
    </row>
    <row r="5" spans="1:34" ht="19.5" customHeight="1">
      <c r="A5" s="656" t="s">
        <v>123</v>
      </c>
      <c r="B5" s="81" t="s">
        <v>385</v>
      </c>
      <c r="C5" s="82"/>
      <c r="D5" s="83" t="s">
        <v>124</v>
      </c>
      <c r="E5" s="84"/>
      <c r="F5" s="85">
        <v>37.94</v>
      </c>
      <c r="G5" s="86">
        <v>2789</v>
      </c>
      <c r="H5" s="87">
        <f t="shared" ref="H5:H16" si="0">F5*G5</f>
        <v>105814.65999999999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2" si="1">G5/W5*60</f>
        <v>2118.2278481012668</v>
      </c>
      <c r="O5" s="90">
        <f t="shared" ref="O5:O12" si="2">N5/M5</f>
        <v>105.91139240506334</v>
      </c>
      <c r="P5" s="92">
        <f t="shared" ref="P5:P12" si="3">M5-J5</f>
        <v>0</v>
      </c>
      <c r="Q5" s="93">
        <f t="shared" ref="Q5:Q12" si="4">O5-L5</f>
        <v>-4.0886075949366614</v>
      </c>
      <c r="R5" s="95">
        <f t="shared" ref="R5:R12" si="5">O5/L5</f>
        <v>0.96283084004603037</v>
      </c>
      <c r="S5" s="620">
        <f>R17</f>
        <v>0.8607873685320685</v>
      </c>
      <c r="T5" s="96">
        <v>0.29166666666666669</v>
      </c>
      <c r="U5" s="96">
        <v>0.34652777777777777</v>
      </c>
      <c r="V5" s="78">
        <v>5</v>
      </c>
      <c r="W5" s="88">
        <f>(U5-T5)*24*60</f>
        <v>78.999999999999957</v>
      </c>
      <c r="X5" s="78"/>
      <c r="Y5" s="78"/>
      <c r="Z5" s="97"/>
      <c r="AA5" s="97"/>
      <c r="AB5" s="601"/>
      <c r="AC5" s="601"/>
      <c r="AD5" s="98"/>
      <c r="AE5" s="98"/>
      <c r="AF5" s="92">
        <f t="shared" ref="AF5:AF70" si="6">N5-K5</f>
        <v>-81.772151898733227</v>
      </c>
      <c r="AG5" s="95">
        <f t="shared" ref="AG5:AG70" si="7">N5/K5</f>
        <v>0.96283084004603037</v>
      </c>
      <c r="AH5" s="620">
        <f>AG17</f>
        <v>0.89078401545409613</v>
      </c>
    </row>
    <row r="6" spans="1:34" ht="19.350000000000001" customHeight="1">
      <c r="A6" s="657"/>
      <c r="B6" s="81" t="s">
        <v>385</v>
      </c>
      <c r="C6" s="82"/>
      <c r="D6" s="83" t="s">
        <v>125</v>
      </c>
      <c r="E6" s="84"/>
      <c r="F6" s="85">
        <v>31.266131815044861</v>
      </c>
      <c r="G6" s="86">
        <v>1296</v>
      </c>
      <c r="H6" s="87">
        <f t="shared" si="0"/>
        <v>40520.90683229814</v>
      </c>
      <c r="I6" s="88"/>
      <c r="J6" s="89">
        <v>18</v>
      </c>
      <c r="K6" s="86">
        <v>2700</v>
      </c>
      <c r="L6" s="90">
        <v>150</v>
      </c>
      <c r="M6" s="91">
        <v>19</v>
      </c>
      <c r="N6" s="86">
        <f t="shared" si="1"/>
        <v>2508.3870967741959</v>
      </c>
      <c r="O6" s="90">
        <f t="shared" si="2"/>
        <v>132.02037351443136</v>
      </c>
      <c r="P6" s="92">
        <f t="shared" si="3"/>
        <v>1</v>
      </c>
      <c r="Q6" s="93">
        <f t="shared" si="4"/>
        <v>-17.979626485568645</v>
      </c>
      <c r="R6" s="95">
        <f t="shared" si="5"/>
        <v>0.88013582342954233</v>
      </c>
      <c r="S6" s="620"/>
      <c r="T6" s="96">
        <v>0.35138888888888886</v>
      </c>
      <c r="U6" s="96">
        <v>0.37291666666666662</v>
      </c>
      <c r="V6" s="78">
        <v>7</v>
      </c>
      <c r="W6" s="88">
        <f t="shared" ref="W6:W17" si="8">(U6-T6)*24*60</f>
        <v>30.999999999999972</v>
      </c>
      <c r="X6" s="99"/>
      <c r="Y6" s="99"/>
      <c r="Z6" s="100"/>
      <c r="AA6" s="100"/>
      <c r="AB6" s="601"/>
      <c r="AC6" s="601"/>
      <c r="AD6" s="359"/>
      <c r="AE6" s="359"/>
      <c r="AF6" s="92">
        <f t="shared" si="6"/>
        <v>-191.61290322580408</v>
      </c>
      <c r="AG6" s="95">
        <f t="shared" si="7"/>
        <v>0.92903225806451706</v>
      </c>
      <c r="AH6" s="620"/>
    </row>
    <row r="7" spans="1:34" ht="19.350000000000001" customHeight="1">
      <c r="A7" s="657"/>
      <c r="B7" s="81" t="s">
        <v>385</v>
      </c>
      <c r="C7" s="82"/>
      <c r="D7" s="83" t="s">
        <v>126</v>
      </c>
      <c r="E7" s="84"/>
      <c r="F7" s="85">
        <v>38.630952380952372</v>
      </c>
      <c r="G7" s="86">
        <v>2248</v>
      </c>
      <c r="H7" s="87">
        <f t="shared" si="0"/>
        <v>86842.380952380932</v>
      </c>
      <c r="I7" s="88"/>
      <c r="J7" s="89">
        <v>18</v>
      </c>
      <c r="K7" s="86">
        <v>2800</v>
      </c>
      <c r="L7" s="90">
        <v>155.55555555555554</v>
      </c>
      <c r="M7" s="91">
        <v>19</v>
      </c>
      <c r="N7" s="86">
        <f t="shared" si="1"/>
        <v>2452.3636363636342</v>
      </c>
      <c r="O7" s="90">
        <f t="shared" si="2"/>
        <v>129.07177033492812</v>
      </c>
      <c r="P7" s="92">
        <f t="shared" si="3"/>
        <v>1</v>
      </c>
      <c r="Q7" s="93">
        <f t="shared" si="4"/>
        <v>-26.483785220627425</v>
      </c>
      <c r="R7" s="95">
        <f t="shared" si="5"/>
        <v>0.82974709501025223</v>
      </c>
      <c r="S7" s="620"/>
      <c r="T7" s="96">
        <v>0.37777777777777771</v>
      </c>
      <c r="U7" s="96">
        <v>0.41597222222222219</v>
      </c>
      <c r="V7" s="78">
        <v>7</v>
      </c>
      <c r="W7" s="88">
        <f t="shared" si="8"/>
        <v>55.000000000000043</v>
      </c>
      <c r="X7" s="99"/>
      <c r="Y7" s="99"/>
      <c r="Z7" s="100"/>
      <c r="AA7" s="100"/>
      <c r="AB7" s="601"/>
      <c r="AC7" s="601"/>
      <c r="AD7" s="359"/>
      <c r="AE7" s="359"/>
      <c r="AF7" s="92">
        <f t="shared" si="6"/>
        <v>-347.63636363636579</v>
      </c>
      <c r="AG7" s="95">
        <f t="shared" si="7"/>
        <v>0.87584415584415509</v>
      </c>
      <c r="AH7" s="620"/>
    </row>
    <row r="8" spans="1:34" ht="19.350000000000001" customHeight="1">
      <c r="A8" s="657"/>
      <c r="B8" s="81" t="s">
        <v>385</v>
      </c>
      <c r="C8" s="82"/>
      <c r="D8" s="83" t="s">
        <v>127</v>
      </c>
      <c r="E8" s="84"/>
      <c r="F8" s="85">
        <v>38</v>
      </c>
      <c r="G8" s="86">
        <v>3819</v>
      </c>
      <c r="H8" s="87">
        <f t="shared" si="0"/>
        <v>145122</v>
      </c>
      <c r="I8" s="88"/>
      <c r="J8" s="89">
        <v>19</v>
      </c>
      <c r="K8" s="86">
        <v>2800</v>
      </c>
      <c r="L8" s="90">
        <v>147.36842105263159</v>
      </c>
      <c r="M8" s="91">
        <v>19</v>
      </c>
      <c r="N8" s="86">
        <f t="shared" si="1"/>
        <v>2518.0219780219777</v>
      </c>
      <c r="O8" s="90">
        <f t="shared" si="2"/>
        <v>132.5274725274725</v>
      </c>
      <c r="P8" s="92">
        <f t="shared" si="3"/>
        <v>0</v>
      </c>
      <c r="Q8" s="93">
        <f t="shared" si="4"/>
        <v>-14.840948525159092</v>
      </c>
      <c r="R8" s="95">
        <f t="shared" si="5"/>
        <v>0.89929356357927759</v>
      </c>
      <c r="S8" s="620"/>
      <c r="T8" s="96">
        <v>0.43194444444444441</v>
      </c>
      <c r="U8" s="96">
        <v>0.49513888888888885</v>
      </c>
      <c r="V8" s="78">
        <v>23</v>
      </c>
      <c r="W8" s="88">
        <f t="shared" si="8"/>
        <v>91</v>
      </c>
      <c r="X8" s="99">
        <v>0.41944444444444445</v>
      </c>
      <c r="Y8" s="99">
        <v>0.4291666666666667</v>
      </c>
      <c r="Z8" s="100"/>
      <c r="AA8" s="100"/>
      <c r="AB8" s="601"/>
      <c r="AC8" s="601"/>
      <c r="AD8" s="359"/>
      <c r="AE8" s="359"/>
      <c r="AF8" s="92">
        <f t="shared" si="6"/>
        <v>-281.9780219780223</v>
      </c>
      <c r="AG8" s="95">
        <f t="shared" si="7"/>
        <v>0.8992935635792777</v>
      </c>
      <c r="AH8" s="620"/>
    </row>
    <row r="9" spans="1:34" ht="19.350000000000001" customHeight="1">
      <c r="A9" s="657"/>
      <c r="B9" s="81" t="s">
        <v>386</v>
      </c>
      <c r="C9" s="102"/>
      <c r="D9" s="83" t="s">
        <v>128</v>
      </c>
      <c r="E9" s="103"/>
      <c r="F9" s="85">
        <v>59.34</v>
      </c>
      <c r="G9" s="104">
        <v>552</v>
      </c>
      <c r="H9" s="87">
        <f t="shared" si="0"/>
        <v>32755.68</v>
      </c>
      <c r="I9" s="359"/>
      <c r="J9" s="89">
        <v>17</v>
      </c>
      <c r="K9" s="86">
        <v>1440</v>
      </c>
      <c r="L9" s="90">
        <v>84.705882352941174</v>
      </c>
      <c r="M9" s="91">
        <v>19</v>
      </c>
      <c r="N9" s="86">
        <f t="shared" si="1"/>
        <v>1103.999999999998</v>
      </c>
      <c r="O9" s="90">
        <f t="shared" si="2"/>
        <v>58.105263157894626</v>
      </c>
      <c r="P9" s="92">
        <f t="shared" si="3"/>
        <v>2</v>
      </c>
      <c r="Q9" s="93">
        <f t="shared" si="4"/>
        <v>-26.600619195046548</v>
      </c>
      <c r="R9" s="95">
        <f t="shared" si="5"/>
        <v>0.68596491228070045</v>
      </c>
      <c r="S9" s="620"/>
      <c r="T9" s="96">
        <v>0.53541666666666665</v>
      </c>
      <c r="U9" s="96">
        <v>0.55625000000000002</v>
      </c>
      <c r="V9" s="78">
        <v>5</v>
      </c>
      <c r="W9" s="88">
        <f t="shared" si="8"/>
        <v>30.000000000000053</v>
      </c>
      <c r="X9" s="99"/>
      <c r="Y9" s="99"/>
      <c r="Z9" s="100"/>
      <c r="AA9" s="100"/>
      <c r="AB9" s="601"/>
      <c r="AC9" s="601"/>
      <c r="AD9" s="359"/>
      <c r="AE9" s="359"/>
      <c r="AF9" s="92">
        <f t="shared" si="6"/>
        <v>-336.00000000000205</v>
      </c>
      <c r="AG9" s="95">
        <f t="shared" si="7"/>
        <v>0.76666666666666528</v>
      </c>
      <c r="AH9" s="620"/>
    </row>
    <row r="10" spans="1:34" ht="19.350000000000001" customHeight="1">
      <c r="A10" s="658"/>
      <c r="B10" s="81" t="s">
        <v>386</v>
      </c>
      <c r="C10" s="82"/>
      <c r="D10" s="83" t="s">
        <v>129</v>
      </c>
      <c r="E10" s="84"/>
      <c r="F10" s="85">
        <v>71.55</v>
      </c>
      <c r="G10" s="86">
        <v>732</v>
      </c>
      <c r="H10" s="87">
        <f t="shared" si="0"/>
        <v>52374.6</v>
      </c>
      <c r="I10" s="88"/>
      <c r="J10" s="89">
        <v>18</v>
      </c>
      <c r="K10" s="86">
        <v>1385</v>
      </c>
      <c r="L10" s="90">
        <v>76.944444444444443</v>
      </c>
      <c r="M10" s="91">
        <v>19</v>
      </c>
      <c r="N10" s="86">
        <f t="shared" si="1"/>
        <v>1219.9999999999991</v>
      </c>
      <c r="O10" s="90">
        <f t="shared" si="2"/>
        <v>64.210526315789423</v>
      </c>
      <c r="P10" s="92">
        <f t="shared" si="3"/>
        <v>1</v>
      </c>
      <c r="Q10" s="93">
        <f t="shared" si="4"/>
        <v>-12.73391812865502</v>
      </c>
      <c r="R10" s="95">
        <f t="shared" si="5"/>
        <v>0.8345050351510539</v>
      </c>
      <c r="S10" s="623"/>
      <c r="T10" s="96">
        <v>0.56111111111111112</v>
      </c>
      <c r="U10" s="96">
        <v>0.58611111111111114</v>
      </c>
      <c r="V10" s="78">
        <v>7</v>
      </c>
      <c r="W10" s="88">
        <f t="shared" si="8"/>
        <v>36.000000000000028</v>
      </c>
      <c r="X10" s="99"/>
      <c r="Y10" s="99"/>
      <c r="Z10" s="100"/>
      <c r="AA10" s="100"/>
      <c r="AB10" s="601"/>
      <c r="AC10" s="601"/>
      <c r="AD10" s="359"/>
      <c r="AE10" s="359"/>
      <c r="AF10" s="92">
        <f t="shared" si="6"/>
        <v>-165.00000000000091</v>
      </c>
      <c r="AG10" s="95">
        <f t="shared" si="7"/>
        <v>0.88086642599277909</v>
      </c>
      <c r="AH10" s="623"/>
    </row>
    <row r="11" spans="1:34" ht="19.350000000000001" customHeight="1">
      <c r="A11" s="658"/>
      <c r="B11" s="81" t="s">
        <v>386</v>
      </c>
      <c r="C11" s="82"/>
      <c r="D11" s="83" t="s">
        <v>130</v>
      </c>
      <c r="E11" s="84"/>
      <c r="F11" s="85">
        <v>77.34</v>
      </c>
      <c r="G11" s="86">
        <v>646</v>
      </c>
      <c r="H11" s="87">
        <f t="shared" si="0"/>
        <v>49961.64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1250.3225806451592</v>
      </c>
      <c r="O11" s="90">
        <f t="shared" si="2"/>
        <v>69.462365591397727</v>
      </c>
      <c r="P11" s="92">
        <f t="shared" si="3"/>
        <v>0</v>
      </c>
      <c r="Q11" s="93">
        <f t="shared" si="4"/>
        <v>-10.537634408602273</v>
      </c>
      <c r="R11" s="95">
        <f t="shared" si="5"/>
        <v>0.86827956989247157</v>
      </c>
      <c r="S11" s="623"/>
      <c r="T11" s="96">
        <v>0.59166666666666667</v>
      </c>
      <c r="U11" s="96">
        <v>0.61319444444444449</v>
      </c>
      <c r="V11" s="78">
        <v>8</v>
      </c>
      <c r="W11" s="88">
        <f t="shared" si="8"/>
        <v>31.00000000000005</v>
      </c>
      <c r="X11" s="99"/>
      <c r="Y11" s="99"/>
      <c r="Z11" s="100"/>
      <c r="AA11" s="100"/>
      <c r="AB11" s="601"/>
      <c r="AC11" s="601"/>
      <c r="AD11" s="359"/>
      <c r="AE11" s="359"/>
      <c r="AF11" s="92">
        <f t="shared" si="6"/>
        <v>-189.67741935484082</v>
      </c>
      <c r="AG11" s="95">
        <f t="shared" si="7"/>
        <v>0.86827956989247168</v>
      </c>
      <c r="AH11" s="623"/>
    </row>
    <row r="12" spans="1:34" ht="19.350000000000001" customHeight="1">
      <c r="A12" s="658"/>
      <c r="B12" s="81" t="s">
        <v>386</v>
      </c>
      <c r="C12" s="82"/>
      <c r="D12" s="83" t="s">
        <v>131</v>
      </c>
      <c r="E12" s="84"/>
      <c r="F12" s="85">
        <v>59.54</v>
      </c>
      <c r="G12" s="86">
        <v>1883</v>
      </c>
      <c r="H12" s="87">
        <f t="shared" si="0"/>
        <v>112113.81999999999</v>
      </c>
      <c r="I12" s="88"/>
      <c r="J12" s="89">
        <v>18</v>
      </c>
      <c r="K12" s="86">
        <v>1385</v>
      </c>
      <c r="L12" s="90">
        <v>76.944444444444443</v>
      </c>
      <c r="M12" s="91">
        <v>18</v>
      </c>
      <c r="N12" s="86">
        <f t="shared" si="1"/>
        <v>1214.8387096774195</v>
      </c>
      <c r="O12" s="90">
        <f t="shared" si="2"/>
        <v>67.491039426523301</v>
      </c>
      <c r="P12" s="92">
        <f t="shared" si="3"/>
        <v>0</v>
      </c>
      <c r="Q12" s="93">
        <f t="shared" si="4"/>
        <v>-9.453405017921142</v>
      </c>
      <c r="R12" s="95">
        <f t="shared" si="5"/>
        <v>0.87713986258297427</v>
      </c>
      <c r="S12" s="623"/>
      <c r="T12" s="96">
        <v>0.62847222222222221</v>
      </c>
      <c r="U12" s="96">
        <v>0.69305555555555554</v>
      </c>
      <c r="V12" s="78">
        <v>22</v>
      </c>
      <c r="W12" s="88">
        <f t="shared" si="8"/>
        <v>92.999999999999986</v>
      </c>
      <c r="X12" s="99">
        <v>0.6166666666666667</v>
      </c>
      <c r="Y12" s="99">
        <v>0.62569444444444444</v>
      </c>
      <c r="Z12" s="100"/>
      <c r="AA12" s="100"/>
      <c r="AB12" s="601"/>
      <c r="AC12" s="601"/>
      <c r="AD12" s="359"/>
      <c r="AE12" s="359"/>
      <c r="AF12" s="92"/>
      <c r="AG12" s="95"/>
      <c r="AH12" s="623"/>
    </row>
    <row r="13" spans="1:34" ht="19.350000000000001" customHeight="1">
      <c r="A13" s="658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5"/>
      <c r="S13" s="623"/>
      <c r="T13" s="111"/>
      <c r="U13" s="111"/>
      <c r="V13" s="109"/>
      <c r="W13" s="88"/>
      <c r="X13" s="112"/>
      <c r="Y13" s="112"/>
      <c r="Z13" s="100"/>
      <c r="AA13" s="100"/>
      <c r="AB13" s="601"/>
      <c r="AC13" s="601"/>
      <c r="AD13" s="359"/>
      <c r="AE13" s="359"/>
      <c r="AF13" s="113"/>
      <c r="AG13" s="114"/>
      <c r="AH13" s="623"/>
    </row>
    <row r="14" spans="1:34" ht="19.350000000000001" customHeight="1">
      <c r="A14" s="658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5"/>
      <c r="S14" s="623"/>
      <c r="T14" s="111"/>
      <c r="U14" s="111"/>
      <c r="V14" s="109"/>
      <c r="W14" s="88"/>
      <c r="X14" s="112"/>
      <c r="Y14" s="112"/>
      <c r="Z14" s="100"/>
      <c r="AA14" s="100"/>
      <c r="AB14" s="601"/>
      <c r="AC14" s="601"/>
      <c r="AD14" s="359"/>
      <c r="AE14" s="359"/>
      <c r="AF14" s="113"/>
      <c r="AG14" s="114"/>
      <c r="AH14" s="623"/>
    </row>
    <row r="15" spans="1:34" ht="19.350000000000001" customHeight="1">
      <c r="A15" s="658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5"/>
      <c r="S15" s="623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01"/>
      <c r="AC15" s="601"/>
      <c r="AD15" s="359"/>
      <c r="AE15" s="359"/>
      <c r="AF15" s="113"/>
      <c r="AG15" s="114"/>
      <c r="AH15" s="623"/>
    </row>
    <row r="16" spans="1:34" ht="19.350000000000001" customHeight="1">
      <c r="A16" s="658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5"/>
      <c r="S16" s="623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01"/>
      <c r="AC16" s="601"/>
      <c r="AD16" s="359"/>
      <c r="AE16" s="359"/>
      <c r="AF16" s="113"/>
      <c r="AG16" s="114"/>
      <c r="AH16" s="623"/>
    </row>
    <row r="17" spans="1:34" ht="19.350000000000001" customHeight="1">
      <c r="A17" s="658"/>
      <c r="B17" s="118">
        <v>0</v>
      </c>
      <c r="C17" s="118" t="s">
        <v>27</v>
      </c>
      <c r="D17" s="607" t="s">
        <v>75</v>
      </c>
      <c r="E17" s="607"/>
      <c r="F17" s="119"/>
      <c r="G17" s="120"/>
      <c r="H17" s="121"/>
      <c r="I17" s="122"/>
      <c r="J17" s="120">
        <v>18.25</v>
      </c>
      <c r="K17" s="120">
        <v>2018.75</v>
      </c>
      <c r="L17" s="123">
        <v>110.18984348125215</v>
      </c>
      <c r="M17" s="120">
        <f t="shared" ref="M17:O17" si="9">AVERAGE(M5:M16)</f>
        <v>18.875</v>
      </c>
      <c r="N17" s="120">
        <f t="shared" si="9"/>
        <v>1798.2702311979565</v>
      </c>
      <c r="O17" s="123">
        <f t="shared" si="9"/>
        <v>94.850025409187538</v>
      </c>
      <c r="P17" s="113">
        <f t="shared" ref="P17:P23" si="10">M17-J17</f>
        <v>0.625</v>
      </c>
      <c r="Q17" s="124">
        <f t="shared" ref="Q17:Q23" si="11">O17-L17</f>
        <v>-15.339818072064617</v>
      </c>
      <c r="R17" s="125">
        <f>O17/L17</f>
        <v>0.8607873685320685</v>
      </c>
      <c r="S17" s="623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01"/>
      <c r="AC17" s="601"/>
      <c r="AD17" s="129">
        <f>SUM(AD5:AD16)</f>
        <v>0</v>
      </c>
      <c r="AE17" s="129">
        <f>SUM(AE5:AE16)</f>
        <v>0</v>
      </c>
      <c r="AF17" s="113">
        <f t="shared" si="6"/>
        <v>-220.47976880204351</v>
      </c>
      <c r="AG17" s="114">
        <f t="shared" si="7"/>
        <v>0.89078401545409613</v>
      </c>
      <c r="AH17" s="623"/>
    </row>
    <row r="18" spans="1:34" ht="19.350000000000001" customHeight="1">
      <c r="A18" s="604" t="s">
        <v>132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1164</v>
      </c>
      <c r="H18" s="135">
        <f t="shared" ref="H18:H29" si="12">F18*G18</f>
        <v>42905.04</v>
      </c>
      <c r="I18" s="359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3" si="13">G18/W18*60</f>
        <v>1995.428571428572</v>
      </c>
      <c r="O18" s="137">
        <f t="shared" ref="O18:O23" si="14">N18/M18</f>
        <v>105.02255639097747</v>
      </c>
      <c r="P18" s="100">
        <f t="shared" si="10"/>
        <v>1</v>
      </c>
      <c r="Q18" s="139">
        <f t="shared" si="11"/>
        <v>-19.977443609022529</v>
      </c>
      <c r="R18" s="141">
        <f t="shared" ref="R18:R23" si="15">O18/L18</f>
        <v>0.84018045112781981</v>
      </c>
      <c r="S18" s="605">
        <f>R30</f>
        <v>0.84414382426488288</v>
      </c>
      <c r="T18" s="142">
        <v>0.16666666666666666</v>
      </c>
      <c r="U18" s="142">
        <v>0.19097222222222221</v>
      </c>
      <c r="V18" s="359">
        <v>5</v>
      </c>
      <c r="W18" s="143">
        <f>(U18-T18)*24*60</f>
        <v>34.999999999999993</v>
      </c>
      <c r="X18" s="137"/>
      <c r="Y18" s="137"/>
      <c r="Z18" s="100"/>
      <c r="AA18" s="100"/>
      <c r="AB18" s="601"/>
      <c r="AC18" s="601"/>
      <c r="AD18" s="359"/>
      <c r="AE18" s="359"/>
      <c r="AF18" s="144">
        <f t="shared" si="6"/>
        <v>-254.57142857142799</v>
      </c>
      <c r="AG18" s="145">
        <f t="shared" si="7"/>
        <v>0.88685714285714312</v>
      </c>
      <c r="AH18" s="646">
        <f>AG30</f>
        <v>0.86958336283808979</v>
      </c>
    </row>
    <row r="19" spans="1:34" ht="19.350000000000001" customHeight="1">
      <c r="A19" s="604"/>
      <c r="B19" s="238" t="s">
        <v>387</v>
      </c>
      <c r="C19" s="237"/>
      <c r="D19" s="132" t="s">
        <v>134</v>
      </c>
      <c r="E19" s="133"/>
      <c r="F19" s="85">
        <v>56.43</v>
      </c>
      <c r="G19" s="104">
        <v>1253</v>
      </c>
      <c r="H19" s="135">
        <f t="shared" si="12"/>
        <v>70706.789999999994</v>
      </c>
      <c r="I19" s="359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1342.5</v>
      </c>
      <c r="O19" s="150">
        <f t="shared" si="14"/>
        <v>74.583333333333329</v>
      </c>
      <c r="P19" s="100">
        <f t="shared" si="10"/>
        <v>1</v>
      </c>
      <c r="Q19" s="139">
        <f t="shared" si="11"/>
        <v>-13.651960784313729</v>
      </c>
      <c r="R19" s="141">
        <f t="shared" si="15"/>
        <v>0.84527777777777768</v>
      </c>
      <c r="S19" s="605"/>
      <c r="T19" s="142">
        <v>0.19583333333333333</v>
      </c>
      <c r="U19" s="142">
        <v>0.23472222222222222</v>
      </c>
      <c r="V19" s="359">
        <v>7</v>
      </c>
      <c r="W19" s="143">
        <f>(U19-T19)*24*60</f>
        <v>56</v>
      </c>
      <c r="X19" s="151"/>
      <c r="Y19" s="151"/>
      <c r="Z19" s="100"/>
      <c r="AA19" s="100"/>
      <c r="AB19" s="601"/>
      <c r="AC19" s="601"/>
      <c r="AD19" s="359"/>
      <c r="AE19" s="359"/>
      <c r="AF19" s="92">
        <f t="shared" si="6"/>
        <v>-157.5</v>
      </c>
      <c r="AG19" s="95">
        <f t="shared" si="7"/>
        <v>0.89500000000000002</v>
      </c>
      <c r="AH19" s="647"/>
    </row>
    <row r="20" spans="1:34" ht="19.350000000000001" customHeight="1">
      <c r="A20" s="604"/>
      <c r="B20" s="238" t="s">
        <v>387</v>
      </c>
      <c r="C20" s="102"/>
      <c r="D20" s="83" t="s">
        <v>135</v>
      </c>
      <c r="E20" s="133"/>
      <c r="F20" s="85">
        <v>49.9</v>
      </c>
      <c r="G20" s="104">
        <v>1126</v>
      </c>
      <c r="H20" s="135">
        <f t="shared" si="12"/>
        <v>56187.4</v>
      </c>
      <c r="I20" s="359"/>
      <c r="J20" s="148">
        <v>17</v>
      </c>
      <c r="K20" s="86">
        <v>1500</v>
      </c>
      <c r="L20" s="90">
        <v>88.235294117647058</v>
      </c>
      <c r="M20" s="138">
        <v>18</v>
      </c>
      <c r="N20" s="149">
        <f t="shared" si="13"/>
        <v>1351.2000000000005</v>
      </c>
      <c r="O20" s="150">
        <f t="shared" si="14"/>
        <v>75.066666666666691</v>
      </c>
      <c r="P20" s="100">
        <f t="shared" si="10"/>
        <v>1</v>
      </c>
      <c r="Q20" s="139">
        <f t="shared" si="11"/>
        <v>-13.168627450980367</v>
      </c>
      <c r="R20" s="141">
        <f t="shared" si="15"/>
        <v>0.85075555555555582</v>
      </c>
      <c r="S20" s="605"/>
      <c r="T20" s="142">
        <v>0.25</v>
      </c>
      <c r="U20" s="142">
        <v>0.28472222222222221</v>
      </c>
      <c r="V20" s="359">
        <v>22</v>
      </c>
      <c r="W20" s="143">
        <f t="shared" ref="W20:W29" si="16">(U20-T20)*24*60</f>
        <v>49.999999999999986</v>
      </c>
      <c r="X20" s="151">
        <v>0.23958333333333334</v>
      </c>
      <c r="Y20" s="151">
        <v>0.24861111111111112</v>
      </c>
      <c r="Z20" s="100"/>
      <c r="AA20" s="100"/>
      <c r="AB20" s="601"/>
      <c r="AC20" s="601"/>
      <c r="AD20" s="359"/>
      <c r="AE20" s="359"/>
      <c r="AF20" s="92">
        <f t="shared" si="6"/>
        <v>-148.7999999999995</v>
      </c>
      <c r="AG20" s="95">
        <f t="shared" si="7"/>
        <v>0.90080000000000038</v>
      </c>
      <c r="AH20" s="647"/>
    </row>
    <row r="21" spans="1:34" ht="19.350000000000001" customHeight="1">
      <c r="A21" s="604"/>
      <c r="B21" s="238" t="s">
        <v>387</v>
      </c>
      <c r="C21" s="152"/>
      <c r="D21" s="153" t="s">
        <v>136</v>
      </c>
      <c r="E21" s="84"/>
      <c r="F21" s="85">
        <v>56.43</v>
      </c>
      <c r="G21" s="86">
        <v>1208</v>
      </c>
      <c r="H21" s="135">
        <f t="shared" si="12"/>
        <v>68167.44</v>
      </c>
      <c r="I21" s="78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1367.5471698113215</v>
      </c>
      <c r="O21" s="150">
        <f t="shared" si="14"/>
        <v>75.974842767295641</v>
      </c>
      <c r="P21" s="100">
        <f t="shared" si="10"/>
        <v>0</v>
      </c>
      <c r="Q21" s="139">
        <f t="shared" si="11"/>
        <v>-14.914046121593245</v>
      </c>
      <c r="R21" s="141">
        <f t="shared" si="15"/>
        <v>0.83590902800203026</v>
      </c>
      <c r="S21" s="605"/>
      <c r="T21" s="142">
        <v>0.29027777777777775</v>
      </c>
      <c r="U21" s="142">
        <v>0.32708333333333328</v>
      </c>
      <c r="V21" s="359">
        <v>8</v>
      </c>
      <c r="W21" s="143">
        <f t="shared" si="16"/>
        <v>52.999999999999972</v>
      </c>
      <c r="X21" s="151"/>
      <c r="Y21" s="151"/>
      <c r="Z21" s="100"/>
      <c r="AA21" s="100"/>
      <c r="AB21" s="601"/>
      <c r="AC21" s="601"/>
      <c r="AD21" s="359"/>
      <c r="AE21" s="359"/>
      <c r="AF21" s="92">
        <f t="shared" si="6"/>
        <v>-268.45283018867849</v>
      </c>
      <c r="AG21" s="95">
        <f t="shared" si="7"/>
        <v>0.83590902800203026</v>
      </c>
      <c r="AH21" s="648"/>
    </row>
    <row r="22" spans="1:34" ht="19.350000000000001" customHeight="1">
      <c r="A22" s="604"/>
      <c r="B22" s="238" t="s">
        <v>388</v>
      </c>
      <c r="C22" s="152"/>
      <c r="D22" s="83" t="s">
        <v>137</v>
      </c>
      <c r="E22" s="84"/>
      <c r="F22" s="85">
        <v>43.14</v>
      </c>
      <c r="G22" s="86">
        <v>1507</v>
      </c>
      <c r="H22" s="135">
        <f t="shared" si="12"/>
        <v>65011.98</v>
      </c>
      <c r="I22" s="78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1273.5211267605637</v>
      </c>
      <c r="O22" s="150">
        <f t="shared" si="14"/>
        <v>74.913007456503749</v>
      </c>
      <c r="P22" s="100">
        <f t="shared" si="10"/>
        <v>0</v>
      </c>
      <c r="Q22" s="139">
        <f t="shared" si="11"/>
        <v>-9.792874896437425</v>
      </c>
      <c r="R22" s="141">
        <f t="shared" si="15"/>
        <v>0.88438967136150259</v>
      </c>
      <c r="S22" s="605"/>
      <c r="T22" s="142">
        <v>0.36736111111111103</v>
      </c>
      <c r="U22" s="142">
        <v>0.41666666666666657</v>
      </c>
      <c r="V22" s="359">
        <v>5</v>
      </c>
      <c r="W22" s="143">
        <f t="shared" si="16"/>
        <v>70.999999999999986</v>
      </c>
      <c r="X22" s="151"/>
      <c r="Y22" s="151"/>
      <c r="Z22" s="100"/>
      <c r="AA22" s="100"/>
      <c r="AB22" s="601"/>
      <c r="AC22" s="601"/>
      <c r="AD22" s="359"/>
      <c r="AE22" s="359"/>
      <c r="AF22" s="92">
        <f t="shared" si="6"/>
        <v>-166.47887323943633</v>
      </c>
      <c r="AG22" s="95">
        <f t="shared" si="7"/>
        <v>0.88438967136150259</v>
      </c>
      <c r="AH22" s="648"/>
    </row>
    <row r="23" spans="1:34" ht="19.350000000000001" customHeight="1">
      <c r="A23" s="604"/>
      <c r="B23" s="238" t="s">
        <v>387</v>
      </c>
      <c r="C23" s="152"/>
      <c r="D23" s="83" t="s">
        <v>138</v>
      </c>
      <c r="E23" s="84"/>
      <c r="F23" s="85">
        <v>38.39</v>
      </c>
      <c r="G23" s="86">
        <v>3598</v>
      </c>
      <c r="H23" s="135">
        <f t="shared" si="12"/>
        <v>138127.22</v>
      </c>
      <c r="I23" s="78"/>
      <c r="J23" s="148">
        <v>17</v>
      </c>
      <c r="K23" s="86">
        <v>1636</v>
      </c>
      <c r="L23" s="90">
        <v>96.235294117647058</v>
      </c>
      <c r="M23" s="138">
        <v>17</v>
      </c>
      <c r="N23" s="149">
        <f t="shared" si="13"/>
        <v>1332.5925925925928</v>
      </c>
      <c r="O23" s="150">
        <f t="shared" si="14"/>
        <v>78.387799564270168</v>
      </c>
      <c r="P23" s="100">
        <f t="shared" si="10"/>
        <v>0</v>
      </c>
      <c r="Q23" s="139">
        <f t="shared" si="11"/>
        <v>-17.84749455337689</v>
      </c>
      <c r="R23" s="141">
        <f t="shared" si="15"/>
        <v>0.81454314950647488</v>
      </c>
      <c r="S23" s="605"/>
      <c r="T23" s="142">
        <v>0.42152777777777767</v>
      </c>
      <c r="U23" s="142">
        <v>0.53402777777777766</v>
      </c>
      <c r="V23" s="359">
        <v>7</v>
      </c>
      <c r="W23" s="143">
        <f t="shared" si="16"/>
        <v>161.99999999999997</v>
      </c>
      <c r="X23" s="151"/>
      <c r="Y23" s="151"/>
      <c r="Z23" s="100"/>
      <c r="AA23" s="100"/>
      <c r="AB23" s="601"/>
      <c r="AC23" s="601"/>
      <c r="AD23" s="359"/>
      <c r="AE23" s="359"/>
      <c r="AF23" s="92"/>
      <c r="AG23" s="95"/>
      <c r="AH23" s="648"/>
    </row>
    <row r="24" spans="1:34" ht="19.350000000000001" customHeight="1">
      <c r="A24" s="604"/>
      <c r="B24" s="238">
        <v>0</v>
      </c>
      <c r="C24" s="131"/>
      <c r="D24" s="132"/>
      <c r="E24" s="133"/>
      <c r="F24" s="85" t="s">
        <v>391</v>
      </c>
      <c r="G24" s="104"/>
      <c r="H24" s="135">
        <f t="shared" si="12"/>
        <v>0</v>
      </c>
      <c r="I24" s="143"/>
      <c r="J24" s="148"/>
      <c r="K24" s="86"/>
      <c r="L24" s="90"/>
      <c r="M24" s="138"/>
      <c r="N24" s="149"/>
      <c r="O24" s="150"/>
      <c r="P24" s="100"/>
      <c r="Q24" s="139"/>
      <c r="R24" s="141"/>
      <c r="S24" s="605"/>
      <c r="T24" s="142"/>
      <c r="U24" s="142"/>
      <c r="V24" s="359"/>
      <c r="W24" s="143"/>
      <c r="X24" s="359"/>
      <c r="Y24" s="359"/>
      <c r="Z24" s="100"/>
      <c r="AA24" s="100"/>
      <c r="AB24" s="601"/>
      <c r="AC24" s="601"/>
      <c r="AD24" s="359"/>
      <c r="AE24" s="359"/>
      <c r="AF24" s="92">
        <f t="shared" si="6"/>
        <v>0</v>
      </c>
      <c r="AG24" s="95"/>
      <c r="AH24" s="648"/>
    </row>
    <row r="25" spans="1:34" ht="19.350000000000001" customHeight="1">
      <c r="A25" s="604"/>
      <c r="B25" s="238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1"/>
      <c r="S25" s="605"/>
      <c r="T25" s="142"/>
      <c r="U25" s="142"/>
      <c r="V25" s="359"/>
      <c r="W25" s="143">
        <f t="shared" si="16"/>
        <v>0</v>
      </c>
      <c r="X25" s="359"/>
      <c r="Y25" s="359"/>
      <c r="Z25" s="100"/>
      <c r="AA25" s="100"/>
      <c r="AB25" s="601"/>
      <c r="AC25" s="601"/>
      <c r="AD25" s="359"/>
      <c r="AE25" s="359"/>
      <c r="AF25" s="92">
        <f t="shared" si="6"/>
        <v>0</v>
      </c>
      <c r="AG25" s="95"/>
      <c r="AH25" s="648"/>
    </row>
    <row r="26" spans="1:34" ht="19.350000000000001" customHeight="1">
      <c r="A26" s="604"/>
      <c r="B26" s="238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1"/>
      <c r="S26" s="605"/>
      <c r="T26" s="142"/>
      <c r="U26" s="142"/>
      <c r="V26" s="359"/>
      <c r="W26" s="143">
        <f t="shared" si="16"/>
        <v>0</v>
      </c>
      <c r="X26" s="359"/>
      <c r="Y26" s="359"/>
      <c r="Z26" s="100"/>
      <c r="AA26" s="100"/>
      <c r="AB26" s="601"/>
      <c r="AC26" s="601"/>
      <c r="AD26" s="359"/>
      <c r="AE26" s="359"/>
      <c r="AF26" s="92">
        <f t="shared" si="6"/>
        <v>0</v>
      </c>
      <c r="AG26" s="95"/>
      <c r="AH26" s="648"/>
    </row>
    <row r="27" spans="1:34" ht="19.350000000000001" customHeight="1">
      <c r="A27" s="604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1"/>
      <c r="S27" s="605"/>
      <c r="T27" s="142"/>
      <c r="U27" s="142"/>
      <c r="V27" s="359"/>
      <c r="W27" s="143">
        <f t="shared" si="16"/>
        <v>0</v>
      </c>
      <c r="X27" s="359"/>
      <c r="Y27" s="359"/>
      <c r="Z27" s="100"/>
      <c r="AA27" s="100"/>
      <c r="AB27" s="601"/>
      <c r="AC27" s="601"/>
      <c r="AD27" s="359"/>
      <c r="AE27" s="359"/>
      <c r="AF27" s="92">
        <f t="shared" si="6"/>
        <v>0</v>
      </c>
      <c r="AG27" s="95"/>
      <c r="AH27" s="648"/>
    </row>
    <row r="28" spans="1:34" ht="19.350000000000001" customHeight="1">
      <c r="A28" s="604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1"/>
      <c r="S28" s="605"/>
      <c r="T28" s="142"/>
      <c r="U28" s="142"/>
      <c r="V28" s="359"/>
      <c r="W28" s="143">
        <f t="shared" si="16"/>
        <v>0</v>
      </c>
      <c r="X28" s="359"/>
      <c r="Y28" s="359"/>
      <c r="Z28" s="100"/>
      <c r="AA28" s="100"/>
      <c r="AB28" s="601"/>
      <c r="AC28" s="601"/>
      <c r="AD28" s="359"/>
      <c r="AE28" s="359"/>
      <c r="AF28" s="92">
        <f t="shared" si="6"/>
        <v>0</v>
      </c>
      <c r="AG28" s="95"/>
      <c r="AH28" s="648"/>
    </row>
    <row r="29" spans="1:34" ht="19.350000000000001" customHeight="1">
      <c r="A29" s="604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1"/>
      <c r="S29" s="605"/>
      <c r="T29" s="142"/>
      <c r="U29" s="142"/>
      <c r="V29" s="359"/>
      <c r="W29" s="143">
        <f t="shared" si="16"/>
        <v>0</v>
      </c>
      <c r="X29" s="359"/>
      <c r="Y29" s="359"/>
      <c r="Z29" s="100"/>
      <c r="AA29" s="100"/>
      <c r="AB29" s="601"/>
      <c r="AC29" s="601"/>
      <c r="AD29" s="359"/>
      <c r="AE29" s="359"/>
      <c r="AF29" s="92">
        <f t="shared" si="6"/>
        <v>0</v>
      </c>
      <c r="AG29" s="95"/>
      <c r="AH29" s="648"/>
    </row>
    <row r="30" spans="1:34" ht="19.350000000000001" customHeight="1">
      <c r="A30" s="604"/>
      <c r="B30" s="155">
        <v>0</v>
      </c>
      <c r="C30" s="156" t="s">
        <v>77</v>
      </c>
      <c r="D30" s="645" t="s">
        <v>75</v>
      </c>
      <c r="E30" s="645"/>
      <c r="F30" s="157"/>
      <c r="G30" s="158"/>
      <c r="H30" s="159"/>
      <c r="I30" s="160"/>
      <c r="J30" s="158">
        <v>17.333333333333332</v>
      </c>
      <c r="K30" s="158">
        <v>1660.3333333333333</v>
      </c>
      <c r="L30" s="161">
        <v>95.550108932461868</v>
      </c>
      <c r="M30" s="158">
        <f t="shared" ref="M30:O30" si="17">AVERAGE(M18:M29)</f>
        <v>17.833333333333332</v>
      </c>
      <c r="N30" s="158">
        <f t="shared" si="17"/>
        <v>1443.798243432175</v>
      </c>
      <c r="O30" s="161">
        <f t="shared" si="17"/>
        <v>80.658034363174508</v>
      </c>
      <c r="P30" s="100">
        <f t="shared" ref="P30:P37" si="18">M30-J30</f>
        <v>0.5</v>
      </c>
      <c r="Q30" s="139">
        <f t="shared" ref="Q30:Q37" si="19">O30-L30</f>
        <v>-14.89207456928736</v>
      </c>
      <c r="R30" s="162">
        <f t="shared" ref="R30:R37" si="20">O30/L30</f>
        <v>0.84414382426488288</v>
      </c>
      <c r="S30" s="605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01"/>
      <c r="AC30" s="601"/>
      <c r="AD30" s="164">
        <f>SUM(AD18:AD29)</f>
        <v>0</v>
      </c>
      <c r="AE30" s="164">
        <f>SUM(AE18:AE29)</f>
        <v>0</v>
      </c>
      <c r="AF30" s="165">
        <f t="shared" si="6"/>
        <v>-216.53508990115824</v>
      </c>
      <c r="AG30" s="166">
        <f t="shared" ref="AG30" si="21">N30/K30</f>
        <v>0.86958336283808979</v>
      </c>
      <c r="AH30" s="649"/>
    </row>
    <row r="31" spans="1:34" ht="19.350000000000001" customHeight="1">
      <c r="A31" s="642" t="s">
        <v>139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1921</v>
      </c>
      <c r="H31" s="171">
        <f t="shared" ref="H31:H40" si="22">F31*G31</f>
        <v>65755.829999999987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7" si="23">G31/W31*60</f>
        <v>1987.2413793103451</v>
      </c>
      <c r="O31" s="174">
        <f t="shared" ref="O31:O37" si="24">N31/M31</f>
        <v>152.86472148541117</v>
      </c>
      <c r="P31" s="175">
        <f t="shared" si="18"/>
        <v>0</v>
      </c>
      <c r="Q31" s="176">
        <f t="shared" si="19"/>
        <v>-20.212201591511899</v>
      </c>
      <c r="R31" s="181">
        <f t="shared" si="20"/>
        <v>0.88321839080459785</v>
      </c>
      <c r="S31" s="644">
        <f>R43</f>
        <v>0.84600725002334154</v>
      </c>
      <c r="T31" s="178">
        <v>0.16666666666666666</v>
      </c>
      <c r="U31" s="178">
        <v>0.20694444444444443</v>
      </c>
      <c r="V31" s="98">
        <v>5</v>
      </c>
      <c r="W31" s="179">
        <f t="shared" ref="W31:W42" si="25">(U31-T31)*24*60</f>
        <v>57.999999999999993</v>
      </c>
      <c r="X31" s="98"/>
      <c r="Y31" s="98"/>
      <c r="Z31" s="97"/>
      <c r="AA31" s="97"/>
      <c r="AB31" s="601"/>
      <c r="AC31" s="601"/>
      <c r="AD31" s="98"/>
      <c r="AE31" s="98"/>
      <c r="AF31" s="175">
        <f t="shared" si="6"/>
        <v>-262.75862068965489</v>
      </c>
      <c r="AG31" s="180">
        <f t="shared" si="7"/>
        <v>0.88321839080459785</v>
      </c>
      <c r="AH31" s="622">
        <f>AG43</f>
        <v>0.83737799978946748</v>
      </c>
    </row>
    <row r="32" spans="1:34" ht="19.350000000000001" customHeight="1">
      <c r="A32" s="643"/>
      <c r="B32" s="182" t="s">
        <v>389</v>
      </c>
      <c r="C32" s="183"/>
      <c r="D32" s="153" t="s">
        <v>141</v>
      </c>
      <c r="E32" s="84"/>
      <c r="F32" s="85">
        <v>35.33</v>
      </c>
      <c r="G32" s="86">
        <v>2168</v>
      </c>
      <c r="H32" s="135">
        <f t="shared" si="22"/>
        <v>76595.44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1941.492537313434</v>
      </c>
      <c r="O32" s="90">
        <f t="shared" si="24"/>
        <v>161.79104477611949</v>
      </c>
      <c r="P32" s="92">
        <f t="shared" si="18"/>
        <v>0</v>
      </c>
      <c r="Q32" s="93">
        <f t="shared" si="19"/>
        <v>-25.708955223880508</v>
      </c>
      <c r="R32" s="95">
        <f t="shared" si="20"/>
        <v>0.86288557213930395</v>
      </c>
      <c r="S32" s="605"/>
      <c r="T32" s="142">
        <v>0.21249999999999999</v>
      </c>
      <c r="U32" s="142">
        <v>0.25902777777777775</v>
      </c>
      <c r="V32" s="359">
        <v>8</v>
      </c>
      <c r="W32" s="143">
        <f t="shared" si="25"/>
        <v>66.999999999999957</v>
      </c>
      <c r="X32" s="184"/>
      <c r="Y32" s="184"/>
      <c r="Z32" s="185"/>
      <c r="AA32" s="185"/>
      <c r="AB32" s="601"/>
      <c r="AC32" s="601"/>
      <c r="AD32" s="359"/>
      <c r="AE32" s="359"/>
      <c r="AF32" s="92">
        <f t="shared" si="6"/>
        <v>-308.50746268656599</v>
      </c>
      <c r="AG32" s="95">
        <f t="shared" si="7"/>
        <v>0.86288557213930406</v>
      </c>
      <c r="AH32" s="620"/>
    </row>
    <row r="33" spans="1:34" ht="19.350000000000001" customHeight="1">
      <c r="A33" s="643"/>
      <c r="B33" s="182" t="s">
        <v>389</v>
      </c>
      <c r="C33" s="359"/>
      <c r="D33" s="132" t="s">
        <v>142</v>
      </c>
      <c r="E33" s="133"/>
      <c r="F33" s="85">
        <v>36.409999999999997</v>
      </c>
      <c r="G33" s="104">
        <v>2902.2</v>
      </c>
      <c r="H33" s="135">
        <f t="shared" si="22"/>
        <v>105669.10199999998</v>
      </c>
      <c r="I33" s="359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2001.5172413793098</v>
      </c>
      <c r="O33" s="90">
        <f t="shared" si="24"/>
        <v>200.15172413793098</v>
      </c>
      <c r="P33" s="92">
        <f t="shared" si="18"/>
        <v>0</v>
      </c>
      <c r="Q33" s="93">
        <f t="shared" si="19"/>
        <v>-24.848275862069016</v>
      </c>
      <c r="R33" s="95">
        <f t="shared" si="20"/>
        <v>0.88956321839080432</v>
      </c>
      <c r="S33" s="605"/>
      <c r="T33" s="142">
        <v>0.26388888888888884</v>
      </c>
      <c r="U33" s="142">
        <v>0.32430555555555551</v>
      </c>
      <c r="V33" s="359">
        <v>7</v>
      </c>
      <c r="W33" s="143">
        <f t="shared" si="25"/>
        <v>87.000000000000014</v>
      </c>
      <c r="X33" s="184"/>
      <c r="Y33" s="184"/>
      <c r="Z33" s="185"/>
      <c r="AA33" s="185"/>
      <c r="AB33" s="601"/>
      <c r="AC33" s="601"/>
      <c r="AD33" s="359"/>
      <c r="AE33" s="359"/>
      <c r="AF33" s="92">
        <f t="shared" si="6"/>
        <v>-248.48275862069022</v>
      </c>
      <c r="AG33" s="186">
        <f t="shared" si="7"/>
        <v>0.88956321839080432</v>
      </c>
      <c r="AH33" s="620"/>
    </row>
    <row r="34" spans="1:34" ht="19.350000000000001" customHeight="1">
      <c r="A34" s="643"/>
      <c r="B34" s="182" t="s">
        <v>390</v>
      </c>
      <c r="C34" s="187"/>
      <c r="D34" s="132" t="s">
        <v>143</v>
      </c>
      <c r="E34" s="133"/>
      <c r="F34" s="85">
        <v>49.91</v>
      </c>
      <c r="G34" s="104">
        <v>744</v>
      </c>
      <c r="H34" s="135">
        <f t="shared" si="22"/>
        <v>37133.040000000001</v>
      </c>
      <c r="I34" s="359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1174.7368421052622</v>
      </c>
      <c r="O34" s="90">
        <f t="shared" si="24"/>
        <v>65.263157894736793</v>
      </c>
      <c r="P34" s="92">
        <f t="shared" si="18"/>
        <v>0</v>
      </c>
      <c r="Q34" s="93">
        <f t="shared" si="19"/>
        <v>-18.070175438596536</v>
      </c>
      <c r="R34" s="95">
        <f t="shared" si="20"/>
        <v>0.78315789473684161</v>
      </c>
      <c r="S34" s="605"/>
      <c r="T34" s="142">
        <v>0.34027777777777773</v>
      </c>
      <c r="U34" s="142">
        <v>0.36666666666666664</v>
      </c>
      <c r="V34" s="359">
        <v>23</v>
      </c>
      <c r="W34" s="143">
        <f t="shared" si="25"/>
        <v>38.000000000000028</v>
      </c>
      <c r="X34" s="184">
        <v>0.32777777777777778</v>
      </c>
      <c r="Y34" s="184">
        <v>0.33749999999999997</v>
      </c>
      <c r="Z34" s="185"/>
      <c r="AA34" s="185"/>
      <c r="AB34" s="601"/>
      <c r="AC34" s="601"/>
      <c r="AD34" s="359"/>
      <c r="AE34" s="359"/>
      <c r="AF34" s="92">
        <f t="shared" si="6"/>
        <v>-325.26315789473779</v>
      </c>
      <c r="AG34" s="186">
        <f t="shared" si="7"/>
        <v>0.7831578947368415</v>
      </c>
      <c r="AH34" s="620"/>
    </row>
    <row r="35" spans="1:34" ht="19.350000000000001" customHeight="1">
      <c r="A35" s="643"/>
      <c r="B35" s="182" t="s">
        <v>390</v>
      </c>
      <c r="C35" s="82"/>
      <c r="D35" s="83" t="s">
        <v>144</v>
      </c>
      <c r="E35" s="84"/>
      <c r="F35" s="85">
        <v>53.27</v>
      </c>
      <c r="G35" s="188">
        <v>1086.3</v>
      </c>
      <c r="H35" s="135">
        <f t="shared" si="22"/>
        <v>57867.201000000001</v>
      </c>
      <c r="I35" s="78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1185.0545454545445</v>
      </c>
      <c r="O35" s="90">
        <f t="shared" si="24"/>
        <v>65.836363636363586</v>
      </c>
      <c r="P35" s="92">
        <f t="shared" si="18"/>
        <v>0</v>
      </c>
      <c r="Q35" s="93">
        <f t="shared" si="19"/>
        <v>-17.496969696969742</v>
      </c>
      <c r="R35" s="95">
        <f t="shared" si="20"/>
        <v>0.79003636363636309</v>
      </c>
      <c r="S35" s="605"/>
      <c r="T35" s="142">
        <v>0.37222222222222218</v>
      </c>
      <c r="U35" s="142">
        <v>0.41041666666666665</v>
      </c>
      <c r="V35" s="359">
        <v>8</v>
      </c>
      <c r="W35" s="143">
        <f t="shared" si="25"/>
        <v>55.000000000000043</v>
      </c>
      <c r="X35" s="184"/>
      <c r="Y35" s="184"/>
      <c r="Z35" s="185"/>
      <c r="AA35" s="185"/>
      <c r="AB35" s="601"/>
      <c r="AC35" s="601"/>
      <c r="AD35" s="359"/>
      <c r="AE35" s="359"/>
      <c r="AF35" s="92">
        <f t="shared" si="6"/>
        <v>-314.9454545454555</v>
      </c>
      <c r="AG35" s="186">
        <f t="shared" si="7"/>
        <v>0.79003636363636298</v>
      </c>
      <c r="AH35" s="623"/>
    </row>
    <row r="36" spans="1:34" ht="19.350000000000001" customHeight="1">
      <c r="A36" s="643"/>
      <c r="B36" s="182" t="s">
        <v>390</v>
      </c>
      <c r="C36" s="190"/>
      <c r="D36" s="83" t="s">
        <v>174</v>
      </c>
      <c r="E36" s="133"/>
      <c r="F36" s="85">
        <v>53.68</v>
      </c>
      <c r="G36" s="104">
        <v>933</v>
      </c>
      <c r="H36" s="135">
        <f t="shared" si="22"/>
        <v>50083.44</v>
      </c>
      <c r="I36" s="359"/>
      <c r="J36" s="89">
        <v>16</v>
      </c>
      <c r="K36" s="86">
        <v>1500</v>
      </c>
      <c r="L36" s="90">
        <v>93.75</v>
      </c>
      <c r="M36" s="189">
        <v>16</v>
      </c>
      <c r="N36" s="86">
        <f t="shared" si="23"/>
        <v>1216.9565217391305</v>
      </c>
      <c r="O36" s="90">
        <f t="shared" si="24"/>
        <v>76.059782608695656</v>
      </c>
      <c r="P36" s="92">
        <f t="shared" si="18"/>
        <v>0</v>
      </c>
      <c r="Q36" s="93">
        <f t="shared" si="19"/>
        <v>-17.690217391304344</v>
      </c>
      <c r="R36" s="95">
        <f t="shared" si="20"/>
        <v>0.81130434782608696</v>
      </c>
      <c r="S36" s="605"/>
      <c r="T36" s="142">
        <v>0.4506944444444444</v>
      </c>
      <c r="U36" s="142">
        <v>0.48263888888888884</v>
      </c>
      <c r="V36" s="359">
        <v>5</v>
      </c>
      <c r="W36" s="143">
        <f t="shared" si="25"/>
        <v>46</v>
      </c>
      <c r="X36" s="184"/>
      <c r="Y36" s="184"/>
      <c r="Z36" s="185"/>
      <c r="AA36" s="185"/>
      <c r="AB36" s="601"/>
      <c r="AC36" s="601"/>
      <c r="AD36" s="359"/>
      <c r="AE36" s="359"/>
      <c r="AF36" s="92">
        <f t="shared" si="6"/>
        <v>-283.04347826086951</v>
      </c>
      <c r="AG36" s="186">
        <f t="shared" si="7"/>
        <v>0.81130434782608696</v>
      </c>
      <c r="AH36" s="623"/>
    </row>
    <row r="37" spans="1:34" ht="19.350000000000001" customHeight="1">
      <c r="A37" s="643"/>
      <c r="B37" s="182" t="s">
        <v>390</v>
      </c>
      <c r="C37" s="190"/>
      <c r="D37" s="132" t="s">
        <v>175</v>
      </c>
      <c r="E37" s="133"/>
      <c r="F37" s="85">
        <v>57.734999999999999</v>
      </c>
      <c r="G37" s="104">
        <v>1509.6000000000001</v>
      </c>
      <c r="H37" s="135">
        <f t="shared" si="22"/>
        <v>87156.756000000008</v>
      </c>
      <c r="I37" s="359"/>
      <c r="J37" s="89">
        <v>16</v>
      </c>
      <c r="K37" s="86">
        <v>1565</v>
      </c>
      <c r="L37" s="90">
        <v>97.8125</v>
      </c>
      <c r="M37" s="189">
        <v>16</v>
      </c>
      <c r="N37" s="86">
        <f t="shared" si="23"/>
        <v>1223.9999999999993</v>
      </c>
      <c r="O37" s="90">
        <f t="shared" si="24"/>
        <v>76.499999999999957</v>
      </c>
      <c r="P37" s="92">
        <f t="shared" si="18"/>
        <v>0</v>
      </c>
      <c r="Q37" s="93">
        <f t="shared" si="19"/>
        <v>-21.312500000000043</v>
      </c>
      <c r="R37" s="95">
        <f t="shared" si="20"/>
        <v>0.78210862619808263</v>
      </c>
      <c r="S37" s="605"/>
      <c r="T37" s="142">
        <v>0.48749999999999993</v>
      </c>
      <c r="U37" s="142">
        <v>0.53888888888888886</v>
      </c>
      <c r="V37" s="359">
        <v>7</v>
      </c>
      <c r="W37" s="143">
        <f t="shared" si="25"/>
        <v>74.000000000000057</v>
      </c>
      <c r="X37" s="184"/>
      <c r="Y37" s="184"/>
      <c r="Z37" s="185"/>
      <c r="AA37" s="185"/>
      <c r="AB37" s="601"/>
      <c r="AC37" s="601"/>
      <c r="AD37" s="359"/>
      <c r="AE37" s="359"/>
      <c r="AF37" s="92">
        <f t="shared" si="6"/>
        <v>-341.00000000000068</v>
      </c>
      <c r="AG37" s="186">
        <f t="shared" si="7"/>
        <v>0.78210862619808263</v>
      </c>
      <c r="AH37" s="623"/>
    </row>
    <row r="38" spans="1:34" ht="19.350000000000001" customHeight="1">
      <c r="A38" s="643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359"/>
      <c r="J38" s="89"/>
      <c r="K38" s="86"/>
      <c r="L38" s="90"/>
      <c r="M38" s="189"/>
      <c r="N38" s="86"/>
      <c r="O38" s="90"/>
      <c r="P38" s="92"/>
      <c r="Q38" s="93"/>
      <c r="R38" s="95"/>
      <c r="S38" s="605"/>
      <c r="T38" s="142"/>
      <c r="U38" s="142"/>
      <c r="V38" s="359"/>
      <c r="W38" s="143"/>
      <c r="X38" s="184"/>
      <c r="Y38" s="184"/>
      <c r="Z38" s="185"/>
      <c r="AA38" s="185"/>
      <c r="AB38" s="601"/>
      <c r="AC38" s="601"/>
      <c r="AD38" s="359"/>
      <c r="AE38" s="359"/>
      <c r="AF38" s="92">
        <f t="shared" si="6"/>
        <v>0</v>
      </c>
      <c r="AG38" s="186" t="e">
        <f t="shared" si="7"/>
        <v>#DIV/0!</v>
      </c>
      <c r="AH38" s="623"/>
    </row>
    <row r="39" spans="1:34" ht="19.350000000000001" customHeight="1">
      <c r="A39" s="643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359"/>
      <c r="J39" s="89"/>
      <c r="K39" s="86"/>
      <c r="L39" s="90"/>
      <c r="M39" s="189"/>
      <c r="N39" s="86"/>
      <c r="O39" s="90"/>
      <c r="P39" s="92"/>
      <c r="Q39" s="93"/>
      <c r="R39" s="95"/>
      <c r="S39" s="605"/>
      <c r="T39" s="142"/>
      <c r="U39" s="142"/>
      <c r="V39" s="359"/>
      <c r="W39" s="143"/>
      <c r="X39" s="184"/>
      <c r="Y39" s="184"/>
      <c r="Z39" s="185"/>
      <c r="AA39" s="185"/>
      <c r="AB39" s="601"/>
      <c r="AC39" s="601"/>
      <c r="AD39" s="359"/>
      <c r="AE39" s="359"/>
      <c r="AF39" s="92"/>
      <c r="AG39" s="191"/>
      <c r="AH39" s="623"/>
    </row>
    <row r="40" spans="1:34" ht="19.350000000000001" customHeight="1">
      <c r="A40" s="643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78"/>
      <c r="J40" s="193"/>
      <c r="K40" s="194"/>
      <c r="L40" s="195"/>
      <c r="M40" s="91"/>
      <c r="N40" s="86"/>
      <c r="O40" s="90"/>
      <c r="P40" s="92"/>
      <c r="Q40" s="93"/>
      <c r="R40" s="95"/>
      <c r="S40" s="605"/>
      <c r="T40" s="142"/>
      <c r="U40" s="142"/>
      <c r="V40" s="359"/>
      <c r="W40" s="143">
        <f t="shared" si="25"/>
        <v>0</v>
      </c>
      <c r="X40" s="184"/>
      <c r="Y40" s="184"/>
      <c r="Z40" s="185"/>
      <c r="AA40" s="185"/>
      <c r="AB40" s="601"/>
      <c r="AC40" s="601"/>
      <c r="AD40" s="359"/>
      <c r="AE40" s="359"/>
      <c r="AF40" s="92"/>
      <c r="AG40" s="191"/>
      <c r="AH40" s="623"/>
    </row>
    <row r="41" spans="1:34" ht="19.350000000000001" customHeight="1">
      <c r="A41" s="643"/>
      <c r="B41" s="359">
        <v>0</v>
      </c>
      <c r="C41" s="102"/>
      <c r="D41" s="132"/>
      <c r="E41" s="133"/>
      <c r="F41" s="85" t="s">
        <v>391</v>
      </c>
      <c r="G41" s="104"/>
      <c r="H41" s="135"/>
      <c r="I41" s="359"/>
      <c r="J41" s="138"/>
      <c r="K41" s="104"/>
      <c r="L41" s="137"/>
      <c r="M41" s="189"/>
      <c r="N41" s="104"/>
      <c r="O41" s="137"/>
      <c r="P41" s="100"/>
      <c r="Q41" s="139"/>
      <c r="R41" s="141"/>
      <c r="S41" s="605"/>
      <c r="T41" s="142"/>
      <c r="U41" s="142"/>
      <c r="V41" s="359"/>
      <c r="W41" s="143">
        <f t="shared" si="25"/>
        <v>0</v>
      </c>
      <c r="X41" s="184"/>
      <c r="Y41" s="184"/>
      <c r="Z41" s="185"/>
      <c r="AA41" s="185"/>
      <c r="AB41" s="601"/>
      <c r="AC41" s="601"/>
      <c r="AD41" s="359"/>
      <c r="AE41" s="359"/>
      <c r="AF41" s="92"/>
      <c r="AG41" s="191"/>
      <c r="AH41" s="623"/>
    </row>
    <row r="42" spans="1:34" ht="19.350000000000001" customHeight="1">
      <c r="A42" s="643"/>
      <c r="B42" s="359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359"/>
      <c r="J42" s="138"/>
      <c r="K42" s="104"/>
      <c r="L42" s="137"/>
      <c r="M42" s="189"/>
      <c r="N42" s="104"/>
      <c r="O42" s="137"/>
      <c r="P42" s="100"/>
      <c r="Q42" s="139"/>
      <c r="R42" s="141"/>
      <c r="S42" s="605"/>
      <c r="T42" s="142"/>
      <c r="U42" s="142"/>
      <c r="V42" s="359"/>
      <c r="W42" s="143">
        <f t="shared" si="25"/>
        <v>0</v>
      </c>
      <c r="X42" s="184"/>
      <c r="Y42" s="184"/>
      <c r="Z42" s="185"/>
      <c r="AA42" s="185"/>
      <c r="AB42" s="601"/>
      <c r="AC42" s="601"/>
      <c r="AD42" s="359"/>
      <c r="AE42" s="359"/>
      <c r="AF42" s="92"/>
      <c r="AG42" s="191"/>
      <c r="AH42" s="623"/>
    </row>
    <row r="43" spans="1:34" ht="19.350000000000001" customHeight="1">
      <c r="A43" s="643"/>
      <c r="B43" s="182">
        <v>0</v>
      </c>
      <c r="C43" s="156" t="s">
        <v>29</v>
      </c>
      <c r="D43" s="602" t="s">
        <v>75</v>
      </c>
      <c r="E43" s="602"/>
      <c r="F43" s="157"/>
      <c r="G43" s="158"/>
      <c r="H43" s="159"/>
      <c r="I43" s="160"/>
      <c r="J43" s="158">
        <v>14.714285714285714</v>
      </c>
      <c r="K43" s="158">
        <v>1830.7142857142858</v>
      </c>
      <c r="L43" s="161">
        <v>134.8294413919414</v>
      </c>
      <c r="M43" s="158">
        <f t="shared" ref="M43:O43" si="26">AVERAGE(M31:M42)</f>
        <v>14.714285714285714</v>
      </c>
      <c r="N43" s="158">
        <f t="shared" si="26"/>
        <v>1532.9998667574323</v>
      </c>
      <c r="O43" s="161">
        <f t="shared" si="26"/>
        <v>114.06668493417965</v>
      </c>
      <c r="P43" s="100">
        <f>M43-J43</f>
        <v>0</v>
      </c>
      <c r="Q43" s="139">
        <f>N43-K43</f>
        <v>-297.71441895685348</v>
      </c>
      <c r="R43" s="162">
        <f t="shared" ref="R43:R51" si="27">O43/L43</f>
        <v>0.84600725002334154</v>
      </c>
      <c r="S43" s="605"/>
      <c r="T43" s="142"/>
      <c r="U43" s="142"/>
      <c r="V43" s="359"/>
      <c r="W43" s="359"/>
      <c r="X43" s="184"/>
      <c r="Y43" s="184"/>
      <c r="Z43" s="197">
        <f>SUM(Z31:Z42)</f>
        <v>0</v>
      </c>
      <c r="AA43" s="197">
        <f>SUM(AA31:AA42)</f>
        <v>0</v>
      </c>
      <c r="AB43" s="601"/>
      <c r="AC43" s="601"/>
      <c r="AD43" s="164">
        <f>SUM(AD31:AD42)</f>
        <v>0</v>
      </c>
      <c r="AE43" s="164">
        <f>SUM(AE31:AE42)</f>
        <v>0</v>
      </c>
      <c r="AF43" s="92">
        <f t="shared" ref="AF43:AF52" si="28">N43-K43</f>
        <v>-297.71441895685348</v>
      </c>
      <c r="AG43" s="114">
        <f t="shared" si="7"/>
        <v>0.83737799978946748</v>
      </c>
      <c r="AH43" s="623"/>
    </row>
    <row r="44" spans="1:34" s="213" customFormat="1" ht="19.350000000000001" customHeight="1">
      <c r="A44" s="638" t="s">
        <v>146</v>
      </c>
      <c r="B44" s="152" t="s">
        <v>388</v>
      </c>
      <c r="C44" s="198"/>
      <c r="D44" s="83" t="s">
        <v>168</v>
      </c>
      <c r="E44" s="84"/>
      <c r="F44" s="199">
        <v>36.92</v>
      </c>
      <c r="G44" s="200">
        <v>1018</v>
      </c>
      <c r="H44" s="87">
        <f>F44*G44</f>
        <v>37584.560000000005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1272.5000000000005</v>
      </c>
      <c r="O44" s="204">
        <f>N44/M44</f>
        <v>212.0833333333334</v>
      </c>
      <c r="P44" s="97"/>
      <c r="Q44" s="205"/>
      <c r="R44" s="206"/>
      <c r="S44" s="620">
        <f>R56</f>
        <v>0.82169810890237371</v>
      </c>
      <c r="T44" s="207">
        <v>0.16666666666666666</v>
      </c>
      <c r="U44" s="207">
        <v>0.19999999999999998</v>
      </c>
      <c r="V44" s="208">
        <v>5</v>
      </c>
      <c r="W44" s="209">
        <f t="shared" ref="W44:W56" si="29">(U44-T44)*24*60</f>
        <v>47.999999999999986</v>
      </c>
      <c r="X44" s="184"/>
      <c r="Y44" s="184"/>
      <c r="Z44" s="185"/>
      <c r="AA44" s="185"/>
      <c r="AB44" s="601"/>
      <c r="AC44" s="601"/>
      <c r="AD44" s="359"/>
      <c r="AE44" s="359"/>
      <c r="AF44" s="210">
        <f t="shared" si="28"/>
        <v>-227.49999999999955</v>
      </c>
      <c r="AG44" s="212">
        <f t="shared" si="7"/>
        <v>0.84833333333333361</v>
      </c>
      <c r="AH44" s="641">
        <f>AG56</f>
        <v>0.96561783726216899</v>
      </c>
    </row>
    <row r="45" spans="1:34" s="213" customFormat="1" ht="19.350000000000001" customHeight="1">
      <c r="A45" s="639"/>
      <c r="B45" s="152" t="s">
        <v>389</v>
      </c>
      <c r="C45" s="198"/>
      <c r="D45" s="83" t="s">
        <v>169</v>
      </c>
      <c r="E45" s="84"/>
      <c r="F45" s="199">
        <v>24.73</v>
      </c>
      <c r="G45" s="200">
        <v>2377</v>
      </c>
      <c r="H45" s="87">
        <f>F45*G45</f>
        <v>58783.21</v>
      </c>
      <c r="I45" s="214"/>
      <c r="J45" s="202">
        <v>4</v>
      </c>
      <c r="K45" s="203">
        <v>2000</v>
      </c>
      <c r="L45" s="204">
        <v>500</v>
      </c>
      <c r="M45" s="110">
        <v>5</v>
      </c>
      <c r="N45" s="203">
        <f>G45/W45*60</f>
        <v>2128.6567164179105</v>
      </c>
      <c r="O45" s="204">
        <f>N45/M45</f>
        <v>425.73134328358208</v>
      </c>
      <c r="P45" s="97">
        <f>M45-J45</f>
        <v>1</v>
      </c>
      <c r="Q45" s="205">
        <f>O45-L45</f>
        <v>-74.268656716417922</v>
      </c>
      <c r="R45" s="206">
        <f t="shared" si="27"/>
        <v>0.85146268656716417</v>
      </c>
      <c r="S45" s="620"/>
      <c r="T45" s="207">
        <v>0.20555555555555555</v>
      </c>
      <c r="U45" s="207">
        <v>0.25208333333333333</v>
      </c>
      <c r="V45" s="208">
        <v>8</v>
      </c>
      <c r="W45" s="209">
        <f t="shared" si="29"/>
        <v>67</v>
      </c>
      <c r="X45" s="184"/>
      <c r="Y45" s="184"/>
      <c r="Z45" s="185"/>
      <c r="AA45" s="185"/>
      <c r="AB45" s="601"/>
      <c r="AC45" s="601"/>
      <c r="AD45" s="359"/>
      <c r="AE45" s="359"/>
      <c r="AF45" s="210">
        <f t="shared" si="28"/>
        <v>128.6567164179105</v>
      </c>
      <c r="AG45" s="212">
        <f t="shared" si="7"/>
        <v>1.0643283582089553</v>
      </c>
      <c r="AH45" s="641"/>
    </row>
    <row r="46" spans="1:34" s="213" customFormat="1" ht="19.350000000000001" customHeight="1">
      <c r="A46" s="639"/>
      <c r="B46" s="152" t="s">
        <v>389</v>
      </c>
      <c r="C46" s="198"/>
      <c r="D46" s="83" t="s">
        <v>170</v>
      </c>
      <c r="E46" s="84"/>
      <c r="F46" s="199">
        <v>24.73</v>
      </c>
      <c r="G46" s="200">
        <v>2043</v>
      </c>
      <c r="H46" s="87">
        <f t="shared" ref="H46:H51" si="30">F46*G46</f>
        <v>50523.39</v>
      </c>
      <c r="I46" s="214"/>
      <c r="J46" s="202">
        <v>4</v>
      </c>
      <c r="K46" s="203">
        <v>2000</v>
      </c>
      <c r="L46" s="204">
        <v>500</v>
      </c>
      <c r="M46" s="110">
        <v>5</v>
      </c>
      <c r="N46" s="203">
        <f>G46/W46*60</f>
        <v>2188.9285714285729</v>
      </c>
      <c r="O46" s="204">
        <f>N46/M46</f>
        <v>437.78571428571456</v>
      </c>
      <c r="P46" s="97">
        <f>M46-J46</f>
        <v>1</v>
      </c>
      <c r="Q46" s="205">
        <f>O46-L46</f>
        <v>-62.214285714285438</v>
      </c>
      <c r="R46" s="206">
        <f t="shared" si="27"/>
        <v>0.87557142857142911</v>
      </c>
      <c r="S46" s="620"/>
      <c r="T46" s="207">
        <v>0.25555555555555554</v>
      </c>
      <c r="U46" s="207">
        <v>0.2944444444444444</v>
      </c>
      <c r="V46" s="208">
        <v>5</v>
      </c>
      <c r="W46" s="209">
        <f t="shared" si="29"/>
        <v>55.999999999999957</v>
      </c>
      <c r="X46" s="184"/>
      <c r="Y46" s="184"/>
      <c r="Z46" s="185"/>
      <c r="AA46" s="185"/>
      <c r="AB46" s="601"/>
      <c r="AC46" s="601"/>
      <c r="AD46" s="359"/>
      <c r="AE46" s="359"/>
      <c r="AF46" s="210">
        <f t="shared" si="28"/>
        <v>188.92857142857292</v>
      </c>
      <c r="AG46" s="212">
        <f t="shared" si="7"/>
        <v>1.0944642857142866</v>
      </c>
      <c r="AH46" s="641"/>
    </row>
    <row r="47" spans="1:34" s="213" customFormat="1" ht="19.350000000000001" customHeight="1">
      <c r="A47" s="639"/>
      <c r="B47" s="152" t="s">
        <v>389</v>
      </c>
      <c r="C47" s="198"/>
      <c r="D47" s="215" t="s">
        <v>171</v>
      </c>
      <c r="E47" s="216"/>
      <c r="F47" s="199">
        <v>22.83</v>
      </c>
      <c r="G47" s="203">
        <v>316</v>
      </c>
      <c r="H47" s="87">
        <f t="shared" si="30"/>
        <v>7214.28</v>
      </c>
      <c r="I47" s="214"/>
      <c r="J47" s="202">
        <v>6</v>
      </c>
      <c r="K47" s="203">
        <v>2000</v>
      </c>
      <c r="L47" s="204">
        <v>333.33333333333331</v>
      </c>
      <c r="M47" s="217">
        <v>7</v>
      </c>
      <c r="N47" s="203">
        <f t="shared" ref="N47:N51" si="31">G47/W47*60</f>
        <v>1723.6363636363699</v>
      </c>
      <c r="O47" s="204">
        <f t="shared" ref="O47:O51" si="32">N47/M47</f>
        <v>246.23376623376711</v>
      </c>
      <c r="P47" s="97">
        <f t="shared" ref="P47:P51" si="33">M47-J47</f>
        <v>1</v>
      </c>
      <c r="Q47" s="205">
        <f t="shared" ref="Q47:Q51" si="34">O47-L47</f>
        <v>-87.099567099566201</v>
      </c>
      <c r="R47" s="206">
        <f t="shared" si="27"/>
        <v>0.73870129870130141</v>
      </c>
      <c r="S47" s="620"/>
      <c r="T47" s="207">
        <v>0.29791666666666661</v>
      </c>
      <c r="U47" s="207">
        <v>0.30555555555555547</v>
      </c>
      <c r="V47" s="203">
        <v>5</v>
      </c>
      <c r="W47" s="209">
        <f t="shared" si="29"/>
        <v>10.999999999999961</v>
      </c>
      <c r="X47" s="184"/>
      <c r="Y47" s="184"/>
      <c r="Z47" s="185"/>
      <c r="AA47" s="185"/>
      <c r="AB47" s="601"/>
      <c r="AC47" s="601"/>
      <c r="AD47" s="359"/>
      <c r="AE47" s="359"/>
      <c r="AF47" s="210">
        <f t="shared" si="28"/>
        <v>-276.36363636363012</v>
      </c>
      <c r="AG47" s="212">
        <f t="shared" si="7"/>
        <v>0.86181818181818493</v>
      </c>
      <c r="AH47" s="641"/>
    </row>
    <row r="48" spans="1:34" s="213" customFormat="1" ht="19.350000000000001" customHeight="1">
      <c r="A48" s="639"/>
      <c r="B48" s="152" t="s">
        <v>389</v>
      </c>
      <c r="C48" s="198"/>
      <c r="D48" s="218" t="s">
        <v>172</v>
      </c>
      <c r="E48" s="216"/>
      <c r="F48" s="199">
        <v>22.27</v>
      </c>
      <c r="G48" s="203">
        <v>1268</v>
      </c>
      <c r="H48" s="87">
        <f t="shared" si="30"/>
        <v>28238.36</v>
      </c>
      <c r="I48" s="214"/>
      <c r="J48" s="202">
        <v>4</v>
      </c>
      <c r="K48" s="203">
        <v>2000</v>
      </c>
      <c r="L48" s="204">
        <v>500</v>
      </c>
      <c r="M48" s="217">
        <v>5</v>
      </c>
      <c r="N48" s="203">
        <f t="shared" si="31"/>
        <v>2173.7142857142835</v>
      </c>
      <c r="O48" s="204">
        <f t="shared" si="32"/>
        <v>434.74285714285668</v>
      </c>
      <c r="P48" s="97">
        <f t="shared" si="33"/>
        <v>1</v>
      </c>
      <c r="Q48" s="205">
        <f t="shared" si="34"/>
        <v>-65.257142857143322</v>
      </c>
      <c r="R48" s="206">
        <f t="shared" si="27"/>
        <v>0.86948571428571331</v>
      </c>
      <c r="S48" s="620"/>
      <c r="T48" s="219">
        <v>0.30902777777777768</v>
      </c>
      <c r="U48" s="219">
        <v>0.33333333333333326</v>
      </c>
      <c r="V48" s="200">
        <v>5</v>
      </c>
      <c r="W48" s="209">
        <f t="shared" si="29"/>
        <v>35.000000000000036</v>
      </c>
      <c r="X48" s="184"/>
      <c r="Y48" s="184"/>
      <c r="Z48" s="185"/>
      <c r="AA48" s="185"/>
      <c r="AB48" s="601"/>
      <c r="AC48" s="601"/>
      <c r="AD48" s="359"/>
      <c r="AE48" s="359"/>
      <c r="AF48" s="210">
        <f t="shared" si="28"/>
        <v>173.71428571428351</v>
      </c>
      <c r="AG48" s="212">
        <f t="shared" si="7"/>
        <v>1.0868571428571419</v>
      </c>
      <c r="AH48" s="641"/>
    </row>
    <row r="49" spans="1:34" s="213" customFormat="1" ht="19.350000000000001" customHeight="1">
      <c r="A49" s="639"/>
      <c r="B49" s="152" t="s">
        <v>389</v>
      </c>
      <c r="C49" s="198"/>
      <c r="D49" s="218" t="s">
        <v>173</v>
      </c>
      <c r="E49" s="216"/>
      <c r="F49" s="199">
        <v>21.74</v>
      </c>
      <c r="G49" s="200">
        <v>227</v>
      </c>
      <c r="H49" s="87">
        <f t="shared" si="30"/>
        <v>4934.9799999999996</v>
      </c>
      <c r="I49" s="214"/>
      <c r="J49" s="202">
        <v>4</v>
      </c>
      <c r="K49" s="203">
        <v>2000</v>
      </c>
      <c r="L49" s="204">
        <v>500</v>
      </c>
      <c r="M49" s="217">
        <v>5</v>
      </c>
      <c r="N49" s="203">
        <f t="shared" si="31"/>
        <v>1702.5000000000059</v>
      </c>
      <c r="O49" s="204">
        <f t="shared" si="32"/>
        <v>340.50000000000119</v>
      </c>
      <c r="P49" s="97">
        <f t="shared" si="33"/>
        <v>1</v>
      </c>
      <c r="Q49" s="205">
        <f t="shared" si="34"/>
        <v>-159.49999999999881</v>
      </c>
      <c r="R49" s="206">
        <f t="shared" si="27"/>
        <v>0.68100000000000238</v>
      </c>
      <c r="S49" s="620"/>
      <c r="T49" s="219">
        <v>0.33680555555555547</v>
      </c>
      <c r="U49" s="219">
        <v>0.34236111111111101</v>
      </c>
      <c r="V49" s="200">
        <v>5</v>
      </c>
      <c r="W49" s="209">
        <f t="shared" si="29"/>
        <v>7.9999999999999716</v>
      </c>
      <c r="X49" s="220"/>
      <c r="Y49" s="220"/>
      <c r="Z49" s="221"/>
      <c r="AA49" s="185"/>
      <c r="AB49" s="601"/>
      <c r="AC49" s="601"/>
      <c r="AD49" s="359"/>
      <c r="AE49" s="359"/>
      <c r="AF49" s="210">
        <f t="shared" si="28"/>
        <v>-297.49999999999409</v>
      </c>
      <c r="AG49" s="212">
        <f t="shared" si="7"/>
        <v>0.85125000000000295</v>
      </c>
      <c r="AH49" s="641"/>
    </row>
    <row r="50" spans="1:34" s="213" customFormat="1" ht="19.350000000000001" customHeight="1">
      <c r="A50" s="639"/>
      <c r="B50" s="152" t="s">
        <v>388</v>
      </c>
      <c r="C50" s="198"/>
      <c r="D50" s="218" t="s">
        <v>148</v>
      </c>
      <c r="E50" s="216"/>
      <c r="F50" s="199">
        <v>11.6</v>
      </c>
      <c r="G50" s="200">
        <v>2178</v>
      </c>
      <c r="H50" s="87">
        <f t="shared" si="30"/>
        <v>25264.799999999999</v>
      </c>
      <c r="I50" s="214"/>
      <c r="J50" s="202">
        <v>6</v>
      </c>
      <c r="K50" s="203">
        <v>1636</v>
      </c>
      <c r="L50" s="204">
        <v>272.66666666666669</v>
      </c>
      <c r="M50" s="217">
        <v>7</v>
      </c>
      <c r="N50" s="203">
        <f t="shared" si="31"/>
        <v>1485</v>
      </c>
      <c r="O50" s="204">
        <f t="shared" si="32"/>
        <v>212.14285714285714</v>
      </c>
      <c r="P50" s="97">
        <f t="shared" si="33"/>
        <v>1</v>
      </c>
      <c r="Q50" s="205">
        <f t="shared" si="34"/>
        <v>-60.523809523809547</v>
      </c>
      <c r="R50" s="206">
        <f t="shared" si="27"/>
        <v>0.77803003842123641</v>
      </c>
      <c r="S50" s="620"/>
      <c r="T50" s="219">
        <v>0.36319444444444432</v>
      </c>
      <c r="U50" s="219">
        <v>0.42430555555555544</v>
      </c>
      <c r="V50" s="200">
        <v>30</v>
      </c>
      <c r="W50" s="209">
        <f t="shared" si="29"/>
        <v>88</v>
      </c>
      <c r="X50" s="220">
        <v>0.34583333333333338</v>
      </c>
      <c r="Y50" s="220">
        <v>0.36041666666666666</v>
      </c>
      <c r="Z50" s="221"/>
      <c r="AA50" s="221"/>
      <c r="AB50" s="601"/>
      <c r="AC50" s="601"/>
      <c r="AD50" s="359"/>
      <c r="AE50" s="359"/>
      <c r="AF50" s="210">
        <f t="shared" si="28"/>
        <v>-151</v>
      </c>
      <c r="AG50" s="212">
        <f t="shared" si="7"/>
        <v>0.90770171149144252</v>
      </c>
      <c r="AH50" s="641"/>
    </row>
    <row r="51" spans="1:34" s="213" customFormat="1" ht="19.350000000000001" customHeight="1">
      <c r="A51" s="639"/>
      <c r="B51" s="152" t="s">
        <v>390</v>
      </c>
      <c r="C51" s="198"/>
      <c r="D51" s="218" t="s">
        <v>149</v>
      </c>
      <c r="E51" s="216"/>
      <c r="F51" s="199">
        <v>10.09</v>
      </c>
      <c r="G51" s="200">
        <v>7799.4800000000005</v>
      </c>
      <c r="H51" s="87">
        <f t="shared" si="30"/>
        <v>78696.753200000006</v>
      </c>
      <c r="I51" s="214"/>
      <c r="J51" s="202">
        <v>6</v>
      </c>
      <c r="K51" s="203">
        <v>1500</v>
      </c>
      <c r="L51" s="204">
        <v>250</v>
      </c>
      <c r="M51" s="217">
        <v>6</v>
      </c>
      <c r="N51" s="203">
        <f t="shared" si="31"/>
        <v>1457.8467289719626</v>
      </c>
      <c r="O51" s="204">
        <f t="shared" si="32"/>
        <v>242.97445482866044</v>
      </c>
      <c r="P51" s="97">
        <f t="shared" si="33"/>
        <v>0</v>
      </c>
      <c r="Q51" s="205">
        <f t="shared" si="34"/>
        <v>-7.0255451713395587</v>
      </c>
      <c r="R51" s="206">
        <f t="shared" si="27"/>
        <v>0.97189781931464181</v>
      </c>
      <c r="S51" s="620"/>
      <c r="T51" s="219">
        <v>0.44513888888888875</v>
      </c>
      <c r="U51" s="219">
        <v>0.6680555555555554</v>
      </c>
      <c r="V51" s="200">
        <v>30</v>
      </c>
      <c r="W51" s="209">
        <f t="shared" si="29"/>
        <v>321</v>
      </c>
      <c r="X51" s="220">
        <v>0.42777777777777781</v>
      </c>
      <c r="Y51" s="220">
        <v>0.44236111111111115</v>
      </c>
      <c r="Z51" s="221"/>
      <c r="AA51" s="221"/>
      <c r="AB51" s="601"/>
      <c r="AC51" s="601"/>
      <c r="AD51" s="359"/>
      <c r="AE51" s="359"/>
      <c r="AF51" s="210">
        <f t="shared" si="28"/>
        <v>-42.153271028037352</v>
      </c>
      <c r="AG51" s="212">
        <f t="shared" si="7"/>
        <v>0.97189781931464181</v>
      </c>
      <c r="AH51" s="641"/>
    </row>
    <row r="52" spans="1:34" s="213" customFormat="1" ht="19.350000000000001" customHeight="1">
      <c r="A52" s="639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1"/>
      <c r="S52" s="620"/>
      <c r="T52" s="219"/>
      <c r="U52" s="219"/>
      <c r="V52" s="200" t="s">
        <v>49</v>
      </c>
      <c r="W52" s="209">
        <f t="shared" si="29"/>
        <v>0</v>
      </c>
      <c r="X52" s="220"/>
      <c r="Y52" s="220"/>
      <c r="Z52" s="221"/>
      <c r="AA52" s="221"/>
      <c r="AB52" s="601"/>
      <c r="AC52" s="601"/>
      <c r="AD52" s="359"/>
      <c r="AE52" s="359"/>
      <c r="AF52" s="210">
        <f t="shared" si="28"/>
        <v>0</v>
      </c>
      <c r="AG52" s="212" t="e">
        <f t="shared" si="7"/>
        <v>#DIV/0!</v>
      </c>
      <c r="AH52" s="641"/>
    </row>
    <row r="53" spans="1:34" s="213" customFormat="1" ht="19.350000000000001" customHeight="1">
      <c r="A53" s="639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1"/>
      <c r="S53" s="620"/>
      <c r="T53" s="219"/>
      <c r="U53" s="219"/>
      <c r="V53" s="200"/>
      <c r="W53" s="209">
        <f t="shared" si="29"/>
        <v>0</v>
      </c>
      <c r="X53" s="220"/>
      <c r="Y53" s="220"/>
      <c r="Z53" s="221"/>
      <c r="AA53" s="221"/>
      <c r="AB53" s="601"/>
      <c r="AC53" s="601"/>
      <c r="AD53" s="359"/>
      <c r="AE53" s="359"/>
      <c r="AF53" s="210"/>
      <c r="AG53" s="212"/>
      <c r="AH53" s="641"/>
    </row>
    <row r="54" spans="1:34" s="213" customFormat="1" ht="19.350000000000001" customHeight="1">
      <c r="A54" s="639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1"/>
      <c r="S54" s="620"/>
      <c r="T54" s="219"/>
      <c r="U54" s="219"/>
      <c r="V54" s="200"/>
      <c r="W54" s="209">
        <f t="shared" si="29"/>
        <v>0</v>
      </c>
      <c r="X54" s="220"/>
      <c r="Y54" s="220"/>
      <c r="Z54" s="221"/>
      <c r="AA54" s="221"/>
      <c r="AB54" s="601"/>
      <c r="AC54" s="601"/>
      <c r="AD54" s="359"/>
      <c r="AE54" s="359"/>
      <c r="AF54" s="210"/>
      <c r="AG54" s="212"/>
      <c r="AH54" s="641"/>
    </row>
    <row r="55" spans="1:34" s="213" customFormat="1" ht="19.350000000000001" customHeight="1">
      <c r="A55" s="639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1"/>
      <c r="S55" s="620"/>
      <c r="T55" s="219"/>
      <c r="U55" s="219"/>
      <c r="V55" s="200"/>
      <c r="W55" s="209">
        <f t="shared" si="29"/>
        <v>0</v>
      </c>
      <c r="X55" s="220"/>
      <c r="Y55" s="220"/>
      <c r="Z55" s="221"/>
      <c r="AA55" s="221"/>
      <c r="AB55" s="601"/>
      <c r="AC55" s="601"/>
      <c r="AD55" s="359"/>
      <c r="AE55" s="359"/>
      <c r="AF55" s="210"/>
      <c r="AG55" s="212"/>
      <c r="AH55" s="641"/>
    </row>
    <row r="56" spans="1:34" ht="19.350000000000001" customHeight="1">
      <c r="A56" s="640"/>
      <c r="B56" s="226">
        <v>0</v>
      </c>
      <c r="C56" s="156" t="s">
        <v>30</v>
      </c>
      <c r="D56" s="602" t="s">
        <v>75</v>
      </c>
      <c r="E56" s="602"/>
      <c r="F56" s="157"/>
      <c r="G56" s="158"/>
      <c r="H56" s="159"/>
      <c r="I56" s="160"/>
      <c r="J56" s="158">
        <v>5</v>
      </c>
      <c r="K56" s="158">
        <v>1829.5</v>
      </c>
      <c r="L56" s="161">
        <v>388.24999999999994</v>
      </c>
      <c r="M56" s="158">
        <f t="shared" ref="M56:O56" si="35">AVERAGE(M44:M55)</f>
        <v>5.75</v>
      </c>
      <c r="N56" s="158">
        <f t="shared" si="35"/>
        <v>1766.5978332711381</v>
      </c>
      <c r="O56" s="161">
        <f t="shared" si="35"/>
        <v>319.02429078134656</v>
      </c>
      <c r="P56" s="227">
        <f>M56-J56</f>
        <v>0.75</v>
      </c>
      <c r="Q56" s="176">
        <f>N56-K56</f>
        <v>-62.902166728861857</v>
      </c>
      <c r="R56" s="228">
        <f t="shared" ref="R56:R61" si="36">O56/L56</f>
        <v>0.82169810890237371</v>
      </c>
      <c r="S56" s="620"/>
      <c r="T56" s="229"/>
      <c r="U56" s="229"/>
      <c r="V56" s="230"/>
      <c r="W56" s="209">
        <f t="shared" si="29"/>
        <v>0</v>
      </c>
      <c r="X56" s="231"/>
      <c r="Y56" s="231"/>
      <c r="Z56" s="163">
        <f>SUM(Z44:Z55)</f>
        <v>0</v>
      </c>
      <c r="AA56" s="163">
        <f>SUM(AA44:AA55)</f>
        <v>0</v>
      </c>
      <c r="AB56" s="601"/>
      <c r="AC56" s="601"/>
      <c r="AD56" s="164">
        <f>SUM(AD44:AD55)</f>
        <v>0</v>
      </c>
      <c r="AE56" s="164">
        <f>SUM(AE44:AE55)</f>
        <v>0</v>
      </c>
      <c r="AF56" s="232">
        <f>N56-K56</f>
        <v>-62.902166728861857</v>
      </c>
      <c r="AG56" s="141">
        <f>N56/K56</f>
        <v>0.96561783726216899</v>
      </c>
      <c r="AH56" s="641"/>
    </row>
    <row r="57" spans="1:34" ht="19.350000000000001" customHeight="1">
      <c r="A57" s="634" t="s">
        <v>151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1502</v>
      </c>
      <c r="H57" s="135">
        <f t="shared" ref="H57:H66" si="37">F57*G57</f>
        <v>42446.520000000004</v>
      </c>
      <c r="I57" s="359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1" si="38">G57/W57*60</f>
        <v>1345.0746268656717</v>
      </c>
      <c r="O57" s="137">
        <f t="shared" ref="O57:O61" si="39">N57/M57</f>
        <v>192.1535181236674</v>
      </c>
      <c r="P57" s="235">
        <f t="shared" ref="P57:P61" si="40">M57-J57</f>
        <v>1</v>
      </c>
      <c r="Q57" s="93">
        <f t="shared" ref="Q57:Q61" si="41">O57-L57</f>
        <v>-57.846481876332604</v>
      </c>
      <c r="R57" s="95">
        <f t="shared" si="36"/>
        <v>0.76861407249466962</v>
      </c>
      <c r="S57" s="620">
        <f>R69</f>
        <v>0.86885467585051146</v>
      </c>
      <c r="T57" s="207">
        <v>0.16666666666666666</v>
      </c>
      <c r="U57" s="207">
        <v>0.21319444444444444</v>
      </c>
      <c r="V57" s="78">
        <v>5</v>
      </c>
      <c r="W57" s="88">
        <f>(U57-T57)*24*60</f>
        <v>67</v>
      </c>
      <c r="X57" s="99"/>
      <c r="Y57" s="99"/>
      <c r="Z57" s="100"/>
      <c r="AA57" s="100"/>
      <c r="AB57" s="601"/>
      <c r="AC57" s="601"/>
      <c r="AD57" s="359"/>
      <c r="AE57" s="359"/>
      <c r="AF57" s="92">
        <f t="shared" si="6"/>
        <v>-154.92537313432831</v>
      </c>
      <c r="AG57" s="181">
        <f t="shared" si="7"/>
        <v>0.89671641791044776</v>
      </c>
      <c r="AH57" s="622">
        <f>AG69</f>
        <v>0.95116117319112403</v>
      </c>
    </row>
    <row r="58" spans="1:34" ht="19.350000000000001" customHeight="1">
      <c r="A58" s="635"/>
      <c r="B58" s="152" t="s">
        <v>388</v>
      </c>
      <c r="C58" s="237"/>
      <c r="D58" s="83" t="s">
        <v>153</v>
      </c>
      <c r="E58" s="84"/>
      <c r="F58" s="85">
        <v>27.88</v>
      </c>
      <c r="G58" s="200">
        <v>2580</v>
      </c>
      <c r="H58" s="87">
        <f t="shared" si="37"/>
        <v>71930.399999999994</v>
      </c>
      <c r="I58" s="78"/>
      <c r="J58" s="89">
        <v>6</v>
      </c>
      <c r="K58" s="86">
        <v>1500</v>
      </c>
      <c r="L58" s="137">
        <v>250</v>
      </c>
      <c r="M58" s="91">
        <v>7</v>
      </c>
      <c r="N58" s="86">
        <f t="shared" si="38"/>
        <v>1474.285714285714</v>
      </c>
      <c r="O58" s="90">
        <f t="shared" si="39"/>
        <v>210.61224489795913</v>
      </c>
      <c r="P58" s="235">
        <f t="shared" si="40"/>
        <v>1</v>
      </c>
      <c r="Q58" s="93">
        <f t="shared" si="41"/>
        <v>-39.38775510204087</v>
      </c>
      <c r="R58" s="95">
        <f t="shared" si="36"/>
        <v>0.84244897959183651</v>
      </c>
      <c r="S58" s="620"/>
      <c r="T58" s="236">
        <v>0.21875</v>
      </c>
      <c r="U58" s="236">
        <v>0.29166666666666669</v>
      </c>
      <c r="V58" s="78">
        <v>8</v>
      </c>
      <c r="W58" s="88">
        <f>(U58-T58)*24*60</f>
        <v>105.00000000000003</v>
      </c>
      <c r="X58" s="99"/>
      <c r="Y58" s="99"/>
      <c r="Z58" s="100"/>
      <c r="AA58" s="100"/>
      <c r="AB58" s="636"/>
      <c r="AC58" s="637"/>
      <c r="AD58" s="359"/>
      <c r="AE58" s="359"/>
      <c r="AF58" s="92">
        <f t="shared" si="6"/>
        <v>-25.714285714286007</v>
      </c>
      <c r="AG58" s="95">
        <f t="shared" si="7"/>
        <v>0.98285714285714265</v>
      </c>
      <c r="AH58" s="620"/>
    </row>
    <row r="59" spans="1:34" ht="19.350000000000001" customHeight="1">
      <c r="A59" s="635"/>
      <c r="B59" s="152" t="s">
        <v>388</v>
      </c>
      <c r="C59" s="237"/>
      <c r="D59" s="83" t="s">
        <v>154</v>
      </c>
      <c r="E59" s="84"/>
      <c r="F59" s="85">
        <v>28</v>
      </c>
      <c r="G59" s="200">
        <v>2603</v>
      </c>
      <c r="H59" s="87">
        <f t="shared" si="37"/>
        <v>72884</v>
      </c>
      <c r="I59" s="78"/>
      <c r="J59" s="89">
        <v>6</v>
      </c>
      <c r="K59" s="86">
        <v>1500</v>
      </c>
      <c r="L59" s="137">
        <v>250</v>
      </c>
      <c r="M59" s="91">
        <v>7</v>
      </c>
      <c r="N59" s="86">
        <f t="shared" si="38"/>
        <v>1501.7307692307688</v>
      </c>
      <c r="O59" s="90">
        <f t="shared" si="39"/>
        <v>214.53296703296698</v>
      </c>
      <c r="P59" s="235">
        <f t="shared" si="40"/>
        <v>1</v>
      </c>
      <c r="Q59" s="93">
        <f t="shared" si="41"/>
        <v>-35.46703296703302</v>
      </c>
      <c r="R59" s="95">
        <f t="shared" si="36"/>
        <v>0.85813186813186793</v>
      </c>
      <c r="S59" s="620"/>
      <c r="T59" s="236">
        <v>0.29722222222222222</v>
      </c>
      <c r="U59" s="236">
        <v>0.36944444444444446</v>
      </c>
      <c r="V59" s="208">
        <v>8</v>
      </c>
      <c r="W59" s="88">
        <f>(U59-T59)*24*60</f>
        <v>104.00000000000003</v>
      </c>
      <c r="X59" s="99"/>
      <c r="Y59" s="99"/>
      <c r="Z59" s="100"/>
      <c r="AA59" s="100"/>
      <c r="AB59" s="601"/>
      <c r="AC59" s="601"/>
      <c r="AD59" s="359"/>
      <c r="AE59" s="359"/>
      <c r="AF59" s="92">
        <f t="shared" si="6"/>
        <v>1.7307692307688285</v>
      </c>
      <c r="AG59" s="95">
        <f t="shared" si="7"/>
        <v>1.0011538461538458</v>
      </c>
      <c r="AH59" s="620"/>
    </row>
    <row r="60" spans="1:34" ht="19.350000000000001" customHeight="1">
      <c r="A60" s="635"/>
      <c r="B60" s="152" t="s">
        <v>390</v>
      </c>
      <c r="C60" s="237"/>
      <c r="D60" s="83" t="s">
        <v>149</v>
      </c>
      <c r="E60" s="84"/>
      <c r="F60" s="85">
        <v>10.09</v>
      </c>
      <c r="G60" s="200">
        <v>4499.7</v>
      </c>
      <c r="H60" s="87">
        <f t="shared" si="37"/>
        <v>45401.972999999998</v>
      </c>
      <c r="I60" s="78"/>
      <c r="J60" s="239">
        <v>6</v>
      </c>
      <c r="K60" s="108">
        <v>1500</v>
      </c>
      <c r="L60" s="137">
        <v>250</v>
      </c>
      <c r="M60" s="110">
        <v>6</v>
      </c>
      <c r="N60" s="86">
        <f t="shared" si="38"/>
        <v>1391.6597938144328</v>
      </c>
      <c r="O60" s="90">
        <f t="shared" si="39"/>
        <v>231.94329896907212</v>
      </c>
      <c r="P60" s="235">
        <f t="shared" si="40"/>
        <v>0</v>
      </c>
      <c r="Q60" s="93">
        <f t="shared" si="41"/>
        <v>-18.056701030927883</v>
      </c>
      <c r="R60" s="95">
        <f t="shared" si="36"/>
        <v>0.92777319587628848</v>
      </c>
      <c r="S60" s="620"/>
      <c r="T60" s="236">
        <v>0.39027777777777778</v>
      </c>
      <c r="U60" s="236">
        <v>0.52500000000000002</v>
      </c>
      <c r="V60" s="208">
        <v>30</v>
      </c>
      <c r="W60" s="88">
        <f>(U60-T60)*24*60</f>
        <v>194.00000000000003</v>
      </c>
      <c r="X60" s="99">
        <v>0.37291666666666662</v>
      </c>
      <c r="Y60" s="99">
        <v>0.38750000000000001</v>
      </c>
      <c r="Z60" s="100"/>
      <c r="AA60" s="100"/>
      <c r="AB60" s="601"/>
      <c r="AC60" s="601"/>
      <c r="AD60" s="359">
        <v>1</v>
      </c>
      <c r="AE60" s="359"/>
      <c r="AF60" s="92">
        <f t="shared" si="6"/>
        <v>-108.34020618556724</v>
      </c>
      <c r="AG60" s="181">
        <f t="shared" si="7"/>
        <v>0.92777319587628848</v>
      </c>
      <c r="AH60" s="620"/>
    </row>
    <row r="61" spans="1:34" ht="19.350000000000001" customHeight="1">
      <c r="A61" s="635"/>
      <c r="B61" s="152" t="s">
        <v>390</v>
      </c>
      <c r="C61" s="237"/>
      <c r="D61" s="83" t="s">
        <v>149</v>
      </c>
      <c r="E61" s="84"/>
      <c r="F61" s="85">
        <v>10.09</v>
      </c>
      <c r="G61" s="200">
        <v>2699.8199999999997</v>
      </c>
      <c r="H61" s="87">
        <f t="shared" si="37"/>
        <v>27241.183799999995</v>
      </c>
      <c r="I61" s="78"/>
      <c r="J61" s="89">
        <v>6</v>
      </c>
      <c r="K61" s="86">
        <v>1500</v>
      </c>
      <c r="L61" s="137">
        <v>250</v>
      </c>
      <c r="M61" s="110">
        <v>6</v>
      </c>
      <c r="N61" s="86">
        <f t="shared" si="38"/>
        <v>1420.9578947368429</v>
      </c>
      <c r="O61" s="90">
        <f t="shared" si="39"/>
        <v>236.82631578947382</v>
      </c>
      <c r="P61" s="235">
        <f t="shared" si="40"/>
        <v>0</v>
      </c>
      <c r="Q61" s="93">
        <f t="shared" si="41"/>
        <v>-13.173684210526176</v>
      </c>
      <c r="R61" s="95">
        <f t="shared" si="36"/>
        <v>0.94730526315789532</v>
      </c>
      <c r="S61" s="620"/>
      <c r="T61" s="236">
        <v>0.54583333333333339</v>
      </c>
      <c r="U61" s="236">
        <v>0.625</v>
      </c>
      <c r="V61" s="208">
        <v>30</v>
      </c>
      <c r="W61" s="88">
        <f>(U61-T61)*24*60</f>
        <v>113.99999999999991</v>
      </c>
      <c r="X61" s="99">
        <v>0.52847222222222223</v>
      </c>
      <c r="Y61" s="99">
        <v>0.54305555555555551</v>
      </c>
      <c r="Z61" s="100"/>
      <c r="AA61" s="100"/>
      <c r="AB61" s="601"/>
      <c r="AC61" s="601"/>
      <c r="AD61" s="359"/>
      <c r="AE61" s="359"/>
      <c r="AF61" s="92">
        <f t="shared" si="6"/>
        <v>-79.042105263157055</v>
      </c>
      <c r="AG61" s="181">
        <f t="shared" si="7"/>
        <v>0.94730526315789532</v>
      </c>
      <c r="AH61" s="620"/>
    </row>
    <row r="62" spans="1:34" ht="19.350000000000001" customHeight="1">
      <c r="A62" s="635"/>
      <c r="B62" s="152">
        <v>0</v>
      </c>
      <c r="C62" s="237"/>
      <c r="D62" s="83"/>
      <c r="E62" s="84"/>
      <c r="F62" s="85" t="s">
        <v>391</v>
      </c>
      <c r="G62" s="200"/>
      <c r="H62" s="87">
        <f t="shared" si="37"/>
        <v>0</v>
      </c>
      <c r="I62" s="78"/>
      <c r="J62" s="239"/>
      <c r="K62" s="108"/>
      <c r="L62" s="137"/>
      <c r="M62" s="110"/>
      <c r="N62" s="86"/>
      <c r="O62" s="90"/>
      <c r="P62" s="235"/>
      <c r="Q62" s="93"/>
      <c r="R62" s="95"/>
      <c r="S62" s="620"/>
      <c r="T62" s="236"/>
      <c r="U62" s="236"/>
      <c r="V62" s="208"/>
      <c r="W62" s="88"/>
      <c r="X62" s="99"/>
      <c r="Y62" s="99"/>
      <c r="Z62" s="100"/>
      <c r="AA62" s="100"/>
      <c r="AB62" s="601"/>
      <c r="AC62" s="601"/>
      <c r="AD62" s="359"/>
      <c r="AE62" s="359"/>
      <c r="AF62" s="92">
        <f t="shared" si="6"/>
        <v>0</v>
      </c>
      <c r="AG62" s="181" t="e">
        <f t="shared" si="7"/>
        <v>#DIV/0!</v>
      </c>
      <c r="AH62" s="620"/>
    </row>
    <row r="63" spans="1:34" ht="19.350000000000001" customHeight="1">
      <c r="A63" s="635"/>
      <c r="B63" s="152">
        <v>0</v>
      </c>
      <c r="C63" s="237"/>
      <c r="D63" s="83"/>
      <c r="E63" s="84"/>
      <c r="F63" s="85" t="s">
        <v>391</v>
      </c>
      <c r="G63" s="200"/>
      <c r="H63" s="87">
        <f t="shared" si="37"/>
        <v>0</v>
      </c>
      <c r="I63" s="78"/>
      <c r="J63" s="89"/>
      <c r="K63" s="86"/>
      <c r="L63" s="137"/>
      <c r="M63" s="110"/>
      <c r="N63" s="86"/>
      <c r="O63" s="90"/>
      <c r="P63" s="235"/>
      <c r="Q63" s="93"/>
      <c r="R63" s="95"/>
      <c r="S63" s="620"/>
      <c r="T63" s="236"/>
      <c r="U63" s="236"/>
      <c r="V63" s="208"/>
      <c r="W63" s="88"/>
      <c r="X63" s="99"/>
      <c r="Y63" s="99"/>
      <c r="Z63" s="100"/>
      <c r="AA63" s="100"/>
      <c r="AB63" s="601"/>
      <c r="AC63" s="601"/>
      <c r="AD63" s="359"/>
      <c r="AE63" s="359"/>
      <c r="AF63" s="92">
        <f t="shared" si="6"/>
        <v>0</v>
      </c>
      <c r="AG63" s="181" t="e">
        <f t="shared" si="7"/>
        <v>#DIV/0!</v>
      </c>
      <c r="AH63" s="620"/>
    </row>
    <row r="64" spans="1:34" ht="19.350000000000001" customHeight="1">
      <c r="A64" s="635"/>
      <c r="B64" s="152">
        <v>0</v>
      </c>
      <c r="C64" s="237"/>
      <c r="D64" s="83"/>
      <c r="E64" s="84"/>
      <c r="F64" s="85" t="s">
        <v>391</v>
      </c>
      <c r="G64" s="200"/>
      <c r="H64" s="87">
        <f t="shared" si="37"/>
        <v>0</v>
      </c>
      <c r="I64" s="78"/>
      <c r="J64" s="239"/>
      <c r="K64" s="108"/>
      <c r="L64" s="137"/>
      <c r="M64" s="110"/>
      <c r="N64" s="86"/>
      <c r="O64" s="90"/>
      <c r="P64" s="235"/>
      <c r="Q64" s="93"/>
      <c r="R64" s="95"/>
      <c r="S64" s="620"/>
      <c r="T64" s="236"/>
      <c r="U64" s="236"/>
      <c r="V64" s="208"/>
      <c r="W64" s="88"/>
      <c r="X64" s="78"/>
      <c r="Y64" s="78"/>
      <c r="Z64" s="100"/>
      <c r="AA64" s="100"/>
      <c r="AB64" s="601"/>
      <c r="AC64" s="601"/>
      <c r="AD64" s="359"/>
      <c r="AE64" s="359"/>
      <c r="AF64" s="92">
        <f t="shared" si="6"/>
        <v>0</v>
      </c>
      <c r="AG64" s="181" t="e">
        <f t="shared" si="7"/>
        <v>#DIV/0!</v>
      </c>
      <c r="AH64" s="620"/>
    </row>
    <row r="65" spans="1:34" ht="19.350000000000001" customHeight="1">
      <c r="A65" s="635"/>
      <c r="B65" s="152">
        <v>0</v>
      </c>
      <c r="C65" s="237"/>
      <c r="D65" s="83"/>
      <c r="E65" s="84"/>
      <c r="F65" s="85" t="s">
        <v>391</v>
      </c>
      <c r="G65" s="200"/>
      <c r="H65" s="87">
        <f t="shared" si="37"/>
        <v>0</v>
      </c>
      <c r="I65" s="78"/>
      <c r="J65" s="239"/>
      <c r="K65" s="108"/>
      <c r="L65" s="137"/>
      <c r="M65" s="110"/>
      <c r="N65" s="108"/>
      <c r="O65" s="127"/>
      <c r="P65" s="92"/>
      <c r="Q65" s="93"/>
      <c r="R65" s="95"/>
      <c r="S65" s="620"/>
      <c r="T65" s="236"/>
      <c r="U65" s="236"/>
      <c r="V65" s="208"/>
      <c r="W65" s="88">
        <f t="shared" ref="W65:W69" si="42">(U65-T65)*24*60</f>
        <v>0</v>
      </c>
      <c r="X65" s="78"/>
      <c r="Y65" s="78"/>
      <c r="Z65" s="100"/>
      <c r="AA65" s="100"/>
      <c r="AB65" s="601"/>
      <c r="AC65" s="601"/>
      <c r="AD65" s="359"/>
      <c r="AE65" s="359"/>
      <c r="AF65" s="92">
        <f t="shared" si="6"/>
        <v>0</v>
      </c>
      <c r="AG65" s="181" t="e">
        <f t="shared" si="7"/>
        <v>#DIV/0!</v>
      </c>
      <c r="AH65" s="620"/>
    </row>
    <row r="66" spans="1:34" ht="19.350000000000001" customHeight="1">
      <c r="A66" s="635"/>
      <c r="B66" s="152">
        <v>0</v>
      </c>
      <c r="C66" s="237"/>
      <c r="D66" s="83"/>
      <c r="E66" s="84"/>
      <c r="F66" s="85" t="s">
        <v>391</v>
      </c>
      <c r="G66" s="200"/>
      <c r="H66" s="87">
        <f t="shared" si="37"/>
        <v>0</v>
      </c>
      <c r="I66" s="78"/>
      <c r="J66" s="239"/>
      <c r="K66" s="108"/>
      <c r="L66" s="137"/>
      <c r="M66" s="110"/>
      <c r="N66" s="108"/>
      <c r="O66" s="127"/>
      <c r="P66" s="92"/>
      <c r="Q66" s="93"/>
      <c r="R66" s="95"/>
      <c r="S66" s="620"/>
      <c r="T66" s="236"/>
      <c r="U66" s="236"/>
      <c r="V66" s="208"/>
      <c r="W66" s="88">
        <f t="shared" si="42"/>
        <v>0</v>
      </c>
      <c r="X66" s="78"/>
      <c r="Y66" s="78"/>
      <c r="Z66" s="100"/>
      <c r="AA66" s="100"/>
      <c r="AB66" s="601"/>
      <c r="AC66" s="601"/>
      <c r="AD66" s="359"/>
      <c r="AE66" s="359"/>
      <c r="AF66" s="92">
        <f t="shared" si="6"/>
        <v>0</v>
      </c>
      <c r="AG66" s="181" t="e">
        <f t="shared" si="7"/>
        <v>#DIV/0!</v>
      </c>
      <c r="AH66" s="620"/>
    </row>
    <row r="67" spans="1:34" ht="19.350000000000001" customHeight="1">
      <c r="A67" s="635"/>
      <c r="B67" s="152">
        <v>0</v>
      </c>
      <c r="C67" s="237"/>
      <c r="D67" s="83"/>
      <c r="E67" s="84"/>
      <c r="F67" s="85" t="s">
        <v>391</v>
      </c>
      <c r="G67" s="200"/>
      <c r="H67" s="87">
        <f>F67*G67</f>
        <v>0</v>
      </c>
      <c r="I67" s="78"/>
      <c r="J67" s="239"/>
      <c r="K67" s="108"/>
      <c r="L67" s="137"/>
      <c r="M67" s="110"/>
      <c r="N67" s="108"/>
      <c r="O67" s="127"/>
      <c r="P67" s="92"/>
      <c r="Q67" s="93"/>
      <c r="R67" s="95"/>
      <c r="S67" s="620"/>
      <c r="T67" s="236"/>
      <c r="U67" s="236"/>
      <c r="V67" s="208"/>
      <c r="W67" s="88">
        <f t="shared" si="42"/>
        <v>0</v>
      </c>
      <c r="X67" s="78"/>
      <c r="Y67" s="78"/>
      <c r="Z67" s="100"/>
      <c r="AA67" s="100"/>
      <c r="AB67" s="601"/>
      <c r="AC67" s="601"/>
      <c r="AD67" s="359"/>
      <c r="AE67" s="359"/>
      <c r="AF67" s="92">
        <f t="shared" si="6"/>
        <v>0</v>
      </c>
      <c r="AG67" s="181" t="e">
        <f t="shared" si="7"/>
        <v>#DIV/0!</v>
      </c>
      <c r="AH67" s="620"/>
    </row>
    <row r="68" spans="1:34" ht="19.350000000000001" customHeight="1">
      <c r="A68" s="635"/>
      <c r="B68" s="78">
        <v>0</v>
      </c>
      <c r="C68" s="237"/>
      <c r="D68" s="83"/>
      <c r="E68" s="84"/>
      <c r="F68" s="199" t="s">
        <v>391</v>
      </c>
      <c r="G68" s="200"/>
      <c r="H68" s="87">
        <f>F68*G68</f>
        <v>0</v>
      </c>
      <c r="I68" s="78"/>
      <c r="J68" s="239"/>
      <c r="K68" s="108"/>
      <c r="L68" s="137"/>
      <c r="M68" s="110"/>
      <c r="N68" s="108"/>
      <c r="O68" s="127"/>
      <c r="P68" s="92"/>
      <c r="Q68" s="93"/>
      <c r="R68" s="95"/>
      <c r="S68" s="620"/>
      <c r="T68" s="236"/>
      <c r="U68" s="236"/>
      <c r="V68" s="208"/>
      <c r="W68" s="88">
        <f t="shared" si="42"/>
        <v>0</v>
      </c>
      <c r="X68" s="78"/>
      <c r="Y68" s="78"/>
      <c r="Z68" s="100"/>
      <c r="AA68" s="100"/>
      <c r="AB68" s="601"/>
      <c r="AC68" s="601"/>
      <c r="AD68" s="359"/>
      <c r="AE68" s="359"/>
      <c r="AF68" s="92"/>
      <c r="AG68" s="95"/>
      <c r="AH68" s="620"/>
    </row>
    <row r="69" spans="1:34" ht="19.350000000000001" customHeight="1">
      <c r="A69" s="635"/>
      <c r="B69" s="240">
        <v>0</v>
      </c>
      <c r="C69" s="12" t="s">
        <v>155</v>
      </c>
      <c r="D69" s="602" t="s">
        <v>75</v>
      </c>
      <c r="E69" s="602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3">AVERAGE(M57:M68)</f>
        <v>6.6</v>
      </c>
      <c r="N69" s="120">
        <f t="shared" si="43"/>
        <v>1426.7417597866861</v>
      </c>
      <c r="O69" s="123">
        <f t="shared" si="43"/>
        <v>217.21366896262788</v>
      </c>
      <c r="P69" s="92">
        <f>M69-J69</f>
        <v>0.59999999999999964</v>
      </c>
      <c r="Q69" s="93">
        <f>N69-K69</f>
        <v>-73.258240213313911</v>
      </c>
      <c r="R69" s="245">
        <f t="shared" ref="R69:R70" si="44">O69/L69</f>
        <v>0.86885467585051146</v>
      </c>
      <c r="S69" s="620"/>
      <c r="T69" s="207"/>
      <c r="U69" s="207"/>
      <c r="V69" s="86"/>
      <c r="W69" s="88">
        <f t="shared" si="42"/>
        <v>0</v>
      </c>
      <c r="X69" s="90"/>
      <c r="Y69" s="90"/>
      <c r="Z69" s="163">
        <f>SUM(Z57:Z68)</f>
        <v>0</v>
      </c>
      <c r="AA69" s="163">
        <f>SUM(AA57:AA68)</f>
        <v>0</v>
      </c>
      <c r="AB69" s="601"/>
      <c r="AC69" s="601"/>
      <c r="AD69" s="164">
        <f>SUM(AD57:AD68)</f>
        <v>1</v>
      </c>
      <c r="AE69" s="164">
        <f>SUM(AE57:AE68)</f>
        <v>0</v>
      </c>
      <c r="AF69" s="92">
        <f t="shared" si="6"/>
        <v>-73.258240213313911</v>
      </c>
      <c r="AG69" s="95">
        <f t="shared" si="7"/>
        <v>0.95116117319112403</v>
      </c>
      <c r="AH69" s="620"/>
    </row>
    <row r="70" spans="1:34" ht="19.350000000000001" customHeight="1">
      <c r="A70" s="632" t="s">
        <v>156</v>
      </c>
      <c r="B70" s="78" t="s">
        <v>387</v>
      </c>
      <c r="C70" s="152"/>
      <c r="D70" s="83" t="s">
        <v>157</v>
      </c>
      <c r="E70" s="84"/>
      <c r="F70" s="85">
        <v>62.13</v>
      </c>
      <c r="G70" s="86">
        <v>488</v>
      </c>
      <c r="H70" s="87">
        <f>F70*G70</f>
        <v>30319.440000000002</v>
      </c>
      <c r="I70" s="78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4" si="45">G70/W70*60</f>
        <v>1126.1538461538469</v>
      </c>
      <c r="O70" s="90">
        <f t="shared" ref="O70:O74" si="46">N70/M70</f>
        <v>86.627218934911298</v>
      </c>
      <c r="P70" s="92">
        <f t="shared" ref="P70:P74" si="47">M70-J70</f>
        <v>-1</v>
      </c>
      <c r="Q70" s="93">
        <f t="shared" ref="Q70" si="48">O70-L70</f>
        <v>-20.515638207945841</v>
      </c>
      <c r="R70" s="95">
        <f t="shared" si="44"/>
        <v>0.80852071005917214</v>
      </c>
      <c r="S70" s="620">
        <f>R82</f>
        <v>0.87151815530108789</v>
      </c>
      <c r="T70" s="96">
        <v>0.29166666666666669</v>
      </c>
      <c r="U70" s="96">
        <v>0.30972222222222223</v>
      </c>
      <c r="V70" s="78">
        <v>5</v>
      </c>
      <c r="W70" s="88">
        <f>(U70-T70)*24*60</f>
        <v>25.999999999999986</v>
      </c>
      <c r="X70" s="78"/>
      <c r="Y70" s="78"/>
      <c r="Z70" s="100"/>
      <c r="AA70" s="100"/>
      <c r="AB70" s="601"/>
      <c r="AC70" s="601"/>
      <c r="AD70" s="359"/>
      <c r="AE70" s="359"/>
      <c r="AF70" s="92">
        <f t="shared" si="6"/>
        <v>-373.84615384615313</v>
      </c>
      <c r="AG70" s="95">
        <f t="shared" si="7"/>
        <v>0.7507692307692313</v>
      </c>
      <c r="AH70" s="620">
        <f>AG82</f>
        <v>0.86261278187507717</v>
      </c>
    </row>
    <row r="71" spans="1:34" ht="19.350000000000001" customHeight="1">
      <c r="A71" s="632"/>
      <c r="B71" s="78" t="s">
        <v>386</v>
      </c>
      <c r="C71" s="82"/>
      <c r="D71" s="246" t="s">
        <v>158</v>
      </c>
      <c r="E71" s="84"/>
      <c r="F71" s="85">
        <v>47.65</v>
      </c>
      <c r="G71" s="86">
        <v>2115.9</v>
      </c>
      <c r="H71" s="87">
        <f>F71*G71</f>
        <v>100822.63499999999</v>
      </c>
      <c r="I71" s="78"/>
      <c r="J71" s="89">
        <v>18</v>
      </c>
      <c r="K71" s="247">
        <v>1440</v>
      </c>
      <c r="L71" s="90">
        <v>80</v>
      </c>
      <c r="M71" s="189">
        <v>18</v>
      </c>
      <c r="N71" s="86">
        <f t="shared" si="45"/>
        <v>1282.3636363636367</v>
      </c>
      <c r="O71" s="90">
        <f t="shared" si="46"/>
        <v>71.242424242424264</v>
      </c>
      <c r="P71" s="92">
        <f t="shared" si="47"/>
        <v>0</v>
      </c>
      <c r="Q71" s="93">
        <f>O71-L71</f>
        <v>-8.7575757575757365</v>
      </c>
      <c r="R71" s="95">
        <f>O71/L71</f>
        <v>0.89053030303030334</v>
      </c>
      <c r="S71" s="620"/>
      <c r="T71" s="96">
        <v>0.31527777777777777</v>
      </c>
      <c r="U71" s="96">
        <v>0.38402777777777775</v>
      </c>
      <c r="V71" s="78">
        <v>8</v>
      </c>
      <c r="W71" s="88">
        <f t="shared" ref="W71:W81" si="49">(U71-T71)*24*60</f>
        <v>98.999999999999972</v>
      </c>
      <c r="X71" s="99"/>
      <c r="Y71" s="99"/>
      <c r="Z71" s="100"/>
      <c r="AA71" s="100"/>
      <c r="AB71" s="601"/>
      <c r="AC71" s="601"/>
      <c r="AD71" s="359"/>
      <c r="AE71" s="359"/>
      <c r="AF71" s="92">
        <f>N71-K71</f>
        <v>-157.63636363636328</v>
      </c>
      <c r="AG71" s="95">
        <f>N71/K71</f>
        <v>0.89053030303030323</v>
      </c>
      <c r="AH71" s="620"/>
    </row>
    <row r="72" spans="1:34" ht="19.350000000000001" customHeight="1">
      <c r="A72" s="632"/>
      <c r="B72" s="78" t="s">
        <v>386</v>
      </c>
      <c r="C72" s="115"/>
      <c r="D72" s="246" t="s">
        <v>160</v>
      </c>
      <c r="E72" s="84"/>
      <c r="F72" s="85">
        <v>53.76</v>
      </c>
      <c r="G72" s="104">
        <v>2737</v>
      </c>
      <c r="H72" s="87">
        <f t="shared" ref="H72:H80" si="50">F72*G72</f>
        <v>147141.12</v>
      </c>
      <c r="I72" s="78"/>
      <c r="J72" s="138">
        <v>16</v>
      </c>
      <c r="K72" s="104">
        <v>1440</v>
      </c>
      <c r="L72" s="137">
        <v>90</v>
      </c>
      <c r="M72" s="91">
        <v>16</v>
      </c>
      <c r="N72" s="86">
        <f t="shared" si="45"/>
        <v>1303.3333333333337</v>
      </c>
      <c r="O72" s="90">
        <f t="shared" si="46"/>
        <v>81.458333333333357</v>
      </c>
      <c r="P72" s="92">
        <f t="shared" si="47"/>
        <v>0</v>
      </c>
      <c r="Q72" s="93">
        <f>O72-L72</f>
        <v>-8.541666666666643</v>
      </c>
      <c r="R72" s="95">
        <f>O72/L72</f>
        <v>0.90509259259259289</v>
      </c>
      <c r="S72" s="620"/>
      <c r="T72" s="96">
        <v>0.39930555555555552</v>
      </c>
      <c r="U72" s="96">
        <v>0.48680555555555549</v>
      </c>
      <c r="V72" s="78">
        <v>22</v>
      </c>
      <c r="W72" s="88">
        <f t="shared" si="49"/>
        <v>125.99999999999996</v>
      </c>
      <c r="X72" s="99">
        <v>0.38611111111111113</v>
      </c>
      <c r="Y72" s="99">
        <v>0.39583333333333331</v>
      </c>
      <c r="Z72" s="100"/>
      <c r="AA72" s="100"/>
      <c r="AB72" s="601"/>
      <c r="AC72" s="601"/>
      <c r="AD72" s="359"/>
      <c r="AE72" s="359"/>
      <c r="AF72" s="92">
        <f>N72-K72</f>
        <v>-136.66666666666629</v>
      </c>
      <c r="AG72" s="95">
        <f>N72/K72</f>
        <v>0.90509259259259289</v>
      </c>
      <c r="AH72" s="620"/>
    </row>
    <row r="73" spans="1:34" ht="19.350000000000001" customHeight="1">
      <c r="A73" s="632"/>
      <c r="B73" s="78" t="s">
        <v>390</v>
      </c>
      <c r="C73" s="248"/>
      <c r="D73" s="249" t="s">
        <v>177</v>
      </c>
      <c r="E73" s="250"/>
      <c r="F73" s="85">
        <v>56.43</v>
      </c>
      <c r="G73" s="104">
        <v>991</v>
      </c>
      <c r="H73" s="87">
        <f t="shared" si="50"/>
        <v>55922.13</v>
      </c>
      <c r="I73" s="359"/>
      <c r="J73" s="251">
        <v>18</v>
      </c>
      <c r="K73" s="252">
        <v>1500</v>
      </c>
      <c r="L73" s="137">
        <v>83.333333333333329</v>
      </c>
      <c r="M73" s="189">
        <v>18</v>
      </c>
      <c r="N73" s="86">
        <f t="shared" si="45"/>
        <v>1351.3636363636365</v>
      </c>
      <c r="O73" s="90">
        <f t="shared" si="46"/>
        <v>75.075757575757578</v>
      </c>
      <c r="P73" s="92">
        <f t="shared" si="47"/>
        <v>0</v>
      </c>
      <c r="Q73" s="93">
        <f>O73-L73</f>
        <v>-8.2575757575757507</v>
      </c>
      <c r="R73" s="95">
        <f>O73/L73</f>
        <v>0.90090909090909099</v>
      </c>
      <c r="S73" s="620"/>
      <c r="T73" s="96">
        <v>0.5263888888888888</v>
      </c>
      <c r="U73" s="96">
        <v>0.55694444444444435</v>
      </c>
      <c r="V73" s="78">
        <v>5</v>
      </c>
      <c r="W73" s="88">
        <f t="shared" si="49"/>
        <v>44</v>
      </c>
      <c r="X73" s="253"/>
      <c r="Y73" s="253"/>
      <c r="Z73" s="185"/>
      <c r="AA73" s="185"/>
      <c r="AB73" s="601"/>
      <c r="AC73" s="601"/>
      <c r="AD73" s="359"/>
      <c r="AE73" s="359"/>
      <c r="AF73" s="92">
        <f>N73-K73</f>
        <v>-148.63636363636351</v>
      </c>
      <c r="AG73" s="95">
        <f>N73/K73</f>
        <v>0.90090909090909099</v>
      </c>
      <c r="AH73" s="620"/>
    </row>
    <row r="74" spans="1:34" ht="19.350000000000001" customHeight="1">
      <c r="A74" s="632"/>
      <c r="B74" s="78" t="s">
        <v>386</v>
      </c>
      <c r="C74" s="248"/>
      <c r="D74" s="249" t="s">
        <v>161</v>
      </c>
      <c r="E74" s="250"/>
      <c r="F74" s="85">
        <v>47.51</v>
      </c>
      <c r="G74" s="247">
        <v>2252</v>
      </c>
      <c r="H74" s="87">
        <f t="shared" si="50"/>
        <v>106992.51999999999</v>
      </c>
      <c r="I74" s="78"/>
      <c r="J74" s="89">
        <v>16</v>
      </c>
      <c r="K74" s="247">
        <v>1440</v>
      </c>
      <c r="L74" s="90">
        <v>90</v>
      </c>
      <c r="M74" s="91">
        <v>16</v>
      </c>
      <c r="N74" s="86">
        <f t="shared" si="45"/>
        <v>1251.1111111111118</v>
      </c>
      <c r="O74" s="90">
        <f t="shared" si="46"/>
        <v>78.194444444444485</v>
      </c>
      <c r="P74" s="92">
        <f t="shared" si="47"/>
        <v>0</v>
      </c>
      <c r="Q74" s="93">
        <f>O74-L74</f>
        <v>-11.805555555555515</v>
      </c>
      <c r="R74" s="95">
        <f>O74/L74</f>
        <v>0.86882716049382758</v>
      </c>
      <c r="S74" s="620"/>
      <c r="T74" s="96">
        <v>0.56180555555555545</v>
      </c>
      <c r="U74" s="96">
        <v>0.6368055555555554</v>
      </c>
      <c r="V74" s="78">
        <v>7</v>
      </c>
      <c r="W74" s="88">
        <f t="shared" si="49"/>
        <v>107.99999999999994</v>
      </c>
      <c r="X74" s="253"/>
      <c r="Y74" s="253"/>
      <c r="Z74" s="185"/>
      <c r="AA74" s="185"/>
      <c r="AB74" s="601"/>
      <c r="AC74" s="601"/>
      <c r="AD74" s="359"/>
      <c r="AE74" s="359"/>
      <c r="AF74" s="92">
        <f>N74-K74</f>
        <v>-188.88888888888823</v>
      </c>
      <c r="AG74" s="95">
        <f>N74/K74</f>
        <v>0.86882716049382758</v>
      </c>
      <c r="AH74" s="620"/>
    </row>
    <row r="75" spans="1:34" ht="19.350000000000001" customHeight="1">
      <c r="A75" s="632"/>
      <c r="B75" s="78">
        <v>0</v>
      </c>
      <c r="C75" s="115"/>
      <c r="D75" s="246"/>
      <c r="E75" s="84"/>
      <c r="F75" s="85" t="s">
        <v>391</v>
      </c>
      <c r="G75" s="104"/>
      <c r="H75" s="87">
        <f t="shared" si="50"/>
        <v>0</v>
      </c>
      <c r="I75" s="78"/>
      <c r="J75" s="138"/>
      <c r="K75" s="104"/>
      <c r="L75" s="137"/>
      <c r="M75" s="91"/>
      <c r="N75" s="86"/>
      <c r="O75" s="90"/>
      <c r="P75" s="92"/>
      <c r="Q75" s="93"/>
      <c r="R75" s="95"/>
      <c r="S75" s="620"/>
      <c r="T75" s="96"/>
      <c r="U75" s="96"/>
      <c r="V75" s="78"/>
      <c r="W75" s="88"/>
      <c r="X75" s="253"/>
      <c r="Y75" s="253"/>
      <c r="Z75" s="185"/>
      <c r="AA75" s="185"/>
      <c r="AB75" s="601"/>
      <c r="AC75" s="601"/>
      <c r="AD75" s="359"/>
      <c r="AE75" s="359"/>
      <c r="AF75" s="92">
        <f>N75-K75</f>
        <v>0</v>
      </c>
      <c r="AG75" s="95" t="e">
        <f>N75/K75</f>
        <v>#DIV/0!</v>
      </c>
      <c r="AH75" s="620"/>
    </row>
    <row r="76" spans="1:34" ht="19.350000000000001" customHeight="1">
      <c r="A76" s="632"/>
      <c r="B76" s="78">
        <v>0</v>
      </c>
      <c r="C76" s="248"/>
      <c r="D76" s="249"/>
      <c r="E76" s="250"/>
      <c r="F76" s="85" t="s">
        <v>391</v>
      </c>
      <c r="G76" s="247"/>
      <c r="H76" s="87">
        <f t="shared" si="50"/>
        <v>0</v>
      </c>
      <c r="I76" s="78"/>
      <c r="J76" s="251"/>
      <c r="K76" s="252"/>
      <c r="L76" s="137"/>
      <c r="M76" s="189"/>
      <c r="N76" s="86"/>
      <c r="O76" s="90"/>
      <c r="P76" s="92"/>
      <c r="Q76" s="93"/>
      <c r="R76" s="95"/>
      <c r="S76" s="620"/>
      <c r="T76" s="96"/>
      <c r="U76" s="96"/>
      <c r="V76" s="78"/>
      <c r="W76" s="88"/>
      <c r="X76" s="253"/>
      <c r="Y76" s="253"/>
      <c r="Z76" s="185"/>
      <c r="AA76" s="185"/>
      <c r="AB76" s="601"/>
      <c r="AC76" s="601"/>
      <c r="AD76" s="359"/>
      <c r="AE76" s="359"/>
      <c r="AF76" s="92">
        <f t="shared" ref="AF76:AF80" si="51">N76-K76</f>
        <v>0</v>
      </c>
      <c r="AG76" s="95" t="e">
        <f t="shared" ref="AG76:AG80" si="52">N76/K76</f>
        <v>#DIV/0!</v>
      </c>
      <c r="AH76" s="620"/>
    </row>
    <row r="77" spans="1:34" ht="19.350000000000001" customHeight="1">
      <c r="A77" s="632"/>
      <c r="B77" s="78">
        <v>0</v>
      </c>
      <c r="C77" s="237"/>
      <c r="D77" s="249"/>
      <c r="E77" s="84"/>
      <c r="F77" s="85" t="s">
        <v>391</v>
      </c>
      <c r="G77" s="247"/>
      <c r="H77" s="87">
        <f t="shared" si="50"/>
        <v>0</v>
      </c>
      <c r="I77" s="359"/>
      <c r="J77" s="89"/>
      <c r="K77" s="247"/>
      <c r="L77" s="90"/>
      <c r="M77" s="189"/>
      <c r="N77" s="86"/>
      <c r="O77" s="90"/>
      <c r="P77" s="92"/>
      <c r="Q77" s="93"/>
      <c r="R77" s="95"/>
      <c r="S77" s="620"/>
      <c r="T77" s="96"/>
      <c r="U77" s="96"/>
      <c r="V77" s="78"/>
      <c r="W77" s="88"/>
      <c r="X77" s="253"/>
      <c r="Y77" s="253"/>
      <c r="Z77" s="185"/>
      <c r="AA77" s="185"/>
      <c r="AB77" s="601"/>
      <c r="AC77" s="601"/>
      <c r="AD77" s="359"/>
      <c r="AE77" s="359"/>
      <c r="AF77" s="92">
        <f t="shared" si="51"/>
        <v>0</v>
      </c>
      <c r="AG77" s="95" t="e">
        <f t="shared" si="52"/>
        <v>#DIV/0!</v>
      </c>
      <c r="AH77" s="620"/>
    </row>
    <row r="78" spans="1:34" ht="19.350000000000001" customHeight="1">
      <c r="A78" s="632"/>
      <c r="B78" s="78">
        <v>0</v>
      </c>
      <c r="C78" s="237"/>
      <c r="D78" s="83"/>
      <c r="E78" s="84"/>
      <c r="F78" s="85" t="s">
        <v>391</v>
      </c>
      <c r="G78" s="104"/>
      <c r="H78" s="87">
        <f t="shared" si="50"/>
        <v>0</v>
      </c>
      <c r="I78" s="359"/>
      <c r="J78" s="138"/>
      <c r="K78" s="104"/>
      <c r="L78" s="137"/>
      <c r="M78" s="189"/>
      <c r="N78" s="86"/>
      <c r="O78" s="90"/>
      <c r="P78" s="92"/>
      <c r="Q78" s="93"/>
      <c r="R78" s="95"/>
      <c r="S78" s="620"/>
      <c r="T78" s="96"/>
      <c r="U78" s="96"/>
      <c r="V78" s="78"/>
      <c r="W78" s="88"/>
      <c r="X78" s="253"/>
      <c r="Y78" s="253"/>
      <c r="Z78" s="185"/>
      <c r="AA78" s="185"/>
      <c r="AB78" s="601"/>
      <c r="AC78" s="601"/>
      <c r="AD78" s="359"/>
      <c r="AE78" s="359"/>
      <c r="AF78" s="92">
        <f t="shared" si="51"/>
        <v>0</v>
      </c>
      <c r="AG78" s="95" t="e">
        <f t="shared" si="52"/>
        <v>#DIV/0!</v>
      </c>
      <c r="AH78" s="620"/>
    </row>
    <row r="79" spans="1:34" ht="19.350000000000001" customHeight="1">
      <c r="A79" s="632"/>
      <c r="B79" s="78">
        <v>0</v>
      </c>
      <c r="C79" s="248"/>
      <c r="D79" s="249"/>
      <c r="E79" s="250"/>
      <c r="F79" s="85" t="s">
        <v>391</v>
      </c>
      <c r="G79" s="104"/>
      <c r="H79" s="87">
        <f t="shared" si="50"/>
        <v>0</v>
      </c>
      <c r="I79" s="359"/>
      <c r="J79" s="138"/>
      <c r="K79" s="104"/>
      <c r="L79" s="137"/>
      <c r="M79" s="189"/>
      <c r="N79" s="104"/>
      <c r="O79" s="254"/>
      <c r="P79" s="165"/>
      <c r="Q79" s="255"/>
      <c r="R79" s="166"/>
      <c r="S79" s="620"/>
      <c r="T79" s="96"/>
      <c r="U79" s="96"/>
      <c r="V79" s="78"/>
      <c r="W79" s="88">
        <f t="shared" si="49"/>
        <v>0</v>
      </c>
      <c r="X79" s="253"/>
      <c r="Y79" s="253"/>
      <c r="Z79" s="185"/>
      <c r="AA79" s="185"/>
      <c r="AB79" s="601"/>
      <c r="AC79" s="601"/>
      <c r="AD79" s="359"/>
      <c r="AE79" s="359"/>
      <c r="AF79" s="92">
        <f t="shared" si="51"/>
        <v>0</v>
      </c>
      <c r="AG79" s="95" t="e">
        <f t="shared" si="52"/>
        <v>#DIV/0!</v>
      </c>
      <c r="AH79" s="620"/>
    </row>
    <row r="80" spans="1:34" ht="19.350000000000001" customHeight="1">
      <c r="A80" s="632"/>
      <c r="B80" s="78">
        <v>0</v>
      </c>
      <c r="C80" s="237"/>
      <c r="D80" s="83"/>
      <c r="E80" s="84"/>
      <c r="F80" s="85"/>
      <c r="G80" s="104"/>
      <c r="H80" s="87">
        <f t="shared" si="50"/>
        <v>0</v>
      </c>
      <c r="I80" s="359"/>
      <c r="J80" s="138"/>
      <c r="K80" s="104"/>
      <c r="L80" s="137"/>
      <c r="M80" s="189"/>
      <c r="N80" s="104"/>
      <c r="O80" s="256"/>
      <c r="P80" s="100"/>
      <c r="Q80" s="139"/>
      <c r="R80" s="321"/>
      <c r="S80" s="620"/>
      <c r="T80" s="96"/>
      <c r="U80" s="96"/>
      <c r="V80" s="78"/>
      <c r="W80" s="88">
        <f t="shared" si="49"/>
        <v>0</v>
      </c>
      <c r="X80" s="253"/>
      <c r="Y80" s="253"/>
      <c r="Z80" s="185"/>
      <c r="AA80" s="185"/>
      <c r="AB80" s="601"/>
      <c r="AC80" s="601"/>
      <c r="AD80" s="359"/>
      <c r="AE80" s="359"/>
      <c r="AF80" s="92">
        <f t="shared" si="51"/>
        <v>0</v>
      </c>
      <c r="AG80" s="95" t="e">
        <f t="shared" si="52"/>
        <v>#DIV/0!</v>
      </c>
      <c r="AH80" s="620"/>
    </row>
    <row r="81" spans="1:34" ht="19.350000000000001" customHeight="1">
      <c r="A81" s="632"/>
      <c r="B81" s="78">
        <v>0</v>
      </c>
      <c r="C81" s="237"/>
      <c r="D81" s="83"/>
      <c r="E81" s="84"/>
      <c r="F81" s="199"/>
      <c r="G81" s="104"/>
      <c r="H81" s="135"/>
      <c r="I81" s="359"/>
      <c r="J81" s="138"/>
      <c r="K81" s="104"/>
      <c r="L81" s="137"/>
      <c r="M81" s="189"/>
      <c r="N81" s="104"/>
      <c r="O81" s="256"/>
      <c r="P81" s="100"/>
      <c r="Q81" s="139"/>
      <c r="R81" s="321"/>
      <c r="S81" s="620"/>
      <c r="T81" s="96"/>
      <c r="U81" s="96"/>
      <c r="V81" s="78"/>
      <c r="W81" s="88">
        <f t="shared" si="49"/>
        <v>0</v>
      </c>
      <c r="X81" s="253"/>
      <c r="Y81" s="253"/>
      <c r="Z81" s="185"/>
      <c r="AA81" s="185"/>
      <c r="AB81" s="601"/>
      <c r="AC81" s="601"/>
      <c r="AD81" s="359"/>
      <c r="AE81" s="359"/>
      <c r="AF81" s="92"/>
      <c r="AG81" s="186"/>
      <c r="AH81" s="620"/>
    </row>
    <row r="82" spans="1:34" ht="19.350000000000001" customHeight="1">
      <c r="A82" s="633"/>
      <c r="B82" s="240">
        <v>0</v>
      </c>
      <c r="C82" s="156" t="s">
        <v>32</v>
      </c>
      <c r="D82" s="602" t="s">
        <v>75</v>
      </c>
      <c r="E82" s="602"/>
      <c r="F82" s="258"/>
      <c r="G82" s="158"/>
      <c r="H82" s="159"/>
      <c r="I82" s="160"/>
      <c r="J82" s="158">
        <v>16.399999999999999</v>
      </c>
      <c r="K82" s="158">
        <v>1464</v>
      </c>
      <c r="L82" s="161">
        <v>90.095238095238088</v>
      </c>
      <c r="M82" s="158">
        <f t="shared" ref="M82:O82" si="53">AVERAGE(M70:M81)</f>
        <v>16.2</v>
      </c>
      <c r="N82" s="158">
        <f t="shared" si="53"/>
        <v>1262.865112665113</v>
      </c>
      <c r="O82" s="259">
        <f t="shared" si="53"/>
        <v>78.519635706174199</v>
      </c>
      <c r="P82" s="175">
        <f>M82-J82</f>
        <v>-0.19999999999999929</v>
      </c>
      <c r="Q82" s="176">
        <f>N82-K82</f>
        <v>-201.13488733488703</v>
      </c>
      <c r="R82" s="245">
        <f>O82/L82</f>
        <v>0.87151815530108789</v>
      </c>
      <c r="S82" s="620"/>
      <c r="T82" s="96"/>
      <c r="U82" s="96"/>
      <c r="V82" s="78"/>
      <c r="W82" s="86"/>
      <c r="X82" s="90"/>
      <c r="Y82" s="90"/>
      <c r="Z82" s="163">
        <f>SUM(Z70:Z81)</f>
        <v>0</v>
      </c>
      <c r="AA82" s="163">
        <f>SUM(AA70:AA81)</f>
        <v>0</v>
      </c>
      <c r="AB82" s="601"/>
      <c r="AC82" s="601"/>
      <c r="AD82" s="164">
        <f>SUM(AD70:AD81)</f>
        <v>0</v>
      </c>
      <c r="AE82" s="164">
        <f>SUM(AE70:AE81)</f>
        <v>0</v>
      </c>
      <c r="AF82" s="92">
        <f>N82-K82</f>
        <v>-201.13488733488703</v>
      </c>
      <c r="AG82" s="95">
        <f>N82/K82</f>
        <v>0.86261278187507717</v>
      </c>
      <c r="AH82" s="620"/>
    </row>
    <row r="83" spans="1:34" ht="19.350000000000001" customHeight="1">
      <c r="A83" s="630" t="s">
        <v>162</v>
      </c>
      <c r="B83" s="167" t="s">
        <v>388</v>
      </c>
      <c r="C83" s="115"/>
      <c r="D83" s="260" t="s">
        <v>145</v>
      </c>
      <c r="E83" s="84"/>
      <c r="F83" s="199">
        <v>29.113149847094796</v>
      </c>
      <c r="G83" s="104">
        <v>2733</v>
      </c>
      <c r="H83" s="135">
        <f t="shared" ref="H83:H94" si="54">F83*G83</f>
        <v>79566.238532110074</v>
      </c>
      <c r="I83" s="359"/>
      <c r="J83" s="138">
        <v>19</v>
      </c>
      <c r="K83" s="104">
        <v>1500</v>
      </c>
      <c r="L83" s="137">
        <v>78.94736842105263</v>
      </c>
      <c r="M83" s="189">
        <v>18</v>
      </c>
      <c r="N83" s="104">
        <f t="shared" ref="N83:N85" si="55">G83/W83*60</f>
        <v>1333.1707317073174</v>
      </c>
      <c r="O83" s="256">
        <f t="shared" ref="O83:O85" si="56">N83/M83</f>
        <v>74.065040650406516</v>
      </c>
      <c r="P83" s="100">
        <f t="shared" ref="P83:P85" si="57">M83-J83</f>
        <v>-1</v>
      </c>
      <c r="Q83" s="139">
        <f t="shared" ref="Q83:Q85" si="58">O83-L83</f>
        <v>-4.8823277706461141</v>
      </c>
      <c r="R83" s="261">
        <f t="shared" ref="R83:R85" si="59">O83/L83</f>
        <v>0.93815718157181593</v>
      </c>
      <c r="S83" s="620">
        <f>R95</f>
        <v>0.81700527707120529</v>
      </c>
      <c r="T83" s="96">
        <v>0.33333333333333331</v>
      </c>
      <c r="U83" s="96">
        <v>0.41874999999999996</v>
      </c>
      <c r="V83" s="78">
        <v>5</v>
      </c>
      <c r="W83" s="88">
        <f t="shared" ref="W83:W93" si="60">(U83-T83)*24*60</f>
        <v>122.99999999999996</v>
      </c>
      <c r="X83" s="99"/>
      <c r="Y83" s="99"/>
      <c r="Z83" s="100"/>
      <c r="AA83" s="100"/>
      <c r="AB83" s="601"/>
      <c r="AC83" s="601"/>
      <c r="AD83" s="359"/>
      <c r="AE83" s="359"/>
      <c r="AF83" s="92">
        <f t="shared" ref="AF83:AF173" si="61">N83-K83</f>
        <v>-166.82926829268263</v>
      </c>
      <c r="AG83" s="95">
        <f t="shared" ref="AG83:AG173" si="62">N83/K83</f>
        <v>0.88878048780487828</v>
      </c>
      <c r="AH83" s="620">
        <f>AG95</f>
        <v>0.81136727238286543</v>
      </c>
    </row>
    <row r="84" spans="1:34" ht="19.350000000000001" customHeight="1">
      <c r="A84" s="631"/>
      <c r="B84" s="167" t="s">
        <v>388</v>
      </c>
      <c r="C84" s="237"/>
      <c r="D84" s="262" t="s">
        <v>163</v>
      </c>
      <c r="E84" s="84"/>
      <c r="F84" s="199">
        <v>57.73</v>
      </c>
      <c r="G84" s="86">
        <v>470</v>
      </c>
      <c r="H84" s="135">
        <f t="shared" si="54"/>
        <v>27133.1</v>
      </c>
      <c r="I84" s="78"/>
      <c r="J84" s="138">
        <v>20</v>
      </c>
      <c r="K84" s="104">
        <v>1385</v>
      </c>
      <c r="L84" s="137">
        <v>69.25</v>
      </c>
      <c r="M84" s="189">
        <v>20</v>
      </c>
      <c r="N84" s="104">
        <f t="shared" si="55"/>
        <v>1044.4444444444418</v>
      </c>
      <c r="O84" s="256">
        <f t="shared" si="56"/>
        <v>52.222222222222094</v>
      </c>
      <c r="P84" s="100">
        <f t="shared" si="57"/>
        <v>0</v>
      </c>
      <c r="Q84" s="139">
        <f t="shared" si="58"/>
        <v>-17.027777777777906</v>
      </c>
      <c r="R84" s="261">
        <f t="shared" si="59"/>
        <v>0.7541115122342541</v>
      </c>
      <c r="S84" s="620"/>
      <c r="T84" s="96">
        <v>0.43402777777777773</v>
      </c>
      <c r="U84" s="96">
        <v>0.45277777777777778</v>
      </c>
      <c r="V84" s="78">
        <v>22</v>
      </c>
      <c r="W84" s="88">
        <f t="shared" si="60"/>
        <v>27.000000000000064</v>
      </c>
      <c r="X84" s="99">
        <v>0.42222222222222222</v>
      </c>
      <c r="Y84" s="99">
        <v>0.43124999999999997</v>
      </c>
      <c r="Z84" s="100"/>
      <c r="AA84" s="100"/>
      <c r="AB84" s="601"/>
      <c r="AC84" s="601"/>
      <c r="AD84" s="359"/>
      <c r="AE84" s="359"/>
      <c r="AF84" s="92">
        <f t="shared" si="61"/>
        <v>-340.55555555555816</v>
      </c>
      <c r="AG84" s="95">
        <f t="shared" si="62"/>
        <v>0.75411151223425399</v>
      </c>
      <c r="AH84" s="620"/>
    </row>
    <row r="85" spans="1:34" ht="19.350000000000001" customHeight="1">
      <c r="A85" s="631"/>
      <c r="B85" s="167" t="s">
        <v>387</v>
      </c>
      <c r="C85" s="183"/>
      <c r="D85" s="262" t="s">
        <v>164</v>
      </c>
      <c r="E85" s="84"/>
      <c r="F85" s="199">
        <v>56.43</v>
      </c>
      <c r="G85" s="86">
        <v>942</v>
      </c>
      <c r="H85" s="135">
        <f t="shared" si="54"/>
        <v>53157.06</v>
      </c>
      <c r="I85" s="78"/>
      <c r="J85" s="138">
        <v>19</v>
      </c>
      <c r="K85" s="104">
        <v>1385</v>
      </c>
      <c r="L85" s="137">
        <v>72.89473684210526</v>
      </c>
      <c r="M85" s="189">
        <v>20</v>
      </c>
      <c r="N85" s="104">
        <f t="shared" si="55"/>
        <v>1086.9230769230758</v>
      </c>
      <c r="O85" s="256">
        <f t="shared" si="56"/>
        <v>54.34615384615379</v>
      </c>
      <c r="P85" s="100">
        <f t="shared" si="57"/>
        <v>1</v>
      </c>
      <c r="Q85" s="139">
        <f t="shared" si="58"/>
        <v>-18.54858299595147</v>
      </c>
      <c r="R85" s="261">
        <f t="shared" si="59"/>
        <v>0.74554290474868024</v>
      </c>
      <c r="S85" s="620"/>
      <c r="T85" s="96">
        <v>0.45833333333333331</v>
      </c>
      <c r="U85" s="96">
        <v>0.49444444444444446</v>
      </c>
      <c r="V85" s="78">
        <v>8</v>
      </c>
      <c r="W85" s="88">
        <f t="shared" si="60"/>
        <v>52.000000000000057</v>
      </c>
      <c r="X85" s="99"/>
      <c r="Y85" s="99"/>
      <c r="Z85" s="100"/>
      <c r="AA85" s="100"/>
      <c r="AB85" s="601"/>
      <c r="AC85" s="601"/>
      <c r="AD85" s="359">
        <v>1</v>
      </c>
      <c r="AE85" s="359"/>
      <c r="AF85" s="92">
        <f t="shared" si="61"/>
        <v>-298.07692307692423</v>
      </c>
      <c r="AG85" s="95">
        <f t="shared" si="62"/>
        <v>0.78478200499861062</v>
      </c>
      <c r="AH85" s="620"/>
    </row>
    <row r="86" spans="1:34" ht="19.350000000000001" customHeight="1">
      <c r="A86" s="631"/>
      <c r="B86" s="167">
        <v>0</v>
      </c>
      <c r="C86" s="152"/>
      <c r="D86" s="262"/>
      <c r="E86" s="84"/>
      <c r="F86" s="199" t="s">
        <v>391</v>
      </c>
      <c r="G86" s="86"/>
      <c r="H86" s="135">
        <f t="shared" si="54"/>
        <v>0</v>
      </c>
      <c r="I86" s="78"/>
      <c r="J86" s="138"/>
      <c r="K86" s="104"/>
      <c r="L86" s="137"/>
      <c r="M86" s="189"/>
      <c r="N86" s="104"/>
      <c r="O86" s="256"/>
      <c r="P86" s="100"/>
      <c r="Q86" s="139"/>
      <c r="R86" s="261"/>
      <c r="S86" s="620"/>
      <c r="T86" s="96"/>
      <c r="U86" s="96"/>
      <c r="V86" s="78"/>
      <c r="W86" s="88"/>
      <c r="X86" s="99"/>
      <c r="Y86" s="99"/>
      <c r="Z86" s="100"/>
      <c r="AA86" s="100"/>
      <c r="AB86" s="601"/>
      <c r="AC86" s="601"/>
      <c r="AD86" s="359"/>
      <c r="AE86" s="359"/>
      <c r="AF86" s="92">
        <f t="shared" si="61"/>
        <v>0</v>
      </c>
      <c r="AG86" s="95" t="e">
        <f t="shared" si="62"/>
        <v>#DIV/0!</v>
      </c>
      <c r="AH86" s="620"/>
    </row>
    <row r="87" spans="1:34" ht="19.350000000000001" customHeight="1">
      <c r="A87" s="631"/>
      <c r="B87" s="167">
        <v>0</v>
      </c>
      <c r="C87" s="152"/>
      <c r="D87" s="262"/>
      <c r="E87" s="84"/>
      <c r="F87" s="199" t="s">
        <v>391</v>
      </c>
      <c r="G87" s="86"/>
      <c r="H87" s="135">
        <f t="shared" si="54"/>
        <v>0</v>
      </c>
      <c r="I87" s="78"/>
      <c r="J87" s="138"/>
      <c r="K87" s="104"/>
      <c r="L87" s="137"/>
      <c r="M87" s="189"/>
      <c r="N87" s="104"/>
      <c r="O87" s="256"/>
      <c r="P87" s="100"/>
      <c r="Q87" s="139"/>
      <c r="R87" s="261"/>
      <c r="S87" s="620"/>
      <c r="T87" s="96"/>
      <c r="U87" s="96"/>
      <c r="V87" s="78"/>
      <c r="W87" s="88"/>
      <c r="X87" s="99"/>
      <c r="Y87" s="99"/>
      <c r="Z87" s="100"/>
      <c r="AA87" s="100"/>
      <c r="AB87" s="601"/>
      <c r="AC87" s="601"/>
      <c r="AD87" s="359"/>
      <c r="AE87" s="359"/>
      <c r="AF87" s="92">
        <f t="shared" si="61"/>
        <v>0</v>
      </c>
      <c r="AG87" s="95" t="e">
        <f t="shared" si="62"/>
        <v>#DIV/0!</v>
      </c>
      <c r="AH87" s="620"/>
    </row>
    <row r="88" spans="1:34" ht="19.350000000000001" customHeight="1">
      <c r="A88" s="631"/>
      <c r="B88" s="167">
        <v>0</v>
      </c>
      <c r="C88" s="237"/>
      <c r="D88" s="262"/>
      <c r="E88" s="84"/>
      <c r="F88" s="199" t="s">
        <v>391</v>
      </c>
      <c r="G88" s="104"/>
      <c r="H88" s="135">
        <f t="shared" si="54"/>
        <v>0</v>
      </c>
      <c r="I88" s="78"/>
      <c r="J88" s="138"/>
      <c r="K88" s="104"/>
      <c r="L88" s="137"/>
      <c r="M88" s="189"/>
      <c r="N88" s="104"/>
      <c r="O88" s="256"/>
      <c r="P88" s="100"/>
      <c r="Q88" s="139"/>
      <c r="R88" s="261"/>
      <c r="S88" s="620"/>
      <c r="T88" s="96"/>
      <c r="U88" s="96"/>
      <c r="V88" s="78"/>
      <c r="W88" s="88"/>
      <c r="X88" s="99"/>
      <c r="Y88" s="99"/>
      <c r="Z88" s="100"/>
      <c r="AA88" s="100"/>
      <c r="AB88" s="601"/>
      <c r="AC88" s="601"/>
      <c r="AD88" s="359"/>
      <c r="AE88" s="359"/>
      <c r="AF88" s="92">
        <f t="shared" si="61"/>
        <v>0</v>
      </c>
      <c r="AG88" s="95" t="e">
        <f t="shared" si="62"/>
        <v>#DIV/0!</v>
      </c>
      <c r="AH88" s="620"/>
    </row>
    <row r="89" spans="1:34" ht="19.350000000000001" customHeight="1">
      <c r="A89" s="631"/>
      <c r="B89" s="167">
        <v>0</v>
      </c>
      <c r="C89" s="237"/>
      <c r="D89" s="83"/>
      <c r="E89" s="84"/>
      <c r="F89" s="199" t="s">
        <v>391</v>
      </c>
      <c r="G89" s="173"/>
      <c r="H89" s="135">
        <f t="shared" si="54"/>
        <v>0</v>
      </c>
      <c r="I89" s="78"/>
      <c r="J89" s="138"/>
      <c r="K89" s="104"/>
      <c r="L89" s="137"/>
      <c r="M89" s="189"/>
      <c r="N89" s="104"/>
      <c r="O89" s="256"/>
      <c r="P89" s="100"/>
      <c r="Q89" s="139"/>
      <c r="R89" s="261"/>
      <c r="S89" s="620"/>
      <c r="T89" s="96"/>
      <c r="U89" s="96"/>
      <c r="V89" s="78"/>
      <c r="W89" s="88"/>
      <c r="X89" s="99"/>
      <c r="Y89" s="99"/>
      <c r="Z89" s="100"/>
      <c r="AA89" s="100"/>
      <c r="AB89" s="601"/>
      <c r="AC89" s="601"/>
      <c r="AD89" s="359"/>
      <c r="AE89" s="359"/>
      <c r="AF89" s="92">
        <f t="shared" si="61"/>
        <v>0</v>
      </c>
      <c r="AG89" s="95" t="e">
        <f t="shared" si="62"/>
        <v>#DIV/0!</v>
      </c>
      <c r="AH89" s="620"/>
    </row>
    <row r="90" spans="1:34" ht="19.350000000000001" customHeight="1">
      <c r="A90" s="631"/>
      <c r="B90" s="167">
        <v>0</v>
      </c>
      <c r="C90" s="237"/>
      <c r="D90" s="83"/>
      <c r="E90" s="84"/>
      <c r="F90" s="199" t="s">
        <v>391</v>
      </c>
      <c r="G90" s="188"/>
      <c r="H90" s="135">
        <f t="shared" si="54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0"/>
      <c r="T90" s="96"/>
      <c r="U90" s="96"/>
      <c r="V90" s="78"/>
      <c r="W90" s="88"/>
      <c r="X90" s="264"/>
      <c r="Y90" s="264"/>
      <c r="Z90" s="100"/>
      <c r="AA90" s="100"/>
      <c r="AB90" s="601"/>
      <c r="AC90" s="601"/>
      <c r="AD90" s="359"/>
      <c r="AE90" s="359"/>
      <c r="AF90" s="92">
        <f t="shared" si="61"/>
        <v>0</v>
      </c>
      <c r="AG90" s="95" t="e">
        <f t="shared" si="62"/>
        <v>#DIV/0!</v>
      </c>
      <c r="AH90" s="620"/>
    </row>
    <row r="91" spans="1:34" ht="19.350000000000001" customHeight="1">
      <c r="A91" s="631"/>
      <c r="B91" s="167">
        <v>0</v>
      </c>
      <c r="C91" s="237"/>
      <c r="D91" s="83"/>
      <c r="E91" s="84"/>
      <c r="F91" s="199" t="s">
        <v>391</v>
      </c>
      <c r="G91" s="86"/>
      <c r="H91" s="135">
        <f t="shared" si="54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3"/>
      <c r="T91" s="96"/>
      <c r="U91" s="96"/>
      <c r="V91" s="78"/>
      <c r="W91" s="88"/>
      <c r="X91" s="174"/>
      <c r="Y91" s="174"/>
      <c r="Z91" s="100"/>
      <c r="AA91" s="100"/>
      <c r="AB91" s="601"/>
      <c r="AC91" s="601"/>
      <c r="AD91" s="359"/>
      <c r="AE91" s="359"/>
      <c r="AF91" s="92">
        <f t="shared" si="61"/>
        <v>0</v>
      </c>
      <c r="AG91" s="95" t="e">
        <f t="shared" si="62"/>
        <v>#DIV/0!</v>
      </c>
      <c r="AH91" s="623"/>
    </row>
    <row r="92" spans="1:34" ht="19.350000000000001" customHeight="1">
      <c r="A92" s="631"/>
      <c r="B92" s="167">
        <v>0</v>
      </c>
      <c r="C92" s="237"/>
      <c r="D92" s="83"/>
      <c r="E92" s="84"/>
      <c r="F92" s="199" t="s">
        <v>391</v>
      </c>
      <c r="G92" s="86"/>
      <c r="H92" s="135">
        <f t="shared" si="54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4"/>
      <c r="S92" s="623"/>
      <c r="T92" s="96"/>
      <c r="U92" s="96"/>
      <c r="V92" s="78"/>
      <c r="W92" s="88"/>
      <c r="X92" s="253"/>
      <c r="Y92" s="253"/>
      <c r="Z92" s="185"/>
      <c r="AA92" s="185"/>
      <c r="AB92" s="601"/>
      <c r="AC92" s="601"/>
      <c r="AD92" s="359"/>
      <c r="AE92" s="359"/>
      <c r="AF92" s="92">
        <f t="shared" si="61"/>
        <v>0</v>
      </c>
      <c r="AG92" s="95" t="e">
        <f t="shared" si="62"/>
        <v>#DIV/0!</v>
      </c>
      <c r="AH92" s="623"/>
    </row>
    <row r="93" spans="1:34" ht="19.350000000000001" customHeight="1">
      <c r="A93" s="631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4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1"/>
      <c r="S93" s="629"/>
      <c r="T93" s="111"/>
      <c r="U93" s="111"/>
      <c r="V93" s="109"/>
      <c r="W93" s="88">
        <f t="shared" si="60"/>
        <v>0</v>
      </c>
      <c r="X93" s="275"/>
      <c r="Y93" s="275"/>
      <c r="Z93" s="185"/>
      <c r="AA93" s="185"/>
      <c r="AB93" s="601"/>
      <c r="AC93" s="601"/>
      <c r="AD93" s="359"/>
      <c r="AE93" s="359"/>
      <c r="AF93" s="92">
        <f t="shared" si="61"/>
        <v>0</v>
      </c>
      <c r="AG93" s="95" t="e">
        <f t="shared" si="62"/>
        <v>#DIV/0!</v>
      </c>
      <c r="AH93" s="623"/>
    </row>
    <row r="94" spans="1:34" ht="19.350000000000001" customHeight="1">
      <c r="A94" s="631"/>
      <c r="B94" s="109">
        <v>0</v>
      </c>
      <c r="C94" s="272"/>
      <c r="D94" s="83"/>
      <c r="E94" s="84"/>
      <c r="F94" s="199" t="s">
        <v>391</v>
      </c>
      <c r="G94" s="86"/>
      <c r="H94" s="135">
        <f t="shared" si="54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1"/>
      <c r="S94" s="629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01"/>
      <c r="AC94" s="601"/>
      <c r="AD94" s="359"/>
      <c r="AE94" s="359"/>
      <c r="AF94" s="92">
        <f t="shared" si="61"/>
        <v>0</v>
      </c>
      <c r="AG94" s="95" t="e">
        <f t="shared" si="62"/>
        <v>#DIV/0!</v>
      </c>
      <c r="AH94" s="623"/>
    </row>
    <row r="95" spans="1:34" ht="19.350000000000001" customHeight="1">
      <c r="A95" s="631"/>
      <c r="B95" s="278">
        <v>0</v>
      </c>
      <c r="C95" s="156" t="s">
        <v>33</v>
      </c>
      <c r="D95" s="602" t="s">
        <v>75</v>
      </c>
      <c r="E95" s="602"/>
      <c r="F95" s="119"/>
      <c r="G95" s="120"/>
      <c r="H95" s="279"/>
      <c r="I95" s="160"/>
      <c r="J95" s="280">
        <v>19.333333333333332</v>
      </c>
      <c r="K95" s="280">
        <v>1423.3333333333333</v>
      </c>
      <c r="L95" s="281">
        <v>73.69736842105263</v>
      </c>
      <c r="M95" s="280">
        <f t="shared" ref="M95:O95" si="63">AVERAGE(M83:M94)</f>
        <v>19.333333333333332</v>
      </c>
      <c r="N95" s="280">
        <f t="shared" si="63"/>
        <v>1154.8460843582784</v>
      </c>
      <c r="O95" s="281">
        <f t="shared" si="63"/>
        <v>60.2111389062608</v>
      </c>
      <c r="P95" s="282">
        <f>M95-J95</f>
        <v>0</v>
      </c>
      <c r="Q95" s="283">
        <f t="shared" ref="Q95:Q103" si="64">O95-L95</f>
        <v>-13.48622951479183</v>
      </c>
      <c r="R95" s="284">
        <f>O95/L95</f>
        <v>0.81700527707120529</v>
      </c>
      <c r="S95" s="623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01"/>
      <c r="AC95" s="601"/>
      <c r="AD95" s="164">
        <f>SUM(AD83:AD94)</f>
        <v>1</v>
      </c>
      <c r="AE95" s="164">
        <f>SUM(AE83:AE94)</f>
        <v>0</v>
      </c>
      <c r="AF95" s="113">
        <f t="shared" si="61"/>
        <v>-268.48724897505485</v>
      </c>
      <c r="AG95" s="114">
        <f t="shared" si="62"/>
        <v>0.81136727238286543</v>
      </c>
      <c r="AH95" s="623"/>
    </row>
    <row r="96" spans="1:34" ht="19.350000000000001" customHeight="1">
      <c r="A96" s="628" t="s">
        <v>167</v>
      </c>
      <c r="B96" s="78" t="s">
        <v>386</v>
      </c>
      <c r="C96" s="152"/>
      <c r="D96" s="83" t="s">
        <v>185</v>
      </c>
      <c r="E96" s="84"/>
      <c r="F96" s="85">
        <v>65.400000000000006</v>
      </c>
      <c r="G96" s="86">
        <v>384</v>
      </c>
      <c r="H96" s="87">
        <f t="shared" ref="H96:H106" si="65">F96*G96</f>
        <v>25113.600000000002</v>
      </c>
      <c r="I96" s="78"/>
      <c r="J96" s="89">
        <v>18</v>
      </c>
      <c r="K96" s="86">
        <v>1440</v>
      </c>
      <c r="L96" s="90">
        <v>80</v>
      </c>
      <c r="M96" s="91">
        <v>19</v>
      </c>
      <c r="N96" s="86">
        <f t="shared" ref="N96:N103" si="66">G96/W96*60</f>
        <v>1001.7391304347826</v>
      </c>
      <c r="O96" s="90">
        <f t="shared" ref="O96:O103" si="67">N96/M96</f>
        <v>52.723112128146454</v>
      </c>
      <c r="P96" s="92">
        <f t="shared" ref="P96:P103" si="68">M96-J96</f>
        <v>1</v>
      </c>
      <c r="Q96" s="93">
        <f t="shared" si="64"/>
        <v>-27.276887871853546</v>
      </c>
      <c r="R96" s="95">
        <f t="shared" ref="R96:R103" si="69">O96/L96</f>
        <v>0.65903890160183065</v>
      </c>
      <c r="S96" s="620">
        <f>R108</f>
        <v>0.80090116494149444</v>
      </c>
      <c r="T96" s="142">
        <v>0.33333333333333331</v>
      </c>
      <c r="U96" s="142">
        <v>0.34930555555555554</v>
      </c>
      <c r="V96" s="359">
        <v>5</v>
      </c>
      <c r="W96" s="143">
        <f t="shared" ref="W96:W122" si="70">(U96-T96)*24*60</f>
        <v>23</v>
      </c>
      <c r="X96" s="151"/>
      <c r="Y96" s="151"/>
      <c r="Z96" s="100"/>
      <c r="AA96" s="100"/>
      <c r="AB96" s="601"/>
      <c r="AC96" s="601"/>
      <c r="AD96" s="359"/>
      <c r="AE96" s="359"/>
      <c r="AF96" s="100">
        <f t="shared" si="61"/>
        <v>-438.26086956521738</v>
      </c>
      <c r="AG96" s="141">
        <f t="shared" si="62"/>
        <v>0.69565217391304346</v>
      </c>
      <c r="AH96" s="605">
        <f>AG108</f>
        <v>0.79223343783302824</v>
      </c>
    </row>
    <row r="97" spans="1:34" s="294" customFormat="1" ht="19.350000000000001" customHeight="1">
      <c r="A97" s="628"/>
      <c r="B97" s="78" t="s">
        <v>390</v>
      </c>
      <c r="C97" s="285"/>
      <c r="D97" s="286" t="s">
        <v>178</v>
      </c>
      <c r="E97" s="103"/>
      <c r="F97" s="287">
        <v>54.09</v>
      </c>
      <c r="G97" s="288">
        <v>1210</v>
      </c>
      <c r="H97" s="289">
        <f t="shared" si="65"/>
        <v>65448.9</v>
      </c>
      <c r="I97" s="208"/>
      <c r="J97" s="89">
        <v>20</v>
      </c>
      <c r="K97" s="86">
        <v>1500</v>
      </c>
      <c r="L97" s="90">
        <v>75</v>
      </c>
      <c r="M97" s="138">
        <v>20</v>
      </c>
      <c r="N97" s="86">
        <f t="shared" si="66"/>
        <v>1190.1639344262289</v>
      </c>
      <c r="O97" s="90">
        <f t="shared" si="67"/>
        <v>59.50819672131145</v>
      </c>
      <c r="P97" s="92">
        <f t="shared" si="68"/>
        <v>0</v>
      </c>
      <c r="Q97" s="93">
        <f t="shared" si="64"/>
        <v>-15.49180327868855</v>
      </c>
      <c r="R97" s="95">
        <f t="shared" si="69"/>
        <v>0.79344262295081935</v>
      </c>
      <c r="S97" s="620"/>
      <c r="T97" s="290">
        <v>0.35416666666666663</v>
      </c>
      <c r="U97" s="290">
        <v>0.39652777777777776</v>
      </c>
      <c r="V97" s="291">
        <v>7</v>
      </c>
      <c r="W97" s="143">
        <f t="shared" si="70"/>
        <v>61.000000000000021</v>
      </c>
      <c r="X97" s="99"/>
      <c r="Y97" s="99"/>
      <c r="Z97" s="100"/>
      <c r="AA97" s="100"/>
      <c r="AB97" s="601"/>
      <c r="AC97" s="601"/>
      <c r="AD97" s="291"/>
      <c r="AE97" s="291"/>
      <c r="AF97" s="292">
        <f t="shared" si="61"/>
        <v>-309.83606557377107</v>
      </c>
      <c r="AG97" s="293">
        <f t="shared" si="62"/>
        <v>0.79344262295081924</v>
      </c>
      <c r="AH97" s="605"/>
    </row>
    <row r="98" spans="1:34" s="298" customFormat="1" ht="19.350000000000001" customHeight="1">
      <c r="A98" s="628"/>
      <c r="B98" s="78" t="s">
        <v>390</v>
      </c>
      <c r="C98" s="102"/>
      <c r="D98" s="83" t="s">
        <v>179</v>
      </c>
      <c r="E98" s="133"/>
      <c r="F98" s="287">
        <v>51.75</v>
      </c>
      <c r="G98" s="104">
        <v>1281.6000000000001</v>
      </c>
      <c r="H98" s="289">
        <f t="shared" si="65"/>
        <v>66322.8</v>
      </c>
      <c r="I98" s="359"/>
      <c r="J98" s="89">
        <v>21</v>
      </c>
      <c r="K98" s="86">
        <v>1500</v>
      </c>
      <c r="L98" s="90">
        <v>71.428571428571431</v>
      </c>
      <c r="M98" s="138">
        <v>20</v>
      </c>
      <c r="N98" s="86">
        <f t="shared" si="66"/>
        <v>1130.8235294117646</v>
      </c>
      <c r="O98" s="90">
        <f t="shared" si="67"/>
        <v>56.541176470588233</v>
      </c>
      <c r="P98" s="92">
        <f t="shared" si="68"/>
        <v>-1</v>
      </c>
      <c r="Q98" s="93">
        <f t="shared" si="64"/>
        <v>-14.887394957983197</v>
      </c>
      <c r="R98" s="95">
        <f t="shared" si="69"/>
        <v>0.79157647058823521</v>
      </c>
      <c r="S98" s="620"/>
      <c r="T98" s="142">
        <v>0.40208333333333329</v>
      </c>
      <c r="U98" s="142">
        <v>0.44930555555555551</v>
      </c>
      <c r="V98" s="359">
        <v>8</v>
      </c>
      <c r="W98" s="143">
        <f t="shared" si="70"/>
        <v>68</v>
      </c>
      <c r="X98" s="295"/>
      <c r="Y98" s="295"/>
      <c r="Z98" s="296"/>
      <c r="AA98" s="296"/>
      <c r="AB98" s="601"/>
      <c r="AC98" s="601"/>
      <c r="AD98" s="359"/>
      <c r="AE98" s="359"/>
      <c r="AF98" s="297">
        <f t="shared" si="61"/>
        <v>-369.17647058823536</v>
      </c>
      <c r="AG98" s="95">
        <f t="shared" si="62"/>
        <v>0.75388235294117645</v>
      </c>
      <c r="AH98" s="605"/>
    </row>
    <row r="99" spans="1:34" ht="19.350000000000001" customHeight="1">
      <c r="A99" s="628"/>
      <c r="B99" s="78" t="s">
        <v>386</v>
      </c>
      <c r="C99" s="131"/>
      <c r="D99" s="132" t="s">
        <v>186</v>
      </c>
      <c r="E99" s="133"/>
      <c r="F99" s="287">
        <v>59.52</v>
      </c>
      <c r="G99" s="104">
        <v>1780.5</v>
      </c>
      <c r="H99" s="289">
        <f t="shared" si="65"/>
        <v>105975.36</v>
      </c>
      <c r="I99" s="359"/>
      <c r="J99" s="89">
        <v>21</v>
      </c>
      <c r="K99" s="86">
        <v>1385</v>
      </c>
      <c r="L99" s="90">
        <v>65.952380952380949</v>
      </c>
      <c r="M99" s="91">
        <v>19</v>
      </c>
      <c r="N99" s="86">
        <f t="shared" si="66"/>
        <v>1148.7096774193551</v>
      </c>
      <c r="O99" s="90">
        <f t="shared" si="67"/>
        <v>60.458404074702898</v>
      </c>
      <c r="P99" s="92">
        <f t="shared" si="68"/>
        <v>-2</v>
      </c>
      <c r="Q99" s="93">
        <f t="shared" si="64"/>
        <v>-5.4939768776780511</v>
      </c>
      <c r="R99" s="95">
        <f t="shared" si="69"/>
        <v>0.9166978235153509</v>
      </c>
      <c r="S99" s="620"/>
      <c r="T99" s="142">
        <v>0.45416666666666661</v>
      </c>
      <c r="U99" s="142">
        <v>0.51874999999999993</v>
      </c>
      <c r="V99" s="359">
        <v>7</v>
      </c>
      <c r="W99" s="143">
        <f t="shared" si="70"/>
        <v>92.999999999999986</v>
      </c>
      <c r="X99" s="253"/>
      <c r="Y99" s="253"/>
      <c r="Z99" s="185"/>
      <c r="AA99" s="185"/>
      <c r="AB99" s="601"/>
      <c r="AC99" s="601"/>
      <c r="AD99" s="359"/>
      <c r="AE99" s="359"/>
      <c r="AF99" s="92">
        <f t="shared" si="61"/>
        <v>-236.2903225806449</v>
      </c>
      <c r="AG99" s="186">
        <f t="shared" si="62"/>
        <v>0.82939326889484122</v>
      </c>
      <c r="AH99" s="605"/>
    </row>
    <row r="100" spans="1:34" s="298" customFormat="1" ht="19.350000000000001" customHeight="1">
      <c r="A100" s="628"/>
      <c r="B100" s="78" t="s">
        <v>386</v>
      </c>
      <c r="C100" s="102"/>
      <c r="D100" s="83" t="s">
        <v>187</v>
      </c>
      <c r="E100" s="133"/>
      <c r="F100" s="287">
        <v>58.67</v>
      </c>
      <c r="G100" s="104">
        <v>1614</v>
      </c>
      <c r="H100" s="289">
        <f t="shared" si="65"/>
        <v>94693.38</v>
      </c>
      <c r="I100" s="359"/>
      <c r="J100" s="89">
        <v>19</v>
      </c>
      <c r="K100" s="86">
        <v>1440</v>
      </c>
      <c r="L100" s="90">
        <v>75.78947368421052</v>
      </c>
      <c r="M100" s="138">
        <v>19</v>
      </c>
      <c r="N100" s="86">
        <f t="shared" si="66"/>
        <v>1225.8227848101258</v>
      </c>
      <c r="O100" s="90">
        <f t="shared" si="67"/>
        <v>64.516988674217146</v>
      </c>
      <c r="P100" s="92">
        <f t="shared" si="68"/>
        <v>0</v>
      </c>
      <c r="Q100" s="93">
        <f t="shared" si="64"/>
        <v>-11.272485009993375</v>
      </c>
      <c r="R100" s="95">
        <f t="shared" si="69"/>
        <v>0.85126582278480967</v>
      </c>
      <c r="S100" s="620"/>
      <c r="T100" s="290">
        <v>0.55902777777777768</v>
      </c>
      <c r="U100" s="290">
        <v>0.61388888888888882</v>
      </c>
      <c r="V100" s="291">
        <v>5</v>
      </c>
      <c r="W100" s="143">
        <f t="shared" si="70"/>
        <v>79.000000000000043</v>
      </c>
      <c r="X100" s="299"/>
      <c r="Y100" s="299"/>
      <c r="Z100" s="296"/>
      <c r="AA100" s="296"/>
      <c r="AB100" s="601"/>
      <c r="AC100" s="601"/>
      <c r="AD100" s="359"/>
      <c r="AE100" s="359"/>
      <c r="AF100" s="297">
        <f t="shared" si="61"/>
        <v>-214.17721518987423</v>
      </c>
      <c r="AG100" s="95">
        <f t="shared" si="62"/>
        <v>0.85126582278480956</v>
      </c>
      <c r="AH100" s="605"/>
    </row>
    <row r="101" spans="1:34" s="298" customFormat="1" ht="19.350000000000001" customHeight="1">
      <c r="A101" s="628"/>
      <c r="B101" s="78" t="s">
        <v>387</v>
      </c>
      <c r="C101" s="102"/>
      <c r="D101" s="132" t="s">
        <v>134</v>
      </c>
      <c r="E101" s="133"/>
      <c r="F101" s="287">
        <v>56.43</v>
      </c>
      <c r="G101" s="104">
        <v>537</v>
      </c>
      <c r="H101" s="289">
        <f t="shared" si="65"/>
        <v>30302.91</v>
      </c>
      <c r="I101" s="359">
        <v>2</v>
      </c>
      <c r="J101" s="89">
        <v>17</v>
      </c>
      <c r="K101" s="86">
        <v>1500</v>
      </c>
      <c r="L101" s="90">
        <v>88.235294117647058</v>
      </c>
      <c r="M101" s="138">
        <v>18</v>
      </c>
      <c r="N101" s="86">
        <f t="shared" si="66"/>
        <v>1193.3333333333305</v>
      </c>
      <c r="O101" s="90">
        <f t="shared" si="67"/>
        <v>66.296296296296134</v>
      </c>
      <c r="P101" s="92">
        <f t="shared" si="68"/>
        <v>1</v>
      </c>
      <c r="Q101" s="93">
        <f t="shared" si="64"/>
        <v>-21.938997821350924</v>
      </c>
      <c r="R101" s="95">
        <f t="shared" si="69"/>
        <v>0.75135802469135615</v>
      </c>
      <c r="S101" s="620"/>
      <c r="T101" s="290">
        <v>0.61944444444444435</v>
      </c>
      <c r="U101" s="142">
        <v>0.6381944444444444</v>
      </c>
      <c r="V101" s="291">
        <v>8</v>
      </c>
      <c r="W101" s="143">
        <f t="shared" si="70"/>
        <v>27.000000000000064</v>
      </c>
      <c r="X101" s="300"/>
      <c r="Y101" s="300"/>
      <c r="Z101" s="296"/>
      <c r="AA101" s="296"/>
      <c r="AB101" s="601"/>
      <c r="AC101" s="601"/>
      <c r="AD101" s="359"/>
      <c r="AE101" s="359"/>
      <c r="AF101" s="92">
        <f t="shared" si="61"/>
        <v>-306.66666666666947</v>
      </c>
      <c r="AG101" s="186">
        <f t="shared" si="62"/>
        <v>0.79555555555555368</v>
      </c>
      <c r="AH101" s="605"/>
    </row>
    <row r="102" spans="1:34" s="298" customFormat="1" ht="19.350000000000001" customHeight="1">
      <c r="A102" s="628"/>
      <c r="B102" s="78" t="s">
        <v>386</v>
      </c>
      <c r="C102" s="248"/>
      <c r="D102" s="249" t="s">
        <v>158</v>
      </c>
      <c r="E102" s="250"/>
      <c r="F102" s="287">
        <v>47.65</v>
      </c>
      <c r="G102" s="104">
        <v>235.10000000000002</v>
      </c>
      <c r="H102" s="289">
        <f t="shared" si="65"/>
        <v>11202.515000000001</v>
      </c>
      <c r="I102" s="78">
        <v>2</v>
      </c>
      <c r="J102" s="89">
        <v>18</v>
      </c>
      <c r="K102" s="86">
        <v>1440</v>
      </c>
      <c r="L102" s="90">
        <v>80</v>
      </c>
      <c r="M102" s="138">
        <v>18</v>
      </c>
      <c r="N102" s="86">
        <f t="shared" si="66"/>
        <v>1175.5000000000043</v>
      </c>
      <c r="O102" s="90">
        <f t="shared" si="67"/>
        <v>65.305555555555799</v>
      </c>
      <c r="P102" s="92">
        <f t="shared" si="68"/>
        <v>0</v>
      </c>
      <c r="Q102" s="93">
        <f t="shared" si="64"/>
        <v>-14.694444444444201</v>
      </c>
      <c r="R102" s="95">
        <f t="shared" si="69"/>
        <v>0.81631944444444748</v>
      </c>
      <c r="S102" s="620"/>
      <c r="T102" s="290">
        <v>0.65347222222222212</v>
      </c>
      <c r="U102" s="290">
        <v>0.66180555555555542</v>
      </c>
      <c r="V102" s="291">
        <v>22</v>
      </c>
      <c r="W102" s="143">
        <f t="shared" si="70"/>
        <v>11.999999999999957</v>
      </c>
      <c r="X102" s="300">
        <v>0.64166666666666672</v>
      </c>
      <c r="Y102" s="300">
        <v>0.65069444444444446</v>
      </c>
      <c r="Z102" s="296"/>
      <c r="AA102" s="296"/>
      <c r="AB102" s="601"/>
      <c r="AC102" s="601"/>
      <c r="AD102" s="359"/>
      <c r="AE102" s="359"/>
      <c r="AF102" s="297">
        <f t="shared" si="61"/>
        <v>-264.49999999999568</v>
      </c>
      <c r="AG102" s="95">
        <f t="shared" si="62"/>
        <v>0.81631944444444748</v>
      </c>
      <c r="AH102" s="605"/>
    </row>
    <row r="103" spans="1:34" s="298" customFormat="1" ht="19.350000000000001" customHeight="1">
      <c r="A103" s="628"/>
      <c r="B103" s="78" t="s">
        <v>390</v>
      </c>
      <c r="C103" s="301"/>
      <c r="D103" s="132" t="s">
        <v>144</v>
      </c>
      <c r="E103" s="133"/>
      <c r="F103" s="287">
        <v>53.27</v>
      </c>
      <c r="G103" s="104">
        <v>120.7</v>
      </c>
      <c r="H103" s="289">
        <f t="shared" si="65"/>
        <v>6429.6890000000003</v>
      </c>
      <c r="I103" s="302">
        <v>2</v>
      </c>
      <c r="J103" s="89">
        <v>18</v>
      </c>
      <c r="K103" s="86">
        <v>1500</v>
      </c>
      <c r="L103" s="90">
        <v>83.333333333333329</v>
      </c>
      <c r="M103" s="138">
        <v>17</v>
      </c>
      <c r="N103" s="86">
        <f t="shared" si="66"/>
        <v>1207.0000000000043</v>
      </c>
      <c r="O103" s="90">
        <f t="shared" si="67"/>
        <v>71.000000000000256</v>
      </c>
      <c r="P103" s="92">
        <f t="shared" si="68"/>
        <v>-1</v>
      </c>
      <c r="Q103" s="93">
        <f t="shared" si="64"/>
        <v>-12.333333333333073</v>
      </c>
      <c r="R103" s="95">
        <f t="shared" si="69"/>
        <v>0.85200000000000309</v>
      </c>
      <c r="S103" s="620"/>
      <c r="T103" s="290">
        <v>0.67777777777777759</v>
      </c>
      <c r="U103" s="290">
        <v>0.68194444444444424</v>
      </c>
      <c r="V103" s="291">
        <v>23</v>
      </c>
      <c r="W103" s="143">
        <f t="shared" si="70"/>
        <v>5.9999999999999787</v>
      </c>
      <c r="X103" s="300">
        <v>0.66527777777777775</v>
      </c>
      <c r="Y103" s="300">
        <v>0.67499999999999993</v>
      </c>
      <c r="Z103" s="296"/>
      <c r="AA103" s="296"/>
      <c r="AB103" s="601"/>
      <c r="AC103" s="601"/>
      <c r="AD103" s="359"/>
      <c r="AE103" s="359"/>
      <c r="AF103" s="92">
        <f t="shared" si="61"/>
        <v>-292.99999999999568</v>
      </c>
      <c r="AG103" s="186">
        <f t="shared" si="62"/>
        <v>0.80466666666666953</v>
      </c>
      <c r="AH103" s="605"/>
    </row>
    <row r="104" spans="1:34" s="298" customFormat="1" ht="19.350000000000001" customHeight="1">
      <c r="A104" s="628"/>
      <c r="B104" s="78">
        <v>0</v>
      </c>
      <c r="C104" s="303"/>
      <c r="D104" s="132"/>
      <c r="E104" s="133"/>
      <c r="F104" s="287" t="s">
        <v>391</v>
      </c>
      <c r="G104" s="288"/>
      <c r="H104" s="289">
        <f t="shared" si="65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5"/>
      <c r="S104" s="623"/>
      <c r="T104" s="290"/>
      <c r="U104" s="290"/>
      <c r="V104" s="291"/>
      <c r="W104" s="143"/>
      <c r="X104" s="300"/>
      <c r="Y104" s="300"/>
      <c r="Z104" s="296"/>
      <c r="AA104" s="296"/>
      <c r="AB104" s="601"/>
      <c r="AC104" s="601"/>
      <c r="AD104" s="359"/>
      <c r="AE104" s="359"/>
      <c r="AF104" s="297">
        <f t="shared" si="61"/>
        <v>0</v>
      </c>
      <c r="AG104" s="95" t="e">
        <f t="shared" si="62"/>
        <v>#DIV/0!</v>
      </c>
      <c r="AH104" s="605"/>
    </row>
    <row r="105" spans="1:34" s="298" customFormat="1" ht="19.350000000000001" customHeight="1">
      <c r="A105" s="628"/>
      <c r="B105" s="78">
        <v>0</v>
      </c>
      <c r="C105" s="303"/>
      <c r="D105" s="132"/>
      <c r="E105" s="133"/>
      <c r="F105" s="287" t="s">
        <v>391</v>
      </c>
      <c r="G105" s="288"/>
      <c r="H105" s="289">
        <f t="shared" si="65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5"/>
      <c r="S105" s="623"/>
      <c r="T105" s="290"/>
      <c r="U105" s="290"/>
      <c r="V105" s="291"/>
      <c r="W105" s="143">
        <f t="shared" si="70"/>
        <v>0</v>
      </c>
      <c r="X105" s="300"/>
      <c r="Y105" s="300"/>
      <c r="Z105" s="296"/>
      <c r="AA105" s="296"/>
      <c r="AB105" s="601"/>
      <c r="AC105" s="601"/>
      <c r="AD105" s="359"/>
      <c r="AE105" s="359"/>
      <c r="AF105" s="296"/>
      <c r="AG105" s="141"/>
      <c r="AH105" s="605"/>
    </row>
    <row r="106" spans="1:34" s="298" customFormat="1" ht="19.350000000000001" customHeight="1">
      <c r="A106" s="628"/>
      <c r="B106" s="78">
        <v>0</v>
      </c>
      <c r="C106" s="303"/>
      <c r="D106" s="132"/>
      <c r="E106" s="133"/>
      <c r="F106" s="85" t="s">
        <v>391</v>
      </c>
      <c r="G106" s="288"/>
      <c r="H106" s="289">
        <f t="shared" si="65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1"/>
      <c r="S106" s="629"/>
      <c r="T106" s="290"/>
      <c r="U106" s="290"/>
      <c r="V106" s="291"/>
      <c r="W106" s="143">
        <f t="shared" si="70"/>
        <v>0</v>
      </c>
      <c r="X106" s="300"/>
      <c r="Y106" s="300"/>
      <c r="Z106" s="296"/>
      <c r="AA106" s="296"/>
      <c r="AB106" s="601"/>
      <c r="AC106" s="601"/>
      <c r="AD106" s="359"/>
      <c r="AE106" s="359"/>
      <c r="AF106" s="296"/>
      <c r="AG106" s="141"/>
      <c r="AH106" s="605"/>
    </row>
    <row r="107" spans="1:34" s="298" customFormat="1" ht="19.350000000000001" customHeight="1">
      <c r="A107" s="628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1"/>
      <c r="S107" s="629"/>
      <c r="T107" s="290"/>
      <c r="U107" s="290"/>
      <c r="V107" s="291"/>
      <c r="W107" s="143">
        <f t="shared" si="70"/>
        <v>0</v>
      </c>
      <c r="X107" s="300"/>
      <c r="Y107" s="300"/>
      <c r="Z107" s="296"/>
      <c r="AA107" s="296"/>
      <c r="AB107" s="601"/>
      <c r="AC107" s="601"/>
      <c r="AD107" s="359"/>
      <c r="AE107" s="359"/>
      <c r="AF107" s="296"/>
      <c r="AG107" s="141"/>
      <c r="AH107" s="605"/>
    </row>
    <row r="108" spans="1:34" ht="19.350000000000001" customHeight="1">
      <c r="A108" s="628"/>
      <c r="B108" s="167">
        <v>0</v>
      </c>
      <c r="C108" s="156" t="s">
        <v>34</v>
      </c>
      <c r="D108" s="602" t="s">
        <v>75</v>
      </c>
      <c r="E108" s="602"/>
      <c r="F108" s="307"/>
      <c r="G108" s="158"/>
      <c r="H108" s="159"/>
      <c r="I108" s="160"/>
      <c r="J108" s="158">
        <v>19</v>
      </c>
      <c r="K108" s="158">
        <v>1463.125</v>
      </c>
      <c r="L108" s="161">
        <v>77.467381689517921</v>
      </c>
      <c r="M108" s="158">
        <f t="shared" ref="M108:O108" si="71">AVERAGE(M96:M107)</f>
        <v>18.75</v>
      </c>
      <c r="N108" s="158">
        <f t="shared" si="71"/>
        <v>1159.1365487294495</v>
      </c>
      <c r="O108" s="161">
        <f t="shared" si="71"/>
        <v>62.043716240102299</v>
      </c>
      <c r="P108" s="100">
        <f t="shared" ref="P108:P113" si="72">M108-J108</f>
        <v>-0.25</v>
      </c>
      <c r="Q108" s="139">
        <f t="shared" ref="Q108:Q113" si="73">O108-L108</f>
        <v>-15.423665449415623</v>
      </c>
      <c r="R108" s="162">
        <f t="shared" ref="R108:R113" si="74">O108/L108</f>
        <v>0.80090116494149444</v>
      </c>
      <c r="S108" s="623"/>
      <c r="T108" s="142"/>
      <c r="U108" s="142"/>
      <c r="V108" s="104"/>
      <c r="W108" s="143">
        <f t="shared" si="70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01"/>
      <c r="AC108" s="601"/>
      <c r="AD108" s="164">
        <f>SUM(AD96:AD107)</f>
        <v>0</v>
      </c>
      <c r="AE108" s="164">
        <f>SUM(AE96:AE107)</f>
        <v>0</v>
      </c>
      <c r="AF108" s="100">
        <f t="shared" si="61"/>
        <v>-303.98845127055051</v>
      </c>
      <c r="AG108" s="141">
        <f t="shared" si="62"/>
        <v>0.79223343783302824</v>
      </c>
      <c r="AH108" s="605"/>
    </row>
    <row r="109" spans="1:34" ht="19.350000000000001" customHeight="1">
      <c r="A109" s="624" t="s">
        <v>176</v>
      </c>
      <c r="B109" s="78" t="s">
        <v>390</v>
      </c>
      <c r="C109" s="237"/>
      <c r="D109" s="249" t="s">
        <v>165</v>
      </c>
      <c r="E109" s="84"/>
      <c r="F109" s="85">
        <v>58.17</v>
      </c>
      <c r="G109" s="86">
        <v>1212</v>
      </c>
      <c r="H109" s="87">
        <f t="shared" ref="H109:H118" si="75">F109*G109</f>
        <v>70502.040000000008</v>
      </c>
      <c r="I109" s="78"/>
      <c r="J109" s="89">
        <v>19</v>
      </c>
      <c r="K109" s="86">
        <v>1385</v>
      </c>
      <c r="L109" s="90">
        <v>72.89473684210526</v>
      </c>
      <c r="M109" s="91">
        <v>19</v>
      </c>
      <c r="N109" s="86">
        <f t="shared" ref="N109:N113" si="76">G109/W109*60</f>
        <v>1118.7692307692319</v>
      </c>
      <c r="O109" s="90">
        <f t="shared" ref="O109:O113" si="77">N109/M109</f>
        <v>58.882591093117469</v>
      </c>
      <c r="P109" s="92">
        <f t="shared" si="72"/>
        <v>0</v>
      </c>
      <c r="Q109" s="93">
        <f t="shared" si="73"/>
        <v>-14.012145748987791</v>
      </c>
      <c r="R109" s="95">
        <f t="shared" si="74"/>
        <v>0.80777561788392194</v>
      </c>
      <c r="S109" s="627">
        <f>R121</f>
        <v>0.83603095637353364</v>
      </c>
      <c r="T109" s="308">
        <v>0.70833333333333337</v>
      </c>
      <c r="U109" s="308">
        <v>0.75347222222222221</v>
      </c>
      <c r="V109" s="309">
        <v>5</v>
      </c>
      <c r="W109" s="88">
        <f t="shared" si="70"/>
        <v>64.999999999999929</v>
      </c>
      <c r="X109" s="99"/>
      <c r="Y109" s="99"/>
      <c r="Z109" s="100"/>
      <c r="AA109" s="100"/>
      <c r="AB109" s="601"/>
      <c r="AC109" s="601"/>
      <c r="AD109" s="359"/>
      <c r="AE109" s="359"/>
      <c r="AF109" s="92">
        <f t="shared" si="61"/>
        <v>-266.23076923076815</v>
      </c>
      <c r="AG109" s="186">
        <f t="shared" si="62"/>
        <v>0.80777561788392194</v>
      </c>
      <c r="AH109" s="605">
        <f>AG121</f>
        <v>0.84506366767539021</v>
      </c>
    </row>
    <row r="110" spans="1:34" ht="19.350000000000001" customHeight="1">
      <c r="A110" s="625"/>
      <c r="B110" s="78" t="s">
        <v>390</v>
      </c>
      <c r="C110" s="248"/>
      <c r="D110" s="83" t="s">
        <v>166</v>
      </c>
      <c r="E110" s="250"/>
      <c r="F110" s="85">
        <v>53.68</v>
      </c>
      <c r="G110" s="247">
        <v>1251</v>
      </c>
      <c r="H110" s="87">
        <f t="shared" si="75"/>
        <v>67153.679999999993</v>
      </c>
      <c r="I110" s="78"/>
      <c r="J110" s="89">
        <v>20</v>
      </c>
      <c r="K110" s="86">
        <v>1380</v>
      </c>
      <c r="L110" s="90">
        <v>69</v>
      </c>
      <c r="M110" s="91">
        <v>20</v>
      </c>
      <c r="N110" s="86">
        <f t="shared" si="76"/>
        <v>1154.7692307692321</v>
      </c>
      <c r="O110" s="90">
        <f t="shared" si="77"/>
        <v>57.738461538461607</v>
      </c>
      <c r="P110" s="92">
        <f t="shared" si="72"/>
        <v>0</v>
      </c>
      <c r="Q110" s="93">
        <f t="shared" si="73"/>
        <v>-11.261538461538393</v>
      </c>
      <c r="R110" s="95">
        <f t="shared" si="74"/>
        <v>0.8367892976588639</v>
      </c>
      <c r="S110" s="616"/>
      <c r="T110" s="308">
        <v>0.7583333333333333</v>
      </c>
      <c r="U110" s="308">
        <v>0.80347222222222214</v>
      </c>
      <c r="V110" s="309">
        <v>7</v>
      </c>
      <c r="W110" s="88">
        <f t="shared" si="70"/>
        <v>64.999999999999929</v>
      </c>
      <c r="X110" s="264"/>
      <c r="Y110" s="264"/>
      <c r="Z110" s="100"/>
      <c r="AA110" s="100"/>
      <c r="AB110" s="601"/>
      <c r="AC110" s="601"/>
      <c r="AD110" s="359"/>
      <c r="AE110" s="359"/>
      <c r="AF110" s="165">
        <f t="shared" si="61"/>
        <v>-225.23076923076792</v>
      </c>
      <c r="AG110" s="186">
        <f t="shared" si="62"/>
        <v>0.83678929765886378</v>
      </c>
      <c r="AH110" s="605"/>
    </row>
    <row r="111" spans="1:34" ht="19.350000000000001" customHeight="1">
      <c r="A111" s="625"/>
      <c r="B111" s="78" t="s">
        <v>390</v>
      </c>
      <c r="C111" s="248"/>
      <c r="D111" s="83" t="s">
        <v>183</v>
      </c>
      <c r="E111" s="250"/>
      <c r="F111" s="85">
        <v>57.73</v>
      </c>
      <c r="G111" s="104">
        <v>853</v>
      </c>
      <c r="H111" s="87">
        <f t="shared" si="75"/>
        <v>49243.689999999995</v>
      </c>
      <c r="I111" s="78"/>
      <c r="J111" s="89">
        <v>16</v>
      </c>
      <c r="K111" s="86">
        <v>1380</v>
      </c>
      <c r="L111" s="90">
        <v>86.25</v>
      </c>
      <c r="M111" s="310">
        <v>17</v>
      </c>
      <c r="N111" s="86">
        <f t="shared" si="76"/>
        <v>1279.4999999999995</v>
      </c>
      <c r="O111" s="90">
        <f t="shared" si="77"/>
        <v>75.264705882352914</v>
      </c>
      <c r="P111" s="92">
        <f t="shared" si="72"/>
        <v>1</v>
      </c>
      <c r="Q111" s="93">
        <f t="shared" si="73"/>
        <v>-10.985294117647086</v>
      </c>
      <c r="R111" s="95">
        <f t="shared" si="74"/>
        <v>0.8726342710997439</v>
      </c>
      <c r="S111" s="616"/>
      <c r="T111" s="308">
        <v>0.81944444444444442</v>
      </c>
      <c r="U111" s="308">
        <v>0.84722222222222221</v>
      </c>
      <c r="V111" s="309">
        <v>23</v>
      </c>
      <c r="W111" s="88">
        <f t="shared" si="70"/>
        <v>40.000000000000014</v>
      </c>
      <c r="X111" s="99">
        <v>0.81180555555555556</v>
      </c>
      <c r="Y111" s="99">
        <v>0.82152777777777775</v>
      </c>
      <c r="Z111" s="100"/>
      <c r="AA111" s="100"/>
      <c r="AB111" s="601"/>
      <c r="AC111" s="601"/>
      <c r="AD111" s="359"/>
      <c r="AE111" s="359"/>
      <c r="AF111" s="92">
        <f t="shared" si="61"/>
        <v>-100.50000000000045</v>
      </c>
      <c r="AG111" s="186">
        <f t="shared" si="62"/>
        <v>0.92717391304347796</v>
      </c>
      <c r="AH111" s="605"/>
    </row>
    <row r="112" spans="1:34" ht="19.350000000000001" customHeight="1">
      <c r="A112" s="625"/>
      <c r="B112" s="78" t="s">
        <v>390</v>
      </c>
      <c r="C112" s="248"/>
      <c r="D112" s="249" t="s">
        <v>188</v>
      </c>
      <c r="E112" s="250"/>
      <c r="F112" s="85">
        <v>56.79</v>
      </c>
      <c r="G112" s="104">
        <v>1148</v>
      </c>
      <c r="H112" s="87">
        <f t="shared" si="75"/>
        <v>65194.92</v>
      </c>
      <c r="I112" s="359"/>
      <c r="J112" s="89">
        <v>18</v>
      </c>
      <c r="K112" s="86">
        <v>1636</v>
      </c>
      <c r="L112" s="90">
        <v>90.888888888888886</v>
      </c>
      <c r="M112" s="310">
        <v>18</v>
      </c>
      <c r="N112" s="86">
        <f t="shared" si="76"/>
        <v>1350.5882352941182</v>
      </c>
      <c r="O112" s="90">
        <f t="shared" si="77"/>
        <v>75.032679738562123</v>
      </c>
      <c r="P112" s="92">
        <f t="shared" si="72"/>
        <v>0</v>
      </c>
      <c r="Q112" s="93">
        <f t="shared" si="73"/>
        <v>-15.856209150326762</v>
      </c>
      <c r="R112" s="95">
        <f t="shared" si="74"/>
        <v>0.82554293110887422</v>
      </c>
      <c r="S112" s="616"/>
      <c r="T112" s="308">
        <v>0.8520833333333333</v>
      </c>
      <c r="U112" s="308">
        <v>0.88749999999999996</v>
      </c>
      <c r="V112" s="309">
        <v>7</v>
      </c>
      <c r="W112" s="88">
        <f t="shared" si="70"/>
        <v>50.999999999999979</v>
      </c>
      <c r="X112" s="99"/>
      <c r="Y112" s="99"/>
      <c r="Z112" s="100"/>
      <c r="AA112" s="100"/>
      <c r="AB112" s="601"/>
      <c r="AC112" s="601"/>
      <c r="AD112" s="359"/>
      <c r="AE112" s="359"/>
      <c r="AF112" s="92">
        <f t="shared" si="61"/>
        <v>-285.41176470588175</v>
      </c>
      <c r="AG112" s="186">
        <f t="shared" si="62"/>
        <v>0.82554293110887422</v>
      </c>
      <c r="AH112" s="605"/>
    </row>
    <row r="113" spans="1:34" s="298" customFormat="1" ht="19.350000000000001" customHeight="1">
      <c r="A113" s="625"/>
      <c r="B113" s="78" t="s">
        <v>390</v>
      </c>
      <c r="C113" s="248"/>
      <c r="D113" s="249" t="s">
        <v>189</v>
      </c>
      <c r="E113" s="250"/>
      <c r="F113" s="85">
        <v>56.87</v>
      </c>
      <c r="G113" s="104">
        <v>864</v>
      </c>
      <c r="H113" s="87">
        <f t="shared" si="75"/>
        <v>49135.68</v>
      </c>
      <c r="I113" s="359"/>
      <c r="J113" s="89">
        <v>18</v>
      </c>
      <c r="K113" s="86">
        <v>1636</v>
      </c>
      <c r="L113" s="90">
        <v>90.888888888888886</v>
      </c>
      <c r="M113" s="310">
        <v>18</v>
      </c>
      <c r="N113" s="86">
        <f t="shared" si="76"/>
        <v>1364.2105263157885</v>
      </c>
      <c r="O113" s="90">
        <f t="shared" si="77"/>
        <v>75.789473684210463</v>
      </c>
      <c r="P113" s="92">
        <f t="shared" si="72"/>
        <v>0</v>
      </c>
      <c r="Q113" s="93">
        <f t="shared" si="73"/>
        <v>-15.099415204678422</v>
      </c>
      <c r="R113" s="95">
        <f t="shared" si="74"/>
        <v>0.83386951486295136</v>
      </c>
      <c r="S113" s="616"/>
      <c r="T113" s="308">
        <v>0.89305555555555549</v>
      </c>
      <c r="U113" s="308">
        <v>0.9194444444444444</v>
      </c>
      <c r="V113" s="309">
        <v>8</v>
      </c>
      <c r="W113" s="88">
        <f t="shared" si="70"/>
        <v>38.000000000000028</v>
      </c>
      <c r="X113" s="295"/>
      <c r="Y113" s="295"/>
      <c r="Z113" s="296"/>
      <c r="AA113" s="296"/>
      <c r="AB113" s="601"/>
      <c r="AC113" s="601"/>
      <c r="AD113" s="301"/>
      <c r="AE113" s="301"/>
      <c r="AF113" s="165">
        <f t="shared" si="61"/>
        <v>-271.78947368421154</v>
      </c>
      <c r="AG113" s="186">
        <f t="shared" si="62"/>
        <v>0.83386951486295136</v>
      </c>
      <c r="AH113" s="605"/>
    </row>
    <row r="114" spans="1:34" s="298" customFormat="1" ht="19.350000000000001" customHeight="1">
      <c r="A114" s="625"/>
      <c r="B114" s="78">
        <v>0</v>
      </c>
      <c r="C114" s="248"/>
      <c r="D114" s="249"/>
      <c r="E114" s="250"/>
      <c r="F114" s="85" t="s">
        <v>391</v>
      </c>
      <c r="G114" s="104"/>
      <c r="H114" s="87">
        <f t="shared" si="75"/>
        <v>0</v>
      </c>
      <c r="I114" s="359"/>
      <c r="J114" s="89"/>
      <c r="K114" s="86"/>
      <c r="L114" s="90"/>
      <c r="M114" s="310"/>
      <c r="N114" s="86"/>
      <c r="O114" s="90"/>
      <c r="P114" s="92"/>
      <c r="Q114" s="93"/>
      <c r="R114" s="95"/>
      <c r="S114" s="616"/>
      <c r="T114" s="308"/>
      <c r="U114" s="308"/>
      <c r="V114" s="309"/>
      <c r="W114" s="88"/>
      <c r="X114" s="295"/>
      <c r="Y114" s="295"/>
      <c r="Z114" s="296"/>
      <c r="AA114" s="296"/>
      <c r="AB114" s="601"/>
      <c r="AC114" s="601"/>
      <c r="AD114" s="301"/>
      <c r="AE114" s="301"/>
      <c r="AF114" s="92">
        <f t="shared" si="61"/>
        <v>0</v>
      </c>
      <c r="AG114" s="186" t="e">
        <f t="shared" si="62"/>
        <v>#DIV/0!</v>
      </c>
      <c r="AH114" s="605"/>
    </row>
    <row r="115" spans="1:34" s="298" customFormat="1" ht="19.350000000000001" customHeight="1">
      <c r="A115" s="625"/>
      <c r="B115" s="78">
        <v>0</v>
      </c>
      <c r="C115" s="248"/>
      <c r="D115" s="249"/>
      <c r="E115" s="250"/>
      <c r="F115" s="85" t="s">
        <v>391</v>
      </c>
      <c r="G115" s="247"/>
      <c r="H115" s="87">
        <f t="shared" si="75"/>
        <v>0</v>
      </c>
      <c r="I115" s="359"/>
      <c r="J115" s="89"/>
      <c r="K115" s="86"/>
      <c r="L115" s="90"/>
      <c r="M115" s="91"/>
      <c r="N115" s="86"/>
      <c r="O115" s="90"/>
      <c r="P115" s="92"/>
      <c r="Q115" s="93"/>
      <c r="R115" s="95"/>
      <c r="S115" s="616"/>
      <c r="T115" s="308"/>
      <c r="U115" s="308"/>
      <c r="V115" s="309"/>
      <c r="W115" s="88"/>
      <c r="X115" s="295"/>
      <c r="Y115" s="295"/>
      <c r="Z115" s="296"/>
      <c r="AA115" s="296"/>
      <c r="AB115" s="601"/>
      <c r="AC115" s="601"/>
      <c r="AD115" s="301"/>
      <c r="AE115" s="301"/>
      <c r="AF115" s="92">
        <f t="shared" si="61"/>
        <v>0</v>
      </c>
      <c r="AG115" s="186" t="e">
        <f t="shared" si="62"/>
        <v>#DIV/0!</v>
      </c>
      <c r="AH115" s="605"/>
    </row>
    <row r="116" spans="1:34" s="298" customFormat="1" ht="19.350000000000001" customHeight="1">
      <c r="A116" s="625"/>
      <c r="B116" s="78">
        <v>0</v>
      </c>
      <c r="C116" s="102"/>
      <c r="D116" s="132"/>
      <c r="E116" s="133"/>
      <c r="F116" s="85"/>
      <c r="G116" s="104"/>
      <c r="H116" s="87">
        <f t="shared" si="75"/>
        <v>0</v>
      </c>
      <c r="I116" s="359"/>
      <c r="J116" s="89"/>
      <c r="K116" s="86"/>
      <c r="L116" s="90"/>
      <c r="M116" s="189"/>
      <c r="N116" s="86"/>
      <c r="O116" s="90"/>
      <c r="P116" s="92"/>
      <c r="Q116" s="93"/>
      <c r="R116" s="95"/>
      <c r="S116" s="616"/>
      <c r="T116" s="308"/>
      <c r="U116" s="308"/>
      <c r="V116" s="309"/>
      <c r="W116" s="88">
        <f t="shared" si="70"/>
        <v>0</v>
      </c>
      <c r="X116" s="295"/>
      <c r="Y116" s="295"/>
      <c r="Z116" s="296"/>
      <c r="AA116" s="296"/>
      <c r="AB116" s="601"/>
      <c r="AC116" s="601"/>
      <c r="AD116" s="301"/>
      <c r="AE116" s="301"/>
      <c r="AF116" s="165">
        <f t="shared" si="61"/>
        <v>0</v>
      </c>
      <c r="AG116" s="186" t="e">
        <f t="shared" si="62"/>
        <v>#DIV/0!</v>
      </c>
      <c r="AH116" s="605"/>
    </row>
    <row r="117" spans="1:34" s="298" customFormat="1" ht="19.350000000000001" customHeight="1">
      <c r="A117" s="625"/>
      <c r="B117" s="78">
        <v>0</v>
      </c>
      <c r="C117" s="102"/>
      <c r="D117" s="249"/>
      <c r="E117" s="133"/>
      <c r="F117" s="85" t="s">
        <v>391</v>
      </c>
      <c r="G117" s="104"/>
      <c r="H117" s="87">
        <f t="shared" si="75"/>
        <v>0</v>
      </c>
      <c r="I117" s="359"/>
      <c r="J117" s="89"/>
      <c r="K117" s="86"/>
      <c r="L117" s="137"/>
      <c r="M117" s="189"/>
      <c r="N117" s="104"/>
      <c r="O117" s="137"/>
      <c r="P117" s="100"/>
      <c r="Q117" s="139"/>
      <c r="R117" s="141"/>
      <c r="S117" s="616"/>
      <c r="T117" s="308"/>
      <c r="U117" s="308"/>
      <c r="V117" s="309"/>
      <c r="W117" s="88">
        <f t="shared" si="70"/>
        <v>0</v>
      </c>
      <c r="X117" s="295"/>
      <c r="Y117" s="295"/>
      <c r="Z117" s="296"/>
      <c r="AA117" s="296"/>
      <c r="AB117" s="601"/>
      <c r="AC117" s="601"/>
      <c r="AD117" s="301"/>
      <c r="AE117" s="301"/>
      <c r="AF117" s="92">
        <f t="shared" si="61"/>
        <v>0</v>
      </c>
      <c r="AG117" s="186" t="e">
        <f t="shared" si="62"/>
        <v>#DIV/0!</v>
      </c>
      <c r="AH117" s="605"/>
    </row>
    <row r="118" spans="1:34" s="298" customFormat="1" ht="19.350000000000001" customHeight="1">
      <c r="A118" s="625"/>
      <c r="B118" s="78">
        <v>0</v>
      </c>
      <c r="C118" s="233"/>
      <c r="D118" s="249"/>
      <c r="E118" s="84"/>
      <c r="F118" s="199" t="s">
        <v>391</v>
      </c>
      <c r="G118" s="86"/>
      <c r="H118" s="87">
        <f t="shared" si="75"/>
        <v>0</v>
      </c>
      <c r="I118" s="359"/>
      <c r="J118" s="89"/>
      <c r="K118" s="86"/>
      <c r="L118" s="90"/>
      <c r="M118" s="189"/>
      <c r="N118" s="86"/>
      <c r="O118" s="90"/>
      <c r="P118" s="92"/>
      <c r="Q118" s="93"/>
      <c r="R118" s="95"/>
      <c r="S118" s="616"/>
      <c r="T118" s="308"/>
      <c r="U118" s="308"/>
      <c r="V118" s="309"/>
      <c r="W118" s="88">
        <f t="shared" si="70"/>
        <v>0</v>
      </c>
      <c r="X118" s="295"/>
      <c r="Y118" s="295"/>
      <c r="Z118" s="296"/>
      <c r="AA118" s="296"/>
      <c r="AB118" s="601"/>
      <c r="AC118" s="601"/>
      <c r="AD118" s="301"/>
      <c r="AE118" s="301"/>
      <c r="AF118" s="297"/>
      <c r="AG118" s="186"/>
      <c r="AH118" s="605"/>
    </row>
    <row r="119" spans="1:34" s="298" customFormat="1" ht="19.350000000000001" customHeight="1">
      <c r="A119" s="625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359"/>
      <c r="J119" s="251"/>
      <c r="K119" s="313"/>
      <c r="L119" s="90"/>
      <c r="M119" s="189"/>
      <c r="N119" s="252"/>
      <c r="O119" s="305"/>
      <c r="P119" s="235"/>
      <c r="Q119" s="93"/>
      <c r="R119" s="95"/>
      <c r="S119" s="616"/>
      <c r="T119" s="308"/>
      <c r="U119" s="308"/>
      <c r="V119" s="309"/>
      <c r="W119" s="88">
        <f t="shared" si="70"/>
        <v>0</v>
      </c>
      <c r="X119" s="295"/>
      <c r="Y119" s="295"/>
      <c r="Z119" s="296"/>
      <c r="AA119" s="296"/>
      <c r="AB119" s="601"/>
      <c r="AC119" s="601"/>
      <c r="AD119" s="301"/>
      <c r="AE119" s="301"/>
      <c r="AF119" s="297"/>
      <c r="AG119" s="186"/>
      <c r="AH119" s="605"/>
    </row>
    <row r="120" spans="1:34" s="298" customFormat="1" ht="19.350000000000001" customHeight="1">
      <c r="A120" s="625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359"/>
      <c r="J120" s="251"/>
      <c r="K120" s="313"/>
      <c r="L120" s="90"/>
      <c r="M120" s="189"/>
      <c r="N120" s="252"/>
      <c r="O120" s="305"/>
      <c r="P120" s="235"/>
      <c r="Q120" s="93"/>
      <c r="R120" s="95"/>
      <c r="S120" s="616"/>
      <c r="T120" s="308"/>
      <c r="U120" s="308"/>
      <c r="V120" s="309"/>
      <c r="W120" s="88">
        <f t="shared" si="70"/>
        <v>0</v>
      </c>
      <c r="X120" s="295"/>
      <c r="Y120" s="295"/>
      <c r="Z120" s="296"/>
      <c r="AA120" s="296"/>
      <c r="AB120" s="601"/>
      <c r="AC120" s="601"/>
      <c r="AD120" s="301"/>
      <c r="AE120" s="301"/>
      <c r="AF120" s="297"/>
      <c r="AG120" s="186"/>
      <c r="AH120" s="605"/>
    </row>
    <row r="121" spans="1:34" ht="19.350000000000001" customHeight="1">
      <c r="A121" s="626"/>
      <c r="B121" s="182">
        <v>0</v>
      </c>
      <c r="C121" s="156" t="s">
        <v>35</v>
      </c>
      <c r="D121" s="314" t="s">
        <v>75</v>
      </c>
      <c r="E121" s="315"/>
      <c r="F121" s="241"/>
      <c r="G121" s="316"/>
      <c r="H121" s="317"/>
      <c r="I121" s="318"/>
      <c r="J121" s="280">
        <v>18.2</v>
      </c>
      <c r="K121" s="280">
        <v>1483.4</v>
      </c>
      <c r="L121" s="281">
        <v>81.984502923976606</v>
      </c>
      <c r="M121" s="280">
        <f t="shared" ref="M121:O121" si="78">AVERAGE(M109:M120)</f>
        <v>18.399999999999999</v>
      </c>
      <c r="N121" s="280">
        <f t="shared" si="78"/>
        <v>1253.5674446296739</v>
      </c>
      <c r="O121" s="281">
        <f t="shared" si="78"/>
        <v>68.541582387340924</v>
      </c>
      <c r="P121" s="92">
        <f t="shared" ref="P121:P129" si="79">M121-J121</f>
        <v>0.19999999999999929</v>
      </c>
      <c r="Q121" s="93">
        <f t="shared" ref="Q121:Q129" si="80">O121-L121</f>
        <v>-13.442920536635683</v>
      </c>
      <c r="R121" s="245">
        <f t="shared" ref="R121:R129" si="81">O121/L121</f>
        <v>0.83603095637353364</v>
      </c>
      <c r="S121" s="622"/>
      <c r="T121" s="96"/>
      <c r="U121" s="96"/>
      <c r="V121" s="86"/>
      <c r="W121" s="88">
        <f t="shared" si="70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01"/>
      <c r="AC121" s="601"/>
      <c r="AD121" s="164">
        <f>SUM(AD109:AD120)</f>
        <v>0</v>
      </c>
      <c r="AE121" s="164">
        <f>SUM(AE109:AE120)</f>
        <v>0</v>
      </c>
      <c r="AF121" s="92">
        <f>N121-K121</f>
        <v>-229.83255537032619</v>
      </c>
      <c r="AG121" s="186">
        <f>N121/K121</f>
        <v>0.84506366767539021</v>
      </c>
      <c r="AH121" s="605"/>
    </row>
    <row r="122" spans="1:34" ht="19.350000000000001" customHeight="1">
      <c r="A122" s="619" t="s">
        <v>184</v>
      </c>
      <c r="B122" s="192" t="s">
        <v>390</v>
      </c>
      <c r="C122" s="233"/>
      <c r="D122" s="249" t="s">
        <v>180</v>
      </c>
      <c r="E122" s="84"/>
      <c r="F122" s="85">
        <v>54.29</v>
      </c>
      <c r="G122" s="86">
        <v>1317</v>
      </c>
      <c r="H122" s="87">
        <f t="shared" ref="H122:H132" si="82">F122*G122</f>
        <v>71499.929999999993</v>
      </c>
      <c r="I122" s="78"/>
      <c r="J122" s="89">
        <v>16</v>
      </c>
      <c r="K122" s="86">
        <v>1440</v>
      </c>
      <c r="L122" s="90">
        <v>90</v>
      </c>
      <c r="M122" s="91">
        <v>16</v>
      </c>
      <c r="N122" s="247">
        <f t="shared" ref="N122:N129" si="83">G122/W122*60</f>
        <v>1295.4098360655751</v>
      </c>
      <c r="O122" s="319">
        <f t="shared" ref="O122:O129" si="84">N122/M122</f>
        <v>80.963114754098441</v>
      </c>
      <c r="P122" s="165">
        <f t="shared" si="79"/>
        <v>0</v>
      </c>
      <c r="Q122" s="255">
        <f t="shared" si="80"/>
        <v>-9.0368852459015585</v>
      </c>
      <c r="R122" s="166">
        <f t="shared" si="81"/>
        <v>0.89959016393442714</v>
      </c>
      <c r="S122" s="620">
        <f>R134</f>
        <v>0.83776773435476248</v>
      </c>
      <c r="T122" s="96">
        <v>0.70833333333333337</v>
      </c>
      <c r="U122" s="96">
        <v>0.75069444444444444</v>
      </c>
      <c r="V122" s="309">
        <v>5</v>
      </c>
      <c r="W122" s="88">
        <f t="shared" si="70"/>
        <v>60.999999999999943</v>
      </c>
      <c r="X122" s="99"/>
      <c r="Y122" s="99"/>
      <c r="Z122" s="100"/>
      <c r="AA122" s="100"/>
      <c r="AB122" s="601"/>
      <c r="AC122" s="601"/>
      <c r="AD122" s="359"/>
      <c r="AE122" s="359"/>
      <c r="AF122" s="92">
        <f t="shared" si="61"/>
        <v>-144.59016393442494</v>
      </c>
      <c r="AG122" s="95">
        <f t="shared" si="62"/>
        <v>0.89959016393442714</v>
      </c>
      <c r="AH122" s="622">
        <f>AG134</f>
        <v>0.83332099575509844</v>
      </c>
    </row>
    <row r="123" spans="1:34" ht="19.350000000000001" customHeight="1">
      <c r="A123" s="619"/>
      <c r="B123" s="192" t="s">
        <v>390</v>
      </c>
      <c r="C123" s="152"/>
      <c r="D123" s="83" t="s">
        <v>181</v>
      </c>
      <c r="E123" s="250"/>
      <c r="F123" s="85">
        <v>55.32</v>
      </c>
      <c r="G123" s="86">
        <v>539</v>
      </c>
      <c r="H123" s="87">
        <f t="shared" si="82"/>
        <v>29817.48</v>
      </c>
      <c r="I123" s="359"/>
      <c r="J123" s="138">
        <v>15</v>
      </c>
      <c r="K123" s="104">
        <v>1440</v>
      </c>
      <c r="L123" s="137">
        <v>96</v>
      </c>
      <c r="M123" s="189">
        <v>15</v>
      </c>
      <c r="N123" s="104">
        <f t="shared" si="83"/>
        <v>1115.1724137931012</v>
      </c>
      <c r="O123" s="137">
        <f t="shared" si="84"/>
        <v>74.344827586206748</v>
      </c>
      <c r="P123" s="100">
        <f t="shared" si="79"/>
        <v>0</v>
      </c>
      <c r="Q123" s="139">
        <f t="shared" si="80"/>
        <v>-21.655172413793252</v>
      </c>
      <c r="R123" s="141">
        <f t="shared" si="81"/>
        <v>0.77442528735632032</v>
      </c>
      <c r="S123" s="620"/>
      <c r="T123" s="96">
        <v>0.75624999999999998</v>
      </c>
      <c r="U123" s="96">
        <v>0.77638888888888891</v>
      </c>
      <c r="V123" s="309">
        <v>8</v>
      </c>
      <c r="W123" s="88">
        <f>(U123-T123)*24*60</f>
        <v>29.000000000000057</v>
      </c>
      <c r="X123" s="99"/>
      <c r="Y123" s="99"/>
      <c r="Z123" s="100"/>
      <c r="AA123" s="100"/>
      <c r="AB123" s="601"/>
      <c r="AC123" s="601"/>
      <c r="AD123" s="359"/>
      <c r="AE123" s="359"/>
      <c r="AF123" s="92">
        <f t="shared" si="61"/>
        <v>-324.82758620689879</v>
      </c>
      <c r="AG123" s="95">
        <f t="shared" si="62"/>
        <v>0.77442528735632032</v>
      </c>
      <c r="AH123" s="620"/>
    </row>
    <row r="124" spans="1:34" ht="19.350000000000001" customHeight="1">
      <c r="A124" s="619"/>
      <c r="B124" s="192" t="s">
        <v>390</v>
      </c>
      <c r="C124" s="248"/>
      <c r="D124" s="249" t="s">
        <v>182</v>
      </c>
      <c r="E124" s="250"/>
      <c r="F124" s="85">
        <v>55.56</v>
      </c>
      <c r="G124" s="247">
        <v>773</v>
      </c>
      <c r="H124" s="87">
        <f t="shared" si="82"/>
        <v>42947.880000000005</v>
      </c>
      <c r="I124" s="320"/>
      <c r="J124" s="138">
        <v>16</v>
      </c>
      <c r="K124" s="104">
        <v>1440</v>
      </c>
      <c r="L124" s="137">
        <v>90</v>
      </c>
      <c r="M124" s="91">
        <v>16</v>
      </c>
      <c r="N124" s="247">
        <f t="shared" si="83"/>
        <v>1288.3333333333321</v>
      </c>
      <c r="O124" s="319">
        <f t="shared" si="84"/>
        <v>80.520833333333258</v>
      </c>
      <c r="P124" s="165">
        <f t="shared" si="79"/>
        <v>0</v>
      </c>
      <c r="Q124" s="255">
        <f t="shared" si="80"/>
        <v>-9.4791666666667425</v>
      </c>
      <c r="R124" s="166">
        <f t="shared" si="81"/>
        <v>0.89467592592592504</v>
      </c>
      <c r="S124" s="621"/>
      <c r="T124" s="96">
        <v>0.78125</v>
      </c>
      <c r="U124" s="96">
        <v>0.80625000000000002</v>
      </c>
      <c r="V124" s="309">
        <v>7</v>
      </c>
      <c r="W124" s="322">
        <f>(U124-T124)*24*60</f>
        <v>36.000000000000028</v>
      </c>
      <c r="X124" s="264"/>
      <c r="Y124" s="264"/>
      <c r="Z124" s="100"/>
      <c r="AA124" s="100"/>
      <c r="AB124" s="601"/>
      <c r="AC124" s="601"/>
      <c r="AD124" s="359"/>
      <c r="AE124" s="359"/>
      <c r="AF124" s="165">
        <f t="shared" si="61"/>
        <v>-151.66666666666788</v>
      </c>
      <c r="AG124" s="166">
        <f t="shared" si="62"/>
        <v>0.89467592592592504</v>
      </c>
      <c r="AH124" s="620"/>
    </row>
    <row r="125" spans="1:34" ht="19.350000000000001" customHeight="1">
      <c r="A125" s="619"/>
      <c r="B125" s="192" t="s">
        <v>390</v>
      </c>
      <c r="C125" s="152"/>
      <c r="D125" s="83" t="s">
        <v>190</v>
      </c>
      <c r="E125" s="84"/>
      <c r="F125" s="85">
        <v>54.09</v>
      </c>
      <c r="G125" s="86">
        <v>1270.4000000000001</v>
      </c>
      <c r="H125" s="87">
        <f t="shared" si="82"/>
        <v>68715.936000000016</v>
      </c>
      <c r="I125" s="78"/>
      <c r="J125" s="138">
        <v>16</v>
      </c>
      <c r="K125" s="104">
        <v>1565</v>
      </c>
      <c r="L125" s="137">
        <v>97.8125</v>
      </c>
      <c r="M125" s="91">
        <v>17</v>
      </c>
      <c r="N125" s="104">
        <f t="shared" si="83"/>
        <v>1291.9322033898316</v>
      </c>
      <c r="O125" s="137">
        <f t="shared" si="84"/>
        <v>75.996011964107737</v>
      </c>
      <c r="P125" s="100">
        <f t="shared" si="79"/>
        <v>1</v>
      </c>
      <c r="Q125" s="139">
        <f t="shared" si="80"/>
        <v>-21.816488035892263</v>
      </c>
      <c r="R125" s="141">
        <f t="shared" si="81"/>
        <v>0.77695603285988746</v>
      </c>
      <c r="S125" s="621"/>
      <c r="T125" s="96">
        <v>0.82222222222222219</v>
      </c>
      <c r="U125" s="96">
        <v>0.86319444444444438</v>
      </c>
      <c r="V125" s="309">
        <v>23</v>
      </c>
      <c r="W125" s="322">
        <f t="shared" ref="W125:W133" si="85">(U125-T125)*24*60</f>
        <v>58.99999999999995</v>
      </c>
      <c r="X125" s="112">
        <v>0.80972222222222223</v>
      </c>
      <c r="Y125" s="112">
        <v>0.81944444444444453</v>
      </c>
      <c r="Z125" s="100"/>
      <c r="AA125" s="100"/>
      <c r="AB125" s="601"/>
      <c r="AC125" s="601"/>
      <c r="AD125" s="359"/>
      <c r="AE125" s="359"/>
      <c r="AF125" s="92">
        <f t="shared" si="61"/>
        <v>-273.06779661016844</v>
      </c>
      <c r="AG125" s="95">
        <f t="shared" si="62"/>
        <v>0.82551578491363042</v>
      </c>
      <c r="AH125" s="623"/>
    </row>
    <row r="126" spans="1:34" ht="19.350000000000001" customHeight="1">
      <c r="A126" s="619"/>
      <c r="B126" s="192" t="s">
        <v>390</v>
      </c>
      <c r="C126" s="359"/>
      <c r="D126" s="83" t="s">
        <v>193</v>
      </c>
      <c r="E126" s="250"/>
      <c r="F126" s="85">
        <v>57.3</v>
      </c>
      <c r="G126" s="104">
        <v>969</v>
      </c>
      <c r="H126" s="87">
        <f t="shared" si="82"/>
        <v>55523.7</v>
      </c>
      <c r="I126" s="359"/>
      <c r="J126" s="138">
        <v>17</v>
      </c>
      <c r="K126" s="104">
        <v>1385</v>
      </c>
      <c r="L126" s="137">
        <v>81.470588235294116</v>
      </c>
      <c r="M126" s="189">
        <v>17</v>
      </c>
      <c r="N126" s="104">
        <f t="shared" si="83"/>
        <v>1186.5306122448983</v>
      </c>
      <c r="O126" s="137">
        <f t="shared" si="84"/>
        <v>69.795918367346957</v>
      </c>
      <c r="P126" s="100">
        <f t="shared" si="79"/>
        <v>0</v>
      </c>
      <c r="Q126" s="139">
        <f t="shared" si="80"/>
        <v>-11.674669867947159</v>
      </c>
      <c r="R126" s="141">
        <f t="shared" si="81"/>
        <v>0.85670080306490848</v>
      </c>
      <c r="S126" s="621"/>
      <c r="T126" s="96">
        <v>0.86805555555555547</v>
      </c>
      <c r="U126" s="96">
        <v>0.90208333333333324</v>
      </c>
      <c r="V126" s="309">
        <v>7</v>
      </c>
      <c r="W126" s="322">
        <f t="shared" si="85"/>
        <v>48.999999999999986</v>
      </c>
      <c r="X126" s="112"/>
      <c r="Y126" s="112"/>
      <c r="Z126" s="100"/>
      <c r="AA126" s="100"/>
      <c r="AB126" s="601"/>
      <c r="AC126" s="601"/>
      <c r="AD126" s="359"/>
      <c r="AE126" s="359"/>
      <c r="AF126" s="165">
        <f t="shared" si="61"/>
        <v>-198.46938775510171</v>
      </c>
      <c r="AG126" s="166">
        <f t="shared" si="62"/>
        <v>0.85670080306490848</v>
      </c>
      <c r="AH126" s="623"/>
    </row>
    <row r="127" spans="1:34" ht="19.350000000000001" customHeight="1">
      <c r="A127" s="619"/>
      <c r="B127" s="192" t="s">
        <v>390</v>
      </c>
      <c r="C127" s="303"/>
      <c r="D127" s="132" t="s">
        <v>194</v>
      </c>
      <c r="E127" s="133"/>
      <c r="F127" s="85">
        <v>50.67</v>
      </c>
      <c r="G127" s="288">
        <v>843</v>
      </c>
      <c r="H127" s="87">
        <f t="shared" si="82"/>
        <v>42714.810000000005</v>
      </c>
      <c r="I127" s="301"/>
      <c r="J127" s="138">
        <v>19</v>
      </c>
      <c r="K127" s="104">
        <v>1636</v>
      </c>
      <c r="L127" s="137">
        <v>86.10526315789474</v>
      </c>
      <c r="M127" s="91">
        <v>18</v>
      </c>
      <c r="N127" s="247">
        <f t="shared" si="83"/>
        <v>1264.4999999999995</v>
      </c>
      <c r="O127" s="319">
        <f t="shared" si="84"/>
        <v>70.249999999999972</v>
      </c>
      <c r="P127" s="165">
        <f t="shared" si="79"/>
        <v>-1</v>
      </c>
      <c r="Q127" s="255">
        <f t="shared" si="80"/>
        <v>-15.855263157894768</v>
      </c>
      <c r="R127" s="166">
        <f t="shared" si="81"/>
        <v>0.81586185819070867</v>
      </c>
      <c r="S127" s="621"/>
      <c r="T127" s="96">
        <v>0.90763888888888877</v>
      </c>
      <c r="U127" s="96">
        <v>0.93541666666666656</v>
      </c>
      <c r="V127" s="78">
        <v>8</v>
      </c>
      <c r="W127" s="322">
        <f t="shared" si="85"/>
        <v>40.000000000000014</v>
      </c>
      <c r="X127" s="112"/>
      <c r="Y127" s="112"/>
      <c r="Z127" s="100"/>
      <c r="AA127" s="100"/>
      <c r="AB127" s="601"/>
      <c r="AC127" s="601"/>
      <c r="AD127" s="359"/>
      <c r="AE127" s="359">
        <v>1</v>
      </c>
      <c r="AF127" s="165">
        <f t="shared" si="61"/>
        <v>-371.50000000000045</v>
      </c>
      <c r="AG127" s="166">
        <f t="shared" si="62"/>
        <v>0.77292176039119775</v>
      </c>
      <c r="AH127" s="623"/>
    </row>
    <row r="128" spans="1:34" ht="19.350000000000001" customHeight="1">
      <c r="A128" s="619"/>
      <c r="B128" s="192" t="s">
        <v>390</v>
      </c>
      <c r="C128" s="226"/>
      <c r="D128" s="106" t="s">
        <v>191</v>
      </c>
      <c r="E128" s="133"/>
      <c r="F128" s="85">
        <v>50.67</v>
      </c>
      <c r="G128" s="104">
        <v>441</v>
      </c>
      <c r="H128" s="87">
        <f t="shared" si="82"/>
        <v>22345.47</v>
      </c>
      <c r="I128" s="359"/>
      <c r="J128" s="138">
        <v>18</v>
      </c>
      <c r="K128" s="104">
        <v>1440</v>
      </c>
      <c r="L128" s="137">
        <v>80</v>
      </c>
      <c r="M128" s="138">
        <v>18</v>
      </c>
      <c r="N128" s="104">
        <f t="shared" si="83"/>
        <v>1102.4999999999966</v>
      </c>
      <c r="O128" s="137">
        <f t="shared" si="84"/>
        <v>61.249999999999808</v>
      </c>
      <c r="P128" s="100">
        <f t="shared" si="79"/>
        <v>0</v>
      </c>
      <c r="Q128" s="139">
        <f t="shared" si="80"/>
        <v>-18.750000000000192</v>
      </c>
      <c r="R128" s="141">
        <f t="shared" si="81"/>
        <v>0.76562499999999756</v>
      </c>
      <c r="S128" s="621"/>
      <c r="T128" s="96">
        <v>0.95138888888888884</v>
      </c>
      <c r="U128" s="96">
        <v>0.96805555555555556</v>
      </c>
      <c r="V128" s="78">
        <v>23</v>
      </c>
      <c r="W128" s="322">
        <f t="shared" si="85"/>
        <v>24.000000000000075</v>
      </c>
      <c r="X128" s="112">
        <v>0.93888888888888899</v>
      </c>
      <c r="Y128" s="112">
        <v>0.94861111111111107</v>
      </c>
      <c r="Z128" s="100"/>
      <c r="AA128" s="100"/>
      <c r="AB128" s="601"/>
      <c r="AC128" s="601"/>
      <c r="AD128" s="359"/>
      <c r="AE128" s="359"/>
      <c r="AF128" s="165">
        <f t="shared" si="61"/>
        <v>-337.50000000000341</v>
      </c>
      <c r="AG128" s="166">
        <f t="shared" si="62"/>
        <v>0.76562499999999767</v>
      </c>
      <c r="AH128" s="623"/>
    </row>
    <row r="129" spans="1:34" ht="19.350000000000001" customHeight="1">
      <c r="A129" s="619"/>
      <c r="B129" s="192" t="s">
        <v>390</v>
      </c>
      <c r="C129" s="226"/>
      <c r="D129" s="106" t="s">
        <v>192</v>
      </c>
      <c r="E129" s="107"/>
      <c r="F129" s="85">
        <v>47.6</v>
      </c>
      <c r="G129" s="104">
        <v>1192</v>
      </c>
      <c r="H129" s="87">
        <f t="shared" si="82"/>
        <v>56739.200000000004</v>
      </c>
      <c r="I129" s="359"/>
      <c r="J129" s="138">
        <v>19</v>
      </c>
      <c r="K129" s="104">
        <v>1440</v>
      </c>
      <c r="L129" s="137">
        <v>75.78947368421052</v>
      </c>
      <c r="M129" s="189">
        <v>18</v>
      </c>
      <c r="N129" s="104">
        <f t="shared" si="83"/>
        <v>1277.1428571428544</v>
      </c>
      <c r="O129" s="137">
        <f t="shared" si="84"/>
        <v>70.952380952380793</v>
      </c>
      <c r="P129" s="100">
        <f t="shared" si="79"/>
        <v>-1</v>
      </c>
      <c r="Q129" s="139">
        <f t="shared" si="80"/>
        <v>-4.8370927318297277</v>
      </c>
      <c r="R129" s="141">
        <f t="shared" si="81"/>
        <v>0.93617724867724661</v>
      </c>
      <c r="S129" s="621"/>
      <c r="T129" s="96">
        <v>0.97291666666666665</v>
      </c>
      <c r="U129" s="96">
        <v>1.0118055555555556</v>
      </c>
      <c r="V129" s="78">
        <v>7</v>
      </c>
      <c r="W129" s="322">
        <f t="shared" si="85"/>
        <v>56.000000000000121</v>
      </c>
      <c r="X129" s="112"/>
      <c r="Y129" s="112"/>
      <c r="Z129" s="100"/>
      <c r="AA129" s="100"/>
      <c r="AB129" s="601"/>
      <c r="AC129" s="601"/>
      <c r="AD129" s="359"/>
      <c r="AE129" s="359"/>
      <c r="AF129" s="165"/>
      <c r="AG129" s="166"/>
      <c r="AH129" s="623"/>
    </row>
    <row r="130" spans="1:34" ht="19.350000000000001" customHeight="1">
      <c r="A130" s="619"/>
      <c r="B130" s="278">
        <v>0</v>
      </c>
      <c r="C130" s="226"/>
      <c r="D130" s="106"/>
      <c r="E130" s="107"/>
      <c r="F130" s="85" t="s">
        <v>391</v>
      </c>
      <c r="G130" s="104"/>
      <c r="H130" s="87">
        <f t="shared" si="82"/>
        <v>0</v>
      </c>
      <c r="I130" s="359"/>
      <c r="J130" s="89"/>
      <c r="K130" s="104"/>
      <c r="L130" s="137"/>
      <c r="M130" s="189"/>
      <c r="N130" s="86"/>
      <c r="O130" s="90"/>
      <c r="P130" s="92"/>
      <c r="Q130" s="93"/>
      <c r="R130" s="95"/>
      <c r="S130" s="621"/>
      <c r="T130" s="96"/>
      <c r="U130" s="96"/>
      <c r="V130" s="78"/>
      <c r="W130" s="322">
        <f t="shared" si="85"/>
        <v>0</v>
      </c>
      <c r="X130" s="112"/>
      <c r="Y130" s="112"/>
      <c r="Z130" s="100"/>
      <c r="AA130" s="100"/>
      <c r="AB130" s="601"/>
      <c r="AC130" s="601"/>
      <c r="AD130" s="359"/>
      <c r="AE130" s="359"/>
      <c r="AF130" s="113"/>
      <c r="AG130" s="114"/>
      <c r="AH130" s="623"/>
    </row>
    <row r="131" spans="1:34" ht="19.350000000000001" customHeight="1">
      <c r="A131" s="619"/>
      <c r="B131" s="278">
        <v>0</v>
      </c>
      <c r="C131" s="226"/>
      <c r="D131" s="106"/>
      <c r="E131" s="133"/>
      <c r="F131" s="85" t="s">
        <v>391</v>
      </c>
      <c r="G131" s="288"/>
      <c r="H131" s="87">
        <f t="shared" si="82"/>
        <v>0</v>
      </c>
      <c r="I131" s="301"/>
      <c r="J131" s="89"/>
      <c r="K131" s="86"/>
      <c r="L131" s="90"/>
      <c r="M131" s="138"/>
      <c r="N131" s="86"/>
      <c r="O131" s="90"/>
      <c r="P131" s="92"/>
      <c r="Q131" s="93"/>
      <c r="R131" s="95"/>
      <c r="S131" s="621"/>
      <c r="T131" s="96"/>
      <c r="U131" s="96"/>
      <c r="V131" s="78"/>
      <c r="W131" s="322">
        <f t="shared" si="85"/>
        <v>0</v>
      </c>
      <c r="X131" s="112"/>
      <c r="Y131" s="112"/>
      <c r="Z131" s="100"/>
      <c r="AA131" s="100"/>
      <c r="AB131" s="601"/>
      <c r="AC131" s="601"/>
      <c r="AD131" s="359"/>
      <c r="AE131" s="359"/>
      <c r="AF131" s="113"/>
      <c r="AG131" s="114"/>
      <c r="AH131" s="623"/>
    </row>
    <row r="132" spans="1:34" ht="19.350000000000001" customHeight="1">
      <c r="A132" s="619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2"/>
        <v>0</v>
      </c>
      <c r="I132" s="359"/>
      <c r="J132" s="138"/>
      <c r="K132" s="104"/>
      <c r="L132" s="137"/>
      <c r="M132" s="189"/>
      <c r="N132" s="104"/>
      <c r="O132" s="137"/>
      <c r="P132" s="100"/>
      <c r="Q132" s="139"/>
      <c r="R132" s="141"/>
      <c r="S132" s="621"/>
      <c r="T132" s="96"/>
      <c r="U132" s="96"/>
      <c r="V132" s="78"/>
      <c r="W132" s="322">
        <f t="shared" si="85"/>
        <v>0</v>
      </c>
      <c r="X132" s="112"/>
      <c r="Y132" s="112"/>
      <c r="Z132" s="100"/>
      <c r="AA132" s="100"/>
      <c r="AB132" s="601"/>
      <c r="AC132" s="601"/>
      <c r="AD132" s="359"/>
      <c r="AE132" s="359"/>
      <c r="AF132" s="113"/>
      <c r="AG132" s="114"/>
      <c r="AH132" s="623"/>
    </row>
    <row r="133" spans="1:34" ht="19.350000000000001" customHeight="1">
      <c r="A133" s="619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359"/>
      <c r="J133" s="138"/>
      <c r="K133" s="104"/>
      <c r="L133" s="137"/>
      <c r="M133" s="189"/>
      <c r="N133" s="104"/>
      <c r="O133" s="137"/>
      <c r="P133" s="100"/>
      <c r="Q133" s="139"/>
      <c r="R133" s="141"/>
      <c r="S133" s="621"/>
      <c r="T133" s="96"/>
      <c r="U133" s="96"/>
      <c r="V133" s="78"/>
      <c r="W133" s="322">
        <f t="shared" si="85"/>
        <v>0</v>
      </c>
      <c r="X133" s="112"/>
      <c r="Y133" s="112"/>
      <c r="Z133" s="100"/>
      <c r="AA133" s="100"/>
      <c r="AB133" s="601"/>
      <c r="AC133" s="601"/>
      <c r="AD133" s="359"/>
      <c r="AE133" s="359"/>
      <c r="AF133" s="113"/>
      <c r="AG133" s="114"/>
      <c r="AH133" s="623"/>
    </row>
    <row r="134" spans="1:34" ht="19.350000000000001" customHeight="1">
      <c r="A134" s="619"/>
      <c r="B134" s="240">
        <v>0</v>
      </c>
      <c r="C134" s="156" t="s">
        <v>36</v>
      </c>
      <c r="D134" s="602" t="s">
        <v>75</v>
      </c>
      <c r="E134" s="602"/>
      <c r="F134" s="258"/>
      <c r="G134" s="158"/>
      <c r="H134" s="159"/>
      <c r="I134" s="325"/>
      <c r="J134" s="326">
        <v>17</v>
      </c>
      <c r="K134" s="326">
        <v>1473.25</v>
      </c>
      <c r="L134" s="327">
        <v>87.147228134674933</v>
      </c>
      <c r="M134" s="326">
        <f t="shared" ref="M134:O134" si="86">AVERAGE(M122:M133)</f>
        <v>16.875</v>
      </c>
      <c r="N134" s="326">
        <f t="shared" si="86"/>
        <v>1227.6901569961988</v>
      </c>
      <c r="O134" s="327">
        <f t="shared" si="86"/>
        <v>73.009135869684229</v>
      </c>
      <c r="P134" s="97">
        <f t="shared" ref="P134:P141" si="87">M134-J134</f>
        <v>-0.125</v>
      </c>
      <c r="Q134" s="205">
        <f t="shared" ref="Q134:Q141" si="88">O134-L134</f>
        <v>-14.138092264990703</v>
      </c>
      <c r="R134" s="328">
        <f t="shared" ref="R134:R141" si="89">O134/L134</f>
        <v>0.83776773435476248</v>
      </c>
      <c r="S134" s="620"/>
      <c r="T134" s="96"/>
      <c r="U134" s="96"/>
      <c r="V134" s="78"/>
      <c r="W134" s="78"/>
      <c r="X134" s="99"/>
      <c r="Y134" s="99"/>
      <c r="Z134" s="163">
        <f>SUM(Z122:Z133)</f>
        <v>0</v>
      </c>
      <c r="AA134" s="163">
        <f>SUM(AA122:AA133)</f>
        <v>0</v>
      </c>
      <c r="AB134" s="601"/>
      <c r="AC134" s="601"/>
      <c r="AD134" s="164">
        <f>SUM(AD122:AD133)</f>
        <v>0</v>
      </c>
      <c r="AE134" s="164">
        <f>SUM(AE122:AE133)</f>
        <v>1</v>
      </c>
      <c r="AF134" s="92">
        <f t="shared" si="61"/>
        <v>-245.55984300380123</v>
      </c>
      <c r="AG134" s="95">
        <f t="shared" si="62"/>
        <v>0.83332099575509844</v>
      </c>
      <c r="AH134" s="623"/>
    </row>
    <row r="135" spans="1:34" ht="19.350000000000001" customHeight="1">
      <c r="A135" s="612" t="s">
        <v>195</v>
      </c>
      <c r="B135" s="78" t="s">
        <v>390</v>
      </c>
      <c r="C135" s="359"/>
      <c r="D135" s="132" t="s">
        <v>196</v>
      </c>
      <c r="E135" s="133"/>
      <c r="F135" s="85">
        <v>50.67</v>
      </c>
      <c r="G135" s="104">
        <v>785</v>
      </c>
      <c r="H135" s="329">
        <f t="shared" ref="H135:H146" si="90">F135*G135</f>
        <v>39775.950000000004</v>
      </c>
      <c r="I135" s="359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91">G135/W135*60</f>
        <v>1308.3333333333323</v>
      </c>
      <c r="O135" s="174">
        <f t="shared" ref="O135:O141" si="92">N135/M135</f>
        <v>76.960784313725426</v>
      </c>
      <c r="P135" s="100">
        <f t="shared" si="87"/>
        <v>0</v>
      </c>
      <c r="Q135" s="139">
        <f t="shared" si="88"/>
        <v>-11.274509803921632</v>
      </c>
      <c r="R135" s="141">
        <f t="shared" si="89"/>
        <v>0.87222222222222145</v>
      </c>
      <c r="S135" s="616">
        <f>R147</f>
        <v>0.88462180221465636</v>
      </c>
      <c r="T135" s="330">
        <v>0.70833333333333337</v>
      </c>
      <c r="U135" s="96">
        <v>0.73333333333333339</v>
      </c>
      <c r="V135" s="208">
        <v>5</v>
      </c>
      <c r="W135" s="331">
        <f t="shared" ref="W135:W147" si="93">(U135-T135)*24*60</f>
        <v>36.000000000000028</v>
      </c>
      <c r="X135" s="230"/>
      <c r="Y135" s="230"/>
      <c r="Z135" s="100"/>
      <c r="AA135" s="100"/>
      <c r="AB135" s="601"/>
      <c r="AC135" s="601"/>
      <c r="AD135" s="359"/>
      <c r="AE135" s="359"/>
      <c r="AF135" s="175">
        <f t="shared" si="61"/>
        <v>-191.66666666666765</v>
      </c>
      <c r="AG135" s="180">
        <f t="shared" si="62"/>
        <v>0.87222222222222157</v>
      </c>
      <c r="AH135" s="605">
        <f>AG147</f>
        <v>0.8873366359100533</v>
      </c>
    </row>
    <row r="136" spans="1:34" ht="19.350000000000001" customHeight="1">
      <c r="A136" s="613"/>
      <c r="B136" s="78" t="s">
        <v>390</v>
      </c>
      <c r="C136" s="359"/>
      <c r="D136" s="132" t="s">
        <v>197</v>
      </c>
      <c r="E136" s="332"/>
      <c r="F136" s="85">
        <v>50.98</v>
      </c>
      <c r="G136" s="104">
        <v>1569</v>
      </c>
      <c r="H136" s="135">
        <f t="shared" si="90"/>
        <v>79987.62</v>
      </c>
      <c r="I136" s="359"/>
      <c r="J136" s="89">
        <v>18</v>
      </c>
      <c r="K136" s="104">
        <v>1440</v>
      </c>
      <c r="L136" s="137">
        <v>80</v>
      </c>
      <c r="M136" s="189">
        <v>18</v>
      </c>
      <c r="N136" s="104">
        <f t="shared" si="91"/>
        <v>1344.8571428571415</v>
      </c>
      <c r="O136" s="137">
        <f t="shared" si="92"/>
        <v>74.714285714285637</v>
      </c>
      <c r="P136" s="100">
        <f t="shared" si="87"/>
        <v>0</v>
      </c>
      <c r="Q136" s="139">
        <f t="shared" si="88"/>
        <v>-5.2857142857143629</v>
      </c>
      <c r="R136" s="141">
        <f t="shared" si="89"/>
        <v>0.93392857142857044</v>
      </c>
      <c r="S136" s="616"/>
      <c r="T136" s="330">
        <v>0.73819444444444449</v>
      </c>
      <c r="U136" s="96">
        <v>0.78680555555555565</v>
      </c>
      <c r="V136" s="208">
        <v>7</v>
      </c>
      <c r="W136" s="88">
        <f t="shared" si="93"/>
        <v>70.000000000000071</v>
      </c>
      <c r="X136" s="99"/>
      <c r="Y136" s="99"/>
      <c r="Z136" s="100"/>
      <c r="AA136" s="100"/>
      <c r="AB136" s="601"/>
      <c r="AC136" s="601"/>
      <c r="AD136" s="359"/>
      <c r="AE136" s="359"/>
      <c r="AF136" s="92">
        <f t="shared" si="61"/>
        <v>-95.142857142858475</v>
      </c>
      <c r="AG136" s="186">
        <f t="shared" si="62"/>
        <v>0.93392857142857055</v>
      </c>
      <c r="AH136" s="605"/>
    </row>
    <row r="137" spans="1:34" ht="19.350000000000001" customHeight="1">
      <c r="A137" s="613"/>
      <c r="B137" s="78" t="s">
        <v>390</v>
      </c>
      <c r="C137" s="359"/>
      <c r="D137" s="132" t="s">
        <v>198</v>
      </c>
      <c r="E137" s="133"/>
      <c r="F137" s="85">
        <v>54.09</v>
      </c>
      <c r="G137" s="288">
        <v>876</v>
      </c>
      <c r="H137" s="135">
        <f t="shared" si="90"/>
        <v>47382.840000000004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91"/>
        <v>1313.9999999999995</v>
      </c>
      <c r="O137" s="137">
        <f t="shared" si="92"/>
        <v>72.999999999999972</v>
      </c>
      <c r="P137" s="100">
        <f t="shared" si="87"/>
        <v>-1</v>
      </c>
      <c r="Q137" s="139">
        <f t="shared" si="88"/>
        <v>-5.9473684210526585</v>
      </c>
      <c r="R137" s="141">
        <f t="shared" si="89"/>
        <v>0.9246666666666663</v>
      </c>
      <c r="S137" s="616"/>
      <c r="T137" s="96">
        <v>0.80208333333333337</v>
      </c>
      <c r="U137" s="96">
        <v>0.82986111111111116</v>
      </c>
      <c r="V137" s="333">
        <v>22</v>
      </c>
      <c r="W137" s="88">
        <f t="shared" si="93"/>
        <v>40.000000000000014</v>
      </c>
      <c r="X137" s="99">
        <v>0.79027777777777775</v>
      </c>
      <c r="Y137" s="99">
        <v>0.7993055555555556</v>
      </c>
      <c r="Z137" s="100"/>
      <c r="AA137" s="100"/>
      <c r="AB137" s="601"/>
      <c r="AC137" s="601"/>
      <c r="AD137" s="359"/>
      <c r="AE137" s="359"/>
      <c r="AF137" s="92">
        <f t="shared" si="61"/>
        <v>-186.00000000000045</v>
      </c>
      <c r="AG137" s="186">
        <f t="shared" si="62"/>
        <v>0.87599999999999967</v>
      </c>
      <c r="AH137" s="605"/>
    </row>
    <row r="138" spans="1:34" ht="19.350000000000001" customHeight="1">
      <c r="A138" s="613"/>
      <c r="B138" s="78" t="s">
        <v>390</v>
      </c>
      <c r="C138" s="303"/>
      <c r="D138" s="132" t="s">
        <v>199</v>
      </c>
      <c r="E138" s="133"/>
      <c r="F138" s="85">
        <v>50.92</v>
      </c>
      <c r="G138" s="104">
        <v>1915</v>
      </c>
      <c r="H138" s="135">
        <f t="shared" si="90"/>
        <v>97511.8</v>
      </c>
      <c r="I138" s="359"/>
      <c r="J138" s="138">
        <v>17</v>
      </c>
      <c r="K138" s="104">
        <v>1440</v>
      </c>
      <c r="L138" s="137">
        <v>84.705882352941174</v>
      </c>
      <c r="M138" s="310">
        <v>17</v>
      </c>
      <c r="N138" s="104">
        <f t="shared" si="91"/>
        <v>1320.6896551724137</v>
      </c>
      <c r="O138" s="137">
        <f t="shared" si="92"/>
        <v>77.687626774847871</v>
      </c>
      <c r="P138" s="100">
        <f t="shared" si="87"/>
        <v>0</v>
      </c>
      <c r="Q138" s="139">
        <f t="shared" si="88"/>
        <v>-7.0182555780933029</v>
      </c>
      <c r="R138" s="321">
        <f t="shared" si="89"/>
        <v>0.91714559386973182</v>
      </c>
      <c r="S138" s="616"/>
      <c r="T138" s="96">
        <v>0.83472222222222225</v>
      </c>
      <c r="U138" s="96">
        <v>0.89513888888888893</v>
      </c>
      <c r="V138" s="333">
        <v>7</v>
      </c>
      <c r="W138" s="88">
        <f t="shared" si="93"/>
        <v>87.000000000000014</v>
      </c>
      <c r="X138" s="99"/>
      <c r="Y138" s="99"/>
      <c r="Z138" s="100"/>
      <c r="AA138" s="100"/>
      <c r="AB138" s="601"/>
      <c r="AC138" s="601"/>
      <c r="AD138" s="359"/>
      <c r="AE138" s="359"/>
      <c r="AF138" s="92">
        <f t="shared" si="61"/>
        <v>-119.31034482758628</v>
      </c>
      <c r="AG138" s="186">
        <f t="shared" si="62"/>
        <v>0.91714559386973171</v>
      </c>
      <c r="AH138" s="605"/>
    </row>
    <row r="139" spans="1:34" ht="19.350000000000001" customHeight="1">
      <c r="A139" s="613"/>
      <c r="B139" s="78" t="s">
        <v>390</v>
      </c>
      <c r="C139" s="237"/>
      <c r="D139" s="83" t="s">
        <v>200</v>
      </c>
      <c r="E139" s="84"/>
      <c r="F139" s="85">
        <v>50.29</v>
      </c>
      <c r="G139" s="104">
        <v>726</v>
      </c>
      <c r="H139" s="135">
        <f t="shared" si="90"/>
        <v>36510.54</v>
      </c>
      <c r="I139" s="359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91"/>
        <v>1244.5714285714273</v>
      </c>
      <c r="O139" s="137">
        <f t="shared" si="92"/>
        <v>69.142857142857068</v>
      </c>
      <c r="P139" s="100">
        <f t="shared" si="87"/>
        <v>0</v>
      </c>
      <c r="Q139" s="139">
        <f t="shared" si="88"/>
        <v>-10.857142857142932</v>
      </c>
      <c r="R139" s="141">
        <f t="shared" si="89"/>
        <v>0.86428571428571332</v>
      </c>
      <c r="S139" s="616"/>
      <c r="T139" s="96">
        <v>0.90069444444444446</v>
      </c>
      <c r="U139" s="96">
        <v>0.92500000000000004</v>
      </c>
      <c r="V139" s="334">
        <v>8</v>
      </c>
      <c r="W139" s="88">
        <f t="shared" si="93"/>
        <v>35.000000000000036</v>
      </c>
      <c r="X139" s="99"/>
      <c r="Y139" s="99"/>
      <c r="Z139" s="100"/>
      <c r="AA139" s="100"/>
      <c r="AB139" s="601"/>
      <c r="AC139" s="601"/>
      <c r="AD139" s="359"/>
      <c r="AE139" s="359"/>
      <c r="AF139" s="92">
        <f t="shared" si="61"/>
        <v>-195.4285714285727</v>
      </c>
      <c r="AG139" s="186">
        <f t="shared" si="62"/>
        <v>0.86428571428571344</v>
      </c>
      <c r="AH139" s="605"/>
    </row>
    <row r="140" spans="1:34" ht="19.350000000000001" customHeight="1">
      <c r="A140" s="614"/>
      <c r="B140" s="78" t="s">
        <v>390</v>
      </c>
      <c r="C140" s="237"/>
      <c r="D140" s="335" t="s">
        <v>201</v>
      </c>
      <c r="E140" s="133"/>
      <c r="F140" s="85">
        <v>50.67</v>
      </c>
      <c r="G140" s="104">
        <v>934</v>
      </c>
      <c r="H140" s="135">
        <f t="shared" si="90"/>
        <v>47325.78</v>
      </c>
      <c r="I140" s="359"/>
      <c r="J140" s="89">
        <v>17</v>
      </c>
      <c r="K140" s="104">
        <v>1440</v>
      </c>
      <c r="L140" s="137">
        <v>84.705882352941174</v>
      </c>
      <c r="M140" s="310">
        <v>17</v>
      </c>
      <c r="N140" s="104">
        <f t="shared" si="91"/>
        <v>1273.6363636363635</v>
      </c>
      <c r="O140" s="137">
        <f t="shared" si="92"/>
        <v>74.919786096256672</v>
      </c>
      <c r="P140" s="100">
        <f t="shared" si="87"/>
        <v>0</v>
      </c>
      <c r="Q140" s="139">
        <f t="shared" si="88"/>
        <v>-9.7860962566845018</v>
      </c>
      <c r="R140" s="141">
        <f t="shared" si="89"/>
        <v>0.88446969696969691</v>
      </c>
      <c r="S140" s="617"/>
      <c r="T140" s="111">
        <v>0.92986111111111114</v>
      </c>
      <c r="U140" s="336">
        <v>0.9604166666666667</v>
      </c>
      <c r="V140" s="337">
        <v>7</v>
      </c>
      <c r="W140" s="88">
        <f t="shared" si="93"/>
        <v>44</v>
      </c>
      <c r="X140" s="99"/>
      <c r="Y140" s="99"/>
      <c r="Z140" s="100"/>
      <c r="AA140" s="100"/>
      <c r="AB140" s="601"/>
      <c r="AC140" s="601"/>
      <c r="AD140" s="359"/>
      <c r="AE140" s="359"/>
      <c r="AF140" s="92">
        <f t="shared" si="61"/>
        <v>-166.36363636363649</v>
      </c>
      <c r="AG140" s="186">
        <f t="shared" si="62"/>
        <v>0.88446969696969691</v>
      </c>
      <c r="AH140" s="605"/>
    </row>
    <row r="141" spans="1:34" ht="19.350000000000001" customHeight="1">
      <c r="A141" s="614"/>
      <c r="B141" s="78" t="s">
        <v>390</v>
      </c>
      <c r="C141" s="237"/>
      <c r="D141" s="83" t="s">
        <v>202</v>
      </c>
      <c r="E141" s="338"/>
      <c r="F141" s="85">
        <v>50.49</v>
      </c>
      <c r="G141" s="104">
        <v>1224</v>
      </c>
      <c r="H141" s="135">
        <f t="shared" si="90"/>
        <v>61799.76</v>
      </c>
      <c r="I141" s="359"/>
      <c r="J141" s="89">
        <v>15</v>
      </c>
      <c r="K141" s="86">
        <v>1440</v>
      </c>
      <c r="L141" s="90">
        <v>96</v>
      </c>
      <c r="M141" s="310">
        <v>16</v>
      </c>
      <c r="N141" s="104">
        <f t="shared" si="91"/>
        <v>1244.7457627118654</v>
      </c>
      <c r="O141" s="137">
        <f t="shared" si="92"/>
        <v>77.796610169491586</v>
      </c>
      <c r="P141" s="100">
        <f t="shared" si="87"/>
        <v>1</v>
      </c>
      <c r="Q141" s="139">
        <f t="shared" si="88"/>
        <v>-18.203389830508414</v>
      </c>
      <c r="R141" s="321">
        <f t="shared" si="89"/>
        <v>0.81038135593220406</v>
      </c>
      <c r="S141" s="617"/>
      <c r="T141" s="111">
        <v>0.97569444444444442</v>
      </c>
      <c r="U141" s="336">
        <v>1.0166666666666666</v>
      </c>
      <c r="V141" s="102">
        <v>22</v>
      </c>
      <c r="W141" s="88">
        <f t="shared" si="93"/>
        <v>58.99999999999995</v>
      </c>
      <c r="X141" s="99">
        <v>0.96388888888888891</v>
      </c>
      <c r="Y141" s="99">
        <v>0.97291666666666676</v>
      </c>
      <c r="Z141" s="100"/>
      <c r="AA141" s="100"/>
      <c r="AB141" s="601"/>
      <c r="AC141" s="601"/>
      <c r="AD141" s="359"/>
      <c r="AE141" s="359"/>
      <c r="AF141" s="92">
        <f t="shared" si="61"/>
        <v>-195.25423728813462</v>
      </c>
      <c r="AG141" s="186">
        <f t="shared" si="62"/>
        <v>0.86440677966101764</v>
      </c>
      <c r="AH141" s="605"/>
    </row>
    <row r="142" spans="1:34" ht="19.350000000000001" customHeight="1">
      <c r="A142" s="614"/>
      <c r="B142" s="78">
        <v>0</v>
      </c>
      <c r="C142" s="237"/>
      <c r="D142" s="83"/>
      <c r="E142" s="338"/>
      <c r="F142" s="85" t="s">
        <v>391</v>
      </c>
      <c r="G142" s="104"/>
      <c r="H142" s="135">
        <f t="shared" si="90"/>
        <v>0</v>
      </c>
      <c r="I142" s="359"/>
      <c r="J142" s="138"/>
      <c r="K142" s="104"/>
      <c r="L142" s="137"/>
      <c r="M142" s="310"/>
      <c r="N142" s="104"/>
      <c r="O142" s="137"/>
      <c r="P142" s="100"/>
      <c r="Q142" s="139"/>
      <c r="R142" s="141"/>
      <c r="S142" s="617"/>
      <c r="T142" s="111"/>
      <c r="U142" s="336"/>
      <c r="V142" s="102"/>
      <c r="W142" s="88"/>
      <c r="X142" s="99"/>
      <c r="Y142" s="99"/>
      <c r="Z142" s="100"/>
      <c r="AA142" s="100"/>
      <c r="AB142" s="601"/>
      <c r="AC142" s="601"/>
      <c r="AD142" s="359"/>
      <c r="AE142" s="359"/>
      <c r="AF142" s="92">
        <f t="shared" si="61"/>
        <v>0</v>
      </c>
      <c r="AG142" s="186" t="e">
        <f t="shared" si="62"/>
        <v>#DIV/0!</v>
      </c>
      <c r="AH142" s="605"/>
    </row>
    <row r="143" spans="1:34" ht="19.350000000000001" customHeight="1">
      <c r="A143" s="614"/>
      <c r="B143" s="78">
        <v>0</v>
      </c>
      <c r="C143" s="339"/>
      <c r="D143" s="132"/>
      <c r="E143" s="133"/>
      <c r="F143" s="85" t="s">
        <v>391</v>
      </c>
      <c r="G143" s="104"/>
      <c r="H143" s="135">
        <f t="shared" si="90"/>
        <v>0</v>
      </c>
      <c r="I143" s="359"/>
      <c r="J143" s="89"/>
      <c r="K143" s="86"/>
      <c r="L143" s="90"/>
      <c r="M143" s="310"/>
      <c r="N143" s="104"/>
      <c r="O143" s="137"/>
      <c r="P143" s="100"/>
      <c r="Q143" s="139"/>
      <c r="R143" s="141"/>
      <c r="S143" s="617"/>
      <c r="T143" s="111"/>
      <c r="U143" s="336"/>
      <c r="V143" s="102"/>
      <c r="W143" s="88"/>
      <c r="X143" s="99"/>
      <c r="Y143" s="99"/>
      <c r="Z143" s="100"/>
      <c r="AA143" s="100"/>
      <c r="AB143" s="601"/>
      <c r="AC143" s="601"/>
      <c r="AD143" s="359"/>
      <c r="AE143" s="359"/>
      <c r="AF143" s="92">
        <f t="shared" si="61"/>
        <v>0</v>
      </c>
      <c r="AG143" s="186" t="e">
        <f t="shared" si="62"/>
        <v>#DIV/0!</v>
      </c>
      <c r="AH143" s="605"/>
    </row>
    <row r="144" spans="1:34" ht="19.350000000000001" customHeight="1">
      <c r="A144" s="614"/>
      <c r="B144" s="78">
        <v>0</v>
      </c>
      <c r="C144" s="237"/>
      <c r="D144" s="83"/>
      <c r="E144" s="338"/>
      <c r="F144" s="85" t="s">
        <v>391</v>
      </c>
      <c r="G144" s="104"/>
      <c r="H144" s="135">
        <f t="shared" si="90"/>
        <v>0</v>
      </c>
      <c r="I144" s="359"/>
      <c r="J144" s="89"/>
      <c r="K144" s="104"/>
      <c r="L144" s="137"/>
      <c r="M144" s="189"/>
      <c r="N144" s="104"/>
      <c r="O144" s="137"/>
      <c r="P144" s="100"/>
      <c r="Q144" s="139"/>
      <c r="R144" s="321"/>
      <c r="S144" s="617"/>
      <c r="T144" s="111"/>
      <c r="U144" s="336"/>
      <c r="V144" s="102"/>
      <c r="W144" s="88"/>
      <c r="X144" s="99"/>
      <c r="Y144" s="99"/>
      <c r="Z144" s="100"/>
      <c r="AA144" s="100"/>
      <c r="AB144" s="601"/>
      <c r="AC144" s="601"/>
      <c r="AD144" s="359"/>
      <c r="AE144" s="359"/>
      <c r="AF144" s="92">
        <f t="shared" si="61"/>
        <v>0</v>
      </c>
      <c r="AG144" s="186" t="e">
        <f t="shared" si="62"/>
        <v>#DIV/0!</v>
      </c>
      <c r="AH144" s="605"/>
    </row>
    <row r="145" spans="1:34" ht="19.350000000000001" customHeight="1">
      <c r="A145" s="614"/>
      <c r="B145" s="78">
        <v>0</v>
      </c>
      <c r="C145" s="237"/>
      <c r="D145" s="83"/>
      <c r="E145" s="338"/>
      <c r="F145" s="85" t="s">
        <v>391</v>
      </c>
      <c r="G145" s="104"/>
      <c r="H145" s="135">
        <f t="shared" si="90"/>
        <v>0</v>
      </c>
      <c r="I145" s="359"/>
      <c r="J145" s="138"/>
      <c r="K145" s="104"/>
      <c r="L145" s="137"/>
      <c r="M145" s="189"/>
      <c r="N145" s="104"/>
      <c r="O145" s="137"/>
      <c r="P145" s="100"/>
      <c r="Q145" s="139"/>
      <c r="R145" s="141"/>
      <c r="S145" s="617"/>
      <c r="T145" s="111"/>
      <c r="U145" s="336"/>
      <c r="V145" s="102"/>
      <c r="W145" s="88">
        <f t="shared" si="93"/>
        <v>0</v>
      </c>
      <c r="X145" s="99"/>
      <c r="Y145" s="99"/>
      <c r="Z145" s="100"/>
      <c r="AA145" s="100"/>
      <c r="AB145" s="601"/>
      <c r="AC145" s="601"/>
      <c r="AD145" s="359"/>
      <c r="AE145" s="359"/>
      <c r="AF145" s="92">
        <f t="shared" si="61"/>
        <v>0</v>
      </c>
      <c r="AG145" s="186" t="e">
        <f t="shared" si="62"/>
        <v>#DIV/0!</v>
      </c>
      <c r="AH145" s="605"/>
    </row>
    <row r="146" spans="1:34" ht="19.350000000000001" customHeight="1">
      <c r="A146" s="614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90"/>
        <v>0</v>
      </c>
      <c r="I146" s="359"/>
      <c r="J146" s="138"/>
      <c r="K146" s="104"/>
      <c r="L146" s="137"/>
      <c r="M146" s="189"/>
      <c r="N146" s="104"/>
      <c r="O146" s="137"/>
      <c r="P146" s="100"/>
      <c r="Q146" s="139"/>
      <c r="R146" s="141"/>
      <c r="S146" s="617"/>
      <c r="T146" s="111"/>
      <c r="U146" s="336"/>
      <c r="V146" s="102"/>
      <c r="W146" s="88">
        <f t="shared" si="93"/>
        <v>0</v>
      </c>
      <c r="X146" s="99"/>
      <c r="Y146" s="99"/>
      <c r="Z146" s="100"/>
      <c r="AA146" s="100"/>
      <c r="AB146" s="601"/>
      <c r="AC146" s="601"/>
      <c r="AD146" s="359"/>
      <c r="AE146" s="359"/>
      <c r="AF146" s="100"/>
      <c r="AG146" s="141"/>
      <c r="AH146" s="605"/>
    </row>
    <row r="147" spans="1:34" ht="19.350000000000001" customHeight="1">
      <c r="A147" s="615"/>
      <c r="B147" s="341">
        <v>0</v>
      </c>
      <c r="C147" s="156" t="s">
        <v>37</v>
      </c>
      <c r="D147" s="602" t="s">
        <v>75</v>
      </c>
      <c r="E147" s="602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4">AVERAGE(M135:M146)</f>
        <v>17.285714285714285</v>
      </c>
      <c r="N147" s="326">
        <f t="shared" si="94"/>
        <v>1292.9762408975062</v>
      </c>
      <c r="O147" s="327">
        <f t="shared" si="94"/>
        <v>74.88885003020917</v>
      </c>
      <c r="P147" s="97">
        <f t="shared" ref="P147:P151" si="95">M147-J147</f>
        <v>0</v>
      </c>
      <c r="Q147" s="205">
        <f t="shared" ref="Q147:Q151" si="96">O147-L147</f>
        <v>-9.7674967190168331</v>
      </c>
      <c r="R147" s="343">
        <f t="shared" ref="R147:R151" si="97">O147/L147</f>
        <v>0.88462180221465636</v>
      </c>
      <c r="S147" s="618"/>
      <c r="T147" s="111"/>
      <c r="U147" s="111"/>
      <c r="V147" s="102"/>
      <c r="W147" s="88">
        <f t="shared" si="93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01"/>
      <c r="AC147" s="601"/>
      <c r="AD147" s="164">
        <f>SUM(AD135:AD146)</f>
        <v>0</v>
      </c>
      <c r="AE147" s="164">
        <f>SUM(AE135:AE146)</f>
        <v>0</v>
      </c>
      <c r="AF147" s="282">
        <f t="shared" si="61"/>
        <v>-164.16661624535095</v>
      </c>
      <c r="AG147" s="344">
        <f t="shared" si="62"/>
        <v>0.8873366359100533</v>
      </c>
      <c r="AH147" s="605"/>
    </row>
    <row r="148" spans="1:34" ht="19.350000000000001" customHeight="1">
      <c r="A148" s="608" t="s">
        <v>203</v>
      </c>
      <c r="B148" s="359" t="s">
        <v>390</v>
      </c>
      <c r="C148" s="182"/>
      <c r="D148" s="246" t="s">
        <v>204</v>
      </c>
      <c r="E148" s="84"/>
      <c r="F148" s="199">
        <v>57.3</v>
      </c>
      <c r="G148" s="104">
        <v>1297</v>
      </c>
      <c r="H148" s="135">
        <f t="shared" ref="H148:H172" si="98">F148*G148</f>
        <v>74318.099999999991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1255.1612903225819</v>
      </c>
      <c r="O148" s="90">
        <f>N148/M148</f>
        <v>69.731182795698999</v>
      </c>
      <c r="P148" s="92">
        <f t="shared" si="95"/>
        <v>-1</v>
      </c>
      <c r="Q148" s="93">
        <f t="shared" si="96"/>
        <v>-6.0582908885115216</v>
      </c>
      <c r="R148" s="95">
        <f t="shared" si="97"/>
        <v>0.92006421744325073</v>
      </c>
      <c r="S148" s="609">
        <f>R160</f>
        <v>0.84079282342276085</v>
      </c>
      <c r="T148" s="330">
        <v>0.70833333333333337</v>
      </c>
      <c r="U148" s="96">
        <v>0.75138888888888888</v>
      </c>
      <c r="V148" s="78">
        <v>5</v>
      </c>
      <c r="W148" s="88">
        <f>(U148-T148)*24*60</f>
        <v>61.999999999999943</v>
      </c>
      <c r="X148" s="99"/>
      <c r="Y148" s="99"/>
      <c r="Z148" s="100"/>
      <c r="AA148" s="100"/>
      <c r="AB148" s="601"/>
      <c r="AC148" s="601"/>
      <c r="AD148" s="359"/>
      <c r="AE148" s="359"/>
      <c r="AF148" s="92">
        <f t="shared" si="61"/>
        <v>-184.83870967741814</v>
      </c>
      <c r="AG148" s="186">
        <f t="shared" si="62"/>
        <v>0.87163978494623739</v>
      </c>
      <c r="AH148" s="605">
        <f>AG160</f>
        <v>0.86890749694208236</v>
      </c>
    </row>
    <row r="149" spans="1:34" ht="19.350000000000001" customHeight="1">
      <c r="A149" s="608"/>
      <c r="B149" s="359" t="s">
        <v>390</v>
      </c>
      <c r="C149" s="301"/>
      <c r="D149" s="335" t="s">
        <v>205</v>
      </c>
      <c r="E149" s="107"/>
      <c r="F149" s="199">
        <v>50.67</v>
      </c>
      <c r="G149" s="104">
        <v>839</v>
      </c>
      <c r="H149" s="135">
        <f t="shared" si="98"/>
        <v>42512.130000000005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1290.76923076923</v>
      </c>
      <c r="O149" s="90">
        <f>N149/M149</f>
        <v>75.927601809954709</v>
      </c>
      <c r="P149" s="92">
        <f t="shared" si="95"/>
        <v>1</v>
      </c>
      <c r="Q149" s="93">
        <f t="shared" si="96"/>
        <v>-14.072398190045291</v>
      </c>
      <c r="R149" s="95">
        <f t="shared" si="97"/>
        <v>0.8436400201106079</v>
      </c>
      <c r="S149" s="610"/>
      <c r="T149" s="330">
        <v>0.75694444444444442</v>
      </c>
      <c r="U149" s="96">
        <v>0.78402777777777777</v>
      </c>
      <c r="V149" s="78">
        <v>8</v>
      </c>
      <c r="W149" s="88">
        <f t="shared" ref="W149:W159" si="99">(U149-T149)*24*60</f>
        <v>39.000000000000021</v>
      </c>
      <c r="X149" s="99"/>
      <c r="Y149" s="99"/>
      <c r="Z149" s="100"/>
      <c r="AA149" s="100"/>
      <c r="AB149" s="601"/>
      <c r="AC149" s="601"/>
      <c r="AD149" s="359"/>
      <c r="AE149" s="359">
        <v>1</v>
      </c>
      <c r="AF149" s="92">
        <f t="shared" si="61"/>
        <v>-149.23076923076997</v>
      </c>
      <c r="AG149" s="186">
        <f t="shared" si="62"/>
        <v>0.89636752136752085</v>
      </c>
      <c r="AH149" s="611"/>
    </row>
    <row r="150" spans="1:34" ht="19.350000000000001" customHeight="1">
      <c r="A150" s="608"/>
      <c r="B150" s="359" t="s">
        <v>390</v>
      </c>
      <c r="C150" s="301"/>
      <c r="D150" s="249" t="s">
        <v>206</v>
      </c>
      <c r="E150" s="107"/>
      <c r="F150" s="199">
        <v>57.3</v>
      </c>
      <c r="G150" s="104">
        <v>1554</v>
      </c>
      <c r="H150" s="135">
        <f t="shared" si="98"/>
        <v>89044.2</v>
      </c>
      <c r="I150" s="345"/>
      <c r="J150" s="138">
        <v>17</v>
      </c>
      <c r="K150" s="104">
        <v>1500</v>
      </c>
      <c r="L150" s="137">
        <v>88.235294117647058</v>
      </c>
      <c r="M150" s="310">
        <v>18</v>
      </c>
      <c r="N150" s="86">
        <f>G150/W150*60</f>
        <v>1259.9999999999989</v>
      </c>
      <c r="O150" s="90">
        <f>N150/M150</f>
        <v>69.999999999999943</v>
      </c>
      <c r="P150" s="92">
        <f t="shared" si="95"/>
        <v>1</v>
      </c>
      <c r="Q150" s="93">
        <f t="shared" si="96"/>
        <v>-18.235294117647115</v>
      </c>
      <c r="R150" s="95">
        <f t="shared" si="97"/>
        <v>0.79333333333333267</v>
      </c>
      <c r="S150" s="610"/>
      <c r="T150" s="330">
        <v>0.79930555555555549</v>
      </c>
      <c r="U150" s="96">
        <v>0.85069444444444442</v>
      </c>
      <c r="V150" s="78">
        <v>22</v>
      </c>
      <c r="W150" s="88">
        <f t="shared" si="99"/>
        <v>74.000000000000057</v>
      </c>
      <c r="X150" s="295">
        <v>0.78749999999999998</v>
      </c>
      <c r="Y150" s="295">
        <v>0.79652777777777783</v>
      </c>
      <c r="Z150" s="296"/>
      <c r="AA150" s="296"/>
      <c r="AB150" s="601"/>
      <c r="AC150" s="601"/>
      <c r="AD150" s="359"/>
      <c r="AE150" s="359"/>
      <c r="AF150" s="92">
        <f t="shared" si="61"/>
        <v>-240.00000000000114</v>
      </c>
      <c r="AG150" s="186">
        <f t="shared" si="62"/>
        <v>0.83999999999999919</v>
      </c>
      <c r="AH150" s="611"/>
    </row>
    <row r="151" spans="1:34" s="298" customFormat="1" ht="19.350000000000001" customHeight="1">
      <c r="A151" s="608"/>
      <c r="B151" s="359" t="s">
        <v>386</v>
      </c>
      <c r="C151" s="301"/>
      <c r="D151" s="106" t="s">
        <v>161</v>
      </c>
      <c r="E151" s="107"/>
      <c r="F151" s="199">
        <v>47.51</v>
      </c>
      <c r="G151" s="104">
        <v>563</v>
      </c>
      <c r="H151" s="135">
        <f t="shared" si="98"/>
        <v>26748.129999999997</v>
      </c>
      <c r="I151" s="345">
        <v>2</v>
      </c>
      <c r="J151" s="138">
        <v>16</v>
      </c>
      <c r="K151" s="104">
        <v>1440</v>
      </c>
      <c r="L151" s="137">
        <v>90</v>
      </c>
      <c r="M151" s="310">
        <v>17</v>
      </c>
      <c r="N151" s="86">
        <f>G151/W151*60</f>
        <v>1251.1111111111081</v>
      </c>
      <c r="O151" s="90">
        <f>N151/M151</f>
        <v>73.594771241829889</v>
      </c>
      <c r="P151" s="92">
        <f t="shared" si="95"/>
        <v>1</v>
      </c>
      <c r="Q151" s="93">
        <f t="shared" si="96"/>
        <v>-16.405228758170111</v>
      </c>
      <c r="R151" s="95">
        <f t="shared" si="97"/>
        <v>0.8177196804647765</v>
      </c>
      <c r="S151" s="610"/>
      <c r="T151" s="330">
        <v>0.85624999999999996</v>
      </c>
      <c r="U151" s="96">
        <v>0.875</v>
      </c>
      <c r="V151" s="78">
        <v>8</v>
      </c>
      <c r="W151" s="88">
        <f t="shared" si="99"/>
        <v>27.000000000000064</v>
      </c>
      <c r="X151" s="295"/>
      <c r="Y151" s="295"/>
      <c r="Z151" s="296"/>
      <c r="AA151" s="296"/>
      <c r="AB151" s="601"/>
      <c r="AC151" s="601"/>
      <c r="AD151" s="301"/>
      <c r="AE151" s="301"/>
      <c r="AF151" s="92">
        <f t="shared" si="61"/>
        <v>-188.88888888889187</v>
      </c>
      <c r="AG151" s="186">
        <f t="shared" si="62"/>
        <v>0.86882716049382513</v>
      </c>
      <c r="AH151" s="611"/>
    </row>
    <row r="152" spans="1:34" s="298" customFormat="1" ht="19.350000000000001" customHeight="1">
      <c r="A152" s="608"/>
      <c r="B152" s="359">
        <v>0</v>
      </c>
      <c r="C152" s="301"/>
      <c r="D152" s="335"/>
      <c r="E152" s="107"/>
      <c r="F152" s="199" t="s">
        <v>391</v>
      </c>
      <c r="G152" s="104"/>
      <c r="H152" s="135">
        <f t="shared" si="98"/>
        <v>0</v>
      </c>
      <c r="I152" s="345"/>
      <c r="J152" s="138"/>
      <c r="K152" s="104"/>
      <c r="L152" s="137"/>
      <c r="M152" s="310"/>
      <c r="N152" s="86"/>
      <c r="O152" s="90"/>
      <c r="P152" s="92"/>
      <c r="Q152" s="93"/>
      <c r="R152" s="95"/>
      <c r="S152" s="610"/>
      <c r="T152" s="346"/>
      <c r="U152" s="111"/>
      <c r="V152" s="109"/>
      <c r="W152" s="88"/>
      <c r="X152" s="299"/>
      <c r="Y152" s="299"/>
      <c r="Z152" s="296"/>
      <c r="AA152" s="296"/>
      <c r="AB152" s="601"/>
      <c r="AC152" s="601"/>
      <c r="AD152" s="301"/>
      <c r="AE152" s="301"/>
      <c r="AF152" s="92">
        <f t="shared" si="61"/>
        <v>0</v>
      </c>
      <c r="AG152" s="186" t="e">
        <f t="shared" si="62"/>
        <v>#DIV/0!</v>
      </c>
      <c r="AH152" s="611"/>
    </row>
    <row r="153" spans="1:34" s="298" customFormat="1" ht="19.350000000000001" customHeight="1">
      <c r="A153" s="608"/>
      <c r="B153" s="359">
        <v>0</v>
      </c>
      <c r="C153" s="301"/>
      <c r="D153" s="335"/>
      <c r="E153" s="107"/>
      <c r="F153" s="199" t="s">
        <v>391</v>
      </c>
      <c r="G153" s="104"/>
      <c r="H153" s="135">
        <f t="shared" si="98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5"/>
      <c r="S153" s="610"/>
      <c r="T153" s="346"/>
      <c r="U153" s="111"/>
      <c r="V153" s="109"/>
      <c r="W153" s="88"/>
      <c r="X153" s="299"/>
      <c r="Y153" s="299"/>
      <c r="Z153" s="296"/>
      <c r="AA153" s="296"/>
      <c r="AB153" s="601"/>
      <c r="AC153" s="601"/>
      <c r="AD153" s="301"/>
      <c r="AE153" s="301"/>
      <c r="AF153" s="92">
        <f t="shared" si="61"/>
        <v>0</v>
      </c>
      <c r="AG153" s="186" t="e">
        <f t="shared" si="62"/>
        <v>#DIV/0!</v>
      </c>
      <c r="AH153" s="611"/>
    </row>
    <row r="154" spans="1:34" s="298" customFormat="1" ht="19.350000000000001" customHeight="1">
      <c r="A154" s="608"/>
      <c r="B154" s="359">
        <v>0</v>
      </c>
      <c r="C154" s="301"/>
      <c r="D154" s="335"/>
      <c r="E154" s="107"/>
      <c r="F154" s="199" t="s">
        <v>391</v>
      </c>
      <c r="G154" s="104"/>
      <c r="H154" s="135">
        <f t="shared" si="98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10"/>
      <c r="T154" s="346"/>
      <c r="U154" s="111"/>
      <c r="V154" s="109"/>
      <c r="W154" s="350">
        <f t="shared" si="99"/>
        <v>0</v>
      </c>
      <c r="X154" s="299"/>
      <c r="Y154" s="299"/>
      <c r="Z154" s="296"/>
      <c r="AA154" s="296"/>
      <c r="AB154" s="601"/>
      <c r="AC154" s="601"/>
      <c r="AD154" s="301"/>
      <c r="AE154" s="301"/>
      <c r="AF154" s="92">
        <f t="shared" si="61"/>
        <v>0</v>
      </c>
      <c r="AG154" s="186" t="e">
        <f t="shared" si="62"/>
        <v>#DIV/0!</v>
      </c>
      <c r="AH154" s="611"/>
    </row>
    <row r="155" spans="1:34" s="298" customFormat="1" ht="19.350000000000001" customHeight="1">
      <c r="A155" s="608"/>
      <c r="B155" s="359">
        <v>0</v>
      </c>
      <c r="C155" s="301"/>
      <c r="D155" s="335"/>
      <c r="E155" s="107"/>
      <c r="F155" s="199" t="s">
        <v>391</v>
      </c>
      <c r="G155" s="104"/>
      <c r="H155" s="135">
        <f t="shared" si="98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10"/>
      <c r="T155" s="346"/>
      <c r="U155" s="111"/>
      <c r="V155" s="109"/>
      <c r="W155" s="350">
        <f t="shared" si="99"/>
        <v>0</v>
      </c>
      <c r="X155" s="299"/>
      <c r="Y155" s="299"/>
      <c r="Z155" s="296"/>
      <c r="AA155" s="296"/>
      <c r="AB155" s="601"/>
      <c r="AC155" s="601"/>
      <c r="AD155" s="301"/>
      <c r="AE155" s="301"/>
      <c r="AF155" s="349"/>
      <c r="AG155" s="191"/>
      <c r="AH155" s="611"/>
    </row>
    <row r="156" spans="1:34" s="298" customFormat="1" ht="19.350000000000001" customHeight="1">
      <c r="A156" s="608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8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10"/>
      <c r="T156" s="346"/>
      <c r="U156" s="111"/>
      <c r="V156" s="109"/>
      <c r="W156" s="350">
        <f t="shared" si="99"/>
        <v>0</v>
      </c>
      <c r="X156" s="299"/>
      <c r="Y156" s="299"/>
      <c r="Z156" s="296"/>
      <c r="AA156" s="296"/>
      <c r="AB156" s="601"/>
      <c r="AC156" s="601"/>
      <c r="AD156" s="301"/>
      <c r="AE156" s="301"/>
      <c r="AF156" s="349"/>
      <c r="AG156" s="191"/>
      <c r="AH156" s="611"/>
    </row>
    <row r="157" spans="1:34" s="298" customFormat="1" ht="19.350000000000001" customHeight="1">
      <c r="A157" s="608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8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10"/>
      <c r="T157" s="346"/>
      <c r="U157" s="111"/>
      <c r="V157" s="109"/>
      <c r="W157" s="350">
        <f t="shared" si="99"/>
        <v>0</v>
      </c>
      <c r="X157" s="299"/>
      <c r="Y157" s="299"/>
      <c r="Z157" s="296"/>
      <c r="AA157" s="296"/>
      <c r="AB157" s="601"/>
      <c r="AC157" s="601"/>
      <c r="AD157" s="301"/>
      <c r="AE157" s="301"/>
      <c r="AF157" s="349"/>
      <c r="AG157" s="191"/>
      <c r="AH157" s="611"/>
    </row>
    <row r="158" spans="1:34" s="298" customFormat="1" ht="19.350000000000001" customHeight="1">
      <c r="A158" s="608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8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10"/>
      <c r="T158" s="346"/>
      <c r="U158" s="111"/>
      <c r="V158" s="109"/>
      <c r="W158" s="350">
        <f t="shared" si="99"/>
        <v>0</v>
      </c>
      <c r="X158" s="299"/>
      <c r="Y158" s="299"/>
      <c r="Z158" s="296"/>
      <c r="AA158" s="296"/>
      <c r="AB158" s="601"/>
      <c r="AC158" s="601"/>
      <c r="AD158" s="301"/>
      <c r="AE158" s="301"/>
      <c r="AF158" s="349"/>
      <c r="AG158" s="191"/>
      <c r="AH158" s="611"/>
    </row>
    <row r="159" spans="1:34" s="298" customFormat="1" ht="19.350000000000001" customHeight="1">
      <c r="A159" s="608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8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10"/>
      <c r="T159" s="346"/>
      <c r="U159" s="111"/>
      <c r="V159" s="109"/>
      <c r="W159" s="351">
        <f t="shared" si="99"/>
        <v>0</v>
      </c>
      <c r="X159" s="299"/>
      <c r="Y159" s="299"/>
      <c r="Z159" s="296"/>
      <c r="AA159" s="296"/>
      <c r="AB159" s="601"/>
      <c r="AC159" s="601"/>
      <c r="AD159" s="301"/>
      <c r="AE159" s="301"/>
      <c r="AF159" s="349"/>
      <c r="AG159" s="191"/>
      <c r="AH159" s="611"/>
    </row>
    <row r="160" spans="1:34" ht="19.350000000000001" customHeight="1">
      <c r="A160" s="608"/>
      <c r="B160" s="352">
        <v>0</v>
      </c>
      <c r="C160" s="353" t="s">
        <v>38</v>
      </c>
      <c r="D160" s="606" t="s">
        <v>75</v>
      </c>
      <c r="E160" s="607"/>
      <c r="F160" s="119"/>
      <c r="G160" s="280"/>
      <c r="H160" s="279"/>
      <c r="I160" s="122"/>
      <c r="J160" s="354">
        <v>17</v>
      </c>
      <c r="K160" s="354">
        <v>1455</v>
      </c>
      <c r="L160" s="355">
        <v>86.006191950464398</v>
      </c>
      <c r="M160" s="354">
        <f t="shared" ref="M160:O160" si="100">AVERAGE(M148:M159)</f>
        <v>17.5</v>
      </c>
      <c r="N160" s="354">
        <f t="shared" si="100"/>
        <v>1264.2604080507299</v>
      </c>
      <c r="O160" s="355">
        <f t="shared" si="100"/>
        <v>72.313388961870885</v>
      </c>
      <c r="P160" s="113">
        <f t="shared" ref="P160:P165" si="101">M160-J160</f>
        <v>0.5</v>
      </c>
      <c r="Q160" s="124">
        <f t="shared" ref="Q160:Q165" si="102">O160-L160</f>
        <v>-13.692802988593513</v>
      </c>
      <c r="R160" s="356">
        <f>O160/L160</f>
        <v>0.84079282342276085</v>
      </c>
      <c r="S160" s="610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01"/>
      <c r="AC160" s="601"/>
      <c r="AD160" s="129">
        <f>SUM(AD148:AD159)</f>
        <v>0</v>
      </c>
      <c r="AE160" s="129">
        <f>SUM(AE148:AE159)</f>
        <v>1</v>
      </c>
      <c r="AF160" s="113">
        <f t="shared" si="61"/>
        <v>-190.73959194927011</v>
      </c>
      <c r="AG160" s="191">
        <f t="shared" si="62"/>
        <v>0.86890749694208236</v>
      </c>
      <c r="AH160" s="611"/>
    </row>
    <row r="161" spans="1:36" ht="19.350000000000001" customHeight="1">
      <c r="A161" s="604" t="s">
        <v>207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2667</v>
      </c>
      <c r="H161" s="135">
        <f t="shared" ref="H161:H170" si="103">F161*G161</f>
        <v>91291.409999999989</v>
      </c>
      <c r="I161" s="359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4">G161/W161*60</f>
        <v>2162.4324324324321</v>
      </c>
      <c r="O161" s="137">
        <f t="shared" ref="O161:O165" si="105">N161/M161</f>
        <v>180.20270270270268</v>
      </c>
      <c r="P161" s="100">
        <f t="shared" si="101"/>
        <v>0</v>
      </c>
      <c r="Q161" s="139">
        <f t="shared" si="102"/>
        <v>-7.2972972972973196</v>
      </c>
      <c r="R161" s="141">
        <f t="shared" ref="R161:R165" si="106">O161/L161</f>
        <v>0.96108108108108092</v>
      </c>
      <c r="S161" s="605">
        <f>R173</f>
        <v>0.98031002734021877</v>
      </c>
      <c r="T161" s="142">
        <v>0.16666666666666666</v>
      </c>
      <c r="U161" s="142">
        <v>0.21805555555555556</v>
      </c>
      <c r="V161" s="359">
        <v>5</v>
      </c>
      <c r="W161" s="143">
        <f t="shared" ref="W161:W165" si="107">(U161-T161)*24*60</f>
        <v>74.000000000000014</v>
      </c>
      <c r="X161" s="151"/>
      <c r="Y161" s="151"/>
      <c r="Z161" s="100"/>
      <c r="AA161" s="100"/>
      <c r="AB161" s="601"/>
      <c r="AC161" s="601"/>
      <c r="AD161" s="359"/>
      <c r="AE161" s="359"/>
      <c r="AF161" s="100">
        <f t="shared" si="61"/>
        <v>-87.567567567567949</v>
      </c>
      <c r="AG161" s="141">
        <f t="shared" si="62"/>
        <v>0.96108108108108092</v>
      </c>
      <c r="AH161" s="605">
        <f>AG173</f>
        <v>0.97972592526955793</v>
      </c>
    </row>
    <row r="162" spans="1:36" ht="19.350000000000001" customHeight="1">
      <c r="A162" s="604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3957</v>
      </c>
      <c r="H162" s="135">
        <f t="shared" si="103"/>
        <v>135448.10999999999</v>
      </c>
      <c r="I162" s="359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4"/>
        <v>2198.3333333333339</v>
      </c>
      <c r="O162" s="137">
        <f t="shared" si="105"/>
        <v>169.10256410256414</v>
      </c>
      <c r="P162" s="100">
        <f t="shared" si="101"/>
        <v>0</v>
      </c>
      <c r="Q162" s="139">
        <f t="shared" si="102"/>
        <v>-3.9743589743589212</v>
      </c>
      <c r="R162" s="141">
        <f t="shared" si="106"/>
        <v>0.97703703703703737</v>
      </c>
      <c r="S162" s="605"/>
      <c r="T162" s="142">
        <v>0.22291666666666668</v>
      </c>
      <c r="U162" s="142">
        <v>0.29791666666666666</v>
      </c>
      <c r="V162" s="359">
        <v>7</v>
      </c>
      <c r="W162" s="143">
        <f t="shared" si="107"/>
        <v>107.99999999999997</v>
      </c>
      <c r="X162" s="151"/>
      <c r="Y162" s="151"/>
      <c r="Z162" s="100"/>
      <c r="AA162" s="100"/>
      <c r="AB162" s="601"/>
      <c r="AC162" s="601"/>
      <c r="AD162" s="359"/>
      <c r="AE162" s="359"/>
      <c r="AF162" s="100">
        <f t="shared" si="61"/>
        <v>-51.66666666666606</v>
      </c>
      <c r="AG162" s="141">
        <f t="shared" si="62"/>
        <v>0.97703703703703726</v>
      </c>
      <c r="AH162" s="605"/>
    </row>
    <row r="163" spans="1:36" ht="19.350000000000001" customHeight="1">
      <c r="A163" s="604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3246</v>
      </c>
      <c r="H163" s="135">
        <f t="shared" si="103"/>
        <v>111110.57999999999</v>
      </c>
      <c r="I163" s="359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4"/>
        <v>2213.181818181818</v>
      </c>
      <c r="O163" s="137">
        <f t="shared" si="105"/>
        <v>184.43181818181816</v>
      </c>
      <c r="P163" s="100">
        <f t="shared" si="101"/>
        <v>0</v>
      </c>
      <c r="Q163" s="139">
        <f t="shared" si="102"/>
        <v>-3.0681818181818414</v>
      </c>
      <c r="R163" s="141">
        <f t="shared" si="106"/>
        <v>0.98363636363636353</v>
      </c>
      <c r="S163" s="605"/>
      <c r="T163" s="142">
        <v>0.33819444444444441</v>
      </c>
      <c r="U163" s="142">
        <v>0.39930555555555552</v>
      </c>
      <c r="V163" s="359">
        <v>5</v>
      </c>
      <c r="W163" s="143">
        <f t="shared" si="107"/>
        <v>88</v>
      </c>
      <c r="X163" s="151"/>
      <c r="Y163" s="151"/>
      <c r="Z163" s="100"/>
      <c r="AA163" s="100"/>
      <c r="AB163" s="601"/>
      <c r="AC163" s="601"/>
      <c r="AD163" s="359"/>
      <c r="AE163" s="359"/>
      <c r="AF163" s="100">
        <f t="shared" si="61"/>
        <v>-36.818181818181984</v>
      </c>
      <c r="AG163" s="141">
        <f t="shared" si="62"/>
        <v>0.98363636363636353</v>
      </c>
      <c r="AH163" s="605"/>
    </row>
    <row r="164" spans="1:36" ht="19.350000000000001" customHeight="1">
      <c r="A164" s="604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5803</v>
      </c>
      <c r="H164" s="135">
        <f t="shared" si="103"/>
        <v>207921.49</v>
      </c>
      <c r="I164" s="359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4"/>
        <v>2217.7070063694255</v>
      </c>
      <c r="O164" s="137">
        <f t="shared" si="105"/>
        <v>201.60972785176594</v>
      </c>
      <c r="P164" s="100">
        <f t="shared" si="101"/>
        <v>0</v>
      </c>
      <c r="Q164" s="139">
        <f t="shared" si="102"/>
        <v>-2.9357266936885935</v>
      </c>
      <c r="R164" s="141">
        <f t="shared" si="106"/>
        <v>0.98564755838641127</v>
      </c>
      <c r="S164" s="605"/>
      <c r="T164" s="142">
        <v>0.41527777777777775</v>
      </c>
      <c r="U164" s="142">
        <v>0.52430555555555558</v>
      </c>
      <c r="V164" s="359">
        <v>23</v>
      </c>
      <c r="W164" s="143">
        <f t="shared" si="107"/>
        <v>157.00000000000009</v>
      </c>
      <c r="X164" s="151">
        <v>0.40277777777777773</v>
      </c>
      <c r="Y164" s="151">
        <v>0.41250000000000003</v>
      </c>
      <c r="Z164" s="100"/>
      <c r="AA164" s="100"/>
      <c r="AB164" s="601"/>
      <c r="AC164" s="601"/>
      <c r="AD164" s="359"/>
      <c r="AE164" s="359"/>
      <c r="AF164" s="100">
        <f t="shared" si="61"/>
        <v>-32.292993630574529</v>
      </c>
      <c r="AG164" s="141">
        <f t="shared" si="62"/>
        <v>0.98564755838641127</v>
      </c>
      <c r="AH164" s="605"/>
    </row>
    <row r="165" spans="1:36" ht="19.350000000000001" customHeight="1">
      <c r="A165" s="604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5389.8</v>
      </c>
      <c r="H165" s="135">
        <f t="shared" si="103"/>
        <v>196242.61799999999</v>
      </c>
      <c r="I165" s="359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4"/>
        <v>2230.2620689655178</v>
      </c>
      <c r="O165" s="137">
        <f t="shared" si="105"/>
        <v>223.02620689655177</v>
      </c>
      <c r="P165" s="100">
        <f t="shared" si="101"/>
        <v>0</v>
      </c>
      <c r="Q165" s="139">
        <f t="shared" si="102"/>
        <v>-1.9737931034482301</v>
      </c>
      <c r="R165" s="141">
        <f t="shared" si="106"/>
        <v>0.99122758620689677</v>
      </c>
      <c r="S165" s="605"/>
      <c r="T165" s="142">
        <v>0.5395833333333333</v>
      </c>
      <c r="U165" s="142">
        <v>0.64027777777777772</v>
      </c>
      <c r="V165" s="359">
        <v>22</v>
      </c>
      <c r="W165" s="143">
        <f t="shared" si="107"/>
        <v>144.99999999999997</v>
      </c>
      <c r="X165" s="151">
        <v>0.52777777777777779</v>
      </c>
      <c r="Y165" s="151">
        <v>0.53680555555555554</v>
      </c>
      <c r="Z165" s="100"/>
      <c r="AA165" s="100"/>
      <c r="AB165" s="601"/>
      <c r="AC165" s="601"/>
      <c r="AD165" s="359"/>
      <c r="AE165" s="359"/>
      <c r="AF165" s="100">
        <f t="shared" si="61"/>
        <v>-19.737931034482244</v>
      </c>
      <c r="AG165" s="141">
        <f t="shared" si="62"/>
        <v>0.99122758620689677</v>
      </c>
      <c r="AH165" s="605"/>
    </row>
    <row r="166" spans="1:36" ht="19.350000000000001" customHeight="1">
      <c r="A166" s="604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3"/>
        <v>0</v>
      </c>
      <c r="I166" s="359"/>
      <c r="J166" s="138"/>
      <c r="K166" s="104"/>
      <c r="L166" s="137"/>
      <c r="M166" s="138"/>
      <c r="N166" s="104"/>
      <c r="O166" s="137"/>
      <c r="P166" s="100"/>
      <c r="Q166" s="139"/>
      <c r="R166" s="141"/>
      <c r="S166" s="605"/>
      <c r="T166" s="142"/>
      <c r="U166" s="142"/>
      <c r="V166" s="359"/>
      <c r="W166" s="143"/>
      <c r="X166" s="151"/>
      <c r="Y166" s="151"/>
      <c r="Z166" s="100"/>
      <c r="AA166" s="100"/>
      <c r="AB166" s="601"/>
      <c r="AC166" s="601"/>
      <c r="AD166" s="359"/>
      <c r="AE166" s="359"/>
      <c r="AF166" s="100">
        <f t="shared" si="61"/>
        <v>0</v>
      </c>
      <c r="AG166" s="141" t="e">
        <f t="shared" si="62"/>
        <v>#DIV/0!</v>
      </c>
      <c r="AH166" s="605"/>
    </row>
    <row r="167" spans="1:36" ht="19.350000000000001" customHeight="1">
      <c r="A167" s="604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3"/>
        <v>0</v>
      </c>
      <c r="I167" s="359"/>
      <c r="J167" s="138"/>
      <c r="K167" s="104"/>
      <c r="L167" s="137"/>
      <c r="M167" s="138"/>
      <c r="N167" s="104"/>
      <c r="O167" s="137"/>
      <c r="P167" s="100"/>
      <c r="Q167" s="139"/>
      <c r="R167" s="141"/>
      <c r="S167" s="605"/>
      <c r="T167" s="142"/>
      <c r="U167" s="142"/>
      <c r="V167" s="359"/>
      <c r="W167" s="143"/>
      <c r="X167" s="151"/>
      <c r="Y167" s="151"/>
      <c r="Z167" s="100"/>
      <c r="AA167" s="100"/>
      <c r="AB167" s="601"/>
      <c r="AC167" s="601"/>
      <c r="AD167" s="359"/>
      <c r="AE167" s="359"/>
      <c r="AF167" s="100">
        <f t="shared" si="61"/>
        <v>0</v>
      </c>
      <c r="AG167" s="141" t="e">
        <f t="shared" si="62"/>
        <v>#DIV/0!</v>
      </c>
      <c r="AH167" s="605"/>
    </row>
    <row r="168" spans="1:36" ht="19.350000000000001" customHeight="1">
      <c r="A168" s="604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3"/>
        <v>0</v>
      </c>
      <c r="I168" s="359"/>
      <c r="J168" s="138"/>
      <c r="K168" s="104"/>
      <c r="L168" s="137"/>
      <c r="M168" s="138"/>
      <c r="N168" s="104"/>
      <c r="O168" s="137"/>
      <c r="P168" s="100"/>
      <c r="Q168" s="139"/>
      <c r="R168" s="141"/>
      <c r="S168" s="605"/>
      <c r="T168" s="142"/>
      <c r="U168" s="142"/>
      <c r="V168" s="359"/>
      <c r="W168" s="143"/>
      <c r="X168" s="151"/>
      <c r="Y168" s="151"/>
      <c r="Z168" s="100"/>
      <c r="AA168" s="100"/>
      <c r="AB168" s="601"/>
      <c r="AC168" s="601"/>
      <c r="AD168" s="359"/>
      <c r="AE168" s="359"/>
      <c r="AF168" s="100">
        <f t="shared" si="61"/>
        <v>0</v>
      </c>
      <c r="AG168" s="141" t="e">
        <f t="shared" si="62"/>
        <v>#DIV/0!</v>
      </c>
      <c r="AH168" s="605"/>
    </row>
    <row r="169" spans="1:36" ht="19.350000000000001" customHeight="1">
      <c r="A169" s="604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3"/>
        <v>0</v>
      </c>
      <c r="I169" s="359"/>
      <c r="J169" s="138"/>
      <c r="K169" s="104"/>
      <c r="L169" s="137"/>
      <c r="M169" s="138"/>
      <c r="N169" s="104"/>
      <c r="O169" s="137"/>
      <c r="P169" s="100"/>
      <c r="Q169" s="139"/>
      <c r="R169" s="141"/>
      <c r="S169" s="605"/>
      <c r="T169" s="142"/>
      <c r="U169" s="142"/>
      <c r="V169" s="359" t="s">
        <v>49</v>
      </c>
      <c r="W169" s="143">
        <f>(U169-T169)*24*60</f>
        <v>0</v>
      </c>
      <c r="X169" s="151"/>
      <c r="Y169" s="151"/>
      <c r="Z169" s="100"/>
      <c r="AA169" s="100"/>
      <c r="AB169" s="601"/>
      <c r="AC169" s="601"/>
      <c r="AD169" s="359"/>
      <c r="AE169" s="359"/>
      <c r="AF169" s="100">
        <f t="shared" si="61"/>
        <v>0</v>
      </c>
      <c r="AG169" s="141" t="e">
        <f t="shared" si="62"/>
        <v>#DIV/0!</v>
      </c>
      <c r="AH169" s="605"/>
    </row>
    <row r="170" spans="1:36" ht="19.350000000000001" customHeight="1">
      <c r="A170" s="604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3"/>
        <v>0</v>
      </c>
      <c r="I170" s="359"/>
      <c r="J170" s="138"/>
      <c r="K170" s="104"/>
      <c r="L170" s="137"/>
      <c r="M170" s="138"/>
      <c r="N170" s="104"/>
      <c r="O170" s="137"/>
      <c r="P170" s="100"/>
      <c r="Q170" s="139"/>
      <c r="R170" s="141"/>
      <c r="S170" s="605"/>
      <c r="T170" s="142"/>
      <c r="U170" s="142"/>
      <c r="V170" s="359"/>
      <c r="W170" s="143">
        <f>(U170-T170)*24*60</f>
        <v>0</v>
      </c>
      <c r="X170" s="151"/>
      <c r="Y170" s="151"/>
      <c r="Z170" s="100"/>
      <c r="AA170" s="100"/>
      <c r="AB170" s="601"/>
      <c r="AC170" s="601"/>
      <c r="AD170" s="359"/>
      <c r="AE170" s="359"/>
      <c r="AF170" s="100">
        <f t="shared" si="61"/>
        <v>0</v>
      </c>
      <c r="AG170" s="141" t="e">
        <f t="shared" si="62"/>
        <v>#DIV/0!</v>
      </c>
      <c r="AH170" s="605"/>
    </row>
    <row r="171" spans="1:36" ht="19.350000000000001" customHeight="1">
      <c r="A171" s="604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8"/>
        <v>0</v>
      </c>
      <c r="I171" s="359"/>
      <c r="J171" s="138"/>
      <c r="K171" s="104"/>
      <c r="L171" s="137"/>
      <c r="M171" s="138"/>
      <c r="N171" s="104"/>
      <c r="O171" s="137"/>
      <c r="P171" s="100"/>
      <c r="Q171" s="139"/>
      <c r="R171" s="141"/>
      <c r="S171" s="605"/>
      <c r="T171" s="142"/>
      <c r="U171" s="142"/>
      <c r="V171" s="359"/>
      <c r="W171" s="143">
        <f>(U171-T171)*24*60</f>
        <v>0</v>
      </c>
      <c r="X171" s="151"/>
      <c r="Y171" s="151"/>
      <c r="Z171" s="100"/>
      <c r="AA171" s="100"/>
      <c r="AB171" s="601"/>
      <c r="AC171" s="601"/>
      <c r="AD171" s="359"/>
      <c r="AE171" s="359"/>
      <c r="AF171" s="100"/>
      <c r="AG171" s="141"/>
      <c r="AH171" s="605"/>
    </row>
    <row r="172" spans="1:36" ht="19.350000000000001" customHeight="1">
      <c r="A172" s="604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8"/>
        <v>0</v>
      </c>
      <c r="I172" s="359"/>
      <c r="J172" s="138"/>
      <c r="K172" s="104"/>
      <c r="L172" s="137"/>
      <c r="M172" s="138"/>
      <c r="N172" s="104"/>
      <c r="O172" s="137"/>
      <c r="P172" s="100"/>
      <c r="Q172" s="139"/>
      <c r="R172" s="141"/>
      <c r="S172" s="605"/>
      <c r="T172" s="142"/>
      <c r="U172" s="142"/>
      <c r="V172" s="359"/>
      <c r="W172" s="143">
        <f>(U172-T172)*24*60</f>
        <v>0</v>
      </c>
      <c r="X172" s="151"/>
      <c r="Y172" s="151"/>
      <c r="Z172" s="100"/>
      <c r="AA172" s="100"/>
      <c r="AB172" s="601"/>
      <c r="AC172" s="601"/>
      <c r="AD172" s="359"/>
      <c r="AE172" s="359"/>
      <c r="AF172" s="100"/>
      <c r="AG172" s="141"/>
      <c r="AH172" s="605"/>
    </row>
    <row r="173" spans="1:36" ht="19.350000000000001" customHeight="1">
      <c r="A173" s="604"/>
      <c r="B173" s="182">
        <v>0</v>
      </c>
      <c r="C173" s="156" t="s">
        <v>39</v>
      </c>
      <c r="D173" s="602" t="s">
        <v>75</v>
      </c>
      <c r="E173" s="602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8">AVERAGE(M161:M172)</f>
        <v>11.6</v>
      </c>
      <c r="N173" s="158">
        <f t="shared" si="108"/>
        <v>2204.3833318565053</v>
      </c>
      <c r="O173" s="161">
        <f t="shared" si="108"/>
        <v>191.67460394708053</v>
      </c>
      <c r="P173" s="100">
        <f>M173-J173</f>
        <v>0</v>
      </c>
      <c r="Q173" s="139">
        <f>O173-L173</f>
        <v>-3.8498715773949925</v>
      </c>
      <c r="R173" s="162">
        <f>O173/L173</f>
        <v>0.98031002734021877</v>
      </c>
      <c r="S173" s="605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03"/>
      <c r="AC173" s="603"/>
      <c r="AD173" s="164">
        <f>SUM(AD161:AD172)</f>
        <v>0</v>
      </c>
      <c r="AE173" s="164">
        <f>SUM(AE161:AE172)</f>
        <v>0</v>
      </c>
      <c r="AF173" s="100">
        <f t="shared" si="61"/>
        <v>-45.616668143494735</v>
      </c>
      <c r="AG173" s="141">
        <f t="shared" si="62"/>
        <v>0.97972592526955793</v>
      </c>
      <c r="AH173" s="605"/>
    </row>
    <row r="174" spans="1:36" ht="19.350000000000001" customHeight="1">
      <c r="AJ174" s="361" t="s">
        <v>212</v>
      </c>
    </row>
    <row r="175" spans="1:36" ht="19.350000000000001" customHeight="1">
      <c r="AJ175" s="361" t="s">
        <v>214</v>
      </c>
    </row>
    <row r="176" spans="1:36" ht="19.350000000000001" customHeight="1">
      <c r="AJ176" s="361" t="s">
        <v>215</v>
      </c>
    </row>
    <row r="177" spans="23:36" ht="19.350000000000001" customHeight="1">
      <c r="W177" s="71"/>
      <c r="AJ177" s="361" t="s">
        <v>216</v>
      </c>
    </row>
    <row r="178" spans="23:36" ht="19.350000000000001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224</v>
      </c>
    </row>
    <row r="186" spans="23:36">
      <c r="W186" s="71"/>
      <c r="AJ186" s="361" t="s">
        <v>225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4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7257" priority="3626" operator="lessThan">
      <formula>0</formula>
    </cfRule>
  </conditionalFormatting>
  <conditionalFormatting sqref="AH57 AH70 S43 S123 S95 AH95 S5:S9 AH5:AH9 S134 AH17:AH18 S17:S18 S32 S82 AH82 S57:S70">
    <cfRule type="cellIs" dxfId="7256" priority="3625" operator="lessThan">
      <formula>0.8</formula>
    </cfRule>
  </conditionalFormatting>
  <conditionalFormatting sqref="R147 R173 R30 R121 R95 R43 R134 R82 R154:R159 R17:R18 R57:R70">
    <cfRule type="cellIs" dxfId="7255" priority="3623" operator="lessThan">
      <formula>0.8</formula>
    </cfRule>
    <cfRule type="cellIs" dxfId="7254" priority="3624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7253" priority="3621" operator="greaterThan">
      <formula>1</formula>
    </cfRule>
    <cfRule type="cellIs" dxfId="7252" priority="3622" operator="lessThan">
      <formula>0.8</formula>
    </cfRule>
  </conditionalFormatting>
  <conditionalFormatting sqref="P147 P30 P121 P95 P43 P134 P82 P154:P159 P17:P18 P57:P70">
    <cfRule type="cellIs" dxfId="7251" priority="3620" operator="greaterThan">
      <formula>0</formula>
    </cfRule>
  </conditionalFormatting>
  <conditionalFormatting sqref="S161">
    <cfRule type="cellIs" dxfId="7250" priority="3619" operator="lessThan">
      <formula>0.8</formula>
    </cfRule>
  </conditionalFormatting>
  <conditionalFormatting sqref="Q161:Q166">
    <cfRule type="cellIs" dxfId="7249" priority="3618" operator="lessThan">
      <formula>0</formula>
    </cfRule>
  </conditionalFormatting>
  <conditionalFormatting sqref="R161:R166">
    <cfRule type="cellIs" dxfId="7248" priority="3616" operator="lessThan">
      <formula>0.8</formula>
    </cfRule>
    <cfRule type="cellIs" dxfId="7247" priority="3617" operator="greaterThan">
      <formula>1</formula>
    </cfRule>
  </conditionalFormatting>
  <conditionalFormatting sqref="R161:R166">
    <cfRule type="cellIs" dxfId="7246" priority="3614" operator="greaterThan">
      <formula>1</formula>
    </cfRule>
    <cfRule type="cellIs" dxfId="7245" priority="3615" operator="lessThan">
      <formula>0.8</formula>
    </cfRule>
  </conditionalFormatting>
  <conditionalFormatting sqref="P161:P166">
    <cfRule type="cellIs" dxfId="7244" priority="3613" operator="greaterThan">
      <formula>0</formula>
    </cfRule>
  </conditionalFormatting>
  <conditionalFormatting sqref="Q169:Q172 AF161:AF172">
    <cfRule type="cellIs" dxfId="7243" priority="3612" operator="lessThan">
      <formula>0</formula>
    </cfRule>
  </conditionalFormatting>
  <conditionalFormatting sqref="R169:R172">
    <cfRule type="cellIs" dxfId="7242" priority="3610" operator="lessThan">
      <formula>0.8</formula>
    </cfRule>
    <cfRule type="cellIs" dxfId="7241" priority="3611" operator="greaterThan">
      <formula>1</formula>
    </cfRule>
  </conditionalFormatting>
  <conditionalFormatting sqref="R169:R172 AG161:AG172">
    <cfRule type="cellIs" dxfId="7240" priority="3608" operator="greaterThan">
      <formula>1</formula>
    </cfRule>
    <cfRule type="cellIs" dxfId="7239" priority="3609" operator="lessThan">
      <formula>0.8</formula>
    </cfRule>
  </conditionalFormatting>
  <conditionalFormatting sqref="P169:P172">
    <cfRule type="cellIs" dxfId="7238" priority="3607" operator="greaterThan">
      <formula>0</formula>
    </cfRule>
  </conditionalFormatting>
  <conditionalFormatting sqref="AF145">
    <cfRule type="cellIs" dxfId="7237" priority="3606" operator="lessThan">
      <formula>0</formula>
    </cfRule>
  </conditionalFormatting>
  <conditionalFormatting sqref="AG145">
    <cfRule type="cellIs" dxfId="7236" priority="3604" operator="greaterThan">
      <formula>1</formula>
    </cfRule>
    <cfRule type="cellIs" dxfId="7235" priority="3605" operator="lessThan">
      <formula>0.8</formula>
    </cfRule>
  </conditionalFormatting>
  <conditionalFormatting sqref="AF44:AF52">
    <cfRule type="cellIs" dxfId="7234" priority="3603" operator="lessThan">
      <formula>0</formula>
    </cfRule>
  </conditionalFormatting>
  <conditionalFormatting sqref="AG44:AG52">
    <cfRule type="cellIs" dxfId="7233" priority="3601" operator="greaterThan">
      <formula>1</formula>
    </cfRule>
    <cfRule type="cellIs" dxfId="7232" priority="3602" operator="lessThan">
      <formula>0.8</formula>
    </cfRule>
  </conditionalFormatting>
  <conditionalFormatting sqref="AF83:AF94">
    <cfRule type="cellIs" dxfId="7231" priority="3600" operator="lessThan">
      <formula>0</formula>
    </cfRule>
  </conditionalFormatting>
  <conditionalFormatting sqref="AH83">
    <cfRule type="cellIs" dxfId="7230" priority="3599" operator="lessThan">
      <formula>0.8</formula>
    </cfRule>
  </conditionalFormatting>
  <conditionalFormatting sqref="AG83:AG94">
    <cfRule type="cellIs" dxfId="7229" priority="3597" operator="greaterThan">
      <formula>1</formula>
    </cfRule>
    <cfRule type="cellIs" dxfId="7228" priority="3598" operator="lessThan">
      <formula>0.8</formula>
    </cfRule>
  </conditionalFormatting>
  <conditionalFormatting sqref="S83">
    <cfRule type="cellIs" dxfId="7227" priority="3596" operator="lessThan">
      <formula>0.8</formula>
    </cfRule>
  </conditionalFormatting>
  <conditionalFormatting sqref="AH84">
    <cfRule type="cellIs" dxfId="7226" priority="3595" operator="lessThan">
      <formula>0.8</formula>
    </cfRule>
  </conditionalFormatting>
  <conditionalFormatting sqref="S84">
    <cfRule type="cellIs" dxfId="7225" priority="3594" operator="lessThan">
      <formula>0.8</formula>
    </cfRule>
  </conditionalFormatting>
  <conditionalFormatting sqref="S90">
    <cfRule type="cellIs" dxfId="7224" priority="3593" operator="lessThan">
      <formula>0.8</formula>
    </cfRule>
  </conditionalFormatting>
  <conditionalFormatting sqref="AH90">
    <cfRule type="cellIs" dxfId="7223" priority="3592" operator="lessThan">
      <formula>0.8</formula>
    </cfRule>
  </conditionalFormatting>
  <conditionalFormatting sqref="AF122">
    <cfRule type="cellIs" dxfId="7222" priority="3591" operator="lessThan">
      <formula>0</formula>
    </cfRule>
  </conditionalFormatting>
  <conditionalFormatting sqref="S122">
    <cfRule type="cellIs" dxfId="7221" priority="3590" operator="lessThan">
      <formula>0.8</formula>
    </cfRule>
  </conditionalFormatting>
  <conditionalFormatting sqref="AG122">
    <cfRule type="cellIs" dxfId="7220" priority="3588" operator="greaterThan">
      <formula>1</formula>
    </cfRule>
    <cfRule type="cellIs" dxfId="7219" priority="3589" operator="lessThan">
      <formula>0.8</formula>
    </cfRule>
  </conditionalFormatting>
  <conditionalFormatting sqref="P162:P168">
    <cfRule type="cellIs" dxfId="7218" priority="3582" operator="greaterThan">
      <formula>0</formula>
    </cfRule>
  </conditionalFormatting>
  <conditionalFormatting sqref="R162:R168">
    <cfRule type="cellIs" dxfId="7217" priority="3585" operator="lessThan">
      <formula>0.8</formula>
    </cfRule>
    <cfRule type="cellIs" dxfId="7216" priority="3586" operator="greaterThan">
      <formula>1</formula>
    </cfRule>
  </conditionalFormatting>
  <conditionalFormatting sqref="R162:R168">
    <cfRule type="cellIs" dxfId="7215" priority="3583" operator="greaterThan">
      <formula>1</formula>
    </cfRule>
    <cfRule type="cellIs" dxfId="7214" priority="3584" operator="lessThan">
      <formula>0.8</formula>
    </cfRule>
  </conditionalFormatting>
  <conditionalFormatting sqref="Q162:Q168">
    <cfRule type="cellIs" dxfId="7213" priority="3587" operator="lessThan">
      <formula>0</formula>
    </cfRule>
  </conditionalFormatting>
  <conditionalFormatting sqref="P132:P133">
    <cfRule type="cellIs" dxfId="7212" priority="3575" operator="greaterThan">
      <formula>0</formula>
    </cfRule>
  </conditionalFormatting>
  <conditionalFormatting sqref="AF124 Q132:Q133 AF126:AF133">
    <cfRule type="cellIs" dxfId="7211" priority="3581" operator="lessThan">
      <formula>0</formula>
    </cfRule>
  </conditionalFormatting>
  <conditionalFormatting sqref="S124:S133">
    <cfRule type="cellIs" dxfId="7210" priority="3580" operator="lessThan">
      <formula>0.8</formula>
    </cfRule>
  </conditionalFormatting>
  <conditionalFormatting sqref="R132:R133">
    <cfRule type="cellIs" dxfId="7209" priority="3578" operator="lessThan">
      <formula>0.8</formula>
    </cfRule>
    <cfRule type="cellIs" dxfId="7208" priority="3579" operator="greaterThan">
      <formula>1</formula>
    </cfRule>
  </conditionalFormatting>
  <conditionalFormatting sqref="AG124 R132:R133 AG126:AG133">
    <cfRule type="cellIs" dxfId="7207" priority="3576" operator="greaterThan">
      <formula>1</formula>
    </cfRule>
    <cfRule type="cellIs" dxfId="7206" priority="3577" operator="lessThan">
      <formula>0.8</formula>
    </cfRule>
  </conditionalFormatting>
  <conditionalFormatting sqref="AF112 AF115">
    <cfRule type="cellIs" dxfId="7205" priority="3574" operator="lessThan">
      <formula>0</formula>
    </cfRule>
  </conditionalFormatting>
  <conditionalFormatting sqref="AG112 AG115">
    <cfRule type="cellIs" dxfId="7204" priority="3572" operator="greaterThan">
      <formula>1</formula>
    </cfRule>
    <cfRule type="cellIs" dxfId="7203" priority="3573" operator="lessThan">
      <formula>0.8</formula>
    </cfRule>
  </conditionalFormatting>
  <conditionalFormatting sqref="AF111 AF114 AF117">
    <cfRule type="cellIs" dxfId="7202" priority="3571" operator="lessThan">
      <formula>0</formula>
    </cfRule>
  </conditionalFormatting>
  <conditionalFormatting sqref="AH109">
    <cfRule type="cellIs" dxfId="7201" priority="3570" operator="lessThan">
      <formula>0.8</formula>
    </cfRule>
  </conditionalFormatting>
  <conditionalFormatting sqref="AG111 AG114 AG117">
    <cfRule type="cellIs" dxfId="7200" priority="3568" operator="greaterThan">
      <formula>1</formula>
    </cfRule>
    <cfRule type="cellIs" dxfId="7199" priority="3569" operator="lessThan">
      <formula>0.8</formula>
    </cfRule>
  </conditionalFormatting>
  <conditionalFormatting sqref="R160 AG160">
    <cfRule type="cellIs" dxfId="7198" priority="3563" operator="greaterThan">
      <formula>1</formula>
    </cfRule>
    <cfRule type="cellIs" dxfId="7197" priority="3564" operator="lessThan">
      <formula>0.8</formula>
    </cfRule>
  </conditionalFormatting>
  <conditionalFormatting sqref="R160">
    <cfRule type="cellIs" dxfId="7196" priority="3565" operator="lessThan">
      <formula>0.8</formula>
    </cfRule>
    <cfRule type="cellIs" dxfId="7195" priority="3566" operator="greaterThan">
      <formula>1</formula>
    </cfRule>
  </conditionalFormatting>
  <conditionalFormatting sqref="P160">
    <cfRule type="cellIs" dxfId="7194" priority="3562" operator="greaterThan">
      <formula>0</formula>
    </cfRule>
  </conditionalFormatting>
  <conditionalFormatting sqref="AH148">
    <cfRule type="cellIs" dxfId="7193" priority="3561" operator="lessThan">
      <formula>0.8</formula>
    </cfRule>
  </conditionalFormatting>
  <conditionalFormatting sqref="Q160 AF160">
    <cfRule type="cellIs" dxfId="7192" priority="3567" operator="lessThan">
      <formula>0</formula>
    </cfRule>
  </conditionalFormatting>
  <conditionalFormatting sqref="AF148:AF154">
    <cfRule type="cellIs" dxfId="7191" priority="3560" operator="lessThan">
      <formula>0</formula>
    </cfRule>
  </conditionalFormatting>
  <conditionalFormatting sqref="S148">
    <cfRule type="cellIs" dxfId="7190" priority="3559" operator="lessThan">
      <formula>0.8</formula>
    </cfRule>
  </conditionalFormatting>
  <conditionalFormatting sqref="AG148:AG154">
    <cfRule type="cellIs" dxfId="7189" priority="3557" operator="greaterThan">
      <formula>1</formula>
    </cfRule>
    <cfRule type="cellIs" dxfId="7188" priority="3558" operator="lessThan">
      <formula>0.8</formula>
    </cfRule>
  </conditionalFormatting>
  <conditionalFormatting sqref="S86">
    <cfRule type="cellIs" dxfId="7187" priority="3556" operator="lessThan">
      <formula>0.8</formula>
    </cfRule>
  </conditionalFormatting>
  <conditionalFormatting sqref="S88 AH88">
    <cfRule type="cellIs" dxfId="7186" priority="3551" operator="lessThan">
      <formula>0.8</formula>
    </cfRule>
  </conditionalFormatting>
  <conditionalFormatting sqref="AH86">
    <cfRule type="cellIs" dxfId="7185" priority="3555" operator="lessThan">
      <formula>0.8</formula>
    </cfRule>
  </conditionalFormatting>
  <conditionalFormatting sqref="S87">
    <cfRule type="cellIs" dxfId="7184" priority="3554" operator="lessThan">
      <formula>0.8</formula>
    </cfRule>
  </conditionalFormatting>
  <conditionalFormatting sqref="AH87">
    <cfRule type="cellIs" dxfId="7183" priority="3553" operator="lessThan">
      <formula>0.8</formula>
    </cfRule>
  </conditionalFormatting>
  <conditionalFormatting sqref="S89 AH89">
    <cfRule type="cellIs" dxfId="7182" priority="3552" operator="lessThan">
      <formula>0.8</formula>
    </cfRule>
  </conditionalFormatting>
  <conditionalFormatting sqref="AF31">
    <cfRule type="cellIs" dxfId="7181" priority="3550" operator="lessThan">
      <formula>0</formula>
    </cfRule>
  </conditionalFormatting>
  <conditionalFormatting sqref="AH31 S31">
    <cfRule type="cellIs" dxfId="7180" priority="3549" operator="lessThan">
      <formula>0.8</formula>
    </cfRule>
  </conditionalFormatting>
  <conditionalFormatting sqref="AG31">
    <cfRule type="cellIs" dxfId="7179" priority="3547" operator="greaterThan">
      <formula>1</formula>
    </cfRule>
    <cfRule type="cellIs" dxfId="7178" priority="3548" operator="lessThan">
      <formula>0.8</formula>
    </cfRule>
  </conditionalFormatting>
  <conditionalFormatting sqref="AF135">
    <cfRule type="cellIs" dxfId="7177" priority="3546" operator="lessThan">
      <formula>0</formula>
    </cfRule>
  </conditionalFormatting>
  <conditionalFormatting sqref="AH135 S135">
    <cfRule type="cellIs" dxfId="7176" priority="3545" operator="lessThan">
      <formula>0.8</formula>
    </cfRule>
  </conditionalFormatting>
  <conditionalFormatting sqref="AG135">
    <cfRule type="cellIs" dxfId="7175" priority="3543" operator="greaterThan">
      <formula>1</formula>
    </cfRule>
    <cfRule type="cellIs" dxfId="7174" priority="3544" operator="lessThan">
      <formula>0.8</formula>
    </cfRule>
  </conditionalFormatting>
  <conditionalFormatting sqref="AF110 AF113 AF116">
    <cfRule type="cellIs" dxfId="7173" priority="3542" operator="lessThan">
      <formula>0</formula>
    </cfRule>
  </conditionalFormatting>
  <conditionalFormatting sqref="AG110 AG113 AG116">
    <cfRule type="cellIs" dxfId="7172" priority="3540" operator="greaterThan">
      <formula>1</formula>
    </cfRule>
    <cfRule type="cellIs" dxfId="7171" priority="3541" operator="lessThan">
      <formula>0.8</formula>
    </cfRule>
  </conditionalFormatting>
  <conditionalFormatting sqref="AF108 Q108">
    <cfRule type="cellIs" dxfId="7170" priority="3539" operator="lessThan">
      <formula>0</formula>
    </cfRule>
  </conditionalFormatting>
  <conditionalFormatting sqref="R108">
    <cfRule type="cellIs" dxfId="7169" priority="3537" operator="lessThan">
      <formula>0.8</formula>
    </cfRule>
    <cfRule type="cellIs" dxfId="7168" priority="3538" operator="greaterThan">
      <formula>1</formula>
    </cfRule>
  </conditionalFormatting>
  <conditionalFormatting sqref="AG108 R108">
    <cfRule type="cellIs" dxfId="7167" priority="3535" operator="greaterThan">
      <formula>1</formula>
    </cfRule>
    <cfRule type="cellIs" dxfId="7166" priority="3536" operator="lessThan">
      <formula>0.8</formula>
    </cfRule>
  </conditionalFormatting>
  <conditionalFormatting sqref="P108">
    <cfRule type="cellIs" dxfId="7165" priority="3534" operator="greaterThan">
      <formula>0</formula>
    </cfRule>
  </conditionalFormatting>
  <conditionalFormatting sqref="AH97">
    <cfRule type="cellIs" dxfId="7164" priority="3529" operator="lessThan">
      <formula>0.8</formula>
    </cfRule>
  </conditionalFormatting>
  <conditionalFormatting sqref="AG96">
    <cfRule type="cellIs" dxfId="7163" priority="3531" operator="greaterThan">
      <formula>1</formula>
    </cfRule>
    <cfRule type="cellIs" dxfId="7162" priority="3532" operator="lessThan">
      <formula>0.8</formula>
    </cfRule>
  </conditionalFormatting>
  <conditionalFormatting sqref="AF96">
    <cfRule type="cellIs" dxfId="7161" priority="3533" operator="lessThan">
      <formula>0</formula>
    </cfRule>
  </conditionalFormatting>
  <conditionalFormatting sqref="AG97">
    <cfRule type="cellIs" dxfId="7160" priority="3527" operator="greaterThan">
      <formula>1</formula>
    </cfRule>
    <cfRule type="cellIs" dxfId="7159" priority="3528" operator="lessThan">
      <formula>0.8</formula>
    </cfRule>
  </conditionalFormatting>
  <conditionalFormatting sqref="AF97">
    <cfRule type="cellIs" dxfId="7158" priority="3530" operator="lessThan">
      <formula>0</formula>
    </cfRule>
  </conditionalFormatting>
  <conditionalFormatting sqref="AF71 AF73 AF75 AF77 AF79">
    <cfRule type="cellIs" dxfId="7157" priority="3524" operator="lessThan">
      <formula>0</formula>
    </cfRule>
  </conditionalFormatting>
  <conditionalFormatting sqref="S71 AH71">
    <cfRule type="cellIs" dxfId="7156" priority="3523" operator="lessThan">
      <formula>0.8</formula>
    </cfRule>
  </conditionalFormatting>
  <conditionalFormatting sqref="AG71 AG73 AG75 AG77 AG79">
    <cfRule type="cellIs" dxfId="7155" priority="3521" operator="greaterThan">
      <formula>1</formula>
    </cfRule>
    <cfRule type="cellIs" dxfId="7154" priority="3522" operator="lessThan">
      <formula>0.8</formula>
    </cfRule>
  </conditionalFormatting>
  <conditionalFormatting sqref="AF72 AF74 AF76 AF78 AF80">
    <cfRule type="cellIs" dxfId="7153" priority="3520" operator="lessThan">
      <formula>0</formula>
    </cfRule>
  </conditionalFormatting>
  <conditionalFormatting sqref="S72 AH72">
    <cfRule type="cellIs" dxfId="7152" priority="3519" operator="lessThan">
      <formula>0.8</formula>
    </cfRule>
  </conditionalFormatting>
  <conditionalFormatting sqref="S11">
    <cfRule type="cellIs" dxfId="7151" priority="3526" operator="lessThan">
      <formula>0.8</formula>
    </cfRule>
  </conditionalFormatting>
  <conditionalFormatting sqref="S10">
    <cfRule type="cellIs" dxfId="7150" priority="3525" operator="lessThan">
      <formula>0.8</formula>
    </cfRule>
  </conditionalFormatting>
  <conditionalFormatting sqref="AG72 AG74 AG76 AG78 AG80">
    <cfRule type="cellIs" dxfId="7149" priority="3517" operator="greaterThan">
      <formula>1</formula>
    </cfRule>
    <cfRule type="cellIs" dxfId="7148" priority="3518" operator="lessThan">
      <formula>0.8</formula>
    </cfRule>
  </conditionalFormatting>
  <conditionalFormatting sqref="AF13:AF16 Q15:Q16">
    <cfRule type="cellIs" dxfId="7147" priority="3516" operator="lessThan">
      <formula>0</formula>
    </cfRule>
  </conditionalFormatting>
  <conditionalFormatting sqref="R15:R16">
    <cfRule type="cellIs" dxfId="7146" priority="3514" operator="lessThan">
      <formula>0.8</formula>
    </cfRule>
    <cfRule type="cellIs" dxfId="7145" priority="3515" operator="greaterThan">
      <formula>1</formula>
    </cfRule>
  </conditionalFormatting>
  <conditionalFormatting sqref="AG12:AG16 R15:R16">
    <cfRule type="cellIs" dxfId="7144" priority="3512" operator="greaterThan">
      <formula>1</formula>
    </cfRule>
    <cfRule type="cellIs" dxfId="7143" priority="3513" operator="lessThan">
      <formula>0.8</formula>
    </cfRule>
  </conditionalFormatting>
  <conditionalFormatting sqref="P15:P16">
    <cfRule type="cellIs" dxfId="7142" priority="3511" operator="greaterThan">
      <formula>0</formula>
    </cfRule>
  </conditionalFormatting>
  <conditionalFormatting sqref="AF98 AF100 AF102 AF104">
    <cfRule type="cellIs" dxfId="7141" priority="3510" operator="lessThan">
      <formula>0</formula>
    </cfRule>
  </conditionalFormatting>
  <conditionalFormatting sqref="AH98">
    <cfRule type="cellIs" dxfId="7140" priority="3509" operator="lessThan">
      <formula>0.8</formula>
    </cfRule>
  </conditionalFormatting>
  <conditionalFormatting sqref="AG98 AG100 AG102 AG104">
    <cfRule type="cellIs" dxfId="7139" priority="3507" operator="greaterThan">
      <formula>1</formula>
    </cfRule>
    <cfRule type="cellIs" dxfId="7138" priority="3508" operator="lessThan">
      <formula>0.8</formula>
    </cfRule>
  </conditionalFormatting>
  <conditionalFormatting sqref="AF20 AF22 AF24 AF26 AF28">
    <cfRule type="cellIs" dxfId="7137" priority="3506" operator="lessThan">
      <formula>0</formula>
    </cfRule>
  </conditionalFormatting>
  <conditionalFormatting sqref="AG20 AG22 AG24 AG26 AG28">
    <cfRule type="cellIs" dxfId="7136" priority="3504" operator="greaterThan">
      <formula>1</formula>
    </cfRule>
    <cfRule type="cellIs" dxfId="7135" priority="3505" operator="lessThan">
      <formula>0.8</formula>
    </cfRule>
  </conditionalFormatting>
  <conditionalFormatting sqref="AF33">
    <cfRule type="cellIs" dxfId="7134" priority="3503" operator="lessThan">
      <formula>0</formula>
    </cfRule>
  </conditionalFormatting>
  <conditionalFormatting sqref="AG33">
    <cfRule type="cellIs" dxfId="7133" priority="3501" operator="greaterThan">
      <formula>1</formula>
    </cfRule>
    <cfRule type="cellIs" dxfId="7132" priority="3502" operator="lessThan">
      <formula>0.8</formula>
    </cfRule>
  </conditionalFormatting>
  <conditionalFormatting sqref="P41:P42">
    <cfRule type="cellIs" dxfId="7131" priority="3495" operator="greaterThan">
      <formula>0</formula>
    </cfRule>
  </conditionalFormatting>
  <conditionalFormatting sqref="Q41:Q42 AF34:AF42">
    <cfRule type="cellIs" dxfId="7130" priority="3500" operator="lessThan">
      <formula>0</formula>
    </cfRule>
  </conditionalFormatting>
  <conditionalFormatting sqref="R41:R42">
    <cfRule type="cellIs" dxfId="7129" priority="3498" operator="lessThan">
      <formula>0.8</formula>
    </cfRule>
    <cfRule type="cellIs" dxfId="7128" priority="3499" operator="greaterThan">
      <formula>1</formula>
    </cfRule>
  </conditionalFormatting>
  <conditionalFormatting sqref="R41:R42 AG34:AG42">
    <cfRule type="cellIs" dxfId="7127" priority="3496" operator="greaterThan">
      <formula>1</formula>
    </cfRule>
    <cfRule type="cellIs" dxfId="7126" priority="3497" operator="lessThan">
      <formula>0.8</formula>
    </cfRule>
  </conditionalFormatting>
  <conditionalFormatting sqref="AF137:AF144">
    <cfRule type="cellIs" dxfId="7125" priority="3494" operator="lessThan">
      <formula>0</formula>
    </cfRule>
  </conditionalFormatting>
  <conditionalFormatting sqref="AH137 S137">
    <cfRule type="cellIs" dxfId="7124" priority="3493" operator="lessThan">
      <formula>0.8</formula>
    </cfRule>
  </conditionalFormatting>
  <conditionalFormatting sqref="AG137:AG144">
    <cfRule type="cellIs" dxfId="7123" priority="3491" operator="greaterThan">
      <formula>1</formula>
    </cfRule>
    <cfRule type="cellIs" dxfId="7122" priority="3492" operator="lessThan">
      <formula>0.8</formula>
    </cfRule>
  </conditionalFormatting>
  <conditionalFormatting sqref="AF53:AF55">
    <cfRule type="cellIs" dxfId="7121" priority="3490" operator="lessThan">
      <formula>0</formula>
    </cfRule>
  </conditionalFormatting>
  <conditionalFormatting sqref="AG53:AG55">
    <cfRule type="cellIs" dxfId="7120" priority="3488" operator="greaterThan">
      <formula>1</formula>
    </cfRule>
    <cfRule type="cellIs" dxfId="7119" priority="3489" operator="lessThan">
      <formula>0.8</formula>
    </cfRule>
  </conditionalFormatting>
  <conditionalFormatting sqref="AF56 Q56">
    <cfRule type="cellIs" dxfId="7118" priority="3487" operator="lessThan">
      <formula>0</formula>
    </cfRule>
  </conditionalFormatting>
  <conditionalFormatting sqref="R56">
    <cfRule type="cellIs" dxfId="7117" priority="3485" operator="lessThan">
      <formula>0.8</formula>
    </cfRule>
    <cfRule type="cellIs" dxfId="7116" priority="3486" operator="greaterThan">
      <formula>1</formula>
    </cfRule>
  </conditionalFormatting>
  <conditionalFormatting sqref="AG56 R56">
    <cfRule type="cellIs" dxfId="7115" priority="3483" operator="greaterThan">
      <formula>1</formula>
    </cfRule>
    <cfRule type="cellIs" dxfId="7114" priority="3484" operator="lessThan">
      <formula>0.8</formula>
    </cfRule>
  </conditionalFormatting>
  <conditionalFormatting sqref="P56">
    <cfRule type="cellIs" dxfId="7113" priority="3482" operator="greaterThan">
      <formula>0</formula>
    </cfRule>
  </conditionalFormatting>
  <conditionalFormatting sqref="P52:P55">
    <cfRule type="cellIs" dxfId="7112" priority="3476" operator="greaterThan">
      <formula>0</formula>
    </cfRule>
  </conditionalFormatting>
  <conditionalFormatting sqref="Q52:Q55">
    <cfRule type="cellIs" dxfId="7111" priority="3481" operator="lessThan">
      <formula>0</formula>
    </cfRule>
  </conditionalFormatting>
  <conditionalFormatting sqref="R52:R55">
    <cfRule type="cellIs" dxfId="7110" priority="3479" operator="lessThan">
      <formula>0.8</formula>
    </cfRule>
    <cfRule type="cellIs" dxfId="7109" priority="3480" operator="greaterThan">
      <formula>1</formula>
    </cfRule>
  </conditionalFormatting>
  <conditionalFormatting sqref="R52:R55">
    <cfRule type="cellIs" dxfId="7108" priority="3477" operator="greaterThan">
      <formula>1</formula>
    </cfRule>
    <cfRule type="cellIs" dxfId="7107" priority="3478" operator="lessThan">
      <formula>0.8</formula>
    </cfRule>
  </conditionalFormatting>
  <conditionalFormatting sqref="P80:P81">
    <cfRule type="cellIs" dxfId="7106" priority="3470" operator="greaterThan">
      <formula>0</formula>
    </cfRule>
  </conditionalFormatting>
  <conditionalFormatting sqref="AF81 Q80:Q81">
    <cfRule type="cellIs" dxfId="7105" priority="3475" operator="lessThan">
      <formula>0</formula>
    </cfRule>
  </conditionalFormatting>
  <conditionalFormatting sqref="R80:R81">
    <cfRule type="cellIs" dxfId="7104" priority="3473" operator="lessThan">
      <formula>0.8</formula>
    </cfRule>
    <cfRule type="cellIs" dxfId="7103" priority="3474" operator="greaterThan">
      <formula>1</formula>
    </cfRule>
  </conditionalFormatting>
  <conditionalFormatting sqref="AG81 R80:R81">
    <cfRule type="cellIs" dxfId="7102" priority="3471" operator="greaterThan">
      <formula>1</formula>
    </cfRule>
    <cfRule type="cellIs" dxfId="7101" priority="3472" operator="lessThan">
      <formula>0.8</formula>
    </cfRule>
  </conditionalFormatting>
  <conditionalFormatting sqref="AH85">
    <cfRule type="cellIs" dxfId="7100" priority="3469" operator="lessThan">
      <formula>0.8</formula>
    </cfRule>
  </conditionalFormatting>
  <conditionalFormatting sqref="S85">
    <cfRule type="cellIs" dxfId="7099" priority="3468" operator="lessThan">
      <formula>0.8</formula>
    </cfRule>
  </conditionalFormatting>
  <conditionalFormatting sqref="AF99 AF101 AF103">
    <cfRule type="cellIs" dxfId="7098" priority="3467" operator="lessThan">
      <formula>0</formula>
    </cfRule>
  </conditionalFormatting>
  <conditionalFormatting sqref="AG99 AG101 AG103">
    <cfRule type="cellIs" dxfId="7097" priority="3465" operator="greaterThan">
      <formula>1</formula>
    </cfRule>
    <cfRule type="cellIs" dxfId="7096" priority="3466" operator="lessThan">
      <formula>0.8</formula>
    </cfRule>
  </conditionalFormatting>
  <conditionalFormatting sqref="AF105:AF107">
    <cfRule type="cellIs" dxfId="7095" priority="3464" operator="lessThan">
      <formula>0</formula>
    </cfRule>
  </conditionalFormatting>
  <conditionalFormatting sqref="AH100:AH107">
    <cfRule type="cellIs" dxfId="7094" priority="3463" operator="lessThan">
      <formula>0.8</formula>
    </cfRule>
  </conditionalFormatting>
  <conditionalFormatting sqref="AG105:AG107">
    <cfRule type="cellIs" dxfId="7093" priority="3461" operator="greaterThan">
      <formula>1</formula>
    </cfRule>
    <cfRule type="cellIs" dxfId="7092" priority="3462" operator="lessThan">
      <formula>0.8</formula>
    </cfRule>
  </conditionalFormatting>
  <conditionalFormatting sqref="P106:P107">
    <cfRule type="cellIs" dxfId="7091" priority="3455" operator="greaterThan">
      <formula>0</formula>
    </cfRule>
  </conditionalFormatting>
  <conditionalFormatting sqref="Q106:Q107">
    <cfRule type="cellIs" dxfId="7090" priority="3460" operator="lessThan">
      <formula>0</formula>
    </cfRule>
  </conditionalFormatting>
  <conditionalFormatting sqref="R106:R107">
    <cfRule type="cellIs" dxfId="7089" priority="3458" operator="lessThan">
      <formula>0.8</formula>
    </cfRule>
    <cfRule type="cellIs" dxfId="7088" priority="3459" operator="greaterThan">
      <formula>1</formula>
    </cfRule>
  </conditionalFormatting>
  <conditionalFormatting sqref="R106:R107">
    <cfRule type="cellIs" dxfId="7087" priority="3456" operator="greaterThan">
      <formula>1</formula>
    </cfRule>
    <cfRule type="cellIs" dxfId="7086" priority="3457" operator="lessThan">
      <formula>0.8</formula>
    </cfRule>
  </conditionalFormatting>
  <conditionalFormatting sqref="AF109">
    <cfRule type="cellIs" dxfId="7085" priority="3454" operator="lessThan">
      <formula>0</formula>
    </cfRule>
  </conditionalFormatting>
  <conditionalFormatting sqref="S109">
    <cfRule type="cellIs" dxfId="7084" priority="3453" operator="lessThan">
      <formula>0.8</formula>
    </cfRule>
  </conditionalFormatting>
  <conditionalFormatting sqref="AG109">
    <cfRule type="cellIs" dxfId="7083" priority="3451" operator="greaterThan">
      <formula>1</formula>
    </cfRule>
    <cfRule type="cellIs" dxfId="7082" priority="3452" operator="lessThan">
      <formula>0.8</formula>
    </cfRule>
  </conditionalFormatting>
  <conditionalFormatting sqref="S150">
    <cfRule type="cellIs" dxfId="7081" priority="3450" operator="lessThan">
      <formula>0.8</formula>
    </cfRule>
  </conditionalFormatting>
  <conditionalFormatting sqref="AH150">
    <cfRule type="cellIs" dxfId="7080" priority="3449" operator="lessThan">
      <formula>0.8</formula>
    </cfRule>
  </conditionalFormatting>
  <conditionalFormatting sqref="S149">
    <cfRule type="cellIs" dxfId="7079" priority="3448" operator="lessThan">
      <formula>0.8</formula>
    </cfRule>
  </conditionalFormatting>
  <conditionalFormatting sqref="Q26:Q29">
    <cfRule type="cellIs" dxfId="7078" priority="3447" operator="lessThan">
      <formula>0</formula>
    </cfRule>
  </conditionalFormatting>
  <conditionalFormatting sqref="S21:S29 AH21:AH29">
    <cfRule type="cellIs" dxfId="7077" priority="3446" operator="lessThan">
      <formula>0.8</formula>
    </cfRule>
  </conditionalFormatting>
  <conditionalFormatting sqref="R26:R29">
    <cfRule type="cellIs" dxfId="7076" priority="3444" operator="lessThan">
      <formula>0.8</formula>
    </cfRule>
    <cfRule type="cellIs" dxfId="7075" priority="3445" operator="greaterThan">
      <formula>1</formula>
    </cfRule>
  </conditionalFormatting>
  <conditionalFormatting sqref="R26:R29">
    <cfRule type="cellIs" dxfId="7074" priority="3442" operator="greaterThan">
      <formula>1</formula>
    </cfRule>
    <cfRule type="cellIs" dxfId="7073" priority="3443" operator="lessThan">
      <formula>0.8</formula>
    </cfRule>
  </conditionalFormatting>
  <conditionalFormatting sqref="P26:P29">
    <cfRule type="cellIs" dxfId="7072" priority="3441" operator="greaterThan">
      <formula>0</formula>
    </cfRule>
  </conditionalFormatting>
  <conditionalFormatting sqref="AH91 S91">
    <cfRule type="cellIs" dxfId="7071" priority="3440" operator="lessThan">
      <formula>0.8</formula>
    </cfRule>
  </conditionalFormatting>
  <conditionalFormatting sqref="P92:P94">
    <cfRule type="cellIs" dxfId="7070" priority="3434" operator="greaterThan">
      <formula>0</formula>
    </cfRule>
  </conditionalFormatting>
  <conditionalFormatting sqref="Q92:Q94">
    <cfRule type="cellIs" dxfId="7069" priority="3439" operator="lessThan">
      <formula>0</formula>
    </cfRule>
  </conditionalFormatting>
  <conditionalFormatting sqref="R92:R94">
    <cfRule type="cellIs" dxfId="7068" priority="3437" operator="lessThan">
      <formula>0.8</formula>
    </cfRule>
    <cfRule type="cellIs" dxfId="7067" priority="3438" operator="greaterThan">
      <formula>1</formula>
    </cfRule>
  </conditionalFormatting>
  <conditionalFormatting sqref="R92:R94">
    <cfRule type="cellIs" dxfId="7066" priority="3435" operator="greaterThan">
      <formula>1</formula>
    </cfRule>
    <cfRule type="cellIs" dxfId="7065" priority="3436" operator="lessThan">
      <formula>0.8</formula>
    </cfRule>
  </conditionalFormatting>
  <conditionalFormatting sqref="AF146 Q145:Q146">
    <cfRule type="cellIs" dxfId="7064" priority="3433" operator="lessThan">
      <formula>0</formula>
    </cfRule>
  </conditionalFormatting>
  <conditionalFormatting sqref="AH139:AH146 S139:S146">
    <cfRule type="cellIs" dxfId="7063" priority="3432" operator="lessThan">
      <formula>0.8</formula>
    </cfRule>
  </conditionalFormatting>
  <conditionalFormatting sqref="R145:R146">
    <cfRule type="cellIs" dxfId="7062" priority="3430" operator="lessThan">
      <formula>0.8</formula>
    </cfRule>
    <cfRule type="cellIs" dxfId="7061" priority="3431" operator="greaterThan">
      <formula>1</formula>
    </cfRule>
  </conditionalFormatting>
  <conditionalFormatting sqref="AG146 R145:R146">
    <cfRule type="cellIs" dxfId="7060" priority="3428" operator="greaterThan">
      <formula>1</formula>
    </cfRule>
    <cfRule type="cellIs" dxfId="7059" priority="3429" operator="lessThan">
      <formula>0.8</formula>
    </cfRule>
  </conditionalFormatting>
  <conditionalFormatting sqref="P145:P146">
    <cfRule type="cellIs" dxfId="7058" priority="3427" operator="greaterThan">
      <formula>0</formula>
    </cfRule>
  </conditionalFormatting>
  <conditionalFormatting sqref="Q119:Q120">
    <cfRule type="cellIs" dxfId="7057" priority="3426" operator="lessThan">
      <formula>0</formula>
    </cfRule>
  </conditionalFormatting>
  <conditionalFormatting sqref="R119:R120">
    <cfRule type="cellIs" dxfId="7056" priority="3424" operator="lessThan">
      <formula>0.8</formula>
    </cfRule>
    <cfRule type="cellIs" dxfId="7055" priority="3425" operator="greaterThan">
      <formula>1</formula>
    </cfRule>
  </conditionalFormatting>
  <conditionalFormatting sqref="R119:R120">
    <cfRule type="cellIs" dxfId="7054" priority="3422" operator="greaterThan">
      <formula>1</formula>
    </cfRule>
    <cfRule type="cellIs" dxfId="7053" priority="3423" operator="lessThan">
      <formula>0.8</formula>
    </cfRule>
  </conditionalFormatting>
  <conditionalFormatting sqref="P119:P120">
    <cfRule type="cellIs" dxfId="7052" priority="3421" operator="greaterThan">
      <formula>0</formula>
    </cfRule>
  </conditionalFormatting>
  <conditionalFormatting sqref="AF118:AF120">
    <cfRule type="cellIs" dxfId="7051" priority="3420" operator="lessThan">
      <formula>0</formula>
    </cfRule>
  </conditionalFormatting>
  <conditionalFormatting sqref="AG118:AG120">
    <cfRule type="cellIs" dxfId="7050" priority="3418" operator="greaterThan">
      <formula>1</formula>
    </cfRule>
    <cfRule type="cellIs" dxfId="7049" priority="3419" operator="lessThan">
      <formula>0.8</formula>
    </cfRule>
  </conditionalFormatting>
  <conditionalFormatting sqref="S44:S56">
    <cfRule type="cellIs" dxfId="7048" priority="3417" operator="lessThan">
      <formula>0.8</formula>
    </cfRule>
  </conditionalFormatting>
  <conditionalFormatting sqref="S108">
    <cfRule type="cellIs" dxfId="7047" priority="3416" operator="lessThan">
      <formula>0.8</formula>
    </cfRule>
  </conditionalFormatting>
  <conditionalFormatting sqref="S96">
    <cfRule type="cellIs" dxfId="7046" priority="3415" operator="lessThan">
      <formula>0.8</formula>
    </cfRule>
  </conditionalFormatting>
  <conditionalFormatting sqref="S97">
    <cfRule type="cellIs" dxfId="7045" priority="3414" operator="lessThan">
      <formula>0.8</formula>
    </cfRule>
  </conditionalFormatting>
  <conditionalFormatting sqref="S103">
    <cfRule type="cellIs" dxfId="7044" priority="3413" operator="lessThan">
      <formula>0.8</formula>
    </cfRule>
  </conditionalFormatting>
  <conditionalFormatting sqref="S99">
    <cfRule type="cellIs" dxfId="7043" priority="3412" operator="lessThan">
      <formula>0.8</formula>
    </cfRule>
  </conditionalFormatting>
  <conditionalFormatting sqref="S101">
    <cfRule type="cellIs" dxfId="7042" priority="3409" operator="lessThan">
      <formula>0.8</formula>
    </cfRule>
  </conditionalFormatting>
  <conditionalFormatting sqref="S100">
    <cfRule type="cellIs" dxfId="7041" priority="3411" operator="lessThan">
      <formula>0.8</formula>
    </cfRule>
  </conditionalFormatting>
  <conditionalFormatting sqref="S102">
    <cfRule type="cellIs" dxfId="7040" priority="3410" operator="lessThan">
      <formula>0.8</formula>
    </cfRule>
  </conditionalFormatting>
  <conditionalFormatting sqref="S98">
    <cfRule type="cellIs" dxfId="7039" priority="3408" operator="lessThan">
      <formula>0.8</formula>
    </cfRule>
  </conditionalFormatting>
  <conditionalFormatting sqref="S104">
    <cfRule type="cellIs" dxfId="7038" priority="3407" operator="lessThan">
      <formula>0.8</formula>
    </cfRule>
  </conditionalFormatting>
  <conditionalFormatting sqref="P118">
    <cfRule type="cellIs" dxfId="7037" priority="3401" operator="greaterThan">
      <formula>0</formula>
    </cfRule>
  </conditionalFormatting>
  <conditionalFormatting sqref="Q118">
    <cfRule type="cellIs" dxfId="7036" priority="3406" operator="lessThan">
      <formula>0</formula>
    </cfRule>
  </conditionalFormatting>
  <conditionalFormatting sqref="R118">
    <cfRule type="cellIs" dxfId="7035" priority="3404" operator="lessThan">
      <formula>0.8</formula>
    </cfRule>
    <cfRule type="cellIs" dxfId="7034" priority="3405" operator="greaterThan">
      <formula>1</formula>
    </cfRule>
  </conditionalFormatting>
  <conditionalFormatting sqref="R118">
    <cfRule type="cellIs" dxfId="7033" priority="3402" operator="greaterThan">
      <formula>1</formula>
    </cfRule>
    <cfRule type="cellIs" dxfId="7032" priority="3403" operator="lessThan">
      <formula>0.8</formula>
    </cfRule>
  </conditionalFormatting>
  <conditionalFormatting sqref="Q162:Q166">
    <cfRule type="cellIs" dxfId="7031" priority="3400" operator="lessThan">
      <formula>0</formula>
    </cfRule>
  </conditionalFormatting>
  <conditionalFormatting sqref="R162:R166">
    <cfRule type="cellIs" dxfId="7030" priority="3398" operator="lessThan">
      <formula>0.8</formula>
    </cfRule>
    <cfRule type="cellIs" dxfId="7029" priority="3399" operator="greaterThan">
      <formula>1</formula>
    </cfRule>
  </conditionalFormatting>
  <conditionalFormatting sqref="R162:R166">
    <cfRule type="cellIs" dxfId="7028" priority="3396" operator="greaterThan">
      <formula>1</formula>
    </cfRule>
    <cfRule type="cellIs" dxfId="7027" priority="3397" operator="lessThan">
      <formula>0.8</formula>
    </cfRule>
  </conditionalFormatting>
  <conditionalFormatting sqref="P162:P166">
    <cfRule type="cellIs" dxfId="7026" priority="3395" operator="greaterThan">
      <formula>0</formula>
    </cfRule>
  </conditionalFormatting>
  <conditionalFormatting sqref="P167:P168">
    <cfRule type="cellIs" dxfId="7025" priority="3389" operator="greaterThan">
      <formula>0</formula>
    </cfRule>
  </conditionalFormatting>
  <conditionalFormatting sqref="R167:R168">
    <cfRule type="cellIs" dxfId="7024" priority="3392" operator="lessThan">
      <formula>0.8</formula>
    </cfRule>
    <cfRule type="cellIs" dxfId="7023" priority="3393" operator="greaterThan">
      <formula>1</formula>
    </cfRule>
  </conditionalFormatting>
  <conditionalFormatting sqref="R167:R168">
    <cfRule type="cellIs" dxfId="7022" priority="3390" operator="greaterThan">
      <formula>1</formula>
    </cfRule>
    <cfRule type="cellIs" dxfId="7021" priority="3391" operator="lessThan">
      <formula>0.8</formula>
    </cfRule>
  </conditionalFormatting>
  <conditionalFormatting sqref="Q167:Q168">
    <cfRule type="cellIs" dxfId="7020" priority="3394" operator="lessThan">
      <formula>0</formula>
    </cfRule>
  </conditionalFormatting>
  <conditionalFormatting sqref="Q117">
    <cfRule type="cellIs" dxfId="7019" priority="3388" operator="lessThan">
      <formula>0</formula>
    </cfRule>
  </conditionalFormatting>
  <conditionalFormatting sqref="R117">
    <cfRule type="cellIs" dxfId="7018" priority="3386" operator="lessThan">
      <formula>0.8</formula>
    </cfRule>
    <cfRule type="cellIs" dxfId="7017" priority="3387" operator="greaterThan">
      <formula>1</formula>
    </cfRule>
  </conditionalFormatting>
  <conditionalFormatting sqref="R117">
    <cfRule type="cellIs" dxfId="7016" priority="3384" operator="greaterThan">
      <formula>1</formula>
    </cfRule>
    <cfRule type="cellIs" dxfId="7015" priority="3385" operator="lessThan">
      <formula>0.8</formula>
    </cfRule>
  </conditionalFormatting>
  <conditionalFormatting sqref="P117">
    <cfRule type="cellIs" dxfId="7014" priority="3383" operator="greaterThan">
      <formula>0</formula>
    </cfRule>
  </conditionalFormatting>
  <conditionalFormatting sqref="Q117">
    <cfRule type="cellIs" dxfId="7013" priority="3382" operator="lessThan">
      <formula>0</formula>
    </cfRule>
  </conditionalFormatting>
  <conditionalFormatting sqref="R117">
    <cfRule type="cellIs" dxfId="7012" priority="3380" operator="lessThan">
      <formula>0.8</formula>
    </cfRule>
    <cfRule type="cellIs" dxfId="7011" priority="3381" operator="greaterThan">
      <formula>1</formula>
    </cfRule>
  </conditionalFormatting>
  <conditionalFormatting sqref="R117">
    <cfRule type="cellIs" dxfId="7010" priority="3378" operator="greaterThan">
      <formula>1</formula>
    </cfRule>
    <cfRule type="cellIs" dxfId="7009" priority="3379" operator="lessThan">
      <formula>0.8</formula>
    </cfRule>
  </conditionalFormatting>
  <conditionalFormatting sqref="P117">
    <cfRule type="cellIs" dxfId="7008" priority="3377" operator="greaterThan">
      <formula>0</formula>
    </cfRule>
  </conditionalFormatting>
  <conditionalFormatting sqref="P117">
    <cfRule type="cellIs" dxfId="7007" priority="3371" operator="greaterThan">
      <formula>0</formula>
    </cfRule>
  </conditionalFormatting>
  <conditionalFormatting sqref="Q117">
    <cfRule type="cellIs" dxfId="7006" priority="3376" operator="lessThan">
      <formula>0</formula>
    </cfRule>
  </conditionalFormatting>
  <conditionalFormatting sqref="R117">
    <cfRule type="cellIs" dxfId="7005" priority="3374" operator="lessThan">
      <formula>0.8</formula>
    </cfRule>
    <cfRule type="cellIs" dxfId="7004" priority="3375" operator="greaterThan">
      <formula>1</formula>
    </cfRule>
  </conditionalFormatting>
  <conditionalFormatting sqref="R117">
    <cfRule type="cellIs" dxfId="7003" priority="3372" operator="greaterThan">
      <formula>1</formula>
    </cfRule>
    <cfRule type="cellIs" dxfId="7002" priority="3373" operator="lessThan">
      <formula>0.8</formula>
    </cfRule>
  </conditionalFormatting>
  <conditionalFormatting sqref="P117">
    <cfRule type="cellIs" dxfId="7001" priority="3365" operator="greaterThan">
      <formula>0</formula>
    </cfRule>
  </conditionalFormatting>
  <conditionalFormatting sqref="Q117">
    <cfRule type="cellIs" dxfId="7000" priority="3370" operator="lessThan">
      <formula>0</formula>
    </cfRule>
  </conditionalFormatting>
  <conditionalFormatting sqref="R117">
    <cfRule type="cellIs" dxfId="6999" priority="3368" operator="lessThan">
      <formula>0.8</formula>
    </cfRule>
    <cfRule type="cellIs" dxfId="6998" priority="3369" operator="greaterThan">
      <formula>1</formula>
    </cfRule>
  </conditionalFormatting>
  <conditionalFormatting sqref="R117">
    <cfRule type="cellIs" dxfId="6997" priority="3366" operator="greaterThan">
      <formula>1</formula>
    </cfRule>
    <cfRule type="cellIs" dxfId="6996" priority="3367" operator="lessThan">
      <formula>0.8</formula>
    </cfRule>
  </conditionalFormatting>
  <conditionalFormatting sqref="P117">
    <cfRule type="cellIs" dxfId="6995" priority="3359" operator="greaterThan">
      <formula>0</formula>
    </cfRule>
  </conditionalFormatting>
  <conditionalFormatting sqref="Q117">
    <cfRule type="cellIs" dxfId="6994" priority="3364" operator="lessThan">
      <formula>0</formula>
    </cfRule>
  </conditionalFormatting>
  <conditionalFormatting sqref="R117">
    <cfRule type="cellIs" dxfId="6993" priority="3362" operator="lessThan">
      <formula>0.8</formula>
    </cfRule>
    <cfRule type="cellIs" dxfId="6992" priority="3363" operator="greaterThan">
      <formula>1</formula>
    </cfRule>
  </conditionalFormatting>
  <conditionalFormatting sqref="R117">
    <cfRule type="cellIs" dxfId="6991" priority="3360" operator="greaterThan">
      <formula>1</formula>
    </cfRule>
    <cfRule type="cellIs" dxfId="6990" priority="3361" operator="lessThan">
      <formula>0.8</formula>
    </cfRule>
  </conditionalFormatting>
  <conditionalFormatting sqref="Q117">
    <cfRule type="cellIs" dxfId="6989" priority="3358" operator="lessThan">
      <formula>0</formula>
    </cfRule>
  </conditionalFormatting>
  <conditionalFormatting sqref="R117">
    <cfRule type="cellIs" dxfId="6988" priority="3356" operator="lessThan">
      <formula>0.8</formula>
    </cfRule>
    <cfRule type="cellIs" dxfId="6987" priority="3357" operator="greaterThan">
      <formula>1</formula>
    </cfRule>
  </conditionalFormatting>
  <conditionalFormatting sqref="R117">
    <cfRule type="cellIs" dxfId="6986" priority="3354" operator="greaterThan">
      <formula>1</formula>
    </cfRule>
    <cfRule type="cellIs" dxfId="6985" priority="3355" operator="lessThan">
      <formula>0.8</formula>
    </cfRule>
  </conditionalFormatting>
  <conditionalFormatting sqref="P117">
    <cfRule type="cellIs" dxfId="6984" priority="3353" operator="greaterThan">
      <formula>0</formula>
    </cfRule>
  </conditionalFormatting>
  <conditionalFormatting sqref="P117">
    <cfRule type="cellIs" dxfId="6983" priority="3347" operator="greaterThan">
      <formula>0</formula>
    </cfRule>
  </conditionalFormatting>
  <conditionalFormatting sqref="Q117">
    <cfRule type="cellIs" dxfId="6982" priority="3352" operator="lessThan">
      <formula>0</formula>
    </cfRule>
  </conditionalFormatting>
  <conditionalFormatting sqref="R117">
    <cfRule type="cellIs" dxfId="6981" priority="3350" operator="lessThan">
      <formula>0.8</formula>
    </cfRule>
    <cfRule type="cellIs" dxfId="6980" priority="3351" operator="greaterThan">
      <formula>1</formula>
    </cfRule>
  </conditionalFormatting>
  <conditionalFormatting sqref="R117">
    <cfRule type="cellIs" dxfId="6979" priority="3348" operator="greaterThan">
      <formula>1</formula>
    </cfRule>
    <cfRule type="cellIs" dxfId="6978" priority="3349" operator="lessThan">
      <formula>0.8</formula>
    </cfRule>
  </conditionalFormatting>
  <conditionalFormatting sqref="P117">
    <cfRule type="cellIs" dxfId="6977" priority="3341" operator="greaterThan">
      <formula>0</formula>
    </cfRule>
  </conditionalFormatting>
  <conditionalFormatting sqref="Q117">
    <cfRule type="cellIs" dxfId="6976" priority="3346" operator="lessThan">
      <formula>0</formula>
    </cfRule>
  </conditionalFormatting>
  <conditionalFormatting sqref="R117">
    <cfRule type="cellIs" dxfId="6975" priority="3344" operator="lessThan">
      <formula>0.8</formula>
    </cfRule>
    <cfRule type="cellIs" dxfId="6974" priority="3345" operator="greaterThan">
      <formula>1</formula>
    </cfRule>
  </conditionalFormatting>
  <conditionalFormatting sqref="R117">
    <cfRule type="cellIs" dxfId="6973" priority="3342" operator="greaterThan">
      <formula>1</formula>
    </cfRule>
    <cfRule type="cellIs" dxfId="6972" priority="3343" operator="lessThan">
      <formula>0.8</formula>
    </cfRule>
  </conditionalFormatting>
  <conditionalFormatting sqref="Q117">
    <cfRule type="cellIs" dxfId="6971" priority="3340" operator="lessThan">
      <formula>0</formula>
    </cfRule>
  </conditionalFormatting>
  <conditionalFormatting sqref="R117">
    <cfRule type="cellIs" dxfId="6970" priority="3338" operator="lessThan">
      <formula>0.8</formula>
    </cfRule>
    <cfRule type="cellIs" dxfId="6969" priority="3339" operator="greaterThan">
      <formula>1</formula>
    </cfRule>
  </conditionalFormatting>
  <conditionalFormatting sqref="R117">
    <cfRule type="cellIs" dxfId="6968" priority="3336" operator="greaterThan">
      <formula>1</formula>
    </cfRule>
    <cfRule type="cellIs" dxfId="6967" priority="3337" operator="lessThan">
      <formula>0.8</formula>
    </cfRule>
  </conditionalFormatting>
  <conditionalFormatting sqref="P117">
    <cfRule type="cellIs" dxfId="6966" priority="3335" operator="greaterThan">
      <formula>0</formula>
    </cfRule>
  </conditionalFormatting>
  <conditionalFormatting sqref="P117">
    <cfRule type="cellIs" dxfId="6965" priority="3329" operator="greaterThan">
      <formula>0</formula>
    </cfRule>
  </conditionalFormatting>
  <conditionalFormatting sqref="Q117">
    <cfRule type="cellIs" dxfId="6964" priority="3334" operator="lessThan">
      <formula>0</formula>
    </cfRule>
  </conditionalFormatting>
  <conditionalFormatting sqref="R117">
    <cfRule type="cellIs" dxfId="6963" priority="3332" operator="lessThan">
      <formula>0.8</formula>
    </cfRule>
    <cfRule type="cellIs" dxfId="6962" priority="3333" operator="greaterThan">
      <formula>1</formula>
    </cfRule>
  </conditionalFormatting>
  <conditionalFormatting sqref="R117">
    <cfRule type="cellIs" dxfId="6961" priority="3330" operator="greaterThan">
      <formula>1</formula>
    </cfRule>
    <cfRule type="cellIs" dxfId="6960" priority="3331" operator="lessThan">
      <formula>0.8</formula>
    </cfRule>
  </conditionalFormatting>
  <conditionalFormatting sqref="Q117">
    <cfRule type="cellIs" dxfId="6959" priority="3328" operator="lessThan">
      <formula>0</formula>
    </cfRule>
  </conditionalFormatting>
  <conditionalFormatting sqref="R117">
    <cfRule type="cellIs" dxfId="6958" priority="3326" operator="lessThan">
      <formula>0.8</formula>
    </cfRule>
    <cfRule type="cellIs" dxfId="6957" priority="3327" operator="greaterThan">
      <formula>1</formula>
    </cfRule>
  </conditionalFormatting>
  <conditionalFormatting sqref="R117">
    <cfRule type="cellIs" dxfId="6956" priority="3324" operator="greaterThan">
      <formula>1</formula>
    </cfRule>
    <cfRule type="cellIs" dxfId="6955" priority="3325" operator="lessThan">
      <formula>0.8</formula>
    </cfRule>
  </conditionalFormatting>
  <conditionalFormatting sqref="P117">
    <cfRule type="cellIs" dxfId="6954" priority="3323" operator="greaterThan">
      <formula>0</formula>
    </cfRule>
  </conditionalFormatting>
  <conditionalFormatting sqref="Q117">
    <cfRule type="cellIs" dxfId="6953" priority="3322" operator="lessThan">
      <formula>0</formula>
    </cfRule>
  </conditionalFormatting>
  <conditionalFormatting sqref="R117">
    <cfRule type="cellIs" dxfId="6952" priority="3320" operator="lessThan">
      <formula>0.8</formula>
    </cfRule>
    <cfRule type="cellIs" dxfId="6951" priority="3321" operator="greaterThan">
      <formula>1</formula>
    </cfRule>
  </conditionalFormatting>
  <conditionalFormatting sqref="R117">
    <cfRule type="cellIs" dxfId="6950" priority="3318" operator="greaterThan">
      <formula>1</formula>
    </cfRule>
    <cfRule type="cellIs" dxfId="6949" priority="3319" operator="lessThan">
      <formula>0.8</formula>
    </cfRule>
  </conditionalFormatting>
  <conditionalFormatting sqref="P117">
    <cfRule type="cellIs" dxfId="6948" priority="3317" operator="greaterThan">
      <formula>0</formula>
    </cfRule>
  </conditionalFormatting>
  <conditionalFormatting sqref="Q83">
    <cfRule type="cellIs" dxfId="6947" priority="3316" operator="lessThan">
      <formula>0</formula>
    </cfRule>
  </conditionalFormatting>
  <conditionalFormatting sqref="R83">
    <cfRule type="cellIs" dxfId="6946" priority="3314" operator="lessThan">
      <formula>0.8</formula>
    </cfRule>
    <cfRule type="cellIs" dxfId="6945" priority="3315" operator="greaterThan">
      <formula>1</formula>
    </cfRule>
  </conditionalFormatting>
  <conditionalFormatting sqref="R83">
    <cfRule type="cellIs" dxfId="6944" priority="3312" operator="greaterThan">
      <formula>1</formula>
    </cfRule>
    <cfRule type="cellIs" dxfId="6943" priority="3313" operator="lessThan">
      <formula>0.8</formula>
    </cfRule>
  </conditionalFormatting>
  <conditionalFormatting sqref="P83">
    <cfRule type="cellIs" dxfId="6942" priority="3311" operator="greaterThan">
      <formula>0</formula>
    </cfRule>
  </conditionalFormatting>
  <conditionalFormatting sqref="Q83">
    <cfRule type="cellIs" dxfId="6941" priority="3310" operator="lessThan">
      <formula>0</formula>
    </cfRule>
  </conditionalFormatting>
  <conditionalFormatting sqref="R83">
    <cfRule type="cellIs" dxfId="6940" priority="3308" operator="lessThan">
      <formula>0.8</formula>
    </cfRule>
    <cfRule type="cellIs" dxfId="6939" priority="3309" operator="greaterThan">
      <formula>1</formula>
    </cfRule>
  </conditionalFormatting>
  <conditionalFormatting sqref="R83">
    <cfRule type="cellIs" dxfId="6938" priority="3306" operator="greaterThan">
      <formula>1</formula>
    </cfRule>
    <cfRule type="cellIs" dxfId="6937" priority="3307" operator="lessThan">
      <formula>0.8</formula>
    </cfRule>
  </conditionalFormatting>
  <conditionalFormatting sqref="P83">
    <cfRule type="cellIs" dxfId="6936" priority="3305" operator="greaterThan">
      <formula>0</formula>
    </cfRule>
  </conditionalFormatting>
  <conditionalFormatting sqref="Q83">
    <cfRule type="cellIs" dxfId="6935" priority="3304" operator="lessThan">
      <formula>0</formula>
    </cfRule>
  </conditionalFormatting>
  <conditionalFormatting sqref="R83">
    <cfRule type="cellIs" dxfId="6934" priority="3302" operator="lessThan">
      <formula>0.8</formula>
    </cfRule>
    <cfRule type="cellIs" dxfId="6933" priority="3303" operator="greaterThan">
      <formula>1</formula>
    </cfRule>
  </conditionalFormatting>
  <conditionalFormatting sqref="R83">
    <cfRule type="cellIs" dxfId="6932" priority="3300" operator="greaterThan">
      <formula>1</formula>
    </cfRule>
    <cfRule type="cellIs" dxfId="6931" priority="3301" operator="lessThan">
      <formula>0.8</formula>
    </cfRule>
  </conditionalFormatting>
  <conditionalFormatting sqref="P83">
    <cfRule type="cellIs" dxfId="6930" priority="3299" operator="greaterThan">
      <formula>0</formula>
    </cfRule>
  </conditionalFormatting>
  <conditionalFormatting sqref="Q83">
    <cfRule type="cellIs" dxfId="6929" priority="3298" operator="lessThan">
      <formula>0</formula>
    </cfRule>
  </conditionalFormatting>
  <conditionalFormatting sqref="R83">
    <cfRule type="cellIs" dxfId="6928" priority="3296" operator="lessThan">
      <formula>0.8</formula>
    </cfRule>
    <cfRule type="cellIs" dxfId="6927" priority="3297" operator="greaterThan">
      <formula>1</formula>
    </cfRule>
  </conditionalFormatting>
  <conditionalFormatting sqref="R83">
    <cfRule type="cellIs" dxfId="6926" priority="3294" operator="greaterThan">
      <formula>1</formula>
    </cfRule>
    <cfRule type="cellIs" dxfId="6925" priority="3295" operator="lessThan">
      <formula>0.8</formula>
    </cfRule>
  </conditionalFormatting>
  <conditionalFormatting sqref="P83">
    <cfRule type="cellIs" dxfId="6924" priority="3293" operator="greaterThan">
      <formula>0</formula>
    </cfRule>
  </conditionalFormatting>
  <conditionalFormatting sqref="P83">
    <cfRule type="cellIs" dxfId="6923" priority="3287" operator="greaterThan">
      <formula>0</formula>
    </cfRule>
  </conditionalFormatting>
  <conditionalFormatting sqref="Q83">
    <cfRule type="cellIs" dxfId="6922" priority="3292" operator="lessThan">
      <formula>0</formula>
    </cfRule>
  </conditionalFormatting>
  <conditionalFormatting sqref="R83">
    <cfRule type="cellIs" dxfId="6921" priority="3290" operator="lessThan">
      <formula>0.8</formula>
    </cfRule>
    <cfRule type="cellIs" dxfId="6920" priority="3291" operator="greaterThan">
      <formula>1</formula>
    </cfRule>
  </conditionalFormatting>
  <conditionalFormatting sqref="R83">
    <cfRule type="cellIs" dxfId="6919" priority="3288" operator="greaterThan">
      <formula>1</formula>
    </cfRule>
    <cfRule type="cellIs" dxfId="6918" priority="3289" operator="lessThan">
      <formula>0.8</formula>
    </cfRule>
  </conditionalFormatting>
  <conditionalFormatting sqref="P83">
    <cfRule type="cellIs" dxfId="6917" priority="3281" operator="greaterThan">
      <formula>0</formula>
    </cfRule>
  </conditionalFormatting>
  <conditionalFormatting sqref="Q83">
    <cfRule type="cellIs" dxfId="6916" priority="3286" operator="lessThan">
      <formula>0</formula>
    </cfRule>
  </conditionalFormatting>
  <conditionalFormatting sqref="R83">
    <cfRule type="cellIs" dxfId="6915" priority="3284" operator="lessThan">
      <formula>0.8</formula>
    </cfRule>
    <cfRule type="cellIs" dxfId="6914" priority="3285" operator="greaterThan">
      <formula>1</formula>
    </cfRule>
  </conditionalFormatting>
  <conditionalFormatting sqref="R83">
    <cfRule type="cellIs" dxfId="6913" priority="3282" operator="greaterThan">
      <formula>1</formula>
    </cfRule>
    <cfRule type="cellIs" dxfId="6912" priority="3283" operator="lessThan">
      <formula>0.8</formula>
    </cfRule>
  </conditionalFormatting>
  <conditionalFormatting sqref="R83">
    <cfRule type="cellIs" dxfId="6911" priority="3278" operator="lessThan">
      <formula>0.8</formula>
    </cfRule>
    <cfRule type="cellIs" dxfId="6910" priority="3279" operator="greaterThan">
      <formula>1</formula>
    </cfRule>
  </conditionalFormatting>
  <conditionalFormatting sqref="R83">
    <cfRule type="cellIs" dxfId="6909" priority="3276" operator="greaterThan">
      <formula>1</formula>
    </cfRule>
    <cfRule type="cellIs" dxfId="6908" priority="3277" operator="lessThan">
      <formula>0.8</formula>
    </cfRule>
  </conditionalFormatting>
  <conditionalFormatting sqref="P83">
    <cfRule type="cellIs" dxfId="6907" priority="3275" operator="greaterThan">
      <formula>0</formula>
    </cfRule>
  </conditionalFormatting>
  <conditionalFormatting sqref="Q83">
    <cfRule type="cellIs" dxfId="6906" priority="3280" operator="lessThan">
      <formula>0</formula>
    </cfRule>
  </conditionalFormatting>
  <conditionalFormatting sqref="Q83">
    <cfRule type="cellIs" dxfId="6905" priority="3274" operator="lessThan">
      <formula>0</formula>
    </cfRule>
  </conditionalFormatting>
  <conditionalFormatting sqref="R83">
    <cfRule type="cellIs" dxfId="6904" priority="3272" operator="lessThan">
      <formula>0.8</formula>
    </cfRule>
    <cfRule type="cellIs" dxfId="6903" priority="3273" operator="greaterThan">
      <formula>1</formula>
    </cfRule>
  </conditionalFormatting>
  <conditionalFormatting sqref="R83">
    <cfRule type="cellIs" dxfId="6902" priority="3270" operator="greaterThan">
      <formula>1</formula>
    </cfRule>
    <cfRule type="cellIs" dxfId="6901" priority="3271" operator="lessThan">
      <formula>0.8</formula>
    </cfRule>
  </conditionalFormatting>
  <conditionalFormatting sqref="P83">
    <cfRule type="cellIs" dxfId="6900" priority="3269" operator="greaterThan">
      <formula>0</formula>
    </cfRule>
  </conditionalFormatting>
  <conditionalFormatting sqref="P83">
    <cfRule type="cellIs" dxfId="6899" priority="3263" operator="greaterThan">
      <formula>0</formula>
    </cfRule>
  </conditionalFormatting>
  <conditionalFormatting sqref="Q83">
    <cfRule type="cellIs" dxfId="6898" priority="3268" operator="lessThan">
      <formula>0</formula>
    </cfRule>
  </conditionalFormatting>
  <conditionalFormatting sqref="R83">
    <cfRule type="cellIs" dxfId="6897" priority="3266" operator="lessThan">
      <formula>0.8</formula>
    </cfRule>
    <cfRule type="cellIs" dxfId="6896" priority="3267" operator="greaterThan">
      <formula>1</formula>
    </cfRule>
  </conditionalFormatting>
  <conditionalFormatting sqref="R83">
    <cfRule type="cellIs" dxfId="6895" priority="3264" operator="greaterThan">
      <formula>1</formula>
    </cfRule>
    <cfRule type="cellIs" dxfId="6894" priority="3265" operator="lessThan">
      <formula>0.8</formula>
    </cfRule>
  </conditionalFormatting>
  <conditionalFormatting sqref="P83">
    <cfRule type="cellIs" dxfId="6893" priority="3257" operator="greaterThan">
      <formula>0</formula>
    </cfRule>
  </conditionalFormatting>
  <conditionalFormatting sqref="Q83">
    <cfRule type="cellIs" dxfId="6892" priority="3262" operator="lessThan">
      <formula>0</formula>
    </cfRule>
  </conditionalFormatting>
  <conditionalFormatting sqref="R83">
    <cfRule type="cellIs" dxfId="6891" priority="3260" operator="lessThan">
      <formula>0.8</formula>
    </cfRule>
    <cfRule type="cellIs" dxfId="6890" priority="3261" operator="greaterThan">
      <formula>1</formula>
    </cfRule>
  </conditionalFormatting>
  <conditionalFormatting sqref="R83">
    <cfRule type="cellIs" dxfId="6889" priority="3258" operator="greaterThan">
      <formula>1</formula>
    </cfRule>
    <cfRule type="cellIs" dxfId="6888" priority="3259" operator="lessThan">
      <formula>0.8</formula>
    </cfRule>
  </conditionalFormatting>
  <conditionalFormatting sqref="R83">
    <cfRule type="cellIs" dxfId="6887" priority="3254" operator="lessThan">
      <formula>0.8</formula>
    </cfRule>
    <cfRule type="cellIs" dxfId="6886" priority="3255" operator="greaterThan">
      <formula>1</formula>
    </cfRule>
  </conditionalFormatting>
  <conditionalFormatting sqref="R83">
    <cfRule type="cellIs" dxfId="6885" priority="3252" operator="greaterThan">
      <formula>1</formula>
    </cfRule>
    <cfRule type="cellIs" dxfId="6884" priority="3253" operator="lessThan">
      <formula>0.8</formula>
    </cfRule>
  </conditionalFormatting>
  <conditionalFormatting sqref="P83">
    <cfRule type="cellIs" dxfId="6883" priority="3251" operator="greaterThan">
      <formula>0</formula>
    </cfRule>
  </conditionalFormatting>
  <conditionalFormatting sqref="Q83">
    <cfRule type="cellIs" dxfId="6882" priority="3256" operator="lessThan">
      <formula>0</formula>
    </cfRule>
  </conditionalFormatting>
  <conditionalFormatting sqref="P83">
    <cfRule type="cellIs" dxfId="6881" priority="3245" operator="greaterThan">
      <formula>0</formula>
    </cfRule>
  </conditionalFormatting>
  <conditionalFormatting sqref="Q83">
    <cfRule type="cellIs" dxfId="6880" priority="3250" operator="lessThan">
      <formula>0</formula>
    </cfRule>
  </conditionalFormatting>
  <conditionalFormatting sqref="R83">
    <cfRule type="cellIs" dxfId="6879" priority="3248" operator="lessThan">
      <formula>0.8</formula>
    </cfRule>
    <cfRule type="cellIs" dxfId="6878" priority="3249" operator="greaterThan">
      <formula>1</formula>
    </cfRule>
  </conditionalFormatting>
  <conditionalFormatting sqref="R83">
    <cfRule type="cellIs" dxfId="6877" priority="3246" operator="greaterThan">
      <formula>1</formula>
    </cfRule>
    <cfRule type="cellIs" dxfId="6876" priority="3247" operator="lessThan">
      <formula>0.8</formula>
    </cfRule>
  </conditionalFormatting>
  <conditionalFormatting sqref="R83">
    <cfRule type="cellIs" dxfId="6875" priority="3242" operator="lessThan">
      <formula>0.8</formula>
    </cfRule>
    <cfRule type="cellIs" dxfId="6874" priority="3243" operator="greaterThan">
      <formula>1</formula>
    </cfRule>
  </conditionalFormatting>
  <conditionalFormatting sqref="R83">
    <cfRule type="cellIs" dxfId="6873" priority="3240" operator="greaterThan">
      <formula>1</formula>
    </cfRule>
    <cfRule type="cellIs" dxfId="6872" priority="3241" operator="lessThan">
      <formula>0.8</formula>
    </cfRule>
  </conditionalFormatting>
  <conditionalFormatting sqref="P83">
    <cfRule type="cellIs" dxfId="6871" priority="3239" operator="greaterThan">
      <formula>0</formula>
    </cfRule>
  </conditionalFormatting>
  <conditionalFormatting sqref="Q83">
    <cfRule type="cellIs" dxfId="6870" priority="3244" operator="lessThan">
      <formula>0</formula>
    </cfRule>
  </conditionalFormatting>
  <conditionalFormatting sqref="R83">
    <cfRule type="cellIs" dxfId="6869" priority="3236" operator="lessThan">
      <formula>0.8</formula>
    </cfRule>
    <cfRule type="cellIs" dxfId="6868" priority="3237" operator="greaterThan">
      <formula>1</formula>
    </cfRule>
  </conditionalFormatting>
  <conditionalFormatting sqref="R83">
    <cfRule type="cellIs" dxfId="6867" priority="3234" operator="greaterThan">
      <formula>1</formula>
    </cfRule>
    <cfRule type="cellIs" dxfId="6866" priority="3235" operator="lessThan">
      <formula>0.8</formula>
    </cfRule>
  </conditionalFormatting>
  <conditionalFormatting sqref="P83">
    <cfRule type="cellIs" dxfId="6865" priority="3233" operator="greaterThan">
      <formula>0</formula>
    </cfRule>
  </conditionalFormatting>
  <conditionalFormatting sqref="Q83">
    <cfRule type="cellIs" dxfId="6864" priority="3238" operator="lessThan">
      <formula>0</formula>
    </cfRule>
  </conditionalFormatting>
  <conditionalFormatting sqref="Q83">
    <cfRule type="cellIs" dxfId="6863" priority="3232" operator="lessThan">
      <formula>0</formula>
    </cfRule>
  </conditionalFormatting>
  <conditionalFormatting sqref="R83">
    <cfRule type="cellIs" dxfId="6862" priority="3230" operator="lessThan">
      <formula>0.8</formula>
    </cfRule>
    <cfRule type="cellIs" dxfId="6861" priority="3231" operator="greaterThan">
      <formula>1</formula>
    </cfRule>
  </conditionalFormatting>
  <conditionalFormatting sqref="R83">
    <cfRule type="cellIs" dxfId="6860" priority="3228" operator="greaterThan">
      <formula>1</formula>
    </cfRule>
    <cfRule type="cellIs" dxfId="6859" priority="3229" operator="lessThan">
      <formula>0.8</formula>
    </cfRule>
  </conditionalFormatting>
  <conditionalFormatting sqref="P83">
    <cfRule type="cellIs" dxfId="6858" priority="3227" operator="greaterThan">
      <formula>0</formula>
    </cfRule>
  </conditionalFormatting>
  <conditionalFormatting sqref="Q83">
    <cfRule type="cellIs" dxfId="6857" priority="3221" operator="lessThan">
      <formula>0</formula>
    </cfRule>
  </conditionalFormatting>
  <conditionalFormatting sqref="R83">
    <cfRule type="cellIs" dxfId="6856" priority="3225" operator="lessThan">
      <formula>0.8</formula>
    </cfRule>
    <cfRule type="cellIs" dxfId="6855" priority="3226" operator="greaterThan">
      <formula>1</formula>
    </cfRule>
  </conditionalFormatting>
  <conditionalFormatting sqref="R83">
    <cfRule type="cellIs" dxfId="6854" priority="3223" operator="greaterThan">
      <formula>1</formula>
    </cfRule>
    <cfRule type="cellIs" dxfId="6853" priority="3224" operator="lessThan">
      <formula>0.8</formula>
    </cfRule>
  </conditionalFormatting>
  <conditionalFormatting sqref="P83">
    <cfRule type="cellIs" dxfId="6852" priority="3222" operator="greaterThan">
      <formula>0</formula>
    </cfRule>
  </conditionalFormatting>
  <conditionalFormatting sqref="Q83">
    <cfRule type="cellIs" dxfId="6851" priority="3220" operator="lessThan">
      <formula>0</formula>
    </cfRule>
  </conditionalFormatting>
  <conditionalFormatting sqref="R83">
    <cfRule type="cellIs" dxfId="6850" priority="3218" operator="lessThan">
      <formula>0.8</formula>
    </cfRule>
    <cfRule type="cellIs" dxfId="6849" priority="3219" operator="greaterThan">
      <formula>1</formula>
    </cfRule>
  </conditionalFormatting>
  <conditionalFormatting sqref="R83">
    <cfRule type="cellIs" dxfId="6848" priority="3216" operator="greaterThan">
      <formula>1</formula>
    </cfRule>
    <cfRule type="cellIs" dxfId="6847" priority="3217" operator="lessThan">
      <formula>0.8</formula>
    </cfRule>
  </conditionalFormatting>
  <conditionalFormatting sqref="P83">
    <cfRule type="cellIs" dxfId="6846" priority="3215" operator="greaterThan">
      <formula>0</formula>
    </cfRule>
  </conditionalFormatting>
  <conditionalFormatting sqref="Q83">
    <cfRule type="cellIs" dxfId="6845" priority="3214" operator="lessThan">
      <formula>0</formula>
    </cfRule>
  </conditionalFormatting>
  <conditionalFormatting sqref="R83">
    <cfRule type="cellIs" dxfId="6844" priority="3212" operator="lessThan">
      <formula>0.8</formula>
    </cfRule>
    <cfRule type="cellIs" dxfId="6843" priority="3213" operator="greaterThan">
      <formula>1</formula>
    </cfRule>
  </conditionalFormatting>
  <conditionalFormatting sqref="R83">
    <cfRule type="cellIs" dxfId="6842" priority="3210" operator="greaterThan">
      <formula>1</formula>
    </cfRule>
    <cfRule type="cellIs" dxfId="6841" priority="3211" operator="lessThan">
      <formula>0.8</formula>
    </cfRule>
  </conditionalFormatting>
  <conditionalFormatting sqref="P83">
    <cfRule type="cellIs" dxfId="6840" priority="3209" operator="greaterThan">
      <formula>0</formula>
    </cfRule>
  </conditionalFormatting>
  <conditionalFormatting sqref="Q83">
    <cfRule type="cellIs" dxfId="6839" priority="3208" operator="lessThan">
      <formula>0</formula>
    </cfRule>
  </conditionalFormatting>
  <conditionalFormatting sqref="R83">
    <cfRule type="cellIs" dxfId="6838" priority="3206" operator="lessThan">
      <formula>0.8</formula>
    </cfRule>
    <cfRule type="cellIs" dxfId="6837" priority="3207" operator="greaterThan">
      <formula>1</formula>
    </cfRule>
  </conditionalFormatting>
  <conditionalFormatting sqref="R83">
    <cfRule type="cellIs" dxfId="6836" priority="3204" operator="greaterThan">
      <formula>1</formula>
    </cfRule>
    <cfRule type="cellIs" dxfId="6835" priority="3205" operator="lessThan">
      <formula>0.8</formula>
    </cfRule>
  </conditionalFormatting>
  <conditionalFormatting sqref="P83">
    <cfRule type="cellIs" dxfId="6834" priority="3203" operator="greaterThan">
      <formula>0</formula>
    </cfRule>
  </conditionalFormatting>
  <conditionalFormatting sqref="Q83">
    <cfRule type="cellIs" dxfId="6833" priority="3202" operator="lessThan">
      <formula>0</formula>
    </cfRule>
  </conditionalFormatting>
  <conditionalFormatting sqref="R83">
    <cfRule type="cellIs" dxfId="6832" priority="3200" operator="lessThan">
      <formula>0.8</formula>
    </cfRule>
    <cfRule type="cellIs" dxfId="6831" priority="3201" operator="greaterThan">
      <formula>1</formula>
    </cfRule>
  </conditionalFormatting>
  <conditionalFormatting sqref="R83">
    <cfRule type="cellIs" dxfId="6830" priority="3198" operator="greaterThan">
      <formula>1</formula>
    </cfRule>
    <cfRule type="cellIs" dxfId="6829" priority="3199" operator="lessThan">
      <formula>0.8</formula>
    </cfRule>
  </conditionalFormatting>
  <conditionalFormatting sqref="P83">
    <cfRule type="cellIs" dxfId="6828" priority="3197" operator="greaterThan">
      <formula>0</formula>
    </cfRule>
  </conditionalFormatting>
  <conditionalFormatting sqref="Q83">
    <cfRule type="cellIs" dxfId="6827" priority="3196" operator="lessThan">
      <formula>0</formula>
    </cfRule>
  </conditionalFormatting>
  <conditionalFormatting sqref="R83">
    <cfRule type="cellIs" dxfId="6826" priority="3194" operator="lessThan">
      <formula>0.8</formula>
    </cfRule>
    <cfRule type="cellIs" dxfId="6825" priority="3195" operator="greaterThan">
      <formula>1</formula>
    </cfRule>
  </conditionalFormatting>
  <conditionalFormatting sqref="R83">
    <cfRule type="cellIs" dxfId="6824" priority="3192" operator="greaterThan">
      <formula>1</formula>
    </cfRule>
    <cfRule type="cellIs" dxfId="6823" priority="3193" operator="lessThan">
      <formula>0.8</formula>
    </cfRule>
  </conditionalFormatting>
  <conditionalFormatting sqref="P83">
    <cfRule type="cellIs" dxfId="6822" priority="3191" operator="greaterThan">
      <formula>0</formula>
    </cfRule>
  </conditionalFormatting>
  <conditionalFormatting sqref="P83">
    <cfRule type="cellIs" dxfId="6821" priority="3185" operator="greaterThan">
      <formula>0</formula>
    </cfRule>
  </conditionalFormatting>
  <conditionalFormatting sqref="Q83">
    <cfRule type="cellIs" dxfId="6820" priority="3190" operator="lessThan">
      <formula>0</formula>
    </cfRule>
  </conditionalFormatting>
  <conditionalFormatting sqref="R83">
    <cfRule type="cellIs" dxfId="6819" priority="3188" operator="lessThan">
      <formula>0.8</formula>
    </cfRule>
    <cfRule type="cellIs" dxfId="6818" priority="3189" operator="greaterThan">
      <formula>1</formula>
    </cfRule>
  </conditionalFormatting>
  <conditionalFormatting sqref="R83">
    <cfRule type="cellIs" dxfId="6817" priority="3186" operator="greaterThan">
      <formula>1</formula>
    </cfRule>
    <cfRule type="cellIs" dxfId="6816" priority="3187" operator="lessThan">
      <formula>0.8</formula>
    </cfRule>
  </conditionalFormatting>
  <conditionalFormatting sqref="P83">
    <cfRule type="cellIs" dxfId="6815" priority="3179" operator="greaterThan">
      <formula>0</formula>
    </cfRule>
  </conditionalFormatting>
  <conditionalFormatting sqref="Q83">
    <cfRule type="cellIs" dxfId="6814" priority="3184" operator="lessThan">
      <formula>0</formula>
    </cfRule>
  </conditionalFormatting>
  <conditionalFormatting sqref="R83">
    <cfRule type="cellIs" dxfId="6813" priority="3182" operator="lessThan">
      <formula>0.8</formula>
    </cfRule>
    <cfRule type="cellIs" dxfId="6812" priority="3183" operator="greaterThan">
      <formula>1</formula>
    </cfRule>
  </conditionalFormatting>
  <conditionalFormatting sqref="R83">
    <cfRule type="cellIs" dxfId="6811" priority="3180" operator="greaterThan">
      <formula>1</formula>
    </cfRule>
    <cfRule type="cellIs" dxfId="6810" priority="3181" operator="lessThan">
      <formula>0.8</formula>
    </cfRule>
  </conditionalFormatting>
  <conditionalFormatting sqref="R83">
    <cfRule type="cellIs" dxfId="6809" priority="3176" operator="lessThan">
      <formula>0.8</formula>
    </cfRule>
    <cfRule type="cellIs" dxfId="6808" priority="3177" operator="greaterThan">
      <formula>1</formula>
    </cfRule>
  </conditionalFormatting>
  <conditionalFormatting sqref="R83">
    <cfRule type="cellIs" dxfId="6807" priority="3174" operator="greaterThan">
      <formula>1</formula>
    </cfRule>
    <cfRule type="cellIs" dxfId="6806" priority="3175" operator="lessThan">
      <formula>0.8</formula>
    </cfRule>
  </conditionalFormatting>
  <conditionalFormatting sqref="P83">
    <cfRule type="cellIs" dxfId="6805" priority="3173" operator="greaterThan">
      <formula>0</formula>
    </cfRule>
  </conditionalFormatting>
  <conditionalFormatting sqref="Q83">
    <cfRule type="cellIs" dxfId="6804" priority="3178" operator="lessThan">
      <formula>0</formula>
    </cfRule>
  </conditionalFormatting>
  <conditionalFormatting sqref="Q83">
    <cfRule type="cellIs" dxfId="6803" priority="3172" operator="lessThan">
      <formula>0</formula>
    </cfRule>
  </conditionalFormatting>
  <conditionalFormatting sqref="R83">
    <cfRule type="cellIs" dxfId="6802" priority="3170" operator="lessThan">
      <formula>0.8</formula>
    </cfRule>
    <cfRule type="cellIs" dxfId="6801" priority="3171" operator="greaterThan">
      <formula>1</formula>
    </cfRule>
  </conditionalFormatting>
  <conditionalFormatting sqref="R83">
    <cfRule type="cellIs" dxfId="6800" priority="3168" operator="greaterThan">
      <formula>1</formula>
    </cfRule>
    <cfRule type="cellIs" dxfId="6799" priority="3169" operator="lessThan">
      <formula>0.8</formula>
    </cfRule>
  </conditionalFormatting>
  <conditionalFormatting sqref="P83">
    <cfRule type="cellIs" dxfId="6798" priority="3167" operator="greaterThan">
      <formula>0</formula>
    </cfRule>
  </conditionalFormatting>
  <conditionalFormatting sqref="Q83">
    <cfRule type="cellIs" dxfId="6797" priority="3166" operator="lessThan">
      <formula>0</formula>
    </cfRule>
  </conditionalFormatting>
  <conditionalFormatting sqref="R83">
    <cfRule type="cellIs" dxfId="6796" priority="3164" operator="lessThan">
      <formula>0.8</formula>
    </cfRule>
    <cfRule type="cellIs" dxfId="6795" priority="3165" operator="greaterThan">
      <formula>1</formula>
    </cfRule>
  </conditionalFormatting>
  <conditionalFormatting sqref="R83">
    <cfRule type="cellIs" dxfId="6794" priority="3162" operator="greaterThan">
      <formula>1</formula>
    </cfRule>
    <cfRule type="cellIs" dxfId="6793" priority="3163" operator="lessThan">
      <formula>0.8</formula>
    </cfRule>
  </conditionalFormatting>
  <conditionalFormatting sqref="P83">
    <cfRule type="cellIs" dxfId="6792" priority="3161" operator="greaterThan">
      <formula>0</formula>
    </cfRule>
  </conditionalFormatting>
  <conditionalFormatting sqref="Q83">
    <cfRule type="cellIs" dxfId="6791" priority="3160" operator="lessThan">
      <formula>0</formula>
    </cfRule>
  </conditionalFormatting>
  <conditionalFormatting sqref="R83">
    <cfRule type="cellIs" dxfId="6790" priority="3158" operator="lessThan">
      <formula>0.8</formula>
    </cfRule>
    <cfRule type="cellIs" dxfId="6789" priority="3159" operator="greaterThan">
      <formula>1</formula>
    </cfRule>
  </conditionalFormatting>
  <conditionalFormatting sqref="R83">
    <cfRule type="cellIs" dxfId="6788" priority="3156" operator="greaterThan">
      <formula>1</formula>
    </cfRule>
    <cfRule type="cellIs" dxfId="6787" priority="3157" operator="lessThan">
      <formula>0.8</formula>
    </cfRule>
  </conditionalFormatting>
  <conditionalFormatting sqref="P83">
    <cfRule type="cellIs" dxfId="6786" priority="3155" operator="greaterThan">
      <formula>0</formula>
    </cfRule>
  </conditionalFormatting>
  <conditionalFormatting sqref="Q83">
    <cfRule type="cellIs" dxfId="6785" priority="3154" operator="lessThan">
      <formula>0</formula>
    </cfRule>
  </conditionalFormatting>
  <conditionalFormatting sqref="R83">
    <cfRule type="cellIs" dxfId="6784" priority="3152" operator="lessThan">
      <formula>0.8</formula>
    </cfRule>
    <cfRule type="cellIs" dxfId="6783" priority="3153" operator="greaterThan">
      <formula>1</formula>
    </cfRule>
  </conditionalFormatting>
  <conditionalFormatting sqref="R83">
    <cfRule type="cellIs" dxfId="6782" priority="3150" operator="greaterThan">
      <formula>1</formula>
    </cfRule>
    <cfRule type="cellIs" dxfId="6781" priority="3151" operator="lessThan">
      <formula>0.8</formula>
    </cfRule>
  </conditionalFormatting>
  <conditionalFormatting sqref="P83">
    <cfRule type="cellIs" dxfId="6780" priority="3149" operator="greaterThan">
      <formula>0</formula>
    </cfRule>
  </conditionalFormatting>
  <conditionalFormatting sqref="P83">
    <cfRule type="cellIs" dxfId="6779" priority="3143" operator="greaterThan">
      <formula>0</formula>
    </cfRule>
  </conditionalFormatting>
  <conditionalFormatting sqref="Q83">
    <cfRule type="cellIs" dxfId="6778" priority="3148" operator="lessThan">
      <formula>0</formula>
    </cfRule>
  </conditionalFormatting>
  <conditionalFormatting sqref="R83">
    <cfRule type="cellIs" dxfId="6777" priority="3146" operator="lessThan">
      <formula>0.8</formula>
    </cfRule>
    <cfRule type="cellIs" dxfId="6776" priority="3147" operator="greaterThan">
      <formula>1</formula>
    </cfRule>
  </conditionalFormatting>
  <conditionalFormatting sqref="R83">
    <cfRule type="cellIs" dxfId="6775" priority="3144" operator="greaterThan">
      <formula>1</formula>
    </cfRule>
    <cfRule type="cellIs" dxfId="6774" priority="3145" operator="lessThan">
      <formula>0.8</formula>
    </cfRule>
  </conditionalFormatting>
  <conditionalFormatting sqref="P83">
    <cfRule type="cellIs" dxfId="6773" priority="3137" operator="greaterThan">
      <formula>0</formula>
    </cfRule>
  </conditionalFormatting>
  <conditionalFormatting sqref="Q83">
    <cfRule type="cellIs" dxfId="6772" priority="3142" operator="lessThan">
      <formula>0</formula>
    </cfRule>
  </conditionalFormatting>
  <conditionalFormatting sqref="R83">
    <cfRule type="cellIs" dxfId="6771" priority="3140" operator="lessThan">
      <formula>0.8</formula>
    </cfRule>
    <cfRule type="cellIs" dxfId="6770" priority="3141" operator="greaterThan">
      <formula>1</formula>
    </cfRule>
  </conditionalFormatting>
  <conditionalFormatting sqref="R83">
    <cfRule type="cellIs" dxfId="6769" priority="3138" operator="greaterThan">
      <formula>1</formula>
    </cfRule>
    <cfRule type="cellIs" dxfId="6768" priority="3139" operator="lessThan">
      <formula>0.8</formula>
    </cfRule>
  </conditionalFormatting>
  <conditionalFormatting sqref="R83">
    <cfRule type="cellIs" dxfId="6767" priority="3134" operator="lessThan">
      <formula>0.8</formula>
    </cfRule>
    <cfRule type="cellIs" dxfId="6766" priority="3135" operator="greaterThan">
      <formula>1</formula>
    </cfRule>
  </conditionalFormatting>
  <conditionalFormatting sqref="R83">
    <cfRule type="cellIs" dxfId="6765" priority="3132" operator="greaterThan">
      <formula>1</formula>
    </cfRule>
    <cfRule type="cellIs" dxfId="6764" priority="3133" operator="lessThan">
      <formula>0.8</formula>
    </cfRule>
  </conditionalFormatting>
  <conditionalFormatting sqref="P83">
    <cfRule type="cellIs" dxfId="6763" priority="3131" operator="greaterThan">
      <formula>0</formula>
    </cfRule>
  </conditionalFormatting>
  <conditionalFormatting sqref="Q83">
    <cfRule type="cellIs" dxfId="6762" priority="3136" operator="lessThan">
      <formula>0</formula>
    </cfRule>
  </conditionalFormatting>
  <conditionalFormatting sqref="Q83">
    <cfRule type="cellIs" dxfId="6761" priority="3130" operator="lessThan">
      <formula>0</formula>
    </cfRule>
  </conditionalFormatting>
  <conditionalFormatting sqref="R83">
    <cfRule type="cellIs" dxfId="6760" priority="3128" operator="lessThan">
      <formula>0.8</formula>
    </cfRule>
    <cfRule type="cellIs" dxfId="6759" priority="3129" operator="greaterThan">
      <formula>1</formula>
    </cfRule>
  </conditionalFormatting>
  <conditionalFormatting sqref="R83">
    <cfRule type="cellIs" dxfId="6758" priority="3126" operator="greaterThan">
      <formula>1</formula>
    </cfRule>
    <cfRule type="cellIs" dxfId="6757" priority="3127" operator="lessThan">
      <formula>0.8</formula>
    </cfRule>
  </conditionalFormatting>
  <conditionalFormatting sqref="P83">
    <cfRule type="cellIs" dxfId="6756" priority="3125" operator="greaterThan">
      <formula>0</formula>
    </cfRule>
  </conditionalFormatting>
  <conditionalFormatting sqref="P83">
    <cfRule type="cellIs" dxfId="6755" priority="3119" operator="greaterThan">
      <formula>0</formula>
    </cfRule>
  </conditionalFormatting>
  <conditionalFormatting sqref="Q83">
    <cfRule type="cellIs" dxfId="6754" priority="3124" operator="lessThan">
      <formula>0</formula>
    </cfRule>
  </conditionalFormatting>
  <conditionalFormatting sqref="R83">
    <cfRule type="cellIs" dxfId="6753" priority="3122" operator="lessThan">
      <formula>0.8</formula>
    </cfRule>
    <cfRule type="cellIs" dxfId="6752" priority="3123" operator="greaterThan">
      <formula>1</formula>
    </cfRule>
  </conditionalFormatting>
  <conditionalFormatting sqref="R83">
    <cfRule type="cellIs" dxfId="6751" priority="3120" operator="greaterThan">
      <formula>1</formula>
    </cfRule>
    <cfRule type="cellIs" dxfId="6750" priority="3121" operator="lessThan">
      <formula>0.8</formula>
    </cfRule>
  </conditionalFormatting>
  <conditionalFormatting sqref="P83">
    <cfRule type="cellIs" dxfId="6749" priority="3113" operator="greaterThan">
      <formula>0</formula>
    </cfRule>
  </conditionalFormatting>
  <conditionalFormatting sqref="Q83">
    <cfRule type="cellIs" dxfId="6748" priority="3118" operator="lessThan">
      <formula>0</formula>
    </cfRule>
  </conditionalFormatting>
  <conditionalFormatting sqref="R83">
    <cfRule type="cellIs" dxfId="6747" priority="3116" operator="lessThan">
      <formula>0.8</formula>
    </cfRule>
    <cfRule type="cellIs" dxfId="6746" priority="3117" operator="greaterThan">
      <formula>1</formula>
    </cfRule>
  </conditionalFormatting>
  <conditionalFormatting sqref="R83">
    <cfRule type="cellIs" dxfId="6745" priority="3114" operator="greaterThan">
      <formula>1</formula>
    </cfRule>
    <cfRule type="cellIs" dxfId="6744" priority="3115" operator="lessThan">
      <formula>0.8</formula>
    </cfRule>
  </conditionalFormatting>
  <conditionalFormatting sqref="R83">
    <cfRule type="cellIs" dxfId="6743" priority="3110" operator="lessThan">
      <formula>0.8</formula>
    </cfRule>
    <cfRule type="cellIs" dxfId="6742" priority="3111" operator="greaterThan">
      <formula>1</formula>
    </cfRule>
  </conditionalFormatting>
  <conditionalFormatting sqref="R83">
    <cfRule type="cellIs" dxfId="6741" priority="3108" operator="greaterThan">
      <formula>1</formula>
    </cfRule>
    <cfRule type="cellIs" dxfId="6740" priority="3109" operator="lessThan">
      <formula>0.8</formula>
    </cfRule>
  </conditionalFormatting>
  <conditionalFormatting sqref="P83">
    <cfRule type="cellIs" dxfId="6739" priority="3107" operator="greaterThan">
      <formula>0</formula>
    </cfRule>
  </conditionalFormatting>
  <conditionalFormatting sqref="Q83">
    <cfRule type="cellIs" dxfId="6738" priority="3112" operator="lessThan">
      <formula>0</formula>
    </cfRule>
  </conditionalFormatting>
  <conditionalFormatting sqref="P83">
    <cfRule type="cellIs" dxfId="6737" priority="3101" operator="greaterThan">
      <formula>0</formula>
    </cfRule>
  </conditionalFormatting>
  <conditionalFormatting sqref="Q83">
    <cfRule type="cellIs" dxfId="6736" priority="3106" operator="lessThan">
      <formula>0</formula>
    </cfRule>
  </conditionalFormatting>
  <conditionalFormatting sqref="R83">
    <cfRule type="cellIs" dxfId="6735" priority="3104" operator="lessThan">
      <formula>0.8</formula>
    </cfRule>
    <cfRule type="cellIs" dxfId="6734" priority="3105" operator="greaterThan">
      <formula>1</formula>
    </cfRule>
  </conditionalFormatting>
  <conditionalFormatting sqref="R83">
    <cfRule type="cellIs" dxfId="6733" priority="3102" operator="greaterThan">
      <formula>1</formula>
    </cfRule>
    <cfRule type="cellIs" dxfId="6732" priority="3103" operator="lessThan">
      <formula>0.8</formula>
    </cfRule>
  </conditionalFormatting>
  <conditionalFormatting sqref="R83">
    <cfRule type="cellIs" dxfId="6731" priority="3098" operator="lessThan">
      <formula>0.8</formula>
    </cfRule>
    <cfRule type="cellIs" dxfId="6730" priority="3099" operator="greaterThan">
      <formula>1</formula>
    </cfRule>
  </conditionalFormatting>
  <conditionalFormatting sqref="R83">
    <cfRule type="cellIs" dxfId="6729" priority="3096" operator="greaterThan">
      <formula>1</formula>
    </cfRule>
    <cfRule type="cellIs" dxfId="6728" priority="3097" operator="lessThan">
      <formula>0.8</formula>
    </cfRule>
  </conditionalFormatting>
  <conditionalFormatting sqref="P83">
    <cfRule type="cellIs" dxfId="6727" priority="3095" operator="greaterThan">
      <formula>0</formula>
    </cfRule>
  </conditionalFormatting>
  <conditionalFormatting sqref="Q83">
    <cfRule type="cellIs" dxfId="6726" priority="3100" operator="lessThan">
      <formula>0</formula>
    </cfRule>
  </conditionalFormatting>
  <conditionalFormatting sqref="R83">
    <cfRule type="cellIs" dxfId="6725" priority="3092" operator="lessThan">
      <formula>0.8</formula>
    </cfRule>
    <cfRule type="cellIs" dxfId="6724" priority="3093" operator="greaterThan">
      <formula>1</formula>
    </cfRule>
  </conditionalFormatting>
  <conditionalFormatting sqref="R83">
    <cfRule type="cellIs" dxfId="6723" priority="3090" operator="greaterThan">
      <formula>1</formula>
    </cfRule>
    <cfRule type="cellIs" dxfId="6722" priority="3091" operator="lessThan">
      <formula>0.8</formula>
    </cfRule>
  </conditionalFormatting>
  <conditionalFormatting sqref="P83">
    <cfRule type="cellIs" dxfId="6721" priority="3089" operator="greaterThan">
      <formula>0</formula>
    </cfRule>
  </conditionalFormatting>
  <conditionalFormatting sqref="Q83">
    <cfRule type="cellIs" dxfId="6720" priority="3094" operator="lessThan">
      <formula>0</formula>
    </cfRule>
  </conditionalFormatting>
  <conditionalFormatting sqref="Q83">
    <cfRule type="cellIs" dxfId="6719" priority="3088" operator="lessThan">
      <formula>0</formula>
    </cfRule>
  </conditionalFormatting>
  <conditionalFormatting sqref="R83">
    <cfRule type="cellIs" dxfId="6718" priority="3086" operator="lessThan">
      <formula>0.8</formula>
    </cfRule>
    <cfRule type="cellIs" dxfId="6717" priority="3087" operator="greaterThan">
      <formula>1</formula>
    </cfRule>
  </conditionalFormatting>
  <conditionalFormatting sqref="R83">
    <cfRule type="cellIs" dxfId="6716" priority="3084" operator="greaterThan">
      <formula>1</formula>
    </cfRule>
    <cfRule type="cellIs" dxfId="6715" priority="3085" operator="lessThan">
      <formula>0.8</formula>
    </cfRule>
  </conditionalFormatting>
  <conditionalFormatting sqref="P83">
    <cfRule type="cellIs" dxfId="6714" priority="3083" operator="greaterThan">
      <formula>0</formula>
    </cfRule>
  </conditionalFormatting>
  <conditionalFormatting sqref="Q83">
    <cfRule type="cellIs" dxfId="6713" priority="3077" operator="lessThan">
      <formula>0</formula>
    </cfRule>
  </conditionalFormatting>
  <conditionalFormatting sqref="R83">
    <cfRule type="cellIs" dxfId="6712" priority="3081" operator="lessThan">
      <formula>0.8</formula>
    </cfRule>
    <cfRule type="cellIs" dxfId="6711" priority="3082" operator="greaterThan">
      <formula>1</formula>
    </cfRule>
  </conditionalFormatting>
  <conditionalFormatting sqref="R83">
    <cfRule type="cellIs" dxfId="6710" priority="3079" operator="greaterThan">
      <formula>1</formula>
    </cfRule>
    <cfRule type="cellIs" dxfId="6709" priority="3080" operator="lessThan">
      <formula>0.8</formula>
    </cfRule>
  </conditionalFormatting>
  <conditionalFormatting sqref="P83">
    <cfRule type="cellIs" dxfId="6708" priority="3078" operator="greaterThan">
      <formula>0</formula>
    </cfRule>
  </conditionalFormatting>
  <conditionalFormatting sqref="Q83">
    <cfRule type="cellIs" dxfId="6707" priority="3076" operator="lessThan">
      <formula>0</formula>
    </cfRule>
  </conditionalFormatting>
  <conditionalFormatting sqref="R83">
    <cfRule type="cellIs" dxfId="6706" priority="3074" operator="lessThan">
      <formula>0.8</formula>
    </cfRule>
    <cfRule type="cellIs" dxfId="6705" priority="3075" operator="greaterThan">
      <formula>1</formula>
    </cfRule>
  </conditionalFormatting>
  <conditionalFormatting sqref="R83">
    <cfRule type="cellIs" dxfId="6704" priority="3072" operator="greaterThan">
      <formula>1</formula>
    </cfRule>
    <cfRule type="cellIs" dxfId="6703" priority="3073" operator="lessThan">
      <formula>0.8</formula>
    </cfRule>
  </conditionalFormatting>
  <conditionalFormatting sqref="P83">
    <cfRule type="cellIs" dxfId="6702" priority="3071" operator="greaterThan">
      <formula>0</formula>
    </cfRule>
  </conditionalFormatting>
  <conditionalFormatting sqref="Q83">
    <cfRule type="cellIs" dxfId="6701" priority="3070" operator="lessThan">
      <formula>0</formula>
    </cfRule>
  </conditionalFormatting>
  <conditionalFormatting sqref="R83">
    <cfRule type="cellIs" dxfId="6700" priority="3068" operator="lessThan">
      <formula>0.8</formula>
    </cfRule>
    <cfRule type="cellIs" dxfId="6699" priority="3069" operator="greaterThan">
      <formula>1</formula>
    </cfRule>
  </conditionalFormatting>
  <conditionalFormatting sqref="R83">
    <cfRule type="cellIs" dxfId="6698" priority="3066" operator="greaterThan">
      <formula>1</formula>
    </cfRule>
    <cfRule type="cellIs" dxfId="6697" priority="3067" operator="lessThan">
      <formula>0.8</formula>
    </cfRule>
  </conditionalFormatting>
  <conditionalFormatting sqref="P83">
    <cfRule type="cellIs" dxfId="6696" priority="3065" operator="greaterThan">
      <formula>0</formula>
    </cfRule>
  </conditionalFormatting>
  <conditionalFormatting sqref="Q83">
    <cfRule type="cellIs" dxfId="6695" priority="3064" operator="lessThan">
      <formula>0</formula>
    </cfRule>
  </conditionalFormatting>
  <conditionalFormatting sqref="R83">
    <cfRule type="cellIs" dxfId="6694" priority="3062" operator="lessThan">
      <formula>0.8</formula>
    </cfRule>
    <cfRule type="cellIs" dxfId="6693" priority="3063" operator="greaterThan">
      <formula>1</formula>
    </cfRule>
  </conditionalFormatting>
  <conditionalFormatting sqref="R83">
    <cfRule type="cellIs" dxfId="6692" priority="3060" operator="greaterThan">
      <formula>1</formula>
    </cfRule>
    <cfRule type="cellIs" dxfId="6691" priority="3061" operator="lessThan">
      <formula>0.8</formula>
    </cfRule>
  </conditionalFormatting>
  <conditionalFormatting sqref="P83">
    <cfRule type="cellIs" dxfId="6690" priority="3059" operator="greaterThan">
      <formula>0</formula>
    </cfRule>
  </conditionalFormatting>
  <conditionalFormatting sqref="Q83">
    <cfRule type="cellIs" dxfId="6689" priority="3058" operator="lessThan">
      <formula>0</formula>
    </cfRule>
  </conditionalFormatting>
  <conditionalFormatting sqref="R83">
    <cfRule type="cellIs" dxfId="6688" priority="3056" operator="lessThan">
      <formula>0.8</formula>
    </cfRule>
    <cfRule type="cellIs" dxfId="6687" priority="3057" operator="greaterThan">
      <formula>1</formula>
    </cfRule>
  </conditionalFormatting>
  <conditionalFormatting sqref="R83">
    <cfRule type="cellIs" dxfId="6686" priority="3054" operator="greaterThan">
      <formula>1</formula>
    </cfRule>
    <cfRule type="cellIs" dxfId="6685" priority="3055" operator="lessThan">
      <formula>0.8</formula>
    </cfRule>
  </conditionalFormatting>
  <conditionalFormatting sqref="P83">
    <cfRule type="cellIs" dxfId="6684" priority="3053" operator="greaterThan">
      <formula>0</formula>
    </cfRule>
  </conditionalFormatting>
  <conditionalFormatting sqref="Q83">
    <cfRule type="cellIs" dxfId="6683" priority="3052" operator="lessThan">
      <formula>0</formula>
    </cfRule>
  </conditionalFormatting>
  <conditionalFormatting sqref="R83">
    <cfRule type="cellIs" dxfId="6682" priority="3050" operator="lessThan">
      <formula>0.8</formula>
    </cfRule>
    <cfRule type="cellIs" dxfId="6681" priority="3051" operator="greaterThan">
      <formula>1</formula>
    </cfRule>
  </conditionalFormatting>
  <conditionalFormatting sqref="R83">
    <cfRule type="cellIs" dxfId="6680" priority="3048" operator="greaterThan">
      <formula>1</formula>
    </cfRule>
    <cfRule type="cellIs" dxfId="6679" priority="3049" operator="lessThan">
      <formula>0.8</formula>
    </cfRule>
  </conditionalFormatting>
  <conditionalFormatting sqref="P83">
    <cfRule type="cellIs" dxfId="6678" priority="3047" operator="greaterThan">
      <formula>0</formula>
    </cfRule>
  </conditionalFormatting>
  <conditionalFormatting sqref="P83">
    <cfRule type="cellIs" dxfId="6677" priority="3041" operator="greaterThan">
      <formula>0</formula>
    </cfRule>
  </conditionalFormatting>
  <conditionalFormatting sqref="Q83">
    <cfRule type="cellIs" dxfId="6676" priority="3046" operator="lessThan">
      <formula>0</formula>
    </cfRule>
  </conditionalFormatting>
  <conditionalFormatting sqref="R83">
    <cfRule type="cellIs" dxfId="6675" priority="3044" operator="lessThan">
      <formula>0.8</formula>
    </cfRule>
    <cfRule type="cellIs" dxfId="6674" priority="3045" operator="greaterThan">
      <formula>1</formula>
    </cfRule>
  </conditionalFormatting>
  <conditionalFormatting sqref="R83">
    <cfRule type="cellIs" dxfId="6673" priority="3042" operator="greaterThan">
      <formula>1</formula>
    </cfRule>
    <cfRule type="cellIs" dxfId="6672" priority="3043" operator="lessThan">
      <formula>0.8</formula>
    </cfRule>
  </conditionalFormatting>
  <conditionalFormatting sqref="P83">
    <cfRule type="cellIs" dxfId="6671" priority="3035" operator="greaterThan">
      <formula>0</formula>
    </cfRule>
  </conditionalFormatting>
  <conditionalFormatting sqref="Q83">
    <cfRule type="cellIs" dxfId="6670" priority="3040" operator="lessThan">
      <formula>0</formula>
    </cfRule>
  </conditionalFormatting>
  <conditionalFormatting sqref="R83">
    <cfRule type="cellIs" dxfId="6669" priority="3038" operator="lessThan">
      <formula>0.8</formula>
    </cfRule>
    <cfRule type="cellIs" dxfId="6668" priority="3039" operator="greaterThan">
      <formula>1</formula>
    </cfRule>
  </conditionalFormatting>
  <conditionalFormatting sqref="R83">
    <cfRule type="cellIs" dxfId="6667" priority="3036" operator="greaterThan">
      <formula>1</formula>
    </cfRule>
    <cfRule type="cellIs" dxfId="6666" priority="3037" operator="lessThan">
      <formula>0.8</formula>
    </cfRule>
  </conditionalFormatting>
  <conditionalFormatting sqref="R83">
    <cfRule type="cellIs" dxfId="6665" priority="3032" operator="lessThan">
      <formula>0.8</formula>
    </cfRule>
    <cfRule type="cellIs" dxfId="6664" priority="3033" operator="greaterThan">
      <formula>1</formula>
    </cfRule>
  </conditionalFormatting>
  <conditionalFormatting sqref="R83">
    <cfRule type="cellIs" dxfId="6663" priority="3030" operator="greaterThan">
      <formula>1</formula>
    </cfRule>
    <cfRule type="cellIs" dxfId="6662" priority="3031" operator="lessThan">
      <formula>0.8</formula>
    </cfRule>
  </conditionalFormatting>
  <conditionalFormatting sqref="P83">
    <cfRule type="cellIs" dxfId="6661" priority="3029" operator="greaterThan">
      <formula>0</formula>
    </cfRule>
  </conditionalFormatting>
  <conditionalFormatting sqref="Q83">
    <cfRule type="cellIs" dxfId="6660" priority="3034" operator="lessThan">
      <formula>0</formula>
    </cfRule>
  </conditionalFormatting>
  <conditionalFormatting sqref="Q83">
    <cfRule type="cellIs" dxfId="6659" priority="3023" operator="lessThan">
      <formula>0</formula>
    </cfRule>
  </conditionalFormatting>
  <conditionalFormatting sqref="P83">
    <cfRule type="cellIs" dxfId="6658" priority="3024" operator="greaterThan">
      <formula>0</formula>
    </cfRule>
  </conditionalFormatting>
  <conditionalFormatting sqref="R83">
    <cfRule type="cellIs" dxfId="6657" priority="3027" operator="lessThan">
      <formula>0.8</formula>
    </cfRule>
    <cfRule type="cellIs" dxfId="6656" priority="3028" operator="greaterThan">
      <formula>1</formula>
    </cfRule>
  </conditionalFormatting>
  <conditionalFormatting sqref="R83">
    <cfRule type="cellIs" dxfId="6655" priority="3025" operator="greaterThan">
      <formula>1</formula>
    </cfRule>
    <cfRule type="cellIs" dxfId="6654" priority="3026" operator="lessThan">
      <formula>0.8</formula>
    </cfRule>
  </conditionalFormatting>
  <conditionalFormatting sqref="Q83">
    <cfRule type="cellIs" dxfId="6653" priority="3017" operator="lessThan">
      <formula>0</formula>
    </cfRule>
  </conditionalFormatting>
  <conditionalFormatting sqref="R83">
    <cfRule type="cellIs" dxfId="6652" priority="3021" operator="lessThan">
      <formula>0.8</formula>
    </cfRule>
    <cfRule type="cellIs" dxfId="6651" priority="3022" operator="greaterThan">
      <formula>1</formula>
    </cfRule>
  </conditionalFormatting>
  <conditionalFormatting sqref="R83">
    <cfRule type="cellIs" dxfId="6650" priority="3019" operator="greaterThan">
      <formula>1</formula>
    </cfRule>
    <cfRule type="cellIs" dxfId="6649" priority="3020" operator="lessThan">
      <formula>0.8</formula>
    </cfRule>
  </conditionalFormatting>
  <conditionalFormatting sqref="P83">
    <cfRule type="cellIs" dxfId="6648" priority="3018" operator="greaterThan">
      <formula>0</formula>
    </cfRule>
  </conditionalFormatting>
  <conditionalFormatting sqref="Q83">
    <cfRule type="cellIs" dxfId="6647" priority="3016" operator="lessThan">
      <formula>0</formula>
    </cfRule>
  </conditionalFormatting>
  <conditionalFormatting sqref="R83">
    <cfRule type="cellIs" dxfId="6646" priority="3014" operator="lessThan">
      <formula>0.8</formula>
    </cfRule>
    <cfRule type="cellIs" dxfId="6645" priority="3015" operator="greaterThan">
      <formula>1</formula>
    </cfRule>
  </conditionalFormatting>
  <conditionalFormatting sqref="R83">
    <cfRule type="cellIs" dxfId="6644" priority="3012" operator="greaterThan">
      <formula>1</formula>
    </cfRule>
    <cfRule type="cellIs" dxfId="6643" priority="3013" operator="lessThan">
      <formula>0.8</formula>
    </cfRule>
  </conditionalFormatting>
  <conditionalFormatting sqref="P83">
    <cfRule type="cellIs" dxfId="6642" priority="3011" operator="greaterThan">
      <formula>0</formula>
    </cfRule>
  </conditionalFormatting>
  <conditionalFormatting sqref="Q83">
    <cfRule type="cellIs" dxfId="6641" priority="3010" operator="lessThan">
      <formula>0</formula>
    </cfRule>
  </conditionalFormatting>
  <conditionalFormatting sqref="R83">
    <cfRule type="cellIs" dxfId="6640" priority="3008" operator="lessThan">
      <formula>0.8</formula>
    </cfRule>
    <cfRule type="cellIs" dxfId="6639" priority="3009" operator="greaterThan">
      <formula>1</formula>
    </cfRule>
  </conditionalFormatting>
  <conditionalFormatting sqref="R83">
    <cfRule type="cellIs" dxfId="6638" priority="3006" operator="greaterThan">
      <formula>1</formula>
    </cfRule>
    <cfRule type="cellIs" dxfId="6637" priority="3007" operator="lessThan">
      <formula>0.8</formula>
    </cfRule>
  </conditionalFormatting>
  <conditionalFormatting sqref="P83">
    <cfRule type="cellIs" dxfId="6636" priority="3005" operator="greaterThan">
      <formula>0</formula>
    </cfRule>
  </conditionalFormatting>
  <conditionalFormatting sqref="Q83">
    <cfRule type="cellIs" dxfId="6635" priority="3004" operator="lessThan">
      <formula>0</formula>
    </cfRule>
  </conditionalFormatting>
  <conditionalFormatting sqref="R83">
    <cfRule type="cellIs" dxfId="6634" priority="3002" operator="lessThan">
      <formula>0.8</formula>
    </cfRule>
    <cfRule type="cellIs" dxfId="6633" priority="3003" operator="greaterThan">
      <formula>1</formula>
    </cfRule>
  </conditionalFormatting>
  <conditionalFormatting sqref="R83">
    <cfRule type="cellIs" dxfId="6632" priority="3000" operator="greaterThan">
      <formula>1</formula>
    </cfRule>
    <cfRule type="cellIs" dxfId="6631" priority="3001" operator="lessThan">
      <formula>0.8</formula>
    </cfRule>
  </conditionalFormatting>
  <conditionalFormatting sqref="P83">
    <cfRule type="cellIs" dxfId="6630" priority="2999" operator="greaterThan">
      <formula>0</formula>
    </cfRule>
  </conditionalFormatting>
  <conditionalFormatting sqref="Q83">
    <cfRule type="cellIs" dxfId="6629" priority="2998" operator="lessThan">
      <formula>0</formula>
    </cfRule>
  </conditionalFormatting>
  <conditionalFormatting sqref="R83">
    <cfRule type="cellIs" dxfId="6628" priority="2996" operator="lessThan">
      <formula>0.8</formula>
    </cfRule>
    <cfRule type="cellIs" dxfId="6627" priority="2997" operator="greaterThan">
      <formula>1</formula>
    </cfRule>
  </conditionalFormatting>
  <conditionalFormatting sqref="R83">
    <cfRule type="cellIs" dxfId="6626" priority="2994" operator="greaterThan">
      <formula>1</formula>
    </cfRule>
    <cfRule type="cellIs" dxfId="6625" priority="2995" operator="lessThan">
      <formula>0.8</formula>
    </cfRule>
  </conditionalFormatting>
  <conditionalFormatting sqref="P83">
    <cfRule type="cellIs" dxfId="6624" priority="2993" operator="greaterThan">
      <formula>0</formula>
    </cfRule>
  </conditionalFormatting>
  <conditionalFormatting sqref="Q83">
    <cfRule type="cellIs" dxfId="6623" priority="2992" operator="lessThan">
      <formula>0</formula>
    </cfRule>
  </conditionalFormatting>
  <conditionalFormatting sqref="R83">
    <cfRule type="cellIs" dxfId="6622" priority="2990" operator="lessThan">
      <formula>0.8</formula>
    </cfRule>
    <cfRule type="cellIs" dxfId="6621" priority="2991" operator="greaterThan">
      <formula>1</formula>
    </cfRule>
  </conditionalFormatting>
  <conditionalFormatting sqref="R83">
    <cfRule type="cellIs" dxfId="6620" priority="2988" operator="greaterThan">
      <formula>1</formula>
    </cfRule>
    <cfRule type="cellIs" dxfId="6619" priority="2989" operator="lessThan">
      <formula>0.8</formula>
    </cfRule>
  </conditionalFormatting>
  <conditionalFormatting sqref="P83">
    <cfRule type="cellIs" dxfId="6618" priority="2987" operator="greaterThan">
      <formula>0</formula>
    </cfRule>
  </conditionalFormatting>
  <conditionalFormatting sqref="Q83">
    <cfRule type="cellIs" dxfId="6617" priority="2986" operator="lessThan">
      <formula>0</formula>
    </cfRule>
  </conditionalFormatting>
  <conditionalFormatting sqref="R83">
    <cfRule type="cellIs" dxfId="6616" priority="2984" operator="lessThan">
      <formula>0.8</formula>
    </cfRule>
    <cfRule type="cellIs" dxfId="6615" priority="2985" operator="greaterThan">
      <formula>1</formula>
    </cfRule>
  </conditionalFormatting>
  <conditionalFormatting sqref="R83">
    <cfRule type="cellIs" dxfId="6614" priority="2982" operator="greaterThan">
      <formula>1</formula>
    </cfRule>
    <cfRule type="cellIs" dxfId="6613" priority="2983" operator="lessThan">
      <formula>0.8</formula>
    </cfRule>
  </conditionalFormatting>
  <conditionalFormatting sqref="P83">
    <cfRule type="cellIs" dxfId="6612" priority="2981" operator="greaterThan">
      <formula>0</formula>
    </cfRule>
  </conditionalFormatting>
  <conditionalFormatting sqref="Q83">
    <cfRule type="cellIs" dxfId="6611" priority="2980" operator="lessThan">
      <formula>0</formula>
    </cfRule>
  </conditionalFormatting>
  <conditionalFormatting sqref="R83">
    <cfRule type="cellIs" dxfId="6610" priority="2978" operator="lessThan">
      <formula>0.8</formula>
    </cfRule>
    <cfRule type="cellIs" dxfId="6609" priority="2979" operator="greaterThan">
      <formula>1</formula>
    </cfRule>
  </conditionalFormatting>
  <conditionalFormatting sqref="R83">
    <cfRule type="cellIs" dxfId="6608" priority="2976" operator="greaterThan">
      <formula>1</formula>
    </cfRule>
    <cfRule type="cellIs" dxfId="6607" priority="2977" operator="lessThan">
      <formula>0.8</formula>
    </cfRule>
  </conditionalFormatting>
  <conditionalFormatting sqref="P83">
    <cfRule type="cellIs" dxfId="6606" priority="2975" operator="greaterThan">
      <formula>0</formula>
    </cfRule>
  </conditionalFormatting>
  <conditionalFormatting sqref="P83">
    <cfRule type="cellIs" dxfId="6605" priority="2969" operator="greaterThan">
      <formula>0</formula>
    </cfRule>
  </conditionalFormatting>
  <conditionalFormatting sqref="Q83">
    <cfRule type="cellIs" dxfId="6604" priority="2974" operator="lessThan">
      <formula>0</formula>
    </cfRule>
  </conditionalFormatting>
  <conditionalFormatting sqref="R83">
    <cfRule type="cellIs" dxfId="6603" priority="2972" operator="lessThan">
      <formula>0.8</formula>
    </cfRule>
    <cfRule type="cellIs" dxfId="6602" priority="2973" operator="greaterThan">
      <formula>1</formula>
    </cfRule>
  </conditionalFormatting>
  <conditionalFormatting sqref="R83">
    <cfRule type="cellIs" dxfId="6601" priority="2970" operator="greaterThan">
      <formula>1</formula>
    </cfRule>
    <cfRule type="cellIs" dxfId="6600" priority="2971" operator="lessThan">
      <formula>0.8</formula>
    </cfRule>
  </conditionalFormatting>
  <conditionalFormatting sqref="P83">
    <cfRule type="cellIs" dxfId="6599" priority="2963" operator="greaterThan">
      <formula>0</formula>
    </cfRule>
  </conditionalFormatting>
  <conditionalFormatting sqref="Q83">
    <cfRule type="cellIs" dxfId="6598" priority="2968" operator="lessThan">
      <formula>0</formula>
    </cfRule>
  </conditionalFormatting>
  <conditionalFormatting sqref="R83">
    <cfRule type="cellIs" dxfId="6597" priority="2966" operator="lessThan">
      <formula>0.8</formula>
    </cfRule>
    <cfRule type="cellIs" dxfId="6596" priority="2967" operator="greaterThan">
      <formula>1</formula>
    </cfRule>
  </conditionalFormatting>
  <conditionalFormatting sqref="R83">
    <cfRule type="cellIs" dxfId="6595" priority="2964" operator="greaterThan">
      <formula>1</formula>
    </cfRule>
    <cfRule type="cellIs" dxfId="6594" priority="2965" operator="lessThan">
      <formula>0.8</formula>
    </cfRule>
  </conditionalFormatting>
  <conditionalFormatting sqref="R83">
    <cfRule type="cellIs" dxfId="6593" priority="2960" operator="lessThan">
      <formula>0.8</formula>
    </cfRule>
    <cfRule type="cellIs" dxfId="6592" priority="2961" operator="greaterThan">
      <formula>1</formula>
    </cfRule>
  </conditionalFormatting>
  <conditionalFormatting sqref="R83">
    <cfRule type="cellIs" dxfId="6591" priority="2958" operator="greaterThan">
      <formula>1</formula>
    </cfRule>
    <cfRule type="cellIs" dxfId="6590" priority="2959" operator="lessThan">
      <formula>0.8</formula>
    </cfRule>
  </conditionalFormatting>
  <conditionalFormatting sqref="P83">
    <cfRule type="cellIs" dxfId="6589" priority="2957" operator="greaterThan">
      <formula>0</formula>
    </cfRule>
  </conditionalFormatting>
  <conditionalFormatting sqref="Q83">
    <cfRule type="cellIs" dxfId="6588" priority="2962" operator="lessThan">
      <formula>0</formula>
    </cfRule>
  </conditionalFormatting>
  <conditionalFormatting sqref="Q83">
    <cfRule type="cellIs" dxfId="6587" priority="2956" operator="lessThan">
      <formula>0</formula>
    </cfRule>
  </conditionalFormatting>
  <conditionalFormatting sqref="R83">
    <cfRule type="cellIs" dxfId="6586" priority="2954" operator="lessThan">
      <formula>0.8</formula>
    </cfRule>
    <cfRule type="cellIs" dxfId="6585" priority="2955" operator="greaterThan">
      <formula>1</formula>
    </cfRule>
  </conditionalFormatting>
  <conditionalFormatting sqref="R83">
    <cfRule type="cellIs" dxfId="6584" priority="2952" operator="greaterThan">
      <formula>1</formula>
    </cfRule>
    <cfRule type="cellIs" dxfId="6583" priority="2953" operator="lessThan">
      <formula>0.8</formula>
    </cfRule>
  </conditionalFormatting>
  <conditionalFormatting sqref="P83">
    <cfRule type="cellIs" dxfId="6582" priority="2951" operator="greaterThan">
      <formula>0</formula>
    </cfRule>
  </conditionalFormatting>
  <conditionalFormatting sqref="P83">
    <cfRule type="cellIs" dxfId="6581" priority="2945" operator="greaterThan">
      <formula>0</formula>
    </cfRule>
  </conditionalFormatting>
  <conditionalFormatting sqref="Q83">
    <cfRule type="cellIs" dxfId="6580" priority="2950" operator="lessThan">
      <formula>0</formula>
    </cfRule>
  </conditionalFormatting>
  <conditionalFormatting sqref="R83">
    <cfRule type="cellIs" dxfId="6579" priority="2948" operator="lessThan">
      <formula>0.8</formula>
    </cfRule>
    <cfRule type="cellIs" dxfId="6578" priority="2949" operator="greaterThan">
      <formula>1</formula>
    </cfRule>
  </conditionalFormatting>
  <conditionalFormatting sqref="R83">
    <cfRule type="cellIs" dxfId="6577" priority="2946" operator="greaterThan">
      <formula>1</formula>
    </cfRule>
    <cfRule type="cellIs" dxfId="6576" priority="2947" operator="lessThan">
      <formula>0.8</formula>
    </cfRule>
  </conditionalFormatting>
  <conditionalFormatting sqref="P83">
    <cfRule type="cellIs" dxfId="6575" priority="2939" operator="greaterThan">
      <formula>0</formula>
    </cfRule>
  </conditionalFormatting>
  <conditionalFormatting sqref="Q83">
    <cfRule type="cellIs" dxfId="6574" priority="2944" operator="lessThan">
      <formula>0</formula>
    </cfRule>
  </conditionalFormatting>
  <conditionalFormatting sqref="R83">
    <cfRule type="cellIs" dxfId="6573" priority="2942" operator="lessThan">
      <formula>0.8</formula>
    </cfRule>
    <cfRule type="cellIs" dxfId="6572" priority="2943" operator="greaterThan">
      <formula>1</formula>
    </cfRule>
  </conditionalFormatting>
  <conditionalFormatting sqref="R83">
    <cfRule type="cellIs" dxfId="6571" priority="2940" operator="greaterThan">
      <formula>1</formula>
    </cfRule>
    <cfRule type="cellIs" dxfId="6570" priority="2941" operator="lessThan">
      <formula>0.8</formula>
    </cfRule>
  </conditionalFormatting>
  <conditionalFormatting sqref="R83">
    <cfRule type="cellIs" dxfId="6569" priority="2936" operator="lessThan">
      <formula>0.8</formula>
    </cfRule>
    <cfRule type="cellIs" dxfId="6568" priority="2937" operator="greaterThan">
      <formula>1</formula>
    </cfRule>
  </conditionalFormatting>
  <conditionalFormatting sqref="R83">
    <cfRule type="cellIs" dxfId="6567" priority="2934" operator="greaterThan">
      <formula>1</formula>
    </cfRule>
    <cfRule type="cellIs" dxfId="6566" priority="2935" operator="lessThan">
      <formula>0.8</formula>
    </cfRule>
  </conditionalFormatting>
  <conditionalFormatting sqref="P83">
    <cfRule type="cellIs" dxfId="6565" priority="2933" operator="greaterThan">
      <formula>0</formula>
    </cfRule>
  </conditionalFormatting>
  <conditionalFormatting sqref="Q83">
    <cfRule type="cellIs" dxfId="6564" priority="2938" operator="lessThan">
      <formula>0</formula>
    </cfRule>
  </conditionalFormatting>
  <conditionalFormatting sqref="P83">
    <cfRule type="cellIs" dxfId="6563" priority="2927" operator="greaterThan">
      <formula>0</formula>
    </cfRule>
  </conditionalFormatting>
  <conditionalFormatting sqref="Q83">
    <cfRule type="cellIs" dxfId="6562" priority="2932" operator="lessThan">
      <formula>0</formula>
    </cfRule>
  </conditionalFormatting>
  <conditionalFormatting sqref="R83">
    <cfRule type="cellIs" dxfId="6561" priority="2930" operator="lessThan">
      <formula>0.8</formula>
    </cfRule>
    <cfRule type="cellIs" dxfId="6560" priority="2931" operator="greaterThan">
      <formula>1</formula>
    </cfRule>
  </conditionalFormatting>
  <conditionalFormatting sqref="R83">
    <cfRule type="cellIs" dxfId="6559" priority="2928" operator="greaterThan">
      <formula>1</formula>
    </cfRule>
    <cfRule type="cellIs" dxfId="6558" priority="2929" operator="lessThan">
      <formula>0.8</formula>
    </cfRule>
  </conditionalFormatting>
  <conditionalFormatting sqref="R83">
    <cfRule type="cellIs" dxfId="6557" priority="2924" operator="lessThan">
      <formula>0.8</formula>
    </cfRule>
    <cfRule type="cellIs" dxfId="6556" priority="2925" operator="greaterThan">
      <formula>1</formula>
    </cfRule>
  </conditionalFormatting>
  <conditionalFormatting sqref="R83">
    <cfRule type="cellIs" dxfId="6555" priority="2922" operator="greaterThan">
      <formula>1</formula>
    </cfRule>
    <cfRule type="cellIs" dxfId="6554" priority="2923" operator="lessThan">
      <formula>0.8</formula>
    </cfRule>
  </conditionalFormatting>
  <conditionalFormatting sqref="P83">
    <cfRule type="cellIs" dxfId="6553" priority="2921" operator="greaterThan">
      <formula>0</formula>
    </cfRule>
  </conditionalFormatting>
  <conditionalFormatting sqref="Q83">
    <cfRule type="cellIs" dxfId="6552" priority="2926" operator="lessThan">
      <formula>0</formula>
    </cfRule>
  </conditionalFormatting>
  <conditionalFormatting sqref="R83">
    <cfRule type="cellIs" dxfId="6551" priority="2918" operator="lessThan">
      <formula>0.8</formula>
    </cfRule>
    <cfRule type="cellIs" dxfId="6550" priority="2919" operator="greaterThan">
      <formula>1</formula>
    </cfRule>
  </conditionalFormatting>
  <conditionalFormatting sqref="R83">
    <cfRule type="cellIs" dxfId="6549" priority="2916" operator="greaterThan">
      <formula>1</formula>
    </cfRule>
    <cfRule type="cellIs" dxfId="6548" priority="2917" operator="lessThan">
      <formula>0.8</formula>
    </cfRule>
  </conditionalFormatting>
  <conditionalFormatting sqref="P83">
    <cfRule type="cellIs" dxfId="6547" priority="2915" operator="greaterThan">
      <formula>0</formula>
    </cfRule>
  </conditionalFormatting>
  <conditionalFormatting sqref="Q83">
    <cfRule type="cellIs" dxfId="6546" priority="2920" operator="lessThan">
      <formula>0</formula>
    </cfRule>
  </conditionalFormatting>
  <conditionalFormatting sqref="Q83">
    <cfRule type="cellIs" dxfId="6545" priority="2914" operator="lessThan">
      <formula>0</formula>
    </cfRule>
  </conditionalFormatting>
  <conditionalFormatting sqref="R83">
    <cfRule type="cellIs" dxfId="6544" priority="2912" operator="lessThan">
      <formula>0.8</formula>
    </cfRule>
    <cfRule type="cellIs" dxfId="6543" priority="2913" operator="greaterThan">
      <formula>1</formula>
    </cfRule>
  </conditionalFormatting>
  <conditionalFormatting sqref="R83">
    <cfRule type="cellIs" dxfId="6542" priority="2910" operator="greaterThan">
      <formula>1</formula>
    </cfRule>
    <cfRule type="cellIs" dxfId="6541" priority="2911" operator="lessThan">
      <formula>0.8</formula>
    </cfRule>
  </conditionalFormatting>
  <conditionalFormatting sqref="P83">
    <cfRule type="cellIs" dxfId="6540" priority="2909" operator="greaterThan">
      <formula>0</formula>
    </cfRule>
  </conditionalFormatting>
  <conditionalFormatting sqref="Q83">
    <cfRule type="cellIs" dxfId="6539" priority="2903" operator="lessThan">
      <formula>0</formula>
    </cfRule>
  </conditionalFormatting>
  <conditionalFormatting sqref="R83">
    <cfRule type="cellIs" dxfId="6538" priority="2907" operator="lessThan">
      <formula>0.8</formula>
    </cfRule>
    <cfRule type="cellIs" dxfId="6537" priority="2908" operator="greaterThan">
      <formula>1</formula>
    </cfRule>
  </conditionalFormatting>
  <conditionalFormatting sqref="R83">
    <cfRule type="cellIs" dxfId="6536" priority="2905" operator="greaterThan">
      <formula>1</formula>
    </cfRule>
    <cfRule type="cellIs" dxfId="6535" priority="2906" operator="lessThan">
      <formula>0.8</formula>
    </cfRule>
  </conditionalFormatting>
  <conditionalFormatting sqref="P83">
    <cfRule type="cellIs" dxfId="6534" priority="2904" operator="greaterThan">
      <formula>0</formula>
    </cfRule>
  </conditionalFormatting>
  <conditionalFormatting sqref="Q83">
    <cfRule type="cellIs" dxfId="6533" priority="2902" operator="lessThan">
      <formula>0</formula>
    </cfRule>
  </conditionalFormatting>
  <conditionalFormatting sqref="R83">
    <cfRule type="cellIs" dxfId="6532" priority="2900" operator="lessThan">
      <formula>0.8</formula>
    </cfRule>
    <cfRule type="cellIs" dxfId="6531" priority="2901" operator="greaterThan">
      <formula>1</formula>
    </cfRule>
  </conditionalFormatting>
  <conditionalFormatting sqref="R83">
    <cfRule type="cellIs" dxfId="6530" priority="2898" operator="greaterThan">
      <formula>1</formula>
    </cfRule>
    <cfRule type="cellIs" dxfId="6529" priority="2899" operator="lessThan">
      <formula>0.8</formula>
    </cfRule>
  </conditionalFormatting>
  <conditionalFormatting sqref="P83">
    <cfRule type="cellIs" dxfId="6528" priority="2897" operator="greaterThan">
      <formula>0</formula>
    </cfRule>
  </conditionalFormatting>
  <conditionalFormatting sqref="Q83">
    <cfRule type="cellIs" dxfId="6527" priority="2896" operator="lessThan">
      <formula>0</formula>
    </cfRule>
  </conditionalFormatting>
  <conditionalFormatting sqref="R83">
    <cfRule type="cellIs" dxfId="6526" priority="2894" operator="lessThan">
      <formula>0.8</formula>
    </cfRule>
    <cfRule type="cellIs" dxfId="6525" priority="2895" operator="greaterThan">
      <formula>1</formula>
    </cfRule>
  </conditionalFormatting>
  <conditionalFormatting sqref="R83">
    <cfRule type="cellIs" dxfId="6524" priority="2892" operator="greaterThan">
      <formula>1</formula>
    </cfRule>
    <cfRule type="cellIs" dxfId="6523" priority="2893" operator="lessThan">
      <formula>0.8</formula>
    </cfRule>
  </conditionalFormatting>
  <conditionalFormatting sqref="P83">
    <cfRule type="cellIs" dxfId="6522" priority="2891" operator="greaterThan">
      <formula>0</formula>
    </cfRule>
  </conditionalFormatting>
  <conditionalFormatting sqref="Q83">
    <cfRule type="cellIs" dxfId="6521" priority="2890" operator="lessThan">
      <formula>0</formula>
    </cfRule>
  </conditionalFormatting>
  <conditionalFormatting sqref="R83">
    <cfRule type="cellIs" dxfId="6520" priority="2888" operator="lessThan">
      <formula>0.8</formula>
    </cfRule>
    <cfRule type="cellIs" dxfId="6519" priority="2889" operator="greaterThan">
      <formula>1</formula>
    </cfRule>
  </conditionalFormatting>
  <conditionalFormatting sqref="R83">
    <cfRule type="cellIs" dxfId="6518" priority="2886" operator="greaterThan">
      <formula>1</formula>
    </cfRule>
    <cfRule type="cellIs" dxfId="6517" priority="2887" operator="lessThan">
      <formula>0.8</formula>
    </cfRule>
  </conditionalFormatting>
  <conditionalFormatting sqref="P83">
    <cfRule type="cellIs" dxfId="6516" priority="2885" operator="greaterThan">
      <formula>0</formula>
    </cfRule>
  </conditionalFormatting>
  <conditionalFormatting sqref="Q83">
    <cfRule type="cellIs" dxfId="6515" priority="2884" operator="lessThan">
      <formula>0</formula>
    </cfRule>
  </conditionalFormatting>
  <conditionalFormatting sqref="R83">
    <cfRule type="cellIs" dxfId="6514" priority="2882" operator="lessThan">
      <formula>0.8</formula>
    </cfRule>
    <cfRule type="cellIs" dxfId="6513" priority="2883" operator="greaterThan">
      <formula>1</formula>
    </cfRule>
  </conditionalFormatting>
  <conditionalFormatting sqref="R83">
    <cfRule type="cellIs" dxfId="6512" priority="2880" operator="greaterThan">
      <formula>1</formula>
    </cfRule>
    <cfRule type="cellIs" dxfId="6511" priority="2881" operator="lessThan">
      <formula>0.8</formula>
    </cfRule>
  </conditionalFormatting>
  <conditionalFormatting sqref="P83">
    <cfRule type="cellIs" dxfId="6510" priority="2879" operator="greaterThan">
      <formula>0</formula>
    </cfRule>
  </conditionalFormatting>
  <conditionalFormatting sqref="Q83">
    <cfRule type="cellIs" dxfId="6509" priority="2878" operator="lessThan">
      <formula>0</formula>
    </cfRule>
  </conditionalFormatting>
  <conditionalFormatting sqref="R83">
    <cfRule type="cellIs" dxfId="6508" priority="2876" operator="lessThan">
      <formula>0.8</formula>
    </cfRule>
    <cfRule type="cellIs" dxfId="6507" priority="2877" operator="greaterThan">
      <formula>1</formula>
    </cfRule>
  </conditionalFormatting>
  <conditionalFormatting sqref="R83">
    <cfRule type="cellIs" dxfId="6506" priority="2874" operator="greaterThan">
      <formula>1</formula>
    </cfRule>
    <cfRule type="cellIs" dxfId="6505" priority="2875" operator="lessThan">
      <formula>0.8</formula>
    </cfRule>
  </conditionalFormatting>
  <conditionalFormatting sqref="P83">
    <cfRule type="cellIs" dxfId="6504" priority="2873" operator="greaterThan">
      <formula>0</formula>
    </cfRule>
  </conditionalFormatting>
  <conditionalFormatting sqref="P83">
    <cfRule type="cellIs" dxfId="6503" priority="2867" operator="greaterThan">
      <formula>0</formula>
    </cfRule>
  </conditionalFormatting>
  <conditionalFormatting sqref="Q83">
    <cfRule type="cellIs" dxfId="6502" priority="2872" operator="lessThan">
      <formula>0</formula>
    </cfRule>
  </conditionalFormatting>
  <conditionalFormatting sqref="R83">
    <cfRule type="cellIs" dxfId="6501" priority="2870" operator="lessThan">
      <formula>0.8</formula>
    </cfRule>
    <cfRule type="cellIs" dxfId="6500" priority="2871" operator="greaterThan">
      <formula>1</formula>
    </cfRule>
  </conditionalFormatting>
  <conditionalFormatting sqref="R83">
    <cfRule type="cellIs" dxfId="6499" priority="2868" operator="greaterThan">
      <formula>1</formula>
    </cfRule>
    <cfRule type="cellIs" dxfId="6498" priority="2869" operator="lessThan">
      <formula>0.8</formula>
    </cfRule>
  </conditionalFormatting>
  <conditionalFormatting sqref="P83">
    <cfRule type="cellIs" dxfId="6497" priority="2861" operator="greaterThan">
      <formula>0</formula>
    </cfRule>
  </conditionalFormatting>
  <conditionalFormatting sqref="Q83">
    <cfRule type="cellIs" dxfId="6496" priority="2866" operator="lessThan">
      <formula>0</formula>
    </cfRule>
  </conditionalFormatting>
  <conditionalFormatting sqref="R83">
    <cfRule type="cellIs" dxfId="6495" priority="2864" operator="lessThan">
      <formula>0.8</formula>
    </cfRule>
    <cfRule type="cellIs" dxfId="6494" priority="2865" operator="greaterThan">
      <formula>1</formula>
    </cfRule>
  </conditionalFormatting>
  <conditionalFormatting sqref="R83">
    <cfRule type="cellIs" dxfId="6493" priority="2862" operator="greaterThan">
      <formula>1</formula>
    </cfRule>
    <cfRule type="cellIs" dxfId="6492" priority="2863" operator="lessThan">
      <formula>0.8</formula>
    </cfRule>
  </conditionalFormatting>
  <conditionalFormatting sqref="R83">
    <cfRule type="cellIs" dxfId="6491" priority="2858" operator="lessThan">
      <formula>0.8</formula>
    </cfRule>
    <cfRule type="cellIs" dxfId="6490" priority="2859" operator="greaterThan">
      <formula>1</formula>
    </cfRule>
  </conditionalFormatting>
  <conditionalFormatting sqref="R83">
    <cfRule type="cellIs" dxfId="6489" priority="2856" operator="greaterThan">
      <formula>1</formula>
    </cfRule>
    <cfRule type="cellIs" dxfId="6488" priority="2857" operator="lessThan">
      <formula>0.8</formula>
    </cfRule>
  </conditionalFormatting>
  <conditionalFormatting sqref="P83">
    <cfRule type="cellIs" dxfId="6487" priority="2855" operator="greaterThan">
      <formula>0</formula>
    </cfRule>
  </conditionalFormatting>
  <conditionalFormatting sqref="Q83">
    <cfRule type="cellIs" dxfId="6486" priority="2860" operator="lessThan">
      <formula>0</formula>
    </cfRule>
  </conditionalFormatting>
  <conditionalFormatting sqref="P123 P125:P126 P128:P129">
    <cfRule type="cellIs" dxfId="6485" priority="2849" operator="greaterThan">
      <formula>0</formula>
    </cfRule>
  </conditionalFormatting>
  <conditionalFormatting sqref="Q123 Q125:Q126 Q128:Q129">
    <cfRule type="cellIs" dxfId="6484" priority="2854" operator="lessThan">
      <formula>0</formula>
    </cfRule>
  </conditionalFormatting>
  <conditionalFormatting sqref="R123 R125:R126 R128:R129">
    <cfRule type="cellIs" dxfId="6483" priority="2852" operator="lessThan">
      <formula>0.8</formula>
    </cfRule>
    <cfRule type="cellIs" dxfId="6482" priority="2853" operator="greaterThan">
      <formula>1</formula>
    </cfRule>
  </conditionalFormatting>
  <conditionalFormatting sqref="R123 R125:R126 R128:R129">
    <cfRule type="cellIs" dxfId="6481" priority="2850" operator="greaterThan">
      <formula>1</formula>
    </cfRule>
    <cfRule type="cellIs" dxfId="6480" priority="2851" operator="lessThan">
      <formula>0.8</formula>
    </cfRule>
  </conditionalFormatting>
  <conditionalFormatting sqref="Q123 Q125:Q126 Q128:Q129">
    <cfRule type="cellIs" dxfId="6479" priority="2848" operator="lessThan">
      <formula>0</formula>
    </cfRule>
  </conditionalFormatting>
  <conditionalFormatting sqref="R123 R125:R126 R128:R129">
    <cfRule type="cellIs" dxfId="6478" priority="2846" operator="lessThan">
      <formula>0.8</formula>
    </cfRule>
    <cfRule type="cellIs" dxfId="6477" priority="2847" operator="greaterThan">
      <formula>1</formula>
    </cfRule>
  </conditionalFormatting>
  <conditionalFormatting sqref="R123 R125:R126 R128:R129">
    <cfRule type="cellIs" dxfId="6476" priority="2844" operator="greaterThan">
      <formula>1</formula>
    </cfRule>
    <cfRule type="cellIs" dxfId="6475" priority="2845" operator="lessThan">
      <formula>0.8</formula>
    </cfRule>
  </conditionalFormatting>
  <conditionalFormatting sqref="P123 P125:P126 P128:P129">
    <cfRule type="cellIs" dxfId="6474" priority="2843" operator="greaterThan">
      <formula>0</formula>
    </cfRule>
  </conditionalFormatting>
  <conditionalFormatting sqref="Q31">
    <cfRule type="cellIs" dxfId="6473" priority="2842" operator="lessThan">
      <formula>0</formula>
    </cfRule>
  </conditionalFormatting>
  <conditionalFormatting sqref="R31">
    <cfRule type="cellIs" dxfId="6472" priority="2840" operator="lessThan">
      <formula>0.8</formula>
    </cfRule>
    <cfRule type="cellIs" dxfId="6471" priority="2841" operator="greaterThan">
      <formula>1</formula>
    </cfRule>
  </conditionalFormatting>
  <conditionalFormatting sqref="R31">
    <cfRule type="cellIs" dxfId="6470" priority="2838" operator="greaterThan">
      <formula>1</formula>
    </cfRule>
    <cfRule type="cellIs" dxfId="6469" priority="2839" operator="lessThan">
      <formula>0.8</formula>
    </cfRule>
  </conditionalFormatting>
  <conditionalFormatting sqref="P31">
    <cfRule type="cellIs" dxfId="6468" priority="2837" operator="greaterThan">
      <formula>0</formula>
    </cfRule>
  </conditionalFormatting>
  <conditionalFormatting sqref="Q31">
    <cfRule type="cellIs" dxfId="6467" priority="2836" operator="lessThan">
      <formula>0</formula>
    </cfRule>
  </conditionalFormatting>
  <conditionalFormatting sqref="R31">
    <cfRule type="cellIs" dxfId="6466" priority="2834" operator="lessThan">
      <formula>0.8</formula>
    </cfRule>
    <cfRule type="cellIs" dxfId="6465" priority="2835" operator="greaterThan">
      <formula>1</formula>
    </cfRule>
  </conditionalFormatting>
  <conditionalFormatting sqref="R31">
    <cfRule type="cellIs" dxfId="6464" priority="2832" operator="greaterThan">
      <formula>1</formula>
    </cfRule>
    <cfRule type="cellIs" dxfId="6463" priority="2833" operator="lessThan">
      <formula>0.8</formula>
    </cfRule>
  </conditionalFormatting>
  <conditionalFormatting sqref="P31">
    <cfRule type="cellIs" dxfId="6462" priority="2831" operator="greaterThan">
      <formula>0</formula>
    </cfRule>
  </conditionalFormatting>
  <conditionalFormatting sqref="Q31">
    <cfRule type="cellIs" dxfId="6461" priority="2830" operator="lessThan">
      <formula>0</formula>
    </cfRule>
  </conditionalFormatting>
  <conditionalFormatting sqref="R31">
    <cfRule type="cellIs" dxfId="6460" priority="2828" operator="lessThan">
      <formula>0.8</formula>
    </cfRule>
    <cfRule type="cellIs" dxfId="6459" priority="2829" operator="greaterThan">
      <formula>1</formula>
    </cfRule>
  </conditionalFormatting>
  <conditionalFormatting sqref="R31">
    <cfRule type="cellIs" dxfId="6458" priority="2826" operator="greaterThan">
      <formula>1</formula>
    </cfRule>
    <cfRule type="cellIs" dxfId="6457" priority="2827" operator="lessThan">
      <formula>0.8</formula>
    </cfRule>
  </conditionalFormatting>
  <conditionalFormatting sqref="P31">
    <cfRule type="cellIs" dxfId="6456" priority="2825" operator="greaterThan">
      <formula>0</formula>
    </cfRule>
  </conditionalFormatting>
  <conditionalFormatting sqref="Q31">
    <cfRule type="cellIs" dxfId="6455" priority="2824" operator="lessThan">
      <formula>0</formula>
    </cfRule>
  </conditionalFormatting>
  <conditionalFormatting sqref="R31">
    <cfRule type="cellIs" dxfId="6454" priority="2822" operator="lessThan">
      <formula>0.8</formula>
    </cfRule>
    <cfRule type="cellIs" dxfId="6453" priority="2823" operator="greaterThan">
      <formula>1</formula>
    </cfRule>
  </conditionalFormatting>
  <conditionalFormatting sqref="R31">
    <cfRule type="cellIs" dxfId="6452" priority="2820" operator="greaterThan">
      <formula>1</formula>
    </cfRule>
    <cfRule type="cellIs" dxfId="6451" priority="2821" operator="lessThan">
      <formula>0.8</formula>
    </cfRule>
  </conditionalFormatting>
  <conditionalFormatting sqref="P31">
    <cfRule type="cellIs" dxfId="6450" priority="2819" operator="greaterThan">
      <formula>0</formula>
    </cfRule>
  </conditionalFormatting>
  <conditionalFormatting sqref="P31">
    <cfRule type="cellIs" dxfId="6449" priority="2813" operator="greaterThan">
      <formula>0</formula>
    </cfRule>
  </conditionalFormatting>
  <conditionalFormatting sqref="Q31">
    <cfRule type="cellIs" dxfId="6448" priority="2818" operator="lessThan">
      <formula>0</formula>
    </cfRule>
  </conditionalFormatting>
  <conditionalFormatting sqref="R31">
    <cfRule type="cellIs" dxfId="6447" priority="2816" operator="lessThan">
      <formula>0.8</formula>
    </cfRule>
    <cfRule type="cellIs" dxfId="6446" priority="2817" operator="greaterThan">
      <formula>1</formula>
    </cfRule>
  </conditionalFormatting>
  <conditionalFormatting sqref="R31">
    <cfRule type="cellIs" dxfId="6445" priority="2814" operator="greaterThan">
      <formula>1</formula>
    </cfRule>
    <cfRule type="cellIs" dxfId="6444" priority="2815" operator="lessThan">
      <formula>0.8</formula>
    </cfRule>
  </conditionalFormatting>
  <conditionalFormatting sqref="P31">
    <cfRule type="cellIs" dxfId="6443" priority="2807" operator="greaterThan">
      <formula>0</formula>
    </cfRule>
  </conditionalFormatting>
  <conditionalFormatting sqref="Q31">
    <cfRule type="cellIs" dxfId="6442" priority="2812" operator="lessThan">
      <formula>0</formula>
    </cfRule>
  </conditionalFormatting>
  <conditionalFormatting sqref="R31">
    <cfRule type="cellIs" dxfId="6441" priority="2810" operator="lessThan">
      <formula>0.8</formula>
    </cfRule>
    <cfRule type="cellIs" dxfId="6440" priority="2811" operator="greaterThan">
      <formula>1</formula>
    </cfRule>
  </conditionalFormatting>
  <conditionalFormatting sqref="R31">
    <cfRule type="cellIs" dxfId="6439" priority="2808" operator="greaterThan">
      <formula>1</formula>
    </cfRule>
    <cfRule type="cellIs" dxfId="6438" priority="2809" operator="lessThan">
      <formula>0.8</formula>
    </cfRule>
  </conditionalFormatting>
  <conditionalFormatting sqref="R31">
    <cfRule type="cellIs" dxfId="6437" priority="2804" operator="lessThan">
      <formula>0.8</formula>
    </cfRule>
    <cfRule type="cellIs" dxfId="6436" priority="2805" operator="greaterThan">
      <formula>1</formula>
    </cfRule>
  </conditionalFormatting>
  <conditionalFormatting sqref="R31">
    <cfRule type="cellIs" dxfId="6435" priority="2802" operator="greaterThan">
      <formula>1</formula>
    </cfRule>
    <cfRule type="cellIs" dxfId="6434" priority="2803" operator="lessThan">
      <formula>0.8</formula>
    </cfRule>
  </conditionalFormatting>
  <conditionalFormatting sqref="P31">
    <cfRule type="cellIs" dxfId="6433" priority="2801" operator="greaterThan">
      <formula>0</formula>
    </cfRule>
  </conditionalFormatting>
  <conditionalFormatting sqref="Q31">
    <cfRule type="cellIs" dxfId="6432" priority="2806" operator="lessThan">
      <formula>0</formula>
    </cfRule>
  </conditionalFormatting>
  <conditionalFormatting sqref="Q31">
    <cfRule type="cellIs" dxfId="6431" priority="2800" operator="lessThan">
      <formula>0</formula>
    </cfRule>
  </conditionalFormatting>
  <conditionalFormatting sqref="R31">
    <cfRule type="cellIs" dxfId="6430" priority="2798" operator="lessThan">
      <formula>0.8</formula>
    </cfRule>
    <cfRule type="cellIs" dxfId="6429" priority="2799" operator="greaterThan">
      <formula>1</formula>
    </cfRule>
  </conditionalFormatting>
  <conditionalFormatting sqref="R31">
    <cfRule type="cellIs" dxfId="6428" priority="2796" operator="greaterThan">
      <formula>1</formula>
    </cfRule>
    <cfRule type="cellIs" dxfId="6427" priority="2797" operator="lessThan">
      <formula>0.8</formula>
    </cfRule>
  </conditionalFormatting>
  <conditionalFormatting sqref="P31">
    <cfRule type="cellIs" dxfId="6426" priority="2795" operator="greaterThan">
      <formula>0</formula>
    </cfRule>
  </conditionalFormatting>
  <conditionalFormatting sqref="P31">
    <cfRule type="cellIs" dxfId="6425" priority="2789" operator="greaterThan">
      <formula>0</formula>
    </cfRule>
  </conditionalFormatting>
  <conditionalFormatting sqref="Q31">
    <cfRule type="cellIs" dxfId="6424" priority="2794" operator="lessThan">
      <formula>0</formula>
    </cfRule>
  </conditionalFormatting>
  <conditionalFormatting sqref="R31">
    <cfRule type="cellIs" dxfId="6423" priority="2792" operator="lessThan">
      <formula>0.8</formula>
    </cfRule>
    <cfRule type="cellIs" dxfId="6422" priority="2793" operator="greaterThan">
      <formula>1</formula>
    </cfRule>
  </conditionalFormatting>
  <conditionalFormatting sqref="R31">
    <cfRule type="cellIs" dxfId="6421" priority="2790" operator="greaterThan">
      <formula>1</formula>
    </cfRule>
    <cfRule type="cellIs" dxfId="6420" priority="2791" operator="lessThan">
      <formula>0.8</formula>
    </cfRule>
  </conditionalFormatting>
  <conditionalFormatting sqref="P31">
    <cfRule type="cellIs" dxfId="6419" priority="2783" operator="greaterThan">
      <formula>0</formula>
    </cfRule>
  </conditionalFormatting>
  <conditionalFormatting sqref="Q31">
    <cfRule type="cellIs" dxfId="6418" priority="2788" operator="lessThan">
      <formula>0</formula>
    </cfRule>
  </conditionalFormatting>
  <conditionalFormatting sqref="R31">
    <cfRule type="cellIs" dxfId="6417" priority="2786" operator="lessThan">
      <formula>0.8</formula>
    </cfRule>
    <cfRule type="cellIs" dxfId="6416" priority="2787" operator="greaterThan">
      <formula>1</formula>
    </cfRule>
  </conditionalFormatting>
  <conditionalFormatting sqref="R31">
    <cfRule type="cellIs" dxfId="6415" priority="2784" operator="greaterThan">
      <formula>1</formula>
    </cfRule>
    <cfRule type="cellIs" dxfId="6414" priority="2785" operator="lessThan">
      <formula>0.8</formula>
    </cfRule>
  </conditionalFormatting>
  <conditionalFormatting sqref="R31">
    <cfRule type="cellIs" dxfId="6413" priority="2780" operator="lessThan">
      <formula>0.8</formula>
    </cfRule>
    <cfRule type="cellIs" dxfId="6412" priority="2781" operator="greaterThan">
      <formula>1</formula>
    </cfRule>
  </conditionalFormatting>
  <conditionalFormatting sqref="R31">
    <cfRule type="cellIs" dxfId="6411" priority="2778" operator="greaterThan">
      <formula>1</formula>
    </cfRule>
    <cfRule type="cellIs" dxfId="6410" priority="2779" operator="lessThan">
      <formula>0.8</formula>
    </cfRule>
  </conditionalFormatting>
  <conditionalFormatting sqref="P31">
    <cfRule type="cellIs" dxfId="6409" priority="2777" operator="greaterThan">
      <formula>0</formula>
    </cfRule>
  </conditionalFormatting>
  <conditionalFormatting sqref="Q31">
    <cfRule type="cellIs" dxfId="6408" priority="2782" operator="lessThan">
      <formula>0</formula>
    </cfRule>
  </conditionalFormatting>
  <conditionalFormatting sqref="P31">
    <cfRule type="cellIs" dxfId="6407" priority="2771" operator="greaterThan">
      <formula>0</formula>
    </cfRule>
  </conditionalFormatting>
  <conditionalFormatting sqref="Q31">
    <cfRule type="cellIs" dxfId="6406" priority="2776" operator="lessThan">
      <formula>0</formula>
    </cfRule>
  </conditionalFormatting>
  <conditionalFormatting sqref="R31">
    <cfRule type="cellIs" dxfId="6405" priority="2774" operator="lessThan">
      <formula>0.8</formula>
    </cfRule>
    <cfRule type="cellIs" dxfId="6404" priority="2775" operator="greaterThan">
      <formula>1</formula>
    </cfRule>
  </conditionalFormatting>
  <conditionalFormatting sqref="R31">
    <cfRule type="cellIs" dxfId="6403" priority="2772" operator="greaterThan">
      <formula>1</formula>
    </cfRule>
    <cfRule type="cellIs" dxfId="6402" priority="2773" operator="lessThan">
      <formula>0.8</formula>
    </cfRule>
  </conditionalFormatting>
  <conditionalFormatting sqref="R31">
    <cfRule type="cellIs" dxfId="6401" priority="2768" operator="lessThan">
      <formula>0.8</formula>
    </cfRule>
    <cfRule type="cellIs" dxfId="6400" priority="2769" operator="greaterThan">
      <formula>1</formula>
    </cfRule>
  </conditionalFormatting>
  <conditionalFormatting sqref="R31">
    <cfRule type="cellIs" dxfId="6399" priority="2766" operator="greaterThan">
      <formula>1</formula>
    </cfRule>
    <cfRule type="cellIs" dxfId="6398" priority="2767" operator="lessThan">
      <formula>0.8</formula>
    </cfRule>
  </conditionalFormatting>
  <conditionalFormatting sqref="P31">
    <cfRule type="cellIs" dxfId="6397" priority="2765" operator="greaterThan">
      <formula>0</formula>
    </cfRule>
  </conditionalFormatting>
  <conditionalFormatting sqref="Q31">
    <cfRule type="cellIs" dxfId="6396" priority="2770" operator="lessThan">
      <formula>0</formula>
    </cfRule>
  </conditionalFormatting>
  <conditionalFormatting sqref="R31">
    <cfRule type="cellIs" dxfId="6395" priority="2762" operator="lessThan">
      <formula>0.8</formula>
    </cfRule>
    <cfRule type="cellIs" dxfId="6394" priority="2763" operator="greaterThan">
      <formula>1</formula>
    </cfRule>
  </conditionalFormatting>
  <conditionalFormatting sqref="R31">
    <cfRule type="cellIs" dxfId="6393" priority="2760" operator="greaterThan">
      <formula>1</formula>
    </cfRule>
    <cfRule type="cellIs" dxfId="6392" priority="2761" operator="lessThan">
      <formula>0.8</formula>
    </cfRule>
  </conditionalFormatting>
  <conditionalFormatting sqref="P31">
    <cfRule type="cellIs" dxfId="6391" priority="2759" operator="greaterThan">
      <formula>0</formula>
    </cfRule>
  </conditionalFormatting>
  <conditionalFormatting sqref="Q31">
    <cfRule type="cellIs" dxfId="6390" priority="2764" operator="lessThan">
      <formula>0</formula>
    </cfRule>
  </conditionalFormatting>
  <conditionalFormatting sqref="Q31">
    <cfRule type="cellIs" dxfId="6389" priority="2758" operator="lessThan">
      <formula>0</formula>
    </cfRule>
  </conditionalFormatting>
  <conditionalFormatting sqref="R31">
    <cfRule type="cellIs" dxfId="6388" priority="2756" operator="lessThan">
      <formula>0.8</formula>
    </cfRule>
    <cfRule type="cellIs" dxfId="6387" priority="2757" operator="greaterThan">
      <formula>1</formula>
    </cfRule>
  </conditionalFormatting>
  <conditionalFormatting sqref="R31">
    <cfRule type="cellIs" dxfId="6386" priority="2754" operator="greaterThan">
      <formula>1</formula>
    </cfRule>
    <cfRule type="cellIs" dxfId="6385" priority="2755" operator="lessThan">
      <formula>0.8</formula>
    </cfRule>
  </conditionalFormatting>
  <conditionalFormatting sqref="P31">
    <cfRule type="cellIs" dxfId="6384" priority="2753" operator="greaterThan">
      <formula>0</formula>
    </cfRule>
  </conditionalFormatting>
  <conditionalFormatting sqref="Q31">
    <cfRule type="cellIs" dxfId="6383" priority="2747" operator="lessThan">
      <formula>0</formula>
    </cfRule>
  </conditionalFormatting>
  <conditionalFormatting sqref="R31">
    <cfRule type="cellIs" dxfId="6382" priority="2751" operator="lessThan">
      <formula>0.8</formula>
    </cfRule>
    <cfRule type="cellIs" dxfId="6381" priority="2752" operator="greaterThan">
      <formula>1</formula>
    </cfRule>
  </conditionalFormatting>
  <conditionalFormatting sqref="R31">
    <cfRule type="cellIs" dxfId="6380" priority="2749" operator="greaterThan">
      <formula>1</formula>
    </cfRule>
    <cfRule type="cellIs" dxfId="6379" priority="2750" operator="lessThan">
      <formula>0.8</formula>
    </cfRule>
  </conditionalFormatting>
  <conditionalFormatting sqref="P31">
    <cfRule type="cellIs" dxfId="6378" priority="2748" operator="greaterThan">
      <formula>0</formula>
    </cfRule>
  </conditionalFormatting>
  <conditionalFormatting sqref="Q31">
    <cfRule type="cellIs" dxfId="6377" priority="2746" operator="lessThan">
      <formula>0</formula>
    </cfRule>
  </conditionalFormatting>
  <conditionalFormatting sqref="R31">
    <cfRule type="cellIs" dxfId="6376" priority="2744" operator="lessThan">
      <formula>0.8</formula>
    </cfRule>
    <cfRule type="cellIs" dxfId="6375" priority="2745" operator="greaterThan">
      <formula>1</formula>
    </cfRule>
  </conditionalFormatting>
  <conditionalFormatting sqref="R31">
    <cfRule type="cellIs" dxfId="6374" priority="2742" operator="greaterThan">
      <formula>1</formula>
    </cfRule>
    <cfRule type="cellIs" dxfId="6373" priority="2743" operator="lessThan">
      <formula>0.8</formula>
    </cfRule>
  </conditionalFormatting>
  <conditionalFormatting sqref="P31">
    <cfRule type="cellIs" dxfId="6372" priority="2741" operator="greaterThan">
      <formula>0</formula>
    </cfRule>
  </conditionalFormatting>
  <conditionalFormatting sqref="Q31">
    <cfRule type="cellIs" dxfId="6371" priority="2740" operator="lessThan">
      <formula>0</formula>
    </cfRule>
  </conditionalFormatting>
  <conditionalFormatting sqref="R31">
    <cfRule type="cellIs" dxfId="6370" priority="2738" operator="lessThan">
      <formula>0.8</formula>
    </cfRule>
    <cfRule type="cellIs" dxfId="6369" priority="2739" operator="greaterThan">
      <formula>1</formula>
    </cfRule>
  </conditionalFormatting>
  <conditionalFormatting sqref="R31">
    <cfRule type="cellIs" dxfId="6368" priority="2736" operator="greaterThan">
      <formula>1</formula>
    </cfRule>
    <cfRule type="cellIs" dxfId="6367" priority="2737" operator="lessThan">
      <formula>0.8</formula>
    </cfRule>
  </conditionalFormatting>
  <conditionalFormatting sqref="P31">
    <cfRule type="cellIs" dxfId="6366" priority="2735" operator="greaterThan">
      <formula>0</formula>
    </cfRule>
  </conditionalFormatting>
  <conditionalFormatting sqref="Q31">
    <cfRule type="cellIs" dxfId="6365" priority="2734" operator="lessThan">
      <formula>0</formula>
    </cfRule>
  </conditionalFormatting>
  <conditionalFormatting sqref="R31">
    <cfRule type="cellIs" dxfId="6364" priority="2732" operator="lessThan">
      <formula>0.8</formula>
    </cfRule>
    <cfRule type="cellIs" dxfId="6363" priority="2733" operator="greaterThan">
      <formula>1</formula>
    </cfRule>
  </conditionalFormatting>
  <conditionalFormatting sqref="R31">
    <cfRule type="cellIs" dxfId="6362" priority="2730" operator="greaterThan">
      <formula>1</formula>
    </cfRule>
    <cfRule type="cellIs" dxfId="6361" priority="2731" operator="lessThan">
      <formula>0.8</formula>
    </cfRule>
  </conditionalFormatting>
  <conditionalFormatting sqref="P31">
    <cfRule type="cellIs" dxfId="6360" priority="2729" operator="greaterThan">
      <formula>0</formula>
    </cfRule>
  </conditionalFormatting>
  <conditionalFormatting sqref="Q31">
    <cfRule type="cellIs" dxfId="6359" priority="2728" operator="lessThan">
      <formula>0</formula>
    </cfRule>
  </conditionalFormatting>
  <conditionalFormatting sqref="R31">
    <cfRule type="cellIs" dxfId="6358" priority="2726" operator="lessThan">
      <formula>0.8</formula>
    </cfRule>
    <cfRule type="cellIs" dxfId="6357" priority="2727" operator="greaterThan">
      <formula>1</formula>
    </cfRule>
  </conditionalFormatting>
  <conditionalFormatting sqref="R31">
    <cfRule type="cellIs" dxfId="6356" priority="2724" operator="greaterThan">
      <formula>1</formula>
    </cfRule>
    <cfRule type="cellIs" dxfId="6355" priority="2725" operator="lessThan">
      <formula>0.8</formula>
    </cfRule>
  </conditionalFormatting>
  <conditionalFormatting sqref="P31">
    <cfRule type="cellIs" dxfId="6354" priority="2723" operator="greaterThan">
      <formula>0</formula>
    </cfRule>
  </conditionalFormatting>
  <conditionalFormatting sqref="Q31">
    <cfRule type="cellIs" dxfId="6353" priority="2722" operator="lessThan">
      <formula>0</formula>
    </cfRule>
  </conditionalFormatting>
  <conditionalFormatting sqref="R31">
    <cfRule type="cellIs" dxfId="6352" priority="2720" operator="lessThan">
      <formula>0.8</formula>
    </cfRule>
    <cfRule type="cellIs" dxfId="6351" priority="2721" operator="greaterThan">
      <formula>1</formula>
    </cfRule>
  </conditionalFormatting>
  <conditionalFormatting sqref="R31">
    <cfRule type="cellIs" dxfId="6350" priority="2718" operator="greaterThan">
      <formula>1</formula>
    </cfRule>
    <cfRule type="cellIs" dxfId="6349" priority="2719" operator="lessThan">
      <formula>0.8</formula>
    </cfRule>
  </conditionalFormatting>
  <conditionalFormatting sqref="P31">
    <cfRule type="cellIs" dxfId="6348" priority="2717" operator="greaterThan">
      <formula>0</formula>
    </cfRule>
  </conditionalFormatting>
  <conditionalFormatting sqref="P31">
    <cfRule type="cellIs" dxfId="6347" priority="2711" operator="greaterThan">
      <formula>0</formula>
    </cfRule>
  </conditionalFormatting>
  <conditionalFormatting sqref="Q31">
    <cfRule type="cellIs" dxfId="6346" priority="2716" operator="lessThan">
      <formula>0</formula>
    </cfRule>
  </conditionalFormatting>
  <conditionalFormatting sqref="R31">
    <cfRule type="cellIs" dxfId="6345" priority="2714" operator="lessThan">
      <formula>0.8</formula>
    </cfRule>
    <cfRule type="cellIs" dxfId="6344" priority="2715" operator="greaterThan">
      <formula>1</formula>
    </cfRule>
  </conditionalFormatting>
  <conditionalFormatting sqref="R31">
    <cfRule type="cellIs" dxfId="6343" priority="2712" operator="greaterThan">
      <formula>1</formula>
    </cfRule>
    <cfRule type="cellIs" dxfId="6342" priority="2713" operator="lessThan">
      <formula>0.8</formula>
    </cfRule>
  </conditionalFormatting>
  <conditionalFormatting sqref="P31">
    <cfRule type="cellIs" dxfId="6341" priority="2705" operator="greaterThan">
      <formula>0</formula>
    </cfRule>
  </conditionalFormatting>
  <conditionalFormatting sqref="Q31">
    <cfRule type="cellIs" dxfId="6340" priority="2710" operator="lessThan">
      <formula>0</formula>
    </cfRule>
  </conditionalFormatting>
  <conditionalFormatting sqref="R31">
    <cfRule type="cellIs" dxfId="6339" priority="2708" operator="lessThan">
      <formula>0.8</formula>
    </cfRule>
    <cfRule type="cellIs" dxfId="6338" priority="2709" operator="greaterThan">
      <formula>1</formula>
    </cfRule>
  </conditionalFormatting>
  <conditionalFormatting sqref="R31">
    <cfRule type="cellIs" dxfId="6337" priority="2706" operator="greaterThan">
      <formula>1</formula>
    </cfRule>
    <cfRule type="cellIs" dxfId="6336" priority="2707" operator="lessThan">
      <formula>0.8</formula>
    </cfRule>
  </conditionalFormatting>
  <conditionalFormatting sqref="R31">
    <cfRule type="cellIs" dxfId="6335" priority="2702" operator="lessThan">
      <formula>0.8</formula>
    </cfRule>
    <cfRule type="cellIs" dxfId="6334" priority="2703" operator="greaterThan">
      <formula>1</formula>
    </cfRule>
  </conditionalFormatting>
  <conditionalFormatting sqref="R31">
    <cfRule type="cellIs" dxfId="6333" priority="2700" operator="greaterThan">
      <formula>1</formula>
    </cfRule>
    <cfRule type="cellIs" dxfId="6332" priority="2701" operator="lessThan">
      <formula>0.8</formula>
    </cfRule>
  </conditionalFormatting>
  <conditionalFormatting sqref="P31">
    <cfRule type="cellIs" dxfId="6331" priority="2699" operator="greaterThan">
      <formula>0</formula>
    </cfRule>
  </conditionalFormatting>
  <conditionalFormatting sqref="Q31">
    <cfRule type="cellIs" dxfId="6330" priority="2704" operator="lessThan">
      <formula>0</formula>
    </cfRule>
  </conditionalFormatting>
  <conditionalFormatting sqref="Q31">
    <cfRule type="cellIs" dxfId="6329" priority="2698" operator="lessThan">
      <formula>0</formula>
    </cfRule>
  </conditionalFormatting>
  <conditionalFormatting sqref="R31">
    <cfRule type="cellIs" dxfId="6328" priority="2696" operator="lessThan">
      <formula>0.8</formula>
    </cfRule>
    <cfRule type="cellIs" dxfId="6327" priority="2697" operator="greaterThan">
      <formula>1</formula>
    </cfRule>
  </conditionalFormatting>
  <conditionalFormatting sqref="R31">
    <cfRule type="cellIs" dxfId="6326" priority="2694" operator="greaterThan">
      <formula>1</formula>
    </cfRule>
    <cfRule type="cellIs" dxfId="6325" priority="2695" operator="lessThan">
      <formula>0.8</formula>
    </cfRule>
  </conditionalFormatting>
  <conditionalFormatting sqref="P31">
    <cfRule type="cellIs" dxfId="6324" priority="2693" operator="greaterThan">
      <formula>0</formula>
    </cfRule>
  </conditionalFormatting>
  <conditionalFormatting sqref="Q31">
    <cfRule type="cellIs" dxfId="6323" priority="2692" operator="lessThan">
      <formula>0</formula>
    </cfRule>
  </conditionalFormatting>
  <conditionalFormatting sqref="R31">
    <cfRule type="cellIs" dxfId="6322" priority="2690" operator="lessThan">
      <formula>0.8</formula>
    </cfRule>
    <cfRule type="cellIs" dxfId="6321" priority="2691" operator="greaterThan">
      <formula>1</formula>
    </cfRule>
  </conditionalFormatting>
  <conditionalFormatting sqref="R31">
    <cfRule type="cellIs" dxfId="6320" priority="2688" operator="greaterThan">
      <formula>1</formula>
    </cfRule>
    <cfRule type="cellIs" dxfId="6319" priority="2689" operator="lessThan">
      <formula>0.8</formula>
    </cfRule>
  </conditionalFormatting>
  <conditionalFormatting sqref="P31">
    <cfRule type="cellIs" dxfId="6318" priority="2687" operator="greaterThan">
      <formula>0</formula>
    </cfRule>
  </conditionalFormatting>
  <conditionalFormatting sqref="Q31">
    <cfRule type="cellIs" dxfId="6317" priority="2686" operator="lessThan">
      <formula>0</formula>
    </cfRule>
  </conditionalFormatting>
  <conditionalFormatting sqref="R31">
    <cfRule type="cellIs" dxfId="6316" priority="2684" operator="lessThan">
      <formula>0.8</formula>
    </cfRule>
    <cfRule type="cellIs" dxfId="6315" priority="2685" operator="greaterThan">
      <formula>1</formula>
    </cfRule>
  </conditionalFormatting>
  <conditionalFormatting sqref="R31">
    <cfRule type="cellIs" dxfId="6314" priority="2682" operator="greaterThan">
      <formula>1</formula>
    </cfRule>
    <cfRule type="cellIs" dxfId="6313" priority="2683" operator="lessThan">
      <formula>0.8</formula>
    </cfRule>
  </conditionalFormatting>
  <conditionalFormatting sqref="P31">
    <cfRule type="cellIs" dxfId="6312" priority="2681" operator="greaterThan">
      <formula>0</formula>
    </cfRule>
  </conditionalFormatting>
  <conditionalFormatting sqref="Q31">
    <cfRule type="cellIs" dxfId="6311" priority="2680" operator="lessThan">
      <formula>0</formula>
    </cfRule>
  </conditionalFormatting>
  <conditionalFormatting sqref="R31">
    <cfRule type="cellIs" dxfId="6310" priority="2678" operator="lessThan">
      <formula>0.8</formula>
    </cfRule>
    <cfRule type="cellIs" dxfId="6309" priority="2679" operator="greaterThan">
      <formula>1</formula>
    </cfRule>
  </conditionalFormatting>
  <conditionalFormatting sqref="R31">
    <cfRule type="cellIs" dxfId="6308" priority="2676" operator="greaterThan">
      <formula>1</formula>
    </cfRule>
    <cfRule type="cellIs" dxfId="6307" priority="2677" operator="lessThan">
      <formula>0.8</formula>
    </cfRule>
  </conditionalFormatting>
  <conditionalFormatting sqref="P31">
    <cfRule type="cellIs" dxfId="6306" priority="2675" operator="greaterThan">
      <formula>0</formula>
    </cfRule>
  </conditionalFormatting>
  <conditionalFormatting sqref="P31">
    <cfRule type="cellIs" dxfId="6305" priority="2669" operator="greaterThan">
      <formula>0</formula>
    </cfRule>
  </conditionalFormatting>
  <conditionalFormatting sqref="Q31">
    <cfRule type="cellIs" dxfId="6304" priority="2674" operator="lessThan">
      <formula>0</formula>
    </cfRule>
  </conditionalFormatting>
  <conditionalFormatting sqref="R31">
    <cfRule type="cellIs" dxfId="6303" priority="2672" operator="lessThan">
      <formula>0.8</formula>
    </cfRule>
    <cfRule type="cellIs" dxfId="6302" priority="2673" operator="greaterThan">
      <formula>1</formula>
    </cfRule>
  </conditionalFormatting>
  <conditionalFormatting sqref="R31">
    <cfRule type="cellIs" dxfId="6301" priority="2670" operator="greaterThan">
      <formula>1</formula>
    </cfRule>
    <cfRule type="cellIs" dxfId="6300" priority="2671" operator="lessThan">
      <formula>0.8</formula>
    </cfRule>
  </conditionalFormatting>
  <conditionalFormatting sqref="P31">
    <cfRule type="cellIs" dxfId="6299" priority="2663" operator="greaterThan">
      <formula>0</formula>
    </cfRule>
  </conditionalFormatting>
  <conditionalFormatting sqref="Q31">
    <cfRule type="cellIs" dxfId="6298" priority="2668" operator="lessThan">
      <formula>0</formula>
    </cfRule>
  </conditionalFormatting>
  <conditionalFormatting sqref="R31">
    <cfRule type="cellIs" dxfId="6297" priority="2666" operator="lessThan">
      <formula>0.8</formula>
    </cfRule>
    <cfRule type="cellIs" dxfId="6296" priority="2667" operator="greaterThan">
      <formula>1</formula>
    </cfRule>
  </conditionalFormatting>
  <conditionalFormatting sqref="R31">
    <cfRule type="cellIs" dxfId="6295" priority="2664" operator="greaterThan">
      <formula>1</formula>
    </cfRule>
    <cfRule type="cellIs" dxfId="6294" priority="2665" operator="lessThan">
      <formula>0.8</formula>
    </cfRule>
  </conditionalFormatting>
  <conditionalFormatting sqref="R31">
    <cfRule type="cellIs" dxfId="6293" priority="2660" operator="lessThan">
      <formula>0.8</formula>
    </cfRule>
    <cfRule type="cellIs" dxfId="6292" priority="2661" operator="greaterThan">
      <formula>1</formula>
    </cfRule>
  </conditionalFormatting>
  <conditionalFormatting sqref="R31">
    <cfRule type="cellIs" dxfId="6291" priority="2658" operator="greaterThan">
      <formula>1</formula>
    </cfRule>
    <cfRule type="cellIs" dxfId="6290" priority="2659" operator="lessThan">
      <formula>0.8</formula>
    </cfRule>
  </conditionalFormatting>
  <conditionalFormatting sqref="P31">
    <cfRule type="cellIs" dxfId="6289" priority="2657" operator="greaterThan">
      <formula>0</formula>
    </cfRule>
  </conditionalFormatting>
  <conditionalFormatting sqref="Q31">
    <cfRule type="cellIs" dxfId="6288" priority="2662" operator="lessThan">
      <formula>0</formula>
    </cfRule>
  </conditionalFormatting>
  <conditionalFormatting sqref="Q31">
    <cfRule type="cellIs" dxfId="6287" priority="2656" operator="lessThan">
      <formula>0</formula>
    </cfRule>
  </conditionalFormatting>
  <conditionalFormatting sqref="R31">
    <cfRule type="cellIs" dxfId="6286" priority="2654" operator="lessThan">
      <formula>0.8</formula>
    </cfRule>
    <cfRule type="cellIs" dxfId="6285" priority="2655" operator="greaterThan">
      <formula>1</formula>
    </cfRule>
  </conditionalFormatting>
  <conditionalFormatting sqref="R31">
    <cfRule type="cellIs" dxfId="6284" priority="2652" operator="greaterThan">
      <formula>1</formula>
    </cfRule>
    <cfRule type="cellIs" dxfId="6283" priority="2653" operator="lessThan">
      <formula>0.8</formula>
    </cfRule>
  </conditionalFormatting>
  <conditionalFormatting sqref="P31">
    <cfRule type="cellIs" dxfId="6282" priority="2651" operator="greaterThan">
      <formula>0</formula>
    </cfRule>
  </conditionalFormatting>
  <conditionalFormatting sqref="P31">
    <cfRule type="cellIs" dxfId="6281" priority="2645" operator="greaterThan">
      <formula>0</formula>
    </cfRule>
  </conditionalFormatting>
  <conditionalFormatting sqref="Q31">
    <cfRule type="cellIs" dxfId="6280" priority="2650" operator="lessThan">
      <formula>0</formula>
    </cfRule>
  </conditionalFormatting>
  <conditionalFormatting sqref="R31">
    <cfRule type="cellIs" dxfId="6279" priority="2648" operator="lessThan">
      <formula>0.8</formula>
    </cfRule>
    <cfRule type="cellIs" dxfId="6278" priority="2649" operator="greaterThan">
      <formula>1</formula>
    </cfRule>
  </conditionalFormatting>
  <conditionalFormatting sqref="R31">
    <cfRule type="cellIs" dxfId="6277" priority="2646" operator="greaterThan">
      <formula>1</formula>
    </cfRule>
    <cfRule type="cellIs" dxfId="6276" priority="2647" operator="lessThan">
      <formula>0.8</formula>
    </cfRule>
  </conditionalFormatting>
  <conditionalFormatting sqref="P31">
    <cfRule type="cellIs" dxfId="6275" priority="2639" operator="greaterThan">
      <formula>0</formula>
    </cfRule>
  </conditionalFormatting>
  <conditionalFormatting sqref="Q31">
    <cfRule type="cellIs" dxfId="6274" priority="2644" operator="lessThan">
      <formula>0</formula>
    </cfRule>
  </conditionalFormatting>
  <conditionalFormatting sqref="R31">
    <cfRule type="cellIs" dxfId="6273" priority="2642" operator="lessThan">
      <formula>0.8</formula>
    </cfRule>
    <cfRule type="cellIs" dxfId="6272" priority="2643" operator="greaterThan">
      <formula>1</formula>
    </cfRule>
  </conditionalFormatting>
  <conditionalFormatting sqref="R31">
    <cfRule type="cellIs" dxfId="6271" priority="2640" operator="greaterThan">
      <formula>1</formula>
    </cfRule>
    <cfRule type="cellIs" dxfId="6270" priority="2641" operator="lessThan">
      <formula>0.8</formula>
    </cfRule>
  </conditionalFormatting>
  <conditionalFormatting sqref="R31">
    <cfRule type="cellIs" dxfId="6269" priority="2636" operator="lessThan">
      <formula>0.8</formula>
    </cfRule>
    <cfRule type="cellIs" dxfId="6268" priority="2637" operator="greaterThan">
      <formula>1</formula>
    </cfRule>
  </conditionalFormatting>
  <conditionalFormatting sqref="R31">
    <cfRule type="cellIs" dxfId="6267" priority="2634" operator="greaterThan">
      <formula>1</formula>
    </cfRule>
    <cfRule type="cellIs" dxfId="6266" priority="2635" operator="lessThan">
      <formula>0.8</formula>
    </cfRule>
  </conditionalFormatting>
  <conditionalFormatting sqref="P31">
    <cfRule type="cellIs" dxfId="6265" priority="2633" operator="greaterThan">
      <formula>0</formula>
    </cfRule>
  </conditionalFormatting>
  <conditionalFormatting sqref="Q31">
    <cfRule type="cellIs" dxfId="6264" priority="2638" operator="lessThan">
      <formula>0</formula>
    </cfRule>
  </conditionalFormatting>
  <conditionalFormatting sqref="P31">
    <cfRule type="cellIs" dxfId="6263" priority="2627" operator="greaterThan">
      <formula>0</formula>
    </cfRule>
  </conditionalFormatting>
  <conditionalFormatting sqref="Q31">
    <cfRule type="cellIs" dxfId="6262" priority="2632" operator="lessThan">
      <formula>0</formula>
    </cfRule>
  </conditionalFormatting>
  <conditionalFormatting sqref="R31">
    <cfRule type="cellIs" dxfId="6261" priority="2630" operator="lessThan">
      <formula>0.8</formula>
    </cfRule>
    <cfRule type="cellIs" dxfId="6260" priority="2631" operator="greaterThan">
      <formula>1</formula>
    </cfRule>
  </conditionalFormatting>
  <conditionalFormatting sqref="R31">
    <cfRule type="cellIs" dxfId="6259" priority="2628" operator="greaterThan">
      <formula>1</formula>
    </cfRule>
    <cfRule type="cellIs" dxfId="6258" priority="2629" operator="lessThan">
      <formula>0.8</formula>
    </cfRule>
  </conditionalFormatting>
  <conditionalFormatting sqref="R31">
    <cfRule type="cellIs" dxfId="6257" priority="2624" operator="lessThan">
      <formula>0.8</formula>
    </cfRule>
    <cfRule type="cellIs" dxfId="6256" priority="2625" operator="greaterThan">
      <formula>1</formula>
    </cfRule>
  </conditionalFormatting>
  <conditionalFormatting sqref="R31">
    <cfRule type="cellIs" dxfId="6255" priority="2622" operator="greaterThan">
      <formula>1</formula>
    </cfRule>
    <cfRule type="cellIs" dxfId="6254" priority="2623" operator="lessThan">
      <formula>0.8</formula>
    </cfRule>
  </conditionalFormatting>
  <conditionalFormatting sqref="P31">
    <cfRule type="cellIs" dxfId="6253" priority="2621" operator="greaterThan">
      <formula>0</formula>
    </cfRule>
  </conditionalFormatting>
  <conditionalFormatting sqref="Q31">
    <cfRule type="cellIs" dxfId="6252" priority="2626" operator="lessThan">
      <formula>0</formula>
    </cfRule>
  </conditionalFormatting>
  <conditionalFormatting sqref="R31">
    <cfRule type="cellIs" dxfId="6251" priority="2618" operator="lessThan">
      <formula>0.8</formula>
    </cfRule>
    <cfRule type="cellIs" dxfId="6250" priority="2619" operator="greaterThan">
      <formula>1</formula>
    </cfRule>
  </conditionalFormatting>
  <conditionalFormatting sqref="R31">
    <cfRule type="cellIs" dxfId="6249" priority="2616" operator="greaterThan">
      <formula>1</formula>
    </cfRule>
    <cfRule type="cellIs" dxfId="6248" priority="2617" operator="lessThan">
      <formula>0.8</formula>
    </cfRule>
  </conditionalFormatting>
  <conditionalFormatting sqref="P31">
    <cfRule type="cellIs" dxfId="6247" priority="2615" operator="greaterThan">
      <formula>0</formula>
    </cfRule>
  </conditionalFormatting>
  <conditionalFormatting sqref="Q31">
    <cfRule type="cellIs" dxfId="6246" priority="2620" operator="lessThan">
      <formula>0</formula>
    </cfRule>
  </conditionalFormatting>
  <conditionalFormatting sqref="Q31">
    <cfRule type="cellIs" dxfId="6245" priority="2614" operator="lessThan">
      <formula>0</formula>
    </cfRule>
  </conditionalFormatting>
  <conditionalFormatting sqref="R31">
    <cfRule type="cellIs" dxfId="6244" priority="2612" operator="lessThan">
      <formula>0.8</formula>
    </cfRule>
    <cfRule type="cellIs" dxfId="6243" priority="2613" operator="greaterThan">
      <formula>1</formula>
    </cfRule>
  </conditionalFormatting>
  <conditionalFormatting sqref="R31">
    <cfRule type="cellIs" dxfId="6242" priority="2610" operator="greaterThan">
      <formula>1</formula>
    </cfRule>
    <cfRule type="cellIs" dxfId="6241" priority="2611" operator="lessThan">
      <formula>0.8</formula>
    </cfRule>
  </conditionalFormatting>
  <conditionalFormatting sqref="P31">
    <cfRule type="cellIs" dxfId="6240" priority="2609" operator="greaterThan">
      <formula>0</formula>
    </cfRule>
  </conditionalFormatting>
  <conditionalFormatting sqref="Q31">
    <cfRule type="cellIs" dxfId="6239" priority="2603" operator="lessThan">
      <formula>0</formula>
    </cfRule>
  </conditionalFormatting>
  <conditionalFormatting sqref="R31">
    <cfRule type="cellIs" dxfId="6238" priority="2607" operator="lessThan">
      <formula>0.8</formula>
    </cfRule>
    <cfRule type="cellIs" dxfId="6237" priority="2608" operator="greaterThan">
      <formula>1</formula>
    </cfRule>
  </conditionalFormatting>
  <conditionalFormatting sqref="R31">
    <cfRule type="cellIs" dxfId="6236" priority="2605" operator="greaterThan">
      <formula>1</formula>
    </cfRule>
    <cfRule type="cellIs" dxfId="6235" priority="2606" operator="lessThan">
      <formula>0.8</formula>
    </cfRule>
  </conditionalFormatting>
  <conditionalFormatting sqref="P31">
    <cfRule type="cellIs" dxfId="6234" priority="2604" operator="greaterThan">
      <formula>0</formula>
    </cfRule>
  </conditionalFormatting>
  <conditionalFormatting sqref="Q31">
    <cfRule type="cellIs" dxfId="6233" priority="2602" operator="lessThan">
      <formula>0</formula>
    </cfRule>
  </conditionalFormatting>
  <conditionalFormatting sqref="R31">
    <cfRule type="cellIs" dxfId="6232" priority="2600" operator="lessThan">
      <formula>0.8</formula>
    </cfRule>
    <cfRule type="cellIs" dxfId="6231" priority="2601" operator="greaterThan">
      <formula>1</formula>
    </cfRule>
  </conditionalFormatting>
  <conditionalFormatting sqref="R31">
    <cfRule type="cellIs" dxfId="6230" priority="2598" operator="greaterThan">
      <formula>1</formula>
    </cfRule>
    <cfRule type="cellIs" dxfId="6229" priority="2599" operator="lessThan">
      <formula>0.8</formula>
    </cfRule>
  </conditionalFormatting>
  <conditionalFormatting sqref="P31">
    <cfRule type="cellIs" dxfId="6228" priority="2597" operator="greaterThan">
      <formula>0</formula>
    </cfRule>
  </conditionalFormatting>
  <conditionalFormatting sqref="Q31">
    <cfRule type="cellIs" dxfId="6227" priority="2596" operator="lessThan">
      <formula>0</formula>
    </cfRule>
  </conditionalFormatting>
  <conditionalFormatting sqref="R31">
    <cfRule type="cellIs" dxfId="6226" priority="2594" operator="lessThan">
      <formula>0.8</formula>
    </cfRule>
    <cfRule type="cellIs" dxfId="6225" priority="2595" operator="greaterThan">
      <formula>1</formula>
    </cfRule>
  </conditionalFormatting>
  <conditionalFormatting sqref="R31">
    <cfRule type="cellIs" dxfId="6224" priority="2592" operator="greaterThan">
      <formula>1</formula>
    </cfRule>
    <cfRule type="cellIs" dxfId="6223" priority="2593" operator="lessThan">
      <formula>0.8</formula>
    </cfRule>
  </conditionalFormatting>
  <conditionalFormatting sqref="P31">
    <cfRule type="cellIs" dxfId="6222" priority="2591" operator="greaterThan">
      <formula>0</formula>
    </cfRule>
  </conditionalFormatting>
  <conditionalFormatting sqref="Q31">
    <cfRule type="cellIs" dxfId="6221" priority="2590" operator="lessThan">
      <formula>0</formula>
    </cfRule>
  </conditionalFormatting>
  <conditionalFormatting sqref="R31">
    <cfRule type="cellIs" dxfId="6220" priority="2588" operator="lessThan">
      <formula>0.8</formula>
    </cfRule>
    <cfRule type="cellIs" dxfId="6219" priority="2589" operator="greaterThan">
      <formula>1</formula>
    </cfRule>
  </conditionalFormatting>
  <conditionalFormatting sqref="R31">
    <cfRule type="cellIs" dxfId="6218" priority="2586" operator="greaterThan">
      <formula>1</formula>
    </cfRule>
    <cfRule type="cellIs" dxfId="6217" priority="2587" operator="lessThan">
      <formula>0.8</formula>
    </cfRule>
  </conditionalFormatting>
  <conditionalFormatting sqref="P31">
    <cfRule type="cellIs" dxfId="6216" priority="2585" operator="greaterThan">
      <formula>0</formula>
    </cfRule>
  </conditionalFormatting>
  <conditionalFormatting sqref="Q31">
    <cfRule type="cellIs" dxfId="6215" priority="2584" operator="lessThan">
      <formula>0</formula>
    </cfRule>
  </conditionalFormatting>
  <conditionalFormatting sqref="R31">
    <cfRule type="cellIs" dxfId="6214" priority="2582" operator="lessThan">
      <formula>0.8</formula>
    </cfRule>
    <cfRule type="cellIs" dxfId="6213" priority="2583" operator="greaterThan">
      <formula>1</formula>
    </cfRule>
  </conditionalFormatting>
  <conditionalFormatting sqref="R31">
    <cfRule type="cellIs" dxfId="6212" priority="2580" operator="greaterThan">
      <formula>1</formula>
    </cfRule>
    <cfRule type="cellIs" dxfId="6211" priority="2581" operator="lessThan">
      <formula>0.8</formula>
    </cfRule>
  </conditionalFormatting>
  <conditionalFormatting sqref="P31">
    <cfRule type="cellIs" dxfId="6210" priority="2579" operator="greaterThan">
      <formula>0</formula>
    </cfRule>
  </conditionalFormatting>
  <conditionalFormatting sqref="Q31">
    <cfRule type="cellIs" dxfId="6209" priority="2578" operator="lessThan">
      <formula>0</formula>
    </cfRule>
  </conditionalFormatting>
  <conditionalFormatting sqref="R31">
    <cfRule type="cellIs" dxfId="6208" priority="2576" operator="lessThan">
      <formula>0.8</formula>
    </cfRule>
    <cfRule type="cellIs" dxfId="6207" priority="2577" operator="greaterThan">
      <formula>1</formula>
    </cfRule>
  </conditionalFormatting>
  <conditionalFormatting sqref="R31">
    <cfRule type="cellIs" dxfId="6206" priority="2574" operator="greaterThan">
      <formula>1</formula>
    </cfRule>
    <cfRule type="cellIs" dxfId="6205" priority="2575" operator="lessThan">
      <formula>0.8</formula>
    </cfRule>
  </conditionalFormatting>
  <conditionalFormatting sqref="P31">
    <cfRule type="cellIs" dxfId="6204" priority="2573" operator="greaterThan">
      <formula>0</formula>
    </cfRule>
  </conditionalFormatting>
  <conditionalFormatting sqref="P31">
    <cfRule type="cellIs" dxfId="6203" priority="2567" operator="greaterThan">
      <formula>0</formula>
    </cfRule>
  </conditionalFormatting>
  <conditionalFormatting sqref="Q31">
    <cfRule type="cellIs" dxfId="6202" priority="2572" operator="lessThan">
      <formula>0</formula>
    </cfRule>
  </conditionalFormatting>
  <conditionalFormatting sqref="R31">
    <cfRule type="cellIs" dxfId="6201" priority="2570" operator="lessThan">
      <formula>0.8</formula>
    </cfRule>
    <cfRule type="cellIs" dxfId="6200" priority="2571" operator="greaterThan">
      <formula>1</formula>
    </cfRule>
  </conditionalFormatting>
  <conditionalFormatting sqref="R31">
    <cfRule type="cellIs" dxfId="6199" priority="2568" operator="greaterThan">
      <formula>1</formula>
    </cfRule>
    <cfRule type="cellIs" dxfId="6198" priority="2569" operator="lessThan">
      <formula>0.8</formula>
    </cfRule>
  </conditionalFormatting>
  <conditionalFormatting sqref="P31">
    <cfRule type="cellIs" dxfId="6197" priority="2561" operator="greaterThan">
      <formula>0</formula>
    </cfRule>
  </conditionalFormatting>
  <conditionalFormatting sqref="Q31">
    <cfRule type="cellIs" dxfId="6196" priority="2566" operator="lessThan">
      <formula>0</formula>
    </cfRule>
  </conditionalFormatting>
  <conditionalFormatting sqref="R31">
    <cfRule type="cellIs" dxfId="6195" priority="2564" operator="lessThan">
      <formula>0.8</formula>
    </cfRule>
    <cfRule type="cellIs" dxfId="6194" priority="2565" operator="greaterThan">
      <formula>1</formula>
    </cfRule>
  </conditionalFormatting>
  <conditionalFormatting sqref="R31">
    <cfRule type="cellIs" dxfId="6193" priority="2562" operator="greaterThan">
      <formula>1</formula>
    </cfRule>
    <cfRule type="cellIs" dxfId="6192" priority="2563" operator="lessThan">
      <formula>0.8</formula>
    </cfRule>
  </conditionalFormatting>
  <conditionalFormatting sqref="R31">
    <cfRule type="cellIs" dxfId="6191" priority="2558" operator="lessThan">
      <formula>0.8</formula>
    </cfRule>
    <cfRule type="cellIs" dxfId="6190" priority="2559" operator="greaterThan">
      <formula>1</formula>
    </cfRule>
  </conditionalFormatting>
  <conditionalFormatting sqref="R31">
    <cfRule type="cellIs" dxfId="6189" priority="2556" operator="greaterThan">
      <formula>1</formula>
    </cfRule>
    <cfRule type="cellIs" dxfId="6188" priority="2557" operator="lessThan">
      <formula>0.8</formula>
    </cfRule>
  </conditionalFormatting>
  <conditionalFormatting sqref="P31">
    <cfRule type="cellIs" dxfId="6187" priority="2555" operator="greaterThan">
      <formula>0</formula>
    </cfRule>
  </conditionalFormatting>
  <conditionalFormatting sqref="Q31">
    <cfRule type="cellIs" dxfId="6186" priority="2560" operator="lessThan">
      <formula>0</formula>
    </cfRule>
  </conditionalFormatting>
  <conditionalFormatting sqref="P79">
    <cfRule type="cellIs" dxfId="6185" priority="2549" operator="greaterThan">
      <formula>0</formula>
    </cfRule>
  </conditionalFormatting>
  <conditionalFormatting sqref="Q79">
    <cfRule type="cellIs" dxfId="6184" priority="2554" operator="lessThan">
      <formula>0</formula>
    </cfRule>
  </conditionalFormatting>
  <conditionalFormatting sqref="R79">
    <cfRule type="cellIs" dxfId="6183" priority="2552" operator="lessThan">
      <formula>0.8</formula>
    </cfRule>
    <cfRule type="cellIs" dxfId="6182" priority="2553" operator="greaterThan">
      <formula>1</formula>
    </cfRule>
  </conditionalFormatting>
  <conditionalFormatting sqref="R79">
    <cfRule type="cellIs" dxfId="6181" priority="2550" operator="greaterThan">
      <formula>1</formula>
    </cfRule>
    <cfRule type="cellIs" dxfId="6180" priority="2551" operator="lessThan">
      <formula>0.8</formula>
    </cfRule>
  </conditionalFormatting>
  <conditionalFormatting sqref="Q79">
    <cfRule type="cellIs" dxfId="6179" priority="2548" operator="lessThan">
      <formula>0</formula>
    </cfRule>
  </conditionalFormatting>
  <conditionalFormatting sqref="R79">
    <cfRule type="cellIs" dxfId="6178" priority="2546" operator="lessThan">
      <formula>0.8</formula>
    </cfRule>
    <cfRule type="cellIs" dxfId="6177" priority="2547" operator="greaterThan">
      <formula>1</formula>
    </cfRule>
  </conditionalFormatting>
  <conditionalFormatting sqref="R79">
    <cfRule type="cellIs" dxfId="6176" priority="2544" operator="greaterThan">
      <formula>1</formula>
    </cfRule>
    <cfRule type="cellIs" dxfId="6175" priority="2545" operator="lessThan">
      <formula>0.8</formula>
    </cfRule>
  </conditionalFormatting>
  <conditionalFormatting sqref="P79">
    <cfRule type="cellIs" dxfId="6174" priority="2543" operator="greaterThan">
      <formula>0</formula>
    </cfRule>
  </conditionalFormatting>
  <conditionalFormatting sqref="P79">
    <cfRule type="cellIs" dxfId="6173" priority="2537" operator="greaterThan">
      <formula>0</formula>
    </cfRule>
  </conditionalFormatting>
  <conditionalFormatting sqref="Q79">
    <cfRule type="cellIs" dxfId="6172" priority="2542" operator="lessThan">
      <formula>0</formula>
    </cfRule>
  </conditionalFormatting>
  <conditionalFormatting sqref="R79">
    <cfRule type="cellIs" dxfId="6171" priority="2540" operator="lessThan">
      <formula>0.8</formula>
    </cfRule>
    <cfRule type="cellIs" dxfId="6170" priority="2541" operator="greaterThan">
      <formula>1</formula>
    </cfRule>
  </conditionalFormatting>
  <conditionalFormatting sqref="R79">
    <cfRule type="cellIs" dxfId="6169" priority="2538" operator="greaterThan">
      <formula>1</formula>
    </cfRule>
    <cfRule type="cellIs" dxfId="6168" priority="2539" operator="lessThan">
      <formula>0.8</formula>
    </cfRule>
  </conditionalFormatting>
  <conditionalFormatting sqref="Q79">
    <cfRule type="cellIs" dxfId="6167" priority="2531" operator="lessThan">
      <formula>0</formula>
    </cfRule>
  </conditionalFormatting>
  <conditionalFormatting sqref="P79">
    <cfRule type="cellIs" dxfId="6166" priority="2532" operator="greaterThan">
      <formula>0</formula>
    </cfRule>
  </conditionalFormatting>
  <conditionalFormatting sqref="R79">
    <cfRule type="cellIs" dxfId="6165" priority="2535" operator="lessThan">
      <formula>0.8</formula>
    </cfRule>
    <cfRule type="cellIs" dxfId="6164" priority="2536" operator="greaterThan">
      <formula>1</formula>
    </cfRule>
  </conditionalFormatting>
  <conditionalFormatting sqref="R79">
    <cfRule type="cellIs" dxfId="6163" priority="2533" operator="greaterThan">
      <formula>1</formula>
    </cfRule>
    <cfRule type="cellIs" dxfId="6162" priority="2534" operator="lessThan">
      <formula>0.8</formula>
    </cfRule>
  </conditionalFormatting>
  <conditionalFormatting sqref="Q79">
    <cfRule type="cellIs" dxfId="6161" priority="2525" operator="lessThan">
      <formula>0</formula>
    </cfRule>
  </conditionalFormatting>
  <conditionalFormatting sqref="R79">
    <cfRule type="cellIs" dxfId="6160" priority="2529" operator="lessThan">
      <formula>0.8</formula>
    </cfRule>
    <cfRule type="cellIs" dxfId="6159" priority="2530" operator="greaterThan">
      <formula>1</formula>
    </cfRule>
  </conditionalFormatting>
  <conditionalFormatting sqref="R79">
    <cfRule type="cellIs" dxfId="6158" priority="2527" operator="greaterThan">
      <formula>1</formula>
    </cfRule>
    <cfRule type="cellIs" dxfId="6157" priority="2528" operator="lessThan">
      <formula>0.8</formula>
    </cfRule>
  </conditionalFormatting>
  <conditionalFormatting sqref="P79">
    <cfRule type="cellIs" dxfId="6156" priority="2526" operator="greaterThan">
      <formula>0</formula>
    </cfRule>
  </conditionalFormatting>
  <conditionalFormatting sqref="Q79">
    <cfRule type="cellIs" dxfId="6155" priority="2524" operator="lessThan">
      <formula>0</formula>
    </cfRule>
  </conditionalFormatting>
  <conditionalFormatting sqref="R79">
    <cfRule type="cellIs" dxfId="6154" priority="2522" operator="lessThan">
      <formula>0.8</formula>
    </cfRule>
    <cfRule type="cellIs" dxfId="6153" priority="2523" operator="greaterThan">
      <formula>1</formula>
    </cfRule>
  </conditionalFormatting>
  <conditionalFormatting sqref="R79">
    <cfRule type="cellIs" dxfId="6152" priority="2520" operator="greaterThan">
      <formula>1</formula>
    </cfRule>
    <cfRule type="cellIs" dxfId="6151" priority="2521" operator="lessThan">
      <formula>0.8</formula>
    </cfRule>
  </conditionalFormatting>
  <conditionalFormatting sqref="P79">
    <cfRule type="cellIs" dxfId="6150" priority="2519" operator="greaterThan">
      <formula>0</formula>
    </cfRule>
  </conditionalFormatting>
  <conditionalFormatting sqref="Q79">
    <cfRule type="cellIs" dxfId="6149" priority="2518" operator="lessThan">
      <formula>0</formula>
    </cfRule>
  </conditionalFormatting>
  <conditionalFormatting sqref="R79">
    <cfRule type="cellIs" dxfId="6148" priority="2516" operator="lessThan">
      <formula>0.8</formula>
    </cfRule>
    <cfRule type="cellIs" dxfId="6147" priority="2517" operator="greaterThan">
      <formula>1</formula>
    </cfRule>
  </conditionalFormatting>
  <conditionalFormatting sqref="R79">
    <cfRule type="cellIs" dxfId="6146" priority="2514" operator="greaterThan">
      <formula>1</formula>
    </cfRule>
    <cfRule type="cellIs" dxfId="6145" priority="2515" operator="lessThan">
      <formula>0.8</formula>
    </cfRule>
  </conditionalFormatting>
  <conditionalFormatting sqref="P79">
    <cfRule type="cellIs" dxfId="6144" priority="2513" operator="greaterThan">
      <formula>0</formula>
    </cfRule>
  </conditionalFormatting>
  <conditionalFormatting sqref="P79">
    <cfRule type="cellIs" dxfId="6143" priority="2507" operator="greaterThan">
      <formula>0</formula>
    </cfRule>
  </conditionalFormatting>
  <conditionalFormatting sqref="Q79">
    <cfRule type="cellIs" dxfId="6142" priority="2512" operator="lessThan">
      <formula>0</formula>
    </cfRule>
  </conditionalFormatting>
  <conditionalFormatting sqref="R79">
    <cfRule type="cellIs" dxfId="6141" priority="2510" operator="lessThan">
      <formula>0.8</formula>
    </cfRule>
    <cfRule type="cellIs" dxfId="6140" priority="2511" operator="greaterThan">
      <formula>1</formula>
    </cfRule>
  </conditionalFormatting>
  <conditionalFormatting sqref="R79">
    <cfRule type="cellIs" dxfId="6139" priority="2508" operator="greaterThan">
      <formula>1</formula>
    </cfRule>
    <cfRule type="cellIs" dxfId="6138" priority="2509" operator="lessThan">
      <formula>0.8</formula>
    </cfRule>
  </conditionalFormatting>
  <conditionalFormatting sqref="P71:P78">
    <cfRule type="cellIs" dxfId="6137" priority="2501" operator="greaterThan">
      <formula>0</formula>
    </cfRule>
  </conditionalFormatting>
  <conditionalFormatting sqref="Q71:Q78">
    <cfRule type="cellIs" dxfId="6136" priority="2506" operator="lessThan">
      <formula>0</formula>
    </cfRule>
  </conditionalFormatting>
  <conditionalFormatting sqref="R71:R78">
    <cfRule type="cellIs" dxfId="6135" priority="2504" operator="lessThan">
      <formula>0.8</formula>
    </cfRule>
    <cfRule type="cellIs" dxfId="6134" priority="2505" operator="greaterThan">
      <formula>1</formula>
    </cfRule>
  </conditionalFormatting>
  <conditionalFormatting sqref="R71:R78">
    <cfRule type="cellIs" dxfId="6133" priority="2502" operator="greaterThan">
      <formula>1</formula>
    </cfRule>
    <cfRule type="cellIs" dxfId="6132" priority="2503" operator="lessThan">
      <formula>0.8</formula>
    </cfRule>
  </conditionalFormatting>
  <conditionalFormatting sqref="Q148:Q153">
    <cfRule type="cellIs" dxfId="6131" priority="2500" operator="lessThan">
      <formula>0</formula>
    </cfRule>
  </conditionalFormatting>
  <conditionalFormatting sqref="R148:R153">
    <cfRule type="cellIs" dxfId="6130" priority="2498" operator="lessThan">
      <formula>0.8</formula>
    </cfRule>
    <cfRule type="cellIs" dxfId="6129" priority="2499" operator="greaterThan">
      <formula>1</formula>
    </cfRule>
  </conditionalFormatting>
  <conditionalFormatting sqref="R148:R153">
    <cfRule type="cellIs" dxfId="6128" priority="2496" operator="greaterThan">
      <formula>1</formula>
    </cfRule>
    <cfRule type="cellIs" dxfId="6127" priority="2497" operator="lessThan">
      <formula>0.8</formula>
    </cfRule>
  </conditionalFormatting>
  <conditionalFormatting sqref="P148:P153">
    <cfRule type="cellIs" dxfId="6126" priority="2495" operator="greaterThan">
      <formula>0</formula>
    </cfRule>
  </conditionalFormatting>
  <conditionalFormatting sqref="Q148:Q153">
    <cfRule type="cellIs" dxfId="6125" priority="2494" operator="lessThan">
      <formula>0</formula>
    </cfRule>
  </conditionalFormatting>
  <conditionalFormatting sqref="R148:R153">
    <cfRule type="cellIs" dxfId="6124" priority="2492" operator="lessThan">
      <formula>0.8</formula>
    </cfRule>
    <cfRule type="cellIs" dxfId="6123" priority="2493" operator="greaterThan">
      <formula>1</formula>
    </cfRule>
  </conditionalFormatting>
  <conditionalFormatting sqref="R148:R153">
    <cfRule type="cellIs" dxfId="6122" priority="2490" operator="greaterThan">
      <formula>1</formula>
    </cfRule>
    <cfRule type="cellIs" dxfId="6121" priority="2491" operator="lessThan">
      <formula>0.8</formula>
    </cfRule>
  </conditionalFormatting>
  <conditionalFormatting sqref="P148:P153">
    <cfRule type="cellIs" dxfId="6120" priority="2489" operator="greaterThan">
      <formula>0</formula>
    </cfRule>
  </conditionalFormatting>
  <conditionalFormatting sqref="Q148:Q153">
    <cfRule type="cellIs" dxfId="6119" priority="2488" operator="lessThan">
      <formula>0</formula>
    </cfRule>
  </conditionalFormatting>
  <conditionalFormatting sqref="R148:R153">
    <cfRule type="cellIs" dxfId="6118" priority="2486" operator="lessThan">
      <formula>0.8</formula>
    </cfRule>
    <cfRule type="cellIs" dxfId="6117" priority="2487" operator="greaterThan">
      <formula>1</formula>
    </cfRule>
  </conditionalFormatting>
  <conditionalFormatting sqref="R148:R153">
    <cfRule type="cellIs" dxfId="6116" priority="2484" operator="greaterThan">
      <formula>1</formula>
    </cfRule>
    <cfRule type="cellIs" dxfId="6115" priority="2485" operator="lessThan">
      <formula>0.8</formula>
    </cfRule>
  </conditionalFormatting>
  <conditionalFormatting sqref="P148:P153">
    <cfRule type="cellIs" dxfId="6114" priority="2483" operator="greaterThan">
      <formula>0</formula>
    </cfRule>
  </conditionalFormatting>
  <conditionalFormatting sqref="Q148:Q153">
    <cfRule type="cellIs" dxfId="6113" priority="2482" operator="lessThan">
      <formula>0</formula>
    </cfRule>
  </conditionalFormatting>
  <conditionalFormatting sqref="R148:R153">
    <cfRule type="cellIs" dxfId="6112" priority="2480" operator="lessThan">
      <formula>0.8</formula>
    </cfRule>
    <cfRule type="cellIs" dxfId="6111" priority="2481" operator="greaterThan">
      <formula>1</formula>
    </cfRule>
  </conditionalFormatting>
  <conditionalFormatting sqref="R148:R153">
    <cfRule type="cellIs" dxfId="6110" priority="2478" operator="greaterThan">
      <formula>1</formula>
    </cfRule>
    <cfRule type="cellIs" dxfId="6109" priority="2479" operator="lessThan">
      <formula>0.8</formula>
    </cfRule>
  </conditionalFormatting>
  <conditionalFormatting sqref="P148:P153">
    <cfRule type="cellIs" dxfId="6108" priority="2477" operator="greaterThan">
      <formula>0</formula>
    </cfRule>
  </conditionalFormatting>
  <conditionalFormatting sqref="P148:P153">
    <cfRule type="cellIs" dxfId="6107" priority="2471" operator="greaterThan">
      <formula>0</formula>
    </cfRule>
  </conditionalFormatting>
  <conditionalFormatting sqref="Q148:Q153">
    <cfRule type="cellIs" dxfId="6106" priority="2476" operator="lessThan">
      <formula>0</formula>
    </cfRule>
  </conditionalFormatting>
  <conditionalFormatting sqref="R148:R153">
    <cfRule type="cellIs" dxfId="6105" priority="2474" operator="lessThan">
      <formula>0.8</formula>
    </cfRule>
    <cfRule type="cellIs" dxfId="6104" priority="2475" operator="greaterThan">
      <formula>1</formula>
    </cfRule>
  </conditionalFormatting>
  <conditionalFormatting sqref="R148:R153">
    <cfRule type="cellIs" dxfId="6103" priority="2472" operator="greaterThan">
      <formula>1</formula>
    </cfRule>
    <cfRule type="cellIs" dxfId="6102" priority="2473" operator="lessThan">
      <formula>0.8</formula>
    </cfRule>
  </conditionalFormatting>
  <conditionalFormatting sqref="P148:P153">
    <cfRule type="cellIs" dxfId="6101" priority="2465" operator="greaterThan">
      <formula>0</formula>
    </cfRule>
  </conditionalFormatting>
  <conditionalFormatting sqref="Q148:Q153">
    <cfRule type="cellIs" dxfId="6100" priority="2470" operator="lessThan">
      <formula>0</formula>
    </cfRule>
  </conditionalFormatting>
  <conditionalFormatting sqref="R148:R153">
    <cfRule type="cellIs" dxfId="6099" priority="2468" operator="lessThan">
      <formula>0.8</formula>
    </cfRule>
    <cfRule type="cellIs" dxfId="6098" priority="2469" operator="greaterThan">
      <formula>1</formula>
    </cfRule>
  </conditionalFormatting>
  <conditionalFormatting sqref="R148:R153">
    <cfRule type="cellIs" dxfId="6097" priority="2466" operator="greaterThan">
      <formula>1</formula>
    </cfRule>
    <cfRule type="cellIs" dxfId="6096" priority="2467" operator="lessThan">
      <formula>0.8</formula>
    </cfRule>
  </conditionalFormatting>
  <conditionalFormatting sqref="R148:R153">
    <cfRule type="cellIs" dxfId="6095" priority="2462" operator="lessThan">
      <formula>0.8</formula>
    </cfRule>
    <cfRule type="cellIs" dxfId="6094" priority="2463" operator="greaterThan">
      <formula>1</formula>
    </cfRule>
  </conditionalFormatting>
  <conditionalFormatting sqref="R148:R153">
    <cfRule type="cellIs" dxfId="6093" priority="2460" operator="greaterThan">
      <formula>1</formula>
    </cfRule>
    <cfRule type="cellIs" dxfId="6092" priority="2461" operator="lessThan">
      <formula>0.8</formula>
    </cfRule>
  </conditionalFormatting>
  <conditionalFormatting sqref="P148:P153">
    <cfRule type="cellIs" dxfId="6091" priority="2459" operator="greaterThan">
      <formula>0</formula>
    </cfRule>
  </conditionalFormatting>
  <conditionalFormatting sqref="Q148:Q153">
    <cfRule type="cellIs" dxfId="6090" priority="2464" operator="lessThan">
      <formula>0</formula>
    </cfRule>
  </conditionalFormatting>
  <conditionalFormatting sqref="Q148:Q153">
    <cfRule type="cellIs" dxfId="6089" priority="2458" operator="lessThan">
      <formula>0</formula>
    </cfRule>
  </conditionalFormatting>
  <conditionalFormatting sqref="R148:R153">
    <cfRule type="cellIs" dxfId="6088" priority="2456" operator="lessThan">
      <formula>0.8</formula>
    </cfRule>
    <cfRule type="cellIs" dxfId="6087" priority="2457" operator="greaterThan">
      <formula>1</formula>
    </cfRule>
  </conditionalFormatting>
  <conditionalFormatting sqref="R148:R153">
    <cfRule type="cellIs" dxfId="6086" priority="2454" operator="greaterThan">
      <formula>1</formula>
    </cfRule>
    <cfRule type="cellIs" dxfId="6085" priority="2455" operator="lessThan">
      <formula>0.8</formula>
    </cfRule>
  </conditionalFormatting>
  <conditionalFormatting sqref="P148:P153">
    <cfRule type="cellIs" dxfId="6084" priority="2453" operator="greaterThan">
      <formula>0</formula>
    </cfRule>
  </conditionalFormatting>
  <conditionalFormatting sqref="P148:P153">
    <cfRule type="cellIs" dxfId="6083" priority="2447" operator="greaterThan">
      <formula>0</formula>
    </cfRule>
  </conditionalFormatting>
  <conditionalFormatting sqref="Q148:Q153">
    <cfRule type="cellIs" dxfId="6082" priority="2452" operator="lessThan">
      <formula>0</formula>
    </cfRule>
  </conditionalFormatting>
  <conditionalFormatting sqref="R148:R153">
    <cfRule type="cellIs" dxfId="6081" priority="2450" operator="lessThan">
      <formula>0.8</formula>
    </cfRule>
    <cfRule type="cellIs" dxfId="6080" priority="2451" operator="greaterThan">
      <formula>1</formula>
    </cfRule>
  </conditionalFormatting>
  <conditionalFormatting sqref="R148:R153">
    <cfRule type="cellIs" dxfId="6079" priority="2448" operator="greaterThan">
      <formula>1</formula>
    </cfRule>
    <cfRule type="cellIs" dxfId="6078" priority="2449" operator="lessThan">
      <formula>0.8</formula>
    </cfRule>
  </conditionalFormatting>
  <conditionalFormatting sqref="P148:P153">
    <cfRule type="cellIs" dxfId="6077" priority="2441" operator="greaterThan">
      <formula>0</formula>
    </cfRule>
  </conditionalFormatting>
  <conditionalFormatting sqref="Q148:Q153">
    <cfRule type="cellIs" dxfId="6076" priority="2446" operator="lessThan">
      <formula>0</formula>
    </cfRule>
  </conditionalFormatting>
  <conditionalFormatting sqref="R148:R153">
    <cfRule type="cellIs" dxfId="6075" priority="2444" operator="lessThan">
      <formula>0.8</formula>
    </cfRule>
    <cfRule type="cellIs" dxfId="6074" priority="2445" operator="greaterThan">
      <formula>1</formula>
    </cfRule>
  </conditionalFormatting>
  <conditionalFormatting sqref="R148:R153">
    <cfRule type="cellIs" dxfId="6073" priority="2442" operator="greaterThan">
      <formula>1</formula>
    </cfRule>
    <cfRule type="cellIs" dxfId="6072" priority="2443" operator="lessThan">
      <formula>0.8</formula>
    </cfRule>
  </conditionalFormatting>
  <conditionalFormatting sqref="R148:R153">
    <cfRule type="cellIs" dxfId="6071" priority="2438" operator="lessThan">
      <formula>0.8</formula>
    </cfRule>
    <cfRule type="cellIs" dxfId="6070" priority="2439" operator="greaterThan">
      <formula>1</formula>
    </cfRule>
  </conditionalFormatting>
  <conditionalFormatting sqref="R148:R153">
    <cfRule type="cellIs" dxfId="6069" priority="2436" operator="greaterThan">
      <formula>1</formula>
    </cfRule>
    <cfRule type="cellIs" dxfId="6068" priority="2437" operator="lessThan">
      <formula>0.8</formula>
    </cfRule>
  </conditionalFormatting>
  <conditionalFormatting sqref="P148:P153">
    <cfRule type="cellIs" dxfId="6067" priority="2435" operator="greaterThan">
      <formula>0</formula>
    </cfRule>
  </conditionalFormatting>
  <conditionalFormatting sqref="Q148:Q153">
    <cfRule type="cellIs" dxfId="6066" priority="2440" operator="lessThan">
      <formula>0</formula>
    </cfRule>
  </conditionalFormatting>
  <conditionalFormatting sqref="P148:P153">
    <cfRule type="cellIs" dxfId="6065" priority="2429" operator="greaterThan">
      <formula>0</formula>
    </cfRule>
  </conditionalFormatting>
  <conditionalFormatting sqref="Q148:Q153">
    <cfRule type="cellIs" dxfId="6064" priority="2434" operator="lessThan">
      <formula>0</formula>
    </cfRule>
  </conditionalFormatting>
  <conditionalFormatting sqref="R148:R153">
    <cfRule type="cellIs" dxfId="6063" priority="2432" operator="lessThan">
      <formula>0.8</formula>
    </cfRule>
    <cfRule type="cellIs" dxfId="6062" priority="2433" operator="greaterThan">
      <formula>1</formula>
    </cfRule>
  </conditionalFormatting>
  <conditionalFormatting sqref="R148:R153">
    <cfRule type="cellIs" dxfId="6061" priority="2430" operator="greaterThan">
      <formula>1</formula>
    </cfRule>
    <cfRule type="cellIs" dxfId="6060" priority="2431" operator="lessThan">
      <formula>0.8</formula>
    </cfRule>
  </conditionalFormatting>
  <conditionalFormatting sqref="R148:R153">
    <cfRule type="cellIs" dxfId="6059" priority="2426" operator="lessThan">
      <formula>0.8</formula>
    </cfRule>
    <cfRule type="cellIs" dxfId="6058" priority="2427" operator="greaterThan">
      <formula>1</formula>
    </cfRule>
  </conditionalFormatting>
  <conditionalFormatting sqref="R148:R153">
    <cfRule type="cellIs" dxfId="6057" priority="2424" operator="greaterThan">
      <formula>1</formula>
    </cfRule>
    <cfRule type="cellIs" dxfId="6056" priority="2425" operator="lessThan">
      <formula>0.8</formula>
    </cfRule>
  </conditionalFormatting>
  <conditionalFormatting sqref="P148:P153">
    <cfRule type="cellIs" dxfId="6055" priority="2423" operator="greaterThan">
      <formula>0</formula>
    </cfRule>
  </conditionalFormatting>
  <conditionalFormatting sqref="Q148:Q153">
    <cfRule type="cellIs" dxfId="6054" priority="2428" operator="lessThan">
      <formula>0</formula>
    </cfRule>
  </conditionalFormatting>
  <conditionalFormatting sqref="R148:R153">
    <cfRule type="cellIs" dxfId="6053" priority="2420" operator="lessThan">
      <formula>0.8</formula>
    </cfRule>
    <cfRule type="cellIs" dxfId="6052" priority="2421" operator="greaterThan">
      <formula>1</formula>
    </cfRule>
  </conditionalFormatting>
  <conditionalFormatting sqref="R148:R153">
    <cfRule type="cellIs" dxfId="6051" priority="2418" operator="greaterThan">
      <formula>1</formula>
    </cfRule>
    <cfRule type="cellIs" dxfId="6050" priority="2419" operator="lessThan">
      <formula>0.8</formula>
    </cfRule>
  </conditionalFormatting>
  <conditionalFormatting sqref="P148:P153">
    <cfRule type="cellIs" dxfId="6049" priority="2417" operator="greaterThan">
      <formula>0</formula>
    </cfRule>
  </conditionalFormatting>
  <conditionalFormatting sqref="Q148:Q153">
    <cfRule type="cellIs" dxfId="6048" priority="2422" operator="lessThan">
      <formula>0</formula>
    </cfRule>
  </conditionalFormatting>
  <conditionalFormatting sqref="Q148:Q153">
    <cfRule type="cellIs" dxfId="6047" priority="2416" operator="lessThan">
      <formula>0</formula>
    </cfRule>
  </conditionalFormatting>
  <conditionalFormatting sqref="R148:R153">
    <cfRule type="cellIs" dxfId="6046" priority="2414" operator="lessThan">
      <formula>0.8</formula>
    </cfRule>
    <cfRule type="cellIs" dxfId="6045" priority="2415" operator="greaterThan">
      <formula>1</formula>
    </cfRule>
  </conditionalFormatting>
  <conditionalFormatting sqref="R148:R153">
    <cfRule type="cellIs" dxfId="6044" priority="2412" operator="greaterThan">
      <formula>1</formula>
    </cfRule>
    <cfRule type="cellIs" dxfId="6043" priority="2413" operator="lessThan">
      <formula>0.8</formula>
    </cfRule>
  </conditionalFormatting>
  <conditionalFormatting sqref="P148:P153">
    <cfRule type="cellIs" dxfId="6042" priority="2411" operator="greaterThan">
      <formula>0</formula>
    </cfRule>
  </conditionalFormatting>
  <conditionalFormatting sqref="Q148:Q153">
    <cfRule type="cellIs" dxfId="6041" priority="2405" operator="lessThan">
      <formula>0</formula>
    </cfRule>
  </conditionalFormatting>
  <conditionalFormatting sqref="R148:R153">
    <cfRule type="cellIs" dxfId="6040" priority="2409" operator="lessThan">
      <formula>0.8</formula>
    </cfRule>
    <cfRule type="cellIs" dxfId="6039" priority="2410" operator="greaterThan">
      <formula>1</formula>
    </cfRule>
  </conditionalFormatting>
  <conditionalFormatting sqref="R148:R153">
    <cfRule type="cellIs" dxfId="6038" priority="2407" operator="greaterThan">
      <formula>1</formula>
    </cfRule>
    <cfRule type="cellIs" dxfId="6037" priority="2408" operator="lessThan">
      <formula>0.8</formula>
    </cfRule>
  </conditionalFormatting>
  <conditionalFormatting sqref="P148:P153">
    <cfRule type="cellIs" dxfId="6036" priority="2406" operator="greaterThan">
      <formula>0</formula>
    </cfRule>
  </conditionalFormatting>
  <conditionalFormatting sqref="Q148:Q153">
    <cfRule type="cellIs" dxfId="6035" priority="2404" operator="lessThan">
      <formula>0</formula>
    </cfRule>
  </conditionalFormatting>
  <conditionalFormatting sqref="R148:R153">
    <cfRule type="cellIs" dxfId="6034" priority="2402" operator="lessThan">
      <formula>0.8</formula>
    </cfRule>
    <cfRule type="cellIs" dxfId="6033" priority="2403" operator="greaterThan">
      <formula>1</formula>
    </cfRule>
  </conditionalFormatting>
  <conditionalFormatting sqref="R148:R153">
    <cfRule type="cellIs" dxfId="6032" priority="2400" operator="greaterThan">
      <formula>1</formula>
    </cfRule>
    <cfRule type="cellIs" dxfId="6031" priority="2401" operator="lessThan">
      <formula>0.8</formula>
    </cfRule>
  </conditionalFormatting>
  <conditionalFormatting sqref="P148:P153">
    <cfRule type="cellIs" dxfId="6030" priority="2399" operator="greaterThan">
      <formula>0</formula>
    </cfRule>
  </conditionalFormatting>
  <conditionalFormatting sqref="Q148:Q153">
    <cfRule type="cellIs" dxfId="6029" priority="2398" operator="lessThan">
      <formula>0</formula>
    </cfRule>
  </conditionalFormatting>
  <conditionalFormatting sqref="R148:R153">
    <cfRule type="cellIs" dxfId="6028" priority="2396" operator="lessThan">
      <formula>0.8</formula>
    </cfRule>
    <cfRule type="cellIs" dxfId="6027" priority="2397" operator="greaterThan">
      <formula>1</formula>
    </cfRule>
  </conditionalFormatting>
  <conditionalFormatting sqref="R148:R153">
    <cfRule type="cellIs" dxfId="6026" priority="2394" operator="greaterThan">
      <formula>1</formula>
    </cfRule>
    <cfRule type="cellIs" dxfId="6025" priority="2395" operator="lessThan">
      <formula>0.8</formula>
    </cfRule>
  </conditionalFormatting>
  <conditionalFormatting sqref="P148:P153">
    <cfRule type="cellIs" dxfId="6024" priority="2393" operator="greaterThan">
      <formula>0</formula>
    </cfRule>
  </conditionalFormatting>
  <conditionalFormatting sqref="Q148:Q153">
    <cfRule type="cellIs" dxfId="6023" priority="2392" operator="lessThan">
      <formula>0</formula>
    </cfRule>
  </conditionalFormatting>
  <conditionalFormatting sqref="R148:R153">
    <cfRule type="cellIs" dxfId="6022" priority="2390" operator="lessThan">
      <formula>0.8</formula>
    </cfRule>
    <cfRule type="cellIs" dxfId="6021" priority="2391" operator="greaterThan">
      <formula>1</formula>
    </cfRule>
  </conditionalFormatting>
  <conditionalFormatting sqref="R148:R153">
    <cfRule type="cellIs" dxfId="6020" priority="2388" operator="greaterThan">
      <formula>1</formula>
    </cfRule>
    <cfRule type="cellIs" dxfId="6019" priority="2389" operator="lessThan">
      <formula>0.8</formula>
    </cfRule>
  </conditionalFormatting>
  <conditionalFormatting sqref="P148:P153">
    <cfRule type="cellIs" dxfId="6018" priority="2387" operator="greaterThan">
      <formula>0</formula>
    </cfRule>
  </conditionalFormatting>
  <conditionalFormatting sqref="Q148:Q153">
    <cfRule type="cellIs" dxfId="6017" priority="2386" operator="lessThan">
      <formula>0</formula>
    </cfRule>
  </conditionalFormatting>
  <conditionalFormatting sqref="R148:R153">
    <cfRule type="cellIs" dxfId="6016" priority="2384" operator="lessThan">
      <formula>0.8</formula>
    </cfRule>
    <cfRule type="cellIs" dxfId="6015" priority="2385" operator="greaterThan">
      <formula>1</formula>
    </cfRule>
  </conditionalFormatting>
  <conditionalFormatting sqref="R148:R153">
    <cfRule type="cellIs" dxfId="6014" priority="2382" operator="greaterThan">
      <formula>1</formula>
    </cfRule>
    <cfRule type="cellIs" dxfId="6013" priority="2383" operator="lessThan">
      <formula>0.8</formula>
    </cfRule>
  </conditionalFormatting>
  <conditionalFormatting sqref="P148:P153">
    <cfRule type="cellIs" dxfId="6012" priority="2381" operator="greaterThan">
      <formula>0</formula>
    </cfRule>
  </conditionalFormatting>
  <conditionalFormatting sqref="Q148:Q153">
    <cfRule type="cellIs" dxfId="6011" priority="2380" operator="lessThan">
      <formula>0</formula>
    </cfRule>
  </conditionalFormatting>
  <conditionalFormatting sqref="R148:R153">
    <cfRule type="cellIs" dxfId="6010" priority="2378" operator="lessThan">
      <formula>0.8</formula>
    </cfRule>
    <cfRule type="cellIs" dxfId="6009" priority="2379" operator="greaterThan">
      <formula>1</formula>
    </cfRule>
  </conditionalFormatting>
  <conditionalFormatting sqref="R148:R153">
    <cfRule type="cellIs" dxfId="6008" priority="2376" operator="greaterThan">
      <formula>1</formula>
    </cfRule>
    <cfRule type="cellIs" dxfId="6007" priority="2377" operator="lessThan">
      <formula>0.8</formula>
    </cfRule>
  </conditionalFormatting>
  <conditionalFormatting sqref="P148:P153">
    <cfRule type="cellIs" dxfId="6006" priority="2375" operator="greaterThan">
      <formula>0</formula>
    </cfRule>
  </conditionalFormatting>
  <conditionalFormatting sqref="P148:P153">
    <cfRule type="cellIs" dxfId="6005" priority="2369" operator="greaterThan">
      <formula>0</formula>
    </cfRule>
  </conditionalFormatting>
  <conditionalFormatting sqref="Q148:Q153">
    <cfRule type="cellIs" dxfId="6004" priority="2374" operator="lessThan">
      <formula>0</formula>
    </cfRule>
  </conditionalFormatting>
  <conditionalFormatting sqref="R148:R153">
    <cfRule type="cellIs" dxfId="6003" priority="2372" operator="lessThan">
      <formula>0.8</formula>
    </cfRule>
    <cfRule type="cellIs" dxfId="6002" priority="2373" operator="greaterThan">
      <formula>1</formula>
    </cfRule>
  </conditionalFormatting>
  <conditionalFormatting sqref="R148:R153">
    <cfRule type="cellIs" dxfId="6001" priority="2370" operator="greaterThan">
      <formula>1</formula>
    </cfRule>
    <cfRule type="cellIs" dxfId="6000" priority="2371" operator="lessThan">
      <formula>0.8</formula>
    </cfRule>
  </conditionalFormatting>
  <conditionalFormatting sqref="P148:P153">
    <cfRule type="cellIs" dxfId="5999" priority="2363" operator="greaterThan">
      <formula>0</formula>
    </cfRule>
  </conditionalFormatting>
  <conditionalFormatting sqref="Q148:Q153">
    <cfRule type="cellIs" dxfId="5998" priority="2368" operator="lessThan">
      <formula>0</formula>
    </cfRule>
  </conditionalFormatting>
  <conditionalFormatting sqref="R148:R153">
    <cfRule type="cellIs" dxfId="5997" priority="2366" operator="lessThan">
      <formula>0.8</formula>
    </cfRule>
    <cfRule type="cellIs" dxfId="5996" priority="2367" operator="greaterThan">
      <formula>1</formula>
    </cfRule>
  </conditionalFormatting>
  <conditionalFormatting sqref="R148:R153">
    <cfRule type="cellIs" dxfId="5995" priority="2364" operator="greaterThan">
      <formula>1</formula>
    </cfRule>
    <cfRule type="cellIs" dxfId="5994" priority="2365" operator="lessThan">
      <formula>0.8</formula>
    </cfRule>
  </conditionalFormatting>
  <conditionalFormatting sqref="R148:R153">
    <cfRule type="cellIs" dxfId="5993" priority="2360" operator="lessThan">
      <formula>0.8</formula>
    </cfRule>
    <cfRule type="cellIs" dxfId="5992" priority="2361" operator="greaterThan">
      <formula>1</formula>
    </cfRule>
  </conditionalFormatting>
  <conditionalFormatting sqref="R148:R153">
    <cfRule type="cellIs" dxfId="5991" priority="2358" operator="greaterThan">
      <formula>1</formula>
    </cfRule>
    <cfRule type="cellIs" dxfId="5990" priority="2359" operator="lessThan">
      <formula>0.8</formula>
    </cfRule>
  </conditionalFormatting>
  <conditionalFormatting sqref="P148:P153">
    <cfRule type="cellIs" dxfId="5989" priority="2357" operator="greaterThan">
      <formula>0</formula>
    </cfRule>
  </conditionalFormatting>
  <conditionalFormatting sqref="Q148:Q153">
    <cfRule type="cellIs" dxfId="5988" priority="2362" operator="lessThan">
      <formula>0</formula>
    </cfRule>
  </conditionalFormatting>
  <conditionalFormatting sqref="Q148:Q153">
    <cfRule type="cellIs" dxfId="5987" priority="2351" operator="lessThan">
      <formula>0</formula>
    </cfRule>
  </conditionalFormatting>
  <conditionalFormatting sqref="P148:P153">
    <cfRule type="cellIs" dxfId="5986" priority="2352" operator="greaterThan">
      <formula>0</formula>
    </cfRule>
  </conditionalFormatting>
  <conditionalFormatting sqref="R148:R153">
    <cfRule type="cellIs" dxfId="5985" priority="2355" operator="lessThan">
      <formula>0.8</formula>
    </cfRule>
    <cfRule type="cellIs" dxfId="5984" priority="2356" operator="greaterThan">
      <formula>1</formula>
    </cfRule>
  </conditionalFormatting>
  <conditionalFormatting sqref="R148:R153">
    <cfRule type="cellIs" dxfId="5983" priority="2353" operator="greaterThan">
      <formula>1</formula>
    </cfRule>
    <cfRule type="cellIs" dxfId="5982" priority="2354" operator="lessThan">
      <formula>0.8</formula>
    </cfRule>
  </conditionalFormatting>
  <conditionalFormatting sqref="Q148:Q153">
    <cfRule type="cellIs" dxfId="5981" priority="2345" operator="lessThan">
      <formula>0</formula>
    </cfRule>
  </conditionalFormatting>
  <conditionalFormatting sqref="R148:R153">
    <cfRule type="cellIs" dxfId="5980" priority="2349" operator="lessThan">
      <formula>0.8</formula>
    </cfRule>
    <cfRule type="cellIs" dxfId="5979" priority="2350" operator="greaterThan">
      <formula>1</formula>
    </cfRule>
  </conditionalFormatting>
  <conditionalFormatting sqref="R148:R153">
    <cfRule type="cellIs" dxfId="5978" priority="2347" operator="greaterThan">
      <formula>1</formula>
    </cfRule>
    <cfRule type="cellIs" dxfId="5977" priority="2348" operator="lessThan">
      <formula>0.8</formula>
    </cfRule>
  </conditionalFormatting>
  <conditionalFormatting sqref="P148:P153">
    <cfRule type="cellIs" dxfId="5976" priority="2346" operator="greaterThan">
      <formula>0</formula>
    </cfRule>
  </conditionalFormatting>
  <conditionalFormatting sqref="Q148:Q153">
    <cfRule type="cellIs" dxfId="5975" priority="2344" operator="lessThan">
      <formula>0</formula>
    </cfRule>
  </conditionalFormatting>
  <conditionalFormatting sqref="R148:R153">
    <cfRule type="cellIs" dxfId="5974" priority="2342" operator="lessThan">
      <formula>0.8</formula>
    </cfRule>
    <cfRule type="cellIs" dxfId="5973" priority="2343" operator="greaterThan">
      <formula>1</formula>
    </cfRule>
  </conditionalFormatting>
  <conditionalFormatting sqref="R148:R153">
    <cfRule type="cellIs" dxfId="5972" priority="2340" operator="greaterThan">
      <formula>1</formula>
    </cfRule>
    <cfRule type="cellIs" dxfId="5971" priority="2341" operator="lessThan">
      <formula>0.8</formula>
    </cfRule>
  </conditionalFormatting>
  <conditionalFormatting sqref="P148:P153">
    <cfRule type="cellIs" dxfId="5970" priority="2339" operator="greaterThan">
      <formula>0</formula>
    </cfRule>
  </conditionalFormatting>
  <conditionalFormatting sqref="Q148:Q153">
    <cfRule type="cellIs" dxfId="5969" priority="2338" operator="lessThan">
      <formula>0</formula>
    </cfRule>
  </conditionalFormatting>
  <conditionalFormatting sqref="R148:R153">
    <cfRule type="cellIs" dxfId="5968" priority="2336" operator="lessThan">
      <formula>0.8</formula>
    </cfRule>
    <cfRule type="cellIs" dxfId="5967" priority="2337" operator="greaterThan">
      <formula>1</formula>
    </cfRule>
  </conditionalFormatting>
  <conditionalFormatting sqref="R148:R153">
    <cfRule type="cellIs" dxfId="5966" priority="2334" operator="greaterThan">
      <formula>1</formula>
    </cfRule>
    <cfRule type="cellIs" dxfId="5965" priority="2335" operator="lessThan">
      <formula>0.8</formula>
    </cfRule>
  </conditionalFormatting>
  <conditionalFormatting sqref="P148:P153">
    <cfRule type="cellIs" dxfId="5964" priority="2333" operator="greaterThan">
      <formula>0</formula>
    </cfRule>
  </conditionalFormatting>
  <conditionalFormatting sqref="Q148:Q153">
    <cfRule type="cellIs" dxfId="5963" priority="2332" operator="lessThan">
      <formula>0</formula>
    </cfRule>
  </conditionalFormatting>
  <conditionalFormatting sqref="R148:R153">
    <cfRule type="cellIs" dxfId="5962" priority="2330" operator="lessThan">
      <formula>0.8</formula>
    </cfRule>
    <cfRule type="cellIs" dxfId="5961" priority="2331" operator="greaterThan">
      <formula>1</formula>
    </cfRule>
  </conditionalFormatting>
  <conditionalFormatting sqref="R148:R153">
    <cfRule type="cellIs" dxfId="5960" priority="2328" operator="greaterThan">
      <formula>1</formula>
    </cfRule>
    <cfRule type="cellIs" dxfId="5959" priority="2329" operator="lessThan">
      <formula>0.8</formula>
    </cfRule>
  </conditionalFormatting>
  <conditionalFormatting sqref="P148:P153">
    <cfRule type="cellIs" dxfId="5958" priority="2327" operator="greaterThan">
      <formula>0</formula>
    </cfRule>
  </conditionalFormatting>
  <conditionalFormatting sqref="Q148:Q153">
    <cfRule type="cellIs" dxfId="5957" priority="2326" operator="lessThan">
      <formula>0</formula>
    </cfRule>
  </conditionalFormatting>
  <conditionalFormatting sqref="R148:R153">
    <cfRule type="cellIs" dxfId="5956" priority="2324" operator="lessThan">
      <formula>0.8</formula>
    </cfRule>
    <cfRule type="cellIs" dxfId="5955" priority="2325" operator="greaterThan">
      <formula>1</formula>
    </cfRule>
  </conditionalFormatting>
  <conditionalFormatting sqref="R148:R153">
    <cfRule type="cellIs" dxfId="5954" priority="2322" operator="greaterThan">
      <formula>1</formula>
    </cfRule>
    <cfRule type="cellIs" dxfId="5953" priority="2323" operator="lessThan">
      <formula>0.8</formula>
    </cfRule>
  </conditionalFormatting>
  <conditionalFormatting sqref="P148:P153">
    <cfRule type="cellIs" dxfId="5952" priority="2321" operator="greaterThan">
      <formula>0</formula>
    </cfRule>
  </conditionalFormatting>
  <conditionalFormatting sqref="Q124 Q127">
    <cfRule type="cellIs" dxfId="5951" priority="2315" operator="lessThan">
      <formula>0</formula>
    </cfRule>
  </conditionalFormatting>
  <conditionalFormatting sqref="P124 P127">
    <cfRule type="cellIs" dxfId="5950" priority="2316" operator="greaterThan">
      <formula>0</formula>
    </cfRule>
  </conditionalFormatting>
  <conditionalFormatting sqref="R124 R127">
    <cfRule type="cellIs" dxfId="5949" priority="2319" operator="lessThan">
      <formula>0.8</formula>
    </cfRule>
    <cfRule type="cellIs" dxfId="5948" priority="2320" operator="greaterThan">
      <formula>1</formula>
    </cfRule>
  </conditionalFormatting>
  <conditionalFormatting sqref="R124 R127">
    <cfRule type="cellIs" dxfId="5947" priority="2317" operator="greaterThan">
      <formula>1</formula>
    </cfRule>
    <cfRule type="cellIs" dxfId="5946" priority="2318" operator="lessThan">
      <formula>0.8</formula>
    </cfRule>
  </conditionalFormatting>
  <conditionalFormatting sqref="Q124 Q127">
    <cfRule type="cellIs" dxfId="5945" priority="2309" operator="lessThan">
      <formula>0</formula>
    </cfRule>
  </conditionalFormatting>
  <conditionalFormatting sqref="R124 R127">
    <cfRule type="cellIs" dxfId="5944" priority="2313" operator="lessThan">
      <formula>0.8</formula>
    </cfRule>
    <cfRule type="cellIs" dxfId="5943" priority="2314" operator="greaterThan">
      <formula>1</formula>
    </cfRule>
  </conditionalFormatting>
  <conditionalFormatting sqref="R124 R127">
    <cfRule type="cellIs" dxfId="5942" priority="2311" operator="greaterThan">
      <formula>1</formula>
    </cfRule>
    <cfRule type="cellIs" dxfId="5941" priority="2312" operator="lessThan">
      <formula>0.8</formula>
    </cfRule>
  </conditionalFormatting>
  <conditionalFormatting sqref="P124 P127">
    <cfRule type="cellIs" dxfId="5940" priority="2310" operator="greaterThan">
      <formula>0</formula>
    </cfRule>
  </conditionalFormatting>
  <conditionalFormatting sqref="Q124 Q127">
    <cfRule type="cellIs" dxfId="5939" priority="2308" operator="lessThan">
      <formula>0</formula>
    </cfRule>
  </conditionalFormatting>
  <conditionalFormatting sqref="R124 R127">
    <cfRule type="cellIs" dxfId="5938" priority="2306" operator="lessThan">
      <formula>0.8</formula>
    </cfRule>
    <cfRule type="cellIs" dxfId="5937" priority="2307" operator="greaterThan">
      <formula>1</formula>
    </cfRule>
  </conditionalFormatting>
  <conditionalFormatting sqref="R124 R127">
    <cfRule type="cellIs" dxfId="5936" priority="2304" operator="greaterThan">
      <formula>1</formula>
    </cfRule>
    <cfRule type="cellIs" dxfId="5935" priority="2305" operator="lessThan">
      <formula>0.8</formula>
    </cfRule>
  </conditionalFormatting>
  <conditionalFormatting sqref="P124 P127">
    <cfRule type="cellIs" dxfId="5934" priority="2303" operator="greaterThan">
      <formula>0</formula>
    </cfRule>
  </conditionalFormatting>
  <conditionalFormatting sqref="Q124 Q127">
    <cfRule type="cellIs" dxfId="5933" priority="2302" operator="lessThan">
      <formula>0</formula>
    </cfRule>
  </conditionalFormatting>
  <conditionalFormatting sqref="R124 R127">
    <cfRule type="cellIs" dxfId="5932" priority="2300" operator="lessThan">
      <formula>0.8</formula>
    </cfRule>
    <cfRule type="cellIs" dxfId="5931" priority="2301" operator="greaterThan">
      <formula>1</formula>
    </cfRule>
  </conditionalFormatting>
  <conditionalFormatting sqref="R124 R127">
    <cfRule type="cellIs" dxfId="5930" priority="2298" operator="greaterThan">
      <formula>1</formula>
    </cfRule>
    <cfRule type="cellIs" dxfId="5929" priority="2299" operator="lessThan">
      <formula>0.8</formula>
    </cfRule>
  </conditionalFormatting>
  <conditionalFormatting sqref="P124 P127">
    <cfRule type="cellIs" dxfId="5928" priority="2297" operator="greaterThan">
      <formula>0</formula>
    </cfRule>
  </conditionalFormatting>
  <conditionalFormatting sqref="Q124 Q127">
    <cfRule type="cellIs" dxfId="5927" priority="2296" operator="lessThan">
      <formula>0</formula>
    </cfRule>
  </conditionalFormatting>
  <conditionalFormatting sqref="R124 R127">
    <cfRule type="cellIs" dxfId="5926" priority="2294" operator="lessThan">
      <formula>0.8</formula>
    </cfRule>
    <cfRule type="cellIs" dxfId="5925" priority="2295" operator="greaterThan">
      <formula>1</formula>
    </cfRule>
  </conditionalFormatting>
  <conditionalFormatting sqref="R124 R127">
    <cfRule type="cellIs" dxfId="5924" priority="2292" operator="greaterThan">
      <formula>1</formula>
    </cfRule>
    <cfRule type="cellIs" dxfId="5923" priority="2293" operator="lessThan">
      <formula>0.8</formula>
    </cfRule>
  </conditionalFormatting>
  <conditionalFormatting sqref="P124 P127">
    <cfRule type="cellIs" dxfId="5922" priority="2291" operator="greaterThan">
      <formula>0</formula>
    </cfRule>
  </conditionalFormatting>
  <conditionalFormatting sqref="Q124 Q127">
    <cfRule type="cellIs" dxfId="5921" priority="2290" operator="lessThan">
      <formula>0</formula>
    </cfRule>
  </conditionalFormatting>
  <conditionalFormatting sqref="R124 R127">
    <cfRule type="cellIs" dxfId="5920" priority="2288" operator="lessThan">
      <formula>0.8</formula>
    </cfRule>
    <cfRule type="cellIs" dxfId="5919" priority="2289" operator="greaterThan">
      <formula>1</formula>
    </cfRule>
  </conditionalFormatting>
  <conditionalFormatting sqref="R124 R127">
    <cfRule type="cellIs" dxfId="5918" priority="2286" operator="greaterThan">
      <formula>1</formula>
    </cfRule>
    <cfRule type="cellIs" dxfId="5917" priority="2287" operator="lessThan">
      <formula>0.8</formula>
    </cfRule>
  </conditionalFormatting>
  <conditionalFormatting sqref="P124 P127">
    <cfRule type="cellIs" dxfId="5916" priority="2285" operator="greaterThan">
      <formula>0</formula>
    </cfRule>
  </conditionalFormatting>
  <conditionalFormatting sqref="Q124 Q127">
    <cfRule type="cellIs" dxfId="5915" priority="2284" operator="lessThan">
      <formula>0</formula>
    </cfRule>
  </conditionalFormatting>
  <conditionalFormatting sqref="R124 R127">
    <cfRule type="cellIs" dxfId="5914" priority="2282" operator="lessThan">
      <formula>0.8</formula>
    </cfRule>
    <cfRule type="cellIs" dxfId="5913" priority="2283" operator="greaterThan">
      <formula>1</formula>
    </cfRule>
  </conditionalFormatting>
  <conditionalFormatting sqref="R124 R127">
    <cfRule type="cellIs" dxfId="5912" priority="2280" operator="greaterThan">
      <formula>1</formula>
    </cfRule>
    <cfRule type="cellIs" dxfId="5911" priority="2281" operator="lessThan">
      <formula>0.8</formula>
    </cfRule>
  </conditionalFormatting>
  <conditionalFormatting sqref="P124 P127">
    <cfRule type="cellIs" dxfId="5910" priority="2279" operator="greaterThan">
      <formula>0</formula>
    </cfRule>
  </conditionalFormatting>
  <conditionalFormatting sqref="Q124 Q127">
    <cfRule type="cellIs" dxfId="5909" priority="2278" operator="lessThan">
      <formula>0</formula>
    </cfRule>
  </conditionalFormatting>
  <conditionalFormatting sqref="R124 R127">
    <cfRule type="cellIs" dxfId="5908" priority="2276" operator="lessThan">
      <formula>0.8</formula>
    </cfRule>
    <cfRule type="cellIs" dxfId="5907" priority="2277" operator="greaterThan">
      <formula>1</formula>
    </cfRule>
  </conditionalFormatting>
  <conditionalFormatting sqref="R124 R127">
    <cfRule type="cellIs" dxfId="5906" priority="2274" operator="greaterThan">
      <formula>1</formula>
    </cfRule>
    <cfRule type="cellIs" dxfId="5905" priority="2275" operator="lessThan">
      <formula>0.8</formula>
    </cfRule>
  </conditionalFormatting>
  <conditionalFormatting sqref="P124 P127">
    <cfRule type="cellIs" dxfId="5904" priority="2273" operator="greaterThan">
      <formula>0</formula>
    </cfRule>
  </conditionalFormatting>
  <conditionalFormatting sqref="Q124 Q127">
    <cfRule type="cellIs" dxfId="5903" priority="2272" operator="lessThan">
      <formula>0</formula>
    </cfRule>
  </conditionalFormatting>
  <conditionalFormatting sqref="R124 R127">
    <cfRule type="cellIs" dxfId="5902" priority="2270" operator="lessThan">
      <formula>0.8</formula>
    </cfRule>
    <cfRule type="cellIs" dxfId="5901" priority="2271" operator="greaterThan">
      <formula>1</formula>
    </cfRule>
  </conditionalFormatting>
  <conditionalFormatting sqref="R124 R127">
    <cfRule type="cellIs" dxfId="5900" priority="2268" operator="greaterThan">
      <formula>1</formula>
    </cfRule>
    <cfRule type="cellIs" dxfId="5899" priority="2269" operator="lessThan">
      <formula>0.8</formula>
    </cfRule>
  </conditionalFormatting>
  <conditionalFormatting sqref="P124 P127">
    <cfRule type="cellIs" dxfId="5898" priority="2267" operator="greaterThan">
      <formula>0</formula>
    </cfRule>
  </conditionalFormatting>
  <conditionalFormatting sqref="P124 P127">
    <cfRule type="cellIs" dxfId="5897" priority="2261" operator="greaterThan">
      <formula>0</formula>
    </cfRule>
  </conditionalFormatting>
  <conditionalFormatting sqref="Q124 Q127">
    <cfRule type="cellIs" dxfId="5896" priority="2266" operator="lessThan">
      <formula>0</formula>
    </cfRule>
  </conditionalFormatting>
  <conditionalFormatting sqref="R124 R127">
    <cfRule type="cellIs" dxfId="5895" priority="2264" operator="lessThan">
      <formula>0.8</formula>
    </cfRule>
    <cfRule type="cellIs" dxfId="5894" priority="2265" operator="greaterThan">
      <formula>1</formula>
    </cfRule>
  </conditionalFormatting>
  <conditionalFormatting sqref="R124 R127">
    <cfRule type="cellIs" dxfId="5893" priority="2262" operator="greaterThan">
      <formula>1</formula>
    </cfRule>
    <cfRule type="cellIs" dxfId="5892" priority="2263" operator="lessThan">
      <formula>0.8</formula>
    </cfRule>
  </conditionalFormatting>
  <conditionalFormatting sqref="P124 P127">
    <cfRule type="cellIs" dxfId="5891" priority="2255" operator="greaterThan">
      <formula>0</formula>
    </cfRule>
  </conditionalFormatting>
  <conditionalFormatting sqref="Q124 Q127">
    <cfRule type="cellIs" dxfId="5890" priority="2260" operator="lessThan">
      <formula>0</formula>
    </cfRule>
  </conditionalFormatting>
  <conditionalFormatting sqref="R124 R127">
    <cfRule type="cellIs" dxfId="5889" priority="2258" operator="lessThan">
      <formula>0.8</formula>
    </cfRule>
    <cfRule type="cellIs" dxfId="5888" priority="2259" operator="greaterThan">
      <formula>1</formula>
    </cfRule>
  </conditionalFormatting>
  <conditionalFormatting sqref="R124 R127">
    <cfRule type="cellIs" dxfId="5887" priority="2256" operator="greaterThan">
      <formula>1</formula>
    </cfRule>
    <cfRule type="cellIs" dxfId="5886" priority="2257" operator="lessThan">
      <formula>0.8</formula>
    </cfRule>
  </conditionalFormatting>
  <conditionalFormatting sqref="R124 R127">
    <cfRule type="cellIs" dxfId="5885" priority="2252" operator="lessThan">
      <formula>0.8</formula>
    </cfRule>
    <cfRule type="cellIs" dxfId="5884" priority="2253" operator="greaterThan">
      <formula>1</formula>
    </cfRule>
  </conditionalFormatting>
  <conditionalFormatting sqref="R124 R127">
    <cfRule type="cellIs" dxfId="5883" priority="2250" operator="greaterThan">
      <formula>1</formula>
    </cfRule>
    <cfRule type="cellIs" dxfId="5882" priority="2251" operator="lessThan">
      <formula>0.8</formula>
    </cfRule>
  </conditionalFormatting>
  <conditionalFormatting sqref="P124 P127">
    <cfRule type="cellIs" dxfId="5881" priority="2249" operator="greaterThan">
      <formula>0</formula>
    </cfRule>
  </conditionalFormatting>
  <conditionalFormatting sqref="Q124 Q127">
    <cfRule type="cellIs" dxfId="5880" priority="2254" operator="lessThan">
      <formula>0</formula>
    </cfRule>
  </conditionalFormatting>
  <conditionalFormatting sqref="Q124 Q127">
    <cfRule type="cellIs" dxfId="5879" priority="2248" operator="lessThan">
      <formula>0</formula>
    </cfRule>
  </conditionalFormatting>
  <conditionalFormatting sqref="R124 R127">
    <cfRule type="cellIs" dxfId="5878" priority="2246" operator="lessThan">
      <formula>0.8</formula>
    </cfRule>
    <cfRule type="cellIs" dxfId="5877" priority="2247" operator="greaterThan">
      <formula>1</formula>
    </cfRule>
  </conditionalFormatting>
  <conditionalFormatting sqref="R124 R127">
    <cfRule type="cellIs" dxfId="5876" priority="2244" operator="greaterThan">
      <formula>1</formula>
    </cfRule>
    <cfRule type="cellIs" dxfId="5875" priority="2245" operator="lessThan">
      <formula>0.8</formula>
    </cfRule>
  </conditionalFormatting>
  <conditionalFormatting sqref="P124 P127">
    <cfRule type="cellIs" dxfId="5874" priority="2243" operator="greaterThan">
      <formula>0</formula>
    </cfRule>
  </conditionalFormatting>
  <conditionalFormatting sqref="P124 P127">
    <cfRule type="cellIs" dxfId="5873" priority="2237" operator="greaterThan">
      <formula>0</formula>
    </cfRule>
  </conditionalFormatting>
  <conditionalFormatting sqref="Q124 Q127">
    <cfRule type="cellIs" dxfId="5872" priority="2242" operator="lessThan">
      <formula>0</formula>
    </cfRule>
  </conditionalFormatting>
  <conditionalFormatting sqref="R124 R127">
    <cfRule type="cellIs" dxfId="5871" priority="2240" operator="lessThan">
      <formula>0.8</formula>
    </cfRule>
    <cfRule type="cellIs" dxfId="5870" priority="2241" operator="greaterThan">
      <formula>1</formula>
    </cfRule>
  </conditionalFormatting>
  <conditionalFormatting sqref="R124 R127">
    <cfRule type="cellIs" dxfId="5869" priority="2238" operator="greaterThan">
      <formula>1</formula>
    </cfRule>
    <cfRule type="cellIs" dxfId="5868" priority="2239" operator="lessThan">
      <formula>0.8</formula>
    </cfRule>
  </conditionalFormatting>
  <conditionalFormatting sqref="P124 P127">
    <cfRule type="cellIs" dxfId="5867" priority="2231" operator="greaterThan">
      <formula>0</formula>
    </cfRule>
  </conditionalFormatting>
  <conditionalFormatting sqref="Q124 Q127">
    <cfRule type="cellIs" dxfId="5866" priority="2236" operator="lessThan">
      <formula>0</formula>
    </cfRule>
  </conditionalFormatting>
  <conditionalFormatting sqref="R124 R127">
    <cfRule type="cellIs" dxfId="5865" priority="2234" operator="lessThan">
      <formula>0.8</formula>
    </cfRule>
    <cfRule type="cellIs" dxfId="5864" priority="2235" operator="greaterThan">
      <formula>1</formula>
    </cfRule>
  </conditionalFormatting>
  <conditionalFormatting sqref="R124 R127">
    <cfRule type="cellIs" dxfId="5863" priority="2232" operator="greaterThan">
      <formula>1</formula>
    </cfRule>
    <cfRule type="cellIs" dxfId="5862" priority="2233" operator="lessThan">
      <formula>0.8</formula>
    </cfRule>
  </conditionalFormatting>
  <conditionalFormatting sqref="R124 R127">
    <cfRule type="cellIs" dxfId="5861" priority="2228" operator="lessThan">
      <formula>0.8</formula>
    </cfRule>
    <cfRule type="cellIs" dxfId="5860" priority="2229" operator="greaterThan">
      <formula>1</formula>
    </cfRule>
  </conditionalFormatting>
  <conditionalFormatting sqref="R124 R127">
    <cfRule type="cellIs" dxfId="5859" priority="2226" operator="greaterThan">
      <formula>1</formula>
    </cfRule>
    <cfRule type="cellIs" dxfId="5858" priority="2227" operator="lessThan">
      <formula>0.8</formula>
    </cfRule>
  </conditionalFormatting>
  <conditionalFormatting sqref="P124 P127">
    <cfRule type="cellIs" dxfId="5857" priority="2225" operator="greaterThan">
      <formula>0</formula>
    </cfRule>
  </conditionalFormatting>
  <conditionalFormatting sqref="Q124 Q127">
    <cfRule type="cellIs" dxfId="5856" priority="2230" operator="lessThan">
      <formula>0</formula>
    </cfRule>
  </conditionalFormatting>
  <conditionalFormatting sqref="P124 P127">
    <cfRule type="cellIs" dxfId="5855" priority="2219" operator="greaterThan">
      <formula>0</formula>
    </cfRule>
  </conditionalFormatting>
  <conditionalFormatting sqref="Q124 Q127">
    <cfRule type="cellIs" dxfId="5854" priority="2224" operator="lessThan">
      <formula>0</formula>
    </cfRule>
  </conditionalFormatting>
  <conditionalFormatting sqref="R124 R127">
    <cfRule type="cellIs" dxfId="5853" priority="2222" operator="lessThan">
      <formula>0.8</formula>
    </cfRule>
    <cfRule type="cellIs" dxfId="5852" priority="2223" operator="greaterThan">
      <formula>1</formula>
    </cfRule>
  </conditionalFormatting>
  <conditionalFormatting sqref="R124 R127">
    <cfRule type="cellIs" dxfId="5851" priority="2220" operator="greaterThan">
      <formula>1</formula>
    </cfRule>
    <cfRule type="cellIs" dxfId="5850" priority="2221" operator="lessThan">
      <formula>0.8</formula>
    </cfRule>
  </conditionalFormatting>
  <conditionalFormatting sqref="R124 R127">
    <cfRule type="cellIs" dxfId="5849" priority="2216" operator="lessThan">
      <formula>0.8</formula>
    </cfRule>
    <cfRule type="cellIs" dxfId="5848" priority="2217" operator="greaterThan">
      <formula>1</formula>
    </cfRule>
  </conditionalFormatting>
  <conditionalFormatting sqref="R124 R127">
    <cfRule type="cellIs" dxfId="5847" priority="2214" operator="greaterThan">
      <formula>1</formula>
    </cfRule>
    <cfRule type="cellIs" dxfId="5846" priority="2215" operator="lessThan">
      <formula>0.8</formula>
    </cfRule>
  </conditionalFormatting>
  <conditionalFormatting sqref="P124 P127">
    <cfRule type="cellIs" dxfId="5845" priority="2213" operator="greaterThan">
      <formula>0</formula>
    </cfRule>
  </conditionalFormatting>
  <conditionalFormatting sqref="Q124 Q127">
    <cfRule type="cellIs" dxfId="5844" priority="2218" operator="lessThan">
      <formula>0</formula>
    </cfRule>
  </conditionalFormatting>
  <conditionalFormatting sqref="R124 R127">
    <cfRule type="cellIs" dxfId="5843" priority="2210" operator="lessThan">
      <formula>0.8</formula>
    </cfRule>
    <cfRule type="cellIs" dxfId="5842" priority="2211" operator="greaterThan">
      <formula>1</formula>
    </cfRule>
  </conditionalFormatting>
  <conditionalFormatting sqref="R124 R127">
    <cfRule type="cellIs" dxfId="5841" priority="2208" operator="greaterThan">
      <formula>1</formula>
    </cfRule>
    <cfRule type="cellIs" dxfId="5840" priority="2209" operator="lessThan">
      <formula>0.8</formula>
    </cfRule>
  </conditionalFormatting>
  <conditionalFormatting sqref="P124 P127">
    <cfRule type="cellIs" dxfId="5839" priority="2207" operator="greaterThan">
      <formula>0</formula>
    </cfRule>
  </conditionalFormatting>
  <conditionalFormatting sqref="Q124 Q127">
    <cfRule type="cellIs" dxfId="5838" priority="2212" operator="lessThan">
      <formula>0</formula>
    </cfRule>
  </conditionalFormatting>
  <conditionalFormatting sqref="Q124 Q127">
    <cfRule type="cellIs" dxfId="5837" priority="2206" operator="lessThan">
      <formula>0</formula>
    </cfRule>
  </conditionalFormatting>
  <conditionalFormatting sqref="R124 R127">
    <cfRule type="cellIs" dxfId="5836" priority="2204" operator="lessThan">
      <formula>0.8</formula>
    </cfRule>
    <cfRule type="cellIs" dxfId="5835" priority="2205" operator="greaterThan">
      <formula>1</formula>
    </cfRule>
  </conditionalFormatting>
  <conditionalFormatting sqref="R124 R127">
    <cfRule type="cellIs" dxfId="5834" priority="2202" operator="greaterThan">
      <formula>1</formula>
    </cfRule>
    <cfRule type="cellIs" dxfId="5833" priority="2203" operator="lessThan">
      <formula>0.8</formula>
    </cfRule>
  </conditionalFormatting>
  <conditionalFormatting sqref="P124 P127">
    <cfRule type="cellIs" dxfId="5832" priority="2201" operator="greaterThan">
      <formula>0</formula>
    </cfRule>
  </conditionalFormatting>
  <conditionalFormatting sqref="Q124 Q127">
    <cfRule type="cellIs" dxfId="5831" priority="2195" operator="lessThan">
      <formula>0</formula>
    </cfRule>
  </conditionalFormatting>
  <conditionalFormatting sqref="R124 R127">
    <cfRule type="cellIs" dxfId="5830" priority="2199" operator="lessThan">
      <formula>0.8</formula>
    </cfRule>
    <cfRule type="cellIs" dxfId="5829" priority="2200" operator="greaterThan">
      <formula>1</formula>
    </cfRule>
  </conditionalFormatting>
  <conditionalFormatting sqref="R124 R127">
    <cfRule type="cellIs" dxfId="5828" priority="2197" operator="greaterThan">
      <formula>1</formula>
    </cfRule>
    <cfRule type="cellIs" dxfId="5827" priority="2198" operator="lessThan">
      <formula>0.8</formula>
    </cfRule>
  </conditionalFormatting>
  <conditionalFormatting sqref="P124 P127">
    <cfRule type="cellIs" dxfId="5826" priority="2196" operator="greaterThan">
      <formula>0</formula>
    </cfRule>
  </conditionalFormatting>
  <conditionalFormatting sqref="Q124 Q127">
    <cfRule type="cellIs" dxfId="5825" priority="2194" operator="lessThan">
      <formula>0</formula>
    </cfRule>
  </conditionalFormatting>
  <conditionalFormatting sqref="R124 R127">
    <cfRule type="cellIs" dxfId="5824" priority="2192" operator="lessThan">
      <formula>0.8</formula>
    </cfRule>
    <cfRule type="cellIs" dxfId="5823" priority="2193" operator="greaterThan">
      <formula>1</formula>
    </cfRule>
  </conditionalFormatting>
  <conditionalFormatting sqref="R124 R127">
    <cfRule type="cellIs" dxfId="5822" priority="2190" operator="greaterThan">
      <formula>1</formula>
    </cfRule>
    <cfRule type="cellIs" dxfId="5821" priority="2191" operator="lessThan">
      <formula>0.8</formula>
    </cfRule>
  </conditionalFormatting>
  <conditionalFormatting sqref="P124 P127">
    <cfRule type="cellIs" dxfId="5820" priority="2189" operator="greaterThan">
      <formula>0</formula>
    </cfRule>
  </conditionalFormatting>
  <conditionalFormatting sqref="Q124 Q127">
    <cfRule type="cellIs" dxfId="5819" priority="2188" operator="lessThan">
      <formula>0</formula>
    </cfRule>
  </conditionalFormatting>
  <conditionalFormatting sqref="R124 R127">
    <cfRule type="cellIs" dxfId="5818" priority="2186" operator="lessThan">
      <formula>0.8</formula>
    </cfRule>
    <cfRule type="cellIs" dxfId="5817" priority="2187" operator="greaterThan">
      <formula>1</formula>
    </cfRule>
  </conditionalFormatting>
  <conditionalFormatting sqref="R124 R127">
    <cfRule type="cellIs" dxfId="5816" priority="2184" operator="greaterThan">
      <formula>1</formula>
    </cfRule>
    <cfRule type="cellIs" dxfId="5815" priority="2185" operator="lessThan">
      <formula>0.8</formula>
    </cfRule>
  </conditionalFormatting>
  <conditionalFormatting sqref="P124 P127">
    <cfRule type="cellIs" dxfId="5814" priority="2183" operator="greaterThan">
      <formula>0</formula>
    </cfRule>
  </conditionalFormatting>
  <conditionalFormatting sqref="Q124 Q127">
    <cfRule type="cellIs" dxfId="5813" priority="2182" operator="lessThan">
      <formula>0</formula>
    </cfRule>
  </conditionalFormatting>
  <conditionalFormatting sqref="R124 R127">
    <cfRule type="cellIs" dxfId="5812" priority="2180" operator="lessThan">
      <formula>0.8</formula>
    </cfRule>
    <cfRule type="cellIs" dxfId="5811" priority="2181" operator="greaterThan">
      <formula>1</formula>
    </cfRule>
  </conditionalFormatting>
  <conditionalFormatting sqref="R124 R127">
    <cfRule type="cellIs" dxfId="5810" priority="2178" operator="greaterThan">
      <formula>1</formula>
    </cfRule>
    <cfRule type="cellIs" dxfId="5809" priority="2179" operator="lessThan">
      <formula>0.8</formula>
    </cfRule>
  </conditionalFormatting>
  <conditionalFormatting sqref="P124 P127">
    <cfRule type="cellIs" dxfId="5808" priority="2177" operator="greaterThan">
      <formula>0</formula>
    </cfRule>
  </conditionalFormatting>
  <conditionalFormatting sqref="Q124 Q127">
    <cfRule type="cellIs" dxfId="5807" priority="2176" operator="lessThan">
      <formula>0</formula>
    </cfRule>
  </conditionalFormatting>
  <conditionalFormatting sqref="R124 R127">
    <cfRule type="cellIs" dxfId="5806" priority="2174" operator="lessThan">
      <formula>0.8</formula>
    </cfRule>
    <cfRule type="cellIs" dxfId="5805" priority="2175" operator="greaterThan">
      <formula>1</formula>
    </cfRule>
  </conditionalFormatting>
  <conditionalFormatting sqref="R124 R127">
    <cfRule type="cellIs" dxfId="5804" priority="2172" operator="greaterThan">
      <formula>1</formula>
    </cfRule>
    <cfRule type="cellIs" dxfId="5803" priority="2173" operator="lessThan">
      <formula>0.8</formula>
    </cfRule>
  </conditionalFormatting>
  <conditionalFormatting sqref="P124 P127">
    <cfRule type="cellIs" dxfId="5802" priority="2171" operator="greaterThan">
      <formula>0</formula>
    </cfRule>
  </conditionalFormatting>
  <conditionalFormatting sqref="Q124 Q127">
    <cfRule type="cellIs" dxfId="5801" priority="2170" operator="lessThan">
      <formula>0</formula>
    </cfRule>
  </conditionalFormatting>
  <conditionalFormatting sqref="R124 R127">
    <cfRule type="cellIs" dxfId="5800" priority="2168" operator="lessThan">
      <formula>0.8</formula>
    </cfRule>
    <cfRule type="cellIs" dxfId="5799" priority="2169" operator="greaterThan">
      <formula>1</formula>
    </cfRule>
  </conditionalFormatting>
  <conditionalFormatting sqref="R124 R127">
    <cfRule type="cellIs" dxfId="5798" priority="2166" operator="greaterThan">
      <formula>1</formula>
    </cfRule>
    <cfRule type="cellIs" dxfId="5797" priority="2167" operator="lessThan">
      <formula>0.8</formula>
    </cfRule>
  </conditionalFormatting>
  <conditionalFormatting sqref="P124 P127">
    <cfRule type="cellIs" dxfId="5796" priority="2165" operator="greaterThan">
      <formula>0</formula>
    </cfRule>
  </conditionalFormatting>
  <conditionalFormatting sqref="P124 P127">
    <cfRule type="cellIs" dxfId="5795" priority="2159" operator="greaterThan">
      <formula>0</formula>
    </cfRule>
  </conditionalFormatting>
  <conditionalFormatting sqref="Q124 Q127">
    <cfRule type="cellIs" dxfId="5794" priority="2164" operator="lessThan">
      <formula>0</formula>
    </cfRule>
  </conditionalFormatting>
  <conditionalFormatting sqref="R124 R127">
    <cfRule type="cellIs" dxfId="5793" priority="2162" operator="lessThan">
      <formula>0.8</formula>
    </cfRule>
    <cfRule type="cellIs" dxfId="5792" priority="2163" operator="greaterThan">
      <formula>1</formula>
    </cfRule>
  </conditionalFormatting>
  <conditionalFormatting sqref="R124 R127">
    <cfRule type="cellIs" dxfId="5791" priority="2160" operator="greaterThan">
      <formula>1</formula>
    </cfRule>
    <cfRule type="cellIs" dxfId="5790" priority="2161" operator="lessThan">
      <formula>0.8</formula>
    </cfRule>
  </conditionalFormatting>
  <conditionalFormatting sqref="P124 P127">
    <cfRule type="cellIs" dxfId="5789" priority="2153" operator="greaterThan">
      <formula>0</formula>
    </cfRule>
  </conditionalFormatting>
  <conditionalFormatting sqref="Q124 Q127">
    <cfRule type="cellIs" dxfId="5788" priority="2158" operator="lessThan">
      <formula>0</formula>
    </cfRule>
  </conditionalFormatting>
  <conditionalFormatting sqref="R124 R127">
    <cfRule type="cellIs" dxfId="5787" priority="2156" operator="lessThan">
      <formula>0.8</formula>
    </cfRule>
    <cfRule type="cellIs" dxfId="5786" priority="2157" operator="greaterThan">
      <formula>1</formula>
    </cfRule>
  </conditionalFormatting>
  <conditionalFormatting sqref="R124 R127">
    <cfRule type="cellIs" dxfId="5785" priority="2154" operator="greaterThan">
      <formula>1</formula>
    </cfRule>
    <cfRule type="cellIs" dxfId="5784" priority="2155" operator="lessThan">
      <formula>0.8</formula>
    </cfRule>
  </conditionalFormatting>
  <conditionalFormatting sqref="R124 R127">
    <cfRule type="cellIs" dxfId="5783" priority="2150" operator="lessThan">
      <formula>0.8</formula>
    </cfRule>
    <cfRule type="cellIs" dxfId="5782" priority="2151" operator="greaterThan">
      <formula>1</formula>
    </cfRule>
  </conditionalFormatting>
  <conditionalFormatting sqref="R124 R127">
    <cfRule type="cellIs" dxfId="5781" priority="2148" operator="greaterThan">
      <formula>1</formula>
    </cfRule>
    <cfRule type="cellIs" dxfId="5780" priority="2149" operator="lessThan">
      <formula>0.8</formula>
    </cfRule>
  </conditionalFormatting>
  <conditionalFormatting sqref="P124 P127">
    <cfRule type="cellIs" dxfId="5779" priority="2147" operator="greaterThan">
      <formula>0</formula>
    </cfRule>
  </conditionalFormatting>
  <conditionalFormatting sqref="Q124 Q127">
    <cfRule type="cellIs" dxfId="5778" priority="2152" operator="lessThan">
      <formula>0</formula>
    </cfRule>
  </conditionalFormatting>
  <conditionalFormatting sqref="Q5:Q14">
    <cfRule type="cellIs" dxfId="5777" priority="2146" operator="lessThan">
      <formula>0</formula>
    </cfRule>
  </conditionalFormatting>
  <conditionalFormatting sqref="R5:R14">
    <cfRule type="cellIs" dxfId="5776" priority="2144" operator="lessThan">
      <formula>0.8</formula>
    </cfRule>
    <cfRule type="cellIs" dxfId="5775" priority="2145" operator="greaterThan">
      <formula>1</formula>
    </cfRule>
  </conditionalFormatting>
  <conditionalFormatting sqref="R5:R14">
    <cfRule type="cellIs" dxfId="5774" priority="2142" operator="greaterThan">
      <formula>1</formula>
    </cfRule>
    <cfRule type="cellIs" dxfId="5773" priority="2143" operator="lessThan">
      <formula>0.8</formula>
    </cfRule>
  </conditionalFormatting>
  <conditionalFormatting sqref="P5:P14">
    <cfRule type="cellIs" dxfId="5772" priority="2141" operator="greaterThan">
      <formula>0</formula>
    </cfRule>
  </conditionalFormatting>
  <conditionalFormatting sqref="Q83">
    <cfRule type="cellIs" dxfId="5771" priority="2140" operator="lessThan">
      <formula>0</formula>
    </cfRule>
  </conditionalFormatting>
  <conditionalFormatting sqref="R83">
    <cfRule type="cellIs" dxfId="5770" priority="2138" operator="lessThan">
      <formula>0.8</formula>
    </cfRule>
    <cfRule type="cellIs" dxfId="5769" priority="2139" operator="greaterThan">
      <formula>1</formula>
    </cfRule>
  </conditionalFormatting>
  <conditionalFormatting sqref="R83">
    <cfRule type="cellIs" dxfId="5768" priority="2136" operator="greaterThan">
      <formula>1</formula>
    </cfRule>
    <cfRule type="cellIs" dxfId="5767" priority="2137" operator="lessThan">
      <formula>0.8</formula>
    </cfRule>
  </conditionalFormatting>
  <conditionalFormatting sqref="P83">
    <cfRule type="cellIs" dxfId="5766" priority="2135" operator="greaterThan">
      <formula>0</formula>
    </cfRule>
  </conditionalFormatting>
  <conditionalFormatting sqref="Q83">
    <cfRule type="cellIs" dxfId="5765" priority="2134" operator="lessThan">
      <formula>0</formula>
    </cfRule>
  </conditionalFormatting>
  <conditionalFormatting sqref="R83">
    <cfRule type="cellIs" dxfId="5764" priority="2132" operator="lessThan">
      <formula>0.8</formula>
    </cfRule>
    <cfRule type="cellIs" dxfId="5763" priority="2133" operator="greaterThan">
      <formula>1</formula>
    </cfRule>
  </conditionalFormatting>
  <conditionalFormatting sqref="R83">
    <cfRule type="cellIs" dxfId="5762" priority="2130" operator="greaterThan">
      <formula>1</formula>
    </cfRule>
    <cfRule type="cellIs" dxfId="5761" priority="2131" operator="lessThan">
      <formula>0.8</formula>
    </cfRule>
  </conditionalFormatting>
  <conditionalFormatting sqref="P83">
    <cfRule type="cellIs" dxfId="5760" priority="2129" operator="greaterThan">
      <formula>0</formula>
    </cfRule>
  </conditionalFormatting>
  <conditionalFormatting sqref="Q83">
    <cfRule type="cellIs" dxfId="5759" priority="2128" operator="lessThan">
      <formula>0</formula>
    </cfRule>
  </conditionalFormatting>
  <conditionalFormatting sqref="R83">
    <cfRule type="cellIs" dxfId="5758" priority="2126" operator="lessThan">
      <formula>0.8</formula>
    </cfRule>
    <cfRule type="cellIs" dxfId="5757" priority="2127" operator="greaterThan">
      <formula>1</formula>
    </cfRule>
  </conditionalFormatting>
  <conditionalFormatting sqref="R83">
    <cfRule type="cellIs" dxfId="5756" priority="2124" operator="greaterThan">
      <formula>1</formula>
    </cfRule>
    <cfRule type="cellIs" dxfId="5755" priority="2125" operator="lessThan">
      <formula>0.8</formula>
    </cfRule>
  </conditionalFormatting>
  <conditionalFormatting sqref="P83">
    <cfRule type="cellIs" dxfId="5754" priority="2123" operator="greaterThan">
      <formula>0</formula>
    </cfRule>
  </conditionalFormatting>
  <conditionalFormatting sqref="Q83">
    <cfRule type="cellIs" dxfId="5753" priority="2122" operator="lessThan">
      <formula>0</formula>
    </cfRule>
  </conditionalFormatting>
  <conditionalFormatting sqref="R83">
    <cfRule type="cellIs" dxfId="5752" priority="2120" operator="lessThan">
      <formula>0.8</formula>
    </cfRule>
    <cfRule type="cellIs" dxfId="5751" priority="2121" operator="greaterThan">
      <formula>1</formula>
    </cfRule>
  </conditionalFormatting>
  <conditionalFormatting sqref="R83">
    <cfRule type="cellIs" dxfId="5750" priority="2118" operator="greaterThan">
      <formula>1</formula>
    </cfRule>
    <cfRule type="cellIs" dxfId="5749" priority="2119" operator="lessThan">
      <formula>0.8</formula>
    </cfRule>
  </conditionalFormatting>
  <conditionalFormatting sqref="P83">
    <cfRule type="cellIs" dxfId="5748" priority="2117" operator="greaterThan">
      <formula>0</formula>
    </cfRule>
  </conditionalFormatting>
  <conditionalFormatting sqref="P83">
    <cfRule type="cellIs" dxfId="5747" priority="2111" operator="greaterThan">
      <formula>0</formula>
    </cfRule>
  </conditionalFormatting>
  <conditionalFormatting sqref="Q83">
    <cfRule type="cellIs" dxfId="5746" priority="2116" operator="lessThan">
      <formula>0</formula>
    </cfRule>
  </conditionalFormatting>
  <conditionalFormatting sqref="R83">
    <cfRule type="cellIs" dxfId="5745" priority="2114" operator="lessThan">
      <formula>0.8</formula>
    </cfRule>
    <cfRule type="cellIs" dxfId="5744" priority="2115" operator="greaterThan">
      <formula>1</formula>
    </cfRule>
  </conditionalFormatting>
  <conditionalFormatting sqref="R83">
    <cfRule type="cellIs" dxfId="5743" priority="2112" operator="greaterThan">
      <formula>1</formula>
    </cfRule>
    <cfRule type="cellIs" dxfId="5742" priority="2113" operator="lessThan">
      <formula>0.8</formula>
    </cfRule>
  </conditionalFormatting>
  <conditionalFormatting sqref="P83">
    <cfRule type="cellIs" dxfId="5741" priority="2105" operator="greaterThan">
      <formula>0</formula>
    </cfRule>
  </conditionalFormatting>
  <conditionalFormatting sqref="Q83">
    <cfRule type="cellIs" dxfId="5740" priority="2110" operator="lessThan">
      <formula>0</formula>
    </cfRule>
  </conditionalFormatting>
  <conditionalFormatting sqref="R83">
    <cfRule type="cellIs" dxfId="5739" priority="2108" operator="lessThan">
      <formula>0.8</formula>
    </cfRule>
    <cfRule type="cellIs" dxfId="5738" priority="2109" operator="greaterThan">
      <formula>1</formula>
    </cfRule>
  </conditionalFormatting>
  <conditionalFormatting sqref="R83">
    <cfRule type="cellIs" dxfId="5737" priority="2106" operator="greaterThan">
      <formula>1</formula>
    </cfRule>
    <cfRule type="cellIs" dxfId="5736" priority="2107" operator="lessThan">
      <formula>0.8</formula>
    </cfRule>
  </conditionalFormatting>
  <conditionalFormatting sqref="R83">
    <cfRule type="cellIs" dxfId="5735" priority="2102" operator="lessThan">
      <formula>0.8</formula>
    </cfRule>
    <cfRule type="cellIs" dxfId="5734" priority="2103" operator="greaterThan">
      <formula>1</formula>
    </cfRule>
  </conditionalFormatting>
  <conditionalFormatting sqref="R83">
    <cfRule type="cellIs" dxfId="5733" priority="2100" operator="greaterThan">
      <formula>1</formula>
    </cfRule>
    <cfRule type="cellIs" dxfId="5732" priority="2101" operator="lessThan">
      <formula>0.8</formula>
    </cfRule>
  </conditionalFormatting>
  <conditionalFormatting sqref="P83">
    <cfRule type="cellIs" dxfId="5731" priority="2099" operator="greaterThan">
      <formula>0</formula>
    </cfRule>
  </conditionalFormatting>
  <conditionalFormatting sqref="Q83">
    <cfRule type="cellIs" dxfId="5730" priority="2104" operator="lessThan">
      <formula>0</formula>
    </cfRule>
  </conditionalFormatting>
  <conditionalFormatting sqref="Q83">
    <cfRule type="cellIs" dxfId="5729" priority="2098" operator="lessThan">
      <formula>0</formula>
    </cfRule>
  </conditionalFormatting>
  <conditionalFormatting sqref="R83">
    <cfRule type="cellIs" dxfId="5728" priority="2096" operator="lessThan">
      <formula>0.8</formula>
    </cfRule>
    <cfRule type="cellIs" dxfId="5727" priority="2097" operator="greaterThan">
      <formula>1</formula>
    </cfRule>
  </conditionalFormatting>
  <conditionalFormatting sqref="R83">
    <cfRule type="cellIs" dxfId="5726" priority="2094" operator="greaterThan">
      <formula>1</formula>
    </cfRule>
    <cfRule type="cellIs" dxfId="5725" priority="2095" operator="lessThan">
      <formula>0.8</formula>
    </cfRule>
  </conditionalFormatting>
  <conditionalFormatting sqref="P83">
    <cfRule type="cellIs" dxfId="5724" priority="2093" operator="greaterThan">
      <formula>0</formula>
    </cfRule>
  </conditionalFormatting>
  <conditionalFormatting sqref="P83">
    <cfRule type="cellIs" dxfId="5723" priority="2087" operator="greaterThan">
      <formula>0</formula>
    </cfRule>
  </conditionalFormatting>
  <conditionalFormatting sqref="Q83">
    <cfRule type="cellIs" dxfId="5722" priority="2092" operator="lessThan">
      <formula>0</formula>
    </cfRule>
  </conditionalFormatting>
  <conditionalFormatting sqref="R83">
    <cfRule type="cellIs" dxfId="5721" priority="2090" operator="lessThan">
      <formula>0.8</formula>
    </cfRule>
    <cfRule type="cellIs" dxfId="5720" priority="2091" operator="greaterThan">
      <formula>1</formula>
    </cfRule>
  </conditionalFormatting>
  <conditionalFormatting sqref="R83">
    <cfRule type="cellIs" dxfId="5719" priority="2088" operator="greaterThan">
      <formula>1</formula>
    </cfRule>
    <cfRule type="cellIs" dxfId="5718" priority="2089" operator="lessThan">
      <formula>0.8</formula>
    </cfRule>
  </conditionalFormatting>
  <conditionalFormatting sqref="P83">
    <cfRule type="cellIs" dxfId="5717" priority="2081" operator="greaterThan">
      <formula>0</formula>
    </cfRule>
  </conditionalFormatting>
  <conditionalFormatting sqref="Q83">
    <cfRule type="cellIs" dxfId="5716" priority="2086" operator="lessThan">
      <formula>0</formula>
    </cfRule>
  </conditionalFormatting>
  <conditionalFormatting sqref="R83">
    <cfRule type="cellIs" dxfId="5715" priority="2084" operator="lessThan">
      <formula>0.8</formula>
    </cfRule>
    <cfRule type="cellIs" dxfId="5714" priority="2085" operator="greaterThan">
      <formula>1</formula>
    </cfRule>
  </conditionalFormatting>
  <conditionalFormatting sqref="R83">
    <cfRule type="cellIs" dxfId="5713" priority="2082" operator="greaterThan">
      <formula>1</formula>
    </cfRule>
    <cfRule type="cellIs" dxfId="5712" priority="2083" operator="lessThan">
      <formula>0.8</formula>
    </cfRule>
  </conditionalFormatting>
  <conditionalFormatting sqref="R83">
    <cfRule type="cellIs" dxfId="5711" priority="2078" operator="lessThan">
      <formula>0.8</formula>
    </cfRule>
    <cfRule type="cellIs" dxfId="5710" priority="2079" operator="greaterThan">
      <formula>1</formula>
    </cfRule>
  </conditionalFormatting>
  <conditionalFormatting sqref="R83">
    <cfRule type="cellIs" dxfId="5709" priority="2076" operator="greaterThan">
      <formula>1</formula>
    </cfRule>
    <cfRule type="cellIs" dxfId="5708" priority="2077" operator="lessThan">
      <formula>0.8</formula>
    </cfRule>
  </conditionalFormatting>
  <conditionalFormatting sqref="P83">
    <cfRule type="cellIs" dxfId="5707" priority="2075" operator="greaterThan">
      <formula>0</formula>
    </cfRule>
  </conditionalFormatting>
  <conditionalFormatting sqref="Q83">
    <cfRule type="cellIs" dxfId="5706" priority="2080" operator="lessThan">
      <formula>0</formula>
    </cfRule>
  </conditionalFormatting>
  <conditionalFormatting sqref="P83">
    <cfRule type="cellIs" dxfId="5705" priority="2069" operator="greaterThan">
      <formula>0</formula>
    </cfRule>
  </conditionalFormatting>
  <conditionalFormatting sqref="Q83">
    <cfRule type="cellIs" dxfId="5704" priority="2074" operator="lessThan">
      <formula>0</formula>
    </cfRule>
  </conditionalFormatting>
  <conditionalFormatting sqref="R83">
    <cfRule type="cellIs" dxfId="5703" priority="2072" operator="lessThan">
      <formula>0.8</formula>
    </cfRule>
    <cfRule type="cellIs" dxfId="5702" priority="2073" operator="greaterThan">
      <formula>1</formula>
    </cfRule>
  </conditionalFormatting>
  <conditionalFormatting sqref="R83">
    <cfRule type="cellIs" dxfId="5701" priority="2070" operator="greaterThan">
      <formula>1</formula>
    </cfRule>
    <cfRule type="cellIs" dxfId="5700" priority="2071" operator="lessThan">
      <formula>0.8</formula>
    </cfRule>
  </conditionalFormatting>
  <conditionalFormatting sqref="R83">
    <cfRule type="cellIs" dxfId="5699" priority="2066" operator="lessThan">
      <formula>0.8</formula>
    </cfRule>
    <cfRule type="cellIs" dxfId="5698" priority="2067" operator="greaterThan">
      <formula>1</formula>
    </cfRule>
  </conditionalFormatting>
  <conditionalFormatting sqref="R83">
    <cfRule type="cellIs" dxfId="5697" priority="2064" operator="greaterThan">
      <formula>1</formula>
    </cfRule>
    <cfRule type="cellIs" dxfId="5696" priority="2065" operator="lessThan">
      <formula>0.8</formula>
    </cfRule>
  </conditionalFormatting>
  <conditionalFormatting sqref="P83">
    <cfRule type="cellIs" dxfId="5695" priority="2063" operator="greaterThan">
      <formula>0</formula>
    </cfRule>
  </conditionalFormatting>
  <conditionalFormatting sqref="Q83">
    <cfRule type="cellIs" dxfId="5694" priority="2068" operator="lessThan">
      <formula>0</formula>
    </cfRule>
  </conditionalFormatting>
  <conditionalFormatting sqref="R83">
    <cfRule type="cellIs" dxfId="5693" priority="2060" operator="lessThan">
      <formula>0.8</formula>
    </cfRule>
    <cfRule type="cellIs" dxfId="5692" priority="2061" operator="greaterThan">
      <formula>1</formula>
    </cfRule>
  </conditionalFormatting>
  <conditionalFormatting sqref="R83">
    <cfRule type="cellIs" dxfId="5691" priority="2058" operator="greaterThan">
      <formula>1</formula>
    </cfRule>
    <cfRule type="cellIs" dxfId="5690" priority="2059" operator="lessThan">
      <formula>0.8</formula>
    </cfRule>
  </conditionalFormatting>
  <conditionalFormatting sqref="P83">
    <cfRule type="cellIs" dxfId="5689" priority="2057" operator="greaterThan">
      <formula>0</formula>
    </cfRule>
  </conditionalFormatting>
  <conditionalFormatting sqref="Q83">
    <cfRule type="cellIs" dxfId="5688" priority="2062" operator="lessThan">
      <formula>0</formula>
    </cfRule>
  </conditionalFormatting>
  <conditionalFormatting sqref="Q83">
    <cfRule type="cellIs" dxfId="5687" priority="2056" operator="lessThan">
      <formula>0</formula>
    </cfRule>
  </conditionalFormatting>
  <conditionalFormatting sqref="R83">
    <cfRule type="cellIs" dxfId="5686" priority="2054" operator="lessThan">
      <formula>0.8</formula>
    </cfRule>
    <cfRule type="cellIs" dxfId="5685" priority="2055" operator="greaterThan">
      <formula>1</formula>
    </cfRule>
  </conditionalFormatting>
  <conditionalFormatting sqref="R83">
    <cfRule type="cellIs" dxfId="5684" priority="2052" operator="greaterThan">
      <formula>1</formula>
    </cfRule>
    <cfRule type="cellIs" dxfId="5683" priority="2053" operator="lessThan">
      <formula>0.8</formula>
    </cfRule>
  </conditionalFormatting>
  <conditionalFormatting sqref="P83">
    <cfRule type="cellIs" dxfId="5682" priority="2051" operator="greaterThan">
      <formula>0</formula>
    </cfRule>
  </conditionalFormatting>
  <conditionalFormatting sqref="Q83">
    <cfRule type="cellIs" dxfId="5681" priority="2045" operator="lessThan">
      <formula>0</formula>
    </cfRule>
  </conditionalFormatting>
  <conditionalFormatting sqref="R83">
    <cfRule type="cellIs" dxfId="5680" priority="2049" operator="lessThan">
      <formula>0.8</formula>
    </cfRule>
    <cfRule type="cellIs" dxfId="5679" priority="2050" operator="greaterThan">
      <formula>1</formula>
    </cfRule>
  </conditionalFormatting>
  <conditionalFormatting sqref="R83">
    <cfRule type="cellIs" dxfId="5678" priority="2047" operator="greaterThan">
      <formula>1</formula>
    </cfRule>
    <cfRule type="cellIs" dxfId="5677" priority="2048" operator="lessThan">
      <formula>0.8</formula>
    </cfRule>
  </conditionalFormatting>
  <conditionalFormatting sqref="P83">
    <cfRule type="cellIs" dxfId="5676" priority="2046" operator="greaterThan">
      <formula>0</formula>
    </cfRule>
  </conditionalFormatting>
  <conditionalFormatting sqref="Q83">
    <cfRule type="cellIs" dxfId="5675" priority="2044" operator="lessThan">
      <formula>0</formula>
    </cfRule>
  </conditionalFormatting>
  <conditionalFormatting sqref="R83">
    <cfRule type="cellIs" dxfId="5674" priority="2042" operator="lessThan">
      <formula>0.8</formula>
    </cfRule>
    <cfRule type="cellIs" dxfId="5673" priority="2043" operator="greaterThan">
      <formula>1</formula>
    </cfRule>
  </conditionalFormatting>
  <conditionalFormatting sqref="R83">
    <cfRule type="cellIs" dxfId="5672" priority="2040" operator="greaterThan">
      <formula>1</formula>
    </cfRule>
    <cfRule type="cellIs" dxfId="5671" priority="2041" operator="lessThan">
      <formula>0.8</formula>
    </cfRule>
  </conditionalFormatting>
  <conditionalFormatting sqref="P83">
    <cfRule type="cellIs" dxfId="5670" priority="2039" operator="greaterThan">
      <formula>0</formula>
    </cfRule>
  </conditionalFormatting>
  <conditionalFormatting sqref="Q83">
    <cfRule type="cellIs" dxfId="5669" priority="2038" operator="lessThan">
      <formula>0</formula>
    </cfRule>
  </conditionalFormatting>
  <conditionalFormatting sqref="R83">
    <cfRule type="cellIs" dxfId="5668" priority="2036" operator="lessThan">
      <formula>0.8</formula>
    </cfRule>
    <cfRule type="cellIs" dxfId="5667" priority="2037" operator="greaterThan">
      <formula>1</formula>
    </cfRule>
  </conditionalFormatting>
  <conditionalFormatting sqref="R83">
    <cfRule type="cellIs" dxfId="5666" priority="2034" operator="greaterThan">
      <formula>1</formula>
    </cfRule>
    <cfRule type="cellIs" dxfId="5665" priority="2035" operator="lessThan">
      <formula>0.8</formula>
    </cfRule>
  </conditionalFormatting>
  <conditionalFormatting sqref="P83">
    <cfRule type="cellIs" dxfId="5664" priority="2033" operator="greaterThan">
      <formula>0</formula>
    </cfRule>
  </conditionalFormatting>
  <conditionalFormatting sqref="Q83">
    <cfRule type="cellIs" dxfId="5663" priority="2032" operator="lessThan">
      <formula>0</formula>
    </cfRule>
  </conditionalFormatting>
  <conditionalFormatting sqref="R83">
    <cfRule type="cellIs" dxfId="5662" priority="2030" operator="lessThan">
      <formula>0.8</formula>
    </cfRule>
    <cfRule type="cellIs" dxfId="5661" priority="2031" operator="greaterThan">
      <formula>1</formula>
    </cfRule>
  </conditionalFormatting>
  <conditionalFormatting sqref="R83">
    <cfRule type="cellIs" dxfId="5660" priority="2028" operator="greaterThan">
      <formula>1</formula>
    </cfRule>
    <cfRule type="cellIs" dxfId="5659" priority="2029" operator="lessThan">
      <formula>0.8</formula>
    </cfRule>
  </conditionalFormatting>
  <conditionalFormatting sqref="P83">
    <cfRule type="cellIs" dxfId="5658" priority="2027" operator="greaterThan">
      <formula>0</formula>
    </cfRule>
  </conditionalFormatting>
  <conditionalFormatting sqref="Q83">
    <cfRule type="cellIs" dxfId="5657" priority="2026" operator="lessThan">
      <formula>0</formula>
    </cfRule>
  </conditionalFormatting>
  <conditionalFormatting sqref="R83">
    <cfRule type="cellIs" dxfId="5656" priority="2024" operator="lessThan">
      <formula>0.8</formula>
    </cfRule>
    <cfRule type="cellIs" dxfId="5655" priority="2025" operator="greaterThan">
      <formula>1</formula>
    </cfRule>
  </conditionalFormatting>
  <conditionalFormatting sqref="R83">
    <cfRule type="cellIs" dxfId="5654" priority="2022" operator="greaterThan">
      <formula>1</formula>
    </cfRule>
    <cfRule type="cellIs" dxfId="5653" priority="2023" operator="lessThan">
      <formula>0.8</formula>
    </cfRule>
  </conditionalFormatting>
  <conditionalFormatting sqref="P83">
    <cfRule type="cellIs" dxfId="5652" priority="2021" operator="greaterThan">
      <formula>0</formula>
    </cfRule>
  </conditionalFormatting>
  <conditionalFormatting sqref="Q83">
    <cfRule type="cellIs" dxfId="5651" priority="2020" operator="lessThan">
      <formula>0</formula>
    </cfRule>
  </conditionalFormatting>
  <conditionalFormatting sqref="R83">
    <cfRule type="cellIs" dxfId="5650" priority="2018" operator="lessThan">
      <formula>0.8</formula>
    </cfRule>
    <cfRule type="cellIs" dxfId="5649" priority="2019" operator="greaterThan">
      <formula>1</formula>
    </cfRule>
  </conditionalFormatting>
  <conditionalFormatting sqref="R83">
    <cfRule type="cellIs" dxfId="5648" priority="2016" operator="greaterThan">
      <formula>1</formula>
    </cfRule>
    <cfRule type="cellIs" dxfId="5647" priority="2017" operator="lessThan">
      <formula>0.8</formula>
    </cfRule>
  </conditionalFormatting>
  <conditionalFormatting sqref="P83">
    <cfRule type="cellIs" dxfId="5646" priority="2015" operator="greaterThan">
      <formula>0</formula>
    </cfRule>
  </conditionalFormatting>
  <conditionalFormatting sqref="P83">
    <cfRule type="cellIs" dxfId="5645" priority="2009" operator="greaterThan">
      <formula>0</formula>
    </cfRule>
  </conditionalFormatting>
  <conditionalFormatting sqref="Q83">
    <cfRule type="cellIs" dxfId="5644" priority="2014" operator="lessThan">
      <formula>0</formula>
    </cfRule>
  </conditionalFormatting>
  <conditionalFormatting sqref="R83">
    <cfRule type="cellIs" dxfId="5643" priority="2012" operator="lessThan">
      <formula>0.8</formula>
    </cfRule>
    <cfRule type="cellIs" dxfId="5642" priority="2013" operator="greaterThan">
      <formula>1</formula>
    </cfRule>
  </conditionalFormatting>
  <conditionalFormatting sqref="R83">
    <cfRule type="cellIs" dxfId="5641" priority="2010" operator="greaterThan">
      <formula>1</formula>
    </cfRule>
    <cfRule type="cellIs" dxfId="5640" priority="2011" operator="lessThan">
      <formula>0.8</formula>
    </cfRule>
  </conditionalFormatting>
  <conditionalFormatting sqref="P83">
    <cfRule type="cellIs" dxfId="5639" priority="2003" operator="greaterThan">
      <formula>0</formula>
    </cfRule>
  </conditionalFormatting>
  <conditionalFormatting sqref="Q83">
    <cfRule type="cellIs" dxfId="5638" priority="2008" operator="lessThan">
      <formula>0</formula>
    </cfRule>
  </conditionalFormatting>
  <conditionalFormatting sqref="R83">
    <cfRule type="cellIs" dxfId="5637" priority="2006" operator="lessThan">
      <formula>0.8</formula>
    </cfRule>
    <cfRule type="cellIs" dxfId="5636" priority="2007" operator="greaterThan">
      <formula>1</formula>
    </cfRule>
  </conditionalFormatting>
  <conditionalFormatting sqref="R83">
    <cfRule type="cellIs" dxfId="5635" priority="2004" operator="greaterThan">
      <formula>1</formula>
    </cfRule>
    <cfRule type="cellIs" dxfId="5634" priority="2005" operator="lessThan">
      <formula>0.8</formula>
    </cfRule>
  </conditionalFormatting>
  <conditionalFormatting sqref="R83">
    <cfRule type="cellIs" dxfId="5633" priority="2000" operator="lessThan">
      <formula>0.8</formula>
    </cfRule>
    <cfRule type="cellIs" dxfId="5632" priority="2001" operator="greaterThan">
      <formula>1</formula>
    </cfRule>
  </conditionalFormatting>
  <conditionalFormatting sqref="R83">
    <cfRule type="cellIs" dxfId="5631" priority="1998" operator="greaterThan">
      <formula>1</formula>
    </cfRule>
    <cfRule type="cellIs" dxfId="5630" priority="1999" operator="lessThan">
      <formula>0.8</formula>
    </cfRule>
  </conditionalFormatting>
  <conditionalFormatting sqref="P83">
    <cfRule type="cellIs" dxfId="5629" priority="1997" operator="greaterThan">
      <formula>0</formula>
    </cfRule>
  </conditionalFormatting>
  <conditionalFormatting sqref="Q83">
    <cfRule type="cellIs" dxfId="5628" priority="2002" operator="lessThan">
      <formula>0</formula>
    </cfRule>
  </conditionalFormatting>
  <conditionalFormatting sqref="Q83">
    <cfRule type="cellIs" dxfId="5627" priority="1991" operator="lessThan">
      <formula>0</formula>
    </cfRule>
  </conditionalFormatting>
  <conditionalFormatting sqref="P83">
    <cfRule type="cellIs" dxfId="5626" priority="1992" operator="greaterThan">
      <formula>0</formula>
    </cfRule>
  </conditionalFormatting>
  <conditionalFormatting sqref="R83">
    <cfRule type="cellIs" dxfId="5625" priority="1995" operator="lessThan">
      <formula>0.8</formula>
    </cfRule>
    <cfRule type="cellIs" dxfId="5624" priority="1996" operator="greaterThan">
      <formula>1</formula>
    </cfRule>
  </conditionalFormatting>
  <conditionalFormatting sqref="R83">
    <cfRule type="cellIs" dxfId="5623" priority="1993" operator="greaterThan">
      <formula>1</formula>
    </cfRule>
    <cfRule type="cellIs" dxfId="5622" priority="1994" operator="lessThan">
      <formula>0.8</formula>
    </cfRule>
  </conditionalFormatting>
  <conditionalFormatting sqref="Q83">
    <cfRule type="cellIs" dxfId="5621" priority="1985" operator="lessThan">
      <formula>0</formula>
    </cfRule>
  </conditionalFormatting>
  <conditionalFormatting sqref="R83">
    <cfRule type="cellIs" dxfId="5620" priority="1989" operator="lessThan">
      <formula>0.8</formula>
    </cfRule>
    <cfRule type="cellIs" dxfId="5619" priority="1990" operator="greaterThan">
      <formula>1</formula>
    </cfRule>
  </conditionalFormatting>
  <conditionalFormatting sqref="R83">
    <cfRule type="cellIs" dxfId="5618" priority="1987" operator="greaterThan">
      <formula>1</formula>
    </cfRule>
    <cfRule type="cellIs" dxfId="5617" priority="1988" operator="lessThan">
      <formula>0.8</formula>
    </cfRule>
  </conditionalFormatting>
  <conditionalFormatting sqref="P83">
    <cfRule type="cellIs" dxfId="5616" priority="1986" operator="greaterThan">
      <formula>0</formula>
    </cfRule>
  </conditionalFormatting>
  <conditionalFormatting sqref="Q83">
    <cfRule type="cellIs" dxfId="5615" priority="1984" operator="lessThan">
      <formula>0</formula>
    </cfRule>
  </conditionalFormatting>
  <conditionalFormatting sqref="R83">
    <cfRule type="cellIs" dxfId="5614" priority="1982" operator="lessThan">
      <formula>0.8</formula>
    </cfRule>
    <cfRule type="cellIs" dxfId="5613" priority="1983" operator="greaterThan">
      <formula>1</formula>
    </cfRule>
  </conditionalFormatting>
  <conditionalFormatting sqref="R83">
    <cfRule type="cellIs" dxfId="5612" priority="1980" operator="greaterThan">
      <formula>1</formula>
    </cfRule>
    <cfRule type="cellIs" dxfId="5611" priority="1981" operator="lessThan">
      <formula>0.8</formula>
    </cfRule>
  </conditionalFormatting>
  <conditionalFormatting sqref="P83">
    <cfRule type="cellIs" dxfId="5610" priority="1979" operator="greaterThan">
      <formula>0</formula>
    </cfRule>
  </conditionalFormatting>
  <conditionalFormatting sqref="Q83">
    <cfRule type="cellIs" dxfId="5609" priority="1978" operator="lessThan">
      <formula>0</formula>
    </cfRule>
  </conditionalFormatting>
  <conditionalFormatting sqref="R83">
    <cfRule type="cellIs" dxfId="5608" priority="1976" operator="lessThan">
      <formula>0.8</formula>
    </cfRule>
    <cfRule type="cellIs" dxfId="5607" priority="1977" operator="greaterThan">
      <formula>1</formula>
    </cfRule>
  </conditionalFormatting>
  <conditionalFormatting sqref="R83">
    <cfRule type="cellIs" dxfId="5606" priority="1974" operator="greaterThan">
      <formula>1</formula>
    </cfRule>
    <cfRule type="cellIs" dxfId="5605" priority="1975" operator="lessThan">
      <formula>0.8</formula>
    </cfRule>
  </conditionalFormatting>
  <conditionalFormatting sqref="P83">
    <cfRule type="cellIs" dxfId="5604" priority="1973" operator="greaterThan">
      <formula>0</formula>
    </cfRule>
  </conditionalFormatting>
  <conditionalFormatting sqref="Q83">
    <cfRule type="cellIs" dxfId="5603" priority="1972" operator="lessThan">
      <formula>0</formula>
    </cfRule>
  </conditionalFormatting>
  <conditionalFormatting sqref="R83">
    <cfRule type="cellIs" dxfId="5602" priority="1970" operator="lessThan">
      <formula>0.8</formula>
    </cfRule>
    <cfRule type="cellIs" dxfId="5601" priority="1971" operator="greaterThan">
      <formula>1</formula>
    </cfRule>
  </conditionalFormatting>
  <conditionalFormatting sqref="R83">
    <cfRule type="cellIs" dxfId="5600" priority="1968" operator="greaterThan">
      <formula>1</formula>
    </cfRule>
    <cfRule type="cellIs" dxfId="5599" priority="1969" operator="lessThan">
      <formula>0.8</formula>
    </cfRule>
  </conditionalFormatting>
  <conditionalFormatting sqref="P83">
    <cfRule type="cellIs" dxfId="5598" priority="1967" operator="greaterThan">
      <formula>0</formula>
    </cfRule>
  </conditionalFormatting>
  <conditionalFormatting sqref="Q32:Q39">
    <cfRule type="cellIs" dxfId="5597" priority="1961" operator="lessThan">
      <formula>0</formula>
    </cfRule>
  </conditionalFormatting>
  <conditionalFormatting sqref="P32:P39">
    <cfRule type="cellIs" dxfId="5596" priority="1962" operator="greaterThan">
      <formula>0</formula>
    </cfRule>
  </conditionalFormatting>
  <conditionalFormatting sqref="R32:R39">
    <cfRule type="cellIs" dxfId="5595" priority="1965" operator="lessThan">
      <formula>0.8</formula>
    </cfRule>
    <cfRule type="cellIs" dxfId="5594" priority="1966" operator="greaterThan">
      <formula>1</formula>
    </cfRule>
  </conditionalFormatting>
  <conditionalFormatting sqref="R32:R39">
    <cfRule type="cellIs" dxfId="5593" priority="1963" operator="greaterThan">
      <formula>1</formula>
    </cfRule>
    <cfRule type="cellIs" dxfId="5592" priority="1964" operator="lessThan">
      <formula>0.8</formula>
    </cfRule>
  </conditionalFormatting>
  <conditionalFormatting sqref="Q32:Q39">
    <cfRule type="cellIs" dxfId="5591" priority="1955" operator="lessThan">
      <formula>0</formula>
    </cfRule>
  </conditionalFormatting>
  <conditionalFormatting sqref="R32:R39">
    <cfRule type="cellIs" dxfId="5590" priority="1959" operator="lessThan">
      <formula>0.8</formula>
    </cfRule>
    <cfRule type="cellIs" dxfId="5589" priority="1960" operator="greaterThan">
      <formula>1</formula>
    </cfRule>
  </conditionalFormatting>
  <conditionalFormatting sqref="R32:R39">
    <cfRule type="cellIs" dxfId="5588" priority="1957" operator="greaterThan">
      <formula>1</formula>
    </cfRule>
    <cfRule type="cellIs" dxfId="5587" priority="1958" operator="lessThan">
      <formula>0.8</formula>
    </cfRule>
  </conditionalFormatting>
  <conditionalFormatting sqref="P32:P39">
    <cfRule type="cellIs" dxfId="5586" priority="1956" operator="greaterThan">
      <formula>0</formula>
    </cfRule>
  </conditionalFormatting>
  <conditionalFormatting sqref="Q32:Q39">
    <cfRule type="cellIs" dxfId="5585" priority="1954" operator="lessThan">
      <formula>0</formula>
    </cfRule>
  </conditionalFormatting>
  <conditionalFormatting sqref="R32:R39">
    <cfRule type="cellIs" dxfId="5584" priority="1952" operator="lessThan">
      <formula>0.8</formula>
    </cfRule>
    <cfRule type="cellIs" dxfId="5583" priority="1953" operator="greaterThan">
      <formula>1</formula>
    </cfRule>
  </conditionalFormatting>
  <conditionalFormatting sqref="R32:R39">
    <cfRule type="cellIs" dxfId="5582" priority="1950" operator="greaterThan">
      <formula>1</formula>
    </cfRule>
    <cfRule type="cellIs" dxfId="5581" priority="1951" operator="lessThan">
      <formula>0.8</formula>
    </cfRule>
  </conditionalFormatting>
  <conditionalFormatting sqref="P32:P39">
    <cfRule type="cellIs" dxfId="5580" priority="1949" operator="greaterThan">
      <formula>0</formula>
    </cfRule>
  </conditionalFormatting>
  <conditionalFormatting sqref="Q32:Q39">
    <cfRule type="cellIs" dxfId="5579" priority="1948" operator="lessThan">
      <formula>0</formula>
    </cfRule>
  </conditionalFormatting>
  <conditionalFormatting sqref="R32:R39">
    <cfRule type="cellIs" dxfId="5578" priority="1946" operator="lessThan">
      <formula>0.8</formula>
    </cfRule>
    <cfRule type="cellIs" dxfId="5577" priority="1947" operator="greaterThan">
      <formula>1</formula>
    </cfRule>
  </conditionalFormatting>
  <conditionalFormatting sqref="R32:R39">
    <cfRule type="cellIs" dxfId="5576" priority="1944" operator="greaterThan">
      <formula>1</formula>
    </cfRule>
    <cfRule type="cellIs" dxfId="5575" priority="1945" operator="lessThan">
      <formula>0.8</formula>
    </cfRule>
  </conditionalFormatting>
  <conditionalFormatting sqref="P32:P39">
    <cfRule type="cellIs" dxfId="5574" priority="1943" operator="greaterThan">
      <formula>0</formula>
    </cfRule>
  </conditionalFormatting>
  <conditionalFormatting sqref="Q32:Q39">
    <cfRule type="cellIs" dxfId="5573" priority="1937" operator="lessThan">
      <formula>0</formula>
    </cfRule>
  </conditionalFormatting>
  <conditionalFormatting sqref="R32:R39">
    <cfRule type="cellIs" dxfId="5572" priority="1941" operator="lessThan">
      <formula>0.8</formula>
    </cfRule>
    <cfRule type="cellIs" dxfId="5571" priority="1942" operator="greaterThan">
      <formula>1</formula>
    </cfRule>
  </conditionalFormatting>
  <conditionalFormatting sqref="R32:R39">
    <cfRule type="cellIs" dxfId="5570" priority="1939" operator="greaterThan">
      <formula>1</formula>
    </cfRule>
    <cfRule type="cellIs" dxfId="5569" priority="1940" operator="lessThan">
      <formula>0.8</formula>
    </cfRule>
  </conditionalFormatting>
  <conditionalFormatting sqref="P32:P39">
    <cfRule type="cellIs" dxfId="5568" priority="1938" operator="greaterThan">
      <formula>0</formula>
    </cfRule>
  </conditionalFormatting>
  <conditionalFormatting sqref="Q32:Q39">
    <cfRule type="cellIs" dxfId="5567" priority="1936" operator="lessThan">
      <formula>0</formula>
    </cfRule>
  </conditionalFormatting>
  <conditionalFormatting sqref="R32:R39">
    <cfRule type="cellIs" dxfId="5566" priority="1934" operator="lessThan">
      <formula>0.8</formula>
    </cfRule>
    <cfRule type="cellIs" dxfId="5565" priority="1935" operator="greaterThan">
      <formula>1</formula>
    </cfRule>
  </conditionalFormatting>
  <conditionalFormatting sqref="R32:R39">
    <cfRule type="cellIs" dxfId="5564" priority="1932" operator="greaterThan">
      <formula>1</formula>
    </cfRule>
    <cfRule type="cellIs" dxfId="5563" priority="1933" operator="lessThan">
      <formula>0.8</formula>
    </cfRule>
  </conditionalFormatting>
  <conditionalFormatting sqref="P32:P39">
    <cfRule type="cellIs" dxfId="5562" priority="1931" operator="greaterThan">
      <formula>0</formula>
    </cfRule>
  </conditionalFormatting>
  <conditionalFormatting sqref="Q32:Q39">
    <cfRule type="cellIs" dxfId="5561" priority="1930" operator="lessThan">
      <formula>0</formula>
    </cfRule>
  </conditionalFormatting>
  <conditionalFormatting sqref="R32:R39">
    <cfRule type="cellIs" dxfId="5560" priority="1928" operator="lessThan">
      <formula>0.8</formula>
    </cfRule>
    <cfRule type="cellIs" dxfId="5559" priority="1929" operator="greaterThan">
      <formula>1</formula>
    </cfRule>
  </conditionalFormatting>
  <conditionalFormatting sqref="R32:R39">
    <cfRule type="cellIs" dxfId="5558" priority="1926" operator="greaterThan">
      <formula>1</formula>
    </cfRule>
    <cfRule type="cellIs" dxfId="5557" priority="1927" operator="lessThan">
      <formula>0.8</formula>
    </cfRule>
  </conditionalFormatting>
  <conditionalFormatting sqref="P32:P39">
    <cfRule type="cellIs" dxfId="5556" priority="1925" operator="greaterThan">
      <formula>0</formula>
    </cfRule>
  </conditionalFormatting>
  <conditionalFormatting sqref="Q32:Q39">
    <cfRule type="cellIs" dxfId="5555" priority="1924" operator="lessThan">
      <formula>0</formula>
    </cfRule>
  </conditionalFormatting>
  <conditionalFormatting sqref="R32:R39">
    <cfRule type="cellIs" dxfId="5554" priority="1922" operator="lessThan">
      <formula>0.8</formula>
    </cfRule>
    <cfRule type="cellIs" dxfId="5553" priority="1923" operator="greaterThan">
      <formula>1</formula>
    </cfRule>
  </conditionalFormatting>
  <conditionalFormatting sqref="R32:R39">
    <cfRule type="cellIs" dxfId="5552" priority="1920" operator="greaterThan">
      <formula>1</formula>
    </cfRule>
    <cfRule type="cellIs" dxfId="5551" priority="1921" operator="lessThan">
      <formula>0.8</formula>
    </cfRule>
  </conditionalFormatting>
  <conditionalFormatting sqref="P32:P39">
    <cfRule type="cellIs" dxfId="5550" priority="1919" operator="greaterThan">
      <formula>0</formula>
    </cfRule>
  </conditionalFormatting>
  <conditionalFormatting sqref="Q32:Q39">
    <cfRule type="cellIs" dxfId="5549" priority="1918" operator="lessThan">
      <formula>0</formula>
    </cfRule>
  </conditionalFormatting>
  <conditionalFormatting sqref="R32:R39">
    <cfRule type="cellIs" dxfId="5548" priority="1916" operator="lessThan">
      <formula>0.8</formula>
    </cfRule>
    <cfRule type="cellIs" dxfId="5547" priority="1917" operator="greaterThan">
      <formula>1</formula>
    </cfRule>
  </conditionalFormatting>
  <conditionalFormatting sqref="R32:R39">
    <cfRule type="cellIs" dxfId="5546" priority="1914" operator="greaterThan">
      <formula>1</formula>
    </cfRule>
    <cfRule type="cellIs" dxfId="5545" priority="1915" operator="lessThan">
      <formula>0.8</formula>
    </cfRule>
  </conditionalFormatting>
  <conditionalFormatting sqref="P32:P39">
    <cfRule type="cellIs" dxfId="5544" priority="1913" operator="greaterThan">
      <formula>0</formula>
    </cfRule>
  </conditionalFormatting>
  <conditionalFormatting sqref="Q32:Q39">
    <cfRule type="cellIs" dxfId="5543" priority="1912" operator="lessThan">
      <formula>0</formula>
    </cfRule>
  </conditionalFormatting>
  <conditionalFormatting sqref="R32:R39">
    <cfRule type="cellIs" dxfId="5542" priority="1910" operator="lessThan">
      <formula>0.8</formula>
    </cfRule>
    <cfRule type="cellIs" dxfId="5541" priority="1911" operator="greaterThan">
      <formula>1</formula>
    </cfRule>
  </conditionalFormatting>
  <conditionalFormatting sqref="R32:R39">
    <cfRule type="cellIs" dxfId="5540" priority="1908" operator="greaterThan">
      <formula>1</formula>
    </cfRule>
    <cfRule type="cellIs" dxfId="5539" priority="1909" operator="lessThan">
      <formula>0.8</formula>
    </cfRule>
  </conditionalFormatting>
  <conditionalFormatting sqref="P32:P39">
    <cfRule type="cellIs" dxfId="5538" priority="1907" operator="greaterThan">
      <formula>0</formula>
    </cfRule>
  </conditionalFormatting>
  <conditionalFormatting sqref="P32:P39">
    <cfRule type="cellIs" dxfId="5537" priority="1901" operator="greaterThan">
      <formula>0</formula>
    </cfRule>
  </conditionalFormatting>
  <conditionalFormatting sqref="Q32:Q39">
    <cfRule type="cellIs" dxfId="5536" priority="1906" operator="lessThan">
      <formula>0</formula>
    </cfRule>
  </conditionalFormatting>
  <conditionalFormatting sqref="R32:R39">
    <cfRule type="cellIs" dxfId="5535" priority="1904" operator="lessThan">
      <formula>0.8</formula>
    </cfRule>
    <cfRule type="cellIs" dxfId="5534" priority="1905" operator="greaterThan">
      <formula>1</formula>
    </cfRule>
  </conditionalFormatting>
  <conditionalFormatting sqref="R32:R39">
    <cfRule type="cellIs" dxfId="5533" priority="1902" operator="greaterThan">
      <formula>1</formula>
    </cfRule>
    <cfRule type="cellIs" dxfId="5532" priority="1903" operator="lessThan">
      <formula>0.8</formula>
    </cfRule>
  </conditionalFormatting>
  <conditionalFormatting sqref="P32:P39">
    <cfRule type="cellIs" dxfId="5531" priority="1895" operator="greaterThan">
      <formula>0</formula>
    </cfRule>
  </conditionalFormatting>
  <conditionalFormatting sqref="Q32:Q39">
    <cfRule type="cellIs" dxfId="5530" priority="1900" operator="lessThan">
      <formula>0</formula>
    </cfRule>
  </conditionalFormatting>
  <conditionalFormatting sqref="R32:R39">
    <cfRule type="cellIs" dxfId="5529" priority="1898" operator="lessThan">
      <formula>0.8</formula>
    </cfRule>
    <cfRule type="cellIs" dxfId="5528" priority="1899" operator="greaterThan">
      <formula>1</formula>
    </cfRule>
  </conditionalFormatting>
  <conditionalFormatting sqref="R32:R39">
    <cfRule type="cellIs" dxfId="5527" priority="1896" operator="greaterThan">
      <formula>1</formula>
    </cfRule>
    <cfRule type="cellIs" dxfId="5526" priority="1897" operator="lessThan">
      <formula>0.8</formula>
    </cfRule>
  </conditionalFormatting>
  <conditionalFormatting sqref="R32:R39">
    <cfRule type="cellIs" dxfId="5525" priority="1892" operator="lessThan">
      <formula>0.8</formula>
    </cfRule>
    <cfRule type="cellIs" dxfId="5524" priority="1893" operator="greaterThan">
      <formula>1</formula>
    </cfRule>
  </conditionalFormatting>
  <conditionalFormatting sqref="R32:R39">
    <cfRule type="cellIs" dxfId="5523" priority="1890" operator="greaterThan">
      <formula>1</formula>
    </cfRule>
    <cfRule type="cellIs" dxfId="5522" priority="1891" operator="lessThan">
      <formula>0.8</formula>
    </cfRule>
  </conditionalFormatting>
  <conditionalFormatting sqref="P32:P39">
    <cfRule type="cellIs" dxfId="5521" priority="1889" operator="greaterThan">
      <formula>0</formula>
    </cfRule>
  </conditionalFormatting>
  <conditionalFormatting sqref="Q32:Q39">
    <cfRule type="cellIs" dxfId="5520" priority="1894" operator="lessThan">
      <formula>0</formula>
    </cfRule>
  </conditionalFormatting>
  <conditionalFormatting sqref="Q32:Q39">
    <cfRule type="cellIs" dxfId="5519" priority="1883" operator="lessThan">
      <formula>0</formula>
    </cfRule>
  </conditionalFormatting>
  <conditionalFormatting sqref="P32:P39">
    <cfRule type="cellIs" dxfId="5518" priority="1884" operator="greaterThan">
      <formula>0</formula>
    </cfRule>
  </conditionalFormatting>
  <conditionalFormatting sqref="R32:R39">
    <cfRule type="cellIs" dxfId="5517" priority="1887" operator="lessThan">
      <formula>0.8</formula>
    </cfRule>
    <cfRule type="cellIs" dxfId="5516" priority="1888" operator="greaterThan">
      <formula>1</formula>
    </cfRule>
  </conditionalFormatting>
  <conditionalFormatting sqref="R32:R39">
    <cfRule type="cellIs" dxfId="5515" priority="1885" operator="greaterThan">
      <formula>1</formula>
    </cfRule>
    <cfRule type="cellIs" dxfId="5514" priority="1886" operator="lessThan">
      <formula>0.8</formula>
    </cfRule>
  </conditionalFormatting>
  <conditionalFormatting sqref="Q32:Q39">
    <cfRule type="cellIs" dxfId="5513" priority="1877" operator="lessThan">
      <formula>0</formula>
    </cfRule>
  </conditionalFormatting>
  <conditionalFormatting sqref="R32:R39">
    <cfRule type="cellIs" dxfId="5512" priority="1881" operator="lessThan">
      <formula>0.8</formula>
    </cfRule>
    <cfRule type="cellIs" dxfId="5511" priority="1882" operator="greaterThan">
      <formula>1</formula>
    </cfRule>
  </conditionalFormatting>
  <conditionalFormatting sqref="R32:R39">
    <cfRule type="cellIs" dxfId="5510" priority="1879" operator="greaterThan">
      <formula>1</formula>
    </cfRule>
    <cfRule type="cellIs" dxfId="5509" priority="1880" operator="lessThan">
      <formula>0.8</formula>
    </cfRule>
  </conditionalFormatting>
  <conditionalFormatting sqref="P32:P39">
    <cfRule type="cellIs" dxfId="5508" priority="1878" operator="greaterThan">
      <formula>0</formula>
    </cfRule>
  </conditionalFormatting>
  <conditionalFormatting sqref="Q32:Q39">
    <cfRule type="cellIs" dxfId="5507" priority="1876" operator="lessThan">
      <formula>0</formula>
    </cfRule>
  </conditionalFormatting>
  <conditionalFormatting sqref="R32:R39">
    <cfRule type="cellIs" dxfId="5506" priority="1874" operator="lessThan">
      <formula>0.8</formula>
    </cfRule>
    <cfRule type="cellIs" dxfId="5505" priority="1875" operator="greaterThan">
      <formula>1</formula>
    </cfRule>
  </conditionalFormatting>
  <conditionalFormatting sqref="R32:R39">
    <cfRule type="cellIs" dxfId="5504" priority="1872" operator="greaterThan">
      <formula>1</formula>
    </cfRule>
    <cfRule type="cellIs" dxfId="5503" priority="1873" operator="lessThan">
      <formula>0.8</formula>
    </cfRule>
  </conditionalFormatting>
  <conditionalFormatting sqref="P32:P39">
    <cfRule type="cellIs" dxfId="5502" priority="1871" operator="greaterThan">
      <formula>0</formula>
    </cfRule>
  </conditionalFormatting>
  <conditionalFormatting sqref="Q32:Q39">
    <cfRule type="cellIs" dxfId="5501" priority="1870" operator="lessThan">
      <formula>0</formula>
    </cfRule>
  </conditionalFormatting>
  <conditionalFormatting sqref="R32:R39">
    <cfRule type="cellIs" dxfId="5500" priority="1868" operator="lessThan">
      <formula>0.8</formula>
    </cfRule>
    <cfRule type="cellIs" dxfId="5499" priority="1869" operator="greaterThan">
      <formula>1</formula>
    </cfRule>
  </conditionalFormatting>
  <conditionalFormatting sqref="R32:R39">
    <cfRule type="cellIs" dxfId="5498" priority="1866" operator="greaterThan">
      <formula>1</formula>
    </cfRule>
    <cfRule type="cellIs" dxfId="5497" priority="1867" operator="lessThan">
      <formula>0.8</formula>
    </cfRule>
  </conditionalFormatting>
  <conditionalFormatting sqref="P32:P39">
    <cfRule type="cellIs" dxfId="5496" priority="1865" operator="greaterThan">
      <formula>0</formula>
    </cfRule>
  </conditionalFormatting>
  <conditionalFormatting sqref="Q32:Q39">
    <cfRule type="cellIs" dxfId="5495" priority="1859" operator="lessThan">
      <formula>0</formula>
    </cfRule>
  </conditionalFormatting>
  <conditionalFormatting sqref="P32:P39">
    <cfRule type="cellIs" dxfId="5494" priority="1860" operator="greaterThan">
      <formula>0</formula>
    </cfRule>
  </conditionalFormatting>
  <conditionalFormatting sqref="R32:R39">
    <cfRule type="cellIs" dxfId="5493" priority="1863" operator="lessThan">
      <formula>0.8</formula>
    </cfRule>
    <cfRule type="cellIs" dxfId="5492" priority="1864" operator="greaterThan">
      <formula>1</formula>
    </cfRule>
  </conditionalFormatting>
  <conditionalFormatting sqref="R32:R39">
    <cfRule type="cellIs" dxfId="5491" priority="1861" operator="greaterThan">
      <formula>1</formula>
    </cfRule>
    <cfRule type="cellIs" dxfId="5490" priority="1862" operator="lessThan">
      <formula>0.8</formula>
    </cfRule>
  </conditionalFormatting>
  <conditionalFormatting sqref="Q32:Q39">
    <cfRule type="cellIs" dxfId="5489" priority="1853" operator="lessThan">
      <formula>0</formula>
    </cfRule>
  </conditionalFormatting>
  <conditionalFormatting sqref="R32:R39">
    <cfRule type="cellIs" dxfId="5488" priority="1857" operator="lessThan">
      <formula>0.8</formula>
    </cfRule>
    <cfRule type="cellIs" dxfId="5487" priority="1858" operator="greaterThan">
      <formula>1</formula>
    </cfRule>
  </conditionalFormatting>
  <conditionalFormatting sqref="R32:R39">
    <cfRule type="cellIs" dxfId="5486" priority="1855" operator="greaterThan">
      <formula>1</formula>
    </cfRule>
    <cfRule type="cellIs" dxfId="5485" priority="1856" operator="lessThan">
      <formula>0.8</formula>
    </cfRule>
  </conditionalFormatting>
  <conditionalFormatting sqref="P32:P39">
    <cfRule type="cellIs" dxfId="5484" priority="1854" operator="greaterThan">
      <formula>0</formula>
    </cfRule>
  </conditionalFormatting>
  <conditionalFormatting sqref="Q32:Q39">
    <cfRule type="cellIs" dxfId="5483" priority="1852" operator="lessThan">
      <formula>0</formula>
    </cfRule>
  </conditionalFormatting>
  <conditionalFormatting sqref="R32:R39">
    <cfRule type="cellIs" dxfId="5482" priority="1850" operator="lessThan">
      <formula>0.8</formula>
    </cfRule>
    <cfRule type="cellIs" dxfId="5481" priority="1851" operator="greaterThan">
      <formula>1</formula>
    </cfRule>
  </conditionalFormatting>
  <conditionalFormatting sqref="R32:R39">
    <cfRule type="cellIs" dxfId="5480" priority="1848" operator="greaterThan">
      <formula>1</formula>
    </cfRule>
    <cfRule type="cellIs" dxfId="5479" priority="1849" operator="lessThan">
      <formula>0.8</formula>
    </cfRule>
  </conditionalFormatting>
  <conditionalFormatting sqref="P32:P39">
    <cfRule type="cellIs" dxfId="5478" priority="1847" operator="greaterThan">
      <formula>0</formula>
    </cfRule>
  </conditionalFormatting>
  <conditionalFormatting sqref="Q32:Q39">
    <cfRule type="cellIs" dxfId="5477" priority="1846" operator="lessThan">
      <formula>0</formula>
    </cfRule>
  </conditionalFormatting>
  <conditionalFormatting sqref="R32:R39">
    <cfRule type="cellIs" dxfId="5476" priority="1844" operator="lessThan">
      <formula>0.8</formula>
    </cfRule>
    <cfRule type="cellIs" dxfId="5475" priority="1845" operator="greaterThan">
      <formula>1</formula>
    </cfRule>
  </conditionalFormatting>
  <conditionalFormatting sqref="R32:R39">
    <cfRule type="cellIs" dxfId="5474" priority="1842" operator="greaterThan">
      <formula>1</formula>
    </cfRule>
    <cfRule type="cellIs" dxfId="5473" priority="1843" operator="lessThan">
      <formula>0.8</formula>
    </cfRule>
  </conditionalFormatting>
  <conditionalFormatting sqref="P32:P39">
    <cfRule type="cellIs" dxfId="5472" priority="1841" operator="greaterThan">
      <formula>0</formula>
    </cfRule>
  </conditionalFormatting>
  <conditionalFormatting sqref="Q19:Q24">
    <cfRule type="cellIs" dxfId="5471" priority="1840" operator="lessThan">
      <formula>0</formula>
    </cfRule>
  </conditionalFormatting>
  <conditionalFormatting sqref="R19:R24">
    <cfRule type="cellIs" dxfId="5470" priority="1838" operator="lessThan">
      <formula>0.8</formula>
    </cfRule>
    <cfRule type="cellIs" dxfId="5469" priority="1839" operator="greaterThan">
      <formula>1</formula>
    </cfRule>
  </conditionalFormatting>
  <conditionalFormatting sqref="R19:R24">
    <cfRule type="cellIs" dxfId="5468" priority="1836" operator="greaterThan">
      <formula>1</formula>
    </cfRule>
    <cfRule type="cellIs" dxfId="5467" priority="1837" operator="lessThan">
      <formula>0.8</formula>
    </cfRule>
  </conditionalFormatting>
  <conditionalFormatting sqref="P19:P24">
    <cfRule type="cellIs" dxfId="5466" priority="1835" operator="greaterThan">
      <formula>0</formula>
    </cfRule>
  </conditionalFormatting>
  <conditionalFormatting sqref="R19:R24">
    <cfRule type="cellIs" dxfId="5465" priority="1832" operator="lessThan">
      <formula>0.8</formula>
    </cfRule>
    <cfRule type="cellIs" dxfId="5464" priority="1833" operator="greaterThan">
      <formula>1</formula>
    </cfRule>
  </conditionalFormatting>
  <conditionalFormatting sqref="R19:R24">
    <cfRule type="cellIs" dxfId="5463" priority="1830" operator="greaterThan">
      <formula>1</formula>
    </cfRule>
    <cfRule type="cellIs" dxfId="5462" priority="1831" operator="lessThan">
      <formula>0.8</formula>
    </cfRule>
  </conditionalFormatting>
  <conditionalFormatting sqref="P19:P24">
    <cfRule type="cellIs" dxfId="5461" priority="1829" operator="greaterThan">
      <formula>0</formula>
    </cfRule>
  </conditionalFormatting>
  <conditionalFormatting sqref="Q19:Q24">
    <cfRule type="cellIs" dxfId="5460" priority="1834" operator="lessThan">
      <formula>0</formula>
    </cfRule>
  </conditionalFormatting>
  <conditionalFormatting sqref="R19:R24">
    <cfRule type="cellIs" dxfId="5459" priority="1826" operator="lessThan">
      <formula>0.8</formula>
    </cfRule>
    <cfRule type="cellIs" dxfId="5458" priority="1827" operator="greaterThan">
      <formula>1</formula>
    </cfRule>
  </conditionalFormatting>
  <conditionalFormatting sqref="R19:R24">
    <cfRule type="cellIs" dxfId="5457" priority="1824" operator="greaterThan">
      <formula>1</formula>
    </cfRule>
    <cfRule type="cellIs" dxfId="5456" priority="1825" operator="lessThan">
      <formula>0.8</formula>
    </cfRule>
  </conditionalFormatting>
  <conditionalFormatting sqref="P19:P24">
    <cfRule type="cellIs" dxfId="5455" priority="1823" operator="greaterThan">
      <formula>0</formula>
    </cfRule>
  </conditionalFormatting>
  <conditionalFormatting sqref="Q19:Q24">
    <cfRule type="cellIs" dxfId="5454" priority="1828" operator="lessThan">
      <formula>0</formula>
    </cfRule>
  </conditionalFormatting>
  <conditionalFormatting sqref="Q19:Q24">
    <cfRule type="cellIs" dxfId="5453" priority="1822" operator="lessThan">
      <formula>0</formula>
    </cfRule>
  </conditionalFormatting>
  <conditionalFormatting sqref="R19:R24">
    <cfRule type="cellIs" dxfId="5452" priority="1820" operator="lessThan">
      <formula>0.8</formula>
    </cfRule>
    <cfRule type="cellIs" dxfId="5451" priority="1821" operator="greaterThan">
      <formula>1</formula>
    </cfRule>
  </conditionalFormatting>
  <conditionalFormatting sqref="R19:R24">
    <cfRule type="cellIs" dxfId="5450" priority="1818" operator="greaterThan">
      <formula>1</formula>
    </cfRule>
    <cfRule type="cellIs" dxfId="5449" priority="1819" operator="lessThan">
      <formula>0.8</formula>
    </cfRule>
  </conditionalFormatting>
  <conditionalFormatting sqref="P19:P24">
    <cfRule type="cellIs" dxfId="5448" priority="1817" operator="greaterThan">
      <formula>0</formula>
    </cfRule>
  </conditionalFormatting>
  <conditionalFormatting sqref="Q135:Q136 Q139 Q142">
    <cfRule type="cellIs" dxfId="5447" priority="1816" operator="lessThan">
      <formula>0</formula>
    </cfRule>
  </conditionalFormatting>
  <conditionalFormatting sqref="R135:R136 R139 R142">
    <cfRule type="cellIs" dxfId="5446" priority="1814" operator="lessThan">
      <formula>0.8</formula>
    </cfRule>
    <cfRule type="cellIs" dxfId="5445" priority="1815" operator="greaterThan">
      <formula>1</formula>
    </cfRule>
  </conditionalFormatting>
  <conditionalFormatting sqref="R135:R136 R139 R142">
    <cfRule type="cellIs" dxfId="5444" priority="1812" operator="greaterThan">
      <formula>1</formula>
    </cfRule>
    <cfRule type="cellIs" dxfId="5443" priority="1813" operator="lessThan">
      <formula>0.8</formula>
    </cfRule>
  </conditionalFormatting>
  <conditionalFormatting sqref="P135:P136 P139 P142">
    <cfRule type="cellIs" dxfId="5442" priority="1811" operator="greaterThan">
      <formula>0</formula>
    </cfRule>
  </conditionalFormatting>
  <conditionalFormatting sqref="P135:P136 P139 P142">
    <cfRule type="cellIs" dxfId="5441" priority="1805" operator="greaterThan">
      <formula>0</formula>
    </cfRule>
  </conditionalFormatting>
  <conditionalFormatting sqref="Q135:Q136 Q139 Q142">
    <cfRule type="cellIs" dxfId="5440" priority="1810" operator="lessThan">
      <formula>0</formula>
    </cfRule>
  </conditionalFormatting>
  <conditionalFormatting sqref="R135:R136 R139 R142">
    <cfRule type="cellIs" dxfId="5439" priority="1808" operator="lessThan">
      <formula>0.8</formula>
    </cfRule>
    <cfRule type="cellIs" dxfId="5438" priority="1809" operator="greaterThan">
      <formula>1</formula>
    </cfRule>
  </conditionalFormatting>
  <conditionalFormatting sqref="R135:R136 R139 R142">
    <cfRule type="cellIs" dxfId="5437" priority="1806" operator="greaterThan">
      <formula>1</formula>
    </cfRule>
    <cfRule type="cellIs" dxfId="5436" priority="1807" operator="lessThan">
      <formula>0.8</formula>
    </cfRule>
  </conditionalFormatting>
  <conditionalFormatting sqref="Q25">
    <cfRule type="cellIs" dxfId="5435" priority="1804" operator="lessThan">
      <formula>0</formula>
    </cfRule>
  </conditionalFormatting>
  <conditionalFormatting sqref="R25">
    <cfRule type="cellIs" dxfId="5434" priority="1802" operator="lessThan">
      <formula>0.8</formula>
    </cfRule>
    <cfRule type="cellIs" dxfId="5433" priority="1803" operator="greaterThan">
      <formula>1</formula>
    </cfRule>
  </conditionalFormatting>
  <conditionalFormatting sqref="R25">
    <cfRule type="cellIs" dxfId="5432" priority="1800" operator="greaterThan">
      <formula>1</formula>
    </cfRule>
    <cfRule type="cellIs" dxfId="5431" priority="1801" operator="lessThan">
      <formula>0.8</formula>
    </cfRule>
  </conditionalFormatting>
  <conditionalFormatting sqref="P25">
    <cfRule type="cellIs" dxfId="5430" priority="1799" operator="greaterThan">
      <formula>0</formula>
    </cfRule>
  </conditionalFormatting>
  <conditionalFormatting sqref="R25">
    <cfRule type="cellIs" dxfId="5429" priority="1796" operator="lessThan">
      <formula>0.8</formula>
    </cfRule>
    <cfRule type="cellIs" dxfId="5428" priority="1797" operator="greaterThan">
      <formula>1</formula>
    </cfRule>
  </conditionalFormatting>
  <conditionalFormatting sqref="R25">
    <cfRule type="cellIs" dxfId="5427" priority="1794" operator="greaterThan">
      <formula>1</formula>
    </cfRule>
    <cfRule type="cellIs" dxfId="5426" priority="1795" operator="lessThan">
      <formula>0.8</formula>
    </cfRule>
  </conditionalFormatting>
  <conditionalFormatting sqref="P25">
    <cfRule type="cellIs" dxfId="5425" priority="1793" operator="greaterThan">
      <formula>0</formula>
    </cfRule>
  </conditionalFormatting>
  <conditionalFormatting sqref="Q25">
    <cfRule type="cellIs" dxfId="5424" priority="1798" operator="lessThan">
      <formula>0</formula>
    </cfRule>
  </conditionalFormatting>
  <conditionalFormatting sqref="R25">
    <cfRule type="cellIs" dxfId="5423" priority="1790" operator="lessThan">
      <formula>0.8</formula>
    </cfRule>
    <cfRule type="cellIs" dxfId="5422" priority="1791" operator="greaterThan">
      <formula>1</formula>
    </cfRule>
  </conditionalFormatting>
  <conditionalFormatting sqref="R25">
    <cfRule type="cellIs" dxfId="5421" priority="1788" operator="greaterThan">
      <formula>1</formula>
    </cfRule>
    <cfRule type="cellIs" dxfId="5420" priority="1789" operator="lessThan">
      <formula>0.8</formula>
    </cfRule>
  </conditionalFormatting>
  <conditionalFormatting sqref="P25">
    <cfRule type="cellIs" dxfId="5419" priority="1787" operator="greaterThan">
      <formula>0</formula>
    </cfRule>
  </conditionalFormatting>
  <conditionalFormatting sqref="Q25">
    <cfRule type="cellIs" dxfId="5418" priority="1792" operator="lessThan">
      <formula>0</formula>
    </cfRule>
  </conditionalFormatting>
  <conditionalFormatting sqref="Q25">
    <cfRule type="cellIs" dxfId="5417" priority="1786" operator="lessThan">
      <formula>0</formula>
    </cfRule>
  </conditionalFormatting>
  <conditionalFormatting sqref="R25">
    <cfRule type="cellIs" dxfId="5416" priority="1784" operator="lessThan">
      <formula>0.8</formula>
    </cfRule>
    <cfRule type="cellIs" dxfId="5415" priority="1785" operator="greaterThan">
      <formula>1</formula>
    </cfRule>
  </conditionalFormatting>
  <conditionalFormatting sqref="R25">
    <cfRule type="cellIs" dxfId="5414" priority="1782" operator="greaterThan">
      <formula>1</formula>
    </cfRule>
    <cfRule type="cellIs" dxfId="5413" priority="1783" operator="lessThan">
      <formula>0.8</formula>
    </cfRule>
  </conditionalFormatting>
  <conditionalFormatting sqref="P25">
    <cfRule type="cellIs" dxfId="5412" priority="1781" operator="greaterThan">
      <formula>0</formula>
    </cfRule>
  </conditionalFormatting>
  <conditionalFormatting sqref="Q25">
    <cfRule type="cellIs" dxfId="5411" priority="1780" operator="lessThan">
      <formula>0</formula>
    </cfRule>
  </conditionalFormatting>
  <conditionalFormatting sqref="R25">
    <cfRule type="cellIs" dxfId="5410" priority="1778" operator="lessThan">
      <formula>0.8</formula>
    </cfRule>
    <cfRule type="cellIs" dxfId="5409" priority="1779" operator="greaterThan">
      <formula>1</formula>
    </cfRule>
  </conditionalFormatting>
  <conditionalFormatting sqref="R25">
    <cfRule type="cellIs" dxfId="5408" priority="1776" operator="greaterThan">
      <formula>1</formula>
    </cfRule>
    <cfRule type="cellIs" dxfId="5407" priority="1777" operator="lessThan">
      <formula>0.8</formula>
    </cfRule>
  </conditionalFormatting>
  <conditionalFormatting sqref="P25">
    <cfRule type="cellIs" dxfId="5406" priority="1775" operator="greaterThan">
      <formula>0</formula>
    </cfRule>
  </conditionalFormatting>
  <conditionalFormatting sqref="P19:P24">
    <cfRule type="cellIs" dxfId="5405" priority="1769" operator="greaterThan">
      <formula>0</formula>
    </cfRule>
  </conditionalFormatting>
  <conditionalFormatting sqref="Q19:Q24">
    <cfRule type="cellIs" dxfId="5404" priority="1774" operator="lessThan">
      <formula>0</formula>
    </cfRule>
  </conditionalFormatting>
  <conditionalFormatting sqref="R19:R24">
    <cfRule type="cellIs" dxfId="5403" priority="1772" operator="lessThan">
      <formula>0.8</formula>
    </cfRule>
    <cfRule type="cellIs" dxfId="5402" priority="1773" operator="greaterThan">
      <formula>1</formula>
    </cfRule>
  </conditionalFormatting>
  <conditionalFormatting sqref="R19:R24">
    <cfRule type="cellIs" dxfId="5401" priority="1770" operator="greaterThan">
      <formula>1</formula>
    </cfRule>
    <cfRule type="cellIs" dxfId="5400" priority="1771" operator="lessThan">
      <formula>0.8</formula>
    </cfRule>
  </conditionalFormatting>
  <conditionalFormatting sqref="Q19:Q24">
    <cfRule type="cellIs" dxfId="5399" priority="1768" operator="lessThan">
      <formula>0</formula>
    </cfRule>
  </conditionalFormatting>
  <conditionalFormatting sqref="R19:R24">
    <cfRule type="cellIs" dxfId="5398" priority="1766" operator="lessThan">
      <formula>0.8</formula>
    </cfRule>
    <cfRule type="cellIs" dxfId="5397" priority="1767" operator="greaterThan">
      <formula>1</formula>
    </cfRule>
  </conditionalFormatting>
  <conditionalFormatting sqref="R19:R24">
    <cfRule type="cellIs" dxfId="5396" priority="1764" operator="greaterThan">
      <formula>1</formula>
    </cfRule>
    <cfRule type="cellIs" dxfId="5395" priority="1765" operator="lessThan">
      <formula>0.8</formula>
    </cfRule>
  </conditionalFormatting>
  <conditionalFormatting sqref="P19:P24">
    <cfRule type="cellIs" dxfId="5394" priority="1763" operator="greaterThan">
      <formula>0</formula>
    </cfRule>
  </conditionalFormatting>
  <conditionalFormatting sqref="Q19:Q24">
    <cfRule type="cellIs" dxfId="5393" priority="1762" operator="lessThan">
      <formula>0</formula>
    </cfRule>
  </conditionalFormatting>
  <conditionalFormatting sqref="R19:R24">
    <cfRule type="cellIs" dxfId="5392" priority="1760" operator="lessThan">
      <formula>0.8</formula>
    </cfRule>
    <cfRule type="cellIs" dxfId="5391" priority="1761" operator="greaterThan">
      <formula>1</formula>
    </cfRule>
  </conditionalFormatting>
  <conditionalFormatting sqref="R19:R24">
    <cfRule type="cellIs" dxfId="5390" priority="1758" operator="greaterThan">
      <formula>1</formula>
    </cfRule>
    <cfRule type="cellIs" dxfId="5389" priority="1759" operator="lessThan">
      <formula>0.8</formula>
    </cfRule>
  </conditionalFormatting>
  <conditionalFormatting sqref="P19:P24">
    <cfRule type="cellIs" dxfId="5388" priority="1757" operator="greaterThan">
      <formula>0</formula>
    </cfRule>
  </conditionalFormatting>
  <conditionalFormatting sqref="Q19:Q24">
    <cfRule type="cellIs" dxfId="5387" priority="1756" operator="lessThan">
      <formula>0</formula>
    </cfRule>
  </conditionalFormatting>
  <conditionalFormatting sqref="R19:R24">
    <cfRule type="cellIs" dxfId="5386" priority="1754" operator="lessThan">
      <formula>0.8</formula>
    </cfRule>
    <cfRule type="cellIs" dxfId="5385" priority="1755" operator="greaterThan">
      <formula>1</formula>
    </cfRule>
  </conditionalFormatting>
  <conditionalFormatting sqref="R19:R24">
    <cfRule type="cellIs" dxfId="5384" priority="1752" operator="greaterThan">
      <formula>1</formula>
    </cfRule>
    <cfRule type="cellIs" dxfId="5383" priority="1753" operator="lessThan">
      <formula>0.8</formula>
    </cfRule>
  </conditionalFormatting>
  <conditionalFormatting sqref="P19:P24">
    <cfRule type="cellIs" dxfId="5382" priority="1751" operator="greaterThan">
      <formula>0</formula>
    </cfRule>
  </conditionalFormatting>
  <conditionalFormatting sqref="R19:R24">
    <cfRule type="cellIs" dxfId="5381" priority="1748" operator="lessThan">
      <formula>0.8</formula>
    </cfRule>
    <cfRule type="cellIs" dxfId="5380" priority="1749" operator="greaterThan">
      <formula>1</formula>
    </cfRule>
  </conditionalFormatting>
  <conditionalFormatting sqref="R19:R24">
    <cfRule type="cellIs" dxfId="5379" priority="1746" operator="greaterThan">
      <formula>1</formula>
    </cfRule>
    <cfRule type="cellIs" dxfId="5378" priority="1747" operator="lessThan">
      <formula>0.8</formula>
    </cfRule>
  </conditionalFormatting>
  <conditionalFormatting sqref="P19:P24">
    <cfRule type="cellIs" dxfId="5377" priority="1745" operator="greaterThan">
      <formula>0</formula>
    </cfRule>
  </conditionalFormatting>
  <conditionalFormatting sqref="Q19:Q24">
    <cfRule type="cellIs" dxfId="5376" priority="1750" operator="lessThan">
      <formula>0</formula>
    </cfRule>
  </conditionalFormatting>
  <conditionalFormatting sqref="Q19:Q24">
    <cfRule type="cellIs" dxfId="5375" priority="1744" operator="lessThan">
      <formula>0</formula>
    </cfRule>
  </conditionalFormatting>
  <conditionalFormatting sqref="R19:R24">
    <cfRule type="cellIs" dxfId="5374" priority="1742" operator="lessThan">
      <formula>0.8</formula>
    </cfRule>
    <cfRule type="cellIs" dxfId="5373" priority="1743" operator="greaterThan">
      <formula>1</formula>
    </cfRule>
  </conditionalFormatting>
  <conditionalFormatting sqref="R19:R24">
    <cfRule type="cellIs" dxfId="5372" priority="1740" operator="greaterThan">
      <formula>1</formula>
    </cfRule>
    <cfRule type="cellIs" dxfId="5371" priority="1741" operator="lessThan">
      <formula>0.8</formula>
    </cfRule>
  </conditionalFormatting>
  <conditionalFormatting sqref="P19:P24">
    <cfRule type="cellIs" dxfId="5370" priority="1739" operator="greaterThan">
      <formula>0</formula>
    </cfRule>
  </conditionalFormatting>
  <conditionalFormatting sqref="P19:P24">
    <cfRule type="cellIs" dxfId="5369" priority="1733" operator="greaterThan">
      <formula>0</formula>
    </cfRule>
  </conditionalFormatting>
  <conditionalFormatting sqref="Q19:Q24">
    <cfRule type="cellIs" dxfId="5368" priority="1738" operator="lessThan">
      <formula>0</formula>
    </cfRule>
  </conditionalFormatting>
  <conditionalFormatting sqref="R19:R24">
    <cfRule type="cellIs" dxfId="5367" priority="1736" operator="lessThan">
      <formula>0.8</formula>
    </cfRule>
    <cfRule type="cellIs" dxfId="5366" priority="1737" operator="greaterThan">
      <formula>1</formula>
    </cfRule>
  </conditionalFormatting>
  <conditionalFormatting sqref="R19:R24">
    <cfRule type="cellIs" dxfId="5365" priority="1734" operator="greaterThan">
      <formula>1</formula>
    </cfRule>
    <cfRule type="cellIs" dxfId="5364" priority="1735" operator="lessThan">
      <formula>0.8</formula>
    </cfRule>
  </conditionalFormatting>
  <conditionalFormatting sqref="P19:P24">
    <cfRule type="cellIs" dxfId="5363" priority="1727" operator="greaterThan">
      <formula>0</formula>
    </cfRule>
  </conditionalFormatting>
  <conditionalFormatting sqref="Q19:Q24">
    <cfRule type="cellIs" dxfId="5362" priority="1732" operator="lessThan">
      <formula>0</formula>
    </cfRule>
  </conditionalFormatting>
  <conditionalFormatting sqref="R19:R24">
    <cfRule type="cellIs" dxfId="5361" priority="1730" operator="lessThan">
      <formula>0.8</formula>
    </cfRule>
    <cfRule type="cellIs" dxfId="5360" priority="1731" operator="greaterThan">
      <formula>1</formula>
    </cfRule>
  </conditionalFormatting>
  <conditionalFormatting sqref="R19:R24">
    <cfRule type="cellIs" dxfId="5359" priority="1728" operator="greaterThan">
      <formula>1</formula>
    </cfRule>
    <cfRule type="cellIs" dxfId="5358" priority="1729" operator="lessThan">
      <formula>0.8</formula>
    </cfRule>
  </conditionalFormatting>
  <conditionalFormatting sqref="Q19:Q24">
    <cfRule type="cellIs" dxfId="5357" priority="1726" operator="lessThan">
      <formula>0</formula>
    </cfRule>
  </conditionalFormatting>
  <conditionalFormatting sqref="R19:R24">
    <cfRule type="cellIs" dxfId="5356" priority="1724" operator="lessThan">
      <formula>0.8</formula>
    </cfRule>
    <cfRule type="cellIs" dxfId="5355" priority="1725" operator="greaterThan">
      <formula>1</formula>
    </cfRule>
  </conditionalFormatting>
  <conditionalFormatting sqref="R19:R24">
    <cfRule type="cellIs" dxfId="5354" priority="1722" operator="greaterThan">
      <formula>1</formula>
    </cfRule>
    <cfRule type="cellIs" dxfId="5353" priority="1723" operator="lessThan">
      <formula>0.8</formula>
    </cfRule>
  </conditionalFormatting>
  <conditionalFormatting sqref="P19:P24">
    <cfRule type="cellIs" dxfId="5352" priority="1721" operator="greaterThan">
      <formula>0</formula>
    </cfRule>
  </conditionalFormatting>
  <conditionalFormatting sqref="Q19:Q24">
    <cfRule type="cellIs" dxfId="5351" priority="1720" operator="lessThan">
      <formula>0</formula>
    </cfRule>
  </conditionalFormatting>
  <conditionalFormatting sqref="R19:R24">
    <cfRule type="cellIs" dxfId="5350" priority="1718" operator="lessThan">
      <formula>0.8</formula>
    </cfRule>
    <cfRule type="cellIs" dxfId="5349" priority="1719" operator="greaterThan">
      <formula>1</formula>
    </cfRule>
  </conditionalFormatting>
  <conditionalFormatting sqref="R19:R24">
    <cfRule type="cellIs" dxfId="5348" priority="1716" operator="greaterThan">
      <formula>1</formula>
    </cfRule>
    <cfRule type="cellIs" dxfId="5347" priority="1717" operator="lessThan">
      <formula>0.8</formula>
    </cfRule>
  </conditionalFormatting>
  <conditionalFormatting sqref="P19:P24">
    <cfRule type="cellIs" dxfId="5346" priority="1715" operator="greaterThan">
      <formula>0</formula>
    </cfRule>
  </conditionalFormatting>
  <conditionalFormatting sqref="P19:P24">
    <cfRule type="cellIs" dxfId="5345" priority="1709" operator="greaterThan">
      <formula>0</formula>
    </cfRule>
  </conditionalFormatting>
  <conditionalFormatting sqref="Q19:Q24">
    <cfRule type="cellIs" dxfId="5344" priority="1714" operator="lessThan">
      <formula>0</formula>
    </cfRule>
  </conditionalFormatting>
  <conditionalFormatting sqref="R19:R24">
    <cfRule type="cellIs" dxfId="5343" priority="1712" operator="lessThan">
      <formula>0.8</formula>
    </cfRule>
    <cfRule type="cellIs" dxfId="5342" priority="1713" operator="greaterThan">
      <formula>1</formula>
    </cfRule>
  </conditionalFormatting>
  <conditionalFormatting sqref="R19:R24">
    <cfRule type="cellIs" dxfId="5341" priority="1710" operator="greaterThan">
      <formula>1</formula>
    </cfRule>
    <cfRule type="cellIs" dxfId="5340" priority="1711" operator="lessThan">
      <formula>0.8</formula>
    </cfRule>
  </conditionalFormatting>
  <conditionalFormatting sqref="Q19:Q24">
    <cfRule type="cellIs" dxfId="5339" priority="1708" operator="lessThan">
      <formula>0</formula>
    </cfRule>
  </conditionalFormatting>
  <conditionalFormatting sqref="R19:R24">
    <cfRule type="cellIs" dxfId="5338" priority="1706" operator="lessThan">
      <formula>0.8</formula>
    </cfRule>
    <cfRule type="cellIs" dxfId="5337" priority="1707" operator="greaterThan">
      <formula>1</formula>
    </cfRule>
  </conditionalFormatting>
  <conditionalFormatting sqref="R19:R24">
    <cfRule type="cellIs" dxfId="5336" priority="1704" operator="greaterThan">
      <formula>1</formula>
    </cfRule>
    <cfRule type="cellIs" dxfId="5335" priority="1705" operator="lessThan">
      <formula>0.8</formula>
    </cfRule>
  </conditionalFormatting>
  <conditionalFormatting sqref="P19:P24">
    <cfRule type="cellIs" dxfId="5334" priority="1703" operator="greaterThan">
      <formula>0</formula>
    </cfRule>
  </conditionalFormatting>
  <conditionalFormatting sqref="Q19:Q24">
    <cfRule type="cellIs" dxfId="5333" priority="1702" operator="lessThan">
      <formula>0</formula>
    </cfRule>
  </conditionalFormatting>
  <conditionalFormatting sqref="R19:R24">
    <cfRule type="cellIs" dxfId="5332" priority="1700" operator="lessThan">
      <formula>0.8</formula>
    </cfRule>
    <cfRule type="cellIs" dxfId="5331" priority="1701" operator="greaterThan">
      <formula>1</formula>
    </cfRule>
  </conditionalFormatting>
  <conditionalFormatting sqref="R19:R24">
    <cfRule type="cellIs" dxfId="5330" priority="1698" operator="greaterThan">
      <formula>1</formula>
    </cfRule>
    <cfRule type="cellIs" dxfId="5329" priority="1699" operator="lessThan">
      <formula>0.8</formula>
    </cfRule>
  </conditionalFormatting>
  <conditionalFormatting sqref="P19:P24">
    <cfRule type="cellIs" dxfId="5328" priority="1697" operator="greaterThan">
      <formula>0</formula>
    </cfRule>
  </conditionalFormatting>
  <conditionalFormatting sqref="Q19:Q24">
    <cfRule type="cellIs" dxfId="5327" priority="1696" operator="lessThan">
      <formula>0</formula>
    </cfRule>
  </conditionalFormatting>
  <conditionalFormatting sqref="R19:R24">
    <cfRule type="cellIs" dxfId="5326" priority="1694" operator="lessThan">
      <formula>0.8</formula>
    </cfRule>
    <cfRule type="cellIs" dxfId="5325" priority="1695" operator="greaterThan">
      <formula>1</formula>
    </cfRule>
  </conditionalFormatting>
  <conditionalFormatting sqref="R19:R24">
    <cfRule type="cellIs" dxfId="5324" priority="1692" operator="greaterThan">
      <formula>1</formula>
    </cfRule>
    <cfRule type="cellIs" dxfId="5323" priority="1693" operator="lessThan">
      <formula>0.8</formula>
    </cfRule>
  </conditionalFormatting>
  <conditionalFormatting sqref="P19:P24">
    <cfRule type="cellIs" dxfId="5322" priority="1691" operator="greaterThan">
      <formula>0</formula>
    </cfRule>
  </conditionalFormatting>
  <conditionalFormatting sqref="R19:R24">
    <cfRule type="cellIs" dxfId="5321" priority="1688" operator="lessThan">
      <formula>0.8</formula>
    </cfRule>
    <cfRule type="cellIs" dxfId="5320" priority="1689" operator="greaterThan">
      <formula>1</formula>
    </cfRule>
  </conditionalFormatting>
  <conditionalFormatting sqref="R19:R24">
    <cfRule type="cellIs" dxfId="5319" priority="1686" operator="greaterThan">
      <formula>1</formula>
    </cfRule>
    <cfRule type="cellIs" dxfId="5318" priority="1687" operator="lessThan">
      <formula>0.8</formula>
    </cfRule>
  </conditionalFormatting>
  <conditionalFormatting sqref="P19:P24">
    <cfRule type="cellIs" dxfId="5317" priority="1685" operator="greaterThan">
      <formula>0</formula>
    </cfRule>
  </conditionalFormatting>
  <conditionalFormatting sqref="Q19:Q24">
    <cfRule type="cellIs" dxfId="5316" priority="1690" operator="lessThan">
      <formula>0</formula>
    </cfRule>
  </conditionalFormatting>
  <conditionalFormatting sqref="Q40">
    <cfRule type="cellIs" dxfId="5315" priority="1684" operator="lessThan">
      <formula>0</formula>
    </cfRule>
  </conditionalFormatting>
  <conditionalFormatting sqref="R40">
    <cfRule type="cellIs" dxfId="5314" priority="1682" operator="lessThan">
      <formula>0.8</formula>
    </cfRule>
    <cfRule type="cellIs" dxfId="5313" priority="1683" operator="greaterThan">
      <formula>1</formula>
    </cfRule>
  </conditionalFormatting>
  <conditionalFormatting sqref="R40">
    <cfRule type="cellIs" dxfId="5312" priority="1680" operator="greaterThan">
      <formula>1</formula>
    </cfRule>
    <cfRule type="cellIs" dxfId="5311" priority="1681" operator="lessThan">
      <formula>0.8</formula>
    </cfRule>
  </conditionalFormatting>
  <conditionalFormatting sqref="P40">
    <cfRule type="cellIs" dxfId="5310" priority="1679" operator="greaterThan">
      <formula>0</formula>
    </cfRule>
  </conditionalFormatting>
  <conditionalFormatting sqref="P40">
    <cfRule type="cellIs" dxfId="5309" priority="1673" operator="greaterThan">
      <formula>0</formula>
    </cfRule>
  </conditionalFormatting>
  <conditionalFormatting sqref="Q40">
    <cfRule type="cellIs" dxfId="5308" priority="1678" operator="lessThan">
      <formula>0</formula>
    </cfRule>
  </conditionalFormatting>
  <conditionalFormatting sqref="R40">
    <cfRule type="cellIs" dxfId="5307" priority="1676" operator="lessThan">
      <formula>0.8</formula>
    </cfRule>
    <cfRule type="cellIs" dxfId="5306" priority="1677" operator="greaterThan">
      <formula>1</formula>
    </cfRule>
  </conditionalFormatting>
  <conditionalFormatting sqref="R40">
    <cfRule type="cellIs" dxfId="5305" priority="1674" operator="greaterThan">
      <formula>1</formula>
    </cfRule>
    <cfRule type="cellIs" dxfId="5304" priority="1675" operator="lessThan">
      <formula>0.8</formula>
    </cfRule>
  </conditionalFormatting>
  <conditionalFormatting sqref="P40">
    <cfRule type="cellIs" dxfId="5303" priority="1667" operator="greaterThan">
      <formula>0</formula>
    </cfRule>
  </conditionalFormatting>
  <conditionalFormatting sqref="Q40">
    <cfRule type="cellIs" dxfId="5302" priority="1672" operator="lessThan">
      <formula>0</formula>
    </cfRule>
  </conditionalFormatting>
  <conditionalFormatting sqref="R40">
    <cfRule type="cellIs" dxfId="5301" priority="1670" operator="lessThan">
      <formula>0.8</formula>
    </cfRule>
    <cfRule type="cellIs" dxfId="5300" priority="1671" operator="greaterThan">
      <formula>1</formula>
    </cfRule>
  </conditionalFormatting>
  <conditionalFormatting sqref="R40">
    <cfRule type="cellIs" dxfId="5299" priority="1668" operator="greaterThan">
      <formula>1</formula>
    </cfRule>
    <cfRule type="cellIs" dxfId="5298" priority="1669" operator="lessThan">
      <formula>0.8</formula>
    </cfRule>
  </conditionalFormatting>
  <conditionalFormatting sqref="Q40">
    <cfRule type="cellIs" dxfId="5297" priority="1666" operator="lessThan">
      <formula>0</formula>
    </cfRule>
  </conditionalFormatting>
  <conditionalFormatting sqref="R40">
    <cfRule type="cellIs" dxfId="5296" priority="1664" operator="lessThan">
      <formula>0.8</formula>
    </cfRule>
    <cfRule type="cellIs" dxfId="5295" priority="1665" operator="greaterThan">
      <formula>1</formula>
    </cfRule>
  </conditionalFormatting>
  <conditionalFormatting sqref="R40">
    <cfRule type="cellIs" dxfId="5294" priority="1662" operator="greaterThan">
      <formula>1</formula>
    </cfRule>
    <cfRule type="cellIs" dxfId="5293" priority="1663" operator="lessThan">
      <formula>0.8</formula>
    </cfRule>
  </conditionalFormatting>
  <conditionalFormatting sqref="P40">
    <cfRule type="cellIs" dxfId="5292" priority="1661" operator="greaterThan">
      <formula>0</formula>
    </cfRule>
  </conditionalFormatting>
  <conditionalFormatting sqref="P40">
    <cfRule type="cellIs" dxfId="5291" priority="1655" operator="greaterThan">
      <formula>0</formula>
    </cfRule>
  </conditionalFormatting>
  <conditionalFormatting sqref="Q40">
    <cfRule type="cellIs" dxfId="5290" priority="1660" operator="lessThan">
      <formula>0</formula>
    </cfRule>
  </conditionalFormatting>
  <conditionalFormatting sqref="R40">
    <cfRule type="cellIs" dxfId="5289" priority="1658" operator="lessThan">
      <formula>0.8</formula>
    </cfRule>
    <cfRule type="cellIs" dxfId="5288" priority="1659" operator="greaterThan">
      <formula>1</formula>
    </cfRule>
  </conditionalFormatting>
  <conditionalFormatting sqref="R40">
    <cfRule type="cellIs" dxfId="5287" priority="1656" operator="greaterThan">
      <formula>1</formula>
    </cfRule>
    <cfRule type="cellIs" dxfId="5286" priority="1657" operator="lessThan">
      <formula>0.8</formula>
    </cfRule>
  </conditionalFormatting>
  <conditionalFormatting sqref="P40">
    <cfRule type="cellIs" dxfId="5285" priority="1649" operator="greaterThan">
      <formula>0</formula>
    </cfRule>
  </conditionalFormatting>
  <conditionalFormatting sqref="Q40">
    <cfRule type="cellIs" dxfId="5284" priority="1654" operator="lessThan">
      <formula>0</formula>
    </cfRule>
  </conditionalFormatting>
  <conditionalFormatting sqref="R40">
    <cfRule type="cellIs" dxfId="5283" priority="1652" operator="lessThan">
      <formula>0.8</formula>
    </cfRule>
    <cfRule type="cellIs" dxfId="5282" priority="1653" operator="greaterThan">
      <formula>1</formula>
    </cfRule>
  </conditionalFormatting>
  <conditionalFormatting sqref="R40">
    <cfRule type="cellIs" dxfId="5281" priority="1650" operator="greaterThan">
      <formula>1</formula>
    </cfRule>
    <cfRule type="cellIs" dxfId="5280" priority="1651" operator="lessThan">
      <formula>0.8</formula>
    </cfRule>
  </conditionalFormatting>
  <conditionalFormatting sqref="P40">
    <cfRule type="cellIs" dxfId="5279" priority="1643" operator="greaterThan">
      <formula>0</formula>
    </cfRule>
  </conditionalFormatting>
  <conditionalFormatting sqref="Q40">
    <cfRule type="cellIs" dxfId="5278" priority="1648" operator="lessThan">
      <formula>0</formula>
    </cfRule>
  </conditionalFormatting>
  <conditionalFormatting sqref="R40">
    <cfRule type="cellIs" dxfId="5277" priority="1646" operator="lessThan">
      <formula>0.8</formula>
    </cfRule>
    <cfRule type="cellIs" dxfId="5276" priority="1647" operator="greaterThan">
      <formula>1</formula>
    </cfRule>
  </conditionalFormatting>
  <conditionalFormatting sqref="R40">
    <cfRule type="cellIs" dxfId="5275" priority="1644" operator="greaterThan">
      <formula>1</formula>
    </cfRule>
    <cfRule type="cellIs" dxfId="5274" priority="1645" operator="lessThan">
      <formula>0.8</formula>
    </cfRule>
  </conditionalFormatting>
  <conditionalFormatting sqref="Q40">
    <cfRule type="cellIs" dxfId="5273" priority="1637" operator="lessThan">
      <formula>0</formula>
    </cfRule>
  </conditionalFormatting>
  <conditionalFormatting sqref="P40">
    <cfRule type="cellIs" dxfId="5272" priority="1638" operator="greaterThan">
      <formula>0</formula>
    </cfRule>
  </conditionalFormatting>
  <conditionalFormatting sqref="R40">
    <cfRule type="cellIs" dxfId="5271" priority="1641" operator="lessThan">
      <formula>0.8</formula>
    </cfRule>
    <cfRule type="cellIs" dxfId="5270" priority="1642" operator="greaterThan">
      <formula>1</formula>
    </cfRule>
  </conditionalFormatting>
  <conditionalFormatting sqref="R40">
    <cfRule type="cellIs" dxfId="5269" priority="1639" operator="greaterThan">
      <formula>1</formula>
    </cfRule>
    <cfRule type="cellIs" dxfId="5268" priority="1640" operator="lessThan">
      <formula>0.8</formula>
    </cfRule>
  </conditionalFormatting>
  <conditionalFormatting sqref="Q40">
    <cfRule type="cellIs" dxfId="5267" priority="1631" operator="lessThan">
      <formula>0</formula>
    </cfRule>
  </conditionalFormatting>
  <conditionalFormatting sqref="R40">
    <cfRule type="cellIs" dxfId="5266" priority="1635" operator="lessThan">
      <formula>0.8</formula>
    </cfRule>
    <cfRule type="cellIs" dxfId="5265" priority="1636" operator="greaterThan">
      <formula>1</formula>
    </cfRule>
  </conditionalFormatting>
  <conditionalFormatting sqref="R40">
    <cfRule type="cellIs" dxfId="5264" priority="1633" operator="greaterThan">
      <formula>1</formula>
    </cfRule>
    <cfRule type="cellIs" dxfId="5263" priority="1634" operator="lessThan">
      <formula>0.8</formula>
    </cfRule>
  </conditionalFormatting>
  <conditionalFormatting sqref="P40">
    <cfRule type="cellIs" dxfId="5262" priority="1632" operator="greaterThan">
      <formula>0</formula>
    </cfRule>
  </conditionalFormatting>
  <conditionalFormatting sqref="Q40">
    <cfRule type="cellIs" dxfId="5261" priority="1630" operator="lessThan">
      <formula>0</formula>
    </cfRule>
  </conditionalFormatting>
  <conditionalFormatting sqref="R40">
    <cfRule type="cellIs" dxfId="5260" priority="1628" operator="lessThan">
      <formula>0.8</formula>
    </cfRule>
    <cfRule type="cellIs" dxfId="5259" priority="1629" operator="greaterThan">
      <formula>1</formula>
    </cfRule>
  </conditionalFormatting>
  <conditionalFormatting sqref="R40">
    <cfRule type="cellIs" dxfId="5258" priority="1626" operator="greaterThan">
      <formula>1</formula>
    </cfRule>
    <cfRule type="cellIs" dxfId="5257" priority="1627" operator="lessThan">
      <formula>0.8</formula>
    </cfRule>
  </conditionalFormatting>
  <conditionalFormatting sqref="P40">
    <cfRule type="cellIs" dxfId="5256" priority="1625" operator="greaterThan">
      <formula>0</formula>
    </cfRule>
  </conditionalFormatting>
  <conditionalFormatting sqref="Q40">
    <cfRule type="cellIs" dxfId="5255" priority="1624" operator="lessThan">
      <formula>0</formula>
    </cfRule>
  </conditionalFormatting>
  <conditionalFormatting sqref="R40">
    <cfRule type="cellIs" dxfId="5254" priority="1622" operator="lessThan">
      <formula>0.8</formula>
    </cfRule>
    <cfRule type="cellIs" dxfId="5253" priority="1623" operator="greaterThan">
      <formula>1</formula>
    </cfRule>
  </conditionalFormatting>
  <conditionalFormatting sqref="R40">
    <cfRule type="cellIs" dxfId="5252" priority="1620" operator="greaterThan">
      <formula>1</formula>
    </cfRule>
    <cfRule type="cellIs" dxfId="5251" priority="1621" operator="lessThan">
      <formula>0.8</formula>
    </cfRule>
  </conditionalFormatting>
  <conditionalFormatting sqref="P40">
    <cfRule type="cellIs" dxfId="5250" priority="1619" operator="greaterThan">
      <formula>0</formula>
    </cfRule>
  </conditionalFormatting>
  <conditionalFormatting sqref="Q32:Q39">
    <cfRule type="cellIs" dxfId="5249" priority="1618" operator="lessThan">
      <formula>0</formula>
    </cfRule>
  </conditionalFormatting>
  <conditionalFormatting sqref="R32:R39">
    <cfRule type="cellIs" dxfId="5248" priority="1616" operator="lessThan">
      <formula>0.8</formula>
    </cfRule>
    <cfRule type="cellIs" dxfId="5247" priority="1617" operator="greaterThan">
      <formula>1</formula>
    </cfRule>
  </conditionalFormatting>
  <conditionalFormatting sqref="R32:R39">
    <cfRule type="cellIs" dxfId="5246" priority="1614" operator="greaterThan">
      <formula>1</formula>
    </cfRule>
    <cfRule type="cellIs" dxfId="5245" priority="1615" operator="lessThan">
      <formula>0.8</formula>
    </cfRule>
  </conditionalFormatting>
  <conditionalFormatting sqref="P32:P39">
    <cfRule type="cellIs" dxfId="5244" priority="1613" operator="greaterThan">
      <formula>0</formula>
    </cfRule>
  </conditionalFormatting>
  <conditionalFormatting sqref="Q32:Q39">
    <cfRule type="cellIs" dxfId="5243" priority="1612" operator="lessThan">
      <formula>0</formula>
    </cfRule>
  </conditionalFormatting>
  <conditionalFormatting sqref="R32:R39">
    <cfRule type="cellIs" dxfId="5242" priority="1610" operator="lessThan">
      <formula>0.8</formula>
    </cfRule>
    <cfRule type="cellIs" dxfId="5241" priority="1611" operator="greaterThan">
      <formula>1</formula>
    </cfRule>
  </conditionalFormatting>
  <conditionalFormatting sqref="R32:R39">
    <cfRule type="cellIs" dxfId="5240" priority="1608" operator="greaterThan">
      <formula>1</formula>
    </cfRule>
    <cfRule type="cellIs" dxfId="5239" priority="1609" operator="lessThan">
      <formula>0.8</formula>
    </cfRule>
  </conditionalFormatting>
  <conditionalFormatting sqref="P32:P39">
    <cfRule type="cellIs" dxfId="5238" priority="1607" operator="greaterThan">
      <formula>0</formula>
    </cfRule>
  </conditionalFormatting>
  <conditionalFormatting sqref="Q32:Q39">
    <cfRule type="cellIs" dxfId="5237" priority="1606" operator="lessThan">
      <formula>0</formula>
    </cfRule>
  </conditionalFormatting>
  <conditionalFormatting sqref="R32:R39">
    <cfRule type="cellIs" dxfId="5236" priority="1604" operator="lessThan">
      <formula>0.8</formula>
    </cfRule>
    <cfRule type="cellIs" dxfId="5235" priority="1605" operator="greaterThan">
      <formula>1</formula>
    </cfRule>
  </conditionalFormatting>
  <conditionalFormatting sqref="R32:R39">
    <cfRule type="cellIs" dxfId="5234" priority="1602" operator="greaterThan">
      <formula>1</formula>
    </cfRule>
    <cfRule type="cellIs" dxfId="5233" priority="1603" operator="lessThan">
      <formula>0.8</formula>
    </cfRule>
  </conditionalFormatting>
  <conditionalFormatting sqref="P32:P39">
    <cfRule type="cellIs" dxfId="5232" priority="1601" operator="greaterThan">
      <formula>0</formula>
    </cfRule>
  </conditionalFormatting>
  <conditionalFormatting sqref="Q32:Q39">
    <cfRule type="cellIs" dxfId="5231" priority="1600" operator="lessThan">
      <formula>0</formula>
    </cfRule>
  </conditionalFormatting>
  <conditionalFormatting sqref="R32:R39">
    <cfRule type="cellIs" dxfId="5230" priority="1598" operator="lessThan">
      <formula>0.8</formula>
    </cfRule>
    <cfRule type="cellIs" dxfId="5229" priority="1599" operator="greaterThan">
      <formula>1</formula>
    </cfRule>
  </conditionalFormatting>
  <conditionalFormatting sqref="R32:R39">
    <cfRule type="cellIs" dxfId="5228" priority="1596" operator="greaterThan">
      <formula>1</formula>
    </cfRule>
    <cfRule type="cellIs" dxfId="5227" priority="1597" operator="lessThan">
      <formula>0.8</formula>
    </cfRule>
  </conditionalFormatting>
  <conditionalFormatting sqref="P32:P39">
    <cfRule type="cellIs" dxfId="5226" priority="1595" operator="greaterThan">
      <formula>0</formula>
    </cfRule>
  </conditionalFormatting>
  <conditionalFormatting sqref="P32:P39">
    <cfRule type="cellIs" dxfId="5225" priority="1589" operator="greaterThan">
      <formula>0</formula>
    </cfRule>
  </conditionalFormatting>
  <conditionalFormatting sqref="Q32:Q39">
    <cfRule type="cellIs" dxfId="5224" priority="1594" operator="lessThan">
      <formula>0</formula>
    </cfRule>
  </conditionalFormatting>
  <conditionalFormatting sqref="R32:R39">
    <cfRule type="cellIs" dxfId="5223" priority="1592" operator="lessThan">
      <formula>0.8</formula>
    </cfRule>
    <cfRule type="cellIs" dxfId="5222" priority="1593" operator="greaterThan">
      <formula>1</formula>
    </cfRule>
  </conditionalFormatting>
  <conditionalFormatting sqref="R32:R39">
    <cfRule type="cellIs" dxfId="5221" priority="1590" operator="greaterThan">
      <formula>1</formula>
    </cfRule>
    <cfRule type="cellIs" dxfId="5220" priority="1591" operator="lessThan">
      <formula>0.8</formula>
    </cfRule>
  </conditionalFormatting>
  <conditionalFormatting sqref="P32:P39">
    <cfRule type="cellIs" dxfId="5219" priority="1583" operator="greaterThan">
      <formula>0</formula>
    </cfRule>
  </conditionalFormatting>
  <conditionalFormatting sqref="Q32:Q39">
    <cfRule type="cellIs" dxfId="5218" priority="1588" operator="lessThan">
      <formula>0</formula>
    </cfRule>
  </conditionalFormatting>
  <conditionalFormatting sqref="R32:R39">
    <cfRule type="cellIs" dxfId="5217" priority="1586" operator="lessThan">
      <formula>0.8</formula>
    </cfRule>
    <cfRule type="cellIs" dxfId="5216" priority="1587" operator="greaterThan">
      <formula>1</formula>
    </cfRule>
  </conditionalFormatting>
  <conditionalFormatting sqref="R32:R39">
    <cfRule type="cellIs" dxfId="5215" priority="1584" operator="greaterThan">
      <formula>1</formula>
    </cfRule>
    <cfRule type="cellIs" dxfId="5214" priority="1585" operator="lessThan">
      <formula>0.8</formula>
    </cfRule>
  </conditionalFormatting>
  <conditionalFormatting sqref="R32:R39">
    <cfRule type="cellIs" dxfId="5213" priority="1580" operator="lessThan">
      <formula>0.8</formula>
    </cfRule>
    <cfRule type="cellIs" dxfId="5212" priority="1581" operator="greaterThan">
      <formula>1</formula>
    </cfRule>
  </conditionalFormatting>
  <conditionalFormatting sqref="R32:R39">
    <cfRule type="cellIs" dxfId="5211" priority="1578" operator="greaterThan">
      <formula>1</formula>
    </cfRule>
    <cfRule type="cellIs" dxfId="5210" priority="1579" operator="lessThan">
      <formula>0.8</formula>
    </cfRule>
  </conditionalFormatting>
  <conditionalFormatting sqref="P32:P39">
    <cfRule type="cellIs" dxfId="5209" priority="1577" operator="greaterThan">
      <formula>0</formula>
    </cfRule>
  </conditionalFormatting>
  <conditionalFormatting sqref="Q32:Q39">
    <cfRule type="cellIs" dxfId="5208" priority="1582" operator="lessThan">
      <formula>0</formula>
    </cfRule>
  </conditionalFormatting>
  <conditionalFormatting sqref="Q32:Q39">
    <cfRule type="cellIs" dxfId="5207" priority="1576" operator="lessThan">
      <formula>0</formula>
    </cfRule>
  </conditionalFormatting>
  <conditionalFormatting sqref="R32:R39">
    <cfRule type="cellIs" dxfId="5206" priority="1574" operator="lessThan">
      <formula>0.8</formula>
    </cfRule>
    <cfRule type="cellIs" dxfId="5205" priority="1575" operator="greaterThan">
      <formula>1</formula>
    </cfRule>
  </conditionalFormatting>
  <conditionalFormatting sqref="R32:R39">
    <cfRule type="cellIs" dxfId="5204" priority="1572" operator="greaterThan">
      <formula>1</formula>
    </cfRule>
    <cfRule type="cellIs" dxfId="5203" priority="1573" operator="lessThan">
      <formula>0.8</formula>
    </cfRule>
  </conditionalFormatting>
  <conditionalFormatting sqref="P32:P39">
    <cfRule type="cellIs" dxfId="5202" priority="1571" operator="greaterThan">
      <formula>0</formula>
    </cfRule>
  </conditionalFormatting>
  <conditionalFormatting sqref="P32:P39">
    <cfRule type="cellIs" dxfId="5201" priority="1565" operator="greaterThan">
      <formula>0</formula>
    </cfRule>
  </conditionalFormatting>
  <conditionalFormatting sqref="Q32:Q39">
    <cfRule type="cellIs" dxfId="5200" priority="1570" operator="lessThan">
      <formula>0</formula>
    </cfRule>
  </conditionalFormatting>
  <conditionalFormatting sqref="R32:R39">
    <cfRule type="cellIs" dxfId="5199" priority="1568" operator="lessThan">
      <formula>0.8</formula>
    </cfRule>
    <cfRule type="cellIs" dxfId="5198" priority="1569" operator="greaterThan">
      <formula>1</formula>
    </cfRule>
  </conditionalFormatting>
  <conditionalFormatting sqref="R32:R39">
    <cfRule type="cellIs" dxfId="5197" priority="1566" operator="greaterThan">
      <formula>1</formula>
    </cfRule>
    <cfRule type="cellIs" dxfId="5196" priority="1567" operator="lessThan">
      <formula>0.8</formula>
    </cfRule>
  </conditionalFormatting>
  <conditionalFormatting sqref="P32:P39">
    <cfRule type="cellIs" dxfId="5195" priority="1559" operator="greaterThan">
      <formula>0</formula>
    </cfRule>
  </conditionalFormatting>
  <conditionalFormatting sqref="Q32:Q39">
    <cfRule type="cellIs" dxfId="5194" priority="1564" operator="lessThan">
      <formula>0</formula>
    </cfRule>
  </conditionalFormatting>
  <conditionalFormatting sqref="R32:R39">
    <cfRule type="cellIs" dxfId="5193" priority="1562" operator="lessThan">
      <formula>0.8</formula>
    </cfRule>
    <cfRule type="cellIs" dxfId="5192" priority="1563" operator="greaterThan">
      <formula>1</formula>
    </cfRule>
  </conditionalFormatting>
  <conditionalFormatting sqref="R32:R39">
    <cfRule type="cellIs" dxfId="5191" priority="1560" operator="greaterThan">
      <formula>1</formula>
    </cfRule>
    <cfRule type="cellIs" dxfId="5190" priority="1561" operator="lessThan">
      <formula>0.8</formula>
    </cfRule>
  </conditionalFormatting>
  <conditionalFormatting sqref="R32:R39">
    <cfRule type="cellIs" dxfId="5189" priority="1556" operator="lessThan">
      <formula>0.8</formula>
    </cfRule>
    <cfRule type="cellIs" dxfId="5188" priority="1557" operator="greaterThan">
      <formula>1</formula>
    </cfRule>
  </conditionalFormatting>
  <conditionalFormatting sqref="R32:R39">
    <cfRule type="cellIs" dxfId="5187" priority="1554" operator="greaterThan">
      <formula>1</formula>
    </cfRule>
    <cfRule type="cellIs" dxfId="5186" priority="1555" operator="lessThan">
      <formula>0.8</formula>
    </cfRule>
  </conditionalFormatting>
  <conditionalFormatting sqref="P32:P39">
    <cfRule type="cellIs" dxfId="5185" priority="1553" operator="greaterThan">
      <formula>0</formula>
    </cfRule>
  </conditionalFormatting>
  <conditionalFormatting sqref="Q32:Q39">
    <cfRule type="cellIs" dxfId="5184" priority="1558" operator="lessThan">
      <formula>0</formula>
    </cfRule>
  </conditionalFormatting>
  <conditionalFormatting sqref="P32:P39">
    <cfRule type="cellIs" dxfId="5183" priority="1547" operator="greaterThan">
      <formula>0</formula>
    </cfRule>
  </conditionalFormatting>
  <conditionalFormatting sqref="Q32:Q39">
    <cfRule type="cellIs" dxfId="5182" priority="1552" operator="lessThan">
      <formula>0</formula>
    </cfRule>
  </conditionalFormatting>
  <conditionalFormatting sqref="R32:R39">
    <cfRule type="cellIs" dxfId="5181" priority="1550" operator="lessThan">
      <formula>0.8</formula>
    </cfRule>
    <cfRule type="cellIs" dxfId="5180" priority="1551" operator="greaterThan">
      <formula>1</formula>
    </cfRule>
  </conditionalFormatting>
  <conditionalFormatting sqref="R32:R39">
    <cfRule type="cellIs" dxfId="5179" priority="1548" operator="greaterThan">
      <formula>1</formula>
    </cfRule>
    <cfRule type="cellIs" dxfId="5178" priority="1549" operator="lessThan">
      <formula>0.8</formula>
    </cfRule>
  </conditionalFormatting>
  <conditionalFormatting sqref="R32:R39">
    <cfRule type="cellIs" dxfId="5177" priority="1544" operator="lessThan">
      <formula>0.8</formula>
    </cfRule>
    <cfRule type="cellIs" dxfId="5176" priority="1545" operator="greaterThan">
      <formula>1</formula>
    </cfRule>
  </conditionalFormatting>
  <conditionalFormatting sqref="R32:R39">
    <cfRule type="cellIs" dxfId="5175" priority="1542" operator="greaterThan">
      <formula>1</formula>
    </cfRule>
    <cfRule type="cellIs" dxfId="5174" priority="1543" operator="lessThan">
      <formula>0.8</formula>
    </cfRule>
  </conditionalFormatting>
  <conditionalFormatting sqref="P32:P39">
    <cfRule type="cellIs" dxfId="5173" priority="1541" operator="greaterThan">
      <formula>0</formula>
    </cfRule>
  </conditionalFormatting>
  <conditionalFormatting sqref="Q32:Q39">
    <cfRule type="cellIs" dxfId="5172" priority="1546" operator="lessThan">
      <formula>0</formula>
    </cfRule>
  </conditionalFormatting>
  <conditionalFormatting sqref="R32:R39">
    <cfRule type="cellIs" dxfId="5171" priority="1538" operator="lessThan">
      <formula>0.8</formula>
    </cfRule>
    <cfRule type="cellIs" dxfId="5170" priority="1539" operator="greaterThan">
      <formula>1</formula>
    </cfRule>
  </conditionalFormatting>
  <conditionalFormatting sqref="R32:R39">
    <cfRule type="cellIs" dxfId="5169" priority="1536" operator="greaterThan">
      <formula>1</formula>
    </cfRule>
    <cfRule type="cellIs" dxfId="5168" priority="1537" operator="lessThan">
      <formula>0.8</formula>
    </cfRule>
  </conditionalFormatting>
  <conditionalFormatting sqref="P32:P39">
    <cfRule type="cellIs" dxfId="5167" priority="1535" operator="greaterThan">
      <formula>0</formula>
    </cfRule>
  </conditionalFormatting>
  <conditionalFormatting sqref="Q32:Q39">
    <cfRule type="cellIs" dxfId="5166" priority="1540" operator="lessThan">
      <formula>0</formula>
    </cfRule>
  </conditionalFormatting>
  <conditionalFormatting sqref="Q32:Q39">
    <cfRule type="cellIs" dxfId="5165" priority="1534" operator="lessThan">
      <formula>0</formula>
    </cfRule>
  </conditionalFormatting>
  <conditionalFormatting sqref="R32:R39">
    <cfRule type="cellIs" dxfId="5164" priority="1532" operator="lessThan">
      <formula>0.8</formula>
    </cfRule>
    <cfRule type="cellIs" dxfId="5163" priority="1533" operator="greaterThan">
      <formula>1</formula>
    </cfRule>
  </conditionalFormatting>
  <conditionalFormatting sqref="R32:R39">
    <cfRule type="cellIs" dxfId="5162" priority="1530" operator="greaterThan">
      <formula>1</formula>
    </cfRule>
    <cfRule type="cellIs" dxfId="5161" priority="1531" operator="lessThan">
      <formula>0.8</formula>
    </cfRule>
  </conditionalFormatting>
  <conditionalFormatting sqref="P32:P39">
    <cfRule type="cellIs" dxfId="5160" priority="1529" operator="greaterThan">
      <formula>0</formula>
    </cfRule>
  </conditionalFormatting>
  <conditionalFormatting sqref="Q32:Q39">
    <cfRule type="cellIs" dxfId="5159" priority="1523" operator="lessThan">
      <formula>0</formula>
    </cfRule>
  </conditionalFormatting>
  <conditionalFormatting sqref="R32:R39">
    <cfRule type="cellIs" dxfId="5158" priority="1527" operator="lessThan">
      <formula>0.8</formula>
    </cfRule>
    <cfRule type="cellIs" dxfId="5157" priority="1528" operator="greaterThan">
      <formula>1</formula>
    </cfRule>
  </conditionalFormatting>
  <conditionalFormatting sqref="R32:R39">
    <cfRule type="cellIs" dxfId="5156" priority="1525" operator="greaterThan">
      <formula>1</formula>
    </cfRule>
    <cfRule type="cellIs" dxfId="5155" priority="1526" operator="lessThan">
      <formula>0.8</formula>
    </cfRule>
  </conditionalFormatting>
  <conditionalFormatting sqref="P32:P39">
    <cfRule type="cellIs" dxfId="5154" priority="1524" operator="greaterThan">
      <formula>0</formula>
    </cfRule>
  </conditionalFormatting>
  <conditionalFormatting sqref="Q32:Q39">
    <cfRule type="cellIs" dxfId="5153" priority="1522" operator="lessThan">
      <formula>0</formula>
    </cfRule>
  </conditionalFormatting>
  <conditionalFormatting sqref="R32:R39">
    <cfRule type="cellIs" dxfId="5152" priority="1520" operator="lessThan">
      <formula>0.8</formula>
    </cfRule>
    <cfRule type="cellIs" dxfId="5151" priority="1521" operator="greaterThan">
      <formula>1</formula>
    </cfRule>
  </conditionalFormatting>
  <conditionalFormatting sqref="R32:R39">
    <cfRule type="cellIs" dxfId="5150" priority="1518" operator="greaterThan">
      <formula>1</formula>
    </cfRule>
    <cfRule type="cellIs" dxfId="5149" priority="1519" operator="lessThan">
      <formula>0.8</formula>
    </cfRule>
  </conditionalFormatting>
  <conditionalFormatting sqref="P32:P39">
    <cfRule type="cellIs" dxfId="5148" priority="1517" operator="greaterThan">
      <formula>0</formula>
    </cfRule>
  </conditionalFormatting>
  <conditionalFormatting sqref="Q32:Q39">
    <cfRule type="cellIs" dxfId="5147" priority="1516" operator="lessThan">
      <formula>0</formula>
    </cfRule>
  </conditionalFormatting>
  <conditionalFormatting sqref="R32:R39">
    <cfRule type="cellIs" dxfId="5146" priority="1514" operator="lessThan">
      <formula>0.8</formula>
    </cfRule>
    <cfRule type="cellIs" dxfId="5145" priority="1515" operator="greaterThan">
      <formula>1</formula>
    </cfRule>
  </conditionalFormatting>
  <conditionalFormatting sqref="R32:R39">
    <cfRule type="cellIs" dxfId="5144" priority="1512" operator="greaterThan">
      <formula>1</formula>
    </cfRule>
    <cfRule type="cellIs" dxfId="5143" priority="1513" operator="lessThan">
      <formula>0.8</formula>
    </cfRule>
  </conditionalFormatting>
  <conditionalFormatting sqref="P32:P39">
    <cfRule type="cellIs" dxfId="5142" priority="1511" operator="greaterThan">
      <formula>0</formula>
    </cfRule>
  </conditionalFormatting>
  <conditionalFormatting sqref="Q32:Q39">
    <cfRule type="cellIs" dxfId="5141" priority="1510" operator="lessThan">
      <formula>0</formula>
    </cfRule>
  </conditionalFormatting>
  <conditionalFormatting sqref="R32:R39">
    <cfRule type="cellIs" dxfId="5140" priority="1508" operator="lessThan">
      <formula>0.8</formula>
    </cfRule>
    <cfRule type="cellIs" dxfId="5139" priority="1509" operator="greaterThan">
      <formula>1</formula>
    </cfRule>
  </conditionalFormatting>
  <conditionalFormatting sqref="R32:R39">
    <cfRule type="cellIs" dxfId="5138" priority="1506" operator="greaterThan">
      <formula>1</formula>
    </cfRule>
    <cfRule type="cellIs" dxfId="5137" priority="1507" operator="lessThan">
      <formula>0.8</formula>
    </cfRule>
  </conditionalFormatting>
  <conditionalFormatting sqref="P32:P39">
    <cfRule type="cellIs" dxfId="5136" priority="1505" operator="greaterThan">
      <formula>0</formula>
    </cfRule>
  </conditionalFormatting>
  <conditionalFormatting sqref="Q32:Q39">
    <cfRule type="cellIs" dxfId="5135" priority="1504" operator="lessThan">
      <formula>0</formula>
    </cfRule>
  </conditionalFormatting>
  <conditionalFormatting sqref="R32:R39">
    <cfRule type="cellIs" dxfId="5134" priority="1502" operator="lessThan">
      <formula>0.8</formula>
    </cfRule>
    <cfRule type="cellIs" dxfId="5133" priority="1503" operator="greaterThan">
      <formula>1</formula>
    </cfRule>
  </conditionalFormatting>
  <conditionalFormatting sqref="R32:R39">
    <cfRule type="cellIs" dxfId="5132" priority="1500" operator="greaterThan">
      <formula>1</formula>
    </cfRule>
    <cfRule type="cellIs" dxfId="5131" priority="1501" operator="lessThan">
      <formula>0.8</formula>
    </cfRule>
  </conditionalFormatting>
  <conditionalFormatting sqref="P32:P39">
    <cfRule type="cellIs" dxfId="5130" priority="1499" operator="greaterThan">
      <formula>0</formula>
    </cfRule>
  </conditionalFormatting>
  <conditionalFormatting sqref="Q32:Q39">
    <cfRule type="cellIs" dxfId="5129" priority="1498" operator="lessThan">
      <formula>0</formula>
    </cfRule>
  </conditionalFormatting>
  <conditionalFormatting sqref="R32:R39">
    <cfRule type="cellIs" dxfId="5128" priority="1496" operator="lessThan">
      <formula>0.8</formula>
    </cfRule>
    <cfRule type="cellIs" dxfId="5127" priority="1497" operator="greaterThan">
      <formula>1</formula>
    </cfRule>
  </conditionalFormatting>
  <conditionalFormatting sqref="R32:R39">
    <cfRule type="cellIs" dxfId="5126" priority="1494" operator="greaterThan">
      <formula>1</formula>
    </cfRule>
    <cfRule type="cellIs" dxfId="5125" priority="1495" operator="lessThan">
      <formula>0.8</formula>
    </cfRule>
  </conditionalFormatting>
  <conditionalFormatting sqref="P32:P39">
    <cfRule type="cellIs" dxfId="5124" priority="1493" operator="greaterThan">
      <formula>0</formula>
    </cfRule>
  </conditionalFormatting>
  <conditionalFormatting sqref="P32:P39">
    <cfRule type="cellIs" dxfId="5123" priority="1487" operator="greaterThan">
      <formula>0</formula>
    </cfRule>
  </conditionalFormatting>
  <conditionalFormatting sqref="Q32:Q39">
    <cfRule type="cellIs" dxfId="5122" priority="1492" operator="lessThan">
      <formula>0</formula>
    </cfRule>
  </conditionalFormatting>
  <conditionalFormatting sqref="R32:R39">
    <cfRule type="cellIs" dxfId="5121" priority="1490" operator="lessThan">
      <formula>0.8</formula>
    </cfRule>
    <cfRule type="cellIs" dxfId="5120" priority="1491" operator="greaterThan">
      <formula>1</formula>
    </cfRule>
  </conditionalFormatting>
  <conditionalFormatting sqref="R32:R39">
    <cfRule type="cellIs" dxfId="5119" priority="1488" operator="greaterThan">
      <formula>1</formula>
    </cfRule>
    <cfRule type="cellIs" dxfId="5118" priority="1489" operator="lessThan">
      <formula>0.8</formula>
    </cfRule>
  </conditionalFormatting>
  <conditionalFormatting sqref="P32:P39">
    <cfRule type="cellIs" dxfId="5117" priority="1481" operator="greaterThan">
      <formula>0</formula>
    </cfRule>
  </conditionalFormatting>
  <conditionalFormatting sqref="Q32:Q39">
    <cfRule type="cellIs" dxfId="5116" priority="1486" operator="lessThan">
      <formula>0</formula>
    </cfRule>
  </conditionalFormatting>
  <conditionalFormatting sqref="R32:R39">
    <cfRule type="cellIs" dxfId="5115" priority="1484" operator="lessThan">
      <formula>0.8</formula>
    </cfRule>
    <cfRule type="cellIs" dxfId="5114" priority="1485" operator="greaterThan">
      <formula>1</formula>
    </cfRule>
  </conditionalFormatting>
  <conditionalFormatting sqref="R32:R39">
    <cfRule type="cellIs" dxfId="5113" priority="1482" operator="greaterThan">
      <formula>1</formula>
    </cfRule>
    <cfRule type="cellIs" dxfId="5112" priority="1483" operator="lessThan">
      <formula>0.8</formula>
    </cfRule>
  </conditionalFormatting>
  <conditionalFormatting sqref="R32:R39">
    <cfRule type="cellIs" dxfId="5111" priority="1478" operator="lessThan">
      <formula>0.8</formula>
    </cfRule>
    <cfRule type="cellIs" dxfId="5110" priority="1479" operator="greaterThan">
      <formula>1</formula>
    </cfRule>
  </conditionalFormatting>
  <conditionalFormatting sqref="R32:R39">
    <cfRule type="cellIs" dxfId="5109" priority="1476" operator="greaterThan">
      <formula>1</formula>
    </cfRule>
    <cfRule type="cellIs" dxfId="5108" priority="1477" operator="lessThan">
      <formula>0.8</formula>
    </cfRule>
  </conditionalFormatting>
  <conditionalFormatting sqref="P32:P39">
    <cfRule type="cellIs" dxfId="5107" priority="1475" operator="greaterThan">
      <formula>0</formula>
    </cfRule>
  </conditionalFormatting>
  <conditionalFormatting sqref="Q32:Q39">
    <cfRule type="cellIs" dxfId="5106" priority="1480" operator="lessThan">
      <formula>0</formula>
    </cfRule>
  </conditionalFormatting>
  <conditionalFormatting sqref="Q32:Q39">
    <cfRule type="cellIs" dxfId="5105" priority="1469" operator="lessThan">
      <formula>0</formula>
    </cfRule>
  </conditionalFormatting>
  <conditionalFormatting sqref="P32:P39">
    <cfRule type="cellIs" dxfId="5104" priority="1470" operator="greaterThan">
      <formula>0</formula>
    </cfRule>
  </conditionalFormatting>
  <conditionalFormatting sqref="R32:R39">
    <cfRule type="cellIs" dxfId="5103" priority="1473" operator="lessThan">
      <formula>0.8</formula>
    </cfRule>
    <cfRule type="cellIs" dxfId="5102" priority="1474" operator="greaterThan">
      <formula>1</formula>
    </cfRule>
  </conditionalFormatting>
  <conditionalFormatting sqref="R32:R39">
    <cfRule type="cellIs" dxfId="5101" priority="1471" operator="greaterThan">
      <formula>1</formula>
    </cfRule>
    <cfRule type="cellIs" dxfId="5100" priority="1472" operator="lessThan">
      <formula>0.8</formula>
    </cfRule>
  </conditionalFormatting>
  <conditionalFormatting sqref="Q32:Q39">
    <cfRule type="cellIs" dxfId="5099" priority="1463" operator="lessThan">
      <formula>0</formula>
    </cfRule>
  </conditionalFormatting>
  <conditionalFormatting sqref="R32:R39">
    <cfRule type="cellIs" dxfId="5098" priority="1467" operator="lessThan">
      <formula>0.8</formula>
    </cfRule>
    <cfRule type="cellIs" dxfId="5097" priority="1468" operator="greaterThan">
      <formula>1</formula>
    </cfRule>
  </conditionalFormatting>
  <conditionalFormatting sqref="R32:R39">
    <cfRule type="cellIs" dxfId="5096" priority="1465" operator="greaterThan">
      <formula>1</formula>
    </cfRule>
    <cfRule type="cellIs" dxfId="5095" priority="1466" operator="lessThan">
      <formula>0.8</formula>
    </cfRule>
  </conditionalFormatting>
  <conditionalFormatting sqref="P32:P39">
    <cfRule type="cellIs" dxfId="5094" priority="1464" operator="greaterThan">
      <formula>0</formula>
    </cfRule>
  </conditionalFormatting>
  <conditionalFormatting sqref="Q32:Q39">
    <cfRule type="cellIs" dxfId="5093" priority="1462" operator="lessThan">
      <formula>0</formula>
    </cfRule>
  </conditionalFormatting>
  <conditionalFormatting sqref="R32:R39">
    <cfRule type="cellIs" dxfId="5092" priority="1460" operator="lessThan">
      <formula>0.8</formula>
    </cfRule>
    <cfRule type="cellIs" dxfId="5091" priority="1461" operator="greaterThan">
      <formula>1</formula>
    </cfRule>
  </conditionalFormatting>
  <conditionalFormatting sqref="R32:R39">
    <cfRule type="cellIs" dxfId="5090" priority="1458" operator="greaterThan">
      <formula>1</formula>
    </cfRule>
    <cfRule type="cellIs" dxfId="5089" priority="1459" operator="lessThan">
      <formula>0.8</formula>
    </cfRule>
  </conditionalFormatting>
  <conditionalFormatting sqref="P32:P39">
    <cfRule type="cellIs" dxfId="5088" priority="1457" operator="greaterThan">
      <formula>0</formula>
    </cfRule>
  </conditionalFormatting>
  <conditionalFormatting sqref="Q32:Q39">
    <cfRule type="cellIs" dxfId="5087" priority="1456" operator="lessThan">
      <formula>0</formula>
    </cfRule>
  </conditionalFormatting>
  <conditionalFormatting sqref="R32:R39">
    <cfRule type="cellIs" dxfId="5086" priority="1454" operator="lessThan">
      <formula>0.8</formula>
    </cfRule>
    <cfRule type="cellIs" dxfId="5085" priority="1455" operator="greaterThan">
      <formula>1</formula>
    </cfRule>
  </conditionalFormatting>
  <conditionalFormatting sqref="R32:R39">
    <cfRule type="cellIs" dxfId="5084" priority="1452" operator="greaterThan">
      <formula>1</formula>
    </cfRule>
    <cfRule type="cellIs" dxfId="5083" priority="1453" operator="lessThan">
      <formula>0.8</formula>
    </cfRule>
  </conditionalFormatting>
  <conditionalFormatting sqref="P32:P39">
    <cfRule type="cellIs" dxfId="5082" priority="1451" operator="greaterThan">
      <formula>0</formula>
    </cfRule>
  </conditionalFormatting>
  <conditionalFormatting sqref="Q32:Q39">
    <cfRule type="cellIs" dxfId="5081" priority="1450" operator="lessThan">
      <formula>0</formula>
    </cfRule>
  </conditionalFormatting>
  <conditionalFormatting sqref="R32:R39">
    <cfRule type="cellIs" dxfId="5080" priority="1448" operator="lessThan">
      <formula>0.8</formula>
    </cfRule>
    <cfRule type="cellIs" dxfId="5079" priority="1449" operator="greaterThan">
      <formula>1</formula>
    </cfRule>
  </conditionalFormatting>
  <conditionalFormatting sqref="R32:R39">
    <cfRule type="cellIs" dxfId="5078" priority="1446" operator="greaterThan">
      <formula>1</formula>
    </cfRule>
    <cfRule type="cellIs" dxfId="5077" priority="1447" operator="lessThan">
      <formula>0.8</formula>
    </cfRule>
  </conditionalFormatting>
  <conditionalFormatting sqref="P32:P39">
    <cfRule type="cellIs" dxfId="5076" priority="1445" operator="greaterThan">
      <formula>0</formula>
    </cfRule>
  </conditionalFormatting>
  <conditionalFormatting sqref="Q32:Q39">
    <cfRule type="cellIs" dxfId="5075" priority="1444" operator="lessThan">
      <formula>0</formula>
    </cfRule>
  </conditionalFormatting>
  <conditionalFormatting sqref="R32:R39">
    <cfRule type="cellIs" dxfId="5074" priority="1442" operator="lessThan">
      <formula>0.8</formula>
    </cfRule>
    <cfRule type="cellIs" dxfId="5073" priority="1443" operator="greaterThan">
      <formula>1</formula>
    </cfRule>
  </conditionalFormatting>
  <conditionalFormatting sqref="R32:R39">
    <cfRule type="cellIs" dxfId="5072" priority="1440" operator="greaterThan">
      <formula>1</formula>
    </cfRule>
    <cfRule type="cellIs" dxfId="5071" priority="1441" operator="lessThan">
      <formula>0.8</formula>
    </cfRule>
  </conditionalFormatting>
  <conditionalFormatting sqref="P32:P39">
    <cfRule type="cellIs" dxfId="5070" priority="1439" operator="greaterThan">
      <formula>0</formula>
    </cfRule>
  </conditionalFormatting>
  <conditionalFormatting sqref="Q105">
    <cfRule type="cellIs" dxfId="5069" priority="1438" operator="lessThan">
      <formula>0</formula>
    </cfRule>
  </conditionalFormatting>
  <conditionalFormatting sqref="P105">
    <cfRule type="cellIs" dxfId="5068" priority="1437" operator="greaterThan">
      <formula>0</formula>
    </cfRule>
  </conditionalFormatting>
  <conditionalFormatting sqref="P105">
    <cfRule type="cellIs" dxfId="5067" priority="1435" operator="greaterThan">
      <formula>0</formula>
    </cfRule>
  </conditionalFormatting>
  <conditionalFormatting sqref="Q105">
    <cfRule type="cellIs" dxfId="5066" priority="1436" operator="lessThan">
      <formula>0</formula>
    </cfRule>
  </conditionalFormatting>
  <conditionalFormatting sqref="Q105">
    <cfRule type="cellIs" dxfId="5065" priority="1434" operator="lessThan">
      <formula>0</formula>
    </cfRule>
  </conditionalFormatting>
  <conditionalFormatting sqref="P105">
    <cfRule type="cellIs" dxfId="5064" priority="1433" operator="greaterThan">
      <formula>0</formula>
    </cfRule>
  </conditionalFormatting>
  <conditionalFormatting sqref="Q96:Q104">
    <cfRule type="cellIs" dxfId="5063" priority="1427" operator="lessThan">
      <formula>0</formula>
    </cfRule>
  </conditionalFormatting>
  <conditionalFormatting sqref="P96:P104">
    <cfRule type="cellIs" dxfId="5062" priority="1428" operator="greaterThan">
      <formula>0</formula>
    </cfRule>
  </conditionalFormatting>
  <conditionalFormatting sqref="R96:R105">
    <cfRule type="cellIs" dxfId="5061" priority="1431" operator="lessThan">
      <formula>0.8</formula>
    </cfRule>
    <cfRule type="cellIs" dxfId="5060" priority="1432" operator="greaterThan">
      <formula>1</formula>
    </cfRule>
  </conditionalFormatting>
  <conditionalFormatting sqref="R96:R105">
    <cfRule type="cellIs" dxfId="5059" priority="1429" operator="greaterThan">
      <formula>1</formula>
    </cfRule>
    <cfRule type="cellIs" dxfId="5058" priority="1430" operator="lessThan">
      <formula>0.8</formula>
    </cfRule>
  </conditionalFormatting>
  <conditionalFormatting sqref="Q96:Q104">
    <cfRule type="cellIs" dxfId="5057" priority="1421" operator="lessThan">
      <formula>0</formula>
    </cfRule>
  </conditionalFormatting>
  <conditionalFormatting sqref="R96:R105">
    <cfRule type="cellIs" dxfId="5056" priority="1425" operator="lessThan">
      <formula>0.8</formula>
    </cfRule>
    <cfRule type="cellIs" dxfId="5055" priority="1426" operator="greaterThan">
      <formula>1</formula>
    </cfRule>
  </conditionalFormatting>
  <conditionalFormatting sqref="R96:R105">
    <cfRule type="cellIs" dxfId="5054" priority="1423" operator="greaterThan">
      <formula>1</formula>
    </cfRule>
    <cfRule type="cellIs" dxfId="5053" priority="1424" operator="lessThan">
      <formula>0.8</formula>
    </cfRule>
  </conditionalFormatting>
  <conditionalFormatting sqref="P96:P104">
    <cfRule type="cellIs" dxfId="5052" priority="1422" operator="greaterThan">
      <formula>0</formula>
    </cfRule>
  </conditionalFormatting>
  <conditionalFormatting sqref="Q96:Q104">
    <cfRule type="cellIs" dxfId="5051" priority="1420" operator="lessThan">
      <formula>0</formula>
    </cfRule>
  </conditionalFormatting>
  <conditionalFormatting sqref="R96:R105">
    <cfRule type="cellIs" dxfId="5050" priority="1418" operator="lessThan">
      <formula>0.8</formula>
    </cfRule>
    <cfRule type="cellIs" dxfId="5049" priority="1419" operator="greaterThan">
      <formula>1</formula>
    </cfRule>
  </conditionalFormatting>
  <conditionalFormatting sqref="R96:R105">
    <cfRule type="cellIs" dxfId="5048" priority="1416" operator="greaterThan">
      <formula>1</formula>
    </cfRule>
    <cfRule type="cellIs" dxfId="5047" priority="1417" operator="lessThan">
      <formula>0.8</formula>
    </cfRule>
  </conditionalFormatting>
  <conditionalFormatting sqref="P96:P104">
    <cfRule type="cellIs" dxfId="5046" priority="1415" operator="greaterThan">
      <formula>0</formula>
    </cfRule>
  </conditionalFormatting>
  <conditionalFormatting sqref="Q96:Q104">
    <cfRule type="cellIs" dxfId="5045" priority="1414" operator="lessThan">
      <formula>0</formula>
    </cfRule>
  </conditionalFormatting>
  <conditionalFormatting sqref="R96:R105">
    <cfRule type="cellIs" dxfId="5044" priority="1412" operator="lessThan">
      <formula>0.8</formula>
    </cfRule>
    <cfRule type="cellIs" dxfId="5043" priority="1413" operator="greaterThan">
      <formula>1</formula>
    </cfRule>
  </conditionalFormatting>
  <conditionalFormatting sqref="R96:R105">
    <cfRule type="cellIs" dxfId="5042" priority="1410" operator="greaterThan">
      <formula>1</formula>
    </cfRule>
    <cfRule type="cellIs" dxfId="5041" priority="1411" operator="lessThan">
      <formula>0.8</formula>
    </cfRule>
  </conditionalFormatting>
  <conditionalFormatting sqref="P96:P104">
    <cfRule type="cellIs" dxfId="5040" priority="1409" operator="greaterThan">
      <formula>0</formula>
    </cfRule>
  </conditionalFormatting>
  <conditionalFormatting sqref="Q96:Q104">
    <cfRule type="cellIs" dxfId="5039" priority="1403" operator="lessThan">
      <formula>0</formula>
    </cfRule>
  </conditionalFormatting>
  <conditionalFormatting sqref="R96:R105">
    <cfRule type="cellIs" dxfId="5038" priority="1407" operator="lessThan">
      <formula>0.8</formula>
    </cfRule>
    <cfRule type="cellIs" dxfId="5037" priority="1408" operator="greaterThan">
      <formula>1</formula>
    </cfRule>
  </conditionalFormatting>
  <conditionalFormatting sqref="R96:R105">
    <cfRule type="cellIs" dxfId="5036" priority="1405" operator="greaterThan">
      <formula>1</formula>
    </cfRule>
    <cfRule type="cellIs" dxfId="5035" priority="1406" operator="lessThan">
      <formula>0.8</formula>
    </cfRule>
  </conditionalFormatting>
  <conditionalFormatting sqref="P96:P104">
    <cfRule type="cellIs" dxfId="5034" priority="1404" operator="greaterThan">
      <formula>0</formula>
    </cfRule>
  </conditionalFormatting>
  <conditionalFormatting sqref="Q96:Q104">
    <cfRule type="cellIs" dxfId="5033" priority="1402" operator="lessThan">
      <formula>0</formula>
    </cfRule>
  </conditionalFormatting>
  <conditionalFormatting sqref="R96:R105">
    <cfRule type="cellIs" dxfId="5032" priority="1400" operator="lessThan">
      <formula>0.8</formula>
    </cfRule>
    <cfRule type="cellIs" dxfId="5031" priority="1401" operator="greaterThan">
      <formula>1</formula>
    </cfRule>
  </conditionalFormatting>
  <conditionalFormatting sqref="R96:R105">
    <cfRule type="cellIs" dxfId="5030" priority="1398" operator="greaterThan">
      <formula>1</formula>
    </cfRule>
    <cfRule type="cellIs" dxfId="5029" priority="1399" operator="lessThan">
      <formula>0.8</formula>
    </cfRule>
  </conditionalFormatting>
  <conditionalFormatting sqref="P96:P104">
    <cfRule type="cellIs" dxfId="5028" priority="1397" operator="greaterThan">
      <formula>0</formula>
    </cfRule>
  </conditionalFormatting>
  <conditionalFormatting sqref="Q96:Q104">
    <cfRule type="cellIs" dxfId="5027" priority="1396" operator="lessThan">
      <formula>0</formula>
    </cfRule>
  </conditionalFormatting>
  <conditionalFormatting sqref="R96:R105">
    <cfRule type="cellIs" dxfId="5026" priority="1394" operator="lessThan">
      <formula>0.8</formula>
    </cfRule>
    <cfRule type="cellIs" dxfId="5025" priority="1395" operator="greaterThan">
      <formula>1</formula>
    </cfRule>
  </conditionalFormatting>
  <conditionalFormatting sqref="R96:R105">
    <cfRule type="cellIs" dxfId="5024" priority="1392" operator="greaterThan">
      <formula>1</formula>
    </cfRule>
    <cfRule type="cellIs" dxfId="5023" priority="1393" operator="lessThan">
      <formula>0.8</formula>
    </cfRule>
  </conditionalFormatting>
  <conditionalFormatting sqref="P96:P104">
    <cfRule type="cellIs" dxfId="5022" priority="1391" operator="greaterThan">
      <formula>0</formula>
    </cfRule>
  </conditionalFormatting>
  <conditionalFormatting sqref="Q96:Q104">
    <cfRule type="cellIs" dxfId="5021" priority="1390" operator="lessThan">
      <formula>0</formula>
    </cfRule>
  </conditionalFormatting>
  <conditionalFormatting sqref="R96:R105">
    <cfRule type="cellIs" dxfId="5020" priority="1388" operator="lessThan">
      <formula>0.8</formula>
    </cfRule>
    <cfRule type="cellIs" dxfId="5019" priority="1389" operator="greaterThan">
      <formula>1</formula>
    </cfRule>
  </conditionalFormatting>
  <conditionalFormatting sqref="R96:R105">
    <cfRule type="cellIs" dxfId="5018" priority="1386" operator="greaterThan">
      <formula>1</formula>
    </cfRule>
    <cfRule type="cellIs" dxfId="5017" priority="1387" operator="lessThan">
      <formula>0.8</formula>
    </cfRule>
  </conditionalFormatting>
  <conditionalFormatting sqref="P96:P104">
    <cfRule type="cellIs" dxfId="5016" priority="1385" operator="greaterThan">
      <formula>0</formula>
    </cfRule>
  </conditionalFormatting>
  <conditionalFormatting sqref="Q96:Q104">
    <cfRule type="cellIs" dxfId="5015" priority="1384" operator="lessThan">
      <formula>0</formula>
    </cfRule>
  </conditionalFormatting>
  <conditionalFormatting sqref="R96:R105">
    <cfRule type="cellIs" dxfId="5014" priority="1382" operator="lessThan">
      <formula>0.8</formula>
    </cfRule>
    <cfRule type="cellIs" dxfId="5013" priority="1383" operator="greaterThan">
      <formula>1</formula>
    </cfRule>
  </conditionalFormatting>
  <conditionalFormatting sqref="R96:R105">
    <cfRule type="cellIs" dxfId="5012" priority="1380" operator="greaterThan">
      <formula>1</formula>
    </cfRule>
    <cfRule type="cellIs" dxfId="5011" priority="1381" operator="lessThan">
      <formula>0.8</formula>
    </cfRule>
  </conditionalFormatting>
  <conditionalFormatting sqref="P96:P104">
    <cfRule type="cellIs" dxfId="5010" priority="1379" operator="greaterThan">
      <formula>0</formula>
    </cfRule>
  </conditionalFormatting>
  <conditionalFormatting sqref="Q96:Q104">
    <cfRule type="cellIs" dxfId="5009" priority="1378" operator="lessThan">
      <formula>0</formula>
    </cfRule>
  </conditionalFormatting>
  <conditionalFormatting sqref="R96:R105">
    <cfRule type="cellIs" dxfId="5008" priority="1376" operator="lessThan">
      <formula>0.8</formula>
    </cfRule>
    <cfRule type="cellIs" dxfId="5007" priority="1377" operator="greaterThan">
      <formula>1</formula>
    </cfRule>
  </conditionalFormatting>
  <conditionalFormatting sqref="R96:R105">
    <cfRule type="cellIs" dxfId="5006" priority="1374" operator="greaterThan">
      <formula>1</formula>
    </cfRule>
    <cfRule type="cellIs" dxfId="5005" priority="1375" operator="lessThan">
      <formula>0.8</formula>
    </cfRule>
  </conditionalFormatting>
  <conditionalFormatting sqref="P96:P104">
    <cfRule type="cellIs" dxfId="5004" priority="1373" operator="greaterThan">
      <formula>0</formula>
    </cfRule>
  </conditionalFormatting>
  <conditionalFormatting sqref="P96:P104">
    <cfRule type="cellIs" dxfId="5003" priority="1367" operator="greaterThan">
      <formula>0</formula>
    </cfRule>
  </conditionalFormatting>
  <conditionalFormatting sqref="Q96:Q104">
    <cfRule type="cellIs" dxfId="5002" priority="1372" operator="lessThan">
      <formula>0</formula>
    </cfRule>
  </conditionalFormatting>
  <conditionalFormatting sqref="R96:R105">
    <cfRule type="cellIs" dxfId="5001" priority="1370" operator="lessThan">
      <formula>0.8</formula>
    </cfRule>
    <cfRule type="cellIs" dxfId="5000" priority="1371" operator="greaterThan">
      <formula>1</formula>
    </cfRule>
  </conditionalFormatting>
  <conditionalFormatting sqref="R96:R105">
    <cfRule type="cellIs" dxfId="4999" priority="1368" operator="greaterThan">
      <formula>1</formula>
    </cfRule>
    <cfRule type="cellIs" dxfId="4998" priority="1369" operator="lessThan">
      <formula>0.8</formula>
    </cfRule>
  </conditionalFormatting>
  <conditionalFormatting sqref="P96:P104">
    <cfRule type="cellIs" dxfId="4997" priority="1361" operator="greaterThan">
      <formula>0</formula>
    </cfRule>
  </conditionalFormatting>
  <conditionalFormatting sqref="Q96:Q104">
    <cfRule type="cellIs" dxfId="4996" priority="1366" operator="lessThan">
      <formula>0</formula>
    </cfRule>
  </conditionalFormatting>
  <conditionalFormatting sqref="R96:R105">
    <cfRule type="cellIs" dxfId="4995" priority="1364" operator="lessThan">
      <formula>0.8</formula>
    </cfRule>
    <cfRule type="cellIs" dxfId="4994" priority="1365" operator="greaterThan">
      <formula>1</formula>
    </cfRule>
  </conditionalFormatting>
  <conditionalFormatting sqref="R96:R105">
    <cfRule type="cellIs" dxfId="4993" priority="1362" operator="greaterThan">
      <formula>1</formula>
    </cfRule>
    <cfRule type="cellIs" dxfId="4992" priority="1363" operator="lessThan">
      <formula>0.8</formula>
    </cfRule>
  </conditionalFormatting>
  <conditionalFormatting sqref="R96:R105">
    <cfRule type="cellIs" dxfId="4991" priority="1358" operator="lessThan">
      <formula>0.8</formula>
    </cfRule>
    <cfRule type="cellIs" dxfId="4990" priority="1359" operator="greaterThan">
      <formula>1</formula>
    </cfRule>
  </conditionalFormatting>
  <conditionalFormatting sqref="R96:R105">
    <cfRule type="cellIs" dxfId="4989" priority="1356" operator="greaterThan">
      <formula>1</formula>
    </cfRule>
    <cfRule type="cellIs" dxfId="4988" priority="1357" operator="lessThan">
      <formula>0.8</formula>
    </cfRule>
  </conditionalFormatting>
  <conditionalFormatting sqref="P96:P104">
    <cfRule type="cellIs" dxfId="4987" priority="1355" operator="greaterThan">
      <formula>0</formula>
    </cfRule>
  </conditionalFormatting>
  <conditionalFormatting sqref="Q96:Q104">
    <cfRule type="cellIs" dxfId="4986" priority="1360" operator="lessThan">
      <formula>0</formula>
    </cfRule>
  </conditionalFormatting>
  <conditionalFormatting sqref="Q96:Q104">
    <cfRule type="cellIs" dxfId="4985" priority="1349" operator="lessThan">
      <formula>0</formula>
    </cfRule>
  </conditionalFormatting>
  <conditionalFormatting sqref="P96:P104">
    <cfRule type="cellIs" dxfId="4984" priority="1350" operator="greaterThan">
      <formula>0</formula>
    </cfRule>
  </conditionalFormatting>
  <conditionalFormatting sqref="R96:R105">
    <cfRule type="cellIs" dxfId="4983" priority="1353" operator="lessThan">
      <formula>0.8</formula>
    </cfRule>
    <cfRule type="cellIs" dxfId="4982" priority="1354" operator="greaterThan">
      <formula>1</formula>
    </cfRule>
  </conditionalFormatting>
  <conditionalFormatting sqref="R96:R105">
    <cfRule type="cellIs" dxfId="4981" priority="1351" operator="greaterThan">
      <formula>1</formula>
    </cfRule>
    <cfRule type="cellIs" dxfId="4980" priority="1352" operator="lessThan">
      <formula>0.8</formula>
    </cfRule>
  </conditionalFormatting>
  <conditionalFormatting sqref="Q96:Q104">
    <cfRule type="cellIs" dxfId="4979" priority="1343" operator="lessThan">
      <formula>0</formula>
    </cfRule>
  </conditionalFormatting>
  <conditionalFormatting sqref="R96:R105">
    <cfRule type="cellIs" dxfId="4978" priority="1347" operator="lessThan">
      <formula>0.8</formula>
    </cfRule>
    <cfRule type="cellIs" dxfId="4977" priority="1348" operator="greaterThan">
      <formula>1</formula>
    </cfRule>
  </conditionalFormatting>
  <conditionalFormatting sqref="R96:R105">
    <cfRule type="cellIs" dxfId="4976" priority="1345" operator="greaterThan">
      <formula>1</formula>
    </cfRule>
    <cfRule type="cellIs" dxfId="4975" priority="1346" operator="lessThan">
      <formula>0.8</formula>
    </cfRule>
  </conditionalFormatting>
  <conditionalFormatting sqref="P96:P104">
    <cfRule type="cellIs" dxfId="4974" priority="1344" operator="greaterThan">
      <formula>0</formula>
    </cfRule>
  </conditionalFormatting>
  <conditionalFormatting sqref="Q96:Q104">
    <cfRule type="cellIs" dxfId="4973" priority="1342" operator="lessThan">
      <formula>0</formula>
    </cfRule>
  </conditionalFormatting>
  <conditionalFormatting sqref="R96:R105">
    <cfRule type="cellIs" dxfId="4972" priority="1340" operator="lessThan">
      <formula>0.8</formula>
    </cfRule>
    <cfRule type="cellIs" dxfId="4971" priority="1341" operator="greaterThan">
      <formula>1</formula>
    </cfRule>
  </conditionalFormatting>
  <conditionalFormatting sqref="R96:R105">
    <cfRule type="cellIs" dxfId="4970" priority="1338" operator="greaterThan">
      <formula>1</formula>
    </cfRule>
    <cfRule type="cellIs" dxfId="4969" priority="1339" operator="lessThan">
      <formula>0.8</formula>
    </cfRule>
  </conditionalFormatting>
  <conditionalFormatting sqref="P96:P104">
    <cfRule type="cellIs" dxfId="4968" priority="1337" operator="greaterThan">
      <formula>0</formula>
    </cfRule>
  </conditionalFormatting>
  <conditionalFormatting sqref="Q96:Q104">
    <cfRule type="cellIs" dxfId="4967" priority="1336" operator="lessThan">
      <formula>0</formula>
    </cfRule>
  </conditionalFormatting>
  <conditionalFormatting sqref="R96:R105">
    <cfRule type="cellIs" dxfId="4966" priority="1334" operator="lessThan">
      <formula>0.8</formula>
    </cfRule>
    <cfRule type="cellIs" dxfId="4965" priority="1335" operator="greaterThan">
      <formula>1</formula>
    </cfRule>
  </conditionalFormatting>
  <conditionalFormatting sqref="R96:R105">
    <cfRule type="cellIs" dxfId="4964" priority="1332" operator="greaterThan">
      <formula>1</formula>
    </cfRule>
    <cfRule type="cellIs" dxfId="4963" priority="1333" operator="lessThan">
      <formula>0.8</formula>
    </cfRule>
  </conditionalFormatting>
  <conditionalFormatting sqref="P96:P104">
    <cfRule type="cellIs" dxfId="4962" priority="1331" operator="greaterThan">
      <formula>0</formula>
    </cfRule>
  </conditionalFormatting>
  <conditionalFormatting sqref="Q96:Q104">
    <cfRule type="cellIs" dxfId="4961" priority="1325" operator="lessThan">
      <formula>0</formula>
    </cfRule>
  </conditionalFormatting>
  <conditionalFormatting sqref="P96:P104">
    <cfRule type="cellIs" dxfId="4960" priority="1326" operator="greaterThan">
      <formula>0</formula>
    </cfRule>
  </conditionalFormatting>
  <conditionalFormatting sqref="R96:R105">
    <cfRule type="cellIs" dxfId="4959" priority="1329" operator="lessThan">
      <formula>0.8</formula>
    </cfRule>
    <cfRule type="cellIs" dxfId="4958" priority="1330" operator="greaterThan">
      <formula>1</formula>
    </cfRule>
  </conditionalFormatting>
  <conditionalFormatting sqref="R96:R105">
    <cfRule type="cellIs" dxfId="4957" priority="1327" operator="greaterThan">
      <formula>1</formula>
    </cfRule>
    <cfRule type="cellIs" dxfId="4956" priority="1328" operator="lessThan">
      <formula>0.8</formula>
    </cfRule>
  </conditionalFormatting>
  <conditionalFormatting sqref="Q96:Q104">
    <cfRule type="cellIs" dxfId="4955" priority="1319" operator="lessThan">
      <formula>0</formula>
    </cfRule>
  </conditionalFormatting>
  <conditionalFormatting sqref="R96:R105">
    <cfRule type="cellIs" dxfId="4954" priority="1323" operator="lessThan">
      <formula>0.8</formula>
    </cfRule>
    <cfRule type="cellIs" dxfId="4953" priority="1324" operator="greaterThan">
      <formula>1</formula>
    </cfRule>
  </conditionalFormatting>
  <conditionalFormatting sqref="R96:R105">
    <cfRule type="cellIs" dxfId="4952" priority="1321" operator="greaterThan">
      <formula>1</formula>
    </cfRule>
    <cfRule type="cellIs" dxfId="4951" priority="1322" operator="lessThan">
      <formula>0.8</formula>
    </cfRule>
  </conditionalFormatting>
  <conditionalFormatting sqref="P96:P104">
    <cfRule type="cellIs" dxfId="4950" priority="1320" operator="greaterThan">
      <formula>0</formula>
    </cfRule>
  </conditionalFormatting>
  <conditionalFormatting sqref="Q96:Q104">
    <cfRule type="cellIs" dxfId="4949" priority="1318" operator="lessThan">
      <formula>0</formula>
    </cfRule>
  </conditionalFormatting>
  <conditionalFormatting sqref="R96:R105">
    <cfRule type="cellIs" dxfId="4948" priority="1316" operator="lessThan">
      <formula>0.8</formula>
    </cfRule>
    <cfRule type="cellIs" dxfId="4947" priority="1317" operator="greaterThan">
      <formula>1</formula>
    </cfRule>
  </conditionalFormatting>
  <conditionalFormatting sqref="R96:R105">
    <cfRule type="cellIs" dxfId="4946" priority="1314" operator="greaterThan">
      <formula>1</formula>
    </cfRule>
    <cfRule type="cellIs" dxfId="4945" priority="1315" operator="lessThan">
      <formula>0.8</formula>
    </cfRule>
  </conditionalFormatting>
  <conditionalFormatting sqref="P96:P104">
    <cfRule type="cellIs" dxfId="4944" priority="1313" operator="greaterThan">
      <formula>0</formula>
    </cfRule>
  </conditionalFormatting>
  <conditionalFormatting sqref="Q96:Q104">
    <cfRule type="cellIs" dxfId="4943" priority="1312" operator="lessThan">
      <formula>0</formula>
    </cfRule>
  </conditionalFormatting>
  <conditionalFormatting sqref="R96:R105">
    <cfRule type="cellIs" dxfId="4942" priority="1310" operator="lessThan">
      <formula>0.8</formula>
    </cfRule>
    <cfRule type="cellIs" dxfId="4941" priority="1311" operator="greaterThan">
      <formula>1</formula>
    </cfRule>
  </conditionalFormatting>
  <conditionalFormatting sqref="R96:R105">
    <cfRule type="cellIs" dxfId="4940" priority="1308" operator="greaterThan">
      <formula>1</formula>
    </cfRule>
    <cfRule type="cellIs" dxfId="4939" priority="1309" operator="lessThan">
      <formula>0.8</formula>
    </cfRule>
  </conditionalFormatting>
  <conditionalFormatting sqref="P96:P104">
    <cfRule type="cellIs" dxfId="4938" priority="1307" operator="greaterThan">
      <formula>0</formula>
    </cfRule>
  </conditionalFormatting>
  <conditionalFormatting sqref="P124 P127">
    <cfRule type="cellIs" dxfId="4937" priority="1301" operator="greaterThan">
      <formula>0</formula>
    </cfRule>
  </conditionalFormatting>
  <conditionalFormatting sqref="Q124 Q127">
    <cfRule type="cellIs" dxfId="4936" priority="1306" operator="lessThan">
      <formula>0</formula>
    </cfRule>
  </conditionalFormatting>
  <conditionalFormatting sqref="R124 R127">
    <cfRule type="cellIs" dxfId="4935" priority="1304" operator="lessThan">
      <formula>0.8</formula>
    </cfRule>
    <cfRule type="cellIs" dxfId="4934" priority="1305" operator="greaterThan">
      <formula>1</formula>
    </cfRule>
  </conditionalFormatting>
  <conditionalFormatting sqref="R124 R127">
    <cfRule type="cellIs" dxfId="4933" priority="1302" operator="greaterThan">
      <formula>1</formula>
    </cfRule>
    <cfRule type="cellIs" dxfId="4932" priority="1303" operator="lessThan">
      <formula>0.8</formula>
    </cfRule>
  </conditionalFormatting>
  <conditionalFormatting sqref="Q124 Q127">
    <cfRule type="cellIs" dxfId="4931" priority="1300" operator="lessThan">
      <formula>0</formula>
    </cfRule>
  </conditionalFormatting>
  <conditionalFormatting sqref="R124 R127">
    <cfRule type="cellIs" dxfId="4930" priority="1298" operator="lessThan">
      <formula>0.8</formula>
    </cfRule>
    <cfRule type="cellIs" dxfId="4929" priority="1299" operator="greaterThan">
      <formula>1</formula>
    </cfRule>
  </conditionalFormatting>
  <conditionalFormatting sqref="R124 R127">
    <cfRule type="cellIs" dxfId="4928" priority="1296" operator="greaterThan">
      <formula>1</formula>
    </cfRule>
    <cfRule type="cellIs" dxfId="4927" priority="1297" operator="lessThan">
      <formula>0.8</formula>
    </cfRule>
  </conditionalFormatting>
  <conditionalFormatting sqref="P124 P127">
    <cfRule type="cellIs" dxfId="4926" priority="1295" operator="greaterThan">
      <formula>0</formula>
    </cfRule>
  </conditionalFormatting>
  <conditionalFormatting sqref="Q123 Q125:Q126 Q128:Q129">
    <cfRule type="cellIs" dxfId="4925" priority="1294" operator="lessThan">
      <formula>0</formula>
    </cfRule>
  </conditionalFormatting>
  <conditionalFormatting sqref="R123 R125:R126 R128:R129">
    <cfRule type="cellIs" dxfId="4924" priority="1292" operator="lessThan">
      <formula>0.8</formula>
    </cfRule>
    <cfRule type="cellIs" dxfId="4923" priority="1293" operator="greaterThan">
      <formula>1</formula>
    </cfRule>
  </conditionalFormatting>
  <conditionalFormatting sqref="R123 R125:R126 R128:R129">
    <cfRule type="cellIs" dxfId="4922" priority="1290" operator="greaterThan">
      <formula>1</formula>
    </cfRule>
    <cfRule type="cellIs" dxfId="4921" priority="1291" operator="lessThan">
      <formula>0.8</formula>
    </cfRule>
  </conditionalFormatting>
  <conditionalFormatting sqref="P123 P125:P126 P128:P129">
    <cfRule type="cellIs" dxfId="4920" priority="1289" operator="greaterThan">
      <formula>0</formula>
    </cfRule>
  </conditionalFormatting>
  <conditionalFormatting sqref="P123 P125:P126 P128:P129">
    <cfRule type="cellIs" dxfId="4919" priority="1283" operator="greaterThan">
      <formula>0</formula>
    </cfRule>
  </conditionalFormatting>
  <conditionalFormatting sqref="Q123 Q125:Q126 Q128:Q129">
    <cfRule type="cellIs" dxfId="4918" priority="1288" operator="lessThan">
      <formula>0</formula>
    </cfRule>
  </conditionalFormatting>
  <conditionalFormatting sqref="R123 R125:R126 R128:R129">
    <cfRule type="cellIs" dxfId="4917" priority="1286" operator="lessThan">
      <formula>0.8</formula>
    </cfRule>
    <cfRule type="cellIs" dxfId="4916" priority="1287" operator="greaterThan">
      <formula>1</formula>
    </cfRule>
  </conditionalFormatting>
  <conditionalFormatting sqref="R123 R125:R126 R128:R129">
    <cfRule type="cellIs" dxfId="4915" priority="1284" operator="greaterThan">
      <formula>1</formula>
    </cfRule>
    <cfRule type="cellIs" dxfId="4914" priority="1285" operator="lessThan">
      <formula>0.8</formula>
    </cfRule>
  </conditionalFormatting>
  <conditionalFormatting sqref="P122">
    <cfRule type="cellIs" dxfId="4913" priority="1277" operator="greaterThan">
      <formula>0</formula>
    </cfRule>
  </conditionalFormatting>
  <conditionalFormatting sqref="Q122">
    <cfRule type="cellIs" dxfId="4912" priority="1282" operator="lessThan">
      <formula>0</formula>
    </cfRule>
  </conditionalFormatting>
  <conditionalFormatting sqref="R122">
    <cfRule type="cellIs" dxfId="4911" priority="1280" operator="lessThan">
      <formula>0.8</formula>
    </cfRule>
    <cfRule type="cellIs" dxfId="4910" priority="1281" operator="greaterThan">
      <formula>1</formula>
    </cfRule>
  </conditionalFormatting>
  <conditionalFormatting sqref="R122">
    <cfRule type="cellIs" dxfId="4909" priority="1278" operator="greaterThan">
      <formula>1</formula>
    </cfRule>
    <cfRule type="cellIs" dxfId="4908" priority="1279" operator="lessThan">
      <formula>0.8</formula>
    </cfRule>
  </conditionalFormatting>
  <conditionalFormatting sqref="Q109:Q116">
    <cfRule type="cellIs" dxfId="4907" priority="1276" operator="lessThan">
      <formula>0</formula>
    </cfRule>
  </conditionalFormatting>
  <conditionalFormatting sqref="R109:R116">
    <cfRule type="cellIs" dxfId="4906" priority="1274" operator="lessThan">
      <formula>0.8</formula>
    </cfRule>
    <cfRule type="cellIs" dxfId="4905" priority="1275" operator="greaterThan">
      <formula>1</formula>
    </cfRule>
  </conditionalFormatting>
  <conditionalFormatting sqref="R109:R116">
    <cfRule type="cellIs" dxfId="4904" priority="1272" operator="greaterThan">
      <formula>1</formula>
    </cfRule>
    <cfRule type="cellIs" dxfId="4903" priority="1273" operator="lessThan">
      <formula>0.8</formula>
    </cfRule>
  </conditionalFormatting>
  <conditionalFormatting sqref="P109:P116">
    <cfRule type="cellIs" dxfId="4902" priority="1271" operator="greaterThan">
      <formula>0</formula>
    </cfRule>
  </conditionalFormatting>
  <conditionalFormatting sqref="Q130">
    <cfRule type="cellIs" dxfId="4901" priority="1270" operator="lessThan">
      <formula>0</formula>
    </cfRule>
  </conditionalFormatting>
  <conditionalFormatting sqref="R130">
    <cfRule type="cellIs" dxfId="4900" priority="1268" operator="lessThan">
      <formula>0.8</formula>
    </cfRule>
    <cfRule type="cellIs" dxfId="4899" priority="1269" operator="greaterThan">
      <formula>1</formula>
    </cfRule>
  </conditionalFormatting>
  <conditionalFormatting sqref="R130">
    <cfRule type="cellIs" dxfId="4898" priority="1266" operator="greaterThan">
      <formula>1</formula>
    </cfRule>
    <cfRule type="cellIs" dxfId="4897" priority="1267" operator="lessThan">
      <formula>0.8</formula>
    </cfRule>
  </conditionalFormatting>
  <conditionalFormatting sqref="P130">
    <cfRule type="cellIs" dxfId="4896" priority="1265" operator="greaterThan">
      <formula>0</formula>
    </cfRule>
  </conditionalFormatting>
  <conditionalFormatting sqref="R130">
    <cfRule type="cellIs" dxfId="4895" priority="1262" operator="lessThan">
      <formula>0.8</formula>
    </cfRule>
    <cfRule type="cellIs" dxfId="4894" priority="1263" operator="greaterThan">
      <formula>1</formula>
    </cfRule>
  </conditionalFormatting>
  <conditionalFormatting sqref="R130">
    <cfRule type="cellIs" dxfId="4893" priority="1260" operator="greaterThan">
      <formula>1</formula>
    </cfRule>
    <cfRule type="cellIs" dxfId="4892" priority="1261" operator="lessThan">
      <formula>0.8</formula>
    </cfRule>
  </conditionalFormatting>
  <conditionalFormatting sqref="P130">
    <cfRule type="cellIs" dxfId="4891" priority="1259" operator="greaterThan">
      <formula>0</formula>
    </cfRule>
  </conditionalFormatting>
  <conditionalFormatting sqref="Q130">
    <cfRule type="cellIs" dxfId="4890" priority="1264" operator="lessThan">
      <formula>0</formula>
    </cfRule>
  </conditionalFormatting>
  <conditionalFormatting sqref="R130">
    <cfRule type="cellIs" dxfId="4889" priority="1256" operator="lessThan">
      <formula>0.8</formula>
    </cfRule>
    <cfRule type="cellIs" dxfId="4888" priority="1257" operator="greaterThan">
      <formula>1</formula>
    </cfRule>
  </conditionalFormatting>
  <conditionalFormatting sqref="R130">
    <cfRule type="cellIs" dxfId="4887" priority="1254" operator="greaterThan">
      <formula>1</formula>
    </cfRule>
    <cfRule type="cellIs" dxfId="4886" priority="1255" operator="lessThan">
      <formula>0.8</formula>
    </cfRule>
  </conditionalFormatting>
  <conditionalFormatting sqref="P130">
    <cfRule type="cellIs" dxfId="4885" priority="1253" operator="greaterThan">
      <formula>0</formula>
    </cfRule>
  </conditionalFormatting>
  <conditionalFormatting sqref="Q130">
    <cfRule type="cellIs" dxfId="4884" priority="1258" operator="lessThan">
      <formula>0</formula>
    </cfRule>
  </conditionalFormatting>
  <conditionalFormatting sqref="Q130">
    <cfRule type="cellIs" dxfId="4883" priority="1252" operator="lessThan">
      <formula>0</formula>
    </cfRule>
  </conditionalFormatting>
  <conditionalFormatting sqref="R130">
    <cfRule type="cellIs" dxfId="4882" priority="1250" operator="lessThan">
      <formula>0.8</formula>
    </cfRule>
    <cfRule type="cellIs" dxfId="4881" priority="1251" operator="greaterThan">
      <formula>1</formula>
    </cfRule>
  </conditionalFormatting>
  <conditionalFormatting sqref="R130">
    <cfRule type="cellIs" dxfId="4880" priority="1248" operator="greaterThan">
      <formula>1</formula>
    </cfRule>
    <cfRule type="cellIs" dxfId="4879" priority="1249" operator="lessThan">
      <formula>0.8</formula>
    </cfRule>
  </conditionalFormatting>
  <conditionalFormatting sqref="P130">
    <cfRule type="cellIs" dxfId="4878" priority="1247" operator="greaterThan">
      <formula>0</formula>
    </cfRule>
  </conditionalFormatting>
  <conditionalFormatting sqref="R130">
    <cfRule type="cellIs" dxfId="4877" priority="1244" operator="lessThan">
      <formula>0.8</formula>
    </cfRule>
    <cfRule type="cellIs" dxfId="4876" priority="1245" operator="greaterThan">
      <formula>1</formula>
    </cfRule>
  </conditionalFormatting>
  <conditionalFormatting sqref="R130">
    <cfRule type="cellIs" dxfId="4875" priority="1242" operator="greaterThan">
      <formula>1</formula>
    </cfRule>
    <cfRule type="cellIs" dxfId="4874" priority="1243" operator="lessThan">
      <formula>0.8</formula>
    </cfRule>
  </conditionalFormatting>
  <conditionalFormatting sqref="P130">
    <cfRule type="cellIs" dxfId="4873" priority="1241" operator="greaterThan">
      <formula>0</formula>
    </cfRule>
  </conditionalFormatting>
  <conditionalFormatting sqref="Q130">
    <cfRule type="cellIs" dxfId="4872" priority="1246" operator="lessThan">
      <formula>0</formula>
    </cfRule>
  </conditionalFormatting>
  <conditionalFormatting sqref="Q130">
    <cfRule type="cellIs" dxfId="4871" priority="1240" operator="lessThan">
      <formula>0</formula>
    </cfRule>
  </conditionalFormatting>
  <conditionalFormatting sqref="R130">
    <cfRule type="cellIs" dxfId="4870" priority="1238" operator="lessThan">
      <formula>0.8</formula>
    </cfRule>
    <cfRule type="cellIs" dxfId="4869" priority="1239" operator="greaterThan">
      <formula>1</formula>
    </cfRule>
  </conditionalFormatting>
  <conditionalFormatting sqref="R130">
    <cfRule type="cellIs" dxfId="4868" priority="1236" operator="greaterThan">
      <formula>1</formula>
    </cfRule>
    <cfRule type="cellIs" dxfId="4867" priority="1237" operator="lessThan">
      <formula>0.8</formula>
    </cfRule>
  </conditionalFormatting>
  <conditionalFormatting sqref="P130">
    <cfRule type="cellIs" dxfId="4866" priority="1235" operator="greaterThan">
      <formula>0</formula>
    </cfRule>
  </conditionalFormatting>
  <conditionalFormatting sqref="Q130">
    <cfRule type="cellIs" dxfId="4865" priority="1229" operator="lessThan">
      <formula>0</formula>
    </cfRule>
  </conditionalFormatting>
  <conditionalFormatting sqref="R130">
    <cfRule type="cellIs" dxfId="4864" priority="1233" operator="lessThan">
      <formula>0.8</formula>
    </cfRule>
    <cfRule type="cellIs" dxfId="4863" priority="1234" operator="greaterThan">
      <formula>1</formula>
    </cfRule>
  </conditionalFormatting>
  <conditionalFormatting sqref="R130">
    <cfRule type="cellIs" dxfId="4862" priority="1231" operator="greaterThan">
      <formula>1</formula>
    </cfRule>
    <cfRule type="cellIs" dxfId="4861" priority="1232" operator="lessThan">
      <formula>0.8</formula>
    </cfRule>
  </conditionalFormatting>
  <conditionalFormatting sqref="P130">
    <cfRule type="cellIs" dxfId="4860" priority="1230" operator="greaterThan">
      <formula>0</formula>
    </cfRule>
  </conditionalFormatting>
  <conditionalFormatting sqref="Q130">
    <cfRule type="cellIs" dxfId="4859" priority="1228" operator="lessThan">
      <formula>0</formula>
    </cfRule>
  </conditionalFormatting>
  <conditionalFormatting sqref="R130">
    <cfRule type="cellIs" dxfId="4858" priority="1226" operator="lessThan">
      <formula>0.8</formula>
    </cfRule>
    <cfRule type="cellIs" dxfId="4857" priority="1227" operator="greaterThan">
      <formula>1</formula>
    </cfRule>
  </conditionalFormatting>
  <conditionalFormatting sqref="R130">
    <cfRule type="cellIs" dxfId="4856" priority="1224" operator="greaterThan">
      <formula>1</formula>
    </cfRule>
    <cfRule type="cellIs" dxfId="4855" priority="1225" operator="lessThan">
      <formula>0.8</formula>
    </cfRule>
  </conditionalFormatting>
  <conditionalFormatting sqref="P130">
    <cfRule type="cellIs" dxfId="4854" priority="1223" operator="greaterThan">
      <formula>0</formula>
    </cfRule>
  </conditionalFormatting>
  <conditionalFormatting sqref="Q130">
    <cfRule type="cellIs" dxfId="4853" priority="1222" operator="lessThan">
      <formula>0</formula>
    </cfRule>
  </conditionalFormatting>
  <conditionalFormatting sqref="R130">
    <cfRule type="cellIs" dxfId="4852" priority="1220" operator="lessThan">
      <formula>0.8</formula>
    </cfRule>
    <cfRule type="cellIs" dxfId="4851" priority="1221" operator="greaterThan">
      <formula>1</formula>
    </cfRule>
  </conditionalFormatting>
  <conditionalFormatting sqref="R130">
    <cfRule type="cellIs" dxfId="4850" priority="1218" operator="greaterThan">
      <formula>1</formula>
    </cfRule>
    <cfRule type="cellIs" dxfId="4849" priority="1219" operator="lessThan">
      <formula>0.8</formula>
    </cfRule>
  </conditionalFormatting>
  <conditionalFormatting sqref="P130">
    <cfRule type="cellIs" dxfId="4848" priority="1217" operator="greaterThan">
      <formula>0</formula>
    </cfRule>
  </conditionalFormatting>
  <conditionalFormatting sqref="Q130">
    <cfRule type="cellIs" dxfId="4847" priority="1216" operator="lessThan">
      <formula>0</formula>
    </cfRule>
  </conditionalFormatting>
  <conditionalFormatting sqref="R130">
    <cfRule type="cellIs" dxfId="4846" priority="1214" operator="lessThan">
      <formula>0.8</formula>
    </cfRule>
    <cfRule type="cellIs" dxfId="4845" priority="1215" operator="greaterThan">
      <formula>1</formula>
    </cfRule>
  </conditionalFormatting>
  <conditionalFormatting sqref="R130">
    <cfRule type="cellIs" dxfId="4844" priority="1212" operator="greaterThan">
      <formula>1</formula>
    </cfRule>
    <cfRule type="cellIs" dxfId="4843" priority="1213" operator="lessThan">
      <formula>0.8</formula>
    </cfRule>
  </conditionalFormatting>
  <conditionalFormatting sqref="P130">
    <cfRule type="cellIs" dxfId="4842" priority="1211" operator="greaterThan">
      <formula>0</formula>
    </cfRule>
  </conditionalFormatting>
  <conditionalFormatting sqref="Q130">
    <cfRule type="cellIs" dxfId="4841" priority="1210" operator="lessThan">
      <formula>0</formula>
    </cfRule>
  </conditionalFormatting>
  <conditionalFormatting sqref="R130">
    <cfRule type="cellIs" dxfId="4840" priority="1208" operator="lessThan">
      <formula>0.8</formula>
    </cfRule>
    <cfRule type="cellIs" dxfId="4839" priority="1209" operator="greaterThan">
      <formula>1</formula>
    </cfRule>
  </conditionalFormatting>
  <conditionalFormatting sqref="R130">
    <cfRule type="cellIs" dxfId="4838" priority="1206" operator="greaterThan">
      <formula>1</formula>
    </cfRule>
    <cfRule type="cellIs" dxfId="4837" priority="1207" operator="lessThan">
      <formula>0.8</formula>
    </cfRule>
  </conditionalFormatting>
  <conditionalFormatting sqref="P130">
    <cfRule type="cellIs" dxfId="4836" priority="1205" operator="greaterThan">
      <formula>0</formula>
    </cfRule>
  </conditionalFormatting>
  <conditionalFormatting sqref="Q130">
    <cfRule type="cellIs" dxfId="4835" priority="1204" operator="lessThan">
      <formula>0</formula>
    </cfRule>
  </conditionalFormatting>
  <conditionalFormatting sqref="R130">
    <cfRule type="cellIs" dxfId="4834" priority="1202" operator="lessThan">
      <formula>0.8</formula>
    </cfRule>
    <cfRule type="cellIs" dxfId="4833" priority="1203" operator="greaterThan">
      <formula>1</formula>
    </cfRule>
  </conditionalFormatting>
  <conditionalFormatting sqref="R130">
    <cfRule type="cellIs" dxfId="4832" priority="1200" operator="greaterThan">
      <formula>1</formula>
    </cfRule>
    <cfRule type="cellIs" dxfId="4831" priority="1201" operator="lessThan">
      <formula>0.8</formula>
    </cfRule>
  </conditionalFormatting>
  <conditionalFormatting sqref="P130">
    <cfRule type="cellIs" dxfId="4830" priority="1199" operator="greaterThan">
      <formula>0</formula>
    </cfRule>
  </conditionalFormatting>
  <conditionalFormatting sqref="P130">
    <cfRule type="cellIs" dxfId="4829" priority="1193" operator="greaterThan">
      <formula>0</formula>
    </cfRule>
  </conditionalFormatting>
  <conditionalFormatting sqref="Q130">
    <cfRule type="cellIs" dxfId="4828" priority="1198" operator="lessThan">
      <formula>0</formula>
    </cfRule>
  </conditionalFormatting>
  <conditionalFormatting sqref="R130">
    <cfRule type="cellIs" dxfId="4827" priority="1196" operator="lessThan">
      <formula>0.8</formula>
    </cfRule>
    <cfRule type="cellIs" dxfId="4826" priority="1197" operator="greaterThan">
      <formula>1</formula>
    </cfRule>
  </conditionalFormatting>
  <conditionalFormatting sqref="R130">
    <cfRule type="cellIs" dxfId="4825" priority="1194" operator="greaterThan">
      <formula>1</formula>
    </cfRule>
    <cfRule type="cellIs" dxfId="4824" priority="1195" operator="lessThan">
      <formula>0.8</formula>
    </cfRule>
  </conditionalFormatting>
  <conditionalFormatting sqref="P130">
    <cfRule type="cellIs" dxfId="4823" priority="1187" operator="greaterThan">
      <formula>0</formula>
    </cfRule>
  </conditionalFormatting>
  <conditionalFormatting sqref="Q130">
    <cfRule type="cellIs" dxfId="4822" priority="1192" operator="lessThan">
      <formula>0</formula>
    </cfRule>
  </conditionalFormatting>
  <conditionalFormatting sqref="R130">
    <cfRule type="cellIs" dxfId="4821" priority="1190" operator="lessThan">
      <formula>0.8</formula>
    </cfRule>
    <cfRule type="cellIs" dxfId="4820" priority="1191" operator="greaterThan">
      <formula>1</formula>
    </cfRule>
  </conditionalFormatting>
  <conditionalFormatting sqref="R130">
    <cfRule type="cellIs" dxfId="4819" priority="1188" operator="greaterThan">
      <formula>1</formula>
    </cfRule>
    <cfRule type="cellIs" dxfId="4818" priority="1189" operator="lessThan">
      <formula>0.8</formula>
    </cfRule>
  </conditionalFormatting>
  <conditionalFormatting sqref="R130">
    <cfRule type="cellIs" dxfId="4817" priority="1184" operator="lessThan">
      <formula>0.8</formula>
    </cfRule>
    <cfRule type="cellIs" dxfId="4816" priority="1185" operator="greaterThan">
      <formula>1</formula>
    </cfRule>
  </conditionalFormatting>
  <conditionalFormatting sqref="R130">
    <cfRule type="cellIs" dxfId="4815" priority="1182" operator="greaterThan">
      <formula>1</formula>
    </cfRule>
    <cfRule type="cellIs" dxfId="4814" priority="1183" operator="lessThan">
      <formula>0.8</formula>
    </cfRule>
  </conditionalFormatting>
  <conditionalFormatting sqref="P130">
    <cfRule type="cellIs" dxfId="4813" priority="1181" operator="greaterThan">
      <formula>0</formula>
    </cfRule>
  </conditionalFormatting>
  <conditionalFormatting sqref="Q130">
    <cfRule type="cellIs" dxfId="4812" priority="1186" operator="lessThan">
      <formula>0</formula>
    </cfRule>
  </conditionalFormatting>
  <conditionalFormatting sqref="Q130">
    <cfRule type="cellIs" dxfId="4811" priority="1175" operator="lessThan">
      <formula>0</formula>
    </cfRule>
  </conditionalFormatting>
  <conditionalFormatting sqref="P130">
    <cfRule type="cellIs" dxfId="4810" priority="1176" operator="greaterThan">
      <formula>0</formula>
    </cfRule>
  </conditionalFormatting>
  <conditionalFormatting sqref="R130">
    <cfRule type="cellIs" dxfId="4809" priority="1179" operator="lessThan">
      <formula>0.8</formula>
    </cfRule>
    <cfRule type="cellIs" dxfId="4808" priority="1180" operator="greaterThan">
      <formula>1</formula>
    </cfRule>
  </conditionalFormatting>
  <conditionalFormatting sqref="R130">
    <cfRule type="cellIs" dxfId="4807" priority="1177" operator="greaterThan">
      <formula>1</formula>
    </cfRule>
    <cfRule type="cellIs" dxfId="4806" priority="1178" operator="lessThan">
      <formula>0.8</formula>
    </cfRule>
  </conditionalFormatting>
  <conditionalFormatting sqref="Q130">
    <cfRule type="cellIs" dxfId="4805" priority="1169" operator="lessThan">
      <formula>0</formula>
    </cfRule>
  </conditionalFormatting>
  <conditionalFormatting sqref="R130">
    <cfRule type="cellIs" dxfId="4804" priority="1173" operator="lessThan">
      <formula>0.8</formula>
    </cfRule>
    <cfRule type="cellIs" dxfId="4803" priority="1174" operator="greaterThan">
      <formula>1</formula>
    </cfRule>
  </conditionalFormatting>
  <conditionalFormatting sqref="R130">
    <cfRule type="cellIs" dxfId="4802" priority="1171" operator="greaterThan">
      <formula>1</formula>
    </cfRule>
    <cfRule type="cellIs" dxfId="4801" priority="1172" operator="lessThan">
      <formula>0.8</formula>
    </cfRule>
  </conditionalFormatting>
  <conditionalFormatting sqref="P130">
    <cfRule type="cellIs" dxfId="4800" priority="1170" operator="greaterThan">
      <formula>0</formula>
    </cfRule>
  </conditionalFormatting>
  <conditionalFormatting sqref="Q130">
    <cfRule type="cellIs" dxfId="4799" priority="1168" operator="lessThan">
      <formula>0</formula>
    </cfRule>
  </conditionalFormatting>
  <conditionalFormatting sqref="R130">
    <cfRule type="cellIs" dxfId="4798" priority="1166" operator="lessThan">
      <formula>0.8</formula>
    </cfRule>
    <cfRule type="cellIs" dxfId="4797" priority="1167" operator="greaterThan">
      <formula>1</formula>
    </cfRule>
  </conditionalFormatting>
  <conditionalFormatting sqref="R130">
    <cfRule type="cellIs" dxfId="4796" priority="1164" operator="greaterThan">
      <formula>1</formula>
    </cfRule>
    <cfRule type="cellIs" dxfId="4795" priority="1165" operator="lessThan">
      <formula>0.8</formula>
    </cfRule>
  </conditionalFormatting>
  <conditionalFormatting sqref="P130">
    <cfRule type="cellIs" dxfId="4794" priority="1163" operator="greaterThan">
      <formula>0</formula>
    </cfRule>
  </conditionalFormatting>
  <conditionalFormatting sqref="Q130">
    <cfRule type="cellIs" dxfId="4793" priority="1162" operator="lessThan">
      <formula>0</formula>
    </cfRule>
  </conditionalFormatting>
  <conditionalFormatting sqref="R130">
    <cfRule type="cellIs" dxfId="4792" priority="1160" operator="lessThan">
      <formula>0.8</formula>
    </cfRule>
    <cfRule type="cellIs" dxfId="4791" priority="1161" operator="greaterThan">
      <formula>1</formula>
    </cfRule>
  </conditionalFormatting>
  <conditionalFormatting sqref="R130">
    <cfRule type="cellIs" dxfId="4790" priority="1158" operator="greaterThan">
      <formula>1</formula>
    </cfRule>
    <cfRule type="cellIs" dxfId="4789" priority="1159" operator="lessThan">
      <formula>0.8</formula>
    </cfRule>
  </conditionalFormatting>
  <conditionalFormatting sqref="P130">
    <cfRule type="cellIs" dxfId="4788" priority="1157" operator="greaterThan">
      <formula>0</formula>
    </cfRule>
  </conditionalFormatting>
  <conditionalFormatting sqref="Q130">
    <cfRule type="cellIs" dxfId="4787" priority="1151" operator="lessThan">
      <formula>0</formula>
    </cfRule>
  </conditionalFormatting>
  <conditionalFormatting sqref="P130">
    <cfRule type="cellIs" dxfId="4786" priority="1152" operator="greaterThan">
      <formula>0</formula>
    </cfRule>
  </conditionalFormatting>
  <conditionalFormatting sqref="R130">
    <cfRule type="cellIs" dxfId="4785" priority="1155" operator="lessThan">
      <formula>0.8</formula>
    </cfRule>
    <cfRule type="cellIs" dxfId="4784" priority="1156" operator="greaterThan">
      <formula>1</formula>
    </cfRule>
  </conditionalFormatting>
  <conditionalFormatting sqref="R130">
    <cfRule type="cellIs" dxfId="4783" priority="1153" operator="greaterThan">
      <formula>1</formula>
    </cfRule>
    <cfRule type="cellIs" dxfId="4782" priority="1154" operator="lessThan">
      <formula>0.8</formula>
    </cfRule>
  </conditionalFormatting>
  <conditionalFormatting sqref="Q130">
    <cfRule type="cellIs" dxfId="4781" priority="1145" operator="lessThan">
      <formula>0</formula>
    </cfRule>
  </conditionalFormatting>
  <conditionalFormatting sqref="R130">
    <cfRule type="cellIs" dxfId="4780" priority="1149" operator="lessThan">
      <formula>0.8</formula>
    </cfRule>
    <cfRule type="cellIs" dxfId="4779" priority="1150" operator="greaterThan">
      <formula>1</formula>
    </cfRule>
  </conditionalFormatting>
  <conditionalFormatting sqref="R130">
    <cfRule type="cellIs" dxfId="4778" priority="1147" operator="greaterThan">
      <formula>1</formula>
    </cfRule>
    <cfRule type="cellIs" dxfId="4777" priority="1148" operator="lessThan">
      <formula>0.8</formula>
    </cfRule>
  </conditionalFormatting>
  <conditionalFormatting sqref="P130">
    <cfRule type="cellIs" dxfId="4776" priority="1146" operator="greaterThan">
      <formula>0</formula>
    </cfRule>
  </conditionalFormatting>
  <conditionalFormatting sqref="Q130">
    <cfRule type="cellIs" dxfId="4775" priority="1144" operator="lessThan">
      <formula>0</formula>
    </cfRule>
  </conditionalFormatting>
  <conditionalFormatting sqref="R130">
    <cfRule type="cellIs" dxfId="4774" priority="1142" operator="lessThan">
      <formula>0.8</formula>
    </cfRule>
    <cfRule type="cellIs" dxfId="4773" priority="1143" operator="greaterThan">
      <formula>1</formula>
    </cfRule>
  </conditionalFormatting>
  <conditionalFormatting sqref="R130">
    <cfRule type="cellIs" dxfId="4772" priority="1140" operator="greaterThan">
      <formula>1</formula>
    </cfRule>
    <cfRule type="cellIs" dxfId="4771" priority="1141" operator="lessThan">
      <formula>0.8</formula>
    </cfRule>
  </conditionalFormatting>
  <conditionalFormatting sqref="P130">
    <cfRule type="cellIs" dxfId="4770" priority="1139" operator="greaterThan">
      <formula>0</formula>
    </cfRule>
  </conditionalFormatting>
  <conditionalFormatting sqref="Q130">
    <cfRule type="cellIs" dxfId="4769" priority="1138" operator="lessThan">
      <formula>0</formula>
    </cfRule>
  </conditionalFormatting>
  <conditionalFormatting sqref="R130">
    <cfRule type="cellIs" dxfId="4768" priority="1136" operator="lessThan">
      <formula>0.8</formula>
    </cfRule>
    <cfRule type="cellIs" dxfId="4767" priority="1137" operator="greaterThan">
      <formula>1</formula>
    </cfRule>
  </conditionalFormatting>
  <conditionalFormatting sqref="R130">
    <cfRule type="cellIs" dxfId="4766" priority="1134" operator="greaterThan">
      <formula>1</formula>
    </cfRule>
    <cfRule type="cellIs" dxfId="4765" priority="1135" operator="lessThan">
      <formula>0.8</formula>
    </cfRule>
  </conditionalFormatting>
  <conditionalFormatting sqref="P130">
    <cfRule type="cellIs" dxfId="4764" priority="1133" operator="greaterThan">
      <formula>0</formula>
    </cfRule>
  </conditionalFormatting>
  <conditionalFormatting sqref="P130">
    <cfRule type="cellIs" dxfId="4763" priority="1127" operator="greaterThan">
      <formula>0</formula>
    </cfRule>
  </conditionalFormatting>
  <conditionalFormatting sqref="Q130">
    <cfRule type="cellIs" dxfId="4762" priority="1132" operator="lessThan">
      <formula>0</formula>
    </cfRule>
  </conditionalFormatting>
  <conditionalFormatting sqref="R130">
    <cfRule type="cellIs" dxfId="4761" priority="1130" operator="lessThan">
      <formula>0.8</formula>
    </cfRule>
    <cfRule type="cellIs" dxfId="4760" priority="1131" operator="greaterThan">
      <formula>1</formula>
    </cfRule>
  </conditionalFormatting>
  <conditionalFormatting sqref="R130">
    <cfRule type="cellIs" dxfId="4759" priority="1128" operator="greaterThan">
      <formula>1</formula>
    </cfRule>
    <cfRule type="cellIs" dxfId="4758" priority="1129" operator="lessThan">
      <formula>0.8</formula>
    </cfRule>
  </conditionalFormatting>
  <conditionalFormatting sqref="P130">
    <cfRule type="cellIs" dxfId="4757" priority="1121" operator="greaterThan">
      <formula>0</formula>
    </cfRule>
  </conditionalFormatting>
  <conditionalFormatting sqref="Q130">
    <cfRule type="cellIs" dxfId="4756" priority="1126" operator="lessThan">
      <formula>0</formula>
    </cfRule>
  </conditionalFormatting>
  <conditionalFormatting sqref="R130">
    <cfRule type="cellIs" dxfId="4755" priority="1124" operator="lessThan">
      <formula>0.8</formula>
    </cfRule>
    <cfRule type="cellIs" dxfId="4754" priority="1125" operator="greaterThan">
      <formula>1</formula>
    </cfRule>
  </conditionalFormatting>
  <conditionalFormatting sqref="R130">
    <cfRule type="cellIs" dxfId="4753" priority="1122" operator="greaterThan">
      <formula>1</formula>
    </cfRule>
    <cfRule type="cellIs" dxfId="4752" priority="1123" operator="lessThan">
      <formula>0.8</formula>
    </cfRule>
  </conditionalFormatting>
  <conditionalFormatting sqref="Q130">
    <cfRule type="cellIs" dxfId="4751" priority="1115" operator="lessThan">
      <formula>0</formula>
    </cfRule>
  </conditionalFormatting>
  <conditionalFormatting sqref="R130">
    <cfRule type="cellIs" dxfId="4750" priority="1119" operator="lessThan">
      <formula>0.8</formula>
    </cfRule>
    <cfRule type="cellIs" dxfId="4749" priority="1120" operator="greaterThan">
      <formula>1</formula>
    </cfRule>
  </conditionalFormatting>
  <conditionalFormatting sqref="R130">
    <cfRule type="cellIs" dxfId="4748" priority="1117" operator="greaterThan">
      <formula>1</formula>
    </cfRule>
    <cfRule type="cellIs" dxfId="4747" priority="1118" operator="lessThan">
      <formula>0.8</formula>
    </cfRule>
  </conditionalFormatting>
  <conditionalFormatting sqref="P130">
    <cfRule type="cellIs" dxfId="4746" priority="1116" operator="greaterThan">
      <formula>0</formula>
    </cfRule>
  </conditionalFormatting>
  <conditionalFormatting sqref="Q130">
    <cfRule type="cellIs" dxfId="4745" priority="1114" operator="lessThan">
      <formula>0</formula>
    </cfRule>
  </conditionalFormatting>
  <conditionalFormatting sqref="R130">
    <cfRule type="cellIs" dxfId="4744" priority="1112" operator="lessThan">
      <formula>0.8</formula>
    </cfRule>
    <cfRule type="cellIs" dxfId="4743" priority="1113" operator="greaterThan">
      <formula>1</formula>
    </cfRule>
  </conditionalFormatting>
  <conditionalFormatting sqref="R130">
    <cfRule type="cellIs" dxfId="4742" priority="1110" operator="greaterThan">
      <formula>1</formula>
    </cfRule>
    <cfRule type="cellIs" dxfId="4741" priority="1111" operator="lessThan">
      <formula>0.8</formula>
    </cfRule>
  </conditionalFormatting>
  <conditionalFormatting sqref="P130">
    <cfRule type="cellIs" dxfId="4740" priority="1109" operator="greaterThan">
      <formula>0</formula>
    </cfRule>
  </conditionalFormatting>
  <conditionalFormatting sqref="Q130">
    <cfRule type="cellIs" dxfId="4739" priority="1108" operator="lessThan">
      <formula>0</formula>
    </cfRule>
  </conditionalFormatting>
  <conditionalFormatting sqref="R130">
    <cfRule type="cellIs" dxfId="4738" priority="1106" operator="lessThan">
      <formula>0.8</formula>
    </cfRule>
    <cfRule type="cellIs" dxfId="4737" priority="1107" operator="greaterThan">
      <formula>1</formula>
    </cfRule>
  </conditionalFormatting>
  <conditionalFormatting sqref="R130">
    <cfRule type="cellIs" dxfId="4736" priority="1104" operator="greaterThan">
      <formula>1</formula>
    </cfRule>
    <cfRule type="cellIs" dxfId="4735" priority="1105" operator="lessThan">
      <formula>0.8</formula>
    </cfRule>
  </conditionalFormatting>
  <conditionalFormatting sqref="P130">
    <cfRule type="cellIs" dxfId="4734" priority="1103" operator="greaterThan">
      <formula>0</formula>
    </cfRule>
  </conditionalFormatting>
  <conditionalFormatting sqref="Q130">
    <cfRule type="cellIs" dxfId="4733" priority="1102" operator="lessThan">
      <formula>0</formula>
    </cfRule>
  </conditionalFormatting>
  <conditionalFormatting sqref="R130">
    <cfRule type="cellIs" dxfId="4732" priority="1100" operator="lessThan">
      <formula>0.8</formula>
    </cfRule>
    <cfRule type="cellIs" dxfId="4731" priority="1101" operator="greaterThan">
      <formula>1</formula>
    </cfRule>
  </conditionalFormatting>
  <conditionalFormatting sqref="R130">
    <cfRule type="cellIs" dxfId="4730" priority="1098" operator="greaterThan">
      <formula>1</formula>
    </cfRule>
    <cfRule type="cellIs" dxfId="4729" priority="1099" operator="lessThan">
      <formula>0.8</formula>
    </cfRule>
  </conditionalFormatting>
  <conditionalFormatting sqref="P130">
    <cfRule type="cellIs" dxfId="4728" priority="1097" operator="greaterThan">
      <formula>0</formula>
    </cfRule>
  </conditionalFormatting>
  <conditionalFormatting sqref="Q130">
    <cfRule type="cellIs" dxfId="4727" priority="1096" operator="lessThan">
      <formula>0</formula>
    </cfRule>
  </conditionalFormatting>
  <conditionalFormatting sqref="R130">
    <cfRule type="cellIs" dxfId="4726" priority="1094" operator="lessThan">
      <formula>0.8</formula>
    </cfRule>
    <cfRule type="cellIs" dxfId="4725" priority="1095" operator="greaterThan">
      <formula>1</formula>
    </cfRule>
  </conditionalFormatting>
  <conditionalFormatting sqref="R130">
    <cfRule type="cellIs" dxfId="4724" priority="1092" operator="greaterThan">
      <formula>1</formula>
    </cfRule>
    <cfRule type="cellIs" dxfId="4723" priority="1093" operator="lessThan">
      <formula>0.8</formula>
    </cfRule>
  </conditionalFormatting>
  <conditionalFormatting sqref="P130">
    <cfRule type="cellIs" dxfId="4722" priority="1091" operator="greaterThan">
      <formula>0</formula>
    </cfRule>
  </conditionalFormatting>
  <conditionalFormatting sqref="Q130">
    <cfRule type="cellIs" dxfId="4721" priority="1090" operator="lessThan">
      <formula>0</formula>
    </cfRule>
  </conditionalFormatting>
  <conditionalFormatting sqref="R130">
    <cfRule type="cellIs" dxfId="4720" priority="1088" operator="lessThan">
      <formula>0.8</formula>
    </cfRule>
    <cfRule type="cellIs" dxfId="4719" priority="1089" operator="greaterThan">
      <formula>1</formula>
    </cfRule>
  </conditionalFormatting>
  <conditionalFormatting sqref="R130">
    <cfRule type="cellIs" dxfId="4718" priority="1086" operator="greaterThan">
      <formula>1</formula>
    </cfRule>
    <cfRule type="cellIs" dxfId="4717" priority="1087" operator="lessThan">
      <formula>0.8</formula>
    </cfRule>
  </conditionalFormatting>
  <conditionalFormatting sqref="P130">
    <cfRule type="cellIs" dxfId="4716" priority="1085" operator="greaterThan">
      <formula>0</formula>
    </cfRule>
  </conditionalFormatting>
  <conditionalFormatting sqref="P130">
    <cfRule type="cellIs" dxfId="4715" priority="1079" operator="greaterThan">
      <formula>0</formula>
    </cfRule>
  </conditionalFormatting>
  <conditionalFormatting sqref="Q130">
    <cfRule type="cellIs" dxfId="4714" priority="1084" operator="lessThan">
      <formula>0</formula>
    </cfRule>
  </conditionalFormatting>
  <conditionalFormatting sqref="R130">
    <cfRule type="cellIs" dxfId="4713" priority="1082" operator="lessThan">
      <formula>0.8</formula>
    </cfRule>
    <cfRule type="cellIs" dxfId="4712" priority="1083" operator="greaterThan">
      <formula>1</formula>
    </cfRule>
  </conditionalFormatting>
  <conditionalFormatting sqref="R130">
    <cfRule type="cellIs" dxfId="4711" priority="1080" operator="greaterThan">
      <formula>1</formula>
    </cfRule>
    <cfRule type="cellIs" dxfId="4710" priority="1081" operator="lessThan">
      <formula>0.8</formula>
    </cfRule>
  </conditionalFormatting>
  <conditionalFormatting sqref="P130">
    <cfRule type="cellIs" dxfId="4709" priority="1073" operator="greaterThan">
      <formula>0</formula>
    </cfRule>
  </conditionalFormatting>
  <conditionalFormatting sqref="Q130">
    <cfRule type="cellIs" dxfId="4708" priority="1078" operator="lessThan">
      <formula>0</formula>
    </cfRule>
  </conditionalFormatting>
  <conditionalFormatting sqref="R130">
    <cfRule type="cellIs" dxfId="4707" priority="1076" operator="lessThan">
      <formula>0.8</formula>
    </cfRule>
    <cfRule type="cellIs" dxfId="4706" priority="1077" operator="greaterThan">
      <formula>1</formula>
    </cfRule>
  </conditionalFormatting>
  <conditionalFormatting sqref="R130">
    <cfRule type="cellIs" dxfId="4705" priority="1074" operator="greaterThan">
      <formula>1</formula>
    </cfRule>
    <cfRule type="cellIs" dxfId="4704" priority="1075" operator="lessThan">
      <formula>0.8</formula>
    </cfRule>
  </conditionalFormatting>
  <conditionalFormatting sqref="R130">
    <cfRule type="cellIs" dxfId="4703" priority="1070" operator="lessThan">
      <formula>0.8</formula>
    </cfRule>
    <cfRule type="cellIs" dxfId="4702" priority="1071" operator="greaterThan">
      <formula>1</formula>
    </cfRule>
  </conditionalFormatting>
  <conditionalFormatting sqref="R130">
    <cfRule type="cellIs" dxfId="4701" priority="1068" operator="greaterThan">
      <formula>1</formula>
    </cfRule>
    <cfRule type="cellIs" dxfId="4700" priority="1069" operator="lessThan">
      <formula>0.8</formula>
    </cfRule>
  </conditionalFormatting>
  <conditionalFormatting sqref="P130">
    <cfRule type="cellIs" dxfId="4699" priority="1067" operator="greaterThan">
      <formula>0</formula>
    </cfRule>
  </conditionalFormatting>
  <conditionalFormatting sqref="Q130">
    <cfRule type="cellIs" dxfId="4698" priority="1072" operator="lessThan">
      <formula>0</formula>
    </cfRule>
  </conditionalFormatting>
  <conditionalFormatting sqref="Q130">
    <cfRule type="cellIs" dxfId="4697" priority="1061" operator="lessThan">
      <formula>0</formula>
    </cfRule>
  </conditionalFormatting>
  <conditionalFormatting sqref="P130">
    <cfRule type="cellIs" dxfId="4696" priority="1062" operator="greaterThan">
      <formula>0</formula>
    </cfRule>
  </conditionalFormatting>
  <conditionalFormatting sqref="R130">
    <cfRule type="cellIs" dxfId="4695" priority="1065" operator="lessThan">
      <formula>0.8</formula>
    </cfRule>
    <cfRule type="cellIs" dxfId="4694" priority="1066" operator="greaterThan">
      <formula>1</formula>
    </cfRule>
  </conditionalFormatting>
  <conditionalFormatting sqref="R130">
    <cfRule type="cellIs" dxfId="4693" priority="1063" operator="greaterThan">
      <formula>1</formula>
    </cfRule>
    <cfRule type="cellIs" dxfId="4692" priority="1064" operator="lessThan">
      <formula>0.8</formula>
    </cfRule>
  </conditionalFormatting>
  <conditionalFormatting sqref="Q130">
    <cfRule type="cellIs" dxfId="4691" priority="1055" operator="lessThan">
      <formula>0</formula>
    </cfRule>
  </conditionalFormatting>
  <conditionalFormatting sqref="R130">
    <cfRule type="cellIs" dxfId="4690" priority="1059" operator="lessThan">
      <formula>0.8</formula>
    </cfRule>
    <cfRule type="cellIs" dxfId="4689" priority="1060" operator="greaterThan">
      <formula>1</formula>
    </cfRule>
  </conditionalFormatting>
  <conditionalFormatting sqref="R130">
    <cfRule type="cellIs" dxfId="4688" priority="1057" operator="greaterThan">
      <formula>1</formula>
    </cfRule>
    <cfRule type="cellIs" dxfId="4687" priority="1058" operator="lessThan">
      <formula>0.8</formula>
    </cfRule>
  </conditionalFormatting>
  <conditionalFormatting sqref="P130">
    <cfRule type="cellIs" dxfId="4686" priority="1056" operator="greaterThan">
      <formula>0</formula>
    </cfRule>
  </conditionalFormatting>
  <conditionalFormatting sqref="Q130">
    <cfRule type="cellIs" dxfId="4685" priority="1054" operator="lessThan">
      <formula>0</formula>
    </cfRule>
  </conditionalFormatting>
  <conditionalFormatting sqref="R130">
    <cfRule type="cellIs" dxfId="4684" priority="1052" operator="lessThan">
      <formula>0.8</formula>
    </cfRule>
    <cfRule type="cellIs" dxfId="4683" priority="1053" operator="greaterThan">
      <formula>1</formula>
    </cfRule>
  </conditionalFormatting>
  <conditionalFormatting sqref="R130">
    <cfRule type="cellIs" dxfId="4682" priority="1050" operator="greaterThan">
      <formula>1</formula>
    </cfRule>
    <cfRule type="cellIs" dxfId="4681" priority="1051" operator="lessThan">
      <formula>0.8</formula>
    </cfRule>
  </conditionalFormatting>
  <conditionalFormatting sqref="P130">
    <cfRule type="cellIs" dxfId="4680" priority="1049" operator="greaterThan">
      <formula>0</formula>
    </cfRule>
  </conditionalFormatting>
  <conditionalFormatting sqref="Q130">
    <cfRule type="cellIs" dxfId="4679" priority="1048" operator="lessThan">
      <formula>0</formula>
    </cfRule>
  </conditionalFormatting>
  <conditionalFormatting sqref="R130">
    <cfRule type="cellIs" dxfId="4678" priority="1046" operator="lessThan">
      <formula>0.8</formula>
    </cfRule>
    <cfRule type="cellIs" dxfId="4677" priority="1047" operator="greaterThan">
      <formula>1</formula>
    </cfRule>
  </conditionalFormatting>
  <conditionalFormatting sqref="R130">
    <cfRule type="cellIs" dxfId="4676" priority="1044" operator="greaterThan">
      <formula>1</formula>
    </cfRule>
    <cfRule type="cellIs" dxfId="4675" priority="1045" operator="lessThan">
      <formula>0.8</formula>
    </cfRule>
  </conditionalFormatting>
  <conditionalFormatting sqref="P130">
    <cfRule type="cellIs" dxfId="4674" priority="1043" operator="greaterThan">
      <formula>0</formula>
    </cfRule>
  </conditionalFormatting>
  <conditionalFormatting sqref="P131">
    <cfRule type="cellIs" dxfId="4673" priority="1042" operator="greaterThan">
      <formula>0</formula>
    </cfRule>
  </conditionalFormatting>
  <conditionalFormatting sqref="Q131">
    <cfRule type="cellIs" dxfId="4672" priority="1041" operator="lessThan">
      <formula>0</formula>
    </cfRule>
  </conditionalFormatting>
  <conditionalFormatting sqref="R131">
    <cfRule type="cellIs" dxfId="4671" priority="1039" operator="lessThan">
      <formula>0.8</formula>
    </cfRule>
    <cfRule type="cellIs" dxfId="4670" priority="1040" operator="greaterThan">
      <formula>1</formula>
    </cfRule>
  </conditionalFormatting>
  <conditionalFormatting sqref="R131">
    <cfRule type="cellIs" dxfId="4669" priority="1037" operator="greaterThan">
      <formula>1</formula>
    </cfRule>
    <cfRule type="cellIs" dxfId="4668" priority="1038" operator="lessThan">
      <formula>0.8</formula>
    </cfRule>
  </conditionalFormatting>
  <conditionalFormatting sqref="P131">
    <cfRule type="cellIs" dxfId="4667" priority="1036" operator="greaterThan">
      <formula>0</formula>
    </cfRule>
  </conditionalFormatting>
  <conditionalFormatting sqref="P137 P140 P143">
    <cfRule type="cellIs" dxfId="4666" priority="1035" operator="greaterThan">
      <formula>0</formula>
    </cfRule>
  </conditionalFormatting>
  <conditionalFormatting sqref="Q137 Q140 Q143">
    <cfRule type="cellIs" dxfId="4665" priority="1034" operator="lessThan">
      <formula>0</formula>
    </cfRule>
  </conditionalFormatting>
  <conditionalFormatting sqref="R137 R140 R143">
    <cfRule type="cellIs" dxfId="4664" priority="1032" operator="lessThan">
      <formula>0.8</formula>
    </cfRule>
    <cfRule type="cellIs" dxfId="4663" priority="1033" operator="greaterThan">
      <formula>1</formula>
    </cfRule>
  </conditionalFormatting>
  <conditionalFormatting sqref="R137 R140 R143">
    <cfRule type="cellIs" dxfId="4662" priority="1030" operator="greaterThan">
      <formula>1</formula>
    </cfRule>
    <cfRule type="cellIs" dxfId="4661" priority="1031" operator="lessThan">
      <formula>0.8</formula>
    </cfRule>
  </conditionalFormatting>
  <conditionalFormatting sqref="P137 P140 P143">
    <cfRule type="cellIs" dxfId="4660" priority="1029" operator="greaterThan">
      <formula>0</formula>
    </cfRule>
  </conditionalFormatting>
  <conditionalFormatting sqref="Q137 Q140 Q143">
    <cfRule type="cellIs" dxfId="4659" priority="1028" operator="lessThan">
      <formula>0</formula>
    </cfRule>
  </conditionalFormatting>
  <conditionalFormatting sqref="R137 R140 R143">
    <cfRule type="cellIs" dxfId="4658" priority="1026" operator="lessThan">
      <formula>0.8</formula>
    </cfRule>
    <cfRule type="cellIs" dxfId="4657" priority="1027" operator="greaterThan">
      <formula>1</formula>
    </cfRule>
  </conditionalFormatting>
  <conditionalFormatting sqref="R137 R140 R143">
    <cfRule type="cellIs" dxfId="4656" priority="1024" operator="greaterThan">
      <formula>1</formula>
    </cfRule>
    <cfRule type="cellIs" dxfId="4655" priority="1025" operator="lessThan">
      <formula>0.8</formula>
    </cfRule>
  </conditionalFormatting>
  <conditionalFormatting sqref="P137 P140 P143">
    <cfRule type="cellIs" dxfId="4654" priority="1023" operator="greaterThan">
      <formula>0</formula>
    </cfRule>
  </conditionalFormatting>
  <conditionalFormatting sqref="P137 P140 P143">
    <cfRule type="cellIs" dxfId="4653" priority="1017" operator="greaterThan">
      <formula>0</formula>
    </cfRule>
  </conditionalFormatting>
  <conditionalFormatting sqref="Q137 Q140 Q143">
    <cfRule type="cellIs" dxfId="4652" priority="1022" operator="lessThan">
      <formula>0</formula>
    </cfRule>
  </conditionalFormatting>
  <conditionalFormatting sqref="R137 R140 R143">
    <cfRule type="cellIs" dxfId="4651" priority="1020" operator="lessThan">
      <formula>0.8</formula>
    </cfRule>
    <cfRule type="cellIs" dxfId="4650" priority="1021" operator="greaterThan">
      <formula>1</formula>
    </cfRule>
  </conditionalFormatting>
  <conditionalFormatting sqref="R137 R140 R143">
    <cfRule type="cellIs" dxfId="4649" priority="1018" operator="greaterThan">
      <formula>1</formula>
    </cfRule>
    <cfRule type="cellIs" dxfId="4648" priority="1019" operator="lessThan">
      <formula>0.8</formula>
    </cfRule>
  </conditionalFormatting>
  <conditionalFormatting sqref="Q137 Q140 Q143">
    <cfRule type="cellIs" dxfId="4647" priority="1016" operator="lessThan">
      <formula>0</formula>
    </cfRule>
  </conditionalFormatting>
  <conditionalFormatting sqref="R137 R140 R143">
    <cfRule type="cellIs" dxfId="4646" priority="1014" operator="lessThan">
      <formula>0.8</formula>
    </cfRule>
    <cfRule type="cellIs" dxfId="4645" priority="1015" operator="greaterThan">
      <formula>1</formula>
    </cfRule>
  </conditionalFormatting>
  <conditionalFormatting sqref="R137 R140 R143">
    <cfRule type="cellIs" dxfId="4644" priority="1012" operator="greaterThan">
      <formula>1</formula>
    </cfRule>
    <cfRule type="cellIs" dxfId="4643" priority="1013" operator="lessThan">
      <formula>0.8</formula>
    </cfRule>
  </conditionalFormatting>
  <conditionalFormatting sqref="P137 P140 P143">
    <cfRule type="cellIs" dxfId="4642" priority="1011" operator="greaterThan">
      <formula>0</formula>
    </cfRule>
  </conditionalFormatting>
  <conditionalFormatting sqref="Q137 Q140 Q143">
    <cfRule type="cellIs" dxfId="4641" priority="1010" operator="lessThan">
      <formula>0</formula>
    </cfRule>
  </conditionalFormatting>
  <conditionalFormatting sqref="R137 R140 R143">
    <cfRule type="cellIs" dxfId="4640" priority="1008" operator="lessThan">
      <formula>0.8</formula>
    </cfRule>
    <cfRule type="cellIs" dxfId="4639" priority="1009" operator="greaterThan">
      <formula>1</formula>
    </cfRule>
  </conditionalFormatting>
  <conditionalFormatting sqref="R137 R140 R143">
    <cfRule type="cellIs" dxfId="4638" priority="1006" operator="greaterThan">
      <formula>1</formula>
    </cfRule>
    <cfRule type="cellIs" dxfId="4637" priority="1007" operator="lessThan">
      <formula>0.8</formula>
    </cfRule>
  </conditionalFormatting>
  <conditionalFormatting sqref="P137 P140 P143">
    <cfRule type="cellIs" dxfId="4636" priority="1005" operator="greaterThan">
      <formula>0</formula>
    </cfRule>
  </conditionalFormatting>
  <conditionalFormatting sqref="P137 P140 P143">
    <cfRule type="cellIs" dxfId="4635" priority="999" operator="greaterThan">
      <formula>0</formula>
    </cfRule>
  </conditionalFormatting>
  <conditionalFormatting sqref="Q137 Q140 Q143">
    <cfRule type="cellIs" dxfId="4634" priority="1004" operator="lessThan">
      <formula>0</formula>
    </cfRule>
  </conditionalFormatting>
  <conditionalFormatting sqref="R137 R140 R143">
    <cfRule type="cellIs" dxfId="4633" priority="1002" operator="lessThan">
      <formula>0.8</formula>
    </cfRule>
    <cfRule type="cellIs" dxfId="4632" priority="1003" operator="greaterThan">
      <formula>1</formula>
    </cfRule>
  </conditionalFormatting>
  <conditionalFormatting sqref="R137 R140 R143">
    <cfRule type="cellIs" dxfId="4631" priority="1000" operator="greaterThan">
      <formula>1</formula>
    </cfRule>
    <cfRule type="cellIs" dxfId="4630" priority="1001" operator="lessThan">
      <formula>0.8</formula>
    </cfRule>
  </conditionalFormatting>
  <conditionalFormatting sqref="Q137 Q140 Q143">
    <cfRule type="cellIs" dxfId="4629" priority="998" operator="lessThan">
      <formula>0</formula>
    </cfRule>
  </conditionalFormatting>
  <conditionalFormatting sqref="R137 R140 R143">
    <cfRule type="cellIs" dxfId="4628" priority="996" operator="lessThan">
      <formula>0.8</formula>
    </cfRule>
    <cfRule type="cellIs" dxfId="4627" priority="997" operator="greaterThan">
      <formula>1</formula>
    </cfRule>
  </conditionalFormatting>
  <conditionalFormatting sqref="R137 R140 R143">
    <cfRule type="cellIs" dxfId="4626" priority="994" operator="greaterThan">
      <formula>1</formula>
    </cfRule>
    <cfRule type="cellIs" dxfId="4625" priority="995" operator="lessThan">
      <formula>0.8</formula>
    </cfRule>
  </conditionalFormatting>
  <conditionalFormatting sqref="P137 P140 P143">
    <cfRule type="cellIs" dxfId="4624" priority="993" operator="greaterThan">
      <formula>0</formula>
    </cfRule>
  </conditionalFormatting>
  <conditionalFormatting sqref="Q137 Q140 Q143">
    <cfRule type="cellIs" dxfId="4623" priority="992" operator="lessThan">
      <formula>0</formula>
    </cfRule>
  </conditionalFormatting>
  <conditionalFormatting sqref="R137 R140 R143">
    <cfRule type="cellIs" dxfId="4622" priority="990" operator="lessThan">
      <formula>0.8</formula>
    </cfRule>
    <cfRule type="cellIs" dxfId="4621" priority="991" operator="greaterThan">
      <formula>1</formula>
    </cfRule>
  </conditionalFormatting>
  <conditionalFormatting sqref="R137 R140 R143">
    <cfRule type="cellIs" dxfId="4620" priority="988" operator="greaterThan">
      <formula>1</formula>
    </cfRule>
    <cfRule type="cellIs" dxfId="4619" priority="989" operator="lessThan">
      <formula>0.8</formula>
    </cfRule>
  </conditionalFormatting>
  <conditionalFormatting sqref="P137 P140 P143">
    <cfRule type="cellIs" dxfId="4618" priority="987" operator="greaterThan">
      <formula>0</formula>
    </cfRule>
  </conditionalFormatting>
  <conditionalFormatting sqref="P137 P140 P143">
    <cfRule type="cellIs" dxfId="4617" priority="981" operator="greaterThan">
      <formula>0</formula>
    </cfRule>
  </conditionalFormatting>
  <conditionalFormatting sqref="Q137 Q140 Q143">
    <cfRule type="cellIs" dxfId="4616" priority="986" operator="lessThan">
      <formula>0</formula>
    </cfRule>
  </conditionalFormatting>
  <conditionalFormatting sqref="R137 R140 R143">
    <cfRule type="cellIs" dxfId="4615" priority="984" operator="lessThan">
      <formula>0.8</formula>
    </cfRule>
    <cfRule type="cellIs" dxfId="4614" priority="985" operator="greaterThan">
      <formula>1</formula>
    </cfRule>
  </conditionalFormatting>
  <conditionalFormatting sqref="R137 R140 R143">
    <cfRule type="cellIs" dxfId="4613" priority="982" operator="greaterThan">
      <formula>1</formula>
    </cfRule>
    <cfRule type="cellIs" dxfId="4612" priority="983" operator="lessThan">
      <formula>0.8</formula>
    </cfRule>
  </conditionalFormatting>
  <conditionalFormatting sqref="Q137 Q140 Q143">
    <cfRule type="cellIs" dxfId="4611" priority="980" operator="lessThan">
      <formula>0</formula>
    </cfRule>
  </conditionalFormatting>
  <conditionalFormatting sqref="R137 R140 R143">
    <cfRule type="cellIs" dxfId="4610" priority="978" operator="lessThan">
      <formula>0.8</formula>
    </cfRule>
    <cfRule type="cellIs" dxfId="4609" priority="979" operator="greaterThan">
      <formula>1</formula>
    </cfRule>
  </conditionalFormatting>
  <conditionalFormatting sqref="R137 R140 R143">
    <cfRule type="cellIs" dxfId="4608" priority="976" operator="greaterThan">
      <formula>1</formula>
    </cfRule>
    <cfRule type="cellIs" dxfId="4607" priority="977" operator="lessThan">
      <formula>0.8</formula>
    </cfRule>
  </conditionalFormatting>
  <conditionalFormatting sqref="P137 P140 P143">
    <cfRule type="cellIs" dxfId="4606" priority="975" operator="greaterThan">
      <formula>0</formula>
    </cfRule>
  </conditionalFormatting>
  <conditionalFormatting sqref="P138 P141 P144">
    <cfRule type="cellIs" dxfId="4605" priority="969" operator="greaterThan">
      <formula>0</formula>
    </cfRule>
  </conditionalFormatting>
  <conditionalFormatting sqref="Q138 Q141 Q144">
    <cfRule type="cellIs" dxfId="4604" priority="974" operator="lessThan">
      <formula>0</formula>
    </cfRule>
  </conditionalFormatting>
  <conditionalFormatting sqref="R138 R141 R144">
    <cfRule type="cellIs" dxfId="4603" priority="972" operator="lessThan">
      <formula>0.8</formula>
    </cfRule>
    <cfRule type="cellIs" dxfId="4602" priority="973" operator="greaterThan">
      <formula>1</formula>
    </cfRule>
  </conditionalFormatting>
  <conditionalFormatting sqref="R138 R141 R144">
    <cfRule type="cellIs" dxfId="4601" priority="970" operator="greaterThan">
      <formula>1</formula>
    </cfRule>
    <cfRule type="cellIs" dxfId="4600" priority="971" operator="lessThan">
      <formula>0.8</formula>
    </cfRule>
  </conditionalFormatting>
  <conditionalFormatting sqref="Q138 Q141 Q144">
    <cfRule type="cellIs" dxfId="4599" priority="968" operator="lessThan">
      <formula>0</formula>
    </cfRule>
  </conditionalFormatting>
  <conditionalFormatting sqref="R138 R141 R144">
    <cfRule type="cellIs" dxfId="4598" priority="966" operator="lessThan">
      <formula>0.8</formula>
    </cfRule>
    <cfRule type="cellIs" dxfId="4597" priority="967" operator="greaterThan">
      <formula>1</formula>
    </cfRule>
  </conditionalFormatting>
  <conditionalFormatting sqref="R138 R141 R144">
    <cfRule type="cellIs" dxfId="4596" priority="964" operator="greaterThan">
      <formula>1</formula>
    </cfRule>
    <cfRule type="cellIs" dxfId="4595" priority="965" operator="lessThan">
      <formula>0.8</formula>
    </cfRule>
  </conditionalFormatting>
  <conditionalFormatting sqref="P138 P141 P144">
    <cfRule type="cellIs" dxfId="4594" priority="963" operator="greaterThan">
      <formula>0</formula>
    </cfRule>
  </conditionalFormatting>
  <conditionalFormatting sqref="Q138 Q141 Q144">
    <cfRule type="cellIs" dxfId="4593" priority="962" operator="lessThan">
      <formula>0</formula>
    </cfRule>
  </conditionalFormatting>
  <conditionalFormatting sqref="R138 R141 R144">
    <cfRule type="cellIs" dxfId="4592" priority="960" operator="lessThan">
      <formula>0.8</formula>
    </cfRule>
    <cfRule type="cellIs" dxfId="4591" priority="961" operator="greaterThan">
      <formula>1</formula>
    </cfRule>
  </conditionalFormatting>
  <conditionalFormatting sqref="R138 R141 R144">
    <cfRule type="cellIs" dxfId="4590" priority="958" operator="greaterThan">
      <formula>1</formula>
    </cfRule>
    <cfRule type="cellIs" dxfId="4589" priority="959" operator="lessThan">
      <formula>0.8</formula>
    </cfRule>
  </conditionalFormatting>
  <conditionalFormatting sqref="P138 P141 P144">
    <cfRule type="cellIs" dxfId="4588" priority="957" operator="greaterThan">
      <formula>0</formula>
    </cfRule>
  </conditionalFormatting>
  <conditionalFormatting sqref="Q138 Q141 Q144">
    <cfRule type="cellIs" dxfId="4587" priority="956" operator="lessThan">
      <formula>0</formula>
    </cfRule>
  </conditionalFormatting>
  <conditionalFormatting sqref="R138 R141 R144">
    <cfRule type="cellIs" dxfId="4586" priority="954" operator="lessThan">
      <formula>0.8</formula>
    </cfRule>
    <cfRule type="cellIs" dxfId="4585" priority="955" operator="greaterThan">
      <formula>1</formula>
    </cfRule>
  </conditionalFormatting>
  <conditionalFormatting sqref="R138 R141 R144">
    <cfRule type="cellIs" dxfId="4584" priority="952" operator="greaterThan">
      <formula>1</formula>
    </cfRule>
    <cfRule type="cellIs" dxfId="4583" priority="953" operator="lessThan">
      <formula>0.8</formula>
    </cfRule>
  </conditionalFormatting>
  <conditionalFormatting sqref="P138 P141 P144">
    <cfRule type="cellIs" dxfId="4582" priority="951" operator="greaterThan">
      <formula>0</formula>
    </cfRule>
  </conditionalFormatting>
  <conditionalFormatting sqref="Q138 Q141 Q144">
    <cfRule type="cellIs" dxfId="4581" priority="950" operator="lessThan">
      <formula>0</formula>
    </cfRule>
  </conditionalFormatting>
  <conditionalFormatting sqref="R138 R141 R144">
    <cfRule type="cellIs" dxfId="4580" priority="948" operator="lessThan">
      <formula>0.8</formula>
    </cfRule>
    <cfRule type="cellIs" dxfId="4579" priority="949" operator="greaterThan">
      <formula>1</formula>
    </cfRule>
  </conditionalFormatting>
  <conditionalFormatting sqref="R138 R141 R144">
    <cfRule type="cellIs" dxfId="4578" priority="946" operator="greaterThan">
      <formula>1</formula>
    </cfRule>
    <cfRule type="cellIs" dxfId="4577" priority="947" operator="lessThan">
      <formula>0.8</formula>
    </cfRule>
  </conditionalFormatting>
  <conditionalFormatting sqref="Q138 Q141 Q144">
    <cfRule type="cellIs" dxfId="4576" priority="945" operator="lessThan">
      <formula>0</formula>
    </cfRule>
  </conditionalFormatting>
  <conditionalFormatting sqref="R138 R141 R144">
    <cfRule type="cellIs" dxfId="4575" priority="943" operator="lessThan">
      <formula>0.8</formula>
    </cfRule>
    <cfRule type="cellIs" dxfId="4574" priority="944" operator="greaterThan">
      <formula>1</formula>
    </cfRule>
  </conditionalFormatting>
  <conditionalFormatting sqref="R138 R141 R144">
    <cfRule type="cellIs" dxfId="4573" priority="941" operator="greaterThan">
      <formula>1</formula>
    </cfRule>
    <cfRule type="cellIs" dxfId="4572" priority="942" operator="lessThan">
      <formula>0.8</formula>
    </cfRule>
  </conditionalFormatting>
  <conditionalFormatting sqref="P138 P141 P144">
    <cfRule type="cellIs" dxfId="4571" priority="940" operator="greaterThan">
      <formula>0</formula>
    </cfRule>
  </conditionalFormatting>
  <conditionalFormatting sqref="P138 P141 P144">
    <cfRule type="cellIs" dxfId="4570" priority="934" operator="greaterThan">
      <formula>0</formula>
    </cfRule>
  </conditionalFormatting>
  <conditionalFormatting sqref="Q138 Q141 Q144">
    <cfRule type="cellIs" dxfId="4569" priority="939" operator="lessThan">
      <formula>0</formula>
    </cfRule>
  </conditionalFormatting>
  <conditionalFormatting sqref="R138 R141 R144">
    <cfRule type="cellIs" dxfId="4568" priority="937" operator="lessThan">
      <formula>0.8</formula>
    </cfRule>
    <cfRule type="cellIs" dxfId="4567" priority="938" operator="greaterThan">
      <formula>1</formula>
    </cfRule>
  </conditionalFormatting>
  <conditionalFormatting sqref="R138 R141 R144">
    <cfRule type="cellIs" dxfId="4566" priority="935" operator="greaterThan">
      <formula>1</formula>
    </cfRule>
    <cfRule type="cellIs" dxfId="4565" priority="936" operator="lessThan">
      <formula>0.8</formula>
    </cfRule>
  </conditionalFormatting>
  <conditionalFormatting sqref="Q138 Q141 Q144">
    <cfRule type="cellIs" dxfId="4564" priority="933" operator="lessThan">
      <formula>0</formula>
    </cfRule>
  </conditionalFormatting>
  <conditionalFormatting sqref="R138 R141 R144">
    <cfRule type="cellIs" dxfId="4563" priority="931" operator="lessThan">
      <formula>0.8</formula>
    </cfRule>
    <cfRule type="cellIs" dxfId="4562" priority="932" operator="greaterThan">
      <formula>1</formula>
    </cfRule>
  </conditionalFormatting>
  <conditionalFormatting sqref="R138 R141 R144">
    <cfRule type="cellIs" dxfId="4561" priority="929" operator="greaterThan">
      <formula>1</formula>
    </cfRule>
    <cfRule type="cellIs" dxfId="4560" priority="930" operator="lessThan">
      <formula>0.8</formula>
    </cfRule>
  </conditionalFormatting>
  <conditionalFormatting sqref="P138 P141 P144">
    <cfRule type="cellIs" dxfId="4559" priority="928" operator="greaterThan">
      <formula>0</formula>
    </cfRule>
  </conditionalFormatting>
  <conditionalFormatting sqref="Q148:Q153">
    <cfRule type="cellIs" dxfId="4558" priority="927" operator="lessThan">
      <formula>0</formula>
    </cfRule>
  </conditionalFormatting>
  <conditionalFormatting sqref="R148:R153">
    <cfRule type="cellIs" dxfId="4557" priority="925" operator="lessThan">
      <formula>0.8</formula>
    </cfRule>
    <cfRule type="cellIs" dxfId="4556" priority="926" operator="greaterThan">
      <formula>1</formula>
    </cfRule>
  </conditionalFormatting>
  <conditionalFormatting sqref="R148:R153">
    <cfRule type="cellIs" dxfId="4555" priority="923" operator="greaterThan">
      <formula>1</formula>
    </cfRule>
    <cfRule type="cellIs" dxfId="4554" priority="924" operator="lessThan">
      <formula>0.8</formula>
    </cfRule>
  </conditionalFormatting>
  <conditionalFormatting sqref="P148:P153">
    <cfRule type="cellIs" dxfId="4553" priority="922" operator="greaterThan">
      <formula>0</formula>
    </cfRule>
  </conditionalFormatting>
  <conditionalFormatting sqref="P148:P153">
    <cfRule type="cellIs" dxfId="4552" priority="916" operator="greaterThan">
      <formula>0</formula>
    </cfRule>
  </conditionalFormatting>
  <conditionalFormatting sqref="Q148:Q153">
    <cfRule type="cellIs" dxfId="4551" priority="921" operator="lessThan">
      <formula>0</formula>
    </cfRule>
  </conditionalFormatting>
  <conditionalFormatting sqref="R148:R153">
    <cfRule type="cellIs" dxfId="4550" priority="919" operator="lessThan">
      <formula>0.8</formula>
    </cfRule>
    <cfRule type="cellIs" dxfId="4549" priority="920" operator="greaterThan">
      <formula>1</formula>
    </cfRule>
  </conditionalFormatting>
  <conditionalFormatting sqref="R148:R153">
    <cfRule type="cellIs" dxfId="4548" priority="917" operator="greaterThan">
      <formula>1</formula>
    </cfRule>
    <cfRule type="cellIs" dxfId="4547" priority="918" operator="lessThan">
      <formula>0.8</formula>
    </cfRule>
  </conditionalFormatting>
  <conditionalFormatting sqref="Q148:Q153">
    <cfRule type="cellIs" dxfId="4546" priority="915" operator="lessThan">
      <formula>0</formula>
    </cfRule>
  </conditionalFormatting>
  <conditionalFormatting sqref="R148:R153">
    <cfRule type="cellIs" dxfId="4545" priority="913" operator="lessThan">
      <formula>0.8</formula>
    </cfRule>
    <cfRule type="cellIs" dxfId="4544" priority="914" operator="greaterThan">
      <formula>1</formula>
    </cfRule>
  </conditionalFormatting>
  <conditionalFormatting sqref="R148:R153">
    <cfRule type="cellIs" dxfId="4543" priority="911" operator="greaterThan">
      <formula>1</formula>
    </cfRule>
    <cfRule type="cellIs" dxfId="4542" priority="912" operator="lessThan">
      <formula>0.8</formula>
    </cfRule>
  </conditionalFormatting>
  <conditionalFormatting sqref="P148:P153">
    <cfRule type="cellIs" dxfId="4541" priority="910" operator="greaterThan">
      <formula>0</formula>
    </cfRule>
  </conditionalFormatting>
  <conditionalFormatting sqref="Q148:Q153">
    <cfRule type="cellIs" dxfId="4540" priority="909" operator="lessThan">
      <formula>0</formula>
    </cfRule>
  </conditionalFormatting>
  <conditionalFormatting sqref="R148:R153">
    <cfRule type="cellIs" dxfId="4539" priority="907" operator="lessThan">
      <formula>0.8</formula>
    </cfRule>
    <cfRule type="cellIs" dxfId="4538" priority="908" operator="greaterThan">
      <formula>1</formula>
    </cfRule>
  </conditionalFormatting>
  <conditionalFormatting sqref="R148:R153">
    <cfRule type="cellIs" dxfId="4537" priority="905" operator="greaterThan">
      <formula>1</formula>
    </cfRule>
    <cfRule type="cellIs" dxfId="4536" priority="906" operator="lessThan">
      <formula>0.8</formula>
    </cfRule>
  </conditionalFormatting>
  <conditionalFormatting sqref="P148:P153">
    <cfRule type="cellIs" dxfId="4535" priority="904" operator="greaterThan">
      <formula>0</formula>
    </cfRule>
  </conditionalFormatting>
  <conditionalFormatting sqref="P148:P153">
    <cfRule type="cellIs" dxfId="4534" priority="898" operator="greaterThan">
      <formula>0</formula>
    </cfRule>
  </conditionalFormatting>
  <conditionalFormatting sqref="Q148:Q153">
    <cfRule type="cellIs" dxfId="4533" priority="903" operator="lessThan">
      <formula>0</formula>
    </cfRule>
  </conditionalFormatting>
  <conditionalFormatting sqref="R148:R153">
    <cfRule type="cellIs" dxfId="4532" priority="901" operator="lessThan">
      <formula>0.8</formula>
    </cfRule>
    <cfRule type="cellIs" dxfId="4531" priority="902" operator="greaterThan">
      <formula>1</formula>
    </cfRule>
  </conditionalFormatting>
  <conditionalFormatting sqref="R148:R153">
    <cfRule type="cellIs" dxfId="4530" priority="899" operator="greaterThan">
      <formula>1</formula>
    </cfRule>
    <cfRule type="cellIs" dxfId="4529" priority="900" operator="lessThan">
      <formula>0.8</formula>
    </cfRule>
  </conditionalFormatting>
  <conditionalFormatting sqref="Q148:Q153">
    <cfRule type="cellIs" dxfId="4528" priority="897" operator="lessThan">
      <formula>0</formula>
    </cfRule>
  </conditionalFormatting>
  <conditionalFormatting sqref="R148:R153">
    <cfRule type="cellIs" dxfId="4527" priority="895" operator="lessThan">
      <formula>0.8</formula>
    </cfRule>
    <cfRule type="cellIs" dxfId="4526" priority="896" operator="greaterThan">
      <formula>1</formula>
    </cfRule>
  </conditionalFormatting>
  <conditionalFormatting sqref="R148:R153">
    <cfRule type="cellIs" dxfId="4525" priority="893" operator="greaterThan">
      <formula>1</formula>
    </cfRule>
    <cfRule type="cellIs" dxfId="4524" priority="894" operator="lessThan">
      <formula>0.8</formula>
    </cfRule>
  </conditionalFormatting>
  <conditionalFormatting sqref="P148:P153">
    <cfRule type="cellIs" dxfId="4523" priority="892" operator="greaterThan">
      <formula>0</formula>
    </cfRule>
  </conditionalFormatting>
  <conditionalFormatting sqref="Q148:Q153">
    <cfRule type="cellIs" dxfId="4522" priority="886" operator="lessThan">
      <formula>0</formula>
    </cfRule>
  </conditionalFormatting>
  <conditionalFormatting sqref="P148:P153">
    <cfRule type="cellIs" dxfId="4521" priority="887" operator="greaterThan">
      <formula>0</formula>
    </cfRule>
  </conditionalFormatting>
  <conditionalFormatting sqref="R148:R153">
    <cfRule type="cellIs" dxfId="4520" priority="890" operator="lessThan">
      <formula>0.8</formula>
    </cfRule>
    <cfRule type="cellIs" dxfId="4519" priority="891" operator="greaterThan">
      <formula>1</formula>
    </cfRule>
  </conditionalFormatting>
  <conditionalFormatting sqref="R148:R153">
    <cfRule type="cellIs" dxfId="4518" priority="888" operator="greaterThan">
      <formula>1</formula>
    </cfRule>
    <cfRule type="cellIs" dxfId="4517" priority="889" operator="lessThan">
      <formula>0.8</formula>
    </cfRule>
  </conditionalFormatting>
  <conditionalFormatting sqref="Q148:Q153">
    <cfRule type="cellIs" dxfId="4516" priority="880" operator="lessThan">
      <formula>0</formula>
    </cfRule>
  </conditionalFormatting>
  <conditionalFormatting sqref="R148:R153">
    <cfRule type="cellIs" dxfId="4515" priority="884" operator="lessThan">
      <formula>0.8</formula>
    </cfRule>
    <cfRule type="cellIs" dxfId="4514" priority="885" operator="greaterThan">
      <formula>1</formula>
    </cfRule>
  </conditionalFormatting>
  <conditionalFormatting sqref="R148:R153">
    <cfRule type="cellIs" dxfId="4513" priority="882" operator="greaterThan">
      <formula>1</formula>
    </cfRule>
    <cfRule type="cellIs" dxfId="4512" priority="883" operator="lessThan">
      <formula>0.8</formula>
    </cfRule>
  </conditionalFormatting>
  <conditionalFormatting sqref="P148:P153">
    <cfRule type="cellIs" dxfId="4511" priority="881" operator="greaterThan">
      <formula>0</formula>
    </cfRule>
  </conditionalFormatting>
  <conditionalFormatting sqref="Q148:Q153">
    <cfRule type="cellIs" dxfId="4510" priority="879" operator="lessThan">
      <formula>0</formula>
    </cfRule>
  </conditionalFormatting>
  <conditionalFormatting sqref="R148:R153">
    <cfRule type="cellIs" dxfId="4509" priority="877" operator="lessThan">
      <formula>0.8</formula>
    </cfRule>
    <cfRule type="cellIs" dxfId="4508" priority="878" operator="greaterThan">
      <formula>1</formula>
    </cfRule>
  </conditionalFormatting>
  <conditionalFormatting sqref="R148:R153">
    <cfRule type="cellIs" dxfId="4507" priority="875" operator="greaterThan">
      <formula>1</formula>
    </cfRule>
    <cfRule type="cellIs" dxfId="4506" priority="876" operator="lessThan">
      <formula>0.8</formula>
    </cfRule>
  </conditionalFormatting>
  <conditionalFormatting sqref="P148:P153">
    <cfRule type="cellIs" dxfId="4505" priority="874" operator="greaterThan">
      <formula>0</formula>
    </cfRule>
  </conditionalFormatting>
  <conditionalFormatting sqref="Q148:Q153">
    <cfRule type="cellIs" dxfId="4504" priority="873" operator="lessThan">
      <formula>0</formula>
    </cfRule>
  </conditionalFormatting>
  <conditionalFormatting sqref="R148:R153">
    <cfRule type="cellIs" dxfId="4503" priority="871" operator="lessThan">
      <formula>0.8</formula>
    </cfRule>
    <cfRule type="cellIs" dxfId="4502" priority="872" operator="greaterThan">
      <formula>1</formula>
    </cfRule>
  </conditionalFormatting>
  <conditionalFormatting sqref="R148:R153">
    <cfRule type="cellIs" dxfId="4501" priority="869" operator="greaterThan">
      <formula>1</formula>
    </cfRule>
    <cfRule type="cellIs" dxfId="4500" priority="870" operator="lessThan">
      <formula>0.8</formula>
    </cfRule>
  </conditionalFormatting>
  <conditionalFormatting sqref="P148:P153">
    <cfRule type="cellIs" dxfId="4499" priority="868" operator="greaterThan">
      <formula>0</formula>
    </cfRule>
  </conditionalFormatting>
  <conditionalFormatting sqref="Q148:Q153">
    <cfRule type="cellIs" dxfId="4498" priority="867" operator="lessThan">
      <formula>0</formula>
    </cfRule>
  </conditionalFormatting>
  <conditionalFormatting sqref="R148:R153">
    <cfRule type="cellIs" dxfId="4497" priority="865" operator="lessThan">
      <formula>0.8</formula>
    </cfRule>
    <cfRule type="cellIs" dxfId="4496" priority="866" operator="greaterThan">
      <formula>1</formula>
    </cfRule>
  </conditionalFormatting>
  <conditionalFormatting sqref="R148:R153">
    <cfRule type="cellIs" dxfId="4495" priority="863" operator="greaterThan">
      <formula>1</formula>
    </cfRule>
    <cfRule type="cellIs" dxfId="4494" priority="864" operator="lessThan">
      <formula>0.8</formula>
    </cfRule>
  </conditionalFormatting>
  <conditionalFormatting sqref="P148:P153">
    <cfRule type="cellIs" dxfId="4493" priority="862" operator="greaterThan">
      <formula>0</formula>
    </cfRule>
  </conditionalFormatting>
  <conditionalFormatting sqref="Q148:Q153">
    <cfRule type="cellIs" dxfId="4492" priority="861" operator="lessThan">
      <formula>0</formula>
    </cfRule>
  </conditionalFormatting>
  <conditionalFormatting sqref="R148:R153">
    <cfRule type="cellIs" dxfId="4491" priority="859" operator="lessThan">
      <formula>0.8</formula>
    </cfRule>
    <cfRule type="cellIs" dxfId="4490" priority="860" operator="greaterThan">
      <formula>1</formula>
    </cfRule>
  </conditionalFormatting>
  <conditionalFormatting sqref="R148:R153">
    <cfRule type="cellIs" dxfId="4489" priority="857" operator="greaterThan">
      <formula>1</formula>
    </cfRule>
    <cfRule type="cellIs" dxfId="4488" priority="858" operator="lessThan">
      <formula>0.8</formula>
    </cfRule>
  </conditionalFormatting>
  <conditionalFormatting sqref="P148:P153">
    <cfRule type="cellIs" dxfId="4487" priority="856" operator="greaterThan">
      <formula>0</formula>
    </cfRule>
  </conditionalFormatting>
  <conditionalFormatting sqref="Q148:Q153">
    <cfRule type="cellIs" dxfId="4486" priority="855" operator="lessThan">
      <formula>0</formula>
    </cfRule>
  </conditionalFormatting>
  <conditionalFormatting sqref="R148:R153">
    <cfRule type="cellIs" dxfId="4485" priority="853" operator="lessThan">
      <formula>0.8</formula>
    </cfRule>
    <cfRule type="cellIs" dxfId="4484" priority="854" operator="greaterThan">
      <formula>1</formula>
    </cfRule>
  </conditionalFormatting>
  <conditionalFormatting sqref="R148:R153">
    <cfRule type="cellIs" dxfId="4483" priority="851" operator="greaterThan">
      <formula>1</formula>
    </cfRule>
    <cfRule type="cellIs" dxfId="4482" priority="852" operator="lessThan">
      <formula>0.8</formula>
    </cfRule>
  </conditionalFormatting>
  <conditionalFormatting sqref="P148:P153">
    <cfRule type="cellIs" dxfId="4481" priority="850" operator="greaterThan">
      <formula>0</formula>
    </cfRule>
  </conditionalFormatting>
  <conditionalFormatting sqref="Q148:Q153">
    <cfRule type="cellIs" dxfId="4480" priority="849" operator="lessThan">
      <formula>0</formula>
    </cfRule>
  </conditionalFormatting>
  <conditionalFormatting sqref="R148:R153">
    <cfRule type="cellIs" dxfId="4479" priority="847" operator="lessThan">
      <formula>0.8</formula>
    </cfRule>
    <cfRule type="cellIs" dxfId="4478" priority="848" operator="greaterThan">
      <formula>1</formula>
    </cfRule>
  </conditionalFormatting>
  <conditionalFormatting sqref="R148:R153">
    <cfRule type="cellIs" dxfId="4477" priority="845" operator="greaterThan">
      <formula>1</formula>
    </cfRule>
    <cfRule type="cellIs" dxfId="4476" priority="846" operator="lessThan">
      <formula>0.8</formula>
    </cfRule>
  </conditionalFormatting>
  <conditionalFormatting sqref="P148:P153">
    <cfRule type="cellIs" dxfId="4475" priority="844" operator="greaterThan">
      <formula>0</formula>
    </cfRule>
  </conditionalFormatting>
  <conditionalFormatting sqref="Q148:Q153">
    <cfRule type="cellIs" dxfId="4474" priority="843" operator="lessThan">
      <formula>0</formula>
    </cfRule>
  </conditionalFormatting>
  <conditionalFormatting sqref="R148:R153">
    <cfRule type="cellIs" dxfId="4473" priority="841" operator="lessThan">
      <formula>0.8</formula>
    </cfRule>
    <cfRule type="cellIs" dxfId="4472" priority="842" operator="greaterThan">
      <formula>1</formula>
    </cfRule>
  </conditionalFormatting>
  <conditionalFormatting sqref="R148:R153">
    <cfRule type="cellIs" dxfId="4471" priority="839" operator="greaterThan">
      <formula>1</formula>
    </cfRule>
    <cfRule type="cellIs" dxfId="4470" priority="840" operator="lessThan">
      <formula>0.8</formula>
    </cfRule>
  </conditionalFormatting>
  <conditionalFormatting sqref="P148:P153">
    <cfRule type="cellIs" dxfId="4469" priority="838" operator="greaterThan">
      <formula>0</formula>
    </cfRule>
  </conditionalFormatting>
  <conditionalFormatting sqref="P148:P153">
    <cfRule type="cellIs" dxfId="4468" priority="832" operator="greaterThan">
      <formula>0</formula>
    </cfRule>
  </conditionalFormatting>
  <conditionalFormatting sqref="Q148:Q153">
    <cfRule type="cellIs" dxfId="4467" priority="837" operator="lessThan">
      <formula>0</formula>
    </cfRule>
  </conditionalFormatting>
  <conditionalFormatting sqref="R148:R153">
    <cfRule type="cellIs" dxfId="4466" priority="835" operator="lessThan">
      <formula>0.8</formula>
    </cfRule>
    <cfRule type="cellIs" dxfId="4465" priority="836" operator="greaterThan">
      <formula>1</formula>
    </cfRule>
  </conditionalFormatting>
  <conditionalFormatting sqref="R148:R153">
    <cfRule type="cellIs" dxfId="4464" priority="833" operator="greaterThan">
      <formula>1</formula>
    </cfRule>
    <cfRule type="cellIs" dxfId="4463" priority="834" operator="lessThan">
      <formula>0.8</formula>
    </cfRule>
  </conditionalFormatting>
  <conditionalFormatting sqref="P148:P153">
    <cfRule type="cellIs" dxfId="4462" priority="826" operator="greaterThan">
      <formula>0</formula>
    </cfRule>
  </conditionalFormatting>
  <conditionalFormatting sqref="Q148:Q153">
    <cfRule type="cellIs" dxfId="4461" priority="831" operator="lessThan">
      <formula>0</formula>
    </cfRule>
  </conditionalFormatting>
  <conditionalFormatting sqref="R148:R153">
    <cfRule type="cellIs" dxfId="4460" priority="829" operator="lessThan">
      <formula>0.8</formula>
    </cfRule>
    <cfRule type="cellIs" dxfId="4459" priority="830" operator="greaterThan">
      <formula>1</formula>
    </cfRule>
  </conditionalFormatting>
  <conditionalFormatting sqref="R148:R153">
    <cfRule type="cellIs" dxfId="4458" priority="827" operator="greaterThan">
      <formula>1</formula>
    </cfRule>
    <cfRule type="cellIs" dxfId="4457" priority="828" operator="lessThan">
      <formula>0.8</formula>
    </cfRule>
  </conditionalFormatting>
  <conditionalFormatting sqref="R148:R153">
    <cfRule type="cellIs" dxfId="4456" priority="823" operator="lessThan">
      <formula>0.8</formula>
    </cfRule>
    <cfRule type="cellIs" dxfId="4455" priority="824" operator="greaterThan">
      <formula>1</formula>
    </cfRule>
  </conditionalFormatting>
  <conditionalFormatting sqref="R148:R153">
    <cfRule type="cellIs" dxfId="4454" priority="821" operator="greaterThan">
      <formula>1</formula>
    </cfRule>
    <cfRule type="cellIs" dxfId="4453" priority="822" operator="lessThan">
      <formula>0.8</formula>
    </cfRule>
  </conditionalFormatting>
  <conditionalFormatting sqref="P148:P153">
    <cfRule type="cellIs" dxfId="4452" priority="820" operator="greaterThan">
      <formula>0</formula>
    </cfRule>
  </conditionalFormatting>
  <conditionalFormatting sqref="Q148:Q153">
    <cfRule type="cellIs" dxfId="4451" priority="825" operator="lessThan">
      <formula>0</formula>
    </cfRule>
  </conditionalFormatting>
  <conditionalFormatting sqref="Q148:Q153">
    <cfRule type="cellIs" dxfId="4450" priority="819" operator="lessThan">
      <formula>0</formula>
    </cfRule>
  </conditionalFormatting>
  <conditionalFormatting sqref="R148:R153">
    <cfRule type="cellIs" dxfId="4449" priority="817" operator="lessThan">
      <formula>0.8</formula>
    </cfRule>
    <cfRule type="cellIs" dxfId="4448" priority="818" operator="greaterThan">
      <formula>1</formula>
    </cfRule>
  </conditionalFormatting>
  <conditionalFormatting sqref="R148:R153">
    <cfRule type="cellIs" dxfId="4447" priority="815" operator="greaterThan">
      <formula>1</formula>
    </cfRule>
    <cfRule type="cellIs" dxfId="4446" priority="816" operator="lessThan">
      <formula>0.8</formula>
    </cfRule>
  </conditionalFormatting>
  <conditionalFormatting sqref="P148:P153">
    <cfRule type="cellIs" dxfId="4445" priority="814" operator="greaterThan">
      <formula>0</formula>
    </cfRule>
  </conditionalFormatting>
  <conditionalFormatting sqref="P148:P153">
    <cfRule type="cellIs" dxfId="4444" priority="808" operator="greaterThan">
      <formula>0</formula>
    </cfRule>
  </conditionalFormatting>
  <conditionalFormatting sqref="Q148:Q153">
    <cfRule type="cellIs" dxfId="4443" priority="813" operator="lessThan">
      <formula>0</formula>
    </cfRule>
  </conditionalFormatting>
  <conditionalFormatting sqref="R148:R153">
    <cfRule type="cellIs" dxfId="4442" priority="811" operator="lessThan">
      <formula>0.8</formula>
    </cfRule>
    <cfRule type="cellIs" dxfId="4441" priority="812" operator="greaterThan">
      <formula>1</formula>
    </cfRule>
  </conditionalFormatting>
  <conditionalFormatting sqref="R148:R153">
    <cfRule type="cellIs" dxfId="4440" priority="809" operator="greaterThan">
      <formula>1</formula>
    </cfRule>
    <cfRule type="cellIs" dxfId="4439" priority="810" operator="lessThan">
      <formula>0.8</formula>
    </cfRule>
  </conditionalFormatting>
  <conditionalFormatting sqref="P148:P153">
    <cfRule type="cellIs" dxfId="4438" priority="802" operator="greaterThan">
      <formula>0</formula>
    </cfRule>
  </conditionalFormatting>
  <conditionalFormatting sqref="Q148:Q153">
    <cfRule type="cellIs" dxfId="4437" priority="807" operator="lessThan">
      <formula>0</formula>
    </cfRule>
  </conditionalFormatting>
  <conditionalFormatting sqref="R148:R153">
    <cfRule type="cellIs" dxfId="4436" priority="805" operator="lessThan">
      <formula>0.8</formula>
    </cfRule>
    <cfRule type="cellIs" dxfId="4435" priority="806" operator="greaterThan">
      <formula>1</formula>
    </cfRule>
  </conditionalFormatting>
  <conditionalFormatting sqref="R148:R153">
    <cfRule type="cellIs" dxfId="4434" priority="803" operator="greaterThan">
      <formula>1</formula>
    </cfRule>
    <cfRule type="cellIs" dxfId="4433" priority="804" operator="lessThan">
      <formula>0.8</formula>
    </cfRule>
  </conditionalFormatting>
  <conditionalFormatting sqref="R148:R153">
    <cfRule type="cellIs" dxfId="4432" priority="799" operator="lessThan">
      <formula>0.8</formula>
    </cfRule>
    <cfRule type="cellIs" dxfId="4431" priority="800" operator="greaterThan">
      <formula>1</formula>
    </cfRule>
  </conditionalFormatting>
  <conditionalFormatting sqref="R148:R153">
    <cfRule type="cellIs" dxfId="4430" priority="797" operator="greaterThan">
      <formula>1</formula>
    </cfRule>
    <cfRule type="cellIs" dxfId="4429" priority="798" operator="lessThan">
      <formula>0.8</formula>
    </cfRule>
  </conditionalFormatting>
  <conditionalFormatting sqref="P148:P153">
    <cfRule type="cellIs" dxfId="4428" priority="796" operator="greaterThan">
      <formula>0</formula>
    </cfRule>
  </conditionalFormatting>
  <conditionalFormatting sqref="Q148:Q153">
    <cfRule type="cellIs" dxfId="4427" priority="801" operator="lessThan">
      <formula>0</formula>
    </cfRule>
  </conditionalFormatting>
  <conditionalFormatting sqref="P148:P153">
    <cfRule type="cellIs" dxfId="4426" priority="790" operator="greaterThan">
      <formula>0</formula>
    </cfRule>
  </conditionalFormatting>
  <conditionalFormatting sqref="Q148:Q153">
    <cfRule type="cellIs" dxfId="4425" priority="795" operator="lessThan">
      <formula>0</formula>
    </cfRule>
  </conditionalFormatting>
  <conditionalFormatting sqref="R148:R153">
    <cfRule type="cellIs" dxfId="4424" priority="793" operator="lessThan">
      <formula>0.8</formula>
    </cfRule>
    <cfRule type="cellIs" dxfId="4423" priority="794" operator="greaterThan">
      <formula>1</formula>
    </cfRule>
  </conditionalFormatting>
  <conditionalFormatting sqref="R148:R153">
    <cfRule type="cellIs" dxfId="4422" priority="791" operator="greaterThan">
      <formula>1</formula>
    </cfRule>
    <cfRule type="cellIs" dxfId="4421" priority="792" operator="lessThan">
      <formula>0.8</formula>
    </cfRule>
  </conditionalFormatting>
  <conditionalFormatting sqref="R148:R153">
    <cfRule type="cellIs" dxfId="4420" priority="787" operator="lessThan">
      <formula>0.8</formula>
    </cfRule>
    <cfRule type="cellIs" dxfId="4419" priority="788" operator="greaterThan">
      <formula>1</formula>
    </cfRule>
  </conditionalFormatting>
  <conditionalFormatting sqref="R148:R153">
    <cfRule type="cellIs" dxfId="4418" priority="785" operator="greaterThan">
      <formula>1</formula>
    </cfRule>
    <cfRule type="cellIs" dxfId="4417" priority="786" operator="lessThan">
      <formula>0.8</formula>
    </cfRule>
  </conditionalFormatting>
  <conditionalFormatting sqref="P148:P153">
    <cfRule type="cellIs" dxfId="4416" priority="784" operator="greaterThan">
      <formula>0</formula>
    </cfRule>
  </conditionalFormatting>
  <conditionalFormatting sqref="Q148:Q153">
    <cfRule type="cellIs" dxfId="4415" priority="789" operator="lessThan">
      <formula>0</formula>
    </cfRule>
  </conditionalFormatting>
  <conditionalFormatting sqref="R148:R153">
    <cfRule type="cellIs" dxfId="4414" priority="781" operator="lessThan">
      <formula>0.8</formula>
    </cfRule>
    <cfRule type="cellIs" dxfId="4413" priority="782" operator="greaterThan">
      <formula>1</formula>
    </cfRule>
  </conditionalFormatting>
  <conditionalFormatting sqref="R148:R153">
    <cfRule type="cellIs" dxfId="4412" priority="779" operator="greaterThan">
      <formula>1</formula>
    </cfRule>
    <cfRule type="cellIs" dxfId="4411" priority="780" operator="lessThan">
      <formula>0.8</formula>
    </cfRule>
  </conditionalFormatting>
  <conditionalFormatting sqref="P148:P153">
    <cfRule type="cellIs" dxfId="4410" priority="778" operator="greaterThan">
      <formula>0</formula>
    </cfRule>
  </conditionalFormatting>
  <conditionalFormatting sqref="Q148:Q153">
    <cfRule type="cellIs" dxfId="4409" priority="783" operator="lessThan">
      <formula>0</formula>
    </cfRule>
  </conditionalFormatting>
  <conditionalFormatting sqref="Q148:Q153">
    <cfRule type="cellIs" dxfId="4408" priority="777" operator="lessThan">
      <formula>0</formula>
    </cfRule>
  </conditionalFormatting>
  <conditionalFormatting sqref="R148:R153">
    <cfRule type="cellIs" dxfId="4407" priority="775" operator="lessThan">
      <formula>0.8</formula>
    </cfRule>
    <cfRule type="cellIs" dxfId="4406" priority="776" operator="greaterThan">
      <formula>1</formula>
    </cfRule>
  </conditionalFormatting>
  <conditionalFormatting sqref="R148:R153">
    <cfRule type="cellIs" dxfId="4405" priority="773" operator="greaterThan">
      <formula>1</formula>
    </cfRule>
    <cfRule type="cellIs" dxfId="4404" priority="774" operator="lessThan">
      <formula>0.8</formula>
    </cfRule>
  </conditionalFormatting>
  <conditionalFormatting sqref="P148:P153">
    <cfRule type="cellIs" dxfId="4403" priority="772" operator="greaterThan">
      <formula>0</formula>
    </cfRule>
  </conditionalFormatting>
  <conditionalFormatting sqref="Q148:Q153">
    <cfRule type="cellIs" dxfId="4402" priority="766" operator="lessThan">
      <formula>0</formula>
    </cfRule>
  </conditionalFormatting>
  <conditionalFormatting sqref="R148:R153">
    <cfRule type="cellIs" dxfId="4401" priority="770" operator="lessThan">
      <formula>0.8</formula>
    </cfRule>
    <cfRule type="cellIs" dxfId="4400" priority="771" operator="greaterThan">
      <formula>1</formula>
    </cfRule>
  </conditionalFormatting>
  <conditionalFormatting sqref="R148:R153">
    <cfRule type="cellIs" dxfId="4399" priority="768" operator="greaterThan">
      <formula>1</formula>
    </cfRule>
    <cfRule type="cellIs" dxfId="4398" priority="769" operator="lessThan">
      <formula>0.8</formula>
    </cfRule>
  </conditionalFormatting>
  <conditionalFormatting sqref="P148:P153">
    <cfRule type="cellIs" dxfId="4397" priority="767" operator="greaterThan">
      <formula>0</formula>
    </cfRule>
  </conditionalFormatting>
  <conditionalFormatting sqref="Q148:Q153">
    <cfRule type="cellIs" dxfId="4396" priority="765" operator="lessThan">
      <formula>0</formula>
    </cfRule>
  </conditionalFormatting>
  <conditionalFormatting sqref="R148:R153">
    <cfRule type="cellIs" dxfId="4395" priority="763" operator="lessThan">
      <formula>0.8</formula>
    </cfRule>
    <cfRule type="cellIs" dxfId="4394" priority="764" operator="greaterThan">
      <formula>1</formula>
    </cfRule>
  </conditionalFormatting>
  <conditionalFormatting sqref="R148:R153">
    <cfRule type="cellIs" dxfId="4393" priority="761" operator="greaterThan">
      <formula>1</formula>
    </cfRule>
    <cfRule type="cellIs" dxfId="4392" priority="762" operator="lessThan">
      <formula>0.8</formula>
    </cfRule>
  </conditionalFormatting>
  <conditionalFormatting sqref="P148:P153">
    <cfRule type="cellIs" dxfId="4391" priority="760" operator="greaterThan">
      <formula>0</formula>
    </cfRule>
  </conditionalFormatting>
  <conditionalFormatting sqref="Q148:Q153">
    <cfRule type="cellIs" dxfId="4390" priority="759" operator="lessThan">
      <formula>0</formula>
    </cfRule>
  </conditionalFormatting>
  <conditionalFormatting sqref="R148:R153">
    <cfRule type="cellIs" dxfId="4389" priority="757" operator="lessThan">
      <formula>0.8</formula>
    </cfRule>
    <cfRule type="cellIs" dxfId="4388" priority="758" operator="greaterThan">
      <formula>1</formula>
    </cfRule>
  </conditionalFormatting>
  <conditionalFormatting sqref="R148:R153">
    <cfRule type="cellIs" dxfId="4387" priority="755" operator="greaterThan">
      <formula>1</formula>
    </cfRule>
    <cfRule type="cellIs" dxfId="4386" priority="756" operator="lessThan">
      <formula>0.8</formula>
    </cfRule>
  </conditionalFormatting>
  <conditionalFormatting sqref="P148:P153">
    <cfRule type="cellIs" dxfId="4385" priority="754" operator="greaterThan">
      <formula>0</formula>
    </cfRule>
  </conditionalFormatting>
  <conditionalFormatting sqref="Q148:Q153">
    <cfRule type="cellIs" dxfId="4384" priority="753" operator="lessThan">
      <formula>0</formula>
    </cfRule>
  </conditionalFormatting>
  <conditionalFormatting sqref="R148:R153">
    <cfRule type="cellIs" dxfId="4383" priority="751" operator="lessThan">
      <formula>0.8</formula>
    </cfRule>
    <cfRule type="cellIs" dxfId="4382" priority="752" operator="greaterThan">
      <formula>1</formula>
    </cfRule>
  </conditionalFormatting>
  <conditionalFormatting sqref="R148:R153">
    <cfRule type="cellIs" dxfId="4381" priority="749" operator="greaterThan">
      <formula>1</formula>
    </cfRule>
    <cfRule type="cellIs" dxfId="4380" priority="750" operator="lessThan">
      <formula>0.8</formula>
    </cfRule>
  </conditionalFormatting>
  <conditionalFormatting sqref="P148:P153">
    <cfRule type="cellIs" dxfId="4379" priority="748" operator="greaterThan">
      <formula>0</formula>
    </cfRule>
  </conditionalFormatting>
  <conditionalFormatting sqref="Q148:Q153">
    <cfRule type="cellIs" dxfId="4378" priority="747" operator="lessThan">
      <formula>0</formula>
    </cfRule>
  </conditionalFormatting>
  <conditionalFormatting sqref="R148:R153">
    <cfRule type="cellIs" dxfId="4377" priority="745" operator="lessThan">
      <formula>0.8</formula>
    </cfRule>
    <cfRule type="cellIs" dxfId="4376" priority="746" operator="greaterThan">
      <formula>1</formula>
    </cfRule>
  </conditionalFormatting>
  <conditionalFormatting sqref="R148:R153">
    <cfRule type="cellIs" dxfId="4375" priority="743" operator="greaterThan">
      <formula>1</formula>
    </cfRule>
    <cfRule type="cellIs" dxfId="4374" priority="744" operator="lessThan">
      <formula>0.8</formula>
    </cfRule>
  </conditionalFormatting>
  <conditionalFormatting sqref="P148:P153">
    <cfRule type="cellIs" dxfId="4373" priority="742" operator="greaterThan">
      <formula>0</formula>
    </cfRule>
  </conditionalFormatting>
  <conditionalFormatting sqref="Q148:Q153">
    <cfRule type="cellIs" dxfId="4372" priority="741" operator="lessThan">
      <formula>0</formula>
    </cfRule>
  </conditionalFormatting>
  <conditionalFormatting sqref="R148:R153">
    <cfRule type="cellIs" dxfId="4371" priority="739" operator="lessThan">
      <formula>0.8</formula>
    </cfRule>
    <cfRule type="cellIs" dxfId="4370" priority="740" operator="greaterThan">
      <formula>1</formula>
    </cfRule>
  </conditionalFormatting>
  <conditionalFormatting sqref="R148:R153">
    <cfRule type="cellIs" dxfId="4369" priority="737" operator="greaterThan">
      <formula>1</formula>
    </cfRule>
    <cfRule type="cellIs" dxfId="4368" priority="738" operator="lessThan">
      <formula>0.8</formula>
    </cfRule>
  </conditionalFormatting>
  <conditionalFormatting sqref="P148:P153">
    <cfRule type="cellIs" dxfId="4367" priority="736" operator="greaterThan">
      <formula>0</formula>
    </cfRule>
  </conditionalFormatting>
  <conditionalFormatting sqref="P148:P153">
    <cfRule type="cellIs" dxfId="4366" priority="730" operator="greaterThan">
      <formula>0</formula>
    </cfRule>
  </conditionalFormatting>
  <conditionalFormatting sqref="Q148:Q153">
    <cfRule type="cellIs" dxfId="4365" priority="735" operator="lessThan">
      <formula>0</formula>
    </cfRule>
  </conditionalFormatting>
  <conditionalFormatting sqref="R148:R153">
    <cfRule type="cellIs" dxfId="4364" priority="733" operator="lessThan">
      <formula>0.8</formula>
    </cfRule>
    <cfRule type="cellIs" dxfId="4363" priority="734" operator="greaterThan">
      <formula>1</formula>
    </cfRule>
  </conditionalFormatting>
  <conditionalFormatting sqref="R148:R153">
    <cfRule type="cellIs" dxfId="4362" priority="731" operator="greaterThan">
      <formula>1</formula>
    </cfRule>
    <cfRule type="cellIs" dxfId="4361" priority="732" operator="lessThan">
      <formula>0.8</formula>
    </cfRule>
  </conditionalFormatting>
  <conditionalFormatting sqref="P148:P153">
    <cfRule type="cellIs" dxfId="4360" priority="724" operator="greaterThan">
      <formula>0</formula>
    </cfRule>
  </conditionalFormatting>
  <conditionalFormatting sqref="Q148:Q153">
    <cfRule type="cellIs" dxfId="4359" priority="729" operator="lessThan">
      <formula>0</formula>
    </cfRule>
  </conditionalFormatting>
  <conditionalFormatting sqref="R148:R153">
    <cfRule type="cellIs" dxfId="4358" priority="727" operator="lessThan">
      <formula>0.8</formula>
    </cfRule>
    <cfRule type="cellIs" dxfId="4357" priority="728" operator="greaterThan">
      <formula>1</formula>
    </cfRule>
  </conditionalFormatting>
  <conditionalFormatting sqref="R148:R153">
    <cfRule type="cellIs" dxfId="4356" priority="725" operator="greaterThan">
      <formula>1</formula>
    </cfRule>
    <cfRule type="cellIs" dxfId="4355" priority="726" operator="lessThan">
      <formula>0.8</formula>
    </cfRule>
  </conditionalFormatting>
  <conditionalFormatting sqref="R148:R153">
    <cfRule type="cellIs" dxfId="4354" priority="721" operator="lessThan">
      <formula>0.8</formula>
    </cfRule>
    <cfRule type="cellIs" dxfId="4353" priority="722" operator="greaterThan">
      <formula>1</formula>
    </cfRule>
  </conditionalFormatting>
  <conditionalFormatting sqref="R148:R153">
    <cfRule type="cellIs" dxfId="4352" priority="719" operator="greaterThan">
      <formula>1</formula>
    </cfRule>
    <cfRule type="cellIs" dxfId="4351" priority="720" operator="lessThan">
      <formula>0.8</formula>
    </cfRule>
  </conditionalFormatting>
  <conditionalFormatting sqref="P148:P153">
    <cfRule type="cellIs" dxfId="4350" priority="718" operator="greaterThan">
      <formula>0</formula>
    </cfRule>
  </conditionalFormatting>
  <conditionalFormatting sqref="Q148:Q153">
    <cfRule type="cellIs" dxfId="4349" priority="723" operator="lessThan">
      <formula>0</formula>
    </cfRule>
  </conditionalFormatting>
  <conditionalFormatting sqref="P44:P51">
    <cfRule type="cellIs" dxfId="4348" priority="712" operator="greaterThan">
      <formula>0</formula>
    </cfRule>
  </conditionalFormatting>
  <conditionalFormatting sqref="Q44:Q51">
    <cfRule type="cellIs" dxfId="4347" priority="717" operator="lessThan">
      <formula>0</formula>
    </cfRule>
  </conditionalFormatting>
  <conditionalFormatting sqref="R44:R51">
    <cfRule type="cellIs" dxfId="4346" priority="715" operator="lessThan">
      <formula>0.8</formula>
    </cfRule>
    <cfRule type="cellIs" dxfId="4345" priority="716" operator="greaterThan">
      <formula>1</formula>
    </cfRule>
  </conditionalFormatting>
  <conditionalFormatting sqref="R44:R51">
    <cfRule type="cellIs" dxfId="4344" priority="713" operator="greaterThan">
      <formula>1</formula>
    </cfRule>
    <cfRule type="cellIs" dxfId="4343" priority="714" operator="lessThan">
      <formula>0.8</formula>
    </cfRule>
  </conditionalFormatting>
  <conditionalFormatting sqref="Q84:Q91">
    <cfRule type="cellIs" dxfId="4342" priority="711" operator="lessThan">
      <formula>0</formula>
    </cfRule>
  </conditionalFormatting>
  <conditionalFormatting sqref="R84:R91">
    <cfRule type="cellIs" dxfId="4341" priority="709" operator="lessThan">
      <formula>0.8</formula>
    </cfRule>
    <cfRule type="cellIs" dxfId="4340" priority="710" operator="greaterThan">
      <formula>1</formula>
    </cfRule>
  </conditionalFormatting>
  <conditionalFormatting sqref="R84:R91">
    <cfRule type="cellIs" dxfId="4339" priority="707" operator="greaterThan">
      <formula>1</formula>
    </cfRule>
    <cfRule type="cellIs" dxfId="4338" priority="708" operator="lessThan">
      <formula>0.8</formula>
    </cfRule>
  </conditionalFormatting>
  <conditionalFormatting sqref="P84:P91">
    <cfRule type="cellIs" dxfId="4337" priority="706" operator="greaterThan">
      <formula>0</formula>
    </cfRule>
  </conditionalFormatting>
  <conditionalFormatting sqref="Q84:Q91">
    <cfRule type="cellIs" dxfId="4336" priority="705" operator="lessThan">
      <formula>0</formula>
    </cfRule>
  </conditionalFormatting>
  <conditionalFormatting sqref="R84:R91">
    <cfRule type="cellIs" dxfId="4335" priority="703" operator="lessThan">
      <formula>0.8</formula>
    </cfRule>
    <cfRule type="cellIs" dxfId="4334" priority="704" operator="greaterThan">
      <formula>1</formula>
    </cfRule>
  </conditionalFormatting>
  <conditionalFormatting sqref="R84:R91">
    <cfRule type="cellIs" dxfId="4333" priority="701" operator="greaterThan">
      <formula>1</formula>
    </cfRule>
    <cfRule type="cellIs" dxfId="4332" priority="702" operator="lessThan">
      <formula>0.8</formula>
    </cfRule>
  </conditionalFormatting>
  <conditionalFormatting sqref="P84:P91">
    <cfRule type="cellIs" dxfId="4331" priority="700" operator="greaterThan">
      <formula>0</formula>
    </cfRule>
  </conditionalFormatting>
  <conditionalFormatting sqref="Q84:Q91">
    <cfRule type="cellIs" dxfId="4330" priority="699" operator="lessThan">
      <formula>0</formula>
    </cfRule>
  </conditionalFormatting>
  <conditionalFormatting sqref="R84:R91">
    <cfRule type="cellIs" dxfId="4329" priority="697" operator="lessThan">
      <formula>0.8</formula>
    </cfRule>
    <cfRule type="cellIs" dxfId="4328" priority="698" operator="greaterThan">
      <formula>1</formula>
    </cfRule>
  </conditionalFormatting>
  <conditionalFormatting sqref="R84:R91">
    <cfRule type="cellIs" dxfId="4327" priority="695" operator="greaterThan">
      <formula>1</formula>
    </cfRule>
    <cfRule type="cellIs" dxfId="4326" priority="696" operator="lessThan">
      <formula>0.8</formula>
    </cfRule>
  </conditionalFormatting>
  <conditionalFormatting sqref="P84:P91">
    <cfRule type="cellIs" dxfId="4325" priority="694" operator="greaterThan">
      <formula>0</formula>
    </cfRule>
  </conditionalFormatting>
  <conditionalFormatting sqref="Q84:Q91">
    <cfRule type="cellIs" dxfId="4324" priority="693" operator="lessThan">
      <formula>0</formula>
    </cfRule>
  </conditionalFormatting>
  <conditionalFormatting sqref="R84:R91">
    <cfRule type="cellIs" dxfId="4323" priority="691" operator="lessThan">
      <formula>0.8</formula>
    </cfRule>
    <cfRule type="cellIs" dxfId="4322" priority="692" operator="greaterThan">
      <formula>1</formula>
    </cfRule>
  </conditionalFormatting>
  <conditionalFormatting sqref="R84:R91">
    <cfRule type="cellIs" dxfId="4321" priority="689" operator="greaterThan">
      <formula>1</formula>
    </cfRule>
    <cfRule type="cellIs" dxfId="4320" priority="690" operator="lessThan">
      <formula>0.8</formula>
    </cfRule>
  </conditionalFormatting>
  <conditionalFormatting sqref="P84:P91">
    <cfRule type="cellIs" dxfId="4319" priority="688" operator="greaterThan">
      <formula>0</formula>
    </cfRule>
  </conditionalFormatting>
  <conditionalFormatting sqref="P84:P91">
    <cfRule type="cellIs" dxfId="4318" priority="682" operator="greaterThan">
      <formula>0</formula>
    </cfRule>
  </conditionalFormatting>
  <conditionalFormatting sqref="Q84:Q91">
    <cfRule type="cellIs" dxfId="4317" priority="687" operator="lessThan">
      <formula>0</formula>
    </cfRule>
  </conditionalFormatting>
  <conditionalFormatting sqref="R84:R91">
    <cfRule type="cellIs" dxfId="4316" priority="685" operator="lessThan">
      <formula>0.8</formula>
    </cfRule>
    <cfRule type="cellIs" dxfId="4315" priority="686" operator="greaterThan">
      <formula>1</formula>
    </cfRule>
  </conditionalFormatting>
  <conditionalFormatting sqref="R84:R91">
    <cfRule type="cellIs" dxfId="4314" priority="683" operator="greaterThan">
      <formula>1</formula>
    </cfRule>
    <cfRule type="cellIs" dxfId="4313" priority="684" operator="lessThan">
      <formula>0.8</formula>
    </cfRule>
  </conditionalFormatting>
  <conditionalFormatting sqref="P84:P91">
    <cfRule type="cellIs" dxfId="4312" priority="676" operator="greaterThan">
      <formula>0</formula>
    </cfRule>
  </conditionalFormatting>
  <conditionalFormatting sqref="Q84:Q91">
    <cfRule type="cellIs" dxfId="4311" priority="681" operator="lessThan">
      <formula>0</formula>
    </cfRule>
  </conditionalFormatting>
  <conditionalFormatting sqref="R84:R91">
    <cfRule type="cellIs" dxfId="4310" priority="679" operator="lessThan">
      <formula>0.8</formula>
    </cfRule>
    <cfRule type="cellIs" dxfId="4309" priority="680" operator="greaterThan">
      <formula>1</formula>
    </cfRule>
  </conditionalFormatting>
  <conditionalFormatting sqref="R84:R91">
    <cfRule type="cellIs" dxfId="4308" priority="677" operator="greaterThan">
      <formula>1</formula>
    </cfRule>
    <cfRule type="cellIs" dxfId="4307" priority="678" operator="lessThan">
      <formula>0.8</formula>
    </cfRule>
  </conditionalFormatting>
  <conditionalFormatting sqref="R84:R91">
    <cfRule type="cellIs" dxfId="4306" priority="673" operator="lessThan">
      <formula>0.8</formula>
    </cfRule>
    <cfRule type="cellIs" dxfId="4305" priority="674" operator="greaterThan">
      <formula>1</formula>
    </cfRule>
  </conditionalFormatting>
  <conditionalFormatting sqref="R84:R91">
    <cfRule type="cellIs" dxfId="4304" priority="671" operator="greaterThan">
      <formula>1</formula>
    </cfRule>
    <cfRule type="cellIs" dxfId="4303" priority="672" operator="lessThan">
      <formula>0.8</formula>
    </cfRule>
  </conditionalFormatting>
  <conditionalFormatting sqref="P84:P91">
    <cfRule type="cellIs" dxfId="4302" priority="670" operator="greaterThan">
      <formula>0</formula>
    </cfRule>
  </conditionalFormatting>
  <conditionalFormatting sqref="Q84:Q91">
    <cfRule type="cellIs" dxfId="4301" priority="675" operator="lessThan">
      <formula>0</formula>
    </cfRule>
  </conditionalFormatting>
  <conditionalFormatting sqref="Q84:Q91">
    <cfRule type="cellIs" dxfId="4300" priority="669" operator="lessThan">
      <formula>0</formula>
    </cfRule>
  </conditionalFormatting>
  <conditionalFormatting sqref="R84:R91">
    <cfRule type="cellIs" dxfId="4299" priority="667" operator="lessThan">
      <formula>0.8</formula>
    </cfRule>
    <cfRule type="cellIs" dxfId="4298" priority="668" operator="greaterThan">
      <formula>1</formula>
    </cfRule>
  </conditionalFormatting>
  <conditionalFormatting sqref="R84:R91">
    <cfRule type="cellIs" dxfId="4297" priority="665" operator="greaterThan">
      <formula>1</formula>
    </cfRule>
    <cfRule type="cellIs" dxfId="4296" priority="666" operator="lessThan">
      <formula>0.8</formula>
    </cfRule>
  </conditionalFormatting>
  <conditionalFormatting sqref="P84:P91">
    <cfRule type="cellIs" dxfId="4295" priority="664" operator="greaterThan">
      <formula>0</formula>
    </cfRule>
  </conditionalFormatting>
  <conditionalFormatting sqref="P84:P91">
    <cfRule type="cellIs" dxfId="4294" priority="658" operator="greaterThan">
      <formula>0</formula>
    </cfRule>
  </conditionalFormatting>
  <conditionalFormatting sqref="Q84:Q91">
    <cfRule type="cellIs" dxfId="4293" priority="663" operator="lessThan">
      <formula>0</formula>
    </cfRule>
  </conditionalFormatting>
  <conditionalFormatting sqref="R84:R91">
    <cfRule type="cellIs" dxfId="4292" priority="661" operator="lessThan">
      <formula>0.8</formula>
    </cfRule>
    <cfRule type="cellIs" dxfId="4291" priority="662" operator="greaterThan">
      <formula>1</formula>
    </cfRule>
  </conditionalFormatting>
  <conditionalFormatting sqref="R84:R91">
    <cfRule type="cellIs" dxfId="4290" priority="659" operator="greaterThan">
      <formula>1</formula>
    </cfRule>
    <cfRule type="cellIs" dxfId="4289" priority="660" operator="lessThan">
      <formula>0.8</formula>
    </cfRule>
  </conditionalFormatting>
  <conditionalFormatting sqref="P84:P91">
    <cfRule type="cellIs" dxfId="4288" priority="652" operator="greaterThan">
      <formula>0</formula>
    </cfRule>
  </conditionalFormatting>
  <conditionalFormatting sqref="Q84:Q91">
    <cfRule type="cellIs" dxfId="4287" priority="657" operator="lessThan">
      <formula>0</formula>
    </cfRule>
  </conditionalFormatting>
  <conditionalFormatting sqref="R84:R91">
    <cfRule type="cellIs" dxfId="4286" priority="655" operator="lessThan">
      <formula>0.8</formula>
    </cfRule>
    <cfRule type="cellIs" dxfId="4285" priority="656" operator="greaterThan">
      <formula>1</formula>
    </cfRule>
  </conditionalFormatting>
  <conditionalFormatting sqref="R84:R91">
    <cfRule type="cellIs" dxfId="4284" priority="653" operator="greaterThan">
      <formula>1</formula>
    </cfRule>
    <cfRule type="cellIs" dxfId="4283" priority="654" operator="lessThan">
      <formula>0.8</formula>
    </cfRule>
  </conditionalFormatting>
  <conditionalFormatting sqref="R84:R91">
    <cfRule type="cellIs" dxfId="4282" priority="649" operator="lessThan">
      <formula>0.8</formula>
    </cfRule>
    <cfRule type="cellIs" dxfId="4281" priority="650" operator="greaterThan">
      <formula>1</formula>
    </cfRule>
  </conditionalFormatting>
  <conditionalFormatting sqref="R84:R91">
    <cfRule type="cellIs" dxfId="4280" priority="647" operator="greaterThan">
      <formula>1</formula>
    </cfRule>
    <cfRule type="cellIs" dxfId="4279" priority="648" operator="lessThan">
      <formula>0.8</formula>
    </cfRule>
  </conditionalFormatting>
  <conditionalFormatting sqref="P84:P91">
    <cfRule type="cellIs" dxfId="4278" priority="646" operator="greaterThan">
      <formula>0</formula>
    </cfRule>
  </conditionalFormatting>
  <conditionalFormatting sqref="Q84:Q91">
    <cfRule type="cellIs" dxfId="4277" priority="651" operator="lessThan">
      <formula>0</formula>
    </cfRule>
  </conditionalFormatting>
  <conditionalFormatting sqref="P84:P91">
    <cfRule type="cellIs" dxfId="4276" priority="640" operator="greaterThan">
      <formula>0</formula>
    </cfRule>
  </conditionalFormatting>
  <conditionalFormatting sqref="Q84:Q91">
    <cfRule type="cellIs" dxfId="4275" priority="645" operator="lessThan">
      <formula>0</formula>
    </cfRule>
  </conditionalFormatting>
  <conditionalFormatting sqref="R84:R91">
    <cfRule type="cellIs" dxfId="4274" priority="643" operator="lessThan">
      <formula>0.8</formula>
    </cfRule>
    <cfRule type="cellIs" dxfId="4273" priority="644" operator="greaterThan">
      <formula>1</formula>
    </cfRule>
  </conditionalFormatting>
  <conditionalFormatting sqref="R84:R91">
    <cfRule type="cellIs" dxfId="4272" priority="641" operator="greaterThan">
      <formula>1</formula>
    </cfRule>
    <cfRule type="cellIs" dxfId="4271" priority="642" operator="lessThan">
      <formula>0.8</formula>
    </cfRule>
  </conditionalFormatting>
  <conditionalFormatting sqref="R84:R91">
    <cfRule type="cellIs" dxfId="4270" priority="637" operator="lessThan">
      <formula>0.8</formula>
    </cfRule>
    <cfRule type="cellIs" dxfId="4269" priority="638" operator="greaterThan">
      <formula>1</formula>
    </cfRule>
  </conditionalFormatting>
  <conditionalFormatting sqref="R84:R91">
    <cfRule type="cellIs" dxfId="4268" priority="635" operator="greaterThan">
      <formula>1</formula>
    </cfRule>
    <cfRule type="cellIs" dxfId="4267" priority="636" operator="lessThan">
      <formula>0.8</formula>
    </cfRule>
  </conditionalFormatting>
  <conditionalFormatting sqref="P84:P91">
    <cfRule type="cellIs" dxfId="4266" priority="634" operator="greaterThan">
      <formula>0</formula>
    </cfRule>
  </conditionalFormatting>
  <conditionalFormatting sqref="Q84:Q91">
    <cfRule type="cellIs" dxfId="4265" priority="639" operator="lessThan">
      <formula>0</formula>
    </cfRule>
  </conditionalFormatting>
  <conditionalFormatting sqref="R84:R91">
    <cfRule type="cellIs" dxfId="4264" priority="631" operator="lessThan">
      <formula>0.8</formula>
    </cfRule>
    <cfRule type="cellIs" dxfId="4263" priority="632" operator="greaterThan">
      <formula>1</formula>
    </cfRule>
  </conditionalFormatting>
  <conditionalFormatting sqref="R84:R91">
    <cfRule type="cellIs" dxfId="4262" priority="629" operator="greaterThan">
      <formula>1</formula>
    </cfRule>
    <cfRule type="cellIs" dxfId="4261" priority="630" operator="lessThan">
      <formula>0.8</formula>
    </cfRule>
  </conditionalFormatting>
  <conditionalFormatting sqref="P84:P91">
    <cfRule type="cellIs" dxfId="4260" priority="628" operator="greaterThan">
      <formula>0</formula>
    </cfRule>
  </conditionalFormatting>
  <conditionalFormatting sqref="Q84:Q91">
    <cfRule type="cellIs" dxfId="4259" priority="633" operator="lessThan">
      <formula>0</formula>
    </cfRule>
  </conditionalFormatting>
  <conditionalFormatting sqref="Q84:Q91">
    <cfRule type="cellIs" dxfId="4258" priority="627" operator="lessThan">
      <formula>0</formula>
    </cfRule>
  </conditionalFormatting>
  <conditionalFormatting sqref="R84:R91">
    <cfRule type="cellIs" dxfId="4257" priority="625" operator="lessThan">
      <formula>0.8</formula>
    </cfRule>
    <cfRule type="cellIs" dxfId="4256" priority="626" operator="greaterThan">
      <formula>1</formula>
    </cfRule>
  </conditionalFormatting>
  <conditionalFormatting sqref="R84:R91">
    <cfRule type="cellIs" dxfId="4255" priority="623" operator="greaterThan">
      <formula>1</formula>
    </cfRule>
    <cfRule type="cellIs" dxfId="4254" priority="624" operator="lessThan">
      <formula>0.8</formula>
    </cfRule>
  </conditionalFormatting>
  <conditionalFormatting sqref="P84:P91">
    <cfRule type="cellIs" dxfId="4253" priority="622" operator="greaterThan">
      <formula>0</formula>
    </cfRule>
  </conditionalFormatting>
  <conditionalFormatting sqref="Q84:Q91">
    <cfRule type="cellIs" dxfId="4252" priority="616" operator="lessThan">
      <formula>0</formula>
    </cfRule>
  </conditionalFormatting>
  <conditionalFormatting sqref="R84:R91">
    <cfRule type="cellIs" dxfId="4251" priority="620" operator="lessThan">
      <formula>0.8</formula>
    </cfRule>
    <cfRule type="cellIs" dxfId="4250" priority="621" operator="greaterThan">
      <formula>1</formula>
    </cfRule>
  </conditionalFormatting>
  <conditionalFormatting sqref="R84:R91">
    <cfRule type="cellIs" dxfId="4249" priority="618" operator="greaterThan">
      <formula>1</formula>
    </cfRule>
    <cfRule type="cellIs" dxfId="4248" priority="619" operator="lessThan">
      <formula>0.8</formula>
    </cfRule>
  </conditionalFormatting>
  <conditionalFormatting sqref="P84:P91">
    <cfRule type="cellIs" dxfId="4247" priority="617" operator="greaterThan">
      <formula>0</formula>
    </cfRule>
  </conditionalFormatting>
  <conditionalFormatting sqref="Q84:Q91">
    <cfRule type="cellIs" dxfId="4246" priority="615" operator="lessThan">
      <formula>0</formula>
    </cfRule>
  </conditionalFormatting>
  <conditionalFormatting sqref="R84:R91">
    <cfRule type="cellIs" dxfId="4245" priority="613" operator="lessThan">
      <formula>0.8</formula>
    </cfRule>
    <cfRule type="cellIs" dxfId="4244" priority="614" operator="greaterThan">
      <formula>1</formula>
    </cfRule>
  </conditionalFormatting>
  <conditionalFormatting sqref="R84:R91">
    <cfRule type="cellIs" dxfId="4243" priority="611" operator="greaterThan">
      <formula>1</formula>
    </cfRule>
    <cfRule type="cellIs" dxfId="4242" priority="612" operator="lessThan">
      <formula>0.8</formula>
    </cfRule>
  </conditionalFormatting>
  <conditionalFormatting sqref="P84:P91">
    <cfRule type="cellIs" dxfId="4241" priority="610" operator="greaterThan">
      <formula>0</formula>
    </cfRule>
  </conditionalFormatting>
  <conditionalFormatting sqref="Q84:Q91">
    <cfRule type="cellIs" dxfId="4240" priority="609" operator="lessThan">
      <formula>0</formula>
    </cfRule>
  </conditionalFormatting>
  <conditionalFormatting sqref="R84:R91">
    <cfRule type="cellIs" dxfId="4239" priority="607" operator="lessThan">
      <formula>0.8</formula>
    </cfRule>
    <cfRule type="cellIs" dxfId="4238" priority="608" operator="greaterThan">
      <formula>1</formula>
    </cfRule>
  </conditionalFormatting>
  <conditionalFormatting sqref="R84:R91">
    <cfRule type="cellIs" dxfId="4237" priority="605" operator="greaterThan">
      <formula>1</formula>
    </cfRule>
    <cfRule type="cellIs" dxfId="4236" priority="606" operator="lessThan">
      <formula>0.8</formula>
    </cfRule>
  </conditionalFormatting>
  <conditionalFormatting sqref="P84:P91">
    <cfRule type="cellIs" dxfId="4235" priority="604" operator="greaterThan">
      <formula>0</formula>
    </cfRule>
  </conditionalFormatting>
  <conditionalFormatting sqref="Q84:Q91">
    <cfRule type="cellIs" dxfId="4234" priority="603" operator="lessThan">
      <formula>0</formula>
    </cfRule>
  </conditionalFormatting>
  <conditionalFormatting sqref="R84:R91">
    <cfRule type="cellIs" dxfId="4233" priority="601" operator="lessThan">
      <formula>0.8</formula>
    </cfRule>
    <cfRule type="cellIs" dxfId="4232" priority="602" operator="greaterThan">
      <formula>1</formula>
    </cfRule>
  </conditionalFormatting>
  <conditionalFormatting sqref="R84:R91">
    <cfRule type="cellIs" dxfId="4231" priority="599" operator="greaterThan">
      <formula>1</formula>
    </cfRule>
    <cfRule type="cellIs" dxfId="4230" priority="600" operator="lessThan">
      <formula>0.8</formula>
    </cfRule>
  </conditionalFormatting>
  <conditionalFormatting sqref="P84:P91">
    <cfRule type="cellIs" dxfId="4229" priority="598" operator="greaterThan">
      <formula>0</formula>
    </cfRule>
  </conditionalFormatting>
  <conditionalFormatting sqref="Q84:Q91">
    <cfRule type="cellIs" dxfId="4228" priority="597" operator="lessThan">
      <formula>0</formula>
    </cfRule>
  </conditionalFormatting>
  <conditionalFormatting sqref="R84:R91">
    <cfRule type="cellIs" dxfId="4227" priority="595" operator="lessThan">
      <formula>0.8</formula>
    </cfRule>
    <cfRule type="cellIs" dxfId="4226" priority="596" operator="greaterThan">
      <formula>1</formula>
    </cfRule>
  </conditionalFormatting>
  <conditionalFormatting sqref="R84:R91">
    <cfRule type="cellIs" dxfId="4225" priority="593" operator="greaterThan">
      <formula>1</formula>
    </cfRule>
    <cfRule type="cellIs" dxfId="4224" priority="594" operator="lessThan">
      <formula>0.8</formula>
    </cfRule>
  </conditionalFormatting>
  <conditionalFormatting sqref="P84:P91">
    <cfRule type="cellIs" dxfId="4223" priority="592" operator="greaterThan">
      <formula>0</formula>
    </cfRule>
  </conditionalFormatting>
  <conditionalFormatting sqref="Q84:Q91">
    <cfRule type="cellIs" dxfId="4222" priority="591" operator="lessThan">
      <formula>0</formula>
    </cfRule>
  </conditionalFormatting>
  <conditionalFormatting sqref="R84:R91">
    <cfRule type="cellIs" dxfId="4221" priority="589" operator="lessThan">
      <formula>0.8</formula>
    </cfRule>
    <cfRule type="cellIs" dxfId="4220" priority="590" operator="greaterThan">
      <formula>1</formula>
    </cfRule>
  </conditionalFormatting>
  <conditionalFormatting sqref="R84:R91">
    <cfRule type="cellIs" dxfId="4219" priority="587" operator="greaterThan">
      <formula>1</formula>
    </cfRule>
    <cfRule type="cellIs" dxfId="4218" priority="588" operator="lessThan">
      <formula>0.8</formula>
    </cfRule>
  </conditionalFormatting>
  <conditionalFormatting sqref="P84:P91">
    <cfRule type="cellIs" dxfId="4217" priority="586" operator="greaterThan">
      <formula>0</formula>
    </cfRule>
  </conditionalFormatting>
  <conditionalFormatting sqref="P84:P91">
    <cfRule type="cellIs" dxfId="4216" priority="580" operator="greaterThan">
      <formula>0</formula>
    </cfRule>
  </conditionalFormatting>
  <conditionalFormatting sqref="Q84:Q91">
    <cfRule type="cellIs" dxfId="4215" priority="585" operator="lessThan">
      <formula>0</formula>
    </cfRule>
  </conditionalFormatting>
  <conditionalFormatting sqref="R84:R91">
    <cfRule type="cellIs" dxfId="4214" priority="583" operator="lessThan">
      <formula>0.8</formula>
    </cfRule>
    <cfRule type="cellIs" dxfId="4213" priority="584" operator="greaterThan">
      <formula>1</formula>
    </cfRule>
  </conditionalFormatting>
  <conditionalFormatting sqref="R84:R91">
    <cfRule type="cellIs" dxfId="4212" priority="581" operator="greaterThan">
      <formula>1</formula>
    </cfRule>
    <cfRule type="cellIs" dxfId="4211" priority="582" operator="lessThan">
      <formula>0.8</formula>
    </cfRule>
  </conditionalFormatting>
  <conditionalFormatting sqref="P84:P91">
    <cfRule type="cellIs" dxfId="4210" priority="574" operator="greaterThan">
      <formula>0</formula>
    </cfRule>
  </conditionalFormatting>
  <conditionalFormatting sqref="Q84:Q91">
    <cfRule type="cellIs" dxfId="4209" priority="579" operator="lessThan">
      <formula>0</formula>
    </cfRule>
  </conditionalFormatting>
  <conditionalFormatting sqref="R84:R91">
    <cfRule type="cellIs" dxfId="4208" priority="577" operator="lessThan">
      <formula>0.8</formula>
    </cfRule>
    <cfRule type="cellIs" dxfId="4207" priority="578" operator="greaterThan">
      <formula>1</formula>
    </cfRule>
  </conditionalFormatting>
  <conditionalFormatting sqref="R84:R91">
    <cfRule type="cellIs" dxfId="4206" priority="575" operator="greaterThan">
      <formula>1</formula>
    </cfRule>
    <cfRule type="cellIs" dxfId="4205" priority="576" operator="lessThan">
      <formula>0.8</formula>
    </cfRule>
  </conditionalFormatting>
  <conditionalFormatting sqref="R84:R91">
    <cfRule type="cellIs" dxfId="4204" priority="571" operator="lessThan">
      <formula>0.8</formula>
    </cfRule>
    <cfRule type="cellIs" dxfId="4203" priority="572" operator="greaterThan">
      <formula>1</formula>
    </cfRule>
  </conditionalFormatting>
  <conditionalFormatting sqref="R84:R91">
    <cfRule type="cellIs" dxfId="4202" priority="569" operator="greaterThan">
      <formula>1</formula>
    </cfRule>
    <cfRule type="cellIs" dxfId="4201" priority="570" operator="lessThan">
      <formula>0.8</formula>
    </cfRule>
  </conditionalFormatting>
  <conditionalFormatting sqref="P84:P91">
    <cfRule type="cellIs" dxfId="4200" priority="568" operator="greaterThan">
      <formula>0</formula>
    </cfRule>
  </conditionalFormatting>
  <conditionalFormatting sqref="Q84:Q91">
    <cfRule type="cellIs" dxfId="4199" priority="573" operator="lessThan">
      <formula>0</formula>
    </cfRule>
  </conditionalFormatting>
  <conditionalFormatting sqref="Q84:Q91">
    <cfRule type="cellIs" dxfId="4198" priority="567" operator="lessThan">
      <formula>0</formula>
    </cfRule>
  </conditionalFormatting>
  <conditionalFormatting sqref="R84:R91">
    <cfRule type="cellIs" dxfId="4197" priority="565" operator="lessThan">
      <formula>0.8</formula>
    </cfRule>
    <cfRule type="cellIs" dxfId="4196" priority="566" operator="greaterThan">
      <formula>1</formula>
    </cfRule>
  </conditionalFormatting>
  <conditionalFormatting sqref="R84:R91">
    <cfRule type="cellIs" dxfId="4195" priority="563" operator="greaterThan">
      <formula>1</formula>
    </cfRule>
    <cfRule type="cellIs" dxfId="4194" priority="564" operator="lessThan">
      <formula>0.8</formula>
    </cfRule>
  </conditionalFormatting>
  <conditionalFormatting sqref="P84:P91">
    <cfRule type="cellIs" dxfId="4193" priority="562" operator="greaterThan">
      <formula>0</formula>
    </cfRule>
  </conditionalFormatting>
  <conditionalFormatting sqref="Q84:Q91">
    <cfRule type="cellIs" dxfId="4192" priority="561" operator="lessThan">
      <formula>0</formula>
    </cfRule>
  </conditionalFormatting>
  <conditionalFormatting sqref="R84:R91">
    <cfRule type="cellIs" dxfId="4191" priority="559" operator="lessThan">
      <formula>0.8</formula>
    </cfRule>
    <cfRule type="cellIs" dxfId="4190" priority="560" operator="greaterThan">
      <formula>1</formula>
    </cfRule>
  </conditionalFormatting>
  <conditionalFormatting sqref="R84:R91">
    <cfRule type="cellIs" dxfId="4189" priority="557" operator="greaterThan">
      <formula>1</formula>
    </cfRule>
    <cfRule type="cellIs" dxfId="4188" priority="558" operator="lessThan">
      <formula>0.8</formula>
    </cfRule>
  </conditionalFormatting>
  <conditionalFormatting sqref="P84:P91">
    <cfRule type="cellIs" dxfId="4187" priority="556" operator="greaterThan">
      <formula>0</formula>
    </cfRule>
  </conditionalFormatting>
  <conditionalFormatting sqref="Q84:Q91">
    <cfRule type="cellIs" dxfId="4186" priority="555" operator="lessThan">
      <formula>0</formula>
    </cfRule>
  </conditionalFormatting>
  <conditionalFormatting sqref="R84:R91">
    <cfRule type="cellIs" dxfId="4185" priority="553" operator="lessThan">
      <formula>0.8</formula>
    </cfRule>
    <cfRule type="cellIs" dxfId="4184" priority="554" operator="greaterThan">
      <formula>1</formula>
    </cfRule>
  </conditionalFormatting>
  <conditionalFormatting sqref="R84:R91">
    <cfRule type="cellIs" dxfId="4183" priority="551" operator="greaterThan">
      <formula>1</formula>
    </cfRule>
    <cfRule type="cellIs" dxfId="4182" priority="552" operator="lessThan">
      <formula>0.8</formula>
    </cfRule>
  </conditionalFormatting>
  <conditionalFormatting sqref="P84:P91">
    <cfRule type="cellIs" dxfId="4181" priority="550" operator="greaterThan">
      <formula>0</formula>
    </cfRule>
  </conditionalFormatting>
  <conditionalFormatting sqref="Q84:Q91">
    <cfRule type="cellIs" dxfId="4180" priority="549" operator="lessThan">
      <formula>0</formula>
    </cfRule>
  </conditionalFormatting>
  <conditionalFormatting sqref="R84:R91">
    <cfRule type="cellIs" dxfId="4179" priority="547" operator="lessThan">
      <formula>0.8</formula>
    </cfRule>
    <cfRule type="cellIs" dxfId="4178" priority="548" operator="greaterThan">
      <formula>1</formula>
    </cfRule>
  </conditionalFormatting>
  <conditionalFormatting sqref="R84:R91">
    <cfRule type="cellIs" dxfId="4177" priority="545" operator="greaterThan">
      <formula>1</formula>
    </cfRule>
    <cfRule type="cellIs" dxfId="4176" priority="546" operator="lessThan">
      <formula>0.8</formula>
    </cfRule>
  </conditionalFormatting>
  <conditionalFormatting sqref="P84:P91">
    <cfRule type="cellIs" dxfId="4175" priority="544" operator="greaterThan">
      <formula>0</formula>
    </cfRule>
  </conditionalFormatting>
  <conditionalFormatting sqref="P84:P91">
    <cfRule type="cellIs" dxfId="4174" priority="538" operator="greaterThan">
      <formula>0</formula>
    </cfRule>
  </conditionalFormatting>
  <conditionalFormatting sqref="Q84:Q91">
    <cfRule type="cellIs" dxfId="4173" priority="543" operator="lessThan">
      <formula>0</formula>
    </cfRule>
  </conditionalFormatting>
  <conditionalFormatting sqref="R84:R91">
    <cfRule type="cellIs" dxfId="4172" priority="541" operator="lessThan">
      <formula>0.8</formula>
    </cfRule>
    <cfRule type="cellIs" dxfId="4171" priority="542" operator="greaterThan">
      <formula>1</formula>
    </cfRule>
  </conditionalFormatting>
  <conditionalFormatting sqref="R84:R91">
    <cfRule type="cellIs" dxfId="4170" priority="539" operator="greaterThan">
      <formula>1</formula>
    </cfRule>
    <cfRule type="cellIs" dxfId="4169" priority="540" operator="lessThan">
      <formula>0.8</formula>
    </cfRule>
  </conditionalFormatting>
  <conditionalFormatting sqref="P84:P91">
    <cfRule type="cellIs" dxfId="4168" priority="532" operator="greaterThan">
      <formula>0</formula>
    </cfRule>
  </conditionalFormatting>
  <conditionalFormatting sqref="Q84:Q91">
    <cfRule type="cellIs" dxfId="4167" priority="537" operator="lessThan">
      <formula>0</formula>
    </cfRule>
  </conditionalFormatting>
  <conditionalFormatting sqref="R84:R91">
    <cfRule type="cellIs" dxfId="4166" priority="535" operator="lessThan">
      <formula>0.8</formula>
    </cfRule>
    <cfRule type="cellIs" dxfId="4165" priority="536" operator="greaterThan">
      <formula>1</formula>
    </cfRule>
  </conditionalFormatting>
  <conditionalFormatting sqref="R84:R91">
    <cfRule type="cellIs" dxfId="4164" priority="533" operator="greaterThan">
      <formula>1</formula>
    </cfRule>
    <cfRule type="cellIs" dxfId="4163" priority="534" operator="lessThan">
      <formula>0.8</formula>
    </cfRule>
  </conditionalFormatting>
  <conditionalFormatting sqref="R84:R91">
    <cfRule type="cellIs" dxfId="4162" priority="529" operator="lessThan">
      <formula>0.8</formula>
    </cfRule>
    <cfRule type="cellIs" dxfId="4161" priority="530" operator="greaterThan">
      <formula>1</formula>
    </cfRule>
  </conditionalFormatting>
  <conditionalFormatting sqref="R84:R91">
    <cfRule type="cellIs" dxfId="4160" priority="527" operator="greaterThan">
      <formula>1</formula>
    </cfRule>
    <cfRule type="cellIs" dxfId="4159" priority="528" operator="lessThan">
      <formula>0.8</formula>
    </cfRule>
  </conditionalFormatting>
  <conditionalFormatting sqref="P84:P91">
    <cfRule type="cellIs" dxfId="4158" priority="526" operator="greaterThan">
      <formula>0</formula>
    </cfRule>
  </conditionalFormatting>
  <conditionalFormatting sqref="Q84:Q91">
    <cfRule type="cellIs" dxfId="4157" priority="531" operator="lessThan">
      <formula>0</formula>
    </cfRule>
  </conditionalFormatting>
  <conditionalFormatting sqref="Q84:Q91">
    <cfRule type="cellIs" dxfId="4156" priority="525" operator="lessThan">
      <formula>0</formula>
    </cfRule>
  </conditionalFormatting>
  <conditionalFormatting sqref="R84:R91">
    <cfRule type="cellIs" dxfId="4155" priority="523" operator="lessThan">
      <formula>0.8</formula>
    </cfRule>
    <cfRule type="cellIs" dxfId="4154" priority="524" operator="greaterThan">
      <formula>1</formula>
    </cfRule>
  </conditionalFormatting>
  <conditionalFormatting sqref="R84:R91">
    <cfRule type="cellIs" dxfId="4153" priority="521" operator="greaterThan">
      <formula>1</formula>
    </cfRule>
    <cfRule type="cellIs" dxfId="4152" priority="522" operator="lessThan">
      <formula>0.8</formula>
    </cfRule>
  </conditionalFormatting>
  <conditionalFormatting sqref="P84:P91">
    <cfRule type="cellIs" dxfId="4151" priority="520" operator="greaterThan">
      <formula>0</formula>
    </cfRule>
  </conditionalFormatting>
  <conditionalFormatting sqref="P84:P91">
    <cfRule type="cellIs" dxfId="4150" priority="514" operator="greaterThan">
      <formula>0</formula>
    </cfRule>
  </conditionalFormatting>
  <conditionalFormatting sqref="Q84:Q91">
    <cfRule type="cellIs" dxfId="4149" priority="519" operator="lessThan">
      <formula>0</formula>
    </cfRule>
  </conditionalFormatting>
  <conditionalFormatting sqref="R84:R91">
    <cfRule type="cellIs" dxfId="4148" priority="517" operator="lessThan">
      <formula>0.8</formula>
    </cfRule>
    <cfRule type="cellIs" dxfId="4147" priority="518" operator="greaterThan">
      <formula>1</formula>
    </cfRule>
  </conditionalFormatting>
  <conditionalFormatting sqref="R84:R91">
    <cfRule type="cellIs" dxfId="4146" priority="515" operator="greaterThan">
      <formula>1</formula>
    </cfRule>
    <cfRule type="cellIs" dxfId="4145" priority="516" operator="lessThan">
      <formula>0.8</formula>
    </cfRule>
  </conditionalFormatting>
  <conditionalFormatting sqref="P84:P91">
    <cfRule type="cellIs" dxfId="4144" priority="508" operator="greaterThan">
      <formula>0</formula>
    </cfRule>
  </conditionalFormatting>
  <conditionalFormatting sqref="Q84:Q91">
    <cfRule type="cellIs" dxfId="4143" priority="513" operator="lessThan">
      <formula>0</formula>
    </cfRule>
  </conditionalFormatting>
  <conditionalFormatting sqref="R84:R91">
    <cfRule type="cellIs" dxfId="4142" priority="511" operator="lessThan">
      <formula>0.8</formula>
    </cfRule>
    <cfRule type="cellIs" dxfId="4141" priority="512" operator="greaterThan">
      <formula>1</formula>
    </cfRule>
  </conditionalFormatting>
  <conditionalFormatting sqref="R84:R91">
    <cfRule type="cellIs" dxfId="4140" priority="509" operator="greaterThan">
      <formula>1</formula>
    </cfRule>
    <cfRule type="cellIs" dxfId="4139" priority="510" operator="lessThan">
      <formula>0.8</formula>
    </cfRule>
  </conditionalFormatting>
  <conditionalFormatting sqref="R84:R91">
    <cfRule type="cellIs" dxfId="4138" priority="505" operator="lessThan">
      <formula>0.8</formula>
    </cfRule>
    <cfRule type="cellIs" dxfId="4137" priority="506" operator="greaterThan">
      <formula>1</formula>
    </cfRule>
  </conditionalFormatting>
  <conditionalFormatting sqref="R84:R91">
    <cfRule type="cellIs" dxfId="4136" priority="503" operator="greaterThan">
      <formula>1</formula>
    </cfRule>
    <cfRule type="cellIs" dxfId="4135" priority="504" operator="lessThan">
      <formula>0.8</formula>
    </cfRule>
  </conditionalFormatting>
  <conditionalFormatting sqref="P84:P91">
    <cfRule type="cellIs" dxfId="4134" priority="502" operator="greaterThan">
      <formula>0</formula>
    </cfRule>
  </conditionalFormatting>
  <conditionalFormatting sqref="Q84:Q91">
    <cfRule type="cellIs" dxfId="4133" priority="507" operator="lessThan">
      <formula>0</formula>
    </cfRule>
  </conditionalFormatting>
  <conditionalFormatting sqref="P84:P91">
    <cfRule type="cellIs" dxfId="4132" priority="496" operator="greaterThan">
      <formula>0</formula>
    </cfRule>
  </conditionalFormatting>
  <conditionalFormatting sqref="Q84:Q91">
    <cfRule type="cellIs" dxfId="4131" priority="501" operator="lessThan">
      <formula>0</formula>
    </cfRule>
  </conditionalFormatting>
  <conditionalFormatting sqref="R84:R91">
    <cfRule type="cellIs" dxfId="4130" priority="499" operator="lessThan">
      <formula>0.8</formula>
    </cfRule>
    <cfRule type="cellIs" dxfId="4129" priority="500" operator="greaterThan">
      <formula>1</formula>
    </cfRule>
  </conditionalFormatting>
  <conditionalFormatting sqref="R84:R91">
    <cfRule type="cellIs" dxfId="4128" priority="497" operator="greaterThan">
      <formula>1</formula>
    </cfRule>
    <cfRule type="cellIs" dxfId="4127" priority="498" operator="lessThan">
      <formula>0.8</formula>
    </cfRule>
  </conditionalFormatting>
  <conditionalFormatting sqref="R84:R91">
    <cfRule type="cellIs" dxfId="4126" priority="493" operator="lessThan">
      <formula>0.8</formula>
    </cfRule>
    <cfRule type="cellIs" dxfId="4125" priority="494" operator="greaterThan">
      <formula>1</formula>
    </cfRule>
  </conditionalFormatting>
  <conditionalFormatting sqref="R84:R91">
    <cfRule type="cellIs" dxfId="4124" priority="491" operator="greaterThan">
      <formula>1</formula>
    </cfRule>
    <cfRule type="cellIs" dxfId="4123" priority="492" operator="lessThan">
      <formula>0.8</formula>
    </cfRule>
  </conditionalFormatting>
  <conditionalFormatting sqref="P84:P91">
    <cfRule type="cellIs" dxfId="4122" priority="490" operator="greaterThan">
      <formula>0</formula>
    </cfRule>
  </conditionalFormatting>
  <conditionalFormatting sqref="Q84:Q91">
    <cfRule type="cellIs" dxfId="4121" priority="495" operator="lessThan">
      <formula>0</formula>
    </cfRule>
  </conditionalFormatting>
  <conditionalFormatting sqref="R84:R91">
    <cfRule type="cellIs" dxfId="4120" priority="487" operator="lessThan">
      <formula>0.8</formula>
    </cfRule>
    <cfRule type="cellIs" dxfId="4119" priority="488" operator="greaterThan">
      <formula>1</formula>
    </cfRule>
  </conditionalFormatting>
  <conditionalFormatting sqref="R84:R91">
    <cfRule type="cellIs" dxfId="4118" priority="485" operator="greaterThan">
      <formula>1</formula>
    </cfRule>
    <cfRule type="cellIs" dxfId="4117" priority="486" operator="lessThan">
      <formula>0.8</formula>
    </cfRule>
  </conditionalFormatting>
  <conditionalFormatting sqref="P84:P91">
    <cfRule type="cellIs" dxfId="4116" priority="484" operator="greaterThan">
      <formula>0</formula>
    </cfRule>
  </conditionalFormatting>
  <conditionalFormatting sqref="Q84:Q91">
    <cfRule type="cellIs" dxfId="4115" priority="489" operator="lessThan">
      <formula>0</formula>
    </cfRule>
  </conditionalFormatting>
  <conditionalFormatting sqref="Q84:Q91">
    <cfRule type="cellIs" dxfId="4114" priority="483" operator="lessThan">
      <formula>0</formula>
    </cfRule>
  </conditionalFormatting>
  <conditionalFormatting sqref="R84:R91">
    <cfRule type="cellIs" dxfId="4113" priority="481" operator="lessThan">
      <formula>0.8</formula>
    </cfRule>
    <cfRule type="cellIs" dxfId="4112" priority="482" operator="greaterThan">
      <formula>1</formula>
    </cfRule>
  </conditionalFormatting>
  <conditionalFormatting sqref="R84:R91">
    <cfRule type="cellIs" dxfId="4111" priority="479" operator="greaterThan">
      <formula>1</formula>
    </cfRule>
    <cfRule type="cellIs" dxfId="4110" priority="480" operator="lessThan">
      <formula>0.8</formula>
    </cfRule>
  </conditionalFormatting>
  <conditionalFormatting sqref="P84:P91">
    <cfRule type="cellIs" dxfId="4109" priority="478" operator="greaterThan">
      <formula>0</formula>
    </cfRule>
  </conditionalFormatting>
  <conditionalFormatting sqref="Q84:Q91">
    <cfRule type="cellIs" dxfId="4108" priority="472" operator="lessThan">
      <formula>0</formula>
    </cfRule>
  </conditionalFormatting>
  <conditionalFormatting sqref="R84:R91">
    <cfRule type="cellIs" dxfId="4107" priority="476" operator="lessThan">
      <formula>0.8</formula>
    </cfRule>
    <cfRule type="cellIs" dxfId="4106" priority="477" operator="greaterThan">
      <formula>1</formula>
    </cfRule>
  </conditionalFormatting>
  <conditionalFormatting sqref="R84:R91">
    <cfRule type="cellIs" dxfId="4105" priority="474" operator="greaterThan">
      <formula>1</formula>
    </cfRule>
    <cfRule type="cellIs" dxfId="4104" priority="475" operator="lessThan">
      <formula>0.8</formula>
    </cfRule>
  </conditionalFormatting>
  <conditionalFormatting sqref="P84:P91">
    <cfRule type="cellIs" dxfId="4103" priority="473" operator="greaterThan">
      <formula>0</formula>
    </cfRule>
  </conditionalFormatting>
  <conditionalFormatting sqref="Q84:Q91">
    <cfRule type="cellIs" dxfId="4102" priority="471" operator="lessThan">
      <formula>0</formula>
    </cfRule>
  </conditionalFormatting>
  <conditionalFormatting sqref="R84:R91">
    <cfRule type="cellIs" dxfId="4101" priority="469" operator="lessThan">
      <formula>0.8</formula>
    </cfRule>
    <cfRule type="cellIs" dxfId="4100" priority="470" operator="greaterThan">
      <formula>1</formula>
    </cfRule>
  </conditionalFormatting>
  <conditionalFormatting sqref="R84:R91">
    <cfRule type="cellIs" dxfId="4099" priority="467" operator="greaterThan">
      <formula>1</formula>
    </cfRule>
    <cfRule type="cellIs" dxfId="4098" priority="468" operator="lessThan">
      <formula>0.8</formula>
    </cfRule>
  </conditionalFormatting>
  <conditionalFormatting sqref="P84:P91">
    <cfRule type="cellIs" dxfId="4097" priority="466" operator="greaterThan">
      <formula>0</formula>
    </cfRule>
  </conditionalFormatting>
  <conditionalFormatting sqref="Q84:Q91">
    <cfRule type="cellIs" dxfId="4096" priority="465" operator="lessThan">
      <formula>0</formula>
    </cfRule>
  </conditionalFormatting>
  <conditionalFormatting sqref="R84:R91">
    <cfRule type="cellIs" dxfId="4095" priority="463" operator="lessThan">
      <formula>0.8</formula>
    </cfRule>
    <cfRule type="cellIs" dxfId="4094" priority="464" operator="greaterThan">
      <formula>1</formula>
    </cfRule>
  </conditionalFormatting>
  <conditionalFormatting sqref="R84:R91">
    <cfRule type="cellIs" dxfId="4093" priority="461" operator="greaterThan">
      <formula>1</formula>
    </cfRule>
    <cfRule type="cellIs" dxfId="4092" priority="462" operator="lessThan">
      <formula>0.8</formula>
    </cfRule>
  </conditionalFormatting>
  <conditionalFormatting sqref="P84:P91">
    <cfRule type="cellIs" dxfId="4091" priority="460" operator="greaterThan">
      <formula>0</formula>
    </cfRule>
  </conditionalFormatting>
  <conditionalFormatting sqref="Q84:Q91">
    <cfRule type="cellIs" dxfId="4090" priority="459" operator="lessThan">
      <formula>0</formula>
    </cfRule>
  </conditionalFormatting>
  <conditionalFormatting sqref="R84:R91">
    <cfRule type="cellIs" dxfId="4089" priority="457" operator="lessThan">
      <formula>0.8</formula>
    </cfRule>
    <cfRule type="cellIs" dxfId="4088" priority="458" operator="greaterThan">
      <formula>1</formula>
    </cfRule>
  </conditionalFormatting>
  <conditionalFormatting sqref="R84:R91">
    <cfRule type="cellIs" dxfId="4087" priority="455" operator="greaterThan">
      <formula>1</formula>
    </cfRule>
    <cfRule type="cellIs" dxfId="4086" priority="456" operator="lessThan">
      <formula>0.8</formula>
    </cfRule>
  </conditionalFormatting>
  <conditionalFormatting sqref="P84:P91">
    <cfRule type="cellIs" dxfId="4085" priority="454" operator="greaterThan">
      <formula>0</formula>
    </cfRule>
  </conditionalFormatting>
  <conditionalFormatting sqref="Q84:Q91">
    <cfRule type="cellIs" dxfId="4084" priority="453" operator="lessThan">
      <formula>0</formula>
    </cfRule>
  </conditionalFormatting>
  <conditionalFormatting sqref="R84:R91">
    <cfRule type="cellIs" dxfId="4083" priority="451" operator="lessThan">
      <formula>0.8</formula>
    </cfRule>
    <cfRule type="cellIs" dxfId="4082" priority="452" operator="greaterThan">
      <formula>1</formula>
    </cfRule>
  </conditionalFormatting>
  <conditionalFormatting sqref="R84:R91">
    <cfRule type="cellIs" dxfId="4081" priority="449" operator="greaterThan">
      <formula>1</formula>
    </cfRule>
    <cfRule type="cellIs" dxfId="4080" priority="450" operator="lessThan">
      <formula>0.8</formula>
    </cfRule>
  </conditionalFormatting>
  <conditionalFormatting sqref="P84:P91">
    <cfRule type="cellIs" dxfId="4079" priority="448" operator="greaterThan">
      <formula>0</formula>
    </cfRule>
  </conditionalFormatting>
  <conditionalFormatting sqref="Q84:Q91">
    <cfRule type="cellIs" dxfId="4078" priority="447" operator="lessThan">
      <formula>0</formula>
    </cfRule>
  </conditionalFormatting>
  <conditionalFormatting sqref="R84:R91">
    <cfRule type="cellIs" dxfId="4077" priority="445" operator="lessThan">
      <formula>0.8</formula>
    </cfRule>
    <cfRule type="cellIs" dxfId="4076" priority="446" operator="greaterThan">
      <formula>1</formula>
    </cfRule>
  </conditionalFormatting>
  <conditionalFormatting sqref="R84:R91">
    <cfRule type="cellIs" dxfId="4075" priority="443" operator="greaterThan">
      <formula>1</formula>
    </cfRule>
    <cfRule type="cellIs" dxfId="4074" priority="444" operator="lessThan">
      <formula>0.8</formula>
    </cfRule>
  </conditionalFormatting>
  <conditionalFormatting sqref="P84:P91">
    <cfRule type="cellIs" dxfId="4073" priority="442" operator="greaterThan">
      <formula>0</formula>
    </cfRule>
  </conditionalFormatting>
  <conditionalFormatting sqref="P84:P91">
    <cfRule type="cellIs" dxfId="4072" priority="436" operator="greaterThan">
      <formula>0</formula>
    </cfRule>
  </conditionalFormatting>
  <conditionalFormatting sqref="Q84:Q91">
    <cfRule type="cellIs" dxfId="4071" priority="441" operator="lessThan">
      <formula>0</formula>
    </cfRule>
  </conditionalFormatting>
  <conditionalFormatting sqref="R84:R91">
    <cfRule type="cellIs" dxfId="4070" priority="439" operator="lessThan">
      <formula>0.8</formula>
    </cfRule>
    <cfRule type="cellIs" dxfId="4069" priority="440" operator="greaterThan">
      <formula>1</formula>
    </cfRule>
  </conditionalFormatting>
  <conditionalFormatting sqref="R84:R91">
    <cfRule type="cellIs" dxfId="4068" priority="437" operator="greaterThan">
      <formula>1</formula>
    </cfRule>
    <cfRule type="cellIs" dxfId="4067" priority="438" operator="lessThan">
      <formula>0.8</formula>
    </cfRule>
  </conditionalFormatting>
  <conditionalFormatting sqref="P84:P91">
    <cfRule type="cellIs" dxfId="4066" priority="430" operator="greaterThan">
      <formula>0</formula>
    </cfRule>
  </conditionalFormatting>
  <conditionalFormatting sqref="Q84:Q91">
    <cfRule type="cellIs" dxfId="4065" priority="435" operator="lessThan">
      <formula>0</formula>
    </cfRule>
  </conditionalFormatting>
  <conditionalFormatting sqref="R84:R91">
    <cfRule type="cellIs" dxfId="4064" priority="433" operator="lessThan">
      <formula>0.8</formula>
    </cfRule>
    <cfRule type="cellIs" dxfId="4063" priority="434" operator="greaterThan">
      <formula>1</formula>
    </cfRule>
  </conditionalFormatting>
  <conditionalFormatting sqref="R84:R91">
    <cfRule type="cellIs" dxfId="4062" priority="431" operator="greaterThan">
      <formula>1</formula>
    </cfRule>
    <cfRule type="cellIs" dxfId="4061" priority="432" operator="lessThan">
      <formula>0.8</formula>
    </cfRule>
  </conditionalFormatting>
  <conditionalFormatting sqref="R84:R91">
    <cfRule type="cellIs" dxfId="4060" priority="427" operator="lessThan">
      <formula>0.8</formula>
    </cfRule>
    <cfRule type="cellIs" dxfId="4059" priority="428" operator="greaterThan">
      <formula>1</formula>
    </cfRule>
  </conditionalFormatting>
  <conditionalFormatting sqref="R84:R91">
    <cfRule type="cellIs" dxfId="4058" priority="425" operator="greaterThan">
      <formula>1</formula>
    </cfRule>
    <cfRule type="cellIs" dxfId="4057" priority="426" operator="lessThan">
      <formula>0.8</formula>
    </cfRule>
  </conditionalFormatting>
  <conditionalFormatting sqref="P84:P91">
    <cfRule type="cellIs" dxfId="4056" priority="424" operator="greaterThan">
      <formula>0</formula>
    </cfRule>
  </conditionalFormatting>
  <conditionalFormatting sqref="Q84:Q91">
    <cfRule type="cellIs" dxfId="4055" priority="429" operator="lessThan">
      <formula>0</formula>
    </cfRule>
  </conditionalFormatting>
  <conditionalFormatting sqref="Q84:Q91">
    <cfRule type="cellIs" dxfId="4054" priority="418" operator="lessThan">
      <formula>0</formula>
    </cfRule>
  </conditionalFormatting>
  <conditionalFormatting sqref="P84:P91">
    <cfRule type="cellIs" dxfId="4053" priority="419" operator="greaterThan">
      <formula>0</formula>
    </cfRule>
  </conditionalFormatting>
  <conditionalFormatting sqref="R84:R91">
    <cfRule type="cellIs" dxfId="4052" priority="422" operator="lessThan">
      <formula>0.8</formula>
    </cfRule>
    <cfRule type="cellIs" dxfId="4051" priority="423" operator="greaterThan">
      <formula>1</formula>
    </cfRule>
  </conditionalFormatting>
  <conditionalFormatting sqref="R84:R91">
    <cfRule type="cellIs" dxfId="4050" priority="420" operator="greaterThan">
      <formula>1</formula>
    </cfRule>
    <cfRule type="cellIs" dxfId="4049" priority="421" operator="lessThan">
      <formula>0.8</formula>
    </cfRule>
  </conditionalFormatting>
  <conditionalFormatting sqref="Q84:Q91">
    <cfRule type="cellIs" dxfId="4048" priority="412" operator="lessThan">
      <formula>0</formula>
    </cfRule>
  </conditionalFormatting>
  <conditionalFormatting sqref="R84:R91">
    <cfRule type="cellIs" dxfId="4047" priority="416" operator="lessThan">
      <formula>0.8</formula>
    </cfRule>
    <cfRule type="cellIs" dxfId="4046" priority="417" operator="greaterThan">
      <formula>1</formula>
    </cfRule>
  </conditionalFormatting>
  <conditionalFormatting sqref="R84:R91">
    <cfRule type="cellIs" dxfId="4045" priority="414" operator="greaterThan">
      <formula>1</formula>
    </cfRule>
    <cfRule type="cellIs" dxfId="4044" priority="415" operator="lessThan">
      <formula>0.8</formula>
    </cfRule>
  </conditionalFormatting>
  <conditionalFormatting sqref="P84:P91">
    <cfRule type="cellIs" dxfId="4043" priority="413" operator="greaterThan">
      <formula>0</formula>
    </cfRule>
  </conditionalFormatting>
  <conditionalFormatting sqref="Q84:Q91">
    <cfRule type="cellIs" dxfId="4042" priority="411" operator="lessThan">
      <formula>0</formula>
    </cfRule>
  </conditionalFormatting>
  <conditionalFormatting sqref="R84:R91">
    <cfRule type="cellIs" dxfId="4041" priority="409" operator="lessThan">
      <formula>0.8</formula>
    </cfRule>
    <cfRule type="cellIs" dxfId="4040" priority="410" operator="greaterThan">
      <formula>1</formula>
    </cfRule>
  </conditionalFormatting>
  <conditionalFormatting sqref="R84:R91">
    <cfRule type="cellIs" dxfId="4039" priority="407" operator="greaterThan">
      <formula>1</formula>
    </cfRule>
    <cfRule type="cellIs" dxfId="4038" priority="408" operator="lessThan">
      <formula>0.8</formula>
    </cfRule>
  </conditionalFormatting>
  <conditionalFormatting sqref="P84:P91">
    <cfRule type="cellIs" dxfId="4037" priority="406" operator="greaterThan">
      <formula>0</formula>
    </cfRule>
  </conditionalFormatting>
  <conditionalFormatting sqref="Q84:Q91">
    <cfRule type="cellIs" dxfId="4036" priority="405" operator="lessThan">
      <formula>0</formula>
    </cfRule>
  </conditionalFormatting>
  <conditionalFormatting sqref="R84:R91">
    <cfRule type="cellIs" dxfId="4035" priority="403" operator="lessThan">
      <formula>0.8</formula>
    </cfRule>
    <cfRule type="cellIs" dxfId="4034" priority="404" operator="greaterThan">
      <formula>1</formula>
    </cfRule>
  </conditionalFormatting>
  <conditionalFormatting sqref="R84:R91">
    <cfRule type="cellIs" dxfId="4033" priority="401" operator="greaterThan">
      <formula>1</formula>
    </cfRule>
    <cfRule type="cellIs" dxfId="4032" priority="402" operator="lessThan">
      <formula>0.8</formula>
    </cfRule>
  </conditionalFormatting>
  <conditionalFormatting sqref="P84:P91">
    <cfRule type="cellIs" dxfId="4031" priority="400" operator="greaterThan">
      <formula>0</formula>
    </cfRule>
  </conditionalFormatting>
  <conditionalFormatting sqref="Q84:Q91">
    <cfRule type="cellIs" dxfId="4030" priority="399" operator="lessThan">
      <formula>0</formula>
    </cfRule>
  </conditionalFormatting>
  <conditionalFormatting sqref="R84:R91">
    <cfRule type="cellIs" dxfId="4029" priority="397" operator="lessThan">
      <formula>0.8</formula>
    </cfRule>
    <cfRule type="cellIs" dxfId="4028" priority="398" operator="greaterThan">
      <formula>1</formula>
    </cfRule>
  </conditionalFormatting>
  <conditionalFormatting sqref="R84:R91">
    <cfRule type="cellIs" dxfId="4027" priority="395" operator="greaterThan">
      <formula>1</formula>
    </cfRule>
    <cfRule type="cellIs" dxfId="4026" priority="396" operator="lessThan">
      <formula>0.8</formula>
    </cfRule>
  </conditionalFormatting>
  <conditionalFormatting sqref="P84:P91">
    <cfRule type="cellIs" dxfId="4025" priority="394" operator="greaterThan">
      <formula>0</formula>
    </cfRule>
  </conditionalFormatting>
  <conditionalFormatting sqref="Q84:Q91">
    <cfRule type="cellIs" dxfId="4024" priority="393" operator="lessThan">
      <formula>0</formula>
    </cfRule>
  </conditionalFormatting>
  <conditionalFormatting sqref="R84:R91">
    <cfRule type="cellIs" dxfId="4023" priority="391" operator="lessThan">
      <formula>0.8</formula>
    </cfRule>
    <cfRule type="cellIs" dxfId="4022" priority="392" operator="greaterThan">
      <formula>1</formula>
    </cfRule>
  </conditionalFormatting>
  <conditionalFormatting sqref="R84:R91">
    <cfRule type="cellIs" dxfId="4021" priority="389" operator="greaterThan">
      <formula>1</formula>
    </cfRule>
    <cfRule type="cellIs" dxfId="4020" priority="390" operator="lessThan">
      <formula>0.8</formula>
    </cfRule>
  </conditionalFormatting>
  <conditionalFormatting sqref="P84:P91">
    <cfRule type="cellIs" dxfId="4019" priority="388" operator="greaterThan">
      <formula>0</formula>
    </cfRule>
  </conditionalFormatting>
  <conditionalFormatting sqref="Q84:Q91">
    <cfRule type="cellIs" dxfId="4018" priority="387" operator="lessThan">
      <formula>0</formula>
    </cfRule>
  </conditionalFormatting>
  <conditionalFormatting sqref="R84:R91">
    <cfRule type="cellIs" dxfId="4017" priority="385" operator="lessThan">
      <formula>0.8</formula>
    </cfRule>
    <cfRule type="cellIs" dxfId="4016" priority="386" operator="greaterThan">
      <formula>1</formula>
    </cfRule>
  </conditionalFormatting>
  <conditionalFormatting sqref="R84:R91">
    <cfRule type="cellIs" dxfId="4015" priority="383" operator="greaterThan">
      <formula>1</formula>
    </cfRule>
    <cfRule type="cellIs" dxfId="4014" priority="384" operator="lessThan">
      <formula>0.8</formula>
    </cfRule>
  </conditionalFormatting>
  <conditionalFormatting sqref="P84:P91">
    <cfRule type="cellIs" dxfId="4013" priority="382" operator="greaterThan">
      <formula>0</formula>
    </cfRule>
  </conditionalFormatting>
  <conditionalFormatting sqref="Q84:Q91">
    <cfRule type="cellIs" dxfId="4012" priority="381" operator="lessThan">
      <formula>0</formula>
    </cfRule>
  </conditionalFormatting>
  <conditionalFormatting sqref="R84:R91">
    <cfRule type="cellIs" dxfId="4011" priority="379" operator="lessThan">
      <formula>0.8</formula>
    </cfRule>
    <cfRule type="cellIs" dxfId="4010" priority="380" operator="greaterThan">
      <formula>1</formula>
    </cfRule>
  </conditionalFormatting>
  <conditionalFormatting sqref="R84:R91">
    <cfRule type="cellIs" dxfId="4009" priority="377" operator="greaterThan">
      <formula>1</formula>
    </cfRule>
    <cfRule type="cellIs" dxfId="4008" priority="378" operator="lessThan">
      <formula>0.8</formula>
    </cfRule>
  </conditionalFormatting>
  <conditionalFormatting sqref="P84:P91">
    <cfRule type="cellIs" dxfId="4007" priority="376" operator="greaterThan">
      <formula>0</formula>
    </cfRule>
  </conditionalFormatting>
  <conditionalFormatting sqref="Q84:Q91">
    <cfRule type="cellIs" dxfId="4006" priority="375" operator="lessThan">
      <formula>0</formula>
    </cfRule>
  </conditionalFormatting>
  <conditionalFormatting sqref="R84:R91">
    <cfRule type="cellIs" dxfId="4005" priority="373" operator="lessThan">
      <formula>0.8</formula>
    </cfRule>
    <cfRule type="cellIs" dxfId="4004" priority="374" operator="greaterThan">
      <formula>1</formula>
    </cfRule>
  </conditionalFormatting>
  <conditionalFormatting sqref="R84:R91">
    <cfRule type="cellIs" dxfId="4003" priority="371" operator="greaterThan">
      <formula>1</formula>
    </cfRule>
    <cfRule type="cellIs" dxfId="4002" priority="372" operator="lessThan">
      <formula>0.8</formula>
    </cfRule>
  </conditionalFormatting>
  <conditionalFormatting sqref="P84:P91">
    <cfRule type="cellIs" dxfId="4001" priority="370" operator="greaterThan">
      <formula>0</formula>
    </cfRule>
  </conditionalFormatting>
  <conditionalFormatting sqref="P84:P91">
    <cfRule type="cellIs" dxfId="4000" priority="364" operator="greaterThan">
      <formula>0</formula>
    </cfRule>
  </conditionalFormatting>
  <conditionalFormatting sqref="Q84:Q91">
    <cfRule type="cellIs" dxfId="3999" priority="369" operator="lessThan">
      <formula>0</formula>
    </cfRule>
  </conditionalFormatting>
  <conditionalFormatting sqref="R84:R91">
    <cfRule type="cellIs" dxfId="3998" priority="367" operator="lessThan">
      <formula>0.8</formula>
    </cfRule>
    <cfRule type="cellIs" dxfId="3997" priority="368" operator="greaterThan">
      <formula>1</formula>
    </cfRule>
  </conditionalFormatting>
  <conditionalFormatting sqref="R84:R91">
    <cfRule type="cellIs" dxfId="3996" priority="365" operator="greaterThan">
      <formula>1</formula>
    </cfRule>
    <cfRule type="cellIs" dxfId="3995" priority="366" operator="lessThan">
      <formula>0.8</formula>
    </cfRule>
  </conditionalFormatting>
  <conditionalFormatting sqref="P84:P91">
    <cfRule type="cellIs" dxfId="3994" priority="358" operator="greaterThan">
      <formula>0</formula>
    </cfRule>
  </conditionalFormatting>
  <conditionalFormatting sqref="Q84:Q91">
    <cfRule type="cellIs" dxfId="3993" priority="363" operator="lessThan">
      <formula>0</formula>
    </cfRule>
  </conditionalFormatting>
  <conditionalFormatting sqref="R84:R91">
    <cfRule type="cellIs" dxfId="3992" priority="361" operator="lessThan">
      <formula>0.8</formula>
    </cfRule>
    <cfRule type="cellIs" dxfId="3991" priority="362" operator="greaterThan">
      <formula>1</formula>
    </cfRule>
  </conditionalFormatting>
  <conditionalFormatting sqref="R84:R91">
    <cfRule type="cellIs" dxfId="3990" priority="359" operator="greaterThan">
      <formula>1</formula>
    </cfRule>
    <cfRule type="cellIs" dxfId="3989" priority="360" operator="lessThan">
      <formula>0.8</formula>
    </cfRule>
  </conditionalFormatting>
  <conditionalFormatting sqref="R84:R91">
    <cfRule type="cellIs" dxfId="3988" priority="355" operator="lessThan">
      <formula>0.8</formula>
    </cfRule>
    <cfRule type="cellIs" dxfId="3987" priority="356" operator="greaterThan">
      <formula>1</formula>
    </cfRule>
  </conditionalFormatting>
  <conditionalFormatting sqref="R84:R91">
    <cfRule type="cellIs" dxfId="3986" priority="353" operator="greaterThan">
      <formula>1</formula>
    </cfRule>
    <cfRule type="cellIs" dxfId="3985" priority="354" operator="lessThan">
      <formula>0.8</formula>
    </cfRule>
  </conditionalFormatting>
  <conditionalFormatting sqref="P84:P91">
    <cfRule type="cellIs" dxfId="3984" priority="352" operator="greaterThan">
      <formula>0</formula>
    </cfRule>
  </conditionalFormatting>
  <conditionalFormatting sqref="Q84:Q91">
    <cfRule type="cellIs" dxfId="3983" priority="357" operator="lessThan">
      <formula>0</formula>
    </cfRule>
  </conditionalFormatting>
  <conditionalFormatting sqref="Q84:Q91">
    <cfRule type="cellIs" dxfId="3982" priority="351" operator="lessThan">
      <formula>0</formula>
    </cfRule>
  </conditionalFormatting>
  <conditionalFormatting sqref="R84:R91">
    <cfRule type="cellIs" dxfId="3981" priority="349" operator="lessThan">
      <formula>0.8</formula>
    </cfRule>
    <cfRule type="cellIs" dxfId="3980" priority="350" operator="greaterThan">
      <formula>1</formula>
    </cfRule>
  </conditionalFormatting>
  <conditionalFormatting sqref="R84:R91">
    <cfRule type="cellIs" dxfId="3979" priority="347" operator="greaterThan">
      <formula>1</formula>
    </cfRule>
    <cfRule type="cellIs" dxfId="3978" priority="348" operator="lessThan">
      <formula>0.8</formula>
    </cfRule>
  </conditionalFormatting>
  <conditionalFormatting sqref="P84:P91">
    <cfRule type="cellIs" dxfId="3977" priority="346" operator="greaterThan">
      <formula>0</formula>
    </cfRule>
  </conditionalFormatting>
  <conditionalFormatting sqref="P84:P91">
    <cfRule type="cellIs" dxfId="3976" priority="340" operator="greaterThan">
      <formula>0</formula>
    </cfRule>
  </conditionalFormatting>
  <conditionalFormatting sqref="Q84:Q91">
    <cfRule type="cellIs" dxfId="3975" priority="345" operator="lessThan">
      <formula>0</formula>
    </cfRule>
  </conditionalFormatting>
  <conditionalFormatting sqref="R84:R91">
    <cfRule type="cellIs" dxfId="3974" priority="343" operator="lessThan">
      <formula>0.8</formula>
    </cfRule>
    <cfRule type="cellIs" dxfId="3973" priority="344" operator="greaterThan">
      <formula>1</formula>
    </cfRule>
  </conditionalFormatting>
  <conditionalFormatting sqref="R84:R91">
    <cfRule type="cellIs" dxfId="3972" priority="341" operator="greaterThan">
      <formula>1</formula>
    </cfRule>
    <cfRule type="cellIs" dxfId="3971" priority="342" operator="lessThan">
      <formula>0.8</formula>
    </cfRule>
  </conditionalFormatting>
  <conditionalFormatting sqref="P84:P91">
    <cfRule type="cellIs" dxfId="3970" priority="334" operator="greaterThan">
      <formula>0</formula>
    </cfRule>
  </conditionalFormatting>
  <conditionalFormatting sqref="Q84:Q91">
    <cfRule type="cellIs" dxfId="3969" priority="339" operator="lessThan">
      <formula>0</formula>
    </cfRule>
  </conditionalFormatting>
  <conditionalFormatting sqref="R84:R91">
    <cfRule type="cellIs" dxfId="3968" priority="337" operator="lessThan">
      <formula>0.8</formula>
    </cfRule>
    <cfRule type="cellIs" dxfId="3967" priority="338" operator="greaterThan">
      <formula>1</formula>
    </cfRule>
  </conditionalFormatting>
  <conditionalFormatting sqref="R84:R91">
    <cfRule type="cellIs" dxfId="3966" priority="335" operator="greaterThan">
      <formula>1</formula>
    </cfRule>
    <cfRule type="cellIs" dxfId="3965" priority="336" operator="lessThan">
      <formula>0.8</formula>
    </cfRule>
  </conditionalFormatting>
  <conditionalFormatting sqref="R84:R91">
    <cfRule type="cellIs" dxfId="3964" priority="331" operator="lessThan">
      <formula>0.8</formula>
    </cfRule>
    <cfRule type="cellIs" dxfId="3963" priority="332" operator="greaterThan">
      <formula>1</formula>
    </cfRule>
  </conditionalFormatting>
  <conditionalFormatting sqref="R84:R91">
    <cfRule type="cellIs" dxfId="3962" priority="329" operator="greaterThan">
      <formula>1</formula>
    </cfRule>
    <cfRule type="cellIs" dxfId="3961" priority="330" operator="lessThan">
      <formula>0.8</formula>
    </cfRule>
  </conditionalFormatting>
  <conditionalFormatting sqref="P84:P91">
    <cfRule type="cellIs" dxfId="3960" priority="328" operator="greaterThan">
      <formula>0</formula>
    </cfRule>
  </conditionalFormatting>
  <conditionalFormatting sqref="Q84:Q91">
    <cfRule type="cellIs" dxfId="3959" priority="333" operator="lessThan">
      <formula>0</formula>
    </cfRule>
  </conditionalFormatting>
  <conditionalFormatting sqref="P84:P91">
    <cfRule type="cellIs" dxfId="3958" priority="322" operator="greaterThan">
      <formula>0</formula>
    </cfRule>
  </conditionalFormatting>
  <conditionalFormatting sqref="Q84:Q91">
    <cfRule type="cellIs" dxfId="3957" priority="327" operator="lessThan">
      <formula>0</formula>
    </cfRule>
  </conditionalFormatting>
  <conditionalFormatting sqref="R84:R91">
    <cfRule type="cellIs" dxfId="3956" priority="325" operator="lessThan">
      <formula>0.8</formula>
    </cfRule>
    <cfRule type="cellIs" dxfId="3955" priority="326" operator="greaterThan">
      <formula>1</formula>
    </cfRule>
  </conditionalFormatting>
  <conditionalFormatting sqref="R84:R91">
    <cfRule type="cellIs" dxfId="3954" priority="323" operator="greaterThan">
      <formula>1</formula>
    </cfRule>
    <cfRule type="cellIs" dxfId="3953" priority="324" operator="lessThan">
      <formula>0.8</formula>
    </cfRule>
  </conditionalFormatting>
  <conditionalFormatting sqref="R84:R91">
    <cfRule type="cellIs" dxfId="3952" priority="319" operator="lessThan">
      <formula>0.8</formula>
    </cfRule>
    <cfRule type="cellIs" dxfId="3951" priority="320" operator="greaterThan">
      <formula>1</formula>
    </cfRule>
  </conditionalFormatting>
  <conditionalFormatting sqref="R84:R91">
    <cfRule type="cellIs" dxfId="3950" priority="317" operator="greaterThan">
      <formula>1</formula>
    </cfRule>
    <cfRule type="cellIs" dxfId="3949" priority="318" operator="lessThan">
      <formula>0.8</formula>
    </cfRule>
  </conditionalFormatting>
  <conditionalFormatting sqref="P84:P91">
    <cfRule type="cellIs" dxfId="3948" priority="316" operator="greaterThan">
      <formula>0</formula>
    </cfRule>
  </conditionalFormatting>
  <conditionalFormatting sqref="Q84:Q91">
    <cfRule type="cellIs" dxfId="3947" priority="321" operator="lessThan">
      <formula>0</formula>
    </cfRule>
  </conditionalFormatting>
  <conditionalFormatting sqref="R84:R91">
    <cfRule type="cellIs" dxfId="3946" priority="313" operator="lessThan">
      <formula>0.8</formula>
    </cfRule>
    <cfRule type="cellIs" dxfId="3945" priority="314" operator="greaterThan">
      <formula>1</formula>
    </cfRule>
  </conditionalFormatting>
  <conditionalFormatting sqref="R84:R91">
    <cfRule type="cellIs" dxfId="3944" priority="311" operator="greaterThan">
      <formula>1</formula>
    </cfRule>
    <cfRule type="cellIs" dxfId="3943" priority="312" operator="lessThan">
      <formula>0.8</formula>
    </cfRule>
  </conditionalFormatting>
  <conditionalFormatting sqref="P84:P91">
    <cfRule type="cellIs" dxfId="3942" priority="310" operator="greaterThan">
      <formula>0</formula>
    </cfRule>
  </conditionalFormatting>
  <conditionalFormatting sqref="Q84:Q91">
    <cfRule type="cellIs" dxfId="3941" priority="315" operator="lessThan">
      <formula>0</formula>
    </cfRule>
  </conditionalFormatting>
  <conditionalFormatting sqref="Q84:Q91">
    <cfRule type="cellIs" dxfId="3940" priority="309" operator="lessThan">
      <formula>0</formula>
    </cfRule>
  </conditionalFormatting>
  <conditionalFormatting sqref="R84:R91">
    <cfRule type="cellIs" dxfId="3939" priority="307" operator="lessThan">
      <formula>0.8</formula>
    </cfRule>
    <cfRule type="cellIs" dxfId="3938" priority="308" operator="greaterThan">
      <formula>1</formula>
    </cfRule>
  </conditionalFormatting>
  <conditionalFormatting sqref="R84:R91">
    <cfRule type="cellIs" dxfId="3937" priority="305" operator="greaterThan">
      <formula>1</formula>
    </cfRule>
    <cfRule type="cellIs" dxfId="3936" priority="306" operator="lessThan">
      <formula>0.8</formula>
    </cfRule>
  </conditionalFormatting>
  <conditionalFormatting sqref="P84:P91">
    <cfRule type="cellIs" dxfId="3935" priority="304" operator="greaterThan">
      <formula>0</formula>
    </cfRule>
  </conditionalFormatting>
  <conditionalFormatting sqref="Q84:Q91">
    <cfRule type="cellIs" dxfId="3934" priority="298" operator="lessThan">
      <formula>0</formula>
    </cfRule>
  </conditionalFormatting>
  <conditionalFormatting sqref="R84:R91">
    <cfRule type="cellIs" dxfId="3933" priority="302" operator="lessThan">
      <formula>0.8</formula>
    </cfRule>
    <cfRule type="cellIs" dxfId="3932" priority="303" operator="greaterThan">
      <formula>1</formula>
    </cfRule>
  </conditionalFormatting>
  <conditionalFormatting sqref="R84:R91">
    <cfRule type="cellIs" dxfId="3931" priority="300" operator="greaterThan">
      <formula>1</formula>
    </cfRule>
    <cfRule type="cellIs" dxfId="3930" priority="301" operator="lessThan">
      <formula>0.8</formula>
    </cfRule>
  </conditionalFormatting>
  <conditionalFormatting sqref="P84:P91">
    <cfRule type="cellIs" dxfId="3929" priority="299" operator="greaterThan">
      <formula>0</formula>
    </cfRule>
  </conditionalFormatting>
  <conditionalFormatting sqref="Q84:Q91">
    <cfRule type="cellIs" dxfId="3928" priority="297" operator="lessThan">
      <formula>0</formula>
    </cfRule>
  </conditionalFormatting>
  <conditionalFormatting sqref="R84:R91">
    <cfRule type="cellIs" dxfId="3927" priority="295" operator="lessThan">
      <formula>0.8</formula>
    </cfRule>
    <cfRule type="cellIs" dxfId="3926" priority="296" operator="greaterThan">
      <formula>1</formula>
    </cfRule>
  </conditionalFormatting>
  <conditionalFormatting sqref="R84:R91">
    <cfRule type="cellIs" dxfId="3925" priority="293" operator="greaterThan">
      <formula>1</formula>
    </cfRule>
    <cfRule type="cellIs" dxfId="3924" priority="294" operator="lessThan">
      <formula>0.8</formula>
    </cfRule>
  </conditionalFormatting>
  <conditionalFormatting sqref="P84:P91">
    <cfRule type="cellIs" dxfId="3923" priority="292" operator="greaterThan">
      <formula>0</formula>
    </cfRule>
  </conditionalFormatting>
  <conditionalFormatting sqref="Q84:Q91">
    <cfRule type="cellIs" dxfId="3922" priority="291" operator="lessThan">
      <formula>0</formula>
    </cfRule>
  </conditionalFormatting>
  <conditionalFormatting sqref="R84:R91">
    <cfRule type="cellIs" dxfId="3921" priority="289" operator="lessThan">
      <formula>0.8</formula>
    </cfRule>
    <cfRule type="cellIs" dxfId="3920" priority="290" operator="greaterThan">
      <formula>1</formula>
    </cfRule>
  </conditionalFormatting>
  <conditionalFormatting sqref="R84:R91">
    <cfRule type="cellIs" dxfId="3919" priority="287" operator="greaterThan">
      <formula>1</formula>
    </cfRule>
    <cfRule type="cellIs" dxfId="3918" priority="288" operator="lessThan">
      <formula>0.8</formula>
    </cfRule>
  </conditionalFormatting>
  <conditionalFormatting sqref="P84:P91">
    <cfRule type="cellIs" dxfId="3917" priority="286" operator="greaterThan">
      <formula>0</formula>
    </cfRule>
  </conditionalFormatting>
  <conditionalFormatting sqref="Q84:Q91">
    <cfRule type="cellIs" dxfId="3916" priority="285" operator="lessThan">
      <formula>0</formula>
    </cfRule>
  </conditionalFormatting>
  <conditionalFormatting sqref="R84:R91">
    <cfRule type="cellIs" dxfId="3915" priority="283" operator="lessThan">
      <formula>0.8</formula>
    </cfRule>
    <cfRule type="cellIs" dxfId="3914" priority="284" operator="greaterThan">
      <formula>1</formula>
    </cfRule>
  </conditionalFormatting>
  <conditionalFormatting sqref="R84:R91">
    <cfRule type="cellIs" dxfId="3913" priority="281" operator="greaterThan">
      <formula>1</formula>
    </cfRule>
    <cfRule type="cellIs" dxfId="3912" priority="282" operator="lessThan">
      <formula>0.8</formula>
    </cfRule>
  </conditionalFormatting>
  <conditionalFormatting sqref="P84:P91">
    <cfRule type="cellIs" dxfId="3911" priority="280" operator="greaterThan">
      <formula>0</formula>
    </cfRule>
  </conditionalFormatting>
  <conditionalFormatting sqref="Q84:Q91">
    <cfRule type="cellIs" dxfId="3910" priority="279" operator="lessThan">
      <formula>0</formula>
    </cfRule>
  </conditionalFormatting>
  <conditionalFormatting sqref="R84:R91">
    <cfRule type="cellIs" dxfId="3909" priority="277" operator="lessThan">
      <formula>0.8</formula>
    </cfRule>
    <cfRule type="cellIs" dxfId="3908" priority="278" operator="greaterThan">
      <formula>1</formula>
    </cfRule>
  </conditionalFormatting>
  <conditionalFormatting sqref="R84:R91">
    <cfRule type="cellIs" dxfId="3907" priority="275" operator="greaterThan">
      <formula>1</formula>
    </cfRule>
    <cfRule type="cellIs" dxfId="3906" priority="276" operator="lessThan">
      <formula>0.8</formula>
    </cfRule>
  </conditionalFormatting>
  <conditionalFormatting sqref="P84:P91">
    <cfRule type="cellIs" dxfId="3905" priority="274" operator="greaterThan">
      <formula>0</formula>
    </cfRule>
  </conditionalFormatting>
  <conditionalFormatting sqref="Q84:Q91">
    <cfRule type="cellIs" dxfId="3904" priority="273" operator="lessThan">
      <formula>0</formula>
    </cfRule>
  </conditionalFormatting>
  <conditionalFormatting sqref="R84:R91">
    <cfRule type="cellIs" dxfId="3903" priority="271" operator="lessThan">
      <formula>0.8</formula>
    </cfRule>
    <cfRule type="cellIs" dxfId="3902" priority="272" operator="greaterThan">
      <formula>1</formula>
    </cfRule>
  </conditionalFormatting>
  <conditionalFormatting sqref="R84:R91">
    <cfRule type="cellIs" dxfId="3901" priority="269" operator="greaterThan">
      <formula>1</formula>
    </cfRule>
    <cfRule type="cellIs" dxfId="3900" priority="270" operator="lessThan">
      <formula>0.8</formula>
    </cfRule>
  </conditionalFormatting>
  <conditionalFormatting sqref="P84:P91">
    <cfRule type="cellIs" dxfId="3899" priority="268" operator="greaterThan">
      <formula>0</formula>
    </cfRule>
  </conditionalFormatting>
  <conditionalFormatting sqref="P84:P91">
    <cfRule type="cellIs" dxfId="3898" priority="262" operator="greaterThan">
      <formula>0</formula>
    </cfRule>
  </conditionalFormatting>
  <conditionalFormatting sqref="Q84:Q91">
    <cfRule type="cellIs" dxfId="3897" priority="267" operator="lessThan">
      <formula>0</formula>
    </cfRule>
  </conditionalFormatting>
  <conditionalFormatting sqref="R84:R91">
    <cfRule type="cellIs" dxfId="3896" priority="265" operator="lessThan">
      <formula>0.8</formula>
    </cfRule>
    <cfRule type="cellIs" dxfId="3895" priority="266" operator="greaterThan">
      <formula>1</formula>
    </cfRule>
  </conditionalFormatting>
  <conditionalFormatting sqref="R84:R91">
    <cfRule type="cellIs" dxfId="3894" priority="263" operator="greaterThan">
      <formula>1</formula>
    </cfRule>
    <cfRule type="cellIs" dxfId="3893" priority="264" operator="lessThan">
      <formula>0.8</formula>
    </cfRule>
  </conditionalFormatting>
  <conditionalFormatting sqref="P84:P91">
    <cfRule type="cellIs" dxfId="3892" priority="256" operator="greaterThan">
      <formula>0</formula>
    </cfRule>
  </conditionalFormatting>
  <conditionalFormatting sqref="Q84:Q91">
    <cfRule type="cellIs" dxfId="3891" priority="261" operator="lessThan">
      <formula>0</formula>
    </cfRule>
  </conditionalFormatting>
  <conditionalFormatting sqref="R84:R91">
    <cfRule type="cellIs" dxfId="3890" priority="259" operator="lessThan">
      <formula>0.8</formula>
    </cfRule>
    <cfRule type="cellIs" dxfId="3889" priority="260" operator="greaterThan">
      <formula>1</formula>
    </cfRule>
  </conditionalFormatting>
  <conditionalFormatting sqref="R84:R91">
    <cfRule type="cellIs" dxfId="3888" priority="257" operator="greaterThan">
      <formula>1</formula>
    </cfRule>
    <cfRule type="cellIs" dxfId="3887" priority="258" operator="lessThan">
      <formula>0.8</formula>
    </cfRule>
  </conditionalFormatting>
  <conditionalFormatting sqref="R84:R91">
    <cfRule type="cellIs" dxfId="3886" priority="253" operator="lessThan">
      <formula>0.8</formula>
    </cfRule>
    <cfRule type="cellIs" dxfId="3885" priority="254" operator="greaterThan">
      <formula>1</formula>
    </cfRule>
  </conditionalFormatting>
  <conditionalFormatting sqref="R84:R91">
    <cfRule type="cellIs" dxfId="3884" priority="251" operator="greaterThan">
      <formula>1</formula>
    </cfRule>
    <cfRule type="cellIs" dxfId="3883" priority="252" operator="lessThan">
      <formula>0.8</formula>
    </cfRule>
  </conditionalFormatting>
  <conditionalFormatting sqref="P84:P91">
    <cfRule type="cellIs" dxfId="3882" priority="250" operator="greaterThan">
      <formula>0</formula>
    </cfRule>
  </conditionalFormatting>
  <conditionalFormatting sqref="Q84:Q91">
    <cfRule type="cellIs" dxfId="3881" priority="255" operator="lessThan">
      <formula>0</formula>
    </cfRule>
  </conditionalFormatting>
  <conditionalFormatting sqref="Q84:Q91">
    <cfRule type="cellIs" dxfId="3880" priority="249" operator="lessThan">
      <formula>0</formula>
    </cfRule>
  </conditionalFormatting>
  <conditionalFormatting sqref="R84:R91">
    <cfRule type="cellIs" dxfId="3879" priority="247" operator="lessThan">
      <formula>0.8</formula>
    </cfRule>
    <cfRule type="cellIs" dxfId="3878" priority="248" operator="greaterThan">
      <formula>1</formula>
    </cfRule>
  </conditionalFormatting>
  <conditionalFormatting sqref="R84:R91">
    <cfRule type="cellIs" dxfId="3877" priority="245" operator="greaterThan">
      <formula>1</formula>
    </cfRule>
    <cfRule type="cellIs" dxfId="3876" priority="246" operator="lessThan">
      <formula>0.8</formula>
    </cfRule>
  </conditionalFormatting>
  <conditionalFormatting sqref="P84:P91">
    <cfRule type="cellIs" dxfId="3875" priority="244" operator="greaterThan">
      <formula>0</formula>
    </cfRule>
  </conditionalFormatting>
  <conditionalFormatting sqref="Q84:Q91">
    <cfRule type="cellIs" dxfId="3874" priority="243" operator="lessThan">
      <formula>0</formula>
    </cfRule>
  </conditionalFormatting>
  <conditionalFormatting sqref="R84:R91">
    <cfRule type="cellIs" dxfId="3873" priority="241" operator="lessThan">
      <formula>0.8</formula>
    </cfRule>
    <cfRule type="cellIs" dxfId="3872" priority="242" operator="greaterThan">
      <formula>1</formula>
    </cfRule>
  </conditionalFormatting>
  <conditionalFormatting sqref="R84:R91">
    <cfRule type="cellIs" dxfId="3871" priority="239" operator="greaterThan">
      <formula>1</formula>
    </cfRule>
    <cfRule type="cellIs" dxfId="3870" priority="240" operator="lessThan">
      <formula>0.8</formula>
    </cfRule>
  </conditionalFormatting>
  <conditionalFormatting sqref="P84:P91">
    <cfRule type="cellIs" dxfId="3869" priority="238" operator="greaterThan">
      <formula>0</formula>
    </cfRule>
  </conditionalFormatting>
  <conditionalFormatting sqref="Q84:Q91">
    <cfRule type="cellIs" dxfId="3868" priority="237" operator="lessThan">
      <formula>0</formula>
    </cfRule>
  </conditionalFormatting>
  <conditionalFormatting sqref="R84:R91">
    <cfRule type="cellIs" dxfId="3867" priority="235" operator="lessThan">
      <formula>0.8</formula>
    </cfRule>
    <cfRule type="cellIs" dxfId="3866" priority="236" operator="greaterThan">
      <formula>1</formula>
    </cfRule>
  </conditionalFormatting>
  <conditionalFormatting sqref="R84:R91">
    <cfRule type="cellIs" dxfId="3865" priority="233" operator="greaterThan">
      <formula>1</formula>
    </cfRule>
    <cfRule type="cellIs" dxfId="3864" priority="234" operator="lessThan">
      <formula>0.8</formula>
    </cfRule>
  </conditionalFormatting>
  <conditionalFormatting sqref="P84:P91">
    <cfRule type="cellIs" dxfId="3863" priority="232" operator="greaterThan">
      <formula>0</formula>
    </cfRule>
  </conditionalFormatting>
  <conditionalFormatting sqref="Q84:Q91">
    <cfRule type="cellIs" dxfId="3862" priority="231" operator="lessThan">
      <formula>0</formula>
    </cfRule>
  </conditionalFormatting>
  <conditionalFormatting sqref="R84:R91">
    <cfRule type="cellIs" dxfId="3861" priority="229" operator="lessThan">
      <formula>0.8</formula>
    </cfRule>
    <cfRule type="cellIs" dxfId="3860" priority="230" operator="greaterThan">
      <formula>1</formula>
    </cfRule>
  </conditionalFormatting>
  <conditionalFormatting sqref="R84:R91">
    <cfRule type="cellIs" dxfId="3859" priority="227" operator="greaterThan">
      <formula>1</formula>
    </cfRule>
    <cfRule type="cellIs" dxfId="3858" priority="228" operator="lessThan">
      <formula>0.8</formula>
    </cfRule>
  </conditionalFormatting>
  <conditionalFormatting sqref="P84:P91">
    <cfRule type="cellIs" dxfId="3857" priority="226" operator="greaterThan">
      <formula>0</formula>
    </cfRule>
  </conditionalFormatting>
  <conditionalFormatting sqref="P84:P91">
    <cfRule type="cellIs" dxfId="3856" priority="220" operator="greaterThan">
      <formula>0</formula>
    </cfRule>
  </conditionalFormatting>
  <conditionalFormatting sqref="Q84:Q91">
    <cfRule type="cellIs" dxfId="3855" priority="225" operator="lessThan">
      <formula>0</formula>
    </cfRule>
  </conditionalFormatting>
  <conditionalFormatting sqref="R84:R91">
    <cfRule type="cellIs" dxfId="3854" priority="223" operator="lessThan">
      <formula>0.8</formula>
    </cfRule>
    <cfRule type="cellIs" dxfId="3853" priority="224" operator="greaterThan">
      <formula>1</formula>
    </cfRule>
  </conditionalFormatting>
  <conditionalFormatting sqref="R84:R91">
    <cfRule type="cellIs" dxfId="3852" priority="221" operator="greaterThan">
      <formula>1</formula>
    </cfRule>
    <cfRule type="cellIs" dxfId="3851" priority="222" operator="lessThan">
      <formula>0.8</formula>
    </cfRule>
  </conditionalFormatting>
  <conditionalFormatting sqref="P84:P91">
    <cfRule type="cellIs" dxfId="3850" priority="214" operator="greaterThan">
      <formula>0</formula>
    </cfRule>
  </conditionalFormatting>
  <conditionalFormatting sqref="Q84:Q91">
    <cfRule type="cellIs" dxfId="3849" priority="219" operator="lessThan">
      <formula>0</formula>
    </cfRule>
  </conditionalFormatting>
  <conditionalFormatting sqref="R84:R91">
    <cfRule type="cellIs" dxfId="3848" priority="217" operator="lessThan">
      <formula>0.8</formula>
    </cfRule>
    <cfRule type="cellIs" dxfId="3847" priority="218" operator="greaterThan">
      <formula>1</formula>
    </cfRule>
  </conditionalFormatting>
  <conditionalFormatting sqref="R84:R91">
    <cfRule type="cellIs" dxfId="3846" priority="215" operator="greaterThan">
      <formula>1</formula>
    </cfRule>
    <cfRule type="cellIs" dxfId="3845" priority="216" operator="lessThan">
      <formula>0.8</formula>
    </cfRule>
  </conditionalFormatting>
  <conditionalFormatting sqref="R84:R91">
    <cfRule type="cellIs" dxfId="3844" priority="211" operator="lessThan">
      <formula>0.8</formula>
    </cfRule>
    <cfRule type="cellIs" dxfId="3843" priority="212" operator="greaterThan">
      <formula>1</formula>
    </cfRule>
  </conditionalFormatting>
  <conditionalFormatting sqref="R84:R91">
    <cfRule type="cellIs" dxfId="3842" priority="209" operator="greaterThan">
      <formula>1</formula>
    </cfRule>
    <cfRule type="cellIs" dxfId="3841" priority="210" operator="lessThan">
      <formula>0.8</formula>
    </cfRule>
  </conditionalFormatting>
  <conditionalFormatting sqref="P84:P91">
    <cfRule type="cellIs" dxfId="3840" priority="208" operator="greaterThan">
      <formula>0</formula>
    </cfRule>
  </conditionalFormatting>
  <conditionalFormatting sqref="Q84:Q91">
    <cfRule type="cellIs" dxfId="3839" priority="213" operator="lessThan">
      <formula>0</formula>
    </cfRule>
  </conditionalFormatting>
  <conditionalFormatting sqref="Q84:Q91">
    <cfRule type="cellIs" dxfId="3838" priority="207" operator="lessThan">
      <formula>0</formula>
    </cfRule>
  </conditionalFormatting>
  <conditionalFormatting sqref="R84:R91">
    <cfRule type="cellIs" dxfId="3837" priority="205" operator="lessThan">
      <formula>0.8</formula>
    </cfRule>
    <cfRule type="cellIs" dxfId="3836" priority="206" operator="greaterThan">
      <formula>1</formula>
    </cfRule>
  </conditionalFormatting>
  <conditionalFormatting sqref="R84:R91">
    <cfRule type="cellIs" dxfId="3835" priority="203" operator="greaterThan">
      <formula>1</formula>
    </cfRule>
    <cfRule type="cellIs" dxfId="3834" priority="204" operator="lessThan">
      <formula>0.8</formula>
    </cfRule>
  </conditionalFormatting>
  <conditionalFormatting sqref="P84:P91">
    <cfRule type="cellIs" dxfId="3833" priority="202" operator="greaterThan">
      <formula>0</formula>
    </cfRule>
  </conditionalFormatting>
  <conditionalFormatting sqref="P84:P91">
    <cfRule type="cellIs" dxfId="3832" priority="196" operator="greaterThan">
      <formula>0</formula>
    </cfRule>
  </conditionalFormatting>
  <conditionalFormatting sqref="Q84:Q91">
    <cfRule type="cellIs" dxfId="3831" priority="201" operator="lessThan">
      <formula>0</formula>
    </cfRule>
  </conditionalFormatting>
  <conditionalFormatting sqref="R84:R91">
    <cfRule type="cellIs" dxfId="3830" priority="199" operator="lessThan">
      <formula>0.8</formula>
    </cfRule>
    <cfRule type="cellIs" dxfId="3829" priority="200" operator="greaterThan">
      <formula>1</formula>
    </cfRule>
  </conditionalFormatting>
  <conditionalFormatting sqref="R84:R91">
    <cfRule type="cellIs" dxfId="3828" priority="197" operator="greaterThan">
      <formula>1</formula>
    </cfRule>
    <cfRule type="cellIs" dxfId="3827" priority="198" operator="lessThan">
      <formula>0.8</formula>
    </cfRule>
  </conditionalFormatting>
  <conditionalFormatting sqref="P84:P91">
    <cfRule type="cellIs" dxfId="3826" priority="190" operator="greaterThan">
      <formula>0</formula>
    </cfRule>
  </conditionalFormatting>
  <conditionalFormatting sqref="Q84:Q91">
    <cfRule type="cellIs" dxfId="3825" priority="195" operator="lessThan">
      <formula>0</formula>
    </cfRule>
  </conditionalFormatting>
  <conditionalFormatting sqref="R84:R91">
    <cfRule type="cellIs" dxfId="3824" priority="193" operator="lessThan">
      <formula>0.8</formula>
    </cfRule>
    <cfRule type="cellIs" dxfId="3823" priority="194" operator="greaterThan">
      <formula>1</formula>
    </cfRule>
  </conditionalFormatting>
  <conditionalFormatting sqref="R84:R91">
    <cfRule type="cellIs" dxfId="3822" priority="191" operator="greaterThan">
      <formula>1</formula>
    </cfRule>
    <cfRule type="cellIs" dxfId="3821" priority="192" operator="lessThan">
      <formula>0.8</formula>
    </cfRule>
  </conditionalFormatting>
  <conditionalFormatting sqref="R84:R91">
    <cfRule type="cellIs" dxfId="3820" priority="187" operator="lessThan">
      <formula>0.8</formula>
    </cfRule>
    <cfRule type="cellIs" dxfId="3819" priority="188" operator="greaterThan">
      <formula>1</formula>
    </cfRule>
  </conditionalFormatting>
  <conditionalFormatting sqref="R84:R91">
    <cfRule type="cellIs" dxfId="3818" priority="185" operator="greaterThan">
      <formula>1</formula>
    </cfRule>
    <cfRule type="cellIs" dxfId="3817" priority="186" operator="lessThan">
      <formula>0.8</formula>
    </cfRule>
  </conditionalFormatting>
  <conditionalFormatting sqref="P84:P91">
    <cfRule type="cellIs" dxfId="3816" priority="184" operator="greaterThan">
      <formula>0</formula>
    </cfRule>
  </conditionalFormatting>
  <conditionalFormatting sqref="Q84:Q91">
    <cfRule type="cellIs" dxfId="3815" priority="189" operator="lessThan">
      <formula>0</formula>
    </cfRule>
  </conditionalFormatting>
  <conditionalFormatting sqref="P84:P91">
    <cfRule type="cellIs" dxfId="3814" priority="178" operator="greaterThan">
      <formula>0</formula>
    </cfRule>
  </conditionalFormatting>
  <conditionalFormatting sqref="Q84:Q91">
    <cfRule type="cellIs" dxfId="3813" priority="183" operator="lessThan">
      <formula>0</formula>
    </cfRule>
  </conditionalFormatting>
  <conditionalFormatting sqref="R84:R91">
    <cfRule type="cellIs" dxfId="3812" priority="181" operator="lessThan">
      <formula>0.8</formula>
    </cfRule>
    <cfRule type="cellIs" dxfId="3811" priority="182" operator="greaterThan">
      <formula>1</formula>
    </cfRule>
  </conditionalFormatting>
  <conditionalFormatting sqref="R84:R91">
    <cfRule type="cellIs" dxfId="3810" priority="179" operator="greaterThan">
      <formula>1</formula>
    </cfRule>
    <cfRule type="cellIs" dxfId="3809" priority="180" operator="lessThan">
      <formula>0.8</formula>
    </cfRule>
  </conditionalFormatting>
  <conditionalFormatting sqref="R84:R91">
    <cfRule type="cellIs" dxfId="3808" priority="175" operator="lessThan">
      <formula>0.8</formula>
    </cfRule>
    <cfRule type="cellIs" dxfId="3807" priority="176" operator="greaterThan">
      <formula>1</formula>
    </cfRule>
  </conditionalFormatting>
  <conditionalFormatting sqref="R84:R91">
    <cfRule type="cellIs" dxfId="3806" priority="173" operator="greaterThan">
      <formula>1</formula>
    </cfRule>
    <cfRule type="cellIs" dxfId="3805" priority="174" operator="lessThan">
      <formula>0.8</formula>
    </cfRule>
  </conditionalFormatting>
  <conditionalFormatting sqref="P84:P91">
    <cfRule type="cellIs" dxfId="3804" priority="172" operator="greaterThan">
      <formula>0</formula>
    </cfRule>
  </conditionalFormatting>
  <conditionalFormatting sqref="Q84:Q91">
    <cfRule type="cellIs" dxfId="3803" priority="177" operator="lessThan">
      <formula>0</formula>
    </cfRule>
  </conditionalFormatting>
  <conditionalFormatting sqref="R84:R91">
    <cfRule type="cellIs" dxfId="3802" priority="169" operator="lessThan">
      <formula>0.8</formula>
    </cfRule>
    <cfRule type="cellIs" dxfId="3801" priority="170" operator="greaterThan">
      <formula>1</formula>
    </cfRule>
  </conditionalFormatting>
  <conditionalFormatting sqref="R84:R91">
    <cfRule type="cellIs" dxfId="3800" priority="167" operator="greaterThan">
      <formula>1</formula>
    </cfRule>
    <cfRule type="cellIs" dxfId="3799" priority="168" operator="lessThan">
      <formula>0.8</formula>
    </cfRule>
  </conditionalFormatting>
  <conditionalFormatting sqref="P84:P91">
    <cfRule type="cellIs" dxfId="3798" priority="166" operator="greaterThan">
      <formula>0</formula>
    </cfRule>
  </conditionalFormatting>
  <conditionalFormatting sqref="Q84:Q91">
    <cfRule type="cellIs" dxfId="3797" priority="171" operator="lessThan">
      <formula>0</formula>
    </cfRule>
  </conditionalFormatting>
  <conditionalFormatting sqref="Q84:Q91">
    <cfRule type="cellIs" dxfId="3796" priority="165" operator="lessThan">
      <formula>0</formula>
    </cfRule>
  </conditionalFormatting>
  <conditionalFormatting sqref="R84:R91">
    <cfRule type="cellIs" dxfId="3795" priority="163" operator="lessThan">
      <formula>0.8</formula>
    </cfRule>
    <cfRule type="cellIs" dxfId="3794" priority="164" operator="greaterThan">
      <formula>1</formula>
    </cfRule>
  </conditionalFormatting>
  <conditionalFormatting sqref="R84:R91">
    <cfRule type="cellIs" dxfId="3793" priority="161" operator="greaterThan">
      <formula>1</formula>
    </cfRule>
    <cfRule type="cellIs" dxfId="3792" priority="162" operator="lessThan">
      <formula>0.8</formula>
    </cfRule>
  </conditionalFormatting>
  <conditionalFormatting sqref="P84:P91">
    <cfRule type="cellIs" dxfId="3791" priority="160" operator="greaterThan">
      <formula>0</formula>
    </cfRule>
  </conditionalFormatting>
  <conditionalFormatting sqref="Q84:Q91">
    <cfRule type="cellIs" dxfId="3790" priority="154" operator="lessThan">
      <formula>0</formula>
    </cfRule>
  </conditionalFormatting>
  <conditionalFormatting sqref="R84:R91">
    <cfRule type="cellIs" dxfId="3789" priority="158" operator="lessThan">
      <formula>0.8</formula>
    </cfRule>
    <cfRule type="cellIs" dxfId="3788" priority="159" operator="greaterThan">
      <formula>1</formula>
    </cfRule>
  </conditionalFormatting>
  <conditionalFormatting sqref="R84:R91">
    <cfRule type="cellIs" dxfId="3787" priority="156" operator="greaterThan">
      <formula>1</formula>
    </cfRule>
    <cfRule type="cellIs" dxfId="3786" priority="157" operator="lessThan">
      <formula>0.8</formula>
    </cfRule>
  </conditionalFormatting>
  <conditionalFormatting sqref="P84:P91">
    <cfRule type="cellIs" dxfId="3785" priority="155" operator="greaterThan">
      <formula>0</formula>
    </cfRule>
  </conditionalFormatting>
  <conditionalFormatting sqref="Q84:Q91">
    <cfRule type="cellIs" dxfId="3784" priority="153" operator="lessThan">
      <formula>0</formula>
    </cfRule>
  </conditionalFormatting>
  <conditionalFormatting sqref="R84:R91">
    <cfRule type="cellIs" dxfId="3783" priority="151" operator="lessThan">
      <formula>0.8</formula>
    </cfRule>
    <cfRule type="cellIs" dxfId="3782" priority="152" operator="greaterThan">
      <formula>1</formula>
    </cfRule>
  </conditionalFormatting>
  <conditionalFormatting sqref="R84:R91">
    <cfRule type="cellIs" dxfId="3781" priority="149" operator="greaterThan">
      <formula>1</formula>
    </cfRule>
    <cfRule type="cellIs" dxfId="3780" priority="150" operator="lessThan">
      <formula>0.8</formula>
    </cfRule>
  </conditionalFormatting>
  <conditionalFormatting sqref="P84:P91">
    <cfRule type="cellIs" dxfId="3779" priority="148" operator="greaterThan">
      <formula>0</formula>
    </cfRule>
  </conditionalFormatting>
  <conditionalFormatting sqref="Q84:Q91">
    <cfRule type="cellIs" dxfId="3778" priority="147" operator="lessThan">
      <formula>0</formula>
    </cfRule>
  </conditionalFormatting>
  <conditionalFormatting sqref="R84:R91">
    <cfRule type="cellIs" dxfId="3777" priority="145" operator="lessThan">
      <formula>0.8</formula>
    </cfRule>
    <cfRule type="cellIs" dxfId="3776" priority="146" operator="greaterThan">
      <formula>1</formula>
    </cfRule>
  </conditionalFormatting>
  <conditionalFormatting sqref="R84:R91">
    <cfRule type="cellIs" dxfId="3775" priority="143" operator="greaterThan">
      <formula>1</formula>
    </cfRule>
    <cfRule type="cellIs" dxfId="3774" priority="144" operator="lessThan">
      <formula>0.8</formula>
    </cfRule>
  </conditionalFormatting>
  <conditionalFormatting sqref="P84:P91">
    <cfRule type="cellIs" dxfId="3773" priority="142" operator="greaterThan">
      <formula>0</formula>
    </cfRule>
  </conditionalFormatting>
  <conditionalFormatting sqref="Q84:Q91">
    <cfRule type="cellIs" dxfId="3772" priority="141" operator="lessThan">
      <formula>0</formula>
    </cfRule>
  </conditionalFormatting>
  <conditionalFormatting sqref="R84:R91">
    <cfRule type="cellIs" dxfId="3771" priority="139" operator="lessThan">
      <formula>0.8</formula>
    </cfRule>
    <cfRule type="cellIs" dxfId="3770" priority="140" operator="greaterThan">
      <formula>1</formula>
    </cfRule>
  </conditionalFormatting>
  <conditionalFormatting sqref="R84:R91">
    <cfRule type="cellIs" dxfId="3769" priority="137" operator="greaterThan">
      <formula>1</formula>
    </cfRule>
    <cfRule type="cellIs" dxfId="3768" priority="138" operator="lessThan">
      <formula>0.8</formula>
    </cfRule>
  </conditionalFormatting>
  <conditionalFormatting sqref="P84:P91">
    <cfRule type="cellIs" dxfId="3767" priority="136" operator="greaterThan">
      <formula>0</formula>
    </cfRule>
  </conditionalFormatting>
  <conditionalFormatting sqref="Q84:Q91">
    <cfRule type="cellIs" dxfId="3766" priority="135" operator="lessThan">
      <formula>0</formula>
    </cfRule>
  </conditionalFormatting>
  <conditionalFormatting sqref="R84:R91">
    <cfRule type="cellIs" dxfId="3765" priority="133" operator="lessThan">
      <formula>0.8</formula>
    </cfRule>
    <cfRule type="cellIs" dxfId="3764" priority="134" operator="greaterThan">
      <formula>1</formula>
    </cfRule>
  </conditionalFormatting>
  <conditionalFormatting sqref="R84:R91">
    <cfRule type="cellIs" dxfId="3763" priority="131" operator="greaterThan">
      <formula>1</formula>
    </cfRule>
    <cfRule type="cellIs" dxfId="3762" priority="132" operator="lessThan">
      <formula>0.8</formula>
    </cfRule>
  </conditionalFormatting>
  <conditionalFormatting sqref="P84:P91">
    <cfRule type="cellIs" dxfId="3761" priority="130" operator="greaterThan">
      <formula>0</formula>
    </cfRule>
  </conditionalFormatting>
  <conditionalFormatting sqref="Q84:Q91">
    <cfRule type="cellIs" dxfId="3760" priority="129" operator="lessThan">
      <formula>0</formula>
    </cfRule>
  </conditionalFormatting>
  <conditionalFormatting sqref="R84:R91">
    <cfRule type="cellIs" dxfId="3759" priority="127" operator="lessThan">
      <formula>0.8</formula>
    </cfRule>
    <cfRule type="cellIs" dxfId="3758" priority="128" operator="greaterThan">
      <formula>1</formula>
    </cfRule>
  </conditionalFormatting>
  <conditionalFormatting sqref="R84:R91">
    <cfRule type="cellIs" dxfId="3757" priority="125" operator="greaterThan">
      <formula>1</formula>
    </cfRule>
    <cfRule type="cellIs" dxfId="3756" priority="126" operator="lessThan">
      <formula>0.8</formula>
    </cfRule>
  </conditionalFormatting>
  <conditionalFormatting sqref="P84:P91">
    <cfRule type="cellIs" dxfId="3755" priority="124" operator="greaterThan">
      <formula>0</formula>
    </cfRule>
  </conditionalFormatting>
  <conditionalFormatting sqref="P84:P91">
    <cfRule type="cellIs" dxfId="3754" priority="118" operator="greaterThan">
      <formula>0</formula>
    </cfRule>
  </conditionalFormatting>
  <conditionalFormatting sqref="Q84:Q91">
    <cfRule type="cellIs" dxfId="3753" priority="123" operator="lessThan">
      <formula>0</formula>
    </cfRule>
  </conditionalFormatting>
  <conditionalFormatting sqref="R84:R91">
    <cfRule type="cellIs" dxfId="3752" priority="121" operator="lessThan">
      <formula>0.8</formula>
    </cfRule>
    <cfRule type="cellIs" dxfId="3751" priority="122" operator="greaterThan">
      <formula>1</formula>
    </cfRule>
  </conditionalFormatting>
  <conditionalFormatting sqref="R84:R91">
    <cfRule type="cellIs" dxfId="3750" priority="119" operator="greaterThan">
      <formula>1</formula>
    </cfRule>
    <cfRule type="cellIs" dxfId="3749" priority="120" operator="lessThan">
      <formula>0.8</formula>
    </cfRule>
  </conditionalFormatting>
  <conditionalFormatting sqref="P84:P91">
    <cfRule type="cellIs" dxfId="3748" priority="112" operator="greaterThan">
      <formula>0</formula>
    </cfRule>
  </conditionalFormatting>
  <conditionalFormatting sqref="Q84:Q91">
    <cfRule type="cellIs" dxfId="3747" priority="117" operator="lessThan">
      <formula>0</formula>
    </cfRule>
  </conditionalFormatting>
  <conditionalFormatting sqref="R84:R91">
    <cfRule type="cellIs" dxfId="3746" priority="115" operator="lessThan">
      <formula>0.8</formula>
    </cfRule>
    <cfRule type="cellIs" dxfId="3745" priority="116" operator="greaterThan">
      <formula>1</formula>
    </cfRule>
  </conditionalFormatting>
  <conditionalFormatting sqref="R84:R91">
    <cfRule type="cellIs" dxfId="3744" priority="113" operator="greaterThan">
      <formula>1</formula>
    </cfRule>
    <cfRule type="cellIs" dxfId="3743" priority="114" operator="lessThan">
      <formula>0.8</formula>
    </cfRule>
  </conditionalFormatting>
  <conditionalFormatting sqref="R84:R91">
    <cfRule type="cellIs" dxfId="3742" priority="109" operator="lessThan">
      <formula>0.8</formula>
    </cfRule>
    <cfRule type="cellIs" dxfId="3741" priority="110" operator="greaterThan">
      <formula>1</formula>
    </cfRule>
  </conditionalFormatting>
  <conditionalFormatting sqref="R84:R91">
    <cfRule type="cellIs" dxfId="3740" priority="107" operator="greaterThan">
      <formula>1</formula>
    </cfRule>
    <cfRule type="cellIs" dxfId="3739" priority="108" operator="lessThan">
      <formula>0.8</formula>
    </cfRule>
  </conditionalFormatting>
  <conditionalFormatting sqref="P84:P91">
    <cfRule type="cellIs" dxfId="3738" priority="106" operator="greaterThan">
      <formula>0</formula>
    </cfRule>
  </conditionalFormatting>
  <conditionalFormatting sqref="Q84:Q91">
    <cfRule type="cellIs" dxfId="3737" priority="111" operator="lessThan">
      <formula>0</formula>
    </cfRule>
  </conditionalFormatting>
  <conditionalFormatting sqref="Q84:Q91">
    <cfRule type="cellIs" dxfId="3736" priority="100" operator="lessThan">
      <formula>0</formula>
    </cfRule>
  </conditionalFormatting>
  <conditionalFormatting sqref="P84:P91">
    <cfRule type="cellIs" dxfId="3735" priority="101" operator="greaterThan">
      <formula>0</formula>
    </cfRule>
  </conditionalFormatting>
  <conditionalFormatting sqref="R84:R91">
    <cfRule type="cellIs" dxfId="3734" priority="104" operator="lessThan">
      <formula>0.8</formula>
    </cfRule>
    <cfRule type="cellIs" dxfId="3733" priority="105" operator="greaterThan">
      <formula>1</formula>
    </cfRule>
  </conditionalFormatting>
  <conditionalFormatting sqref="R84:R91">
    <cfRule type="cellIs" dxfId="3732" priority="102" operator="greaterThan">
      <formula>1</formula>
    </cfRule>
    <cfRule type="cellIs" dxfId="3731" priority="103" operator="lessThan">
      <formula>0.8</formula>
    </cfRule>
  </conditionalFormatting>
  <conditionalFormatting sqref="Q84:Q91">
    <cfRule type="cellIs" dxfId="3730" priority="94" operator="lessThan">
      <formula>0</formula>
    </cfRule>
  </conditionalFormatting>
  <conditionalFormatting sqref="R84:R91">
    <cfRule type="cellIs" dxfId="3729" priority="98" operator="lessThan">
      <formula>0.8</formula>
    </cfRule>
    <cfRule type="cellIs" dxfId="3728" priority="99" operator="greaterThan">
      <formula>1</formula>
    </cfRule>
  </conditionalFormatting>
  <conditionalFormatting sqref="R84:R91">
    <cfRule type="cellIs" dxfId="3727" priority="96" operator="greaterThan">
      <formula>1</formula>
    </cfRule>
    <cfRule type="cellIs" dxfId="3726" priority="97" operator="lessThan">
      <formula>0.8</formula>
    </cfRule>
  </conditionalFormatting>
  <conditionalFormatting sqref="P84:P91">
    <cfRule type="cellIs" dxfId="3725" priority="95" operator="greaterThan">
      <formula>0</formula>
    </cfRule>
  </conditionalFormatting>
  <conditionalFormatting sqref="Q84:Q91">
    <cfRule type="cellIs" dxfId="3724" priority="93" operator="lessThan">
      <formula>0</formula>
    </cfRule>
  </conditionalFormatting>
  <conditionalFormatting sqref="R84:R91">
    <cfRule type="cellIs" dxfId="3723" priority="91" operator="lessThan">
      <formula>0.8</formula>
    </cfRule>
    <cfRule type="cellIs" dxfId="3722" priority="92" operator="greaterThan">
      <formula>1</formula>
    </cfRule>
  </conditionalFormatting>
  <conditionalFormatting sqref="R84:R91">
    <cfRule type="cellIs" dxfId="3721" priority="89" operator="greaterThan">
      <formula>1</formula>
    </cfRule>
    <cfRule type="cellIs" dxfId="3720" priority="90" operator="lessThan">
      <formula>0.8</formula>
    </cfRule>
  </conditionalFormatting>
  <conditionalFormatting sqref="P84:P91">
    <cfRule type="cellIs" dxfId="3719" priority="88" operator="greaterThan">
      <formula>0</formula>
    </cfRule>
  </conditionalFormatting>
  <conditionalFormatting sqref="Q84:Q91">
    <cfRule type="cellIs" dxfId="3718" priority="87" operator="lessThan">
      <formula>0</formula>
    </cfRule>
  </conditionalFormatting>
  <conditionalFormatting sqref="R84:R91">
    <cfRule type="cellIs" dxfId="3717" priority="85" operator="lessThan">
      <formula>0.8</formula>
    </cfRule>
    <cfRule type="cellIs" dxfId="3716" priority="86" operator="greaterThan">
      <formula>1</formula>
    </cfRule>
  </conditionalFormatting>
  <conditionalFormatting sqref="R84:R91">
    <cfRule type="cellIs" dxfId="3715" priority="83" operator="greaterThan">
      <formula>1</formula>
    </cfRule>
    <cfRule type="cellIs" dxfId="3714" priority="84" operator="lessThan">
      <formula>0.8</formula>
    </cfRule>
  </conditionalFormatting>
  <conditionalFormatting sqref="P84:P91">
    <cfRule type="cellIs" dxfId="3713" priority="82" operator="greaterThan">
      <formula>0</formula>
    </cfRule>
  </conditionalFormatting>
  <conditionalFormatting sqref="Q84:Q91">
    <cfRule type="cellIs" dxfId="3712" priority="81" operator="lessThan">
      <formula>0</formula>
    </cfRule>
  </conditionalFormatting>
  <conditionalFormatting sqref="R84:R91">
    <cfRule type="cellIs" dxfId="3711" priority="79" operator="lessThan">
      <formula>0.8</formula>
    </cfRule>
    <cfRule type="cellIs" dxfId="3710" priority="80" operator="greaterThan">
      <formula>1</formula>
    </cfRule>
  </conditionalFormatting>
  <conditionalFormatting sqref="R84:R91">
    <cfRule type="cellIs" dxfId="3709" priority="77" operator="greaterThan">
      <formula>1</formula>
    </cfRule>
    <cfRule type="cellIs" dxfId="3708" priority="78" operator="lessThan">
      <formula>0.8</formula>
    </cfRule>
  </conditionalFormatting>
  <conditionalFormatting sqref="P84:P91">
    <cfRule type="cellIs" dxfId="3707" priority="76" operator="greaterThan">
      <formula>0</formula>
    </cfRule>
  </conditionalFormatting>
  <conditionalFormatting sqref="Q162:Q166">
    <cfRule type="cellIs" dxfId="3706" priority="75" operator="lessThan">
      <formula>0</formula>
    </cfRule>
  </conditionalFormatting>
  <conditionalFormatting sqref="R162:R166">
    <cfRule type="cellIs" dxfId="3705" priority="73" operator="lessThan">
      <formula>0.8</formula>
    </cfRule>
    <cfRule type="cellIs" dxfId="3704" priority="74" operator="greaterThan">
      <formula>1</formula>
    </cfRule>
  </conditionalFormatting>
  <conditionalFormatting sqref="R162:R166">
    <cfRule type="cellIs" dxfId="3703" priority="71" operator="greaterThan">
      <formula>1</formula>
    </cfRule>
    <cfRule type="cellIs" dxfId="3702" priority="72" operator="lessThan">
      <formula>0.8</formula>
    </cfRule>
  </conditionalFormatting>
  <conditionalFormatting sqref="P162:P166">
    <cfRule type="cellIs" dxfId="3701" priority="70" operator="greaterThan">
      <formula>0</formula>
    </cfRule>
  </conditionalFormatting>
  <conditionalFormatting sqref="P167:P168">
    <cfRule type="cellIs" dxfId="3700" priority="64" operator="greaterThan">
      <formula>0</formula>
    </cfRule>
  </conditionalFormatting>
  <conditionalFormatting sqref="R167:R168">
    <cfRule type="cellIs" dxfId="3699" priority="67" operator="lessThan">
      <formula>0.8</formula>
    </cfRule>
    <cfRule type="cellIs" dxfId="3698" priority="68" operator="greaterThan">
      <formula>1</formula>
    </cfRule>
  </conditionalFormatting>
  <conditionalFormatting sqref="R167:R168">
    <cfRule type="cellIs" dxfId="3697" priority="65" operator="greaterThan">
      <formula>1</formula>
    </cfRule>
    <cfRule type="cellIs" dxfId="3696" priority="66" operator="lessThan">
      <formula>0.8</formula>
    </cfRule>
  </conditionalFormatting>
  <conditionalFormatting sqref="Q167:Q168">
    <cfRule type="cellIs" dxfId="3695" priority="69" operator="lessThan">
      <formula>0</formula>
    </cfRule>
  </conditionalFormatting>
  <conditionalFormatting sqref="Q161">
    <cfRule type="cellIs" dxfId="3694" priority="63" operator="lessThan">
      <formula>0</formula>
    </cfRule>
  </conditionalFormatting>
  <conditionalFormatting sqref="R161">
    <cfRule type="cellIs" dxfId="3693" priority="61" operator="lessThan">
      <formula>0.8</formula>
    </cfRule>
    <cfRule type="cellIs" dxfId="3692" priority="62" operator="greaterThan">
      <formula>1</formula>
    </cfRule>
  </conditionalFormatting>
  <conditionalFormatting sqref="R161">
    <cfRule type="cellIs" dxfId="3691" priority="59" operator="greaterThan">
      <formula>1</formula>
    </cfRule>
    <cfRule type="cellIs" dxfId="3690" priority="60" operator="lessThan">
      <formula>0.8</formula>
    </cfRule>
  </conditionalFormatting>
  <conditionalFormatting sqref="P161">
    <cfRule type="cellIs" dxfId="3689" priority="58" operator="greaterThan">
      <formula>0</formula>
    </cfRule>
  </conditionalFormatting>
  <conditionalFormatting sqref="Q162:Q166">
    <cfRule type="cellIs" dxfId="3688" priority="57" operator="lessThan">
      <formula>0</formula>
    </cfRule>
  </conditionalFormatting>
  <conditionalFormatting sqref="R162:R166">
    <cfRule type="cellIs" dxfId="3687" priority="55" operator="lessThan">
      <formula>0.8</formula>
    </cfRule>
    <cfRule type="cellIs" dxfId="3686" priority="56" operator="greaterThan">
      <formula>1</formula>
    </cfRule>
  </conditionalFormatting>
  <conditionalFormatting sqref="R162:R166">
    <cfRule type="cellIs" dxfId="3685" priority="53" operator="greaterThan">
      <formula>1</formula>
    </cfRule>
    <cfRule type="cellIs" dxfId="3684" priority="54" operator="lessThan">
      <formula>0.8</formula>
    </cfRule>
  </conditionalFormatting>
  <conditionalFormatting sqref="P162:P166">
    <cfRule type="cellIs" dxfId="3683" priority="52" operator="greaterThan">
      <formula>0</formula>
    </cfRule>
  </conditionalFormatting>
  <conditionalFormatting sqref="Q162:Q166">
    <cfRule type="cellIs" dxfId="3682" priority="51" operator="lessThan">
      <formula>0</formula>
    </cfRule>
  </conditionalFormatting>
  <conditionalFormatting sqref="R162:R166">
    <cfRule type="cellIs" dxfId="3681" priority="49" operator="lessThan">
      <formula>0.8</formula>
    </cfRule>
    <cfRule type="cellIs" dxfId="3680" priority="50" operator="greaterThan">
      <formula>1</formula>
    </cfRule>
  </conditionalFormatting>
  <conditionalFormatting sqref="R162:R166">
    <cfRule type="cellIs" dxfId="3679" priority="47" operator="greaterThan">
      <formula>1</formula>
    </cfRule>
    <cfRule type="cellIs" dxfId="3678" priority="48" operator="lessThan">
      <formula>0.8</formula>
    </cfRule>
  </conditionalFormatting>
  <conditionalFormatting sqref="P162:P166">
    <cfRule type="cellIs" dxfId="3677" priority="46" operator="greaterThan">
      <formula>0</formula>
    </cfRule>
  </conditionalFormatting>
  <conditionalFormatting sqref="Q167:Q168">
    <cfRule type="cellIs" dxfId="3676" priority="45" operator="lessThan">
      <formula>0</formula>
    </cfRule>
  </conditionalFormatting>
  <conditionalFormatting sqref="R167:R168">
    <cfRule type="cellIs" dxfId="3675" priority="43" operator="lessThan">
      <formula>0.8</formula>
    </cfRule>
    <cfRule type="cellIs" dxfId="3674" priority="44" operator="greaterThan">
      <formula>1</formula>
    </cfRule>
  </conditionalFormatting>
  <conditionalFormatting sqref="R167:R168">
    <cfRule type="cellIs" dxfId="3673" priority="41" operator="greaterThan">
      <formula>1</formula>
    </cfRule>
    <cfRule type="cellIs" dxfId="3672" priority="42" operator="lessThan">
      <formula>0.8</formula>
    </cfRule>
  </conditionalFormatting>
  <conditionalFormatting sqref="P167:P168">
    <cfRule type="cellIs" dxfId="3671" priority="40" operator="greaterThan">
      <formula>0</formula>
    </cfRule>
  </conditionalFormatting>
  <conditionalFormatting sqref="Q161">
    <cfRule type="cellIs" dxfId="3670" priority="39" operator="lessThan">
      <formula>0</formula>
    </cfRule>
  </conditionalFormatting>
  <conditionalFormatting sqref="R161">
    <cfRule type="cellIs" dxfId="3669" priority="37" operator="lessThan">
      <formula>0.8</formula>
    </cfRule>
    <cfRule type="cellIs" dxfId="3668" priority="38" operator="greaterThan">
      <formula>1</formula>
    </cfRule>
  </conditionalFormatting>
  <conditionalFormatting sqref="R161">
    <cfRule type="cellIs" dxfId="3667" priority="35" operator="greaterThan">
      <formula>1</formula>
    </cfRule>
    <cfRule type="cellIs" dxfId="3666" priority="36" operator="lessThan">
      <formula>0.8</formula>
    </cfRule>
  </conditionalFormatting>
  <conditionalFormatting sqref="P161">
    <cfRule type="cellIs" dxfId="3665" priority="34" operator="greaterThan">
      <formula>0</formula>
    </cfRule>
  </conditionalFormatting>
  <conditionalFormatting sqref="Q162:Q166">
    <cfRule type="cellIs" dxfId="3664" priority="33" operator="lessThan">
      <formula>0</formula>
    </cfRule>
  </conditionalFormatting>
  <conditionalFormatting sqref="R162:R166">
    <cfRule type="cellIs" dxfId="3663" priority="31" operator="lessThan">
      <formula>0.8</formula>
    </cfRule>
    <cfRule type="cellIs" dxfId="3662" priority="32" operator="greaterThan">
      <formula>1</formula>
    </cfRule>
  </conditionalFormatting>
  <conditionalFormatting sqref="R162:R166">
    <cfRule type="cellIs" dxfId="3661" priority="29" operator="greaterThan">
      <formula>1</formula>
    </cfRule>
    <cfRule type="cellIs" dxfId="3660" priority="30" operator="lessThan">
      <formula>0.8</formula>
    </cfRule>
  </conditionalFormatting>
  <conditionalFormatting sqref="P162:P166">
    <cfRule type="cellIs" dxfId="3659" priority="28" operator="greaterThan">
      <formula>0</formula>
    </cfRule>
  </conditionalFormatting>
  <conditionalFormatting sqref="Q161">
    <cfRule type="cellIs" dxfId="3658" priority="27" operator="lessThan">
      <formula>0</formula>
    </cfRule>
  </conditionalFormatting>
  <conditionalFormatting sqref="R161">
    <cfRule type="cellIs" dxfId="3657" priority="25" operator="lessThan">
      <formula>0.8</formula>
    </cfRule>
    <cfRule type="cellIs" dxfId="3656" priority="26" operator="greaterThan">
      <formula>1</formula>
    </cfRule>
  </conditionalFormatting>
  <conditionalFormatting sqref="R161">
    <cfRule type="cellIs" dxfId="3655" priority="23" operator="greaterThan">
      <formula>1</formula>
    </cfRule>
    <cfRule type="cellIs" dxfId="3654" priority="24" operator="lessThan">
      <formula>0.8</formula>
    </cfRule>
  </conditionalFormatting>
  <conditionalFormatting sqref="P161">
    <cfRule type="cellIs" dxfId="3653" priority="22" operator="greaterThan">
      <formula>0</formula>
    </cfRule>
  </conditionalFormatting>
  <conditionalFormatting sqref="Q162:Q166">
    <cfRule type="cellIs" dxfId="3652" priority="21" operator="lessThan">
      <formula>0</formula>
    </cfRule>
  </conditionalFormatting>
  <conditionalFormatting sqref="R162:R166">
    <cfRule type="cellIs" dxfId="3651" priority="19" operator="lessThan">
      <formula>0.8</formula>
    </cfRule>
    <cfRule type="cellIs" dxfId="3650" priority="20" operator="greaterThan">
      <formula>1</formula>
    </cfRule>
  </conditionalFormatting>
  <conditionalFormatting sqref="R162:R166">
    <cfRule type="cellIs" dxfId="3649" priority="17" operator="greaterThan">
      <formula>1</formula>
    </cfRule>
    <cfRule type="cellIs" dxfId="3648" priority="18" operator="lessThan">
      <formula>0.8</formula>
    </cfRule>
  </conditionalFormatting>
  <conditionalFormatting sqref="P162:P166">
    <cfRule type="cellIs" dxfId="3647" priority="16" operator="greaterThan">
      <formula>0</formula>
    </cfRule>
  </conditionalFormatting>
  <conditionalFormatting sqref="Q161">
    <cfRule type="cellIs" dxfId="3646" priority="15" operator="lessThan">
      <formula>0</formula>
    </cfRule>
  </conditionalFormatting>
  <conditionalFormatting sqref="R161">
    <cfRule type="cellIs" dxfId="3645" priority="13" operator="lessThan">
      <formula>0.8</formula>
    </cfRule>
    <cfRule type="cellIs" dxfId="3644" priority="14" operator="greaterThan">
      <formula>1</formula>
    </cfRule>
  </conditionalFormatting>
  <conditionalFormatting sqref="R161">
    <cfRule type="cellIs" dxfId="3643" priority="11" operator="greaterThan">
      <formula>1</formula>
    </cfRule>
    <cfRule type="cellIs" dxfId="3642" priority="12" operator="lessThan">
      <formula>0.8</formula>
    </cfRule>
  </conditionalFormatting>
  <conditionalFormatting sqref="P161">
    <cfRule type="cellIs" dxfId="3641" priority="10" operator="greaterThan">
      <formula>0</formula>
    </cfRule>
  </conditionalFormatting>
  <conditionalFormatting sqref="P167:P168">
    <cfRule type="cellIs" dxfId="3640" priority="4" operator="greaterThan">
      <formula>0</formula>
    </cfRule>
  </conditionalFormatting>
  <conditionalFormatting sqref="R167:R168">
    <cfRule type="cellIs" dxfId="3639" priority="7" operator="lessThan">
      <formula>0.8</formula>
    </cfRule>
    <cfRule type="cellIs" dxfId="3638" priority="8" operator="greaterThan">
      <formula>1</formula>
    </cfRule>
  </conditionalFormatting>
  <conditionalFormatting sqref="R167:R168">
    <cfRule type="cellIs" dxfId="3637" priority="5" operator="greaterThan">
      <formula>1</formula>
    </cfRule>
    <cfRule type="cellIs" dxfId="3636" priority="6" operator="lessThan">
      <formula>0.8</formula>
    </cfRule>
  </conditionalFormatting>
  <conditionalFormatting sqref="Q167:Q168">
    <cfRule type="cellIs" dxfId="3635" priority="9" operator="lessThan">
      <formula>0</formula>
    </cfRule>
  </conditionalFormatting>
  <conditionalFormatting sqref="AF30">
    <cfRule type="cellIs" dxfId="3634" priority="3" operator="lessThan">
      <formula>0</formula>
    </cfRule>
  </conditionalFormatting>
  <conditionalFormatting sqref="AG30">
    <cfRule type="cellIs" dxfId="3633" priority="1" operator="greaterThan">
      <formula>1</formula>
    </cfRule>
    <cfRule type="cellIs" dxfId="3632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L68" sqref="L68"/>
    </sheetView>
  </sheetViews>
  <sheetFormatPr defaultColWidth="8.125" defaultRowHeight="15.75"/>
  <cols>
    <col min="1" max="1" width="8.125" style="2"/>
    <col min="2" max="2" width="7.125" style="2" customWidth="1"/>
    <col min="3" max="3" width="7.125" style="61" customWidth="1"/>
    <col min="4" max="17" width="14.125" style="2" customWidth="1"/>
    <col min="18" max="21" width="9.625" style="2" customWidth="1"/>
    <col min="22" max="22" width="11.125" style="2" customWidth="1"/>
    <col min="23" max="23" width="11.5" style="2" customWidth="1"/>
    <col min="24" max="16384" width="8.125" style="2"/>
  </cols>
  <sheetData>
    <row r="1" spans="2:17" ht="27.75" customHeight="1">
      <c r="B1" s="527" t="s">
        <v>0</v>
      </c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9"/>
      <c r="N1" s="1"/>
      <c r="O1" s="1"/>
    </row>
    <row r="2" spans="2:17" ht="27.75" customHeight="1">
      <c r="B2" s="527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9"/>
      <c r="N2" s="1"/>
      <c r="O2" s="1"/>
    </row>
    <row r="3" spans="2:17" ht="46.5" customHeight="1">
      <c r="B3" s="521" t="s">
        <v>1</v>
      </c>
      <c r="C3" s="522"/>
      <c r="D3" s="530" t="s">
        <v>396</v>
      </c>
      <c r="E3" s="531"/>
      <c r="F3" s="521" t="s">
        <v>2</v>
      </c>
      <c r="G3" s="522"/>
      <c r="H3" s="532">
        <v>200076.55</v>
      </c>
      <c r="I3" s="533"/>
      <c r="J3" s="521" t="s">
        <v>3</v>
      </c>
      <c r="K3" s="522"/>
      <c r="L3" s="534">
        <v>6429616.260657303</v>
      </c>
      <c r="M3" s="535"/>
      <c r="N3" s="3"/>
    </row>
    <row r="4" spans="2:17" ht="24" customHeight="1">
      <c r="B4" s="521" t="s">
        <v>4</v>
      </c>
      <c r="C4" s="522"/>
      <c r="D4" s="513" t="s">
        <v>5</v>
      </c>
      <c r="E4" s="514"/>
      <c r="F4" s="525" t="s">
        <v>6</v>
      </c>
      <c r="G4" s="526"/>
      <c r="H4" s="525" t="s">
        <v>7</v>
      </c>
      <c r="I4" s="526"/>
      <c r="J4" s="525" t="s">
        <v>8</v>
      </c>
      <c r="K4" s="526"/>
      <c r="L4" s="525" t="s">
        <v>9</v>
      </c>
      <c r="M4" s="526"/>
      <c r="N4" s="505" t="s">
        <v>10</v>
      </c>
      <c r="O4" s="506"/>
      <c r="P4" s="506" t="s">
        <v>11</v>
      </c>
      <c r="Q4" s="506"/>
    </row>
    <row r="5" spans="2:17" ht="24" customHeight="1">
      <c r="B5" s="507" t="s">
        <v>12</v>
      </c>
      <c r="C5" s="508"/>
      <c r="D5" s="513" t="s">
        <v>13</v>
      </c>
      <c r="E5" s="514"/>
      <c r="F5" s="513" t="s">
        <v>14</v>
      </c>
      <c r="G5" s="514"/>
      <c r="H5" s="515" t="s">
        <v>15</v>
      </c>
      <c r="I5" s="516"/>
      <c r="J5" s="517" t="s">
        <v>16</v>
      </c>
      <c r="K5" s="518"/>
      <c r="L5" s="519" t="s">
        <v>17</v>
      </c>
      <c r="M5" s="520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509"/>
      <c r="C6" s="510"/>
      <c r="D6" s="521" t="s">
        <v>21</v>
      </c>
      <c r="E6" s="522"/>
      <c r="F6" s="523">
        <f>AVERAGE(D13:O13,P13:Q13,D30:F30,H30,J30:L30)</f>
        <v>349.11062396072515</v>
      </c>
      <c r="G6" s="524"/>
      <c r="H6" s="499">
        <f>AVERAGE(D13:P13,Q13)</f>
        <v>136.52307879823061</v>
      </c>
      <c r="I6" s="500"/>
      <c r="J6" s="499">
        <f>AVERAGE(D30:F30,H30)</f>
        <v>717.5</v>
      </c>
      <c r="K6" s="500"/>
      <c r="L6" s="501">
        <f>AVERAGE(J30:L30)</f>
        <v>850</v>
      </c>
      <c r="M6" s="502"/>
      <c r="N6" s="503">
        <v>0</v>
      </c>
      <c r="O6" s="488">
        <v>0</v>
      </c>
      <c r="P6" s="504">
        <v>4</v>
      </c>
      <c r="Q6" s="488">
        <v>1</v>
      </c>
    </row>
    <row r="7" spans="2:17" s="674" customFormat="1" ht="39.6" customHeight="1">
      <c r="B7" s="509"/>
      <c r="C7" s="510"/>
      <c r="D7" s="489" t="s">
        <v>22</v>
      </c>
      <c r="E7" s="490"/>
      <c r="F7" s="491">
        <f>AVERAGE(D14:O14,P14:Q14,D31:F31,J31:L31,H31)</f>
        <v>320.90913503233554</v>
      </c>
      <c r="G7" s="492"/>
      <c r="H7" s="493">
        <f>AVERAGE(D14:P14,Q14)</f>
        <v>117.70652890645367</v>
      </c>
      <c r="I7" s="494"/>
      <c r="J7" s="493">
        <f>AVERAGE(D31:F31,H31)</f>
        <v>709.87123208917149</v>
      </c>
      <c r="K7" s="494"/>
      <c r="L7" s="495">
        <f>AVERAGE(J31:L31)</f>
        <v>750.57183421066986</v>
      </c>
      <c r="M7" s="496"/>
      <c r="N7" s="503"/>
      <c r="O7" s="488"/>
      <c r="P7" s="504"/>
      <c r="Q7" s="488"/>
    </row>
    <row r="8" spans="2:17" s="674" customFormat="1" ht="39.6" customHeight="1">
      <c r="B8" s="511"/>
      <c r="C8" s="512"/>
      <c r="D8" s="489" t="s">
        <v>23</v>
      </c>
      <c r="E8" s="490"/>
      <c r="F8" s="497">
        <f>AVERAGE(D15:O15,P15:Q15,D32:F32,H32,J32:K32,L32)</f>
        <v>0.88202702098417418</v>
      </c>
      <c r="G8" s="498"/>
      <c r="H8" s="497">
        <f>AVERAGE(D15:O15,P15:Q15)</f>
        <v>0.85799190103630907</v>
      </c>
      <c r="I8" s="498"/>
      <c r="J8" s="497">
        <f>AVERAGE(D32:F32,H32)</f>
        <v>0.96790910502818628</v>
      </c>
      <c r="K8" s="498"/>
      <c r="L8" s="497">
        <f>AVERAGE(J32:L32)</f>
        <v>0.8796814686821951</v>
      </c>
      <c r="M8" s="498"/>
      <c r="N8" s="503"/>
      <c r="O8" s="488"/>
      <c r="P8" s="504"/>
      <c r="Q8" s="48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462" t="s">
        <v>24</v>
      </c>
      <c r="C10" s="484"/>
      <c r="D10" s="485" t="s">
        <v>25</v>
      </c>
      <c r="E10" s="486"/>
      <c r="F10" s="486"/>
      <c r="G10" s="486"/>
      <c r="H10" s="486"/>
      <c r="I10" s="486"/>
      <c r="J10" s="486"/>
      <c r="K10" s="486"/>
      <c r="L10" s="486"/>
      <c r="M10" s="486"/>
      <c r="N10" s="486"/>
      <c r="O10" s="486"/>
      <c r="P10" s="486"/>
      <c r="Q10" s="487"/>
    </row>
    <row r="11" spans="2:17" ht="17.25" customHeight="1">
      <c r="B11" s="470" t="s">
        <v>26</v>
      </c>
      <c r="C11" s="47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50000000000003" customHeight="1">
      <c r="B12" s="472"/>
      <c r="C12" s="473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50000000000003" customHeight="1">
      <c r="B13" s="474" t="s">
        <v>41</v>
      </c>
      <c r="C13" s="14" t="s">
        <v>42</v>
      </c>
      <c r="D13" s="15">
        <v>114.32079654473877</v>
      </c>
      <c r="E13" s="15">
        <v>95.550108932461868</v>
      </c>
      <c r="F13" s="15">
        <v>134.8294413919414</v>
      </c>
      <c r="G13" s="15">
        <v>388.24999999999994</v>
      </c>
      <c r="H13" s="15">
        <v>250</v>
      </c>
      <c r="I13" s="15">
        <v>90.079365079365061</v>
      </c>
      <c r="J13" s="15">
        <v>73.69736842105263</v>
      </c>
      <c r="K13" s="15">
        <v>79.27727752285125</v>
      </c>
      <c r="L13" s="15">
        <v>81.984502923976606</v>
      </c>
      <c r="M13" s="15">
        <v>87.147228134674933</v>
      </c>
      <c r="N13" s="15">
        <v>84.656346749226003</v>
      </c>
      <c r="O13" s="15">
        <v>86.006191950464398</v>
      </c>
      <c r="P13" s="15">
        <v>195.52447552447552</v>
      </c>
      <c r="Q13" s="16">
        <v>150</v>
      </c>
    </row>
    <row r="14" spans="2:17" ht="39.950000000000003" customHeight="1">
      <c r="B14" s="475"/>
      <c r="C14" s="14" t="s">
        <v>43</v>
      </c>
      <c r="D14" s="15">
        <v>97.656427403085004</v>
      </c>
      <c r="E14" s="15">
        <v>80.613406624991555</v>
      </c>
      <c r="F14" s="15">
        <v>114.70210552953459</v>
      </c>
      <c r="G14" s="15">
        <v>317.63950049068893</v>
      </c>
      <c r="H14" s="15">
        <v>216.77384398908242</v>
      </c>
      <c r="I14" s="15">
        <v>81.488256377737486</v>
      </c>
      <c r="J14" s="15">
        <v>59.305975121231256</v>
      </c>
      <c r="K14" s="15">
        <v>63.736897050898932</v>
      </c>
      <c r="L14" s="15">
        <v>66.015378034136603</v>
      </c>
      <c r="M14" s="15">
        <v>72.630322009412652</v>
      </c>
      <c r="N14" s="15">
        <v>74.84896570000447</v>
      </c>
      <c r="O14" s="15">
        <v>72.001132434955906</v>
      </c>
      <c r="P14" s="15">
        <v>192.26647161857528</v>
      </c>
      <c r="Q14" s="16">
        <v>138.21272230601656</v>
      </c>
    </row>
    <row r="15" spans="2:17" ht="39.950000000000003" customHeight="1">
      <c r="B15" s="476"/>
      <c r="C15" s="10" t="s">
        <v>44</v>
      </c>
      <c r="D15" s="17">
        <f t="shared" ref="D15:P15" si="0">D14/D13</f>
        <v>0.85423151652785889</v>
      </c>
      <c r="E15" s="17">
        <f t="shared" si="0"/>
        <v>0.84367676317325713</v>
      </c>
      <c r="F15" s="17">
        <f t="shared" si="0"/>
        <v>0.85072002335233443</v>
      </c>
      <c r="G15" s="17">
        <f t="shared" si="0"/>
        <v>0.81813135992450481</v>
      </c>
      <c r="H15" s="17">
        <f t="shared" si="0"/>
        <v>0.86709537595632968</v>
      </c>
      <c r="I15" s="17">
        <f t="shared" si="0"/>
        <v>0.90462733952378194</v>
      </c>
      <c r="J15" s="17">
        <f t="shared" si="0"/>
        <v>0.8047231046623059</v>
      </c>
      <c r="K15" s="17">
        <f t="shared" si="0"/>
        <v>0.80397434223857034</v>
      </c>
      <c r="L15" s="17">
        <f t="shared" si="0"/>
        <v>0.80521776286613567</v>
      </c>
      <c r="M15" s="17">
        <f t="shared" si="0"/>
        <v>0.83342090808868585</v>
      </c>
      <c r="N15" s="17">
        <f t="shared" si="0"/>
        <v>0.88415067002272696</v>
      </c>
      <c r="O15" s="17">
        <f t="shared" si="0"/>
        <v>0.83716219497806899</v>
      </c>
      <c r="P15" s="17">
        <f t="shared" si="0"/>
        <v>0.98333710448699096</v>
      </c>
      <c r="Q15" s="18">
        <f>Q14/Q13</f>
        <v>0.92141814870677707</v>
      </c>
    </row>
    <row r="16" spans="2:17" ht="22.7" customHeight="1">
      <c r="B16" s="477" t="s">
        <v>45</v>
      </c>
      <c r="C16" s="10" t="s">
        <v>46</v>
      </c>
      <c r="D16" s="675">
        <v>0.29166666666666669</v>
      </c>
      <c r="E16" s="675">
        <v>0</v>
      </c>
      <c r="F16" s="675">
        <v>0.16666666666666666</v>
      </c>
      <c r="G16" s="675">
        <v>0.16666666666666666</v>
      </c>
      <c r="H16" s="675">
        <v>0.16666666666666666</v>
      </c>
      <c r="I16" s="675">
        <v>0.29166666666666669</v>
      </c>
      <c r="J16" s="675">
        <v>0.33333333333333331</v>
      </c>
      <c r="K16" s="675">
        <v>0.33333333333333331</v>
      </c>
      <c r="L16" s="675">
        <v>0.70833333333333337</v>
      </c>
      <c r="M16" s="675">
        <v>0.70833333333333337</v>
      </c>
      <c r="N16" s="675">
        <v>0.70833333333333337</v>
      </c>
      <c r="O16" s="675">
        <v>0.70833333333333337</v>
      </c>
      <c r="P16" s="675">
        <v>0.16666666666666666</v>
      </c>
      <c r="Q16" s="676">
        <v>0.17361111111111113</v>
      </c>
    </row>
    <row r="17" spans="2:17" ht="22.7" customHeight="1">
      <c r="B17" s="478"/>
      <c r="C17" s="10" t="s">
        <v>47</v>
      </c>
      <c r="D17" s="675">
        <v>0.70069444444444451</v>
      </c>
      <c r="E17" s="675">
        <v>0.53611111111111109</v>
      </c>
      <c r="F17" s="675">
        <v>0.55208333333333326</v>
      </c>
      <c r="G17" s="675">
        <v>0.60277777777777763</v>
      </c>
      <c r="H17" s="675">
        <v>0.57499999999999996</v>
      </c>
      <c r="I17" s="675">
        <v>0.64861111111111092</v>
      </c>
      <c r="J17" s="675">
        <v>0.49861111111111112</v>
      </c>
      <c r="K17" s="675">
        <v>0.67013888888888884</v>
      </c>
      <c r="L17" s="675">
        <v>0.91041666666666665</v>
      </c>
      <c r="M17" s="675">
        <v>0.99444444444444446</v>
      </c>
      <c r="N17" s="675">
        <v>1</v>
      </c>
      <c r="O17" s="675">
        <v>0.86944444444444446</v>
      </c>
      <c r="P17" s="675">
        <v>0.61736111111111103</v>
      </c>
      <c r="Q17" s="676">
        <v>0.625</v>
      </c>
    </row>
    <row r="18" spans="2:17" ht="22.7" customHeight="1">
      <c r="B18" s="479" t="s">
        <v>48</v>
      </c>
      <c r="C18" s="480"/>
      <c r="D18" s="677" t="s">
        <v>49</v>
      </c>
      <c r="E18" s="677" t="s">
        <v>49</v>
      </c>
      <c r="F18" s="677" t="s">
        <v>49</v>
      </c>
      <c r="G18" s="677" t="s">
        <v>49</v>
      </c>
      <c r="H18" s="677" t="s">
        <v>49</v>
      </c>
      <c r="I18" s="677" t="s">
        <v>49</v>
      </c>
      <c r="J18" s="677" t="s">
        <v>49</v>
      </c>
      <c r="K18" s="677" t="s">
        <v>49</v>
      </c>
      <c r="L18" s="677" t="s">
        <v>49</v>
      </c>
      <c r="M18" s="677" t="s">
        <v>49</v>
      </c>
      <c r="N18" s="677" t="s">
        <v>49</v>
      </c>
      <c r="O18" s="677" t="s">
        <v>49</v>
      </c>
      <c r="P18" s="677" t="s">
        <v>49</v>
      </c>
      <c r="Q18" s="678"/>
    </row>
    <row r="19" spans="2:17" ht="22.7" customHeight="1">
      <c r="B19" s="481"/>
      <c r="C19" s="482"/>
      <c r="D19" s="677" t="s">
        <v>49</v>
      </c>
      <c r="E19" s="677" t="s">
        <v>49</v>
      </c>
      <c r="F19" s="677" t="s">
        <v>49</v>
      </c>
      <c r="G19" s="677" t="s">
        <v>49</v>
      </c>
      <c r="H19" s="677" t="s">
        <v>49</v>
      </c>
      <c r="I19" s="677" t="s">
        <v>49</v>
      </c>
      <c r="J19" s="677" t="s">
        <v>49</v>
      </c>
      <c r="K19" s="677" t="s">
        <v>49</v>
      </c>
      <c r="L19" s="677" t="s">
        <v>49</v>
      </c>
      <c r="M19" s="677" t="s">
        <v>49</v>
      </c>
      <c r="N19" s="677" t="s">
        <v>49</v>
      </c>
      <c r="O19" s="677" t="s">
        <v>49</v>
      </c>
      <c r="P19" s="677" t="s">
        <v>49</v>
      </c>
      <c r="Q19" s="678"/>
    </row>
    <row r="20" spans="2:17" ht="22.7" customHeight="1">
      <c r="B20" s="479" t="s">
        <v>50</v>
      </c>
      <c r="C20" s="480"/>
      <c r="D20" s="677">
        <v>1</v>
      </c>
      <c r="E20" s="677" t="s">
        <v>49</v>
      </c>
      <c r="F20" s="677">
        <v>1</v>
      </c>
      <c r="G20" s="677" t="s">
        <v>49</v>
      </c>
      <c r="H20" s="677">
        <v>1</v>
      </c>
      <c r="I20" s="677" t="s">
        <v>49</v>
      </c>
      <c r="J20" s="677">
        <v>1</v>
      </c>
      <c r="K20" s="677" t="s">
        <v>49</v>
      </c>
      <c r="L20" s="677" t="s">
        <v>49</v>
      </c>
      <c r="M20" s="677" t="s">
        <v>49</v>
      </c>
      <c r="N20" s="677" t="s">
        <v>49</v>
      </c>
      <c r="O20" s="677" t="s">
        <v>49</v>
      </c>
      <c r="P20" s="677" t="s">
        <v>49</v>
      </c>
      <c r="Q20" s="678"/>
    </row>
    <row r="21" spans="2:17" ht="22.7" customHeight="1">
      <c r="B21" s="481"/>
      <c r="C21" s="482"/>
      <c r="D21" s="677" t="s">
        <v>49</v>
      </c>
      <c r="E21" s="677" t="s">
        <v>49</v>
      </c>
      <c r="F21" s="677" t="s">
        <v>49</v>
      </c>
      <c r="G21" s="677" t="s">
        <v>49</v>
      </c>
      <c r="H21" s="677" t="s">
        <v>49</v>
      </c>
      <c r="I21" s="677" t="s">
        <v>49</v>
      </c>
      <c r="J21" s="677" t="s">
        <v>49</v>
      </c>
      <c r="K21" s="677" t="s">
        <v>49</v>
      </c>
      <c r="L21" s="677" t="s">
        <v>49</v>
      </c>
      <c r="M21" s="677" t="s">
        <v>49</v>
      </c>
      <c r="N21" s="677" t="s">
        <v>49</v>
      </c>
      <c r="O21" s="677">
        <v>1</v>
      </c>
      <c r="P21" s="677" t="s">
        <v>49</v>
      </c>
      <c r="Q21" s="678"/>
    </row>
    <row r="22" spans="2:17" ht="22.7" customHeight="1">
      <c r="B22" s="458" t="s">
        <v>51</v>
      </c>
      <c r="C22" s="459"/>
      <c r="D22" s="679">
        <v>18.777777777777779</v>
      </c>
      <c r="E22" s="679">
        <v>17.833333333333332</v>
      </c>
      <c r="F22" s="679">
        <v>14.714285714285714</v>
      </c>
      <c r="G22" s="679">
        <v>5.75</v>
      </c>
      <c r="H22" s="679">
        <v>6.6</v>
      </c>
      <c r="I22" s="679">
        <v>15.666666666666666</v>
      </c>
      <c r="J22" s="679">
        <v>19.333333333333332</v>
      </c>
      <c r="K22" s="679">
        <v>18.625</v>
      </c>
      <c r="L22" s="679">
        <v>18.600000000000001</v>
      </c>
      <c r="M22" s="679">
        <v>16.875</v>
      </c>
      <c r="N22" s="679">
        <v>17.285714285714285</v>
      </c>
      <c r="O22" s="679">
        <v>17.5</v>
      </c>
      <c r="P22" s="679">
        <v>11.6</v>
      </c>
      <c r="Q22" s="680">
        <v>11.3</v>
      </c>
    </row>
    <row r="23" spans="2:17" ht="22.7" customHeight="1">
      <c r="B23" s="458" t="s">
        <v>52</v>
      </c>
      <c r="C23" s="459"/>
      <c r="D23" s="681" t="s">
        <v>53</v>
      </c>
      <c r="E23" s="681" t="s">
        <v>53</v>
      </c>
      <c r="F23" s="681" t="s">
        <v>53</v>
      </c>
      <c r="G23" s="681" t="s">
        <v>54</v>
      </c>
      <c r="H23" s="681" t="s">
        <v>55</v>
      </c>
      <c r="I23" s="681" t="s">
        <v>56</v>
      </c>
      <c r="J23" s="681" t="s">
        <v>56</v>
      </c>
      <c r="K23" s="681" t="s">
        <v>56</v>
      </c>
      <c r="L23" s="681" t="s">
        <v>56</v>
      </c>
      <c r="M23" s="681" t="s">
        <v>56</v>
      </c>
      <c r="N23" s="681" t="s">
        <v>56</v>
      </c>
      <c r="O23" s="681" t="s">
        <v>56</v>
      </c>
      <c r="P23" s="681" t="s">
        <v>57</v>
      </c>
      <c r="Q23" s="682" t="s">
        <v>57</v>
      </c>
    </row>
    <row r="24" spans="2:17" ht="22.7" customHeight="1">
      <c r="B24" s="458" t="s">
        <v>58</v>
      </c>
      <c r="C24" s="459"/>
      <c r="D24" s="681"/>
      <c r="E24" s="681"/>
      <c r="F24" s="681"/>
      <c r="G24" s="681"/>
      <c r="H24" s="681"/>
      <c r="I24" s="681"/>
      <c r="J24" s="681"/>
      <c r="K24" s="681"/>
      <c r="L24" s="681"/>
      <c r="M24" s="681"/>
      <c r="N24" s="681"/>
      <c r="O24" s="681"/>
      <c r="P24" s="681"/>
      <c r="Q24" s="682"/>
    </row>
    <row r="25" spans="2:17" ht="22.7" customHeight="1" thickBot="1">
      <c r="B25" s="460" t="s">
        <v>59</v>
      </c>
      <c r="C25" s="461"/>
      <c r="D25" s="683"/>
      <c r="E25" s="684" t="s">
        <v>60</v>
      </c>
      <c r="F25" s="684"/>
      <c r="G25" s="684" t="s">
        <v>61</v>
      </c>
      <c r="H25" s="684" t="s">
        <v>61</v>
      </c>
      <c r="I25" s="684"/>
      <c r="J25" s="684"/>
      <c r="K25" s="684" t="s">
        <v>62</v>
      </c>
      <c r="L25" s="684"/>
      <c r="M25" s="684"/>
      <c r="N25" s="684"/>
      <c r="O25" s="684"/>
      <c r="P25" s="684" t="s">
        <v>63</v>
      </c>
      <c r="Q25" s="685"/>
    </row>
    <row r="26" spans="2:17" ht="16.5" thickBot="1">
      <c r="B26" s="483"/>
      <c r="C26" s="483"/>
    </row>
    <row r="27" spans="2:17" ht="30" customHeight="1" thickBot="1">
      <c r="B27" s="462" t="s">
        <v>24</v>
      </c>
      <c r="C27" s="463"/>
      <c r="D27" s="464" t="s">
        <v>64</v>
      </c>
      <c r="E27" s="465"/>
      <c r="F27" s="465"/>
      <c r="G27" s="465"/>
      <c r="H27" s="466"/>
      <c r="I27" s="467" t="s">
        <v>65</v>
      </c>
      <c r="J27" s="468"/>
      <c r="K27" s="468"/>
      <c r="L27" s="468"/>
      <c r="M27" s="469"/>
    </row>
    <row r="28" spans="2:17" ht="17.25" customHeight="1">
      <c r="B28" s="470" t="s">
        <v>26</v>
      </c>
      <c r="C28" s="471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472"/>
      <c r="C29" s="473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50000000000003" customHeight="1">
      <c r="B30" s="474" t="s">
        <v>41</v>
      </c>
      <c r="C30" s="34" t="s">
        <v>42</v>
      </c>
      <c r="D30" s="686">
        <v>320</v>
      </c>
      <c r="E30" s="686">
        <v>825</v>
      </c>
      <c r="F30" s="686">
        <v>825</v>
      </c>
      <c r="G30" s="686">
        <v>900</v>
      </c>
      <c r="H30" s="687">
        <v>900</v>
      </c>
      <c r="I30" s="688">
        <v>680</v>
      </c>
      <c r="J30" s="686">
        <v>825</v>
      </c>
      <c r="K30" s="686">
        <v>825</v>
      </c>
      <c r="L30" s="686">
        <v>900</v>
      </c>
      <c r="M30" s="689">
        <v>900</v>
      </c>
    </row>
    <row r="31" spans="2:17" ht="39.950000000000003" customHeight="1">
      <c r="B31" s="475"/>
      <c r="C31" s="34" t="s">
        <v>43</v>
      </c>
      <c r="D31" s="15">
        <v>276.58823529411757</v>
      </c>
      <c r="E31" s="15">
        <v>780.40688775510193</v>
      </c>
      <c r="F31" s="15">
        <v>799.98151826106107</v>
      </c>
      <c r="G31" s="15">
        <v>0</v>
      </c>
      <c r="H31" s="41">
        <v>982.50828704640514</v>
      </c>
      <c r="I31" s="42">
        <v>0</v>
      </c>
      <c r="J31" s="15">
        <v>723.16909090908939</v>
      </c>
      <c r="K31" s="15">
        <v>634.49999999999989</v>
      </c>
      <c r="L31" s="15">
        <v>894.04641172292031</v>
      </c>
      <c r="M31" s="16">
        <v>851.37500000000045</v>
      </c>
    </row>
    <row r="32" spans="2:17" ht="39.950000000000003" customHeight="1">
      <c r="B32" s="476"/>
      <c r="C32" s="43" t="s">
        <v>44</v>
      </c>
      <c r="D32" s="17">
        <f t="shared" ref="D32:M32" si="1">D31/D30</f>
        <v>0.86433823529411735</v>
      </c>
      <c r="E32" s="17">
        <f t="shared" si="1"/>
        <v>0.94594774273345694</v>
      </c>
      <c r="F32" s="17">
        <f t="shared" si="1"/>
        <v>0.96967456758916493</v>
      </c>
      <c r="G32" s="17">
        <f t="shared" si="1"/>
        <v>0</v>
      </c>
      <c r="H32" s="44">
        <f t="shared" si="1"/>
        <v>1.0916758744960058</v>
      </c>
      <c r="I32" s="45">
        <f t="shared" si="1"/>
        <v>0</v>
      </c>
      <c r="J32" s="17">
        <f t="shared" si="1"/>
        <v>0.87656859504132045</v>
      </c>
      <c r="K32" s="17">
        <f t="shared" si="1"/>
        <v>0.76909090909090894</v>
      </c>
      <c r="L32" s="17">
        <f t="shared" si="1"/>
        <v>0.99338490191435591</v>
      </c>
      <c r="M32" s="18">
        <f t="shared" si="1"/>
        <v>0.94597222222222277</v>
      </c>
    </row>
    <row r="33" spans="2:13" ht="25.7" customHeight="1">
      <c r="B33" s="477" t="s">
        <v>45</v>
      </c>
      <c r="C33" s="43" t="s">
        <v>46</v>
      </c>
      <c r="D33" s="675">
        <v>0.17361111111111113</v>
      </c>
      <c r="E33" s="675">
        <v>0.18055555555555555</v>
      </c>
      <c r="F33" s="675">
        <v>0.18055555555555555</v>
      </c>
      <c r="G33" s="675">
        <v>0</v>
      </c>
      <c r="H33" s="690">
        <v>0.18055555555555555</v>
      </c>
      <c r="I33" s="691">
        <v>0</v>
      </c>
      <c r="J33" s="675">
        <v>0.72222222222222221</v>
      </c>
      <c r="K33" s="675">
        <v>0.72222222222222221</v>
      </c>
      <c r="L33" s="675">
        <v>0.72222222222222221</v>
      </c>
      <c r="M33" s="676">
        <v>0.72222222222222221</v>
      </c>
    </row>
    <row r="34" spans="2:13" ht="25.7" customHeight="1">
      <c r="B34" s="478"/>
      <c r="C34" s="43" t="s">
        <v>47</v>
      </c>
      <c r="D34" s="675">
        <v>0.21597222222222223</v>
      </c>
      <c r="E34" s="675">
        <v>0.3659722222222222</v>
      </c>
      <c r="F34" s="675">
        <v>0.36944444444444446</v>
      </c>
      <c r="G34" s="675">
        <v>0</v>
      </c>
      <c r="H34" s="690">
        <v>0.45</v>
      </c>
      <c r="I34" s="691">
        <v>0</v>
      </c>
      <c r="J34" s="675">
        <v>0.98958333333333337</v>
      </c>
      <c r="K34" s="675">
        <v>0.79513888888888884</v>
      </c>
      <c r="L34" s="675">
        <v>1.0833333333333333</v>
      </c>
      <c r="M34" s="676">
        <v>0.76388888888888884</v>
      </c>
    </row>
    <row r="35" spans="2:13" ht="25.7" customHeight="1">
      <c r="B35" s="458" t="s">
        <v>51</v>
      </c>
      <c r="C35" s="459"/>
      <c r="D35" s="692">
        <v>5.5</v>
      </c>
      <c r="E35" s="692">
        <v>3.75</v>
      </c>
      <c r="F35" s="692">
        <v>3.5</v>
      </c>
      <c r="G35" s="692">
        <v>0</v>
      </c>
      <c r="H35" s="693">
        <v>3.4285714285714284</v>
      </c>
      <c r="I35" s="694">
        <v>0</v>
      </c>
      <c r="J35" s="692">
        <v>3.6</v>
      </c>
      <c r="K35" s="692">
        <v>3.5</v>
      </c>
      <c r="L35" s="692">
        <v>3.4</v>
      </c>
      <c r="M35" s="695">
        <v>3.5</v>
      </c>
    </row>
    <row r="36" spans="2:13" ht="25.7" customHeight="1">
      <c r="B36" s="458" t="s">
        <v>52</v>
      </c>
      <c r="C36" s="459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7" customHeight="1">
      <c r="B37" s="458" t="s">
        <v>58</v>
      </c>
      <c r="C37" s="459"/>
      <c r="D37" s="696"/>
      <c r="E37" s="696"/>
      <c r="F37" s="696"/>
      <c r="G37" s="696"/>
      <c r="H37" s="697"/>
      <c r="I37" s="698"/>
      <c r="J37" s="696"/>
      <c r="K37" s="696"/>
      <c r="L37" s="696"/>
      <c r="M37" s="682"/>
    </row>
    <row r="38" spans="2:13" ht="25.7" customHeight="1" thickBot="1">
      <c r="B38" s="460" t="s">
        <v>59</v>
      </c>
      <c r="C38" s="461"/>
      <c r="D38" s="683"/>
      <c r="E38" s="683"/>
      <c r="F38" s="684"/>
      <c r="G38" s="683"/>
      <c r="H38" s="699"/>
      <c r="I38" s="700"/>
      <c r="J38" s="683"/>
      <c r="K38" s="683"/>
      <c r="L38" s="683"/>
      <c r="M38" s="685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0:C21"/>
    <mergeCell ref="B22:C22"/>
    <mergeCell ref="B23:C23"/>
    <mergeCell ref="B24:C24"/>
    <mergeCell ref="B25:C25"/>
    <mergeCell ref="B26:C26"/>
    <mergeCell ref="B10:C10"/>
    <mergeCell ref="D10:Q10"/>
    <mergeCell ref="B11:C12"/>
    <mergeCell ref="B13:B15"/>
    <mergeCell ref="B16:B17"/>
    <mergeCell ref="B18:C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4" type="noConversion"/>
  <conditionalFormatting sqref="D32 F32:J32 L32">
    <cfRule type="cellIs" dxfId="3631" priority="6" operator="lessThan">
      <formula>0.8</formula>
    </cfRule>
  </conditionalFormatting>
  <conditionalFormatting sqref="M32">
    <cfRule type="cellIs" dxfId="3630" priority="5" operator="lessThan">
      <formula>0.8</formula>
    </cfRule>
  </conditionalFormatting>
  <conditionalFormatting sqref="K32">
    <cfRule type="cellIs" dxfId="3629" priority="4" operator="lessThan">
      <formula>0.8</formula>
    </cfRule>
  </conditionalFormatting>
  <conditionalFormatting sqref="E32">
    <cfRule type="cellIs" dxfId="3628" priority="3" operator="lessThan">
      <formula>0.8</formula>
    </cfRule>
  </conditionalFormatting>
  <conditionalFormatting sqref="D15:P15">
    <cfRule type="cellIs" dxfId="3627" priority="2" operator="lessThan">
      <formula>0.8</formula>
    </cfRule>
  </conditionalFormatting>
  <conditionalFormatting sqref="Q15">
    <cfRule type="cellIs" dxfId="36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L68" sqref="L68"/>
    </sheetView>
  </sheetViews>
  <sheetFormatPr defaultColWidth="7.875" defaultRowHeight="15.75"/>
  <cols>
    <col min="1" max="1" width="13.625" style="371" customWidth="1"/>
    <col min="2" max="2" width="12.875" style="371" customWidth="1"/>
    <col min="3" max="3" width="12.875" style="457" hidden="1" customWidth="1"/>
    <col min="4" max="5" width="18.375" style="371" customWidth="1"/>
    <col min="6" max="6" width="9.875" style="455" customWidth="1"/>
    <col min="7" max="7" width="21.125" style="371" bestFit="1" customWidth="1"/>
    <col min="8" max="8" width="15.625" style="371" customWidth="1"/>
    <col min="9" max="9" width="12.125" style="371" bestFit="1" customWidth="1"/>
    <col min="10" max="15" width="9.875" style="371" customWidth="1"/>
    <col min="16" max="16" width="9.875" style="456" customWidth="1"/>
    <col min="17" max="18" width="9.875" style="371" customWidth="1"/>
    <col min="19" max="16384" width="7.875" style="371"/>
  </cols>
  <sheetData>
    <row r="1" spans="1:18" ht="26.25" customHeight="1">
      <c r="A1" s="701" t="s">
        <v>293</v>
      </c>
      <c r="B1" s="702"/>
      <c r="C1" s="703"/>
      <c r="D1" s="704" t="s">
        <v>82</v>
      </c>
      <c r="E1" s="705">
        <f>SUM(G5:G124)</f>
        <v>74766</v>
      </c>
      <c r="F1" s="367" t="s">
        <v>3</v>
      </c>
      <c r="G1" s="706">
        <f>SUM(H5:H124)</f>
        <v>1424787.7564788251</v>
      </c>
      <c r="H1" s="707" t="s">
        <v>294</v>
      </c>
      <c r="I1" s="708">
        <f>+J16+J64+J24+J38+J51+J81+J100+J91+J57+J124+J111</f>
        <v>38.050000000000004</v>
      </c>
      <c r="J1" s="584" t="s">
        <v>295</v>
      </c>
      <c r="K1" s="585"/>
      <c r="L1" s="586"/>
      <c r="M1" s="584" t="s">
        <v>87</v>
      </c>
      <c r="N1" s="585"/>
      <c r="O1" s="585"/>
      <c r="P1" s="585"/>
      <c r="Q1" s="585"/>
      <c r="R1" s="586"/>
    </row>
    <row r="2" spans="1:18" ht="26.25" customHeight="1" thickBot="1">
      <c r="A2" s="709" t="s">
        <v>397</v>
      </c>
      <c r="B2" s="710"/>
      <c r="C2" s="711"/>
      <c r="D2" s="712" t="s">
        <v>41</v>
      </c>
      <c r="E2" s="713">
        <f>AVERAGE(L16,L24,L38,L51,L100,L111,L91)</f>
        <v>606.70069517832962</v>
      </c>
      <c r="F2" s="375" t="s">
        <v>94</v>
      </c>
      <c r="G2" s="714">
        <f>G1/E1</f>
        <v>19.056626761881404</v>
      </c>
      <c r="H2" s="715" t="s">
        <v>297</v>
      </c>
      <c r="I2" s="716">
        <f>COUNT(I5:I124)</f>
        <v>0</v>
      </c>
      <c r="J2" s="587"/>
      <c r="K2" s="588"/>
      <c r="L2" s="589"/>
      <c r="M2" s="587"/>
      <c r="N2" s="588"/>
      <c r="O2" s="588"/>
      <c r="P2" s="588"/>
      <c r="Q2" s="588"/>
      <c r="R2" s="589"/>
    </row>
    <row r="3" spans="1:18" ht="23.25" customHeight="1">
      <c r="A3" s="592" t="s">
        <v>96</v>
      </c>
      <c r="B3" s="594" t="s">
        <v>298</v>
      </c>
      <c r="C3" s="380"/>
      <c r="D3" s="595" t="s">
        <v>98</v>
      </c>
      <c r="E3" s="595"/>
      <c r="F3" s="596" t="s">
        <v>99</v>
      </c>
      <c r="G3" s="597" t="s">
        <v>299</v>
      </c>
      <c r="H3" s="598" t="s">
        <v>300</v>
      </c>
      <c r="I3" s="599" t="s">
        <v>102</v>
      </c>
      <c r="J3" s="567" t="s">
        <v>106</v>
      </c>
      <c r="K3" s="577" t="s">
        <v>105</v>
      </c>
      <c r="L3" s="579" t="s">
        <v>41</v>
      </c>
      <c r="M3" s="581" t="s">
        <v>109</v>
      </c>
      <c r="N3" s="581"/>
      <c r="O3" s="567" t="s">
        <v>301</v>
      </c>
      <c r="P3" s="582" t="s">
        <v>111</v>
      </c>
      <c r="Q3" s="567" t="s">
        <v>112</v>
      </c>
      <c r="R3" s="567"/>
    </row>
    <row r="4" spans="1:18" ht="15.75" customHeight="1">
      <c r="A4" s="593"/>
      <c r="B4" s="594"/>
      <c r="C4" s="380"/>
      <c r="D4" s="595"/>
      <c r="E4" s="595"/>
      <c r="F4" s="596"/>
      <c r="G4" s="597"/>
      <c r="H4" s="598"/>
      <c r="I4" s="600"/>
      <c r="J4" s="576"/>
      <c r="K4" s="578"/>
      <c r="L4" s="580"/>
      <c r="M4" s="381" t="s">
        <v>116</v>
      </c>
      <c r="N4" s="381" t="s">
        <v>117</v>
      </c>
      <c r="O4" s="576"/>
      <c r="P4" s="583"/>
      <c r="Q4" s="382" t="s">
        <v>118</v>
      </c>
      <c r="R4" s="382" t="s">
        <v>302</v>
      </c>
    </row>
    <row r="5" spans="1:18">
      <c r="A5" s="568" t="s">
        <v>303</v>
      </c>
      <c r="B5" s="383" t="s">
        <v>389</v>
      </c>
      <c r="C5" s="383"/>
      <c r="D5" s="384" t="s">
        <v>304</v>
      </c>
      <c r="E5" s="384"/>
      <c r="F5" s="385">
        <v>29.965493443754308</v>
      </c>
      <c r="G5" s="380">
        <v>1683</v>
      </c>
      <c r="H5" s="386">
        <f>F5*G5</f>
        <v>50431.925465838503</v>
      </c>
      <c r="I5" s="387"/>
      <c r="J5" s="388">
        <v>13</v>
      </c>
      <c r="K5" s="389">
        <f t="shared" ref="K5:K12" si="0">G5/P5*60</f>
        <v>1262.2500000000007</v>
      </c>
      <c r="L5" s="390">
        <f t="shared" ref="L5:L12" si="1">K5/J5</f>
        <v>97.096153846153896</v>
      </c>
      <c r="M5" s="391">
        <v>0.17361111111111113</v>
      </c>
      <c r="N5" s="391">
        <v>0.22916666666666666</v>
      </c>
      <c r="O5" s="382">
        <v>10</v>
      </c>
      <c r="P5" s="392">
        <f t="shared" ref="P5:P80" si="2">(N5-M5)*24*60</f>
        <v>79.999999999999957</v>
      </c>
      <c r="Q5" s="393"/>
      <c r="R5" s="393"/>
    </row>
    <row r="6" spans="1:18">
      <c r="A6" s="568"/>
      <c r="B6" s="383">
        <v>0</v>
      </c>
      <c r="C6" s="383"/>
      <c r="D6" s="384" t="s">
        <v>305</v>
      </c>
      <c r="E6" s="384"/>
      <c r="F6" s="385" t="s">
        <v>391</v>
      </c>
      <c r="G6" s="380">
        <v>1162</v>
      </c>
      <c r="H6" s="386">
        <f t="shared" ref="H6:H113" si="3">F6*G6</f>
        <v>0</v>
      </c>
      <c r="I6" s="387"/>
      <c r="J6" s="388">
        <v>9</v>
      </c>
      <c r="K6" s="389">
        <f t="shared" si="0"/>
        <v>1549.3333333333319</v>
      </c>
      <c r="L6" s="390">
        <f t="shared" si="1"/>
        <v>172.14814814814798</v>
      </c>
      <c r="M6" s="391">
        <v>0.23263888888888887</v>
      </c>
      <c r="N6" s="391">
        <v>0.2638888888888889</v>
      </c>
      <c r="O6" s="382">
        <v>5</v>
      </c>
      <c r="P6" s="392">
        <f t="shared" si="2"/>
        <v>45.000000000000043</v>
      </c>
      <c r="Q6" s="382"/>
      <c r="R6" s="382"/>
    </row>
    <row r="7" spans="1:18">
      <c r="A7" s="568"/>
      <c r="B7" s="383">
        <v>0</v>
      </c>
      <c r="C7" s="383"/>
      <c r="D7" s="384" t="s">
        <v>306</v>
      </c>
      <c r="E7" s="384"/>
      <c r="F7" s="385" t="s">
        <v>391</v>
      </c>
      <c r="G7" s="380">
        <v>1182</v>
      </c>
      <c r="H7" s="386">
        <f t="shared" si="3"/>
        <v>0</v>
      </c>
      <c r="I7" s="387"/>
      <c r="J7" s="388">
        <v>9</v>
      </c>
      <c r="K7" s="389">
        <f t="shared" si="0"/>
        <v>1576</v>
      </c>
      <c r="L7" s="390">
        <f t="shared" si="1"/>
        <v>175.11111111111111</v>
      </c>
      <c r="M7" s="391">
        <v>0.2673611111111111</v>
      </c>
      <c r="N7" s="391">
        <v>0.2986111111111111</v>
      </c>
      <c r="O7" s="382">
        <v>5</v>
      </c>
      <c r="P7" s="392">
        <f t="shared" si="2"/>
        <v>45</v>
      </c>
      <c r="Q7" s="393"/>
      <c r="R7" s="393"/>
    </row>
    <row r="8" spans="1:18">
      <c r="A8" s="568"/>
      <c r="B8" s="383" t="s">
        <v>392</v>
      </c>
      <c r="C8" s="383"/>
      <c r="D8" s="384" t="s">
        <v>307</v>
      </c>
      <c r="E8" s="384"/>
      <c r="F8" s="385">
        <v>19.7</v>
      </c>
      <c r="G8" s="380">
        <v>162</v>
      </c>
      <c r="H8" s="386">
        <f t="shared" si="3"/>
        <v>3191.4</v>
      </c>
      <c r="I8" s="387"/>
      <c r="J8" s="388">
        <v>12</v>
      </c>
      <c r="K8" s="389">
        <f t="shared" si="0"/>
        <v>971.99999999999568</v>
      </c>
      <c r="L8" s="390">
        <f t="shared" si="1"/>
        <v>80.999999999999645</v>
      </c>
      <c r="M8" s="391">
        <v>0.30208333333333331</v>
      </c>
      <c r="N8" s="391">
        <v>0.30902777777777779</v>
      </c>
      <c r="O8" s="382">
        <v>5</v>
      </c>
      <c r="P8" s="392">
        <f t="shared" si="2"/>
        <v>10.000000000000044</v>
      </c>
      <c r="Q8" s="393"/>
      <c r="R8" s="393"/>
    </row>
    <row r="9" spans="1:18">
      <c r="A9" s="568"/>
      <c r="B9" s="383" t="s">
        <v>392</v>
      </c>
      <c r="C9" s="383"/>
      <c r="D9" s="384" t="s">
        <v>308</v>
      </c>
      <c r="E9" s="384"/>
      <c r="F9" s="385">
        <v>27.05</v>
      </c>
      <c r="G9" s="394">
        <v>826</v>
      </c>
      <c r="H9" s="386">
        <f t="shared" si="3"/>
        <v>22343.3</v>
      </c>
      <c r="I9" s="387"/>
      <c r="J9" s="388">
        <v>13</v>
      </c>
      <c r="K9" s="389">
        <f t="shared" si="0"/>
        <v>1415.9999999999986</v>
      </c>
      <c r="L9" s="390">
        <f t="shared" si="1"/>
        <v>108.92307692307682</v>
      </c>
      <c r="M9" s="391">
        <v>0.3125</v>
      </c>
      <c r="N9" s="391">
        <v>0.33680555555555558</v>
      </c>
      <c r="O9" s="382">
        <v>5</v>
      </c>
      <c r="P9" s="392">
        <f t="shared" si="2"/>
        <v>35.000000000000036</v>
      </c>
      <c r="Q9" s="393">
        <v>0.33680555555555558</v>
      </c>
      <c r="R9" s="393">
        <v>0.37847222222222227</v>
      </c>
    </row>
    <row r="10" spans="1:18">
      <c r="A10" s="568"/>
      <c r="B10" s="383" t="s">
        <v>392</v>
      </c>
      <c r="C10" s="383"/>
      <c r="D10" s="384" t="s">
        <v>309</v>
      </c>
      <c r="E10" s="384"/>
      <c r="F10" s="385">
        <v>36.450000000000003</v>
      </c>
      <c r="G10" s="394">
        <v>4224</v>
      </c>
      <c r="H10" s="386">
        <f t="shared" si="3"/>
        <v>153964.80000000002</v>
      </c>
      <c r="I10" s="387"/>
      <c r="J10" s="388">
        <v>13</v>
      </c>
      <c r="K10" s="389">
        <f t="shared" si="0"/>
        <v>1490.8235294117658</v>
      </c>
      <c r="L10" s="390">
        <f t="shared" si="1"/>
        <v>114.67873303167428</v>
      </c>
      <c r="M10" s="391">
        <v>0.37847222222222227</v>
      </c>
      <c r="N10" s="391">
        <v>0.49652777777777773</v>
      </c>
      <c r="O10" s="382">
        <v>5</v>
      </c>
      <c r="P10" s="392">
        <f t="shared" si="2"/>
        <v>169.99999999999989</v>
      </c>
      <c r="Q10" s="393"/>
      <c r="R10" s="393"/>
    </row>
    <row r="11" spans="1:18">
      <c r="A11" s="568"/>
      <c r="B11" s="383" t="s">
        <v>392</v>
      </c>
      <c r="C11" s="383"/>
      <c r="D11" s="384" t="s">
        <v>310</v>
      </c>
      <c r="E11" s="384"/>
      <c r="F11" s="385">
        <v>25.64</v>
      </c>
      <c r="G11" s="394">
        <v>583</v>
      </c>
      <c r="H11" s="386">
        <f t="shared" si="3"/>
        <v>14948.12</v>
      </c>
      <c r="I11" s="387"/>
      <c r="J11" s="388">
        <v>10</v>
      </c>
      <c r="K11" s="389">
        <f t="shared" si="0"/>
        <v>1399.2000000000048</v>
      </c>
      <c r="L11" s="390">
        <f t="shared" si="1"/>
        <v>139.92000000000047</v>
      </c>
      <c r="M11" s="391">
        <v>0.5</v>
      </c>
      <c r="N11" s="391">
        <v>0.51736111111111105</v>
      </c>
      <c r="O11" s="382">
        <v>5</v>
      </c>
      <c r="P11" s="392">
        <f t="shared" si="2"/>
        <v>24.999999999999911</v>
      </c>
      <c r="Q11" s="393"/>
      <c r="R11" s="393"/>
    </row>
    <row r="12" spans="1:18">
      <c r="A12" s="569"/>
      <c r="B12" s="383" t="s">
        <v>392</v>
      </c>
      <c r="C12" s="383"/>
      <c r="D12" s="384" t="s">
        <v>311</v>
      </c>
      <c r="E12" s="384"/>
      <c r="F12" s="385">
        <v>29.52</v>
      </c>
      <c r="G12" s="394">
        <v>1162</v>
      </c>
      <c r="H12" s="386">
        <f t="shared" si="3"/>
        <v>34302.239999999998</v>
      </c>
      <c r="I12" s="387"/>
      <c r="J12" s="388">
        <v>12</v>
      </c>
      <c r="K12" s="389">
        <f t="shared" si="0"/>
        <v>1743.0000000000061</v>
      </c>
      <c r="L12" s="390">
        <f t="shared" si="1"/>
        <v>145.25000000000051</v>
      </c>
      <c r="M12" s="391">
        <v>0.52083333333333337</v>
      </c>
      <c r="N12" s="391">
        <v>0.54861111111111105</v>
      </c>
      <c r="O12" s="382">
        <v>5</v>
      </c>
      <c r="P12" s="392">
        <f t="shared" si="2"/>
        <v>39.999999999999858</v>
      </c>
      <c r="Q12" s="393"/>
      <c r="R12" s="393"/>
    </row>
    <row r="13" spans="1:18">
      <c r="A13" s="569"/>
      <c r="B13" s="383" t="s">
        <v>392</v>
      </c>
      <c r="C13" s="395"/>
      <c r="D13" s="384" t="s">
        <v>312</v>
      </c>
      <c r="E13" s="384"/>
      <c r="F13" s="385">
        <v>29.856999999999999</v>
      </c>
      <c r="G13" s="396">
        <v>1182</v>
      </c>
      <c r="H13" s="386">
        <f t="shared" si="3"/>
        <v>35290.974000000002</v>
      </c>
      <c r="I13" s="387"/>
      <c r="J13" s="388">
        <v>12</v>
      </c>
      <c r="K13" s="389">
        <f>G13/P13*60</f>
        <v>2364.0000000000086</v>
      </c>
      <c r="L13" s="390">
        <f>K13/J13</f>
        <v>197.00000000000071</v>
      </c>
      <c r="M13" s="391">
        <v>0.55208333333333337</v>
      </c>
      <c r="N13" s="391">
        <v>0.57291666666666663</v>
      </c>
      <c r="O13" s="382">
        <v>5</v>
      </c>
      <c r="P13" s="392">
        <f t="shared" si="2"/>
        <v>29.999999999999893</v>
      </c>
      <c r="Q13" s="393"/>
      <c r="R13" s="382"/>
    </row>
    <row r="14" spans="1:18">
      <c r="A14" s="569"/>
      <c r="B14" s="383" t="s">
        <v>389</v>
      </c>
      <c r="C14" s="383"/>
      <c r="D14" s="409" t="s">
        <v>313</v>
      </c>
      <c r="E14" s="410"/>
      <c r="F14" s="385">
        <v>28.57</v>
      </c>
      <c r="G14" s="394">
        <v>1510</v>
      </c>
      <c r="H14" s="386">
        <f t="shared" si="3"/>
        <v>43140.7</v>
      </c>
      <c r="I14" s="387"/>
      <c r="J14" s="388">
        <v>10</v>
      </c>
      <c r="K14" s="389">
        <f>G14/P14*60</f>
        <v>1510.0000000000014</v>
      </c>
      <c r="L14" s="390">
        <f>K14/J14</f>
        <v>151.00000000000014</v>
      </c>
      <c r="M14" s="391">
        <v>0.58333333333333337</v>
      </c>
      <c r="N14" s="391">
        <v>0.625</v>
      </c>
      <c r="O14" s="382">
        <v>5</v>
      </c>
      <c r="P14" s="392">
        <f t="shared" si="2"/>
        <v>59.999999999999943</v>
      </c>
      <c r="Q14" s="382"/>
      <c r="R14" s="382"/>
    </row>
    <row r="15" spans="1:18">
      <c r="A15" s="569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70"/>
      <c r="B16" s="383">
        <v>0</v>
      </c>
      <c r="C16" s="400" t="s">
        <v>79</v>
      </c>
      <c r="D16" s="552" t="s">
        <v>75</v>
      </c>
      <c r="E16" s="552"/>
      <c r="F16" s="401"/>
      <c r="G16" s="402"/>
      <c r="H16" s="403"/>
      <c r="I16" s="404"/>
      <c r="J16" s="405">
        <f>AVERAGE(J5:J15)</f>
        <v>11.3</v>
      </c>
      <c r="K16" s="405">
        <f>AVERAGE(K5:K15)</f>
        <v>1528.2606862745113</v>
      </c>
      <c r="L16" s="406">
        <f>AVERAGE(L5:L15)</f>
        <v>138.21272230601656</v>
      </c>
      <c r="M16" s="391"/>
      <c r="N16" s="391"/>
      <c r="O16" s="389"/>
      <c r="P16" s="389"/>
      <c r="Q16" s="390"/>
      <c r="R16" s="390"/>
    </row>
    <row r="17" spans="1:18" ht="15.75" customHeight="1">
      <c r="A17" s="571" t="s">
        <v>314</v>
      </c>
      <c r="B17" s="383" t="s">
        <v>392</v>
      </c>
      <c r="C17" s="395"/>
      <c r="D17" s="574" t="s">
        <v>315</v>
      </c>
      <c r="E17" s="575"/>
      <c r="F17" s="385">
        <v>14.03</v>
      </c>
      <c r="G17" s="380">
        <v>427</v>
      </c>
      <c r="H17" s="407">
        <f t="shared" ref="H17:H23" si="4">F17*G17</f>
        <v>5990.8099999999995</v>
      </c>
      <c r="I17" s="408"/>
      <c r="J17" s="388">
        <v>6</v>
      </c>
      <c r="K17" s="389">
        <f>G17/P17*60</f>
        <v>1507.0588235294138</v>
      </c>
      <c r="L17" s="390">
        <f>K17/J17</f>
        <v>251.17647058823562</v>
      </c>
      <c r="M17" s="391">
        <v>0.17361111111111113</v>
      </c>
      <c r="N17" s="391">
        <v>0.18541666666666667</v>
      </c>
      <c r="O17" s="382">
        <v>10</v>
      </c>
      <c r="P17" s="392">
        <f>(N17-M17)*24*60</f>
        <v>16.999999999999979</v>
      </c>
      <c r="Q17" s="382"/>
      <c r="R17" s="382"/>
    </row>
    <row r="18" spans="1:18" ht="15.75" customHeight="1">
      <c r="A18" s="571"/>
      <c r="B18" s="383" t="s">
        <v>389</v>
      </c>
      <c r="C18" s="395"/>
      <c r="D18" s="562" t="s">
        <v>316</v>
      </c>
      <c r="E18" s="563"/>
      <c r="F18" s="385">
        <v>14.49</v>
      </c>
      <c r="G18" s="396">
        <v>604</v>
      </c>
      <c r="H18" s="386">
        <f t="shared" si="4"/>
        <v>8751.9600000000009</v>
      </c>
      <c r="I18" s="387"/>
      <c r="J18" s="388">
        <v>5</v>
      </c>
      <c r="K18" s="389">
        <f>G18/P18*60</f>
        <v>1509.9999999999977</v>
      </c>
      <c r="L18" s="390">
        <f>K18/J18</f>
        <v>301.99999999999955</v>
      </c>
      <c r="M18" s="391">
        <v>0.19930555555555554</v>
      </c>
      <c r="N18" s="391">
        <v>0.21597222222222223</v>
      </c>
      <c r="O18" s="382">
        <v>20</v>
      </c>
      <c r="P18" s="392">
        <f t="shared" ref="P18:P23" si="5">(N18-M18)*24*60</f>
        <v>24.000000000000036</v>
      </c>
      <c r="Q18" s="393"/>
      <c r="R18" s="393"/>
    </row>
    <row r="19" spans="1:18" ht="15.75" customHeight="1">
      <c r="A19" s="571"/>
      <c r="B19" s="383">
        <v>0</v>
      </c>
      <c r="C19" s="395"/>
      <c r="D19" s="562"/>
      <c r="E19" s="563"/>
      <c r="F19" s="385" t="s">
        <v>391</v>
      </c>
      <c r="G19" s="396"/>
      <c r="H19" s="386"/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72"/>
      <c r="B20" s="383">
        <v>0</v>
      </c>
      <c r="C20" s="395"/>
      <c r="D20" s="411"/>
      <c r="E20" s="410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72"/>
      <c r="B21" s="383">
        <v>0</v>
      </c>
      <c r="C21" s="395"/>
      <c r="D21" s="411"/>
      <c r="E21" s="410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72"/>
      <c r="B22" s="383">
        <v>0</v>
      </c>
      <c r="C22" s="395"/>
      <c r="D22" s="411"/>
      <c r="E22" s="410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72"/>
      <c r="B23" s="383">
        <v>0</v>
      </c>
      <c r="C23" s="395"/>
      <c r="D23" s="411"/>
      <c r="E23" s="410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45" customHeight="1">
      <c r="A24" s="573"/>
      <c r="B24" s="383">
        <v>0</v>
      </c>
      <c r="C24" s="12" t="s">
        <v>317</v>
      </c>
      <c r="D24" s="552" t="s">
        <v>75</v>
      </c>
      <c r="E24" s="552"/>
      <c r="F24" s="401"/>
      <c r="G24" s="412"/>
      <c r="H24" s="403"/>
      <c r="I24" s="404"/>
      <c r="J24" s="405">
        <f>AVERAGE(J17:J23)</f>
        <v>5.5</v>
      </c>
      <c r="K24" s="405">
        <f>AVERAGE(K17:K23)</f>
        <v>1508.5294117647059</v>
      </c>
      <c r="L24" s="406">
        <f>AVERAGE(L17:L23)</f>
        <v>276.58823529411757</v>
      </c>
      <c r="M24" s="391"/>
      <c r="N24" s="391"/>
      <c r="O24" s="382"/>
      <c r="P24" s="382"/>
      <c r="Q24" s="382"/>
      <c r="R24" s="382"/>
    </row>
    <row r="25" spans="1:18">
      <c r="A25" s="556" t="s">
        <v>318</v>
      </c>
      <c r="B25" s="383" t="s">
        <v>389</v>
      </c>
      <c r="C25" s="413"/>
      <c r="D25" s="414" t="s">
        <v>319</v>
      </c>
      <c r="E25" s="415"/>
      <c r="F25" s="385">
        <v>22.281818181818181</v>
      </c>
      <c r="G25" s="380">
        <v>556</v>
      </c>
      <c r="H25" s="386">
        <f t="shared" ref="H25:H37" si="6">F25*G25</f>
        <v>12388.690909090908</v>
      </c>
      <c r="I25" s="387"/>
      <c r="J25" s="388">
        <v>4</v>
      </c>
      <c r="K25" s="389">
        <f t="shared" ref="K25:K28" si="7">G25/P25*60</f>
        <v>3032.727272727273</v>
      </c>
      <c r="L25" s="390">
        <f t="shared" ref="L25:L28" si="8">K25/J25</f>
        <v>758.18181818181824</v>
      </c>
      <c r="M25" s="391">
        <v>0.18055555555555555</v>
      </c>
      <c r="N25" s="391">
        <v>0.18819444444444444</v>
      </c>
      <c r="O25" s="382">
        <v>10</v>
      </c>
      <c r="P25" s="392">
        <f t="shared" ref="P25:P37" si="9">(N25-M25)*24*60</f>
        <v>11</v>
      </c>
      <c r="Q25" s="393"/>
      <c r="R25" s="393"/>
    </row>
    <row r="26" spans="1:18">
      <c r="A26" s="556"/>
      <c r="B26" s="383" t="s">
        <v>389</v>
      </c>
      <c r="C26" s="413"/>
      <c r="D26" s="416" t="s">
        <v>320</v>
      </c>
      <c r="E26" s="414"/>
      <c r="F26" s="385">
        <v>16.66</v>
      </c>
      <c r="G26" s="380">
        <v>2332</v>
      </c>
      <c r="H26" s="386">
        <f t="shared" si="6"/>
        <v>38851.120000000003</v>
      </c>
      <c r="I26" s="387"/>
      <c r="J26" s="388">
        <v>4</v>
      </c>
      <c r="K26" s="389">
        <f t="shared" si="7"/>
        <v>2855.5102040816287</v>
      </c>
      <c r="L26" s="390">
        <f t="shared" si="8"/>
        <v>713.87755102040717</v>
      </c>
      <c r="M26" s="391">
        <v>0.20208333333333331</v>
      </c>
      <c r="N26" s="391">
        <v>0.23611111111111113</v>
      </c>
      <c r="O26" s="382">
        <v>20</v>
      </c>
      <c r="P26" s="392">
        <f t="shared" si="9"/>
        <v>49.000000000000064</v>
      </c>
      <c r="Q26" s="393"/>
      <c r="R26" s="393"/>
    </row>
    <row r="27" spans="1:18">
      <c r="A27" s="556"/>
      <c r="B27" s="383" t="s">
        <v>389</v>
      </c>
      <c r="C27" s="413"/>
      <c r="D27" s="411" t="s">
        <v>321</v>
      </c>
      <c r="E27" s="414"/>
      <c r="F27" s="385">
        <v>18.18</v>
      </c>
      <c r="G27" s="380">
        <v>2588</v>
      </c>
      <c r="H27" s="386">
        <f t="shared" si="6"/>
        <v>47049.84</v>
      </c>
      <c r="I27" s="387"/>
      <c r="J27" s="388">
        <v>4</v>
      </c>
      <c r="K27" s="389">
        <f t="shared" si="7"/>
        <v>2823.2727272727252</v>
      </c>
      <c r="L27" s="390">
        <f t="shared" si="8"/>
        <v>705.8181818181813</v>
      </c>
      <c r="M27" s="391">
        <v>0.25</v>
      </c>
      <c r="N27" s="391">
        <v>0.28819444444444448</v>
      </c>
      <c r="O27" s="382">
        <v>20</v>
      </c>
      <c r="P27" s="392">
        <f t="shared" si="9"/>
        <v>55.000000000000043</v>
      </c>
      <c r="Q27" s="393">
        <v>0.28819444444444448</v>
      </c>
      <c r="R27" s="393">
        <v>0.3298611111111111</v>
      </c>
    </row>
    <row r="28" spans="1:18">
      <c r="A28" s="556"/>
      <c r="B28" s="383" t="s">
        <v>389</v>
      </c>
      <c r="C28" s="395"/>
      <c r="D28" s="416" t="s">
        <v>322</v>
      </c>
      <c r="E28" s="417"/>
      <c r="F28" s="385">
        <v>17.890909090909091</v>
      </c>
      <c r="G28" s="380">
        <v>1510</v>
      </c>
      <c r="H28" s="386">
        <f t="shared" si="6"/>
        <v>27015.272727272728</v>
      </c>
      <c r="I28" s="387"/>
      <c r="J28" s="388">
        <v>3</v>
      </c>
      <c r="K28" s="389">
        <f t="shared" si="7"/>
        <v>2831.2500000000032</v>
      </c>
      <c r="L28" s="390">
        <f t="shared" si="8"/>
        <v>943.75000000000102</v>
      </c>
      <c r="M28" s="391">
        <v>0.34375</v>
      </c>
      <c r="N28" s="391">
        <v>0.3659722222222222</v>
      </c>
      <c r="O28" s="382">
        <v>20</v>
      </c>
      <c r="P28" s="392">
        <f t="shared" si="9"/>
        <v>31.999999999999964</v>
      </c>
      <c r="Q28" s="393"/>
      <c r="R28" s="393"/>
    </row>
    <row r="29" spans="1:18">
      <c r="A29" s="556"/>
      <c r="B29" s="383">
        <v>0</v>
      </c>
      <c r="C29" s="380"/>
      <c r="D29" s="416"/>
      <c r="E29" s="417"/>
      <c r="F29" s="385" t="s">
        <v>391</v>
      </c>
      <c r="G29" s="380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56"/>
      <c r="B30" s="383">
        <v>0</v>
      </c>
      <c r="C30" s="380"/>
      <c r="D30" s="418"/>
      <c r="E30" s="417"/>
      <c r="F30" s="385" t="s">
        <v>391</v>
      </c>
      <c r="G30" s="380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56"/>
      <c r="B31" s="383">
        <v>0</v>
      </c>
      <c r="C31" s="395"/>
      <c r="D31" s="414"/>
      <c r="E31" s="417"/>
      <c r="F31" s="385" t="s">
        <v>391</v>
      </c>
      <c r="G31" s="380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56"/>
      <c r="B32" s="383">
        <v>0</v>
      </c>
      <c r="C32" s="395"/>
      <c r="D32" s="416"/>
      <c r="E32" s="410"/>
      <c r="F32" s="385" t="s">
        <v>391</v>
      </c>
      <c r="G32" s="380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56"/>
      <c r="B33" s="383">
        <v>0</v>
      </c>
      <c r="C33" s="380"/>
      <c r="D33" s="416"/>
      <c r="E33" s="417"/>
      <c r="F33" s="385" t="s">
        <v>391</v>
      </c>
      <c r="G33" s="380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56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56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56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56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45" customHeight="1">
      <c r="A38" s="557"/>
      <c r="B38" s="383">
        <v>0</v>
      </c>
      <c r="C38" s="12" t="s">
        <v>67</v>
      </c>
      <c r="D38" s="547" t="s">
        <v>323</v>
      </c>
      <c r="E38" s="547"/>
      <c r="F38" s="401"/>
      <c r="G38" s="420"/>
      <c r="H38" s="403"/>
      <c r="I38" s="404"/>
      <c r="J38" s="405">
        <f>AVERAGE(J25:J37)</f>
        <v>3.75</v>
      </c>
      <c r="K38" s="405">
        <f>AVERAGE(K25:K37)</f>
        <v>2885.6900510204077</v>
      </c>
      <c r="L38" s="406">
        <f>AVERAGE(L25:L37)</f>
        <v>780.40688775510193</v>
      </c>
      <c r="M38" s="391"/>
      <c r="N38" s="391"/>
      <c r="O38" s="389"/>
      <c r="P38" s="389"/>
      <c r="Q38" s="390"/>
      <c r="R38" s="390"/>
    </row>
    <row r="39" spans="1:18" ht="16.350000000000001" customHeight="1">
      <c r="A39" s="558" t="s">
        <v>324</v>
      </c>
      <c r="B39" s="383" t="s">
        <v>389</v>
      </c>
      <c r="C39" s="395"/>
      <c r="D39" s="416" t="s">
        <v>325</v>
      </c>
      <c r="E39" s="410"/>
      <c r="F39" s="385">
        <v>21.45</v>
      </c>
      <c r="G39" s="380">
        <v>862</v>
      </c>
      <c r="H39" s="386">
        <f t="shared" ref="H39:H47" si="10">F39*G39</f>
        <v>18489.899999999998</v>
      </c>
      <c r="I39" s="387"/>
      <c r="J39" s="388">
        <v>3</v>
      </c>
      <c r="K39" s="389">
        <f>G39/P39*60</f>
        <v>2722.1052631578928</v>
      </c>
      <c r="L39" s="390">
        <f>K39/J39</f>
        <v>907.36842105263088</v>
      </c>
      <c r="M39" s="391">
        <v>0.18055555555555555</v>
      </c>
      <c r="N39" s="391">
        <v>0.19375000000000001</v>
      </c>
      <c r="O39" s="382">
        <v>20</v>
      </c>
      <c r="P39" s="421">
        <f t="shared" ref="P39:P50" si="11">(N39-M39)*24*60</f>
        <v>19.000000000000014</v>
      </c>
      <c r="Q39" s="393"/>
      <c r="R39" s="393"/>
    </row>
    <row r="40" spans="1:18">
      <c r="A40" s="559"/>
      <c r="B40" s="383" t="s">
        <v>389</v>
      </c>
      <c r="C40" s="395"/>
      <c r="D40" s="411" t="s">
        <v>326</v>
      </c>
      <c r="E40" s="410"/>
      <c r="F40" s="385">
        <v>15.15</v>
      </c>
      <c r="G40" s="380">
        <v>1259</v>
      </c>
      <c r="H40" s="386">
        <f t="shared" si="10"/>
        <v>19073.850000000002</v>
      </c>
      <c r="I40" s="387"/>
      <c r="J40" s="388">
        <v>4</v>
      </c>
      <c r="K40" s="389">
        <f>G40/P40*60</f>
        <v>2797.7777777777792</v>
      </c>
      <c r="L40" s="390">
        <f>K40/J40</f>
        <v>699.4444444444448</v>
      </c>
      <c r="M40" s="391">
        <v>0.2076388888888889</v>
      </c>
      <c r="N40" s="391">
        <v>0.22638888888888889</v>
      </c>
      <c r="O40" s="382">
        <v>20</v>
      </c>
      <c r="P40" s="421">
        <f t="shared" si="11"/>
        <v>26.999999999999986</v>
      </c>
      <c r="Q40" s="393">
        <v>0.21111111111111111</v>
      </c>
      <c r="R40" s="393">
        <v>0.25972222222222224</v>
      </c>
    </row>
    <row r="41" spans="1:18">
      <c r="A41" s="559"/>
      <c r="B41" s="383" t="s">
        <v>389</v>
      </c>
      <c r="C41" s="395"/>
      <c r="D41" s="416" t="s">
        <v>327</v>
      </c>
      <c r="E41" s="410"/>
      <c r="F41" s="385">
        <v>18.53</v>
      </c>
      <c r="G41" s="380">
        <v>2391</v>
      </c>
      <c r="H41" s="386">
        <f t="shared" si="10"/>
        <v>44305.23</v>
      </c>
      <c r="I41" s="387"/>
      <c r="J41" s="388">
        <v>3</v>
      </c>
      <c r="K41" s="389">
        <f t="shared" ref="K41:K42" si="12">G41/P41*60</f>
        <v>2706.7924528301864</v>
      </c>
      <c r="L41" s="390">
        <f t="shared" ref="L41:L42" si="13">K41/J41</f>
        <v>902.26415094339552</v>
      </c>
      <c r="M41" s="391">
        <v>0.28194444444444444</v>
      </c>
      <c r="N41" s="391">
        <v>0.31875000000000003</v>
      </c>
      <c r="O41" s="382">
        <v>20</v>
      </c>
      <c r="P41" s="421">
        <f t="shared" si="11"/>
        <v>53.00000000000005</v>
      </c>
      <c r="Q41" s="393"/>
      <c r="R41" s="393"/>
    </row>
    <row r="42" spans="1:18">
      <c r="A42" s="559"/>
      <c r="B42" s="383">
        <v>0</v>
      </c>
      <c r="C42" s="395"/>
      <c r="D42" s="411" t="s">
        <v>395</v>
      </c>
      <c r="E42" s="410"/>
      <c r="F42" s="385" t="s">
        <v>391</v>
      </c>
      <c r="G42" s="380">
        <v>2441</v>
      </c>
      <c r="H42" s="386">
        <f t="shared" si="10"/>
        <v>0</v>
      </c>
      <c r="I42" s="387"/>
      <c r="J42" s="388">
        <v>4</v>
      </c>
      <c r="K42" s="389">
        <f t="shared" si="12"/>
        <v>2763.3962264150919</v>
      </c>
      <c r="L42" s="390">
        <f t="shared" si="13"/>
        <v>690.84905660377296</v>
      </c>
      <c r="M42" s="391">
        <v>0.33263888888888887</v>
      </c>
      <c r="N42" s="391">
        <v>0.36944444444444446</v>
      </c>
      <c r="O42" s="382">
        <v>20</v>
      </c>
      <c r="P42" s="421">
        <f t="shared" si="11"/>
        <v>53.00000000000005</v>
      </c>
      <c r="Q42" s="393"/>
      <c r="R42" s="393"/>
    </row>
    <row r="43" spans="1:18" ht="15.75" customHeight="1">
      <c r="A43" s="559"/>
      <c r="B43" s="383">
        <v>0</v>
      </c>
      <c r="C43" s="395"/>
      <c r="D43" s="418"/>
      <c r="E43" s="410"/>
      <c r="F43" s="385" t="s">
        <v>391</v>
      </c>
      <c r="G43" s="380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59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59"/>
      <c r="B45" s="383">
        <v>0</v>
      </c>
      <c r="C45" s="395"/>
      <c r="D45" s="416"/>
      <c r="E45" s="417"/>
      <c r="F45" s="385" t="s">
        <v>391</v>
      </c>
      <c r="G45" s="380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59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59"/>
      <c r="B47" s="383">
        <v>0</v>
      </c>
      <c r="C47" s="395"/>
      <c r="D47" s="416"/>
      <c r="E47" s="417"/>
      <c r="F47" s="385" t="s">
        <v>391</v>
      </c>
      <c r="G47" s="380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60"/>
      <c r="B48" s="383">
        <v>0</v>
      </c>
      <c r="C48" s="380"/>
      <c r="D48" s="562"/>
      <c r="E48" s="563"/>
      <c r="F48" s="385" t="s">
        <v>391</v>
      </c>
      <c r="G48" s="380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60"/>
      <c r="B49" s="383">
        <v>0</v>
      </c>
      <c r="C49" s="380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60"/>
      <c r="B50" s="383">
        <v>0</v>
      </c>
      <c r="C50" s="380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61"/>
      <c r="B51" s="383">
        <v>0</v>
      </c>
      <c r="C51" s="12" t="s">
        <v>68</v>
      </c>
      <c r="D51" s="552" t="s">
        <v>75</v>
      </c>
      <c r="E51" s="552"/>
      <c r="F51" s="401"/>
      <c r="G51" s="406"/>
      <c r="H51" s="428"/>
      <c r="I51" s="429"/>
      <c r="J51" s="405">
        <f>AVERAGE(J39:J50)</f>
        <v>3.5</v>
      </c>
      <c r="K51" s="405">
        <f>AVERAGE(K39:K50)</f>
        <v>2747.5179300452378</v>
      </c>
      <c r="L51" s="406">
        <f>AVERAGE(L39:L50)</f>
        <v>799.98151826106107</v>
      </c>
      <c r="M51" s="430"/>
      <c r="N51" s="391"/>
      <c r="O51" s="389"/>
      <c r="P51" s="389"/>
      <c r="Q51" s="390"/>
      <c r="R51" s="390"/>
    </row>
    <row r="52" spans="1:18" ht="15.6" customHeight="1">
      <c r="A52" s="564" t="s">
        <v>329</v>
      </c>
      <c r="B52" s="383">
        <v>0</v>
      </c>
      <c r="C52" s="395"/>
      <c r="D52" s="414"/>
      <c r="E52" s="431"/>
      <c r="F52" s="385" t="s">
        <v>391</v>
      </c>
      <c r="G52" s="380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6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65"/>
      <c r="B54" s="383">
        <v>0</v>
      </c>
      <c r="C54" s="395"/>
      <c r="D54" s="414"/>
      <c r="E54" s="410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6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6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6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6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6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6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6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6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6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66"/>
      <c r="B64" s="383">
        <v>0</v>
      </c>
      <c r="C64" s="12" t="s">
        <v>330</v>
      </c>
      <c r="D64" s="552" t="s">
        <v>75</v>
      </c>
      <c r="E64" s="552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49" t="s">
        <v>331</v>
      </c>
      <c r="B65" s="383" t="s">
        <v>389</v>
      </c>
      <c r="C65" s="395"/>
      <c r="D65" s="414" t="s">
        <v>332</v>
      </c>
      <c r="E65" s="431"/>
      <c r="F65" s="385">
        <v>25.03</v>
      </c>
      <c r="G65" s="380">
        <v>695</v>
      </c>
      <c r="H65" s="386">
        <f>F65*G65</f>
        <v>17395.850000000002</v>
      </c>
      <c r="I65" s="387"/>
      <c r="J65" s="388">
        <v>4</v>
      </c>
      <c r="K65" s="389">
        <f t="shared" ref="K65:K71" si="16">G65/P65*60</f>
        <v>3475.0000000000009</v>
      </c>
      <c r="L65" s="390">
        <f t="shared" ref="L65:L71" si="17">K65/J65</f>
        <v>868.75000000000023</v>
      </c>
      <c r="M65" s="391">
        <v>0.18055555555555555</v>
      </c>
      <c r="N65" s="391">
        <v>0.18888888888888888</v>
      </c>
      <c r="O65" s="389">
        <v>20</v>
      </c>
      <c r="P65" s="392">
        <f>(N65-M65)*24*60</f>
        <v>11.999999999999996</v>
      </c>
      <c r="Q65" s="393"/>
      <c r="R65" s="393"/>
    </row>
    <row r="66" spans="1:18" ht="15.6" customHeight="1">
      <c r="A66" s="550"/>
      <c r="B66" s="383" t="s">
        <v>389</v>
      </c>
      <c r="C66" s="395"/>
      <c r="D66" s="414" t="s">
        <v>333</v>
      </c>
      <c r="E66" s="432"/>
      <c r="F66" s="385">
        <v>24.82</v>
      </c>
      <c r="G66" s="394">
        <v>900</v>
      </c>
      <c r="H66" s="386">
        <f t="shared" ref="H66:H74" si="18">F66*G66</f>
        <v>22338</v>
      </c>
      <c r="I66" s="387"/>
      <c r="J66" s="388">
        <v>4</v>
      </c>
      <c r="K66" s="389">
        <f t="shared" si="16"/>
        <v>3375.0000000000036</v>
      </c>
      <c r="L66" s="390">
        <f t="shared" si="17"/>
        <v>843.75000000000091</v>
      </c>
      <c r="M66" s="391">
        <v>0.20277777777777781</v>
      </c>
      <c r="N66" s="391">
        <v>0.21388888888888891</v>
      </c>
      <c r="O66" s="389">
        <v>20</v>
      </c>
      <c r="P66" s="392">
        <f t="shared" ref="P66:P74" si="19">(N66-M66)*24*60</f>
        <v>15.999999999999982</v>
      </c>
      <c r="Q66" s="393"/>
      <c r="R66" s="393"/>
    </row>
    <row r="67" spans="1:18" ht="15.6" customHeight="1">
      <c r="A67" s="550"/>
      <c r="B67" s="383" t="s">
        <v>389</v>
      </c>
      <c r="C67" s="395"/>
      <c r="D67" s="414" t="s">
        <v>334</v>
      </c>
      <c r="E67" s="417"/>
      <c r="F67" s="385">
        <v>30</v>
      </c>
      <c r="G67" s="394">
        <v>1438</v>
      </c>
      <c r="H67" s="386">
        <f t="shared" si="18"/>
        <v>43140</v>
      </c>
      <c r="I67" s="387"/>
      <c r="J67" s="388">
        <v>4</v>
      </c>
      <c r="K67" s="389">
        <f t="shared" si="16"/>
        <v>3318.4615384615349</v>
      </c>
      <c r="L67" s="390">
        <f t="shared" si="17"/>
        <v>829.61538461538373</v>
      </c>
      <c r="M67" s="391">
        <v>0.22777777777777777</v>
      </c>
      <c r="N67" s="391">
        <v>0.24583333333333335</v>
      </c>
      <c r="O67" s="389">
        <v>20</v>
      </c>
      <c r="P67" s="392">
        <f t="shared" si="19"/>
        <v>26.000000000000028</v>
      </c>
      <c r="Q67" s="393"/>
      <c r="R67" s="393"/>
    </row>
    <row r="68" spans="1:18" ht="15.6" customHeight="1">
      <c r="A68" s="550"/>
      <c r="B68" s="383" t="s">
        <v>389</v>
      </c>
      <c r="C68" s="395"/>
      <c r="D68" s="434" t="s">
        <v>335</v>
      </c>
      <c r="E68" s="417"/>
      <c r="F68" s="385">
        <v>14.03</v>
      </c>
      <c r="G68" s="394">
        <v>2519</v>
      </c>
      <c r="H68" s="386">
        <f t="shared" si="18"/>
        <v>35341.57</v>
      </c>
      <c r="I68" s="387"/>
      <c r="J68" s="388">
        <v>3</v>
      </c>
      <c r="K68" s="389">
        <f t="shared" si="16"/>
        <v>3215.744680851064</v>
      </c>
      <c r="L68" s="390">
        <f t="shared" si="17"/>
        <v>1071.9148936170213</v>
      </c>
      <c r="M68" s="391">
        <v>0.25972222222222224</v>
      </c>
      <c r="N68" s="391">
        <v>0.29236111111111113</v>
      </c>
      <c r="O68" s="389">
        <v>25</v>
      </c>
      <c r="P68" s="392">
        <f t="shared" si="19"/>
        <v>46.999999999999993</v>
      </c>
      <c r="Q68" s="393"/>
      <c r="R68" s="393"/>
    </row>
    <row r="69" spans="1:18" ht="15.6" customHeight="1">
      <c r="A69" s="550"/>
      <c r="B69" s="383" t="s">
        <v>389</v>
      </c>
      <c r="C69" s="395"/>
      <c r="D69" s="414" t="s">
        <v>336</v>
      </c>
      <c r="E69" s="417"/>
      <c r="F69" s="385">
        <v>18.18</v>
      </c>
      <c r="G69" s="394">
        <v>765</v>
      </c>
      <c r="H69" s="386">
        <f t="shared" si="18"/>
        <v>13907.699999999999</v>
      </c>
      <c r="I69" s="387"/>
      <c r="J69" s="388">
        <v>3</v>
      </c>
      <c r="K69" s="389">
        <f t="shared" si="16"/>
        <v>3278.5714285714216</v>
      </c>
      <c r="L69" s="390">
        <f t="shared" si="17"/>
        <v>1092.8571428571406</v>
      </c>
      <c r="M69" s="391">
        <v>0.34791666666666665</v>
      </c>
      <c r="N69" s="391">
        <v>0.3576388888888889</v>
      </c>
      <c r="O69" s="389">
        <v>20</v>
      </c>
      <c r="P69" s="392">
        <f t="shared" si="19"/>
        <v>14.00000000000003</v>
      </c>
      <c r="Q69" s="393">
        <v>0.29236111111111113</v>
      </c>
      <c r="R69" s="393">
        <v>0.33402777777777781</v>
      </c>
    </row>
    <row r="70" spans="1:18" ht="15.75" customHeight="1">
      <c r="A70" s="550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1374</v>
      </c>
      <c r="H70" s="386">
        <f t="shared" si="18"/>
        <v>24979.32</v>
      </c>
      <c r="I70" s="387"/>
      <c r="J70" s="388">
        <v>3</v>
      </c>
      <c r="K70" s="389">
        <f t="shared" si="16"/>
        <v>3297.5999999999908</v>
      </c>
      <c r="L70" s="390">
        <f t="shared" si="17"/>
        <v>1099.1999999999969</v>
      </c>
      <c r="M70" s="391">
        <v>0.37152777777777773</v>
      </c>
      <c r="N70" s="391">
        <v>0.3888888888888889</v>
      </c>
      <c r="O70" s="389">
        <v>20</v>
      </c>
      <c r="P70" s="392">
        <f t="shared" si="19"/>
        <v>25.000000000000071</v>
      </c>
      <c r="Q70" s="393"/>
      <c r="R70" s="393"/>
    </row>
    <row r="71" spans="1:18" ht="15.6" customHeight="1">
      <c r="A71" s="550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3643</v>
      </c>
      <c r="H71" s="386">
        <f t="shared" si="18"/>
        <v>52042.85714285713</v>
      </c>
      <c r="I71" s="387"/>
      <c r="J71" s="388">
        <v>3</v>
      </c>
      <c r="K71" s="389">
        <f t="shared" si="16"/>
        <v>3214.4117647058783</v>
      </c>
      <c r="L71" s="390">
        <f t="shared" si="17"/>
        <v>1071.4705882352928</v>
      </c>
      <c r="M71" s="391">
        <v>0.40277777777777773</v>
      </c>
      <c r="N71" s="391">
        <v>0.45</v>
      </c>
      <c r="O71" s="389">
        <v>20</v>
      </c>
      <c r="P71" s="392">
        <f t="shared" si="19"/>
        <v>68.000000000000085</v>
      </c>
      <c r="Q71" s="393"/>
      <c r="R71" s="393"/>
    </row>
    <row r="72" spans="1:18" ht="15.6" customHeight="1">
      <c r="A72" s="550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50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50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51"/>
      <c r="B75" s="383">
        <v>0</v>
      </c>
      <c r="C75" s="12" t="s">
        <v>339</v>
      </c>
      <c r="D75" s="552" t="s">
        <v>75</v>
      </c>
      <c r="E75" s="552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3310.6842017985559</v>
      </c>
      <c r="L75" s="406">
        <f>AVERAGE(L65:L74)</f>
        <v>982.50828704640514</v>
      </c>
      <c r="M75" s="391"/>
      <c r="N75" s="391"/>
      <c r="O75" s="382"/>
      <c r="P75" s="382"/>
      <c r="Q75" s="382"/>
      <c r="R75" s="382"/>
    </row>
    <row r="76" spans="1:18" ht="16.350000000000001" customHeight="1">
      <c r="A76" s="553" t="s">
        <v>340</v>
      </c>
      <c r="B76" s="383">
        <v>0</v>
      </c>
      <c r="C76" s="400"/>
      <c r="D76" s="554"/>
      <c r="E76" s="555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53"/>
      <c r="B77" s="383">
        <v>0</v>
      </c>
      <c r="C77" s="400"/>
      <c r="D77" s="554"/>
      <c r="E77" s="555"/>
      <c r="F77" s="385" t="s">
        <v>391</v>
      </c>
      <c r="G77" s="380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53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53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53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53"/>
      <c r="B81" s="383">
        <v>0</v>
      </c>
      <c r="C81" s="12" t="s">
        <v>71</v>
      </c>
      <c r="D81" s="547" t="s">
        <v>75</v>
      </c>
      <c r="E81" s="547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38" t="s">
        <v>341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5141</v>
      </c>
      <c r="H82" s="444">
        <f t="shared" ref="H82:H87" si="20">F82*G82</f>
        <v>85649.06</v>
      </c>
      <c r="I82" s="387"/>
      <c r="J82" s="388">
        <v>4</v>
      </c>
      <c r="K82" s="389">
        <f t="shared" ref="K82:K86" si="21">G82/P82*60</f>
        <v>2804.1818181818157</v>
      </c>
      <c r="L82" s="390">
        <f t="shared" ref="L82:L86" si="22">K82/J82</f>
        <v>701.04545454545394</v>
      </c>
      <c r="M82" s="391">
        <v>0.72222222222222221</v>
      </c>
      <c r="N82" s="391">
        <v>0.79861111111111116</v>
      </c>
      <c r="O82" s="389">
        <v>20</v>
      </c>
      <c r="P82" s="392">
        <f>(N82-M82)*24*60</f>
        <v>110.00000000000009</v>
      </c>
      <c r="Q82" s="393"/>
      <c r="R82" s="393"/>
    </row>
    <row r="83" spans="1:18">
      <c r="A83" s="539"/>
      <c r="B83" s="383" t="s">
        <v>389</v>
      </c>
      <c r="C83" s="413"/>
      <c r="D83" s="414" t="s">
        <v>343</v>
      </c>
      <c r="E83" s="443"/>
      <c r="F83" s="385">
        <v>18.18</v>
      </c>
      <c r="G83" s="419">
        <v>339</v>
      </c>
      <c r="H83" s="444">
        <f t="shared" si="20"/>
        <v>6163.0199999999995</v>
      </c>
      <c r="I83" s="387"/>
      <c r="J83" s="388">
        <v>4</v>
      </c>
      <c r="K83" s="389">
        <f t="shared" si="21"/>
        <v>2033.9999999999748</v>
      </c>
      <c r="L83" s="390">
        <f t="shared" si="22"/>
        <v>508.49999999999369</v>
      </c>
      <c r="M83" s="391">
        <v>0.8125</v>
      </c>
      <c r="N83" s="391">
        <v>0.81944444444444453</v>
      </c>
      <c r="O83" s="389">
        <v>20</v>
      </c>
      <c r="P83" s="392">
        <f>(N83-M83)*24*60</f>
        <v>10.000000000000124</v>
      </c>
      <c r="Q83" s="393"/>
      <c r="R83" s="393"/>
    </row>
    <row r="84" spans="1:18">
      <c r="A84" s="539"/>
      <c r="B84" s="383" t="s">
        <v>389</v>
      </c>
      <c r="C84" s="413"/>
      <c r="D84" s="433" t="s">
        <v>344</v>
      </c>
      <c r="E84" s="443"/>
      <c r="F84" s="385">
        <v>16.7</v>
      </c>
      <c r="G84" s="419">
        <v>1066</v>
      </c>
      <c r="H84" s="445">
        <f t="shared" si="20"/>
        <v>17802.2</v>
      </c>
      <c r="I84" s="387"/>
      <c r="J84" s="388">
        <v>3</v>
      </c>
      <c r="K84" s="389">
        <f t="shared" si="21"/>
        <v>2558.3999999999928</v>
      </c>
      <c r="L84" s="390">
        <f t="shared" si="22"/>
        <v>852.79999999999757</v>
      </c>
      <c r="M84" s="391">
        <v>0.83333333333333337</v>
      </c>
      <c r="N84" s="391">
        <v>0.85069444444444453</v>
      </c>
      <c r="O84" s="389">
        <v>20</v>
      </c>
      <c r="P84" s="421">
        <f t="shared" ref="P84:P85" si="23">(N84-M84)*24*60</f>
        <v>25.000000000000071</v>
      </c>
      <c r="Q84" s="393">
        <v>0.85069444444444453</v>
      </c>
      <c r="R84" s="393">
        <v>0.89236111111111116</v>
      </c>
    </row>
    <row r="85" spans="1:18">
      <c r="A85" s="539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891</v>
      </c>
      <c r="H85" s="445">
        <f t="shared" si="20"/>
        <v>19853.099999999999</v>
      </c>
      <c r="I85" s="387"/>
      <c r="J85" s="388">
        <v>4</v>
      </c>
      <c r="K85" s="389">
        <f t="shared" si="21"/>
        <v>2673.0000000000095</v>
      </c>
      <c r="L85" s="390">
        <f t="shared" si="22"/>
        <v>668.25000000000239</v>
      </c>
      <c r="M85" s="391">
        <v>0.90625</v>
      </c>
      <c r="N85" s="391">
        <v>0.92013888888888884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39"/>
      <c r="B86" s="383" t="s">
        <v>389</v>
      </c>
      <c r="C86" s="413"/>
      <c r="D86" s="414" t="s">
        <v>346</v>
      </c>
      <c r="E86" s="443"/>
      <c r="F86" s="385">
        <v>17.890909090909091</v>
      </c>
      <c r="G86" s="380">
        <v>3541</v>
      </c>
      <c r="H86" s="445">
        <f t="shared" si="20"/>
        <v>63351.709090909091</v>
      </c>
      <c r="I86" s="387"/>
      <c r="J86" s="388">
        <v>3</v>
      </c>
      <c r="K86" s="389">
        <f t="shared" si="21"/>
        <v>2655.7499999999991</v>
      </c>
      <c r="L86" s="390">
        <f t="shared" si="22"/>
        <v>885.24999999999966</v>
      </c>
      <c r="M86" s="391">
        <v>0.93402777777777779</v>
      </c>
      <c r="N86" s="446">
        <v>0.98958333333333337</v>
      </c>
      <c r="O86" s="382">
        <v>20</v>
      </c>
      <c r="P86" s="421">
        <f>(N86-M86)*24*60</f>
        <v>80.000000000000028</v>
      </c>
      <c r="Q86" s="382"/>
      <c r="R86" s="382"/>
    </row>
    <row r="87" spans="1:18">
      <c r="A87" s="539"/>
      <c r="B87" s="383"/>
      <c r="C87" s="413"/>
      <c r="D87" s="414"/>
      <c r="E87" s="443"/>
      <c r="F87" s="385" t="s">
        <v>391</v>
      </c>
      <c r="G87" s="380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39"/>
      <c r="B88" s="383">
        <v>0</v>
      </c>
      <c r="C88" s="413"/>
      <c r="D88" s="414"/>
      <c r="E88" s="443"/>
      <c r="F88" s="385" t="s">
        <v>391</v>
      </c>
      <c r="G88" s="380"/>
      <c r="H88" s="445"/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39"/>
      <c r="B89" s="383">
        <v>0</v>
      </c>
      <c r="C89" s="413"/>
      <c r="D89" s="414"/>
      <c r="E89" s="443"/>
      <c r="F89" s="385" t="s">
        <v>391</v>
      </c>
      <c r="G89" s="380"/>
      <c r="H89" s="445">
        <f t="shared" ref="H89:H90" si="24">F89*G89</f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5">(N89-M89)*24*60</f>
        <v>0</v>
      </c>
      <c r="Q89" s="382"/>
      <c r="R89" s="382"/>
    </row>
    <row r="90" spans="1:18">
      <c r="A90" s="539"/>
      <c r="B90" s="383">
        <v>0</v>
      </c>
      <c r="C90" s="413"/>
      <c r="D90" s="414"/>
      <c r="E90" s="443"/>
      <c r="F90" s="385" t="s">
        <v>391</v>
      </c>
      <c r="G90" s="380"/>
      <c r="H90" s="445">
        <f t="shared" si="24"/>
        <v>0</v>
      </c>
      <c r="I90" s="387"/>
      <c r="J90" s="388"/>
      <c r="K90" s="389"/>
      <c r="L90" s="390"/>
      <c r="M90" s="391"/>
      <c r="N90" s="446"/>
      <c r="O90" s="382"/>
      <c r="P90" s="421">
        <f t="shared" si="25"/>
        <v>0</v>
      </c>
      <c r="Q90" s="382"/>
      <c r="R90" s="382"/>
    </row>
    <row r="91" spans="1:18" ht="17.45" customHeight="1">
      <c r="A91" s="539"/>
      <c r="B91" s="383">
        <v>0</v>
      </c>
      <c r="C91" s="12" t="s">
        <v>318</v>
      </c>
      <c r="D91" s="540" t="s">
        <v>75</v>
      </c>
      <c r="E91" s="540"/>
      <c r="F91" s="401"/>
      <c r="G91" s="447"/>
      <c r="H91" s="448"/>
      <c r="I91" s="404"/>
      <c r="J91" s="405">
        <f>AVERAGE(J82:J90)</f>
        <v>3.6</v>
      </c>
      <c r="K91" s="405">
        <f>AVERAGE(K82:K90)</f>
        <v>2545.0663636363583</v>
      </c>
      <c r="L91" s="406">
        <f>AVERAGE(L82:L90)</f>
        <v>723.16909090908939</v>
      </c>
      <c r="M91" s="391"/>
      <c r="N91" s="391"/>
      <c r="O91" s="389"/>
      <c r="P91" s="389"/>
      <c r="Q91" s="390"/>
      <c r="R91" s="390"/>
    </row>
    <row r="92" spans="1:18" ht="16.350000000000001" customHeight="1">
      <c r="A92" s="541" t="s">
        <v>347</v>
      </c>
      <c r="B92" s="383" t="s">
        <v>389</v>
      </c>
      <c r="C92" s="400"/>
      <c r="D92" s="449" t="s">
        <v>348</v>
      </c>
      <c r="E92" s="443"/>
      <c r="F92" s="385">
        <v>24.54</v>
      </c>
      <c r="G92" s="380">
        <v>1815</v>
      </c>
      <c r="H92" s="386">
        <f t="shared" ref="H92:H97" si="26">F92*G92</f>
        <v>44540.1</v>
      </c>
      <c r="I92" s="387"/>
      <c r="J92" s="388">
        <v>3</v>
      </c>
      <c r="K92" s="389">
        <f>G92/P92*60</f>
        <v>2177.9999999999936</v>
      </c>
      <c r="L92" s="390">
        <f t="shared" ref="L92:L93" si="27">K92/J92</f>
        <v>725.99999999999784</v>
      </c>
      <c r="M92" s="391">
        <v>0.72222222222222221</v>
      </c>
      <c r="N92" s="391">
        <v>0.75694444444444453</v>
      </c>
      <c r="O92" s="382">
        <v>20</v>
      </c>
      <c r="P92" s="392">
        <f>(N92-M92)*24*60</f>
        <v>50.000000000000142</v>
      </c>
      <c r="Q92" s="393"/>
      <c r="R92" s="393"/>
    </row>
    <row r="93" spans="1:18">
      <c r="A93" s="542"/>
      <c r="B93" s="383" t="s">
        <v>389</v>
      </c>
      <c r="C93" s="400"/>
      <c r="D93" s="414" t="s">
        <v>349</v>
      </c>
      <c r="E93" s="443"/>
      <c r="F93" s="385">
        <v>22.48</v>
      </c>
      <c r="G93" s="380">
        <v>1267</v>
      </c>
      <c r="H93" s="386">
        <f t="shared" si="26"/>
        <v>28482.16</v>
      </c>
      <c r="I93" s="387"/>
      <c r="J93" s="388">
        <v>4</v>
      </c>
      <c r="K93" s="389">
        <f t="shared" ref="K93" si="28">G93/P93*60</f>
        <v>2172.0000000000077</v>
      </c>
      <c r="L93" s="390">
        <f t="shared" si="27"/>
        <v>543.00000000000193</v>
      </c>
      <c r="M93" s="391">
        <v>0.77083333333333337</v>
      </c>
      <c r="N93" s="391">
        <v>0.79513888888888884</v>
      </c>
      <c r="O93" s="382">
        <v>20</v>
      </c>
      <c r="P93" s="392">
        <f>(N93-M93)*24*60</f>
        <v>34.999999999999872</v>
      </c>
      <c r="Q93" s="393"/>
      <c r="R93" s="393"/>
    </row>
    <row r="94" spans="1:18">
      <c r="A94" s="542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6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43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6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43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6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43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6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43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43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43"/>
      <c r="B100" s="383">
        <v>0</v>
      </c>
      <c r="C100" s="12" t="s">
        <v>350</v>
      </c>
      <c r="D100" s="544" t="s">
        <v>75</v>
      </c>
      <c r="E100" s="545"/>
      <c r="F100" s="401"/>
      <c r="G100" s="402"/>
      <c r="H100" s="450"/>
      <c r="I100" s="404"/>
      <c r="J100" s="405">
        <f>AVERAGE(J92:J99)</f>
        <v>3.5</v>
      </c>
      <c r="K100" s="405">
        <f>AVERAGE(K92:K99)</f>
        <v>2175.0000000000009</v>
      </c>
      <c r="L100" s="406">
        <f>AVERAGE(L92:L99)</f>
        <v>634.49999999999989</v>
      </c>
      <c r="M100" s="391"/>
      <c r="N100" s="391"/>
      <c r="O100" s="389"/>
      <c r="P100" s="389"/>
      <c r="Q100" s="390"/>
      <c r="R100" s="390"/>
    </row>
    <row r="101" spans="1:18" ht="16.350000000000001" customHeight="1">
      <c r="A101" s="546" t="s">
        <v>351</v>
      </c>
      <c r="B101" s="383" t="s">
        <v>389</v>
      </c>
      <c r="C101" s="12"/>
      <c r="D101" s="437" t="s">
        <v>352</v>
      </c>
      <c r="E101" s="451"/>
      <c r="F101" s="385">
        <v>25.03</v>
      </c>
      <c r="G101" s="380">
        <v>1043</v>
      </c>
      <c r="H101" s="386">
        <f t="shared" ref="H101:H110" si="29">F101*G101</f>
        <v>26106.29</v>
      </c>
      <c r="I101" s="387"/>
      <c r="J101" s="388">
        <v>4</v>
      </c>
      <c r="K101" s="389">
        <f>G101/P101*60</f>
        <v>3128.9999999999864</v>
      </c>
      <c r="L101" s="390">
        <f t="shared" ref="L101:L105" si="30">K101/J101</f>
        <v>782.24999999999659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1">(N101-M101)*24*60</f>
        <v>20.000000000000089</v>
      </c>
      <c r="Q101" s="390"/>
      <c r="R101" s="393"/>
    </row>
    <row r="102" spans="1:18">
      <c r="A102" s="546"/>
      <c r="B102" s="383" t="s">
        <v>389</v>
      </c>
      <c r="C102" s="12"/>
      <c r="D102" s="414" t="s">
        <v>353</v>
      </c>
      <c r="E102" s="451"/>
      <c r="F102" s="385">
        <v>24.82</v>
      </c>
      <c r="G102" s="380">
        <v>1611</v>
      </c>
      <c r="H102" s="386">
        <f t="shared" si="29"/>
        <v>39985.020000000004</v>
      </c>
      <c r="I102" s="387"/>
      <c r="J102" s="388">
        <v>4</v>
      </c>
      <c r="K102" s="389">
        <f t="shared" ref="K102:K105" si="32">G102/P102*60</f>
        <v>2761.7142857142958</v>
      </c>
      <c r="L102" s="390">
        <f t="shared" si="30"/>
        <v>690.42857142857395</v>
      </c>
      <c r="M102" s="391">
        <v>0.75</v>
      </c>
      <c r="N102" s="391">
        <v>0.77430555555555547</v>
      </c>
      <c r="O102" s="382">
        <v>20</v>
      </c>
      <c r="P102" s="389">
        <f t="shared" si="31"/>
        <v>34.999999999999872</v>
      </c>
      <c r="Q102" s="393"/>
      <c r="R102" s="393"/>
    </row>
    <row r="103" spans="1:18">
      <c r="A103" s="546"/>
      <c r="B103" s="383" t="s">
        <v>389</v>
      </c>
      <c r="C103" s="12"/>
      <c r="D103" s="433" t="s">
        <v>354</v>
      </c>
      <c r="E103" s="414"/>
      <c r="F103" s="385">
        <v>28.57</v>
      </c>
      <c r="G103" s="380">
        <v>2800</v>
      </c>
      <c r="H103" s="386">
        <f t="shared" si="29"/>
        <v>79996</v>
      </c>
      <c r="I103" s="387"/>
      <c r="J103" s="388">
        <v>3</v>
      </c>
      <c r="K103" s="389">
        <f t="shared" si="32"/>
        <v>3054.5454545454654</v>
      </c>
      <c r="L103" s="390">
        <f t="shared" si="30"/>
        <v>1018.1818181818218</v>
      </c>
      <c r="M103" s="391">
        <v>0.78819444444444453</v>
      </c>
      <c r="N103" s="391">
        <v>0.82638888888888884</v>
      </c>
      <c r="O103" s="382">
        <v>20</v>
      </c>
      <c r="P103" s="389">
        <f t="shared" si="31"/>
        <v>54.999999999999801</v>
      </c>
      <c r="Q103" s="393"/>
      <c r="R103" s="393"/>
    </row>
    <row r="104" spans="1:18">
      <c r="A104" s="546"/>
      <c r="B104" s="383" t="s">
        <v>389</v>
      </c>
      <c r="C104" s="12"/>
      <c r="D104" s="414" t="s">
        <v>355</v>
      </c>
      <c r="E104" s="437"/>
      <c r="F104" s="385">
        <v>14.03</v>
      </c>
      <c r="G104" s="380">
        <v>5713</v>
      </c>
      <c r="H104" s="386">
        <f t="shared" si="29"/>
        <v>80153.39</v>
      </c>
      <c r="I104" s="387"/>
      <c r="J104" s="388">
        <v>3</v>
      </c>
      <c r="K104" s="389">
        <f t="shared" si="32"/>
        <v>2980.6956521739153</v>
      </c>
      <c r="L104" s="390">
        <f t="shared" si="30"/>
        <v>993.56521739130505</v>
      </c>
      <c r="M104" s="391">
        <v>0.84027777777777779</v>
      </c>
      <c r="N104" s="391">
        <v>0.92013888888888884</v>
      </c>
      <c r="O104" s="382">
        <v>20</v>
      </c>
      <c r="P104" s="389">
        <f>(N104-M104)*24*60</f>
        <v>114.99999999999991</v>
      </c>
      <c r="Q104" s="393">
        <v>0.92013888888888884</v>
      </c>
      <c r="R104" s="393">
        <v>0.96180555555555547</v>
      </c>
    </row>
    <row r="105" spans="1:18">
      <c r="A105" s="546"/>
      <c r="B105" s="383" t="s">
        <v>389</v>
      </c>
      <c r="C105" s="12"/>
      <c r="D105" s="414" t="s">
        <v>356</v>
      </c>
      <c r="E105" s="433"/>
      <c r="F105" s="385">
        <v>14.285714285714283</v>
      </c>
      <c r="G105" s="380">
        <v>7640</v>
      </c>
      <c r="H105" s="386">
        <f t="shared" si="29"/>
        <v>109142.85714285712</v>
      </c>
      <c r="I105" s="387"/>
      <c r="J105" s="388">
        <v>3</v>
      </c>
      <c r="K105" s="389">
        <f t="shared" si="32"/>
        <v>2957.4193548387138</v>
      </c>
      <c r="L105" s="390">
        <f t="shared" si="30"/>
        <v>985.80645161290465</v>
      </c>
      <c r="M105" s="391">
        <v>0.97569444444444453</v>
      </c>
      <c r="N105" s="446">
        <v>1.0833333333333333</v>
      </c>
      <c r="O105" s="382">
        <v>20</v>
      </c>
      <c r="P105" s="389">
        <f>(N105-M105)*24*60</f>
        <v>154.99999999999977</v>
      </c>
      <c r="Q105" s="390"/>
      <c r="R105" s="393"/>
    </row>
    <row r="106" spans="1:18">
      <c r="A106" s="546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9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1"/>
        <v>0</v>
      </c>
      <c r="Q106" s="390"/>
      <c r="R106" s="393"/>
    </row>
    <row r="107" spans="1:18">
      <c r="A107" s="546"/>
      <c r="B107" s="383">
        <v>0</v>
      </c>
      <c r="C107" s="12"/>
      <c r="D107" s="414"/>
      <c r="E107" s="433"/>
      <c r="F107" s="385" t="s">
        <v>391</v>
      </c>
      <c r="G107" s="380"/>
      <c r="H107" s="386">
        <f t="shared" si="29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1"/>
        <v>0</v>
      </c>
      <c r="Q107" s="390"/>
      <c r="R107" s="393"/>
    </row>
    <row r="108" spans="1:18">
      <c r="A108" s="546"/>
      <c r="B108" s="383">
        <v>0</v>
      </c>
      <c r="C108" s="12"/>
      <c r="D108" s="414"/>
      <c r="E108" s="433"/>
      <c r="F108" s="385" t="s">
        <v>391</v>
      </c>
      <c r="G108" s="380"/>
      <c r="H108" s="386">
        <f t="shared" si="29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1"/>
        <v>0</v>
      </c>
      <c r="Q108" s="390"/>
      <c r="R108" s="393"/>
    </row>
    <row r="109" spans="1:18">
      <c r="A109" s="546"/>
      <c r="B109" s="383">
        <v>0</v>
      </c>
      <c r="C109" s="400"/>
      <c r="D109" s="414"/>
      <c r="E109" s="433"/>
      <c r="F109" s="385" t="s">
        <v>391</v>
      </c>
      <c r="G109" s="380"/>
      <c r="H109" s="386">
        <f t="shared" si="29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1"/>
        <v>0</v>
      </c>
      <c r="Q109" s="390"/>
      <c r="R109" s="393"/>
    </row>
    <row r="110" spans="1:18">
      <c r="A110" s="546"/>
      <c r="B110" s="383">
        <v>0</v>
      </c>
      <c r="C110" s="400"/>
      <c r="D110" s="414"/>
      <c r="E110" s="433"/>
      <c r="F110" s="385" t="s">
        <v>391</v>
      </c>
      <c r="G110" s="380"/>
      <c r="H110" s="386">
        <f t="shared" si="29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1"/>
        <v>0</v>
      </c>
      <c r="Q110" s="390"/>
      <c r="R110" s="393"/>
    </row>
    <row r="111" spans="1:18" ht="15.75" customHeight="1">
      <c r="A111" s="546"/>
      <c r="B111" s="383">
        <v>0</v>
      </c>
      <c r="C111" s="12" t="s">
        <v>330</v>
      </c>
      <c r="D111" s="547" t="s">
        <v>75</v>
      </c>
      <c r="E111" s="548"/>
      <c r="F111" s="452"/>
      <c r="G111" s="453"/>
      <c r="H111" s="403"/>
      <c r="I111" s="404"/>
      <c r="J111" s="405">
        <f>AVERAGE(J101:J110)</f>
        <v>3.4</v>
      </c>
      <c r="K111" s="405">
        <f>AVERAGE(K101:K110)</f>
        <v>2976.6749494544756</v>
      </c>
      <c r="L111" s="406">
        <f>AVERAGE(L101:L110)</f>
        <v>894.04641172292031</v>
      </c>
      <c r="M111" s="391"/>
      <c r="N111" s="391"/>
      <c r="O111" s="389"/>
      <c r="P111" s="389"/>
      <c r="Q111" s="390"/>
      <c r="R111" s="382"/>
    </row>
    <row r="112" spans="1:18" ht="16.350000000000001" customHeight="1">
      <c r="A112" s="536" t="s">
        <v>357</v>
      </c>
      <c r="B112" s="383" t="s">
        <v>389</v>
      </c>
      <c r="C112" s="12"/>
      <c r="D112" s="441" t="s">
        <v>358</v>
      </c>
      <c r="E112" s="454"/>
      <c r="F112" s="385">
        <v>18.18</v>
      </c>
      <c r="G112" s="380">
        <v>865</v>
      </c>
      <c r="H112" s="444">
        <f t="shared" si="3"/>
        <v>15725.699999999999</v>
      </c>
      <c r="I112" s="387"/>
      <c r="J112" s="388">
        <v>4</v>
      </c>
      <c r="K112" s="389">
        <f t="shared" ref="K112:K113" si="33">G112/P112*60</f>
        <v>2594.9999999999886</v>
      </c>
      <c r="L112" s="390">
        <f t="shared" ref="L112:L113" si="34">K112/J112</f>
        <v>648.74999999999716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5">(N112-M112)*24*60</f>
        <v>20.000000000000089</v>
      </c>
      <c r="Q112" s="382"/>
      <c r="R112" s="382"/>
    </row>
    <row r="113" spans="1:18">
      <c r="A113" s="536"/>
      <c r="B113" s="383" t="s">
        <v>389</v>
      </c>
      <c r="C113" s="413"/>
      <c r="D113" s="441" t="s">
        <v>359</v>
      </c>
      <c r="E113" s="441"/>
      <c r="F113" s="385">
        <v>18.18</v>
      </c>
      <c r="G113" s="380">
        <v>1054</v>
      </c>
      <c r="H113" s="444">
        <f t="shared" si="3"/>
        <v>19161.72</v>
      </c>
      <c r="I113" s="387"/>
      <c r="J113" s="388">
        <v>3</v>
      </c>
      <c r="K113" s="389">
        <f t="shared" si="33"/>
        <v>3162.0000000000114</v>
      </c>
      <c r="L113" s="390">
        <f t="shared" si="34"/>
        <v>1054.0000000000039</v>
      </c>
      <c r="M113" s="391">
        <v>0.75</v>
      </c>
      <c r="N113" s="391">
        <v>0.76388888888888884</v>
      </c>
      <c r="O113" s="382">
        <v>20</v>
      </c>
      <c r="P113" s="392">
        <f t="shared" si="35"/>
        <v>19.999999999999929</v>
      </c>
      <c r="Q113" s="393"/>
      <c r="R113" s="393"/>
    </row>
    <row r="114" spans="1:18">
      <c r="A114" s="536"/>
      <c r="B114" s="383">
        <v>0</v>
      </c>
      <c r="C114" s="413"/>
      <c r="D114" s="437"/>
      <c r="E114" s="414"/>
      <c r="F114" s="385" t="s">
        <v>391</v>
      </c>
      <c r="G114" s="380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5"/>
        <v>0</v>
      </c>
      <c r="Q114" s="393"/>
      <c r="R114" s="393"/>
    </row>
    <row r="115" spans="1:18">
      <c r="A115" s="536"/>
      <c r="B115" s="383">
        <v>0</v>
      </c>
      <c r="C115" s="413"/>
      <c r="D115" s="414"/>
      <c r="E115" s="437"/>
      <c r="F115" s="385" t="s">
        <v>391</v>
      </c>
      <c r="G115" s="380"/>
      <c r="H115" s="444">
        <f t="shared" ref="H115:H123" si="36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5"/>
        <v>0</v>
      </c>
      <c r="Q115" s="393"/>
      <c r="R115" s="393"/>
    </row>
    <row r="116" spans="1:18">
      <c r="A116" s="536"/>
      <c r="B116" s="383">
        <v>0</v>
      </c>
      <c r="C116" s="413"/>
      <c r="D116" s="414"/>
      <c r="E116" s="433"/>
      <c r="F116" s="385" t="s">
        <v>391</v>
      </c>
      <c r="G116" s="380"/>
      <c r="H116" s="444">
        <f t="shared" si="36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5"/>
        <v>0</v>
      </c>
      <c r="Q116" s="393"/>
      <c r="R116" s="393"/>
    </row>
    <row r="117" spans="1:18">
      <c r="A117" s="536"/>
      <c r="B117" s="383">
        <v>0</v>
      </c>
      <c r="C117" s="413"/>
      <c r="D117" s="433"/>
      <c r="E117" s="432"/>
      <c r="F117" s="385" t="s">
        <v>391</v>
      </c>
      <c r="G117" s="380"/>
      <c r="H117" s="444">
        <f t="shared" si="36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5"/>
        <v>0</v>
      </c>
      <c r="Q117" s="393"/>
      <c r="R117" s="393"/>
    </row>
    <row r="118" spans="1:18">
      <c r="A118" s="536"/>
      <c r="B118" s="383">
        <v>0</v>
      </c>
      <c r="C118" s="413"/>
      <c r="D118" s="433"/>
      <c r="E118" s="432"/>
      <c r="F118" s="385" t="s">
        <v>391</v>
      </c>
      <c r="G118" s="380"/>
      <c r="H118" s="444">
        <f t="shared" si="36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5"/>
        <v>0</v>
      </c>
      <c r="Q118" s="393"/>
      <c r="R118" s="393"/>
    </row>
    <row r="119" spans="1:18">
      <c r="A119" s="536"/>
      <c r="B119" s="383">
        <v>0</v>
      </c>
      <c r="C119" s="413"/>
      <c r="D119" s="433"/>
      <c r="E119" s="432"/>
      <c r="F119" s="385" t="s">
        <v>391</v>
      </c>
      <c r="G119" s="380"/>
      <c r="H119" s="444">
        <f t="shared" si="36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5"/>
        <v>0</v>
      </c>
      <c r="Q119" s="393"/>
      <c r="R119" s="393"/>
    </row>
    <row r="120" spans="1:18">
      <c r="A120" s="536"/>
      <c r="B120" s="383">
        <v>0</v>
      </c>
      <c r="C120" s="413"/>
      <c r="D120" s="433"/>
      <c r="E120" s="432"/>
      <c r="F120" s="385" t="s">
        <v>391</v>
      </c>
      <c r="G120" s="380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36"/>
      <c r="B121" s="383">
        <v>0</v>
      </c>
      <c r="C121" s="413"/>
      <c r="D121" s="433"/>
      <c r="E121" s="432"/>
      <c r="F121" s="385" t="s">
        <v>391</v>
      </c>
      <c r="G121" s="380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36"/>
      <c r="B122" s="383">
        <v>0</v>
      </c>
      <c r="C122" s="413"/>
      <c r="D122" s="433"/>
      <c r="E122" s="432"/>
      <c r="F122" s="385" t="s">
        <v>391</v>
      </c>
      <c r="G122" s="380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5"/>
        <v>0</v>
      </c>
      <c r="Q122" s="393"/>
      <c r="R122" s="393"/>
    </row>
    <row r="123" spans="1:18">
      <c r="A123" s="536"/>
      <c r="B123" s="383">
        <v>0</v>
      </c>
      <c r="C123" s="413"/>
      <c r="D123" s="433"/>
      <c r="E123" s="432"/>
      <c r="F123" s="385" t="s">
        <v>391</v>
      </c>
      <c r="G123" s="380"/>
      <c r="H123" s="444">
        <f t="shared" si="36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5"/>
        <v>0</v>
      </c>
      <c r="Q123" s="393"/>
      <c r="R123" s="393"/>
    </row>
    <row r="124" spans="1:18" ht="17.45" customHeight="1">
      <c r="A124" s="536"/>
      <c r="B124" s="400">
        <v>0</v>
      </c>
      <c r="C124" s="12" t="s">
        <v>339</v>
      </c>
      <c r="D124" s="537" t="s">
        <v>75</v>
      </c>
      <c r="E124" s="537"/>
      <c r="F124" s="401"/>
      <c r="G124" s="447"/>
      <c r="H124" s="448"/>
      <c r="I124" s="404"/>
      <c r="J124" s="405">
        <f>AVERAGE(J112:J123)</f>
        <v>3.5</v>
      </c>
      <c r="K124" s="405">
        <f>AVERAGE(K112:K123)</f>
        <v>2878.5</v>
      </c>
      <c r="L124" s="406">
        <f>AVERAGE(L112:L123)</f>
        <v>851.37500000000045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48:E48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4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L68" sqref="L68"/>
      <selection pane="bottomLeft" activeCell="L68" sqref="L68"/>
    </sheetView>
  </sheetViews>
  <sheetFormatPr defaultColWidth="7.875" defaultRowHeight="15.75"/>
  <cols>
    <col min="1" max="1" width="14.125" style="71" customWidth="1"/>
    <col min="2" max="2" width="12.875" style="71" customWidth="1"/>
    <col min="3" max="3" width="12.875" style="71" hidden="1" customWidth="1"/>
    <col min="4" max="4" width="14.125" style="71" customWidth="1"/>
    <col min="5" max="5" width="16.5" style="71" customWidth="1"/>
    <col min="6" max="6" width="8.875" style="71" customWidth="1"/>
    <col min="7" max="7" width="20.125" style="71" bestFit="1" customWidth="1"/>
    <col min="8" max="8" width="16.375" style="71" customWidth="1"/>
    <col min="9" max="9" width="6.375" style="71" customWidth="1"/>
    <col min="10" max="10" width="10.125" style="71" customWidth="1"/>
    <col min="11" max="11" width="10.625" style="71" customWidth="1"/>
    <col min="12" max="12" width="14.5" style="71" customWidth="1"/>
    <col min="13" max="13" width="10.125" style="71" customWidth="1"/>
    <col min="14" max="14" width="9.125" style="71" customWidth="1"/>
    <col min="15" max="15" width="11.875" style="71" customWidth="1"/>
    <col min="16" max="16" width="6" style="71" customWidth="1"/>
    <col min="17" max="18" width="9.125" style="71" customWidth="1"/>
    <col min="19" max="19" width="8.625" style="71" customWidth="1"/>
    <col min="20" max="21" width="7.625" style="71" bestFit="1" customWidth="1"/>
    <col min="22" max="22" width="10.625" style="71" customWidth="1"/>
    <col min="23" max="23" width="8.625" style="360" customWidth="1"/>
    <col min="24" max="25" width="7.125" style="71" customWidth="1"/>
    <col min="26" max="27" width="9.5" style="71" customWidth="1"/>
    <col min="28" max="28" width="12.625" style="71" customWidth="1"/>
    <col min="29" max="29" width="12.5" style="71" customWidth="1"/>
    <col min="30" max="31" width="9.5" style="71" customWidth="1"/>
    <col min="32" max="32" width="13.125" style="71" customWidth="1"/>
    <col min="33" max="33" width="10.375" style="71" customWidth="1"/>
    <col min="34" max="34" width="9.125" style="71" customWidth="1"/>
    <col min="35" max="35" width="7.875" style="71" customWidth="1"/>
    <col min="36" max="36" width="24.5" style="71" bestFit="1" customWidth="1"/>
    <col min="37" max="16384" width="7.875" style="71"/>
  </cols>
  <sheetData>
    <row r="1" spans="1:34" ht="26.25" customHeight="1">
      <c r="A1" s="62" t="s">
        <v>81</v>
      </c>
      <c r="B1" s="62"/>
      <c r="C1" s="62"/>
      <c r="D1" s="72" t="s">
        <v>82</v>
      </c>
      <c r="E1" s="64">
        <f>SUM(G5:G173)</f>
        <v>125310.54999999999</v>
      </c>
      <c r="F1" s="78" t="s">
        <v>3</v>
      </c>
      <c r="G1" s="66">
        <f>SUM(H5:H173)</f>
        <v>5004828.5041784784</v>
      </c>
      <c r="H1" s="70" t="s">
        <v>83</v>
      </c>
      <c r="I1" s="68">
        <f>M17+M30+M43+M56+M69+M82+M95+M108+M121+M134+M147+M160+M173</f>
        <v>199.1611111111111</v>
      </c>
      <c r="J1" s="668" t="s">
        <v>84</v>
      </c>
      <c r="K1" s="668"/>
      <c r="L1" s="668"/>
      <c r="M1" s="668" t="s">
        <v>85</v>
      </c>
      <c r="N1" s="668"/>
      <c r="O1" s="668"/>
      <c r="P1" s="668" t="s">
        <v>86</v>
      </c>
      <c r="Q1" s="668"/>
      <c r="R1" s="668"/>
      <c r="S1" s="668"/>
      <c r="T1" s="668" t="s">
        <v>87</v>
      </c>
      <c r="U1" s="668"/>
      <c r="V1" s="668"/>
      <c r="W1" s="668"/>
      <c r="X1" s="668"/>
      <c r="Y1" s="668"/>
      <c r="Z1" s="69" t="s">
        <v>88</v>
      </c>
      <c r="AA1" s="69" t="s">
        <v>89</v>
      </c>
      <c r="AB1" s="669" t="s">
        <v>90</v>
      </c>
      <c r="AC1" s="670"/>
      <c r="AD1" s="69" t="s">
        <v>88</v>
      </c>
      <c r="AE1" s="69" t="s">
        <v>91</v>
      </c>
      <c r="AF1" s="668" t="s">
        <v>92</v>
      </c>
      <c r="AG1" s="673"/>
      <c r="AH1" s="673"/>
    </row>
    <row r="2" spans="1:34" ht="26.25" customHeight="1">
      <c r="A2" s="667" t="s">
        <v>397</v>
      </c>
      <c r="B2" s="667"/>
      <c r="C2" s="72"/>
      <c r="D2" s="72" t="s">
        <v>41</v>
      </c>
      <c r="E2" s="73">
        <f>AVERAGE(O17,O30,O43,O56,O69,O82,O95,O108,O121,O134,O147,O160,O173)</f>
        <v>116.12912941417962</v>
      </c>
      <c r="F2" s="74" t="s">
        <v>94</v>
      </c>
      <c r="G2" s="75">
        <f>G1/E1</f>
        <v>39.939402581653972</v>
      </c>
      <c r="H2" s="70" t="s">
        <v>95</v>
      </c>
      <c r="I2" s="70">
        <f>COUNT(I5:I173)</f>
        <v>1</v>
      </c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8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71"/>
      <c r="AC2" s="672"/>
      <c r="AD2" s="77">
        <f>AD17+AD30+AD43+AD56+AD69+AD82+AD95+AD108+AD121+AD134+AD147+AD160+AD173</f>
        <v>4</v>
      </c>
      <c r="AE2" s="77">
        <f>AE17+AE30+AE43+AE56+AE69+AE82+AE95+AE108+AE121+AE134+AE147+AE160+AE173</f>
        <v>1</v>
      </c>
      <c r="AF2" s="673"/>
      <c r="AG2" s="673"/>
      <c r="AH2" s="673"/>
    </row>
    <row r="3" spans="1:34" ht="30.6" customHeight="1">
      <c r="A3" s="601" t="s">
        <v>96</v>
      </c>
      <c r="B3" s="601" t="s">
        <v>97</v>
      </c>
      <c r="C3" s="665"/>
      <c r="D3" s="601" t="s">
        <v>98</v>
      </c>
      <c r="E3" s="601"/>
      <c r="F3" s="665" t="s">
        <v>99</v>
      </c>
      <c r="G3" s="659" t="s">
        <v>100</v>
      </c>
      <c r="H3" s="665" t="s">
        <v>101</v>
      </c>
      <c r="I3" s="661" t="s">
        <v>102</v>
      </c>
      <c r="J3" s="664" t="s">
        <v>103</v>
      </c>
      <c r="K3" s="654" t="s">
        <v>104</v>
      </c>
      <c r="L3" s="635" t="s">
        <v>76</v>
      </c>
      <c r="M3" s="659" t="s">
        <v>103</v>
      </c>
      <c r="N3" s="654" t="s">
        <v>105</v>
      </c>
      <c r="O3" s="635" t="s">
        <v>41</v>
      </c>
      <c r="P3" s="664" t="s">
        <v>106</v>
      </c>
      <c r="Q3" s="635" t="s">
        <v>41</v>
      </c>
      <c r="R3" s="655" t="s">
        <v>107</v>
      </c>
      <c r="S3" s="632" t="s">
        <v>108</v>
      </c>
      <c r="T3" s="659" t="s">
        <v>109</v>
      </c>
      <c r="U3" s="659"/>
      <c r="V3" s="660" t="s">
        <v>110</v>
      </c>
      <c r="W3" s="661" t="s">
        <v>111</v>
      </c>
      <c r="X3" s="659" t="s">
        <v>112</v>
      </c>
      <c r="Y3" s="659"/>
      <c r="Z3" s="662" t="s">
        <v>113</v>
      </c>
      <c r="AA3" s="663"/>
      <c r="AB3" s="650" t="s">
        <v>114</v>
      </c>
      <c r="AC3" s="651"/>
      <c r="AD3" s="652" t="s">
        <v>115</v>
      </c>
      <c r="AE3" s="653"/>
      <c r="AF3" s="654" t="s">
        <v>105</v>
      </c>
      <c r="AG3" s="655" t="s">
        <v>107</v>
      </c>
      <c r="AH3" s="632" t="s">
        <v>108</v>
      </c>
    </row>
    <row r="4" spans="1:34" ht="30.6" customHeight="1">
      <c r="A4" s="665"/>
      <c r="B4" s="601"/>
      <c r="C4" s="666"/>
      <c r="D4" s="601"/>
      <c r="E4" s="601"/>
      <c r="F4" s="666"/>
      <c r="G4" s="659"/>
      <c r="H4" s="666"/>
      <c r="I4" s="661"/>
      <c r="J4" s="664"/>
      <c r="K4" s="654"/>
      <c r="L4" s="635"/>
      <c r="M4" s="659"/>
      <c r="N4" s="654"/>
      <c r="O4" s="635"/>
      <c r="P4" s="664"/>
      <c r="Q4" s="635"/>
      <c r="R4" s="655"/>
      <c r="S4" s="632"/>
      <c r="T4" s="79" t="s">
        <v>116</v>
      </c>
      <c r="U4" s="79" t="s">
        <v>117</v>
      </c>
      <c r="V4" s="659"/>
      <c r="W4" s="661"/>
      <c r="X4" s="78" t="s">
        <v>118</v>
      </c>
      <c r="Y4" s="78" t="s">
        <v>78</v>
      </c>
      <c r="Z4" s="79" t="s">
        <v>119</v>
      </c>
      <c r="AA4" s="79" t="s">
        <v>120</v>
      </c>
      <c r="AB4" s="651"/>
      <c r="AC4" s="651"/>
      <c r="AD4" s="79" t="s">
        <v>121</v>
      </c>
      <c r="AE4" s="80" t="s">
        <v>122</v>
      </c>
      <c r="AF4" s="654"/>
      <c r="AG4" s="655"/>
      <c r="AH4" s="632"/>
    </row>
    <row r="5" spans="1:34" ht="19.5" customHeight="1">
      <c r="A5" s="656" t="s">
        <v>123</v>
      </c>
      <c r="B5" s="81" t="s">
        <v>385</v>
      </c>
      <c r="C5" s="82"/>
      <c r="D5" s="83" t="s">
        <v>124</v>
      </c>
      <c r="E5" s="84"/>
      <c r="F5" s="85">
        <v>37.94</v>
      </c>
      <c r="G5" s="86">
        <v>2789</v>
      </c>
      <c r="H5" s="87">
        <f t="shared" ref="H5:H16" si="0">F5*G5</f>
        <v>105814.65999999999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3" si="1">G5/W5*60</f>
        <v>2145.3846153846166</v>
      </c>
      <c r="O5" s="90">
        <f t="shared" ref="O5:O13" si="2">N5/M5</f>
        <v>107.26923076923083</v>
      </c>
      <c r="P5" s="92">
        <f t="shared" ref="P5:P13" si="3">M5-J5</f>
        <v>0</v>
      </c>
      <c r="Q5" s="93">
        <f t="shared" ref="Q5:Q13" si="4">O5-L5</f>
        <v>-2.7307692307691696</v>
      </c>
      <c r="R5" s="95">
        <f t="shared" ref="R5:R13" si="5">O5/L5</f>
        <v>0.97517482517482568</v>
      </c>
      <c r="S5" s="620">
        <f>R17</f>
        <v>0.85423151652785889</v>
      </c>
      <c r="T5" s="96">
        <v>0.29166666666666669</v>
      </c>
      <c r="U5" s="96">
        <v>0.34583333333333333</v>
      </c>
      <c r="V5" s="78">
        <v>5</v>
      </c>
      <c r="W5" s="88">
        <f>(U5-T5)*24*60</f>
        <v>77.999999999999957</v>
      </c>
      <c r="X5" s="78"/>
      <c r="Y5" s="78"/>
      <c r="Z5" s="97"/>
      <c r="AA5" s="97"/>
      <c r="AB5" s="601"/>
      <c r="AC5" s="601"/>
      <c r="AD5" s="98"/>
      <c r="AE5" s="98"/>
      <c r="AF5" s="92">
        <f t="shared" ref="AF5:AF70" si="6">N5-K5</f>
        <v>-54.615384615383391</v>
      </c>
      <c r="AG5" s="95">
        <f t="shared" ref="AG5:AG70" si="7">N5/K5</f>
        <v>0.97517482517482568</v>
      </c>
      <c r="AH5" s="620">
        <f>AG17</f>
        <v>0.87310908370479845</v>
      </c>
    </row>
    <row r="6" spans="1:34" ht="19.350000000000001" customHeight="1">
      <c r="A6" s="657"/>
      <c r="B6" s="81" t="s">
        <v>385</v>
      </c>
      <c r="C6" s="82"/>
      <c r="D6" s="83" t="s">
        <v>125</v>
      </c>
      <c r="E6" s="84"/>
      <c r="F6" s="85">
        <v>31.266131815044861</v>
      </c>
      <c r="G6" s="86">
        <v>1418</v>
      </c>
      <c r="H6" s="87">
        <f t="shared" si="0"/>
        <v>44335.374913733613</v>
      </c>
      <c r="I6" s="88"/>
      <c r="J6" s="89">
        <v>18</v>
      </c>
      <c r="K6" s="86">
        <v>2700</v>
      </c>
      <c r="L6" s="90">
        <v>150</v>
      </c>
      <c r="M6" s="91">
        <v>19</v>
      </c>
      <c r="N6" s="86">
        <f t="shared" si="1"/>
        <v>2430.8571428571404</v>
      </c>
      <c r="O6" s="90">
        <f t="shared" si="2"/>
        <v>127.93984962406002</v>
      </c>
      <c r="P6" s="92">
        <f t="shared" si="3"/>
        <v>1</v>
      </c>
      <c r="Q6" s="93">
        <f t="shared" si="4"/>
        <v>-22.060150375939983</v>
      </c>
      <c r="R6" s="95">
        <f t="shared" si="5"/>
        <v>0.85293233082706676</v>
      </c>
      <c r="S6" s="620"/>
      <c r="T6" s="96">
        <v>0.35138888888888886</v>
      </c>
      <c r="U6" s="96">
        <v>0.37569444444444444</v>
      </c>
      <c r="V6" s="78">
        <v>8</v>
      </c>
      <c r="W6" s="88">
        <f t="shared" ref="W6:W17" si="8">(U6-T6)*24*60</f>
        <v>35.000000000000036</v>
      </c>
      <c r="X6" s="99"/>
      <c r="Y6" s="99"/>
      <c r="Z6" s="100"/>
      <c r="AA6" s="100"/>
      <c r="AB6" s="601"/>
      <c r="AC6" s="601"/>
      <c r="AD6" s="359"/>
      <c r="AE6" s="359"/>
      <c r="AF6" s="92">
        <f t="shared" si="6"/>
        <v>-269.14285714285961</v>
      </c>
      <c r="AG6" s="95">
        <f t="shared" si="7"/>
        <v>0.90031746031745941</v>
      </c>
      <c r="AH6" s="620"/>
    </row>
    <row r="7" spans="1:34" ht="19.350000000000001" customHeight="1">
      <c r="A7" s="657"/>
      <c r="B7" s="81" t="s">
        <v>385</v>
      </c>
      <c r="C7" s="82"/>
      <c r="D7" s="83" t="s">
        <v>126</v>
      </c>
      <c r="E7" s="84"/>
      <c r="F7" s="85">
        <v>38.630952380952372</v>
      </c>
      <c r="G7" s="86">
        <v>2239</v>
      </c>
      <c r="H7" s="87">
        <f t="shared" si="0"/>
        <v>86494.702380952367</v>
      </c>
      <c r="I7" s="88"/>
      <c r="J7" s="89">
        <v>18</v>
      </c>
      <c r="K7" s="86">
        <v>2800</v>
      </c>
      <c r="L7" s="90">
        <v>155.55555555555554</v>
      </c>
      <c r="M7" s="91">
        <v>19</v>
      </c>
      <c r="N7" s="86">
        <f t="shared" si="1"/>
        <v>2487.7777777777792</v>
      </c>
      <c r="O7" s="90">
        <f t="shared" si="2"/>
        <v>130.93567251461997</v>
      </c>
      <c r="P7" s="92">
        <f t="shared" si="3"/>
        <v>1</v>
      </c>
      <c r="Q7" s="93">
        <f t="shared" si="4"/>
        <v>-24.619883040935576</v>
      </c>
      <c r="R7" s="95">
        <f t="shared" si="5"/>
        <v>0.84172932330827133</v>
      </c>
      <c r="S7" s="620"/>
      <c r="T7" s="96">
        <v>0.38055555555555554</v>
      </c>
      <c r="U7" s="96">
        <v>0.41805555555555551</v>
      </c>
      <c r="V7" s="78">
        <v>7</v>
      </c>
      <c r="W7" s="88">
        <f t="shared" si="8"/>
        <v>53.999999999999972</v>
      </c>
      <c r="X7" s="99"/>
      <c r="Y7" s="99"/>
      <c r="Z7" s="100"/>
      <c r="AA7" s="100"/>
      <c r="AB7" s="601"/>
      <c r="AC7" s="601"/>
      <c r="AD7" s="359"/>
      <c r="AE7" s="359"/>
      <c r="AF7" s="92">
        <f t="shared" si="6"/>
        <v>-312.22222222222081</v>
      </c>
      <c r="AG7" s="95">
        <f t="shared" si="7"/>
        <v>0.888492063492064</v>
      </c>
      <c r="AH7" s="620"/>
    </row>
    <row r="8" spans="1:34" ht="19.350000000000001" customHeight="1">
      <c r="A8" s="657"/>
      <c r="B8" s="81" t="s">
        <v>385</v>
      </c>
      <c r="C8" s="82"/>
      <c r="D8" s="83" t="s">
        <v>127</v>
      </c>
      <c r="E8" s="84"/>
      <c r="F8" s="85">
        <v>38</v>
      </c>
      <c r="G8" s="86">
        <v>3028.59</v>
      </c>
      <c r="H8" s="87">
        <f t="shared" si="0"/>
        <v>115086.42000000001</v>
      </c>
      <c r="I8" s="88"/>
      <c r="J8" s="89">
        <v>19</v>
      </c>
      <c r="K8" s="86">
        <v>2800</v>
      </c>
      <c r="L8" s="90">
        <v>147.36842105263159</v>
      </c>
      <c r="M8" s="91">
        <v>19</v>
      </c>
      <c r="N8" s="86">
        <f t="shared" si="1"/>
        <v>2455.6135135135146</v>
      </c>
      <c r="O8" s="90">
        <f t="shared" si="2"/>
        <v>129.24281650071129</v>
      </c>
      <c r="P8" s="92">
        <f t="shared" si="3"/>
        <v>0</v>
      </c>
      <c r="Q8" s="93">
        <f t="shared" si="4"/>
        <v>-18.125604551920304</v>
      </c>
      <c r="R8" s="95">
        <f t="shared" si="5"/>
        <v>0.87700482625482656</v>
      </c>
      <c r="S8" s="620"/>
      <c r="T8" s="96">
        <v>0.43333333333333329</v>
      </c>
      <c r="U8" s="96">
        <v>0.48472222222222217</v>
      </c>
      <c r="V8" s="78">
        <v>22</v>
      </c>
      <c r="W8" s="88">
        <f t="shared" si="8"/>
        <v>73.999999999999972</v>
      </c>
      <c r="X8" s="99">
        <v>0.42152777777777778</v>
      </c>
      <c r="Y8" s="99">
        <v>0.43055555555555558</v>
      </c>
      <c r="Z8" s="100"/>
      <c r="AA8" s="100"/>
      <c r="AB8" s="601"/>
      <c r="AC8" s="601"/>
      <c r="AD8" s="359"/>
      <c r="AE8" s="359"/>
      <c r="AF8" s="92">
        <f t="shared" si="6"/>
        <v>-344.38648648648541</v>
      </c>
      <c r="AG8" s="95">
        <f t="shared" si="7"/>
        <v>0.87700482625482667</v>
      </c>
      <c r="AH8" s="620"/>
    </row>
    <row r="9" spans="1:34" ht="19.350000000000001" customHeight="1">
      <c r="A9" s="657"/>
      <c r="B9" s="81" t="s">
        <v>386</v>
      </c>
      <c r="C9" s="102"/>
      <c r="D9" s="83" t="s">
        <v>128</v>
      </c>
      <c r="E9" s="103"/>
      <c r="F9" s="85">
        <v>59.34</v>
      </c>
      <c r="G9" s="104">
        <v>591</v>
      </c>
      <c r="H9" s="87">
        <f t="shared" si="0"/>
        <v>35069.94</v>
      </c>
      <c r="I9" s="359"/>
      <c r="J9" s="89">
        <v>17</v>
      </c>
      <c r="K9" s="86">
        <v>1440</v>
      </c>
      <c r="L9" s="90">
        <v>84.705882352941174</v>
      </c>
      <c r="M9" s="91">
        <v>19</v>
      </c>
      <c r="N9" s="86">
        <f t="shared" si="1"/>
        <v>1108.1249999999984</v>
      </c>
      <c r="O9" s="90">
        <f t="shared" si="2"/>
        <v>58.322368421052545</v>
      </c>
      <c r="P9" s="92">
        <f t="shared" si="3"/>
        <v>2</v>
      </c>
      <c r="Q9" s="93">
        <f t="shared" si="4"/>
        <v>-26.383513931888629</v>
      </c>
      <c r="R9" s="95">
        <f t="shared" si="5"/>
        <v>0.68852796052631482</v>
      </c>
      <c r="S9" s="620"/>
      <c r="T9" s="96">
        <v>0.52499999999999991</v>
      </c>
      <c r="U9" s="96">
        <v>0.54722222222222217</v>
      </c>
      <c r="V9" s="78">
        <v>5</v>
      </c>
      <c r="W9" s="88">
        <f t="shared" si="8"/>
        <v>32.000000000000043</v>
      </c>
      <c r="X9" s="99"/>
      <c r="Y9" s="99"/>
      <c r="Z9" s="100"/>
      <c r="AA9" s="100"/>
      <c r="AB9" s="601"/>
      <c r="AC9" s="601"/>
      <c r="AD9" s="359">
        <v>1</v>
      </c>
      <c r="AE9" s="359"/>
      <c r="AF9" s="92">
        <f t="shared" si="6"/>
        <v>-331.87500000000159</v>
      </c>
      <c r="AG9" s="95">
        <f t="shared" si="7"/>
        <v>0.76953124999999889</v>
      </c>
      <c r="AH9" s="620"/>
    </row>
    <row r="10" spans="1:34" ht="19.350000000000001" customHeight="1">
      <c r="A10" s="658"/>
      <c r="B10" s="81" t="s">
        <v>386</v>
      </c>
      <c r="C10" s="82"/>
      <c r="D10" s="83" t="s">
        <v>129</v>
      </c>
      <c r="E10" s="84"/>
      <c r="F10" s="85">
        <v>71.55</v>
      </c>
      <c r="G10" s="86">
        <v>751</v>
      </c>
      <c r="H10" s="87">
        <f t="shared" si="0"/>
        <v>53734.049999999996</v>
      </c>
      <c r="I10" s="88"/>
      <c r="J10" s="89">
        <v>18</v>
      </c>
      <c r="K10" s="86">
        <v>1385</v>
      </c>
      <c r="L10" s="90">
        <v>76.944444444444443</v>
      </c>
      <c r="M10" s="91">
        <v>19</v>
      </c>
      <c r="N10" s="86">
        <f t="shared" si="1"/>
        <v>1217.8378378378368</v>
      </c>
      <c r="O10" s="90">
        <f t="shared" si="2"/>
        <v>64.096728307254565</v>
      </c>
      <c r="P10" s="92">
        <f t="shared" si="3"/>
        <v>1</v>
      </c>
      <c r="Q10" s="93">
        <f t="shared" si="4"/>
        <v>-12.847716137189877</v>
      </c>
      <c r="R10" s="95">
        <f t="shared" si="5"/>
        <v>0.83302607186323629</v>
      </c>
      <c r="S10" s="623"/>
      <c r="T10" s="96">
        <v>0.5527777777777777</v>
      </c>
      <c r="U10" s="96">
        <v>0.57847222222222217</v>
      </c>
      <c r="V10" s="78">
        <v>8</v>
      </c>
      <c r="W10" s="88">
        <f t="shared" si="8"/>
        <v>37.000000000000028</v>
      </c>
      <c r="X10" s="99"/>
      <c r="Y10" s="99"/>
      <c r="Z10" s="100"/>
      <c r="AA10" s="100"/>
      <c r="AB10" s="601"/>
      <c r="AC10" s="601"/>
      <c r="AD10" s="359"/>
      <c r="AE10" s="359"/>
      <c r="AF10" s="92">
        <f t="shared" si="6"/>
        <v>-167.16216216216321</v>
      </c>
      <c r="AG10" s="95">
        <f t="shared" si="7"/>
        <v>0.87930529807786051</v>
      </c>
      <c r="AH10" s="623"/>
    </row>
    <row r="11" spans="1:34" ht="19.350000000000001" customHeight="1">
      <c r="A11" s="658"/>
      <c r="B11" s="81" t="s">
        <v>386</v>
      </c>
      <c r="C11" s="82"/>
      <c r="D11" s="83" t="s">
        <v>130</v>
      </c>
      <c r="E11" s="84"/>
      <c r="F11" s="85">
        <v>77.34</v>
      </c>
      <c r="G11" s="86">
        <v>601</v>
      </c>
      <c r="H11" s="87">
        <f t="shared" si="0"/>
        <v>46481.340000000004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1243.4482758620666</v>
      </c>
      <c r="O11" s="90">
        <f t="shared" si="2"/>
        <v>69.080459770114814</v>
      </c>
      <c r="P11" s="92">
        <f t="shared" si="3"/>
        <v>0</v>
      </c>
      <c r="Q11" s="93">
        <f t="shared" si="4"/>
        <v>-10.919540229885186</v>
      </c>
      <c r="R11" s="95">
        <f t="shared" si="5"/>
        <v>0.86350574712643513</v>
      </c>
      <c r="S11" s="623"/>
      <c r="T11" s="96">
        <v>0.58333333333333326</v>
      </c>
      <c r="U11" s="96">
        <v>0.60347222222222219</v>
      </c>
      <c r="V11" s="78">
        <v>7</v>
      </c>
      <c r="W11" s="88">
        <f t="shared" si="8"/>
        <v>29.000000000000057</v>
      </c>
      <c r="X11" s="99"/>
      <c r="Y11" s="99"/>
      <c r="Z11" s="100"/>
      <c r="AA11" s="100"/>
      <c r="AB11" s="601"/>
      <c r="AC11" s="601"/>
      <c r="AD11" s="359"/>
      <c r="AE11" s="359"/>
      <c r="AF11" s="92">
        <f t="shared" si="6"/>
        <v>-196.55172413793343</v>
      </c>
      <c r="AG11" s="95">
        <f t="shared" si="7"/>
        <v>0.86350574712643513</v>
      </c>
      <c r="AH11" s="623"/>
    </row>
    <row r="12" spans="1:34" ht="19.350000000000001" customHeight="1">
      <c r="A12" s="658"/>
      <c r="B12" s="81" t="s">
        <v>386</v>
      </c>
      <c r="C12" s="82"/>
      <c r="D12" s="83" t="s">
        <v>131</v>
      </c>
      <c r="E12" s="84"/>
      <c r="F12" s="85">
        <v>59.54</v>
      </c>
      <c r="G12" s="86">
        <v>1496</v>
      </c>
      <c r="H12" s="87">
        <f t="shared" si="0"/>
        <v>89071.84</v>
      </c>
      <c r="I12" s="88"/>
      <c r="J12" s="89">
        <v>18</v>
      </c>
      <c r="K12" s="86">
        <v>1385</v>
      </c>
      <c r="L12" s="90">
        <v>76.944444444444443</v>
      </c>
      <c r="M12" s="91">
        <v>18</v>
      </c>
      <c r="N12" s="86">
        <f t="shared" si="1"/>
        <v>1212.972972972972</v>
      </c>
      <c r="O12" s="90">
        <f t="shared" si="2"/>
        <v>67.387387387387335</v>
      </c>
      <c r="P12" s="92">
        <f t="shared" si="3"/>
        <v>0</v>
      </c>
      <c r="Q12" s="93">
        <f t="shared" si="4"/>
        <v>-9.5570570570571078</v>
      </c>
      <c r="R12" s="95">
        <f t="shared" si="5"/>
        <v>0.87579276026929387</v>
      </c>
      <c r="S12" s="623"/>
      <c r="T12" s="96">
        <v>0.61944444444444446</v>
      </c>
      <c r="U12" s="96">
        <v>0.67083333333333339</v>
      </c>
      <c r="V12" s="78">
        <v>23</v>
      </c>
      <c r="W12" s="88">
        <f t="shared" si="8"/>
        <v>74.000000000000057</v>
      </c>
      <c r="X12" s="99">
        <v>0.6069444444444444</v>
      </c>
      <c r="Y12" s="99">
        <v>0.6166666666666667</v>
      </c>
      <c r="Z12" s="100"/>
      <c r="AA12" s="100"/>
      <c r="AB12" s="601"/>
      <c r="AC12" s="601"/>
      <c r="AD12" s="359"/>
      <c r="AE12" s="359"/>
      <c r="AF12" s="92"/>
      <c r="AG12" s="95"/>
      <c r="AH12" s="623"/>
    </row>
    <row r="13" spans="1:34" ht="19.350000000000001" customHeight="1">
      <c r="A13" s="658"/>
      <c r="B13" s="81" t="s">
        <v>385</v>
      </c>
      <c r="C13" s="105"/>
      <c r="D13" s="106" t="s">
        <v>127</v>
      </c>
      <c r="E13" s="107"/>
      <c r="F13" s="85">
        <v>38</v>
      </c>
      <c r="G13" s="108">
        <v>710.41</v>
      </c>
      <c r="H13" s="87">
        <f t="shared" si="0"/>
        <v>26995.579999999998</v>
      </c>
      <c r="I13" s="109"/>
      <c r="J13" s="89">
        <v>19</v>
      </c>
      <c r="K13" s="86">
        <v>2800</v>
      </c>
      <c r="L13" s="90">
        <v>147.36842105263159</v>
      </c>
      <c r="M13" s="110">
        <v>18</v>
      </c>
      <c r="N13" s="86">
        <f t="shared" si="1"/>
        <v>2243.4000000000078</v>
      </c>
      <c r="O13" s="90">
        <f t="shared" si="2"/>
        <v>124.63333333333377</v>
      </c>
      <c r="P13" s="92">
        <f t="shared" si="3"/>
        <v>-1</v>
      </c>
      <c r="Q13" s="93">
        <f t="shared" si="4"/>
        <v>-22.735087719297823</v>
      </c>
      <c r="R13" s="95">
        <f t="shared" si="5"/>
        <v>0.84572619047619335</v>
      </c>
      <c r="S13" s="623"/>
      <c r="T13" s="111">
        <v>0.68750000000000011</v>
      </c>
      <c r="U13" s="111">
        <v>0.70069444444444451</v>
      </c>
      <c r="V13" s="109">
        <v>24</v>
      </c>
      <c r="W13" s="88">
        <f t="shared" si="8"/>
        <v>18.999999999999932</v>
      </c>
      <c r="X13" s="112">
        <v>0.6743055555555556</v>
      </c>
      <c r="Y13" s="112">
        <v>0.68472222222222223</v>
      </c>
      <c r="Z13" s="100"/>
      <c r="AA13" s="100"/>
      <c r="AB13" s="601"/>
      <c r="AC13" s="601"/>
      <c r="AD13" s="359"/>
      <c r="AE13" s="359"/>
      <c r="AF13" s="113"/>
      <c r="AG13" s="114"/>
      <c r="AH13" s="623"/>
    </row>
    <row r="14" spans="1:34" ht="19.350000000000001" customHeight="1">
      <c r="A14" s="658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5"/>
      <c r="S14" s="623"/>
      <c r="T14" s="111"/>
      <c r="U14" s="111"/>
      <c r="V14" s="109"/>
      <c r="W14" s="88"/>
      <c r="X14" s="112"/>
      <c r="Y14" s="112"/>
      <c r="Z14" s="100"/>
      <c r="AA14" s="100"/>
      <c r="AB14" s="601"/>
      <c r="AC14" s="601"/>
      <c r="AD14" s="359"/>
      <c r="AE14" s="359"/>
      <c r="AF14" s="113"/>
      <c r="AG14" s="114"/>
      <c r="AH14" s="623"/>
    </row>
    <row r="15" spans="1:34" ht="19.350000000000001" customHeight="1">
      <c r="A15" s="658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5"/>
      <c r="S15" s="623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01"/>
      <c r="AC15" s="601"/>
      <c r="AD15" s="359"/>
      <c r="AE15" s="359"/>
      <c r="AF15" s="113"/>
      <c r="AG15" s="114"/>
      <c r="AH15" s="623"/>
    </row>
    <row r="16" spans="1:34" ht="19.350000000000001" customHeight="1">
      <c r="A16" s="658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5"/>
      <c r="S16" s="623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01"/>
      <c r="AC16" s="601"/>
      <c r="AD16" s="359"/>
      <c r="AE16" s="359"/>
      <c r="AF16" s="113"/>
      <c r="AG16" s="114"/>
      <c r="AH16" s="623"/>
    </row>
    <row r="17" spans="1:34" ht="19.350000000000001" customHeight="1">
      <c r="A17" s="658"/>
      <c r="B17" s="118">
        <v>0</v>
      </c>
      <c r="C17" s="118" t="s">
        <v>27</v>
      </c>
      <c r="D17" s="607" t="s">
        <v>75</v>
      </c>
      <c r="E17" s="607"/>
      <c r="F17" s="119"/>
      <c r="G17" s="120"/>
      <c r="H17" s="121"/>
      <c r="I17" s="122"/>
      <c r="J17" s="120">
        <v>18.333333333333332</v>
      </c>
      <c r="K17" s="120">
        <v>2105.5555555555557</v>
      </c>
      <c r="L17" s="123">
        <v>114.32079654473877</v>
      </c>
      <c r="M17" s="120">
        <f t="shared" ref="M17:O17" si="9">AVERAGE(M5:M16)</f>
        <v>18.777777777777779</v>
      </c>
      <c r="N17" s="120">
        <f t="shared" si="9"/>
        <v>1838.379681800659</v>
      </c>
      <c r="O17" s="123">
        <f t="shared" si="9"/>
        <v>97.656427403085004</v>
      </c>
      <c r="P17" s="113">
        <f t="shared" ref="P17:P23" si="10">M17-J17</f>
        <v>0.44444444444444642</v>
      </c>
      <c r="Q17" s="124">
        <f t="shared" ref="Q17:Q23" si="11">O17-L17</f>
        <v>-16.664369141653765</v>
      </c>
      <c r="R17" s="125">
        <f>O17/L17</f>
        <v>0.85423151652785889</v>
      </c>
      <c r="S17" s="623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01"/>
      <c r="AC17" s="601"/>
      <c r="AD17" s="129">
        <f>SUM(AD5:AD16)</f>
        <v>1</v>
      </c>
      <c r="AE17" s="129">
        <f>SUM(AE5:AE16)</f>
        <v>0</v>
      </c>
      <c r="AF17" s="113">
        <f t="shared" si="6"/>
        <v>-267.17587375489666</v>
      </c>
      <c r="AG17" s="114">
        <f t="shared" si="7"/>
        <v>0.87310908370479845</v>
      </c>
      <c r="AH17" s="623"/>
    </row>
    <row r="18" spans="1:34" ht="19.350000000000001" customHeight="1">
      <c r="A18" s="604" t="s">
        <v>132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1303</v>
      </c>
      <c r="H18" s="135">
        <f t="shared" ref="H18:H29" si="12">F18*G18</f>
        <v>48028.58</v>
      </c>
      <c r="I18" s="359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3" si="13">G18/W18*60</f>
        <v>2004.6153846153859</v>
      </c>
      <c r="O18" s="137">
        <f t="shared" ref="O18:O23" si="14">N18/M18</f>
        <v>105.506072874494</v>
      </c>
      <c r="P18" s="100">
        <f t="shared" si="10"/>
        <v>1</v>
      </c>
      <c r="Q18" s="139">
        <f t="shared" si="11"/>
        <v>-19.493927125506005</v>
      </c>
      <c r="R18" s="141">
        <f t="shared" ref="R18:R23" si="15">O18/L18</f>
        <v>0.84404858299595198</v>
      </c>
      <c r="S18" s="605">
        <f>R30</f>
        <v>0.84367676317325713</v>
      </c>
      <c r="T18" s="142">
        <v>0.16666666666666666</v>
      </c>
      <c r="U18" s="142">
        <v>0.19374999999999998</v>
      </c>
      <c r="V18" s="359">
        <v>5</v>
      </c>
      <c r="W18" s="143">
        <f>(U18-T18)*24*60</f>
        <v>38.999999999999979</v>
      </c>
      <c r="X18" s="137"/>
      <c r="Y18" s="137"/>
      <c r="Z18" s="100"/>
      <c r="AA18" s="100"/>
      <c r="AB18" s="601"/>
      <c r="AC18" s="601"/>
      <c r="AD18" s="359"/>
      <c r="AE18" s="359"/>
      <c r="AF18" s="144">
        <f t="shared" si="6"/>
        <v>-245.38461538461411</v>
      </c>
      <c r="AG18" s="145">
        <f t="shared" si="7"/>
        <v>0.89094017094017153</v>
      </c>
      <c r="AH18" s="646">
        <f>AG30</f>
        <v>0.86915402157762423</v>
      </c>
    </row>
    <row r="19" spans="1:34" ht="19.350000000000001" customHeight="1">
      <c r="A19" s="604"/>
      <c r="B19" s="238" t="s">
        <v>387</v>
      </c>
      <c r="C19" s="237"/>
      <c r="D19" s="132" t="s">
        <v>134</v>
      </c>
      <c r="E19" s="133"/>
      <c r="F19" s="85">
        <v>56.43</v>
      </c>
      <c r="G19" s="104">
        <v>1330</v>
      </c>
      <c r="H19" s="135">
        <f t="shared" si="12"/>
        <v>75051.899999999994</v>
      </c>
      <c r="I19" s="359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1330.0000000000002</v>
      </c>
      <c r="O19" s="150">
        <f t="shared" si="14"/>
        <v>73.8888888888889</v>
      </c>
      <c r="P19" s="100">
        <f t="shared" si="10"/>
        <v>1</v>
      </c>
      <c r="Q19" s="139">
        <f t="shared" si="11"/>
        <v>-14.346405228758158</v>
      </c>
      <c r="R19" s="141">
        <f t="shared" si="15"/>
        <v>0.83740740740740749</v>
      </c>
      <c r="S19" s="605"/>
      <c r="T19" s="142">
        <v>0.1986111111111111</v>
      </c>
      <c r="U19" s="142">
        <v>0.24027777777777776</v>
      </c>
      <c r="V19" s="359">
        <v>7</v>
      </c>
      <c r="W19" s="143">
        <f>(U19-T19)*24*60</f>
        <v>59.999999999999986</v>
      </c>
      <c r="X19" s="151"/>
      <c r="Y19" s="151"/>
      <c r="Z19" s="100"/>
      <c r="AA19" s="100"/>
      <c r="AB19" s="601"/>
      <c r="AC19" s="601"/>
      <c r="AD19" s="359"/>
      <c r="AE19" s="359"/>
      <c r="AF19" s="92">
        <f t="shared" si="6"/>
        <v>-169.99999999999977</v>
      </c>
      <c r="AG19" s="95">
        <f t="shared" si="7"/>
        <v>0.88666666666666683</v>
      </c>
      <c r="AH19" s="647"/>
    </row>
    <row r="20" spans="1:34" ht="19.350000000000001" customHeight="1">
      <c r="A20" s="604"/>
      <c r="B20" s="238" t="s">
        <v>387</v>
      </c>
      <c r="C20" s="102"/>
      <c r="D20" s="83" t="s">
        <v>135</v>
      </c>
      <c r="E20" s="133"/>
      <c r="F20" s="85">
        <v>49.9</v>
      </c>
      <c r="G20" s="104">
        <v>1294</v>
      </c>
      <c r="H20" s="135">
        <f t="shared" si="12"/>
        <v>64570.6</v>
      </c>
      <c r="I20" s="359"/>
      <c r="J20" s="148">
        <v>17</v>
      </c>
      <c r="K20" s="86">
        <v>1500</v>
      </c>
      <c r="L20" s="90">
        <v>88.235294117647058</v>
      </c>
      <c r="M20" s="138">
        <v>18</v>
      </c>
      <c r="N20" s="149">
        <f t="shared" si="13"/>
        <v>1315.93220338983</v>
      </c>
      <c r="O20" s="150">
        <f t="shared" si="14"/>
        <v>73.107344632768331</v>
      </c>
      <c r="P20" s="100">
        <f t="shared" si="10"/>
        <v>1</v>
      </c>
      <c r="Q20" s="139">
        <f t="shared" si="11"/>
        <v>-15.127949484878727</v>
      </c>
      <c r="R20" s="141">
        <f t="shared" si="15"/>
        <v>0.82854990583804111</v>
      </c>
      <c r="S20" s="605"/>
      <c r="T20" s="142">
        <v>0.25555555555555554</v>
      </c>
      <c r="U20" s="142">
        <v>0.29652777777777778</v>
      </c>
      <c r="V20" s="359">
        <v>22</v>
      </c>
      <c r="W20" s="143">
        <f t="shared" ref="W20:W29" si="16">(U20-T20)*24*60</f>
        <v>59.000000000000028</v>
      </c>
      <c r="X20" s="151">
        <v>0.24513888888888888</v>
      </c>
      <c r="Y20" s="151">
        <v>0.25416666666666665</v>
      </c>
      <c r="Z20" s="100"/>
      <c r="AA20" s="100"/>
      <c r="AB20" s="601"/>
      <c r="AC20" s="601"/>
      <c r="AD20" s="359"/>
      <c r="AE20" s="359"/>
      <c r="AF20" s="92">
        <f t="shared" si="6"/>
        <v>-184.06779661017003</v>
      </c>
      <c r="AG20" s="95">
        <f t="shared" si="7"/>
        <v>0.87728813559321994</v>
      </c>
      <c r="AH20" s="647"/>
    </row>
    <row r="21" spans="1:34" ht="19.350000000000001" customHeight="1">
      <c r="A21" s="604"/>
      <c r="B21" s="238" t="s">
        <v>387</v>
      </c>
      <c r="C21" s="152"/>
      <c r="D21" s="153" t="s">
        <v>136</v>
      </c>
      <c r="E21" s="84"/>
      <c r="F21" s="85">
        <v>56.43</v>
      </c>
      <c r="G21" s="86">
        <v>982</v>
      </c>
      <c r="H21" s="135">
        <f t="shared" si="12"/>
        <v>55414.26</v>
      </c>
      <c r="I21" s="78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1402.8571428571424</v>
      </c>
      <c r="O21" s="150">
        <f t="shared" si="14"/>
        <v>77.936507936507908</v>
      </c>
      <c r="P21" s="100">
        <f t="shared" si="10"/>
        <v>0</v>
      </c>
      <c r="Q21" s="139">
        <f t="shared" si="11"/>
        <v>-12.952380952380977</v>
      </c>
      <c r="R21" s="141">
        <f t="shared" si="15"/>
        <v>0.85749214111072269</v>
      </c>
      <c r="S21" s="605"/>
      <c r="T21" s="142">
        <v>0.30208333333333331</v>
      </c>
      <c r="U21" s="142">
        <v>0.33124999999999999</v>
      </c>
      <c r="V21" s="359">
        <v>8</v>
      </c>
      <c r="W21" s="143">
        <f t="shared" si="16"/>
        <v>42.000000000000014</v>
      </c>
      <c r="X21" s="151"/>
      <c r="Y21" s="151"/>
      <c r="Z21" s="100"/>
      <c r="AA21" s="100"/>
      <c r="AB21" s="601"/>
      <c r="AC21" s="601"/>
      <c r="AD21" s="359"/>
      <c r="AE21" s="359"/>
      <c r="AF21" s="92">
        <f t="shared" si="6"/>
        <v>-233.14285714285757</v>
      </c>
      <c r="AG21" s="95">
        <f t="shared" si="7"/>
        <v>0.85749214111072281</v>
      </c>
      <c r="AH21" s="648"/>
    </row>
    <row r="22" spans="1:34" ht="19.350000000000001" customHeight="1">
      <c r="A22" s="604"/>
      <c r="B22" s="238" t="s">
        <v>388</v>
      </c>
      <c r="C22" s="152"/>
      <c r="D22" s="83" t="s">
        <v>137</v>
      </c>
      <c r="E22" s="84"/>
      <c r="F22" s="85">
        <v>43.14</v>
      </c>
      <c r="G22" s="86">
        <v>1756</v>
      </c>
      <c r="H22" s="135">
        <f t="shared" si="12"/>
        <v>75753.84</v>
      </c>
      <c r="I22" s="78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1254.2857142857138</v>
      </c>
      <c r="O22" s="150">
        <f t="shared" si="14"/>
        <v>73.781512605041982</v>
      </c>
      <c r="P22" s="100">
        <f t="shared" si="10"/>
        <v>0</v>
      </c>
      <c r="Q22" s="139">
        <f t="shared" si="11"/>
        <v>-10.924369747899192</v>
      </c>
      <c r="R22" s="141">
        <f t="shared" si="15"/>
        <v>0.8710317460317456</v>
      </c>
      <c r="S22" s="605"/>
      <c r="T22" s="142">
        <v>0.37152777777777773</v>
      </c>
      <c r="U22" s="142">
        <v>0.42986111111111108</v>
      </c>
      <c r="V22" s="359">
        <v>5</v>
      </c>
      <c r="W22" s="143">
        <f t="shared" si="16"/>
        <v>84.000000000000028</v>
      </c>
      <c r="X22" s="151"/>
      <c r="Y22" s="151"/>
      <c r="Z22" s="100"/>
      <c r="AA22" s="100"/>
      <c r="AB22" s="601"/>
      <c r="AC22" s="601"/>
      <c r="AD22" s="359"/>
      <c r="AE22" s="359"/>
      <c r="AF22" s="92">
        <f t="shared" si="6"/>
        <v>-185.71428571428623</v>
      </c>
      <c r="AG22" s="95">
        <f t="shared" si="7"/>
        <v>0.87103174603174571</v>
      </c>
      <c r="AH22" s="648"/>
    </row>
    <row r="23" spans="1:34" ht="19.350000000000001" customHeight="1">
      <c r="A23" s="604"/>
      <c r="B23" s="238" t="s">
        <v>387</v>
      </c>
      <c r="C23" s="152"/>
      <c r="D23" s="83" t="s">
        <v>138</v>
      </c>
      <c r="E23" s="84"/>
      <c r="F23" s="85">
        <v>38.39</v>
      </c>
      <c r="G23" s="86">
        <v>3287</v>
      </c>
      <c r="H23" s="135">
        <f t="shared" si="12"/>
        <v>126187.93000000001</v>
      </c>
      <c r="I23" s="78"/>
      <c r="J23" s="148">
        <v>17</v>
      </c>
      <c r="K23" s="86">
        <v>1636</v>
      </c>
      <c r="L23" s="90">
        <v>96.235294117647058</v>
      </c>
      <c r="M23" s="138">
        <v>17</v>
      </c>
      <c r="N23" s="149">
        <f t="shared" si="13"/>
        <v>1350.821917808219</v>
      </c>
      <c r="O23" s="150">
        <f t="shared" si="14"/>
        <v>79.460112812248184</v>
      </c>
      <c r="P23" s="100">
        <f t="shared" si="10"/>
        <v>0</v>
      </c>
      <c r="Q23" s="139">
        <f t="shared" si="11"/>
        <v>-16.775181305398874</v>
      </c>
      <c r="R23" s="141">
        <f t="shared" si="15"/>
        <v>0.82568576883142974</v>
      </c>
      <c r="S23" s="605"/>
      <c r="T23" s="142">
        <v>0.43472222222222218</v>
      </c>
      <c r="U23" s="142">
        <v>0.53611111111111109</v>
      </c>
      <c r="V23" s="359">
        <v>7</v>
      </c>
      <c r="W23" s="143">
        <f t="shared" si="16"/>
        <v>146.00000000000003</v>
      </c>
      <c r="X23" s="151"/>
      <c r="Y23" s="151"/>
      <c r="Z23" s="100"/>
      <c r="AA23" s="100"/>
      <c r="AB23" s="601"/>
      <c r="AC23" s="601"/>
      <c r="AD23" s="359"/>
      <c r="AE23" s="359"/>
      <c r="AF23" s="92"/>
      <c r="AG23" s="95"/>
      <c r="AH23" s="648"/>
    </row>
    <row r="24" spans="1:34" ht="19.350000000000001" customHeight="1">
      <c r="A24" s="604"/>
      <c r="B24" s="238">
        <v>0</v>
      </c>
      <c r="C24" s="131"/>
      <c r="D24" s="132"/>
      <c r="E24" s="133"/>
      <c r="F24" s="85" t="s">
        <v>391</v>
      </c>
      <c r="G24" s="104"/>
      <c r="H24" s="135">
        <f t="shared" si="12"/>
        <v>0</v>
      </c>
      <c r="I24" s="143"/>
      <c r="J24" s="148"/>
      <c r="K24" s="86"/>
      <c r="L24" s="90"/>
      <c r="M24" s="138"/>
      <c r="N24" s="149"/>
      <c r="O24" s="150"/>
      <c r="P24" s="100"/>
      <c r="Q24" s="139"/>
      <c r="R24" s="141"/>
      <c r="S24" s="605"/>
      <c r="T24" s="142" t="s">
        <v>49</v>
      </c>
      <c r="U24" s="142" t="s">
        <v>49</v>
      </c>
      <c r="V24" s="359"/>
      <c r="W24" s="143"/>
      <c r="X24" s="359"/>
      <c r="Y24" s="359"/>
      <c r="Z24" s="100"/>
      <c r="AA24" s="100"/>
      <c r="AB24" s="601"/>
      <c r="AC24" s="601"/>
      <c r="AD24" s="359"/>
      <c r="AE24" s="359"/>
      <c r="AF24" s="92">
        <f t="shared" si="6"/>
        <v>0</v>
      </c>
      <c r="AG24" s="95"/>
      <c r="AH24" s="648"/>
    </row>
    <row r="25" spans="1:34" ht="19.350000000000001" customHeight="1">
      <c r="A25" s="604"/>
      <c r="B25" s="238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1"/>
      <c r="S25" s="605"/>
      <c r="T25" s="142"/>
      <c r="U25" s="142"/>
      <c r="V25" s="359"/>
      <c r="W25" s="143">
        <f t="shared" si="16"/>
        <v>0</v>
      </c>
      <c r="X25" s="359"/>
      <c r="Y25" s="359"/>
      <c r="Z25" s="100"/>
      <c r="AA25" s="100"/>
      <c r="AB25" s="601"/>
      <c r="AC25" s="601"/>
      <c r="AD25" s="359"/>
      <c r="AE25" s="359"/>
      <c r="AF25" s="92">
        <f t="shared" si="6"/>
        <v>0</v>
      </c>
      <c r="AG25" s="95"/>
      <c r="AH25" s="648"/>
    </row>
    <row r="26" spans="1:34" ht="19.350000000000001" customHeight="1">
      <c r="A26" s="604"/>
      <c r="B26" s="238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1"/>
      <c r="S26" s="605"/>
      <c r="T26" s="142"/>
      <c r="U26" s="142"/>
      <c r="V26" s="359"/>
      <c r="W26" s="143">
        <f t="shared" si="16"/>
        <v>0</v>
      </c>
      <c r="X26" s="359"/>
      <c r="Y26" s="359"/>
      <c r="Z26" s="100"/>
      <c r="AA26" s="100"/>
      <c r="AB26" s="601"/>
      <c r="AC26" s="601"/>
      <c r="AD26" s="359"/>
      <c r="AE26" s="359"/>
      <c r="AF26" s="92">
        <f t="shared" si="6"/>
        <v>0</v>
      </c>
      <c r="AG26" s="95"/>
      <c r="AH26" s="648"/>
    </row>
    <row r="27" spans="1:34" ht="19.350000000000001" customHeight="1">
      <c r="A27" s="604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1"/>
      <c r="S27" s="605"/>
      <c r="T27" s="142"/>
      <c r="U27" s="142"/>
      <c r="V27" s="359"/>
      <c r="W27" s="143">
        <f t="shared" si="16"/>
        <v>0</v>
      </c>
      <c r="X27" s="359"/>
      <c r="Y27" s="359"/>
      <c r="Z27" s="100"/>
      <c r="AA27" s="100"/>
      <c r="AB27" s="601"/>
      <c r="AC27" s="601"/>
      <c r="AD27" s="359"/>
      <c r="AE27" s="359"/>
      <c r="AF27" s="92">
        <f t="shared" si="6"/>
        <v>0</v>
      </c>
      <c r="AG27" s="95"/>
      <c r="AH27" s="648"/>
    </row>
    <row r="28" spans="1:34" ht="19.350000000000001" customHeight="1">
      <c r="A28" s="604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1"/>
      <c r="S28" s="605"/>
      <c r="T28" s="142"/>
      <c r="U28" s="142"/>
      <c r="V28" s="359"/>
      <c r="W28" s="143">
        <f t="shared" si="16"/>
        <v>0</v>
      </c>
      <c r="X28" s="359"/>
      <c r="Y28" s="359"/>
      <c r="Z28" s="100"/>
      <c r="AA28" s="100"/>
      <c r="AB28" s="601"/>
      <c r="AC28" s="601"/>
      <c r="AD28" s="359"/>
      <c r="AE28" s="359"/>
      <c r="AF28" s="92">
        <f t="shared" si="6"/>
        <v>0</v>
      </c>
      <c r="AG28" s="95"/>
      <c r="AH28" s="648"/>
    </row>
    <row r="29" spans="1:34" ht="19.350000000000001" customHeight="1">
      <c r="A29" s="604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1"/>
      <c r="S29" s="605"/>
      <c r="T29" s="142"/>
      <c r="U29" s="142"/>
      <c r="V29" s="359"/>
      <c r="W29" s="143">
        <f t="shared" si="16"/>
        <v>0</v>
      </c>
      <c r="X29" s="359"/>
      <c r="Y29" s="359"/>
      <c r="Z29" s="100"/>
      <c r="AA29" s="100"/>
      <c r="AB29" s="601"/>
      <c r="AC29" s="601"/>
      <c r="AD29" s="359"/>
      <c r="AE29" s="359"/>
      <c r="AF29" s="92">
        <f t="shared" si="6"/>
        <v>0</v>
      </c>
      <c r="AG29" s="95"/>
      <c r="AH29" s="648"/>
    </row>
    <row r="30" spans="1:34" ht="19.350000000000001" customHeight="1">
      <c r="A30" s="604"/>
      <c r="B30" s="155">
        <v>0</v>
      </c>
      <c r="C30" s="156" t="s">
        <v>77</v>
      </c>
      <c r="D30" s="645" t="s">
        <v>75</v>
      </c>
      <c r="E30" s="645"/>
      <c r="F30" s="157"/>
      <c r="G30" s="158"/>
      <c r="H30" s="159"/>
      <c r="I30" s="160"/>
      <c r="J30" s="158">
        <v>17.333333333333332</v>
      </c>
      <c r="K30" s="158">
        <v>1660.3333333333333</v>
      </c>
      <c r="L30" s="161">
        <v>95.550108932461868</v>
      </c>
      <c r="M30" s="158">
        <f t="shared" ref="M30:O30" si="17">AVERAGE(M18:M29)</f>
        <v>17.833333333333332</v>
      </c>
      <c r="N30" s="158">
        <f t="shared" si="17"/>
        <v>1443.0853938260486</v>
      </c>
      <c r="O30" s="161">
        <f t="shared" si="17"/>
        <v>80.613406624991555</v>
      </c>
      <c r="P30" s="100">
        <f t="shared" ref="P30:P37" si="18">M30-J30</f>
        <v>0.5</v>
      </c>
      <c r="Q30" s="139">
        <f t="shared" ref="Q30:Q37" si="19">O30-L30</f>
        <v>-14.936702307470313</v>
      </c>
      <c r="R30" s="162">
        <f t="shared" ref="R30:R37" si="20">O30/L30</f>
        <v>0.84367676317325713</v>
      </c>
      <c r="S30" s="605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01"/>
      <c r="AC30" s="601"/>
      <c r="AD30" s="164">
        <f>SUM(AD18:AD29)</f>
        <v>0</v>
      </c>
      <c r="AE30" s="164">
        <f>SUM(AE18:AE29)</f>
        <v>0</v>
      </c>
      <c r="AF30" s="165">
        <f t="shared" si="6"/>
        <v>-217.24793950728463</v>
      </c>
      <c r="AG30" s="166">
        <f t="shared" ref="AG30" si="21">N30/K30</f>
        <v>0.86915402157762423</v>
      </c>
      <c r="AH30" s="649"/>
    </row>
    <row r="31" spans="1:34" ht="19.350000000000001" customHeight="1">
      <c r="A31" s="642" t="s">
        <v>139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1987</v>
      </c>
      <c r="H31" s="171">
        <f t="shared" ref="H31:H40" si="22">F31*G31</f>
        <v>68015.009999999995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7" si="23">G31/W31*60</f>
        <v>1987.0000000000005</v>
      </c>
      <c r="O31" s="174">
        <f t="shared" ref="O31:O37" si="24">N31/M31</f>
        <v>152.84615384615387</v>
      </c>
      <c r="P31" s="175">
        <f t="shared" si="18"/>
        <v>0</v>
      </c>
      <c r="Q31" s="176">
        <f t="shared" si="19"/>
        <v>-20.230769230769198</v>
      </c>
      <c r="R31" s="181">
        <f t="shared" si="20"/>
        <v>0.88311111111111129</v>
      </c>
      <c r="S31" s="644">
        <f>R43</f>
        <v>0.85072002335233443</v>
      </c>
      <c r="T31" s="178">
        <v>0.16666666666666666</v>
      </c>
      <c r="U31" s="178">
        <v>0.20833333333333331</v>
      </c>
      <c r="V31" s="98">
        <v>5</v>
      </c>
      <c r="W31" s="179">
        <f t="shared" ref="W31:W42" si="25">(U31-T31)*24*60</f>
        <v>59.999999999999986</v>
      </c>
      <c r="X31" s="98"/>
      <c r="Y31" s="98"/>
      <c r="Z31" s="97"/>
      <c r="AA31" s="97"/>
      <c r="AB31" s="601"/>
      <c r="AC31" s="601"/>
      <c r="AD31" s="98"/>
      <c r="AE31" s="98"/>
      <c r="AF31" s="175">
        <f t="shared" si="6"/>
        <v>-262.99999999999955</v>
      </c>
      <c r="AG31" s="180">
        <f t="shared" si="7"/>
        <v>0.88311111111111129</v>
      </c>
      <c r="AH31" s="622">
        <f>AG43</f>
        <v>0.8412831977551215</v>
      </c>
    </row>
    <row r="32" spans="1:34" ht="19.350000000000001" customHeight="1">
      <c r="A32" s="643"/>
      <c r="B32" s="182" t="s">
        <v>389</v>
      </c>
      <c r="C32" s="183"/>
      <c r="D32" s="153" t="s">
        <v>141</v>
      </c>
      <c r="E32" s="84"/>
      <c r="F32" s="85">
        <v>35.33</v>
      </c>
      <c r="G32" s="86">
        <v>2190</v>
      </c>
      <c r="H32" s="135">
        <f t="shared" si="22"/>
        <v>77372.7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1961.1940298507475</v>
      </c>
      <c r="O32" s="90">
        <f t="shared" si="24"/>
        <v>163.43283582089563</v>
      </c>
      <c r="P32" s="92">
        <f t="shared" si="18"/>
        <v>0</v>
      </c>
      <c r="Q32" s="93">
        <f t="shared" si="19"/>
        <v>-24.067164179104367</v>
      </c>
      <c r="R32" s="95">
        <f t="shared" si="20"/>
        <v>0.87164179104477668</v>
      </c>
      <c r="S32" s="605"/>
      <c r="T32" s="142">
        <v>0.21388888888888888</v>
      </c>
      <c r="U32" s="142">
        <v>0.26041666666666663</v>
      </c>
      <c r="V32" s="359">
        <v>8</v>
      </c>
      <c r="W32" s="143">
        <f t="shared" si="25"/>
        <v>66.999999999999957</v>
      </c>
      <c r="X32" s="184"/>
      <c r="Y32" s="184"/>
      <c r="Z32" s="185"/>
      <c r="AA32" s="185"/>
      <c r="AB32" s="601"/>
      <c r="AC32" s="601"/>
      <c r="AD32" s="359"/>
      <c r="AE32" s="359"/>
      <c r="AF32" s="92">
        <f t="shared" si="6"/>
        <v>-288.80597014925252</v>
      </c>
      <c r="AG32" s="95">
        <f t="shared" si="7"/>
        <v>0.87164179104477668</v>
      </c>
      <c r="AH32" s="620"/>
    </row>
    <row r="33" spans="1:34" ht="19.350000000000001" customHeight="1">
      <c r="A33" s="643"/>
      <c r="B33" s="182" t="s">
        <v>389</v>
      </c>
      <c r="C33" s="359"/>
      <c r="D33" s="132" t="s">
        <v>142</v>
      </c>
      <c r="E33" s="133"/>
      <c r="F33" s="85">
        <v>36.409999999999997</v>
      </c>
      <c r="G33" s="104">
        <v>2707.6</v>
      </c>
      <c r="H33" s="135">
        <f t="shared" si="22"/>
        <v>98583.715999999986</v>
      </c>
      <c r="I33" s="359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2030.6999999999991</v>
      </c>
      <c r="O33" s="90">
        <f t="shared" si="24"/>
        <v>203.06999999999991</v>
      </c>
      <c r="P33" s="92">
        <f t="shared" si="18"/>
        <v>0</v>
      </c>
      <c r="Q33" s="93">
        <f t="shared" si="19"/>
        <v>-21.930000000000092</v>
      </c>
      <c r="R33" s="95">
        <f t="shared" si="20"/>
        <v>0.90253333333333297</v>
      </c>
      <c r="S33" s="605"/>
      <c r="T33" s="142">
        <v>0.26527777777777772</v>
      </c>
      <c r="U33" s="142">
        <v>0.3208333333333333</v>
      </c>
      <c r="V33" s="359">
        <v>7</v>
      </c>
      <c r="W33" s="143">
        <f t="shared" si="25"/>
        <v>80.000000000000028</v>
      </c>
      <c r="X33" s="184"/>
      <c r="Y33" s="184"/>
      <c r="Z33" s="185"/>
      <c r="AA33" s="185"/>
      <c r="AB33" s="601"/>
      <c r="AC33" s="601"/>
      <c r="AD33" s="359"/>
      <c r="AE33" s="359"/>
      <c r="AF33" s="92">
        <f t="shared" si="6"/>
        <v>-219.30000000000086</v>
      </c>
      <c r="AG33" s="186">
        <f t="shared" si="7"/>
        <v>0.90253333333333297</v>
      </c>
      <c r="AH33" s="620"/>
    </row>
    <row r="34" spans="1:34" ht="19.350000000000001" customHeight="1">
      <c r="A34" s="643"/>
      <c r="B34" s="182" t="s">
        <v>390</v>
      </c>
      <c r="C34" s="187"/>
      <c r="D34" s="132" t="s">
        <v>143</v>
      </c>
      <c r="E34" s="133"/>
      <c r="F34" s="85">
        <v>49.91</v>
      </c>
      <c r="G34" s="104">
        <v>887</v>
      </c>
      <c r="H34" s="135">
        <f t="shared" si="22"/>
        <v>44270.17</v>
      </c>
      <c r="I34" s="359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1209.5454545454545</v>
      </c>
      <c r="O34" s="90">
        <f t="shared" si="24"/>
        <v>67.196969696969688</v>
      </c>
      <c r="P34" s="92">
        <f t="shared" si="18"/>
        <v>0</v>
      </c>
      <c r="Q34" s="93">
        <f t="shared" si="19"/>
        <v>-16.13636363636364</v>
      </c>
      <c r="R34" s="95">
        <f t="shared" si="20"/>
        <v>0.80636363636363628</v>
      </c>
      <c r="S34" s="605"/>
      <c r="T34" s="142">
        <v>0.33680555555555552</v>
      </c>
      <c r="U34" s="142">
        <v>0.36736111111111108</v>
      </c>
      <c r="V34" s="359">
        <v>23</v>
      </c>
      <c r="W34" s="143">
        <f t="shared" si="25"/>
        <v>44</v>
      </c>
      <c r="X34" s="184">
        <v>0.32430555555555557</v>
      </c>
      <c r="Y34" s="184">
        <v>0.33402777777777781</v>
      </c>
      <c r="Z34" s="185"/>
      <c r="AA34" s="185"/>
      <c r="AB34" s="601"/>
      <c r="AC34" s="601"/>
      <c r="AD34" s="359">
        <v>1</v>
      </c>
      <c r="AE34" s="359"/>
      <c r="AF34" s="92">
        <f t="shared" si="6"/>
        <v>-290.4545454545455</v>
      </c>
      <c r="AG34" s="186">
        <f t="shared" si="7"/>
        <v>0.80636363636363628</v>
      </c>
      <c r="AH34" s="620"/>
    </row>
    <row r="35" spans="1:34" ht="19.350000000000001" customHeight="1">
      <c r="A35" s="643"/>
      <c r="B35" s="182" t="s">
        <v>390</v>
      </c>
      <c r="C35" s="82"/>
      <c r="D35" s="83" t="s">
        <v>144</v>
      </c>
      <c r="E35" s="84"/>
      <c r="F35" s="85">
        <v>53.27</v>
      </c>
      <c r="G35" s="188">
        <v>1392</v>
      </c>
      <c r="H35" s="135">
        <f t="shared" si="22"/>
        <v>74151.840000000011</v>
      </c>
      <c r="I35" s="78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1176.3380281690143</v>
      </c>
      <c r="O35" s="90">
        <f t="shared" si="24"/>
        <v>65.35211267605635</v>
      </c>
      <c r="P35" s="92">
        <f t="shared" si="18"/>
        <v>0</v>
      </c>
      <c r="Q35" s="93">
        <f t="shared" si="19"/>
        <v>-17.981220657276978</v>
      </c>
      <c r="R35" s="95">
        <f t="shared" si="20"/>
        <v>0.7842253521126763</v>
      </c>
      <c r="S35" s="605"/>
      <c r="T35" s="142">
        <v>0.37291666666666662</v>
      </c>
      <c r="U35" s="142">
        <v>0.42222222222222217</v>
      </c>
      <c r="V35" s="359">
        <v>8</v>
      </c>
      <c r="W35" s="143">
        <f t="shared" si="25"/>
        <v>70.999999999999986</v>
      </c>
      <c r="X35" s="184"/>
      <c r="Y35" s="184"/>
      <c r="Z35" s="185"/>
      <c r="AA35" s="185"/>
      <c r="AB35" s="601"/>
      <c r="AC35" s="601"/>
      <c r="AD35" s="359"/>
      <c r="AE35" s="359"/>
      <c r="AF35" s="92">
        <f t="shared" si="6"/>
        <v>-323.66197183098575</v>
      </c>
      <c r="AG35" s="186">
        <f t="shared" si="7"/>
        <v>0.78422535211267619</v>
      </c>
      <c r="AH35" s="623"/>
    </row>
    <row r="36" spans="1:34" ht="19.350000000000001" customHeight="1">
      <c r="A36" s="643"/>
      <c r="B36" s="182" t="s">
        <v>390</v>
      </c>
      <c r="C36" s="190"/>
      <c r="D36" s="83" t="s">
        <v>174</v>
      </c>
      <c r="E36" s="133"/>
      <c r="F36" s="85">
        <v>53.68</v>
      </c>
      <c r="G36" s="104">
        <v>983</v>
      </c>
      <c r="H36" s="135">
        <f t="shared" si="22"/>
        <v>52767.44</v>
      </c>
      <c r="I36" s="359"/>
      <c r="J36" s="89">
        <v>16</v>
      </c>
      <c r="K36" s="86">
        <v>1500</v>
      </c>
      <c r="L36" s="90">
        <v>93.75</v>
      </c>
      <c r="M36" s="189">
        <v>16</v>
      </c>
      <c r="N36" s="86">
        <f t="shared" si="23"/>
        <v>1179.6000000000004</v>
      </c>
      <c r="O36" s="90">
        <f t="shared" si="24"/>
        <v>73.725000000000023</v>
      </c>
      <c r="P36" s="92">
        <f t="shared" si="18"/>
        <v>0</v>
      </c>
      <c r="Q36" s="93">
        <f t="shared" si="19"/>
        <v>-20.024999999999977</v>
      </c>
      <c r="R36" s="95">
        <f t="shared" si="20"/>
        <v>0.78640000000000021</v>
      </c>
      <c r="S36" s="605"/>
      <c r="T36" s="142">
        <v>0.46249999999999991</v>
      </c>
      <c r="U36" s="142">
        <v>0.49722222222222212</v>
      </c>
      <c r="V36" s="359">
        <v>5</v>
      </c>
      <c r="W36" s="143">
        <f t="shared" si="25"/>
        <v>49.999999999999986</v>
      </c>
      <c r="X36" s="184"/>
      <c r="Y36" s="184"/>
      <c r="Z36" s="185"/>
      <c r="AA36" s="185"/>
      <c r="AB36" s="601"/>
      <c r="AC36" s="601"/>
      <c r="AD36" s="359"/>
      <c r="AE36" s="359"/>
      <c r="AF36" s="92">
        <f t="shared" si="6"/>
        <v>-320.39999999999964</v>
      </c>
      <c r="AG36" s="186">
        <f t="shared" si="7"/>
        <v>0.78640000000000021</v>
      </c>
      <c r="AH36" s="623"/>
    </row>
    <row r="37" spans="1:34" ht="19.350000000000001" customHeight="1">
      <c r="A37" s="643"/>
      <c r="B37" s="182" t="s">
        <v>390</v>
      </c>
      <c r="C37" s="190"/>
      <c r="D37" s="132" t="s">
        <v>175</v>
      </c>
      <c r="E37" s="133"/>
      <c r="F37" s="85">
        <v>57.734999999999999</v>
      </c>
      <c r="G37" s="104">
        <v>1484</v>
      </c>
      <c r="H37" s="135">
        <f t="shared" si="22"/>
        <v>85678.74</v>
      </c>
      <c r="I37" s="359"/>
      <c r="J37" s="89">
        <v>16</v>
      </c>
      <c r="K37" s="86">
        <v>1565</v>
      </c>
      <c r="L37" s="90">
        <v>97.8125</v>
      </c>
      <c r="M37" s="189">
        <v>16</v>
      </c>
      <c r="N37" s="86">
        <f t="shared" si="23"/>
        <v>1236.6666666666658</v>
      </c>
      <c r="O37" s="90">
        <f t="shared" si="24"/>
        <v>77.291666666666615</v>
      </c>
      <c r="P37" s="92">
        <f t="shared" si="18"/>
        <v>0</v>
      </c>
      <c r="Q37" s="93">
        <f t="shared" si="19"/>
        <v>-20.520833333333385</v>
      </c>
      <c r="R37" s="95">
        <f t="shared" si="20"/>
        <v>0.79020234291799729</v>
      </c>
      <c r="S37" s="605"/>
      <c r="T37" s="142">
        <v>0.50208333333333321</v>
      </c>
      <c r="U37" s="142">
        <v>0.55208333333333326</v>
      </c>
      <c r="V37" s="359">
        <v>7</v>
      </c>
      <c r="W37" s="143">
        <f t="shared" si="25"/>
        <v>72.000000000000057</v>
      </c>
      <c r="X37" s="184"/>
      <c r="Y37" s="184"/>
      <c r="Z37" s="185"/>
      <c r="AA37" s="185"/>
      <c r="AB37" s="601"/>
      <c r="AC37" s="601"/>
      <c r="AD37" s="359"/>
      <c r="AE37" s="359"/>
      <c r="AF37" s="92">
        <f t="shared" si="6"/>
        <v>-328.33333333333417</v>
      </c>
      <c r="AG37" s="186">
        <f t="shared" si="7"/>
        <v>0.79020234291799729</v>
      </c>
      <c r="AH37" s="623"/>
    </row>
    <row r="38" spans="1:34" ht="19.350000000000001" customHeight="1">
      <c r="A38" s="643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359"/>
      <c r="J38" s="89"/>
      <c r="K38" s="86"/>
      <c r="L38" s="90"/>
      <c r="M38" s="189"/>
      <c r="N38" s="86"/>
      <c r="O38" s="90"/>
      <c r="P38" s="92"/>
      <c r="Q38" s="93"/>
      <c r="R38" s="95"/>
      <c r="S38" s="605"/>
      <c r="T38" s="142"/>
      <c r="U38" s="142"/>
      <c r="V38" s="359"/>
      <c r="W38" s="143"/>
      <c r="X38" s="184"/>
      <c r="Y38" s="184"/>
      <c r="Z38" s="185"/>
      <c r="AA38" s="185"/>
      <c r="AB38" s="601"/>
      <c r="AC38" s="601"/>
      <c r="AD38" s="359"/>
      <c r="AE38" s="359"/>
      <c r="AF38" s="92">
        <f t="shared" si="6"/>
        <v>0</v>
      </c>
      <c r="AG38" s="186" t="e">
        <f t="shared" si="7"/>
        <v>#DIV/0!</v>
      </c>
      <c r="AH38" s="623"/>
    </row>
    <row r="39" spans="1:34" ht="19.350000000000001" customHeight="1">
      <c r="A39" s="643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359"/>
      <c r="J39" s="89"/>
      <c r="K39" s="86"/>
      <c r="L39" s="90"/>
      <c r="M39" s="189"/>
      <c r="N39" s="86"/>
      <c r="O39" s="90"/>
      <c r="P39" s="92"/>
      <c r="Q39" s="93"/>
      <c r="R39" s="95"/>
      <c r="S39" s="605"/>
      <c r="T39" s="142"/>
      <c r="U39" s="142"/>
      <c r="V39" s="359"/>
      <c r="W39" s="143"/>
      <c r="X39" s="184"/>
      <c r="Y39" s="184"/>
      <c r="Z39" s="185"/>
      <c r="AA39" s="185"/>
      <c r="AB39" s="601"/>
      <c r="AC39" s="601"/>
      <c r="AD39" s="359"/>
      <c r="AE39" s="359"/>
      <c r="AF39" s="92"/>
      <c r="AG39" s="191"/>
      <c r="AH39" s="623"/>
    </row>
    <row r="40" spans="1:34" ht="19.350000000000001" customHeight="1">
      <c r="A40" s="643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78"/>
      <c r="J40" s="193"/>
      <c r="K40" s="194"/>
      <c r="L40" s="195"/>
      <c r="M40" s="91"/>
      <c r="N40" s="86"/>
      <c r="O40" s="90"/>
      <c r="P40" s="92"/>
      <c r="Q40" s="93"/>
      <c r="R40" s="95"/>
      <c r="S40" s="605"/>
      <c r="T40" s="142"/>
      <c r="U40" s="142"/>
      <c r="V40" s="359"/>
      <c r="W40" s="143">
        <f t="shared" si="25"/>
        <v>0</v>
      </c>
      <c r="X40" s="184"/>
      <c r="Y40" s="184"/>
      <c r="Z40" s="185"/>
      <c r="AA40" s="185"/>
      <c r="AB40" s="601"/>
      <c r="AC40" s="601"/>
      <c r="AD40" s="359"/>
      <c r="AE40" s="359"/>
      <c r="AF40" s="92"/>
      <c r="AG40" s="191"/>
      <c r="AH40" s="623"/>
    </row>
    <row r="41" spans="1:34" ht="19.350000000000001" customHeight="1">
      <c r="A41" s="643"/>
      <c r="B41" s="359">
        <v>0</v>
      </c>
      <c r="C41" s="102"/>
      <c r="D41" s="132"/>
      <c r="E41" s="133"/>
      <c r="F41" s="85" t="s">
        <v>391</v>
      </c>
      <c r="G41" s="104"/>
      <c r="H41" s="135"/>
      <c r="I41" s="359"/>
      <c r="J41" s="138"/>
      <c r="K41" s="104"/>
      <c r="L41" s="137"/>
      <c r="M41" s="189"/>
      <c r="N41" s="104"/>
      <c r="O41" s="137"/>
      <c r="P41" s="100"/>
      <c r="Q41" s="139"/>
      <c r="R41" s="141"/>
      <c r="S41" s="605"/>
      <c r="T41" s="142"/>
      <c r="U41" s="142"/>
      <c r="V41" s="359"/>
      <c r="W41" s="143">
        <f t="shared" si="25"/>
        <v>0</v>
      </c>
      <c r="X41" s="184"/>
      <c r="Y41" s="184"/>
      <c r="Z41" s="185"/>
      <c r="AA41" s="185"/>
      <c r="AB41" s="601"/>
      <c r="AC41" s="601"/>
      <c r="AD41" s="359"/>
      <c r="AE41" s="359"/>
      <c r="AF41" s="92"/>
      <c r="AG41" s="191"/>
      <c r="AH41" s="623"/>
    </row>
    <row r="42" spans="1:34" ht="19.350000000000001" customHeight="1">
      <c r="A42" s="643"/>
      <c r="B42" s="359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359"/>
      <c r="J42" s="138"/>
      <c r="K42" s="104"/>
      <c r="L42" s="137"/>
      <c r="M42" s="189"/>
      <c r="N42" s="104"/>
      <c r="O42" s="137"/>
      <c r="P42" s="100"/>
      <c r="Q42" s="139"/>
      <c r="R42" s="141"/>
      <c r="S42" s="605"/>
      <c r="T42" s="142"/>
      <c r="U42" s="142"/>
      <c r="V42" s="359"/>
      <c r="W42" s="143">
        <f t="shared" si="25"/>
        <v>0</v>
      </c>
      <c r="X42" s="184"/>
      <c r="Y42" s="184"/>
      <c r="Z42" s="185"/>
      <c r="AA42" s="185"/>
      <c r="AB42" s="601"/>
      <c r="AC42" s="601"/>
      <c r="AD42" s="359"/>
      <c r="AE42" s="359"/>
      <c r="AF42" s="92"/>
      <c r="AG42" s="191"/>
      <c r="AH42" s="623"/>
    </row>
    <row r="43" spans="1:34" ht="19.350000000000001" customHeight="1">
      <c r="A43" s="643"/>
      <c r="B43" s="182">
        <v>0</v>
      </c>
      <c r="C43" s="156" t="s">
        <v>29</v>
      </c>
      <c r="D43" s="602" t="s">
        <v>75</v>
      </c>
      <c r="E43" s="602"/>
      <c r="F43" s="157"/>
      <c r="G43" s="158"/>
      <c r="H43" s="159"/>
      <c r="I43" s="160"/>
      <c r="J43" s="158">
        <v>14.714285714285714</v>
      </c>
      <c r="K43" s="158">
        <v>1830.7142857142858</v>
      </c>
      <c r="L43" s="161">
        <v>134.8294413919414</v>
      </c>
      <c r="M43" s="158">
        <f t="shared" ref="M43:O43" si="26">AVERAGE(M31:M42)</f>
        <v>14.714285714285714</v>
      </c>
      <c r="N43" s="158">
        <f t="shared" si="26"/>
        <v>1540.1491684616974</v>
      </c>
      <c r="O43" s="161">
        <f t="shared" si="26"/>
        <v>114.70210552953459</v>
      </c>
      <c r="P43" s="100">
        <f>M43-J43</f>
        <v>0</v>
      </c>
      <c r="Q43" s="139">
        <f>N43-K43</f>
        <v>-290.56511725258838</v>
      </c>
      <c r="R43" s="162">
        <f t="shared" ref="R43:R51" si="27">O43/L43</f>
        <v>0.85072002335233443</v>
      </c>
      <c r="S43" s="605"/>
      <c r="T43" s="142"/>
      <c r="U43" s="142"/>
      <c r="V43" s="359"/>
      <c r="W43" s="359"/>
      <c r="X43" s="184"/>
      <c r="Y43" s="184"/>
      <c r="Z43" s="197">
        <f>SUM(Z31:Z42)</f>
        <v>0</v>
      </c>
      <c r="AA43" s="197">
        <f>SUM(AA31:AA42)</f>
        <v>0</v>
      </c>
      <c r="AB43" s="601"/>
      <c r="AC43" s="601"/>
      <c r="AD43" s="164">
        <f>SUM(AD31:AD42)</f>
        <v>1</v>
      </c>
      <c r="AE43" s="164">
        <f>SUM(AE31:AE42)</f>
        <v>0</v>
      </c>
      <c r="AF43" s="92">
        <f t="shared" ref="AF43:AF52" si="28">N43-K43</f>
        <v>-290.56511725258838</v>
      </c>
      <c r="AG43" s="114">
        <f t="shared" si="7"/>
        <v>0.8412831977551215</v>
      </c>
      <c r="AH43" s="623"/>
    </row>
    <row r="44" spans="1:34" s="213" customFormat="1" ht="19.350000000000001" customHeight="1">
      <c r="A44" s="638" t="s">
        <v>146</v>
      </c>
      <c r="B44" s="152" t="s">
        <v>388</v>
      </c>
      <c r="C44" s="198"/>
      <c r="D44" s="83" t="s">
        <v>168</v>
      </c>
      <c r="E44" s="84"/>
      <c r="F44" s="199">
        <v>36.92</v>
      </c>
      <c r="G44" s="200">
        <v>514</v>
      </c>
      <c r="H44" s="87">
        <f>F44*G44</f>
        <v>18976.88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1063.4482758620684</v>
      </c>
      <c r="O44" s="204">
        <f>N44/M44</f>
        <v>177.24137931034474</v>
      </c>
      <c r="P44" s="97"/>
      <c r="Q44" s="205"/>
      <c r="R44" s="206"/>
      <c r="S44" s="620">
        <f>R56</f>
        <v>0.81813135992450481</v>
      </c>
      <c r="T44" s="207">
        <v>0.16666666666666666</v>
      </c>
      <c r="U44" s="207">
        <v>0.18680555555555556</v>
      </c>
      <c r="V44" s="208">
        <v>5</v>
      </c>
      <c r="W44" s="209">
        <f t="shared" ref="W44:W56" si="29">(U44-T44)*24*60</f>
        <v>29.000000000000018</v>
      </c>
      <c r="X44" s="184"/>
      <c r="Y44" s="184"/>
      <c r="Z44" s="185"/>
      <c r="AA44" s="185"/>
      <c r="AB44" s="601"/>
      <c r="AC44" s="601"/>
      <c r="AD44" s="359"/>
      <c r="AE44" s="359"/>
      <c r="AF44" s="210">
        <f t="shared" si="28"/>
        <v>-436.55172413793161</v>
      </c>
      <c r="AG44" s="212">
        <f t="shared" si="7"/>
        <v>0.70896551724137891</v>
      </c>
      <c r="AH44" s="641">
        <f>AG56</f>
        <v>0.96035396430903075</v>
      </c>
    </row>
    <row r="45" spans="1:34" s="213" customFormat="1" ht="19.350000000000001" customHeight="1">
      <c r="A45" s="639"/>
      <c r="B45" s="152" t="s">
        <v>389</v>
      </c>
      <c r="C45" s="198"/>
      <c r="D45" s="83" t="s">
        <v>169</v>
      </c>
      <c r="E45" s="84"/>
      <c r="F45" s="199">
        <v>24.73</v>
      </c>
      <c r="G45" s="200">
        <v>2322</v>
      </c>
      <c r="H45" s="87">
        <f>F45*G45</f>
        <v>57423.06</v>
      </c>
      <c r="I45" s="214"/>
      <c r="J45" s="202">
        <v>4</v>
      </c>
      <c r="K45" s="203">
        <v>2000</v>
      </c>
      <c r="L45" s="204">
        <v>500</v>
      </c>
      <c r="M45" s="110">
        <v>5</v>
      </c>
      <c r="N45" s="203">
        <f>G45/W45*60</f>
        <v>2143.3846153846152</v>
      </c>
      <c r="O45" s="204">
        <f>N45/M45</f>
        <v>428.67692307692306</v>
      </c>
      <c r="P45" s="97">
        <f>M45-J45</f>
        <v>1</v>
      </c>
      <c r="Q45" s="205">
        <f>O45-L45</f>
        <v>-71.32307692307694</v>
      </c>
      <c r="R45" s="206">
        <f t="shared" si="27"/>
        <v>0.85735384615384613</v>
      </c>
      <c r="S45" s="620"/>
      <c r="T45" s="207">
        <v>0.19236111111111112</v>
      </c>
      <c r="U45" s="207">
        <v>0.23750000000000002</v>
      </c>
      <c r="V45" s="208">
        <v>8</v>
      </c>
      <c r="W45" s="209">
        <f t="shared" si="29"/>
        <v>65.000000000000014</v>
      </c>
      <c r="X45" s="184"/>
      <c r="Y45" s="184"/>
      <c r="Z45" s="185"/>
      <c r="AA45" s="185"/>
      <c r="AB45" s="601"/>
      <c r="AC45" s="601"/>
      <c r="AD45" s="359"/>
      <c r="AE45" s="359"/>
      <c r="AF45" s="210">
        <f t="shared" si="28"/>
        <v>143.38461538461524</v>
      </c>
      <c r="AG45" s="212">
        <f t="shared" si="7"/>
        <v>1.0716923076923077</v>
      </c>
      <c r="AH45" s="641"/>
    </row>
    <row r="46" spans="1:34" s="213" customFormat="1" ht="19.350000000000001" customHeight="1">
      <c r="A46" s="639"/>
      <c r="B46" s="152" t="s">
        <v>389</v>
      </c>
      <c r="C46" s="198"/>
      <c r="D46" s="83" t="s">
        <v>170</v>
      </c>
      <c r="E46" s="84"/>
      <c r="F46" s="199">
        <v>24.73</v>
      </c>
      <c r="G46" s="200">
        <v>2106</v>
      </c>
      <c r="H46" s="87">
        <f t="shared" ref="H46:H51" si="30">F46*G46</f>
        <v>52081.38</v>
      </c>
      <c r="I46" s="214"/>
      <c r="J46" s="202">
        <v>4</v>
      </c>
      <c r="K46" s="203">
        <v>2000</v>
      </c>
      <c r="L46" s="204">
        <v>500</v>
      </c>
      <c r="M46" s="110">
        <v>5</v>
      </c>
      <c r="N46" s="203">
        <f>G46/W46*60</f>
        <v>2141.6949152542375</v>
      </c>
      <c r="O46" s="204">
        <f>N46/M46</f>
        <v>428.3389830508475</v>
      </c>
      <c r="P46" s="97">
        <f>M46-J46</f>
        <v>1</v>
      </c>
      <c r="Q46" s="205">
        <f>O46-L46</f>
        <v>-71.661016949152497</v>
      </c>
      <c r="R46" s="206">
        <f t="shared" si="27"/>
        <v>0.856677966101695</v>
      </c>
      <c r="S46" s="620"/>
      <c r="T46" s="207">
        <v>0.24097222222222223</v>
      </c>
      <c r="U46" s="207">
        <v>0.28194444444444444</v>
      </c>
      <c r="V46" s="208">
        <v>5</v>
      </c>
      <c r="W46" s="209">
        <f t="shared" si="29"/>
        <v>58.999999999999993</v>
      </c>
      <c r="X46" s="184"/>
      <c r="Y46" s="184"/>
      <c r="Z46" s="185"/>
      <c r="AA46" s="185"/>
      <c r="AB46" s="601"/>
      <c r="AC46" s="601"/>
      <c r="AD46" s="359"/>
      <c r="AE46" s="359"/>
      <c r="AF46" s="210">
        <f t="shared" si="28"/>
        <v>141.69491525423746</v>
      </c>
      <c r="AG46" s="212">
        <f t="shared" si="7"/>
        <v>1.0708474576271187</v>
      </c>
      <c r="AH46" s="641"/>
    </row>
    <row r="47" spans="1:34" s="213" customFormat="1" ht="19.350000000000001" customHeight="1">
      <c r="A47" s="639"/>
      <c r="B47" s="152" t="s">
        <v>389</v>
      </c>
      <c r="C47" s="198"/>
      <c r="D47" s="215" t="s">
        <v>171</v>
      </c>
      <c r="E47" s="216"/>
      <c r="F47" s="199">
        <v>22.83</v>
      </c>
      <c r="G47" s="203">
        <v>504</v>
      </c>
      <c r="H47" s="87">
        <f t="shared" si="30"/>
        <v>11506.32</v>
      </c>
      <c r="I47" s="214"/>
      <c r="J47" s="202">
        <v>6</v>
      </c>
      <c r="K47" s="203">
        <v>2000</v>
      </c>
      <c r="L47" s="204">
        <v>333.33333333333331</v>
      </c>
      <c r="M47" s="217">
        <v>7</v>
      </c>
      <c r="N47" s="203">
        <f t="shared" ref="N47:N51" si="31">G47/W47*60</f>
        <v>1778.8235294117624</v>
      </c>
      <c r="O47" s="204">
        <f t="shared" ref="O47:O51" si="32">N47/M47</f>
        <v>254.1176470588232</v>
      </c>
      <c r="P47" s="97">
        <f t="shared" ref="P47:P51" si="33">M47-J47</f>
        <v>1</v>
      </c>
      <c r="Q47" s="205">
        <f t="shared" ref="Q47:Q51" si="34">O47-L47</f>
        <v>-79.215686274510119</v>
      </c>
      <c r="R47" s="206">
        <f t="shared" si="27"/>
        <v>0.76235294117646968</v>
      </c>
      <c r="S47" s="620"/>
      <c r="T47" s="207">
        <v>0.28541666666666665</v>
      </c>
      <c r="U47" s="207">
        <v>0.29722222222222222</v>
      </c>
      <c r="V47" s="203">
        <v>5</v>
      </c>
      <c r="W47" s="209">
        <f t="shared" si="29"/>
        <v>17.000000000000021</v>
      </c>
      <c r="X47" s="184"/>
      <c r="Y47" s="184"/>
      <c r="Z47" s="185"/>
      <c r="AA47" s="185"/>
      <c r="AB47" s="601"/>
      <c r="AC47" s="601"/>
      <c r="AD47" s="359"/>
      <c r="AE47" s="359"/>
      <c r="AF47" s="210">
        <f t="shared" si="28"/>
        <v>-221.17647058823763</v>
      </c>
      <c r="AG47" s="212">
        <f t="shared" si="7"/>
        <v>0.88941176470588124</v>
      </c>
      <c r="AH47" s="641"/>
    </row>
    <row r="48" spans="1:34" s="213" customFormat="1" ht="19.350000000000001" customHeight="1">
      <c r="A48" s="639"/>
      <c r="B48" s="152" t="s">
        <v>389</v>
      </c>
      <c r="C48" s="198"/>
      <c r="D48" s="218" t="s">
        <v>172</v>
      </c>
      <c r="E48" s="216"/>
      <c r="F48" s="199">
        <v>22.27</v>
      </c>
      <c r="G48" s="203">
        <v>1451</v>
      </c>
      <c r="H48" s="87">
        <f t="shared" si="30"/>
        <v>32313.77</v>
      </c>
      <c r="I48" s="214"/>
      <c r="J48" s="202">
        <v>4</v>
      </c>
      <c r="K48" s="203">
        <v>2000</v>
      </c>
      <c r="L48" s="204">
        <v>500</v>
      </c>
      <c r="M48" s="217">
        <v>5</v>
      </c>
      <c r="N48" s="203">
        <f t="shared" si="31"/>
        <v>2176.4999999999991</v>
      </c>
      <c r="O48" s="204">
        <f t="shared" si="32"/>
        <v>435.29999999999984</v>
      </c>
      <c r="P48" s="97">
        <f t="shared" si="33"/>
        <v>1</v>
      </c>
      <c r="Q48" s="205">
        <f t="shared" si="34"/>
        <v>-64.700000000000159</v>
      </c>
      <c r="R48" s="206">
        <f t="shared" si="27"/>
        <v>0.87059999999999971</v>
      </c>
      <c r="S48" s="620"/>
      <c r="T48" s="219">
        <v>0.30069444444444443</v>
      </c>
      <c r="U48" s="219">
        <v>0.32847222222222222</v>
      </c>
      <c r="V48" s="200">
        <v>5</v>
      </c>
      <c r="W48" s="209">
        <f t="shared" si="29"/>
        <v>40.000000000000014</v>
      </c>
      <c r="X48" s="184"/>
      <c r="Y48" s="184"/>
      <c r="Z48" s="185"/>
      <c r="AA48" s="185"/>
      <c r="AB48" s="601"/>
      <c r="AC48" s="601"/>
      <c r="AD48" s="359"/>
      <c r="AE48" s="359"/>
      <c r="AF48" s="210">
        <f t="shared" si="28"/>
        <v>176.49999999999909</v>
      </c>
      <c r="AG48" s="212">
        <f t="shared" si="7"/>
        <v>1.0882499999999995</v>
      </c>
      <c r="AH48" s="641"/>
    </row>
    <row r="49" spans="1:34" s="213" customFormat="1" ht="19.350000000000001" customHeight="1">
      <c r="A49" s="639"/>
      <c r="B49" s="152" t="s">
        <v>389</v>
      </c>
      <c r="C49" s="198"/>
      <c r="D49" s="218" t="s">
        <v>173</v>
      </c>
      <c r="E49" s="216"/>
      <c r="F49" s="199">
        <v>21.74</v>
      </c>
      <c r="G49" s="200">
        <v>302</v>
      </c>
      <c r="H49" s="87">
        <f t="shared" si="30"/>
        <v>6565.48</v>
      </c>
      <c r="I49" s="214"/>
      <c r="J49" s="202">
        <v>4</v>
      </c>
      <c r="K49" s="203">
        <v>2000</v>
      </c>
      <c r="L49" s="204">
        <v>500</v>
      </c>
      <c r="M49" s="217">
        <v>5</v>
      </c>
      <c r="N49" s="203">
        <f t="shared" si="31"/>
        <v>1812.0000000000064</v>
      </c>
      <c r="O49" s="204">
        <f t="shared" si="32"/>
        <v>362.40000000000128</v>
      </c>
      <c r="P49" s="97">
        <f t="shared" si="33"/>
        <v>1</v>
      </c>
      <c r="Q49" s="205">
        <f t="shared" si="34"/>
        <v>-137.59999999999872</v>
      </c>
      <c r="R49" s="206">
        <f t="shared" si="27"/>
        <v>0.72480000000000255</v>
      </c>
      <c r="S49" s="620"/>
      <c r="T49" s="219">
        <v>0.33194444444444443</v>
      </c>
      <c r="U49" s="219">
        <v>0.33888888888888885</v>
      </c>
      <c r="V49" s="200">
        <v>5</v>
      </c>
      <c r="W49" s="209">
        <f t="shared" si="29"/>
        <v>9.9999999999999645</v>
      </c>
      <c r="X49" s="220"/>
      <c r="Y49" s="220"/>
      <c r="Z49" s="221"/>
      <c r="AA49" s="185"/>
      <c r="AB49" s="601"/>
      <c r="AC49" s="601"/>
      <c r="AD49" s="359"/>
      <c r="AE49" s="359"/>
      <c r="AF49" s="210">
        <f t="shared" si="28"/>
        <v>-187.99999999999363</v>
      </c>
      <c r="AG49" s="212">
        <f t="shared" si="7"/>
        <v>0.90600000000000314</v>
      </c>
      <c r="AH49" s="641"/>
    </row>
    <row r="50" spans="1:34" s="213" customFormat="1" ht="19.350000000000001" customHeight="1">
      <c r="A50" s="639"/>
      <c r="B50" s="152" t="s">
        <v>388</v>
      </c>
      <c r="C50" s="198"/>
      <c r="D50" s="218" t="s">
        <v>148</v>
      </c>
      <c r="E50" s="216"/>
      <c r="F50" s="199">
        <v>11.6</v>
      </c>
      <c r="G50" s="200">
        <v>2348</v>
      </c>
      <c r="H50" s="87">
        <f t="shared" si="30"/>
        <v>27236.799999999999</v>
      </c>
      <c r="I50" s="214"/>
      <c r="J50" s="202">
        <v>6</v>
      </c>
      <c r="K50" s="203">
        <v>1636</v>
      </c>
      <c r="L50" s="204">
        <v>272.66666666666669</v>
      </c>
      <c r="M50" s="217">
        <v>7</v>
      </c>
      <c r="N50" s="203">
        <f t="shared" si="31"/>
        <v>1467.5000000000005</v>
      </c>
      <c r="O50" s="204">
        <f t="shared" si="32"/>
        <v>209.6428571428572</v>
      </c>
      <c r="P50" s="97">
        <f t="shared" si="33"/>
        <v>1</v>
      </c>
      <c r="Q50" s="205">
        <f t="shared" si="34"/>
        <v>-63.02380952380949</v>
      </c>
      <c r="R50" s="206">
        <f t="shared" si="27"/>
        <v>0.76886133426475733</v>
      </c>
      <c r="S50" s="620"/>
      <c r="T50" s="219">
        <v>0.35972222222222217</v>
      </c>
      <c r="U50" s="219">
        <v>0.42638888888888882</v>
      </c>
      <c r="V50" s="200">
        <v>30</v>
      </c>
      <c r="W50" s="209">
        <f t="shared" si="29"/>
        <v>95.999999999999972</v>
      </c>
      <c r="X50" s="220">
        <v>0.34236111111111112</v>
      </c>
      <c r="Y50" s="220">
        <v>0.35694444444444445</v>
      </c>
      <c r="Z50" s="221"/>
      <c r="AA50" s="221"/>
      <c r="AB50" s="601"/>
      <c r="AC50" s="601"/>
      <c r="AD50" s="359"/>
      <c r="AE50" s="359"/>
      <c r="AF50" s="210">
        <f t="shared" si="28"/>
        <v>-168.49999999999955</v>
      </c>
      <c r="AG50" s="212">
        <f t="shared" si="7"/>
        <v>0.89700488997555039</v>
      </c>
      <c r="AH50" s="641"/>
    </row>
    <row r="51" spans="1:34" s="213" customFormat="1" ht="19.350000000000001" customHeight="1">
      <c r="A51" s="639"/>
      <c r="B51" s="152" t="s">
        <v>390</v>
      </c>
      <c r="C51" s="198"/>
      <c r="D51" s="218" t="s">
        <v>149</v>
      </c>
      <c r="E51" s="216"/>
      <c r="F51" s="199">
        <v>10.09</v>
      </c>
      <c r="G51" s="200">
        <v>5496.92</v>
      </c>
      <c r="H51" s="87">
        <f t="shared" si="30"/>
        <v>55463.9228</v>
      </c>
      <c r="I51" s="214"/>
      <c r="J51" s="202">
        <v>6</v>
      </c>
      <c r="K51" s="203">
        <v>1500</v>
      </c>
      <c r="L51" s="204">
        <v>250</v>
      </c>
      <c r="M51" s="217">
        <v>6</v>
      </c>
      <c r="N51" s="203">
        <f t="shared" si="31"/>
        <v>1472.3892857142864</v>
      </c>
      <c r="O51" s="204">
        <f t="shared" si="32"/>
        <v>245.3982142857144</v>
      </c>
      <c r="P51" s="97">
        <f t="shared" si="33"/>
        <v>0</v>
      </c>
      <c r="Q51" s="205">
        <f t="shared" si="34"/>
        <v>-4.6017857142855974</v>
      </c>
      <c r="R51" s="206">
        <f t="shared" si="27"/>
        <v>0.9815928571428576</v>
      </c>
      <c r="S51" s="620"/>
      <c r="T51" s="219">
        <v>0.44722222222222213</v>
      </c>
      <c r="U51" s="219">
        <v>0.60277777777777763</v>
      </c>
      <c r="V51" s="200">
        <v>30</v>
      </c>
      <c r="W51" s="209">
        <f t="shared" si="29"/>
        <v>223.99999999999991</v>
      </c>
      <c r="X51" s="220">
        <v>0.42986111111111108</v>
      </c>
      <c r="Y51" s="220">
        <v>0.44444444444444442</v>
      </c>
      <c r="Z51" s="221"/>
      <c r="AA51" s="221"/>
      <c r="AB51" s="601"/>
      <c r="AC51" s="601"/>
      <c r="AD51" s="359"/>
      <c r="AE51" s="359"/>
      <c r="AF51" s="210">
        <f t="shared" si="28"/>
        <v>-27.610714285713584</v>
      </c>
      <c r="AG51" s="212">
        <f t="shared" si="7"/>
        <v>0.9815928571428576</v>
      </c>
      <c r="AH51" s="641"/>
    </row>
    <row r="52" spans="1:34" s="213" customFormat="1" ht="19.350000000000001" customHeight="1">
      <c r="A52" s="639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1"/>
      <c r="S52" s="620"/>
      <c r="T52" s="219"/>
      <c r="U52" s="219"/>
      <c r="V52" s="200" t="s">
        <v>49</v>
      </c>
      <c r="W52" s="209">
        <f t="shared" si="29"/>
        <v>0</v>
      </c>
      <c r="X52" s="220"/>
      <c r="Y52" s="220"/>
      <c r="Z52" s="221"/>
      <c r="AA52" s="221"/>
      <c r="AB52" s="601"/>
      <c r="AC52" s="601"/>
      <c r="AD52" s="359"/>
      <c r="AE52" s="359"/>
      <c r="AF52" s="210">
        <f t="shared" si="28"/>
        <v>0</v>
      </c>
      <c r="AG52" s="212" t="e">
        <f t="shared" si="7"/>
        <v>#DIV/0!</v>
      </c>
      <c r="AH52" s="641"/>
    </row>
    <row r="53" spans="1:34" s="213" customFormat="1" ht="19.350000000000001" customHeight="1">
      <c r="A53" s="639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1"/>
      <c r="S53" s="620"/>
      <c r="T53" s="219"/>
      <c r="U53" s="219"/>
      <c r="V53" s="200"/>
      <c r="W53" s="209">
        <f t="shared" si="29"/>
        <v>0</v>
      </c>
      <c r="X53" s="220"/>
      <c r="Y53" s="220"/>
      <c r="Z53" s="221"/>
      <c r="AA53" s="221"/>
      <c r="AB53" s="601"/>
      <c r="AC53" s="601"/>
      <c r="AD53" s="359"/>
      <c r="AE53" s="359"/>
      <c r="AF53" s="210"/>
      <c r="AG53" s="212"/>
      <c r="AH53" s="641"/>
    </row>
    <row r="54" spans="1:34" s="213" customFormat="1" ht="19.350000000000001" customHeight="1">
      <c r="A54" s="639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1"/>
      <c r="S54" s="620"/>
      <c r="T54" s="219"/>
      <c r="U54" s="219"/>
      <c r="V54" s="200"/>
      <c r="W54" s="209">
        <f t="shared" si="29"/>
        <v>0</v>
      </c>
      <c r="X54" s="220"/>
      <c r="Y54" s="220"/>
      <c r="Z54" s="221"/>
      <c r="AA54" s="221"/>
      <c r="AB54" s="601"/>
      <c r="AC54" s="601"/>
      <c r="AD54" s="359"/>
      <c r="AE54" s="359"/>
      <c r="AF54" s="210"/>
      <c r="AG54" s="212"/>
      <c r="AH54" s="641"/>
    </row>
    <row r="55" spans="1:34" s="213" customFormat="1" ht="19.350000000000001" customHeight="1">
      <c r="A55" s="639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1"/>
      <c r="S55" s="620"/>
      <c r="T55" s="219"/>
      <c r="U55" s="219"/>
      <c r="V55" s="200"/>
      <c r="W55" s="209">
        <f t="shared" si="29"/>
        <v>0</v>
      </c>
      <c r="X55" s="220"/>
      <c r="Y55" s="220"/>
      <c r="Z55" s="221"/>
      <c r="AA55" s="221"/>
      <c r="AB55" s="601"/>
      <c r="AC55" s="601"/>
      <c r="AD55" s="359"/>
      <c r="AE55" s="359"/>
      <c r="AF55" s="210"/>
      <c r="AG55" s="212"/>
      <c r="AH55" s="641"/>
    </row>
    <row r="56" spans="1:34" ht="19.350000000000001" customHeight="1">
      <c r="A56" s="640"/>
      <c r="B56" s="226">
        <v>0</v>
      </c>
      <c r="C56" s="156" t="s">
        <v>30</v>
      </c>
      <c r="D56" s="602" t="s">
        <v>75</v>
      </c>
      <c r="E56" s="602"/>
      <c r="F56" s="157"/>
      <c r="G56" s="158"/>
      <c r="H56" s="159"/>
      <c r="I56" s="160"/>
      <c r="J56" s="158">
        <v>5</v>
      </c>
      <c r="K56" s="158">
        <v>1829.5</v>
      </c>
      <c r="L56" s="161">
        <v>388.24999999999994</v>
      </c>
      <c r="M56" s="158">
        <f t="shared" ref="M56:O56" si="35">AVERAGE(M44:M55)</f>
        <v>5.75</v>
      </c>
      <c r="N56" s="158">
        <f t="shared" si="35"/>
        <v>1756.9675777033717</v>
      </c>
      <c r="O56" s="161">
        <f t="shared" si="35"/>
        <v>317.63950049068893</v>
      </c>
      <c r="P56" s="227">
        <f>M56-J56</f>
        <v>0.75</v>
      </c>
      <c r="Q56" s="176">
        <f>N56-K56</f>
        <v>-72.532422296628283</v>
      </c>
      <c r="R56" s="228">
        <f t="shared" ref="R56:R61" si="36">O56/L56</f>
        <v>0.81813135992450481</v>
      </c>
      <c r="S56" s="620"/>
      <c r="T56" s="229"/>
      <c r="U56" s="229"/>
      <c r="V56" s="230"/>
      <c r="W56" s="209">
        <f t="shared" si="29"/>
        <v>0</v>
      </c>
      <c r="X56" s="231"/>
      <c r="Y56" s="231"/>
      <c r="Z56" s="163">
        <f>SUM(Z44:Z55)</f>
        <v>0</v>
      </c>
      <c r="AA56" s="163">
        <f>SUM(AA44:AA55)</f>
        <v>0</v>
      </c>
      <c r="AB56" s="601"/>
      <c r="AC56" s="601"/>
      <c r="AD56" s="164">
        <f>SUM(AD44:AD55)</f>
        <v>0</v>
      </c>
      <c r="AE56" s="164">
        <f>SUM(AE44:AE55)</f>
        <v>0</v>
      </c>
      <c r="AF56" s="232">
        <f>N56-K56</f>
        <v>-72.532422296628283</v>
      </c>
      <c r="AG56" s="141">
        <f>N56/K56</f>
        <v>0.96035396430903075</v>
      </c>
      <c r="AH56" s="641"/>
    </row>
    <row r="57" spans="1:34" ht="19.350000000000001" customHeight="1">
      <c r="A57" s="634" t="s">
        <v>151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1735</v>
      </c>
      <c r="H57" s="135">
        <f t="shared" ref="H57:H66" si="37">F57*G57</f>
        <v>49031.100000000006</v>
      </c>
      <c r="I57" s="359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1" si="38">G57/W57*60</f>
        <v>1351.9480519480519</v>
      </c>
      <c r="O57" s="137">
        <f t="shared" ref="O57:O61" si="39">N57/M57</f>
        <v>193.13543599257883</v>
      </c>
      <c r="P57" s="235">
        <f t="shared" ref="P57:P61" si="40">M57-J57</f>
        <v>1</v>
      </c>
      <c r="Q57" s="93">
        <f t="shared" ref="Q57:Q61" si="41">O57-L57</f>
        <v>-56.864564007421166</v>
      </c>
      <c r="R57" s="95">
        <f t="shared" si="36"/>
        <v>0.77254174397031539</v>
      </c>
      <c r="S57" s="620">
        <f>R69</f>
        <v>0.86709537595632968</v>
      </c>
      <c r="T57" s="207">
        <v>0.16666666666666666</v>
      </c>
      <c r="U57" s="207">
        <v>0.22013888888888888</v>
      </c>
      <c r="V57" s="78">
        <v>5</v>
      </c>
      <c r="W57" s="88">
        <f>(U57-T57)*24*60</f>
        <v>77</v>
      </c>
      <c r="X57" s="99"/>
      <c r="Y57" s="99"/>
      <c r="Z57" s="100"/>
      <c r="AA57" s="100"/>
      <c r="AB57" s="601"/>
      <c r="AC57" s="601"/>
      <c r="AD57" s="359"/>
      <c r="AE57" s="359"/>
      <c r="AF57" s="92">
        <f t="shared" si="6"/>
        <v>-148.0519480519481</v>
      </c>
      <c r="AG57" s="181">
        <f t="shared" si="7"/>
        <v>0.90129870129870127</v>
      </c>
      <c r="AH57" s="622">
        <f>AG69</f>
        <v>0.9488070954784632</v>
      </c>
    </row>
    <row r="58" spans="1:34" ht="19.350000000000001" customHeight="1">
      <c r="A58" s="635"/>
      <c r="B58" s="152" t="s">
        <v>388</v>
      </c>
      <c r="C58" s="237"/>
      <c r="D58" s="83" t="s">
        <v>153</v>
      </c>
      <c r="E58" s="84"/>
      <c r="F58" s="85">
        <v>27.88</v>
      </c>
      <c r="G58" s="200">
        <v>2656</v>
      </c>
      <c r="H58" s="87">
        <f t="shared" si="37"/>
        <v>74049.279999999999</v>
      </c>
      <c r="I58" s="78"/>
      <c r="J58" s="89">
        <v>6</v>
      </c>
      <c r="K58" s="86">
        <v>1500</v>
      </c>
      <c r="L58" s="137">
        <v>250</v>
      </c>
      <c r="M58" s="91">
        <v>7</v>
      </c>
      <c r="N58" s="86">
        <f t="shared" si="38"/>
        <v>1489.3457943925234</v>
      </c>
      <c r="O58" s="90">
        <f t="shared" si="39"/>
        <v>212.76368491321765</v>
      </c>
      <c r="P58" s="235">
        <f t="shared" si="40"/>
        <v>1</v>
      </c>
      <c r="Q58" s="93">
        <f t="shared" si="41"/>
        <v>-37.236315086782355</v>
      </c>
      <c r="R58" s="95">
        <f t="shared" si="36"/>
        <v>0.8510547396528706</v>
      </c>
      <c r="S58" s="620"/>
      <c r="T58" s="236">
        <v>0.22569444444444445</v>
      </c>
      <c r="U58" s="236">
        <v>0.3</v>
      </c>
      <c r="V58" s="78">
        <v>8</v>
      </c>
      <c r="W58" s="88">
        <f>(U58-T58)*24*60</f>
        <v>106.99999999999999</v>
      </c>
      <c r="X58" s="99"/>
      <c r="Y58" s="99"/>
      <c r="Z58" s="100"/>
      <c r="AA58" s="100"/>
      <c r="AB58" s="636"/>
      <c r="AC58" s="637"/>
      <c r="AD58" s="359"/>
      <c r="AE58" s="359"/>
      <c r="AF58" s="92">
        <f t="shared" si="6"/>
        <v>-10.65420560747657</v>
      </c>
      <c r="AG58" s="95">
        <f t="shared" si="7"/>
        <v>0.99289719626168227</v>
      </c>
      <c r="AH58" s="620"/>
    </row>
    <row r="59" spans="1:34" ht="19.350000000000001" customHeight="1">
      <c r="A59" s="635"/>
      <c r="B59" s="152" t="s">
        <v>388</v>
      </c>
      <c r="C59" s="237"/>
      <c r="D59" s="83" t="s">
        <v>154</v>
      </c>
      <c r="E59" s="84"/>
      <c r="F59" s="85">
        <v>28</v>
      </c>
      <c r="G59" s="200">
        <v>2704</v>
      </c>
      <c r="H59" s="87">
        <f t="shared" si="37"/>
        <v>75712</v>
      </c>
      <c r="I59" s="78"/>
      <c r="J59" s="89">
        <v>6</v>
      </c>
      <c r="K59" s="86">
        <v>1500</v>
      </c>
      <c r="L59" s="137">
        <v>250</v>
      </c>
      <c r="M59" s="91">
        <v>7</v>
      </c>
      <c r="N59" s="86">
        <f t="shared" si="38"/>
        <v>1448.5714285714284</v>
      </c>
      <c r="O59" s="90">
        <f t="shared" si="39"/>
        <v>206.93877551020407</v>
      </c>
      <c r="P59" s="235">
        <f t="shared" si="40"/>
        <v>1</v>
      </c>
      <c r="Q59" s="93">
        <f t="shared" si="41"/>
        <v>-43.061224489795933</v>
      </c>
      <c r="R59" s="95">
        <f t="shared" si="36"/>
        <v>0.82775510204081626</v>
      </c>
      <c r="S59" s="620"/>
      <c r="T59" s="236">
        <v>0.30555555555555552</v>
      </c>
      <c r="U59" s="236">
        <v>0.3833333333333333</v>
      </c>
      <c r="V59" s="208">
        <v>8</v>
      </c>
      <c r="W59" s="88">
        <f>(U59-T59)*24*60</f>
        <v>112</v>
      </c>
      <c r="X59" s="99"/>
      <c r="Y59" s="99"/>
      <c r="Z59" s="100"/>
      <c r="AA59" s="100"/>
      <c r="AB59" s="601"/>
      <c r="AC59" s="601"/>
      <c r="AD59" s="359"/>
      <c r="AE59" s="359"/>
      <c r="AF59" s="92">
        <f t="shared" si="6"/>
        <v>-51.428571428571558</v>
      </c>
      <c r="AG59" s="95">
        <f t="shared" si="7"/>
        <v>0.96571428571428564</v>
      </c>
      <c r="AH59" s="620"/>
    </row>
    <row r="60" spans="1:34" ht="19.350000000000001" customHeight="1">
      <c r="A60" s="635"/>
      <c r="B60" s="152" t="s">
        <v>390</v>
      </c>
      <c r="C60" s="237"/>
      <c r="D60" s="83" t="s">
        <v>149</v>
      </c>
      <c r="E60" s="84"/>
      <c r="F60" s="85">
        <v>10.09</v>
      </c>
      <c r="G60" s="200">
        <v>3171.2999999999997</v>
      </c>
      <c r="H60" s="87">
        <f t="shared" si="37"/>
        <v>31998.416999999998</v>
      </c>
      <c r="I60" s="78"/>
      <c r="J60" s="239">
        <v>6</v>
      </c>
      <c r="K60" s="108">
        <v>1500</v>
      </c>
      <c r="L60" s="137">
        <v>250</v>
      </c>
      <c r="M60" s="110">
        <v>6</v>
      </c>
      <c r="N60" s="86">
        <f t="shared" si="38"/>
        <v>1399.1029411764705</v>
      </c>
      <c r="O60" s="90">
        <f t="shared" si="39"/>
        <v>233.18382352941174</v>
      </c>
      <c r="P60" s="235">
        <f t="shared" si="40"/>
        <v>0</v>
      </c>
      <c r="Q60" s="93">
        <f t="shared" si="41"/>
        <v>-16.81617647058826</v>
      </c>
      <c r="R60" s="95">
        <f t="shared" si="36"/>
        <v>0.932735294117647</v>
      </c>
      <c r="S60" s="620"/>
      <c r="T60" s="236">
        <v>0.40416666666666662</v>
      </c>
      <c r="U60" s="236">
        <v>0.49861111111111106</v>
      </c>
      <c r="V60" s="208">
        <v>30</v>
      </c>
      <c r="W60" s="88">
        <f>(U60-T60)*24*60</f>
        <v>136</v>
      </c>
      <c r="X60" s="99">
        <v>0.38680555555555557</v>
      </c>
      <c r="Y60" s="99">
        <v>0.40138888888888885</v>
      </c>
      <c r="Z60" s="100"/>
      <c r="AA60" s="100"/>
      <c r="AB60" s="601"/>
      <c r="AC60" s="601"/>
      <c r="AD60" s="359">
        <v>1</v>
      </c>
      <c r="AE60" s="359"/>
      <c r="AF60" s="92">
        <f t="shared" si="6"/>
        <v>-100.89705882352951</v>
      </c>
      <c r="AG60" s="181">
        <f t="shared" si="7"/>
        <v>0.932735294117647</v>
      </c>
      <c r="AH60" s="620"/>
    </row>
    <row r="61" spans="1:34" ht="19.350000000000001" customHeight="1">
      <c r="A61" s="635"/>
      <c r="B61" s="152" t="s">
        <v>390</v>
      </c>
      <c r="C61" s="237"/>
      <c r="D61" s="83" t="s">
        <v>149</v>
      </c>
      <c r="E61" s="84"/>
      <c r="F61" s="85">
        <v>10.09</v>
      </c>
      <c r="G61" s="200">
        <v>1902.78</v>
      </c>
      <c r="H61" s="87">
        <f t="shared" si="37"/>
        <v>19199.050199999998</v>
      </c>
      <c r="I61" s="78"/>
      <c r="J61" s="89">
        <v>6</v>
      </c>
      <c r="K61" s="86">
        <v>1500</v>
      </c>
      <c r="L61" s="137">
        <v>250</v>
      </c>
      <c r="M61" s="110">
        <v>6</v>
      </c>
      <c r="N61" s="86">
        <f t="shared" si="38"/>
        <v>1427.0849999999996</v>
      </c>
      <c r="O61" s="90">
        <f t="shared" si="39"/>
        <v>237.84749999999994</v>
      </c>
      <c r="P61" s="235">
        <f t="shared" si="40"/>
        <v>0</v>
      </c>
      <c r="Q61" s="93">
        <f t="shared" si="41"/>
        <v>-12.15250000000006</v>
      </c>
      <c r="R61" s="95">
        <f t="shared" si="36"/>
        <v>0.95138999999999974</v>
      </c>
      <c r="S61" s="620"/>
      <c r="T61" s="236">
        <v>0.51944444444444438</v>
      </c>
      <c r="U61" s="236">
        <v>0.57499999999999996</v>
      </c>
      <c r="V61" s="208">
        <v>30</v>
      </c>
      <c r="W61" s="88">
        <f>(U61-T61)*24*60</f>
        <v>80.000000000000028</v>
      </c>
      <c r="X61" s="99">
        <v>0.50208333333333333</v>
      </c>
      <c r="Y61" s="99">
        <v>0.51666666666666672</v>
      </c>
      <c r="Z61" s="100"/>
      <c r="AA61" s="100"/>
      <c r="AB61" s="601"/>
      <c r="AC61" s="601"/>
      <c r="AD61" s="359"/>
      <c r="AE61" s="359"/>
      <c r="AF61" s="92">
        <f t="shared" si="6"/>
        <v>-72.915000000000418</v>
      </c>
      <c r="AG61" s="181">
        <f t="shared" si="7"/>
        <v>0.95138999999999974</v>
      </c>
      <c r="AH61" s="620"/>
    </row>
    <row r="62" spans="1:34" ht="19.350000000000001" customHeight="1">
      <c r="A62" s="635"/>
      <c r="B62" s="152">
        <v>0</v>
      </c>
      <c r="C62" s="237"/>
      <c r="D62" s="83"/>
      <c r="E62" s="84"/>
      <c r="F62" s="85" t="s">
        <v>391</v>
      </c>
      <c r="G62" s="200"/>
      <c r="H62" s="87">
        <f t="shared" si="37"/>
        <v>0</v>
      </c>
      <c r="I62" s="78"/>
      <c r="J62" s="239"/>
      <c r="K62" s="108"/>
      <c r="L62" s="137"/>
      <c r="M62" s="110"/>
      <c r="N62" s="86"/>
      <c r="O62" s="90"/>
      <c r="P62" s="235"/>
      <c r="Q62" s="93"/>
      <c r="R62" s="95"/>
      <c r="S62" s="620"/>
      <c r="T62" s="236"/>
      <c r="U62" s="236"/>
      <c r="V62" s="208"/>
      <c r="W62" s="88"/>
      <c r="X62" s="99"/>
      <c r="Y62" s="99"/>
      <c r="Z62" s="100"/>
      <c r="AA62" s="100"/>
      <c r="AB62" s="601"/>
      <c r="AC62" s="601"/>
      <c r="AD62" s="359"/>
      <c r="AE62" s="359"/>
      <c r="AF62" s="92">
        <f t="shared" si="6"/>
        <v>0</v>
      </c>
      <c r="AG62" s="181" t="e">
        <f t="shared" si="7"/>
        <v>#DIV/0!</v>
      </c>
      <c r="AH62" s="620"/>
    </row>
    <row r="63" spans="1:34" ht="19.350000000000001" customHeight="1">
      <c r="A63" s="635"/>
      <c r="B63" s="152">
        <v>0</v>
      </c>
      <c r="C63" s="237"/>
      <c r="D63" s="83"/>
      <c r="E63" s="84"/>
      <c r="F63" s="85" t="s">
        <v>391</v>
      </c>
      <c r="G63" s="200"/>
      <c r="H63" s="87">
        <f t="shared" si="37"/>
        <v>0</v>
      </c>
      <c r="I63" s="78"/>
      <c r="J63" s="89"/>
      <c r="K63" s="86"/>
      <c r="L63" s="137"/>
      <c r="M63" s="110"/>
      <c r="N63" s="86"/>
      <c r="O63" s="90"/>
      <c r="P63" s="235"/>
      <c r="Q63" s="93"/>
      <c r="R63" s="95"/>
      <c r="S63" s="620"/>
      <c r="T63" s="236"/>
      <c r="U63" s="236"/>
      <c r="V63" s="208"/>
      <c r="W63" s="88"/>
      <c r="X63" s="99"/>
      <c r="Y63" s="99"/>
      <c r="Z63" s="100"/>
      <c r="AA63" s="100"/>
      <c r="AB63" s="601"/>
      <c r="AC63" s="601"/>
      <c r="AD63" s="359"/>
      <c r="AE63" s="359"/>
      <c r="AF63" s="92">
        <f t="shared" si="6"/>
        <v>0</v>
      </c>
      <c r="AG63" s="181" t="e">
        <f t="shared" si="7"/>
        <v>#DIV/0!</v>
      </c>
      <c r="AH63" s="620"/>
    </row>
    <row r="64" spans="1:34" ht="19.350000000000001" customHeight="1">
      <c r="A64" s="635"/>
      <c r="B64" s="152">
        <v>0</v>
      </c>
      <c r="C64" s="237"/>
      <c r="D64" s="83"/>
      <c r="E64" s="84"/>
      <c r="F64" s="85" t="s">
        <v>391</v>
      </c>
      <c r="G64" s="200"/>
      <c r="H64" s="87">
        <f t="shared" si="37"/>
        <v>0</v>
      </c>
      <c r="I64" s="78"/>
      <c r="J64" s="239"/>
      <c r="K64" s="108"/>
      <c r="L64" s="137"/>
      <c r="M64" s="110"/>
      <c r="N64" s="86"/>
      <c r="O64" s="90"/>
      <c r="P64" s="235"/>
      <c r="Q64" s="93"/>
      <c r="R64" s="95"/>
      <c r="S64" s="620"/>
      <c r="T64" s="236"/>
      <c r="U64" s="236"/>
      <c r="V64" s="208"/>
      <c r="W64" s="88"/>
      <c r="X64" s="78"/>
      <c r="Y64" s="78"/>
      <c r="Z64" s="100"/>
      <c r="AA64" s="100"/>
      <c r="AB64" s="601"/>
      <c r="AC64" s="601"/>
      <c r="AD64" s="359"/>
      <c r="AE64" s="359"/>
      <c r="AF64" s="92">
        <f t="shared" si="6"/>
        <v>0</v>
      </c>
      <c r="AG64" s="181" t="e">
        <f t="shared" si="7"/>
        <v>#DIV/0!</v>
      </c>
      <c r="AH64" s="620"/>
    </row>
    <row r="65" spans="1:34" ht="19.350000000000001" customHeight="1">
      <c r="A65" s="635"/>
      <c r="B65" s="152">
        <v>0</v>
      </c>
      <c r="C65" s="237"/>
      <c r="D65" s="83"/>
      <c r="E65" s="84"/>
      <c r="F65" s="85" t="s">
        <v>391</v>
      </c>
      <c r="G65" s="200"/>
      <c r="H65" s="87">
        <f t="shared" si="37"/>
        <v>0</v>
      </c>
      <c r="I65" s="78"/>
      <c r="J65" s="239"/>
      <c r="K65" s="108"/>
      <c r="L65" s="137"/>
      <c r="M65" s="110"/>
      <c r="N65" s="108"/>
      <c r="O65" s="127"/>
      <c r="P65" s="92"/>
      <c r="Q65" s="93"/>
      <c r="R65" s="95"/>
      <c r="S65" s="620"/>
      <c r="T65" s="236"/>
      <c r="U65" s="236"/>
      <c r="V65" s="208"/>
      <c r="W65" s="88">
        <f t="shared" ref="W65:W69" si="42">(U65-T65)*24*60</f>
        <v>0</v>
      </c>
      <c r="X65" s="78"/>
      <c r="Y65" s="78"/>
      <c r="Z65" s="100"/>
      <c r="AA65" s="100"/>
      <c r="AB65" s="601"/>
      <c r="AC65" s="601"/>
      <c r="AD65" s="359"/>
      <c r="AE65" s="359"/>
      <c r="AF65" s="92">
        <f t="shared" si="6"/>
        <v>0</v>
      </c>
      <c r="AG65" s="181" t="e">
        <f t="shared" si="7"/>
        <v>#DIV/0!</v>
      </c>
      <c r="AH65" s="620"/>
    </row>
    <row r="66" spans="1:34" ht="19.350000000000001" customHeight="1">
      <c r="A66" s="635"/>
      <c r="B66" s="152">
        <v>0</v>
      </c>
      <c r="C66" s="237"/>
      <c r="D66" s="83"/>
      <c r="E66" s="84"/>
      <c r="F66" s="85" t="s">
        <v>391</v>
      </c>
      <c r="G66" s="200"/>
      <c r="H66" s="87">
        <f t="shared" si="37"/>
        <v>0</v>
      </c>
      <c r="I66" s="78"/>
      <c r="J66" s="239"/>
      <c r="K66" s="108"/>
      <c r="L66" s="137"/>
      <c r="M66" s="110"/>
      <c r="N66" s="108"/>
      <c r="O66" s="127"/>
      <c r="P66" s="92"/>
      <c r="Q66" s="93"/>
      <c r="R66" s="95"/>
      <c r="S66" s="620"/>
      <c r="T66" s="236"/>
      <c r="U66" s="236"/>
      <c r="V66" s="208"/>
      <c r="W66" s="88">
        <f t="shared" si="42"/>
        <v>0</v>
      </c>
      <c r="X66" s="78"/>
      <c r="Y66" s="78"/>
      <c r="Z66" s="100"/>
      <c r="AA66" s="100"/>
      <c r="AB66" s="601"/>
      <c r="AC66" s="601"/>
      <c r="AD66" s="359"/>
      <c r="AE66" s="359"/>
      <c r="AF66" s="92">
        <f t="shared" si="6"/>
        <v>0</v>
      </c>
      <c r="AG66" s="181" t="e">
        <f t="shared" si="7"/>
        <v>#DIV/0!</v>
      </c>
      <c r="AH66" s="620"/>
    </row>
    <row r="67" spans="1:34" ht="19.350000000000001" customHeight="1">
      <c r="A67" s="635"/>
      <c r="B67" s="152">
        <v>0</v>
      </c>
      <c r="C67" s="237"/>
      <c r="D67" s="83"/>
      <c r="E67" s="84"/>
      <c r="F67" s="85" t="s">
        <v>391</v>
      </c>
      <c r="G67" s="200"/>
      <c r="H67" s="87">
        <f>F67*G67</f>
        <v>0</v>
      </c>
      <c r="I67" s="78"/>
      <c r="J67" s="239"/>
      <c r="K67" s="108"/>
      <c r="L67" s="137"/>
      <c r="M67" s="110"/>
      <c r="N67" s="108"/>
      <c r="O67" s="127"/>
      <c r="P67" s="92"/>
      <c r="Q67" s="93"/>
      <c r="R67" s="95"/>
      <c r="S67" s="620"/>
      <c r="T67" s="236"/>
      <c r="U67" s="236"/>
      <c r="V67" s="208"/>
      <c r="W67" s="88">
        <f t="shared" si="42"/>
        <v>0</v>
      </c>
      <c r="X67" s="78"/>
      <c r="Y67" s="78"/>
      <c r="Z67" s="100"/>
      <c r="AA67" s="100"/>
      <c r="AB67" s="601"/>
      <c r="AC67" s="601"/>
      <c r="AD67" s="359"/>
      <c r="AE67" s="359"/>
      <c r="AF67" s="92">
        <f t="shared" si="6"/>
        <v>0</v>
      </c>
      <c r="AG67" s="181" t="e">
        <f t="shared" si="7"/>
        <v>#DIV/0!</v>
      </c>
      <c r="AH67" s="620"/>
    </row>
    <row r="68" spans="1:34" ht="19.350000000000001" customHeight="1">
      <c r="A68" s="635"/>
      <c r="B68" s="78">
        <v>0</v>
      </c>
      <c r="C68" s="237"/>
      <c r="D68" s="83"/>
      <c r="E68" s="84"/>
      <c r="F68" s="199" t="s">
        <v>391</v>
      </c>
      <c r="G68" s="200"/>
      <c r="H68" s="87">
        <f>F68*G68</f>
        <v>0</v>
      </c>
      <c r="I68" s="78"/>
      <c r="J68" s="239"/>
      <c r="K68" s="108"/>
      <c r="L68" s="137"/>
      <c r="M68" s="110"/>
      <c r="N68" s="108"/>
      <c r="O68" s="127"/>
      <c r="P68" s="92"/>
      <c r="Q68" s="93"/>
      <c r="R68" s="95"/>
      <c r="S68" s="620"/>
      <c r="T68" s="236"/>
      <c r="U68" s="236"/>
      <c r="V68" s="208"/>
      <c r="W68" s="88">
        <f t="shared" si="42"/>
        <v>0</v>
      </c>
      <c r="X68" s="78"/>
      <c r="Y68" s="78"/>
      <c r="Z68" s="100"/>
      <c r="AA68" s="100"/>
      <c r="AB68" s="601"/>
      <c r="AC68" s="601"/>
      <c r="AD68" s="359"/>
      <c r="AE68" s="359"/>
      <c r="AF68" s="92"/>
      <c r="AG68" s="95"/>
      <c r="AH68" s="620"/>
    </row>
    <row r="69" spans="1:34" ht="19.350000000000001" customHeight="1">
      <c r="A69" s="635"/>
      <c r="B69" s="240">
        <v>0</v>
      </c>
      <c r="C69" s="12" t="s">
        <v>155</v>
      </c>
      <c r="D69" s="602" t="s">
        <v>75</v>
      </c>
      <c r="E69" s="602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3">AVERAGE(M57:M68)</f>
        <v>6.6</v>
      </c>
      <c r="N69" s="120">
        <f t="shared" si="43"/>
        <v>1423.2106432176947</v>
      </c>
      <c r="O69" s="123">
        <f t="shared" si="43"/>
        <v>216.77384398908242</v>
      </c>
      <c r="P69" s="92">
        <f>M69-J69</f>
        <v>0.59999999999999964</v>
      </c>
      <c r="Q69" s="93">
        <f>N69-K69</f>
        <v>-76.789356782305276</v>
      </c>
      <c r="R69" s="245">
        <f t="shared" ref="R69:R70" si="44">O69/L69</f>
        <v>0.86709537595632968</v>
      </c>
      <c r="S69" s="620"/>
      <c r="T69" s="207"/>
      <c r="U69" s="207"/>
      <c r="V69" s="86"/>
      <c r="W69" s="88">
        <f t="shared" si="42"/>
        <v>0</v>
      </c>
      <c r="X69" s="90"/>
      <c r="Y69" s="90"/>
      <c r="Z69" s="163">
        <f>SUM(Z57:Z68)</f>
        <v>0</v>
      </c>
      <c r="AA69" s="163">
        <f>SUM(AA57:AA68)</f>
        <v>0</v>
      </c>
      <c r="AB69" s="601"/>
      <c r="AC69" s="601"/>
      <c r="AD69" s="164">
        <f>SUM(AD57:AD68)</f>
        <v>1</v>
      </c>
      <c r="AE69" s="164">
        <f>SUM(AE57:AE68)</f>
        <v>0</v>
      </c>
      <c r="AF69" s="92">
        <f t="shared" si="6"/>
        <v>-76.789356782305276</v>
      </c>
      <c r="AG69" s="95">
        <f t="shared" si="7"/>
        <v>0.9488070954784632</v>
      </c>
      <c r="AH69" s="620"/>
    </row>
    <row r="70" spans="1:34" ht="19.350000000000001" customHeight="1">
      <c r="A70" s="632" t="s">
        <v>156</v>
      </c>
      <c r="B70" s="78" t="s">
        <v>387</v>
      </c>
      <c r="C70" s="152"/>
      <c r="D70" s="83" t="s">
        <v>157</v>
      </c>
      <c r="E70" s="84"/>
      <c r="F70" s="85">
        <v>62.13</v>
      </c>
      <c r="G70" s="86">
        <v>558</v>
      </c>
      <c r="H70" s="87">
        <f>F70*G70</f>
        <v>34668.54</v>
      </c>
      <c r="I70" s="78"/>
      <c r="J70" s="89">
        <v>14</v>
      </c>
      <c r="K70" s="86">
        <v>1500</v>
      </c>
      <c r="L70" s="90">
        <v>107.14285714285714</v>
      </c>
      <c r="M70" s="91">
        <v>12</v>
      </c>
      <c r="N70" s="86">
        <f t="shared" ref="N70:N75" si="45">G70/W70*60</f>
        <v>1116.0000000000011</v>
      </c>
      <c r="O70" s="90">
        <f t="shared" ref="O70:O75" si="46">N70/M70</f>
        <v>93.000000000000099</v>
      </c>
      <c r="P70" s="92">
        <f t="shared" ref="P70:P75" si="47">M70-J70</f>
        <v>-2</v>
      </c>
      <c r="Q70" s="93">
        <f t="shared" ref="Q70" si="48">O70-L70</f>
        <v>-14.142857142857039</v>
      </c>
      <c r="R70" s="95">
        <f t="shared" si="44"/>
        <v>0.86800000000000099</v>
      </c>
      <c r="S70" s="620">
        <f>R82</f>
        <v>0.90462733952378194</v>
      </c>
      <c r="T70" s="96">
        <v>0.29166666666666669</v>
      </c>
      <c r="U70" s="96">
        <v>0.3125</v>
      </c>
      <c r="V70" s="78">
        <v>5</v>
      </c>
      <c r="W70" s="88">
        <f>(U70-T70)*24*60</f>
        <v>29.999999999999972</v>
      </c>
      <c r="X70" s="78"/>
      <c r="Y70" s="78"/>
      <c r="Z70" s="100"/>
      <c r="AA70" s="100"/>
      <c r="AB70" s="601"/>
      <c r="AC70" s="601"/>
      <c r="AD70" s="359"/>
      <c r="AE70" s="359"/>
      <c r="AF70" s="92">
        <f t="shared" si="6"/>
        <v>-383.99999999999886</v>
      </c>
      <c r="AG70" s="95">
        <f t="shared" si="7"/>
        <v>0.74400000000000077</v>
      </c>
      <c r="AH70" s="620">
        <f>AG82</f>
        <v>0.86445427395621766</v>
      </c>
    </row>
    <row r="71" spans="1:34" ht="19.350000000000001" customHeight="1">
      <c r="A71" s="632"/>
      <c r="B71" s="78" t="s">
        <v>386</v>
      </c>
      <c r="C71" s="82"/>
      <c r="D71" s="246" t="s">
        <v>158</v>
      </c>
      <c r="E71" s="84"/>
      <c r="F71" s="85">
        <v>47.65</v>
      </c>
      <c r="G71" s="86">
        <v>2217.6</v>
      </c>
      <c r="H71" s="87">
        <f>F71*G71</f>
        <v>105668.64</v>
      </c>
      <c r="I71" s="78"/>
      <c r="J71" s="89">
        <v>18</v>
      </c>
      <c r="K71" s="247">
        <v>1440</v>
      </c>
      <c r="L71" s="90">
        <v>80</v>
      </c>
      <c r="M71" s="189">
        <v>18</v>
      </c>
      <c r="N71" s="86">
        <f t="shared" si="45"/>
        <v>1291.805825242719</v>
      </c>
      <c r="O71" s="90">
        <f t="shared" si="46"/>
        <v>71.766990291262175</v>
      </c>
      <c r="P71" s="92">
        <f t="shared" si="47"/>
        <v>0</v>
      </c>
      <c r="Q71" s="93">
        <f>O71-L71</f>
        <v>-8.2330097087378249</v>
      </c>
      <c r="R71" s="95">
        <f>O71/L71</f>
        <v>0.89708737864077714</v>
      </c>
      <c r="S71" s="620"/>
      <c r="T71" s="96">
        <v>0.31805555555555554</v>
      </c>
      <c r="U71" s="96">
        <v>0.38958333333333328</v>
      </c>
      <c r="V71" s="78">
        <v>8</v>
      </c>
      <c r="W71" s="88">
        <f t="shared" ref="W71:W81" si="49">(U71-T71)*24*60</f>
        <v>102.99999999999996</v>
      </c>
      <c r="X71" s="99"/>
      <c r="Y71" s="99"/>
      <c r="Z71" s="100"/>
      <c r="AA71" s="100"/>
      <c r="AB71" s="601"/>
      <c r="AC71" s="601"/>
      <c r="AD71" s="359"/>
      <c r="AE71" s="359"/>
      <c r="AF71" s="92">
        <f>N71-K71</f>
        <v>-148.19417475728096</v>
      </c>
      <c r="AG71" s="95">
        <f>N71/K71</f>
        <v>0.89708737864077714</v>
      </c>
      <c r="AH71" s="620"/>
    </row>
    <row r="72" spans="1:34" ht="19.350000000000001" customHeight="1">
      <c r="A72" s="632"/>
      <c r="B72" s="78" t="s">
        <v>386</v>
      </c>
      <c r="C72" s="115"/>
      <c r="D72" s="246" t="s">
        <v>160</v>
      </c>
      <c r="E72" s="84"/>
      <c r="F72" s="85">
        <v>53.76</v>
      </c>
      <c r="G72" s="104">
        <v>2257.2000000000003</v>
      </c>
      <c r="H72" s="87">
        <f t="shared" ref="H72:H80" si="50">F72*G72</f>
        <v>121347.07200000001</v>
      </c>
      <c r="I72" s="78"/>
      <c r="J72" s="138">
        <v>16</v>
      </c>
      <c r="K72" s="104">
        <v>1440</v>
      </c>
      <c r="L72" s="137">
        <v>90</v>
      </c>
      <c r="M72" s="91">
        <v>15</v>
      </c>
      <c r="N72" s="86">
        <f t="shared" si="45"/>
        <v>1289.8285714285712</v>
      </c>
      <c r="O72" s="90">
        <f t="shared" si="46"/>
        <v>85.988571428571419</v>
      </c>
      <c r="P72" s="92">
        <f t="shared" si="47"/>
        <v>-1</v>
      </c>
      <c r="Q72" s="93">
        <f>O72-L72</f>
        <v>-4.0114285714285813</v>
      </c>
      <c r="R72" s="95">
        <f>O72/L72</f>
        <v>0.95542857142857129</v>
      </c>
      <c r="S72" s="620"/>
      <c r="T72" s="96">
        <v>0.40486111111111106</v>
      </c>
      <c r="U72" s="96">
        <v>0.47777777777777775</v>
      </c>
      <c r="V72" s="78">
        <v>22</v>
      </c>
      <c r="W72" s="88">
        <f t="shared" si="49"/>
        <v>105.00000000000003</v>
      </c>
      <c r="X72" s="99">
        <v>0.39305555555555555</v>
      </c>
      <c r="Y72" s="99">
        <v>0.40208333333333335</v>
      </c>
      <c r="Z72" s="100"/>
      <c r="AA72" s="100"/>
      <c r="AB72" s="601"/>
      <c r="AC72" s="601"/>
      <c r="AD72" s="359"/>
      <c r="AE72" s="359"/>
      <c r="AF72" s="92">
        <f>N72-K72</f>
        <v>-150.17142857142881</v>
      </c>
      <c r="AG72" s="95">
        <f>N72/K72</f>
        <v>0.89571428571428557</v>
      </c>
      <c r="AH72" s="620"/>
    </row>
    <row r="73" spans="1:34" ht="19.350000000000001" customHeight="1">
      <c r="A73" s="632"/>
      <c r="B73" s="78" t="s">
        <v>390</v>
      </c>
      <c r="C73" s="248"/>
      <c r="D73" s="249" t="s">
        <v>177</v>
      </c>
      <c r="E73" s="250"/>
      <c r="F73" s="85">
        <v>56.43</v>
      </c>
      <c r="G73" s="104">
        <v>1042</v>
      </c>
      <c r="H73" s="87">
        <f t="shared" si="50"/>
        <v>58800.06</v>
      </c>
      <c r="I73" s="359"/>
      <c r="J73" s="251">
        <v>18</v>
      </c>
      <c r="K73" s="252">
        <v>1500</v>
      </c>
      <c r="L73" s="137">
        <v>83.333333333333329</v>
      </c>
      <c r="M73" s="189">
        <v>18</v>
      </c>
      <c r="N73" s="86">
        <f t="shared" si="45"/>
        <v>1330.2127659574471</v>
      </c>
      <c r="O73" s="90">
        <f t="shared" si="46"/>
        <v>73.900709219858172</v>
      </c>
      <c r="P73" s="92">
        <f t="shared" si="47"/>
        <v>0</v>
      </c>
      <c r="Q73" s="93">
        <f>O73-L73</f>
        <v>-9.4326241134751569</v>
      </c>
      <c r="R73" s="95">
        <f>O73/L73</f>
        <v>0.88680851063829813</v>
      </c>
      <c r="S73" s="620"/>
      <c r="T73" s="96">
        <v>0.51736111111111105</v>
      </c>
      <c r="U73" s="96">
        <v>0.54999999999999993</v>
      </c>
      <c r="V73" s="78">
        <v>5</v>
      </c>
      <c r="W73" s="88">
        <f t="shared" si="49"/>
        <v>46.999999999999993</v>
      </c>
      <c r="X73" s="253"/>
      <c r="Y73" s="253"/>
      <c r="Z73" s="185"/>
      <c r="AA73" s="185"/>
      <c r="AB73" s="601"/>
      <c r="AC73" s="601"/>
      <c r="AD73" s="359"/>
      <c r="AE73" s="359"/>
      <c r="AF73" s="92">
        <f>N73-K73</f>
        <v>-169.78723404255288</v>
      </c>
      <c r="AG73" s="95">
        <f>N73/K73</f>
        <v>0.88680851063829813</v>
      </c>
      <c r="AH73" s="620"/>
    </row>
    <row r="74" spans="1:34" ht="19.350000000000001" customHeight="1">
      <c r="A74" s="632"/>
      <c r="B74" s="78" t="s">
        <v>386</v>
      </c>
      <c r="C74" s="248"/>
      <c r="D74" s="249" t="s">
        <v>161</v>
      </c>
      <c r="E74" s="250"/>
      <c r="F74" s="85">
        <v>47.51</v>
      </c>
      <c r="G74" s="247">
        <v>2172.8000000000002</v>
      </c>
      <c r="H74" s="87">
        <f t="shared" si="50"/>
        <v>103229.728</v>
      </c>
      <c r="I74" s="78"/>
      <c r="J74" s="89">
        <v>16</v>
      </c>
      <c r="K74" s="247">
        <v>1440</v>
      </c>
      <c r="L74" s="90">
        <v>90</v>
      </c>
      <c r="M74" s="91">
        <v>16</v>
      </c>
      <c r="N74" s="86">
        <f t="shared" si="45"/>
        <v>1290.7722772277234</v>
      </c>
      <c r="O74" s="90">
        <f t="shared" si="46"/>
        <v>80.673267326732713</v>
      </c>
      <c r="P74" s="92">
        <f t="shared" si="47"/>
        <v>0</v>
      </c>
      <c r="Q74" s="93">
        <f>O74-L74</f>
        <v>-9.3267326732672871</v>
      </c>
      <c r="R74" s="95">
        <f>O74/L74</f>
        <v>0.89636963696369676</v>
      </c>
      <c r="S74" s="620"/>
      <c r="T74" s="96">
        <v>0.55486111111111103</v>
      </c>
      <c r="U74" s="96">
        <v>0.62499999999999989</v>
      </c>
      <c r="V74" s="78">
        <v>7</v>
      </c>
      <c r="W74" s="88">
        <f t="shared" si="49"/>
        <v>100.99999999999996</v>
      </c>
      <c r="X74" s="253"/>
      <c r="Y74" s="253"/>
      <c r="Z74" s="185"/>
      <c r="AA74" s="185"/>
      <c r="AB74" s="601"/>
      <c r="AC74" s="601"/>
      <c r="AD74" s="359"/>
      <c r="AE74" s="359"/>
      <c r="AF74" s="92">
        <f>N74-K74</f>
        <v>-149.22772277227659</v>
      </c>
      <c r="AG74" s="95">
        <f>N74/K74</f>
        <v>0.89636963696369676</v>
      </c>
      <c r="AH74" s="620"/>
    </row>
    <row r="75" spans="1:34" ht="19.350000000000001" customHeight="1">
      <c r="A75" s="632"/>
      <c r="B75" s="78" t="s">
        <v>386</v>
      </c>
      <c r="C75" s="115"/>
      <c r="D75" s="246" t="s">
        <v>160</v>
      </c>
      <c r="E75" s="84"/>
      <c r="F75" s="85">
        <v>53.76</v>
      </c>
      <c r="G75" s="104">
        <v>250.8</v>
      </c>
      <c r="H75" s="87">
        <f t="shared" si="50"/>
        <v>13483.008</v>
      </c>
      <c r="I75" s="78"/>
      <c r="J75" s="138">
        <v>16</v>
      </c>
      <c r="K75" s="104">
        <v>1440</v>
      </c>
      <c r="L75" s="137">
        <v>90</v>
      </c>
      <c r="M75" s="91">
        <v>15</v>
      </c>
      <c r="N75" s="86">
        <f t="shared" si="45"/>
        <v>1254.0000000000045</v>
      </c>
      <c r="O75" s="90">
        <f t="shared" si="46"/>
        <v>83.600000000000307</v>
      </c>
      <c r="P75" s="92">
        <f t="shared" si="47"/>
        <v>-1</v>
      </c>
      <c r="Q75" s="93">
        <f>O75-L75</f>
        <v>-6.399999999999693</v>
      </c>
      <c r="R75" s="95">
        <f>O75/L75</f>
        <v>0.92888888888889232</v>
      </c>
      <c r="S75" s="620"/>
      <c r="T75" s="96">
        <v>0.64027777777777761</v>
      </c>
      <c r="U75" s="96">
        <v>0.64861111111111092</v>
      </c>
      <c r="V75" s="78">
        <v>22</v>
      </c>
      <c r="W75" s="88">
        <f t="shared" si="49"/>
        <v>11.999999999999957</v>
      </c>
      <c r="X75" s="253">
        <v>0.62847222222222221</v>
      </c>
      <c r="Y75" s="253">
        <v>0.63750000000000007</v>
      </c>
      <c r="Z75" s="185"/>
      <c r="AA75" s="185"/>
      <c r="AB75" s="601"/>
      <c r="AC75" s="601"/>
      <c r="AD75" s="359"/>
      <c r="AE75" s="359"/>
      <c r="AF75" s="92">
        <f>N75-K75</f>
        <v>-185.99999999999545</v>
      </c>
      <c r="AG75" s="95">
        <f>N75/K75</f>
        <v>0.87083333333333646</v>
      </c>
      <c r="AH75" s="620"/>
    </row>
    <row r="76" spans="1:34" ht="19.350000000000001" customHeight="1">
      <c r="A76" s="632"/>
      <c r="B76" s="78">
        <v>0</v>
      </c>
      <c r="C76" s="248"/>
      <c r="D76" s="249"/>
      <c r="E76" s="250"/>
      <c r="F76" s="85" t="s">
        <v>391</v>
      </c>
      <c r="G76" s="247"/>
      <c r="H76" s="87">
        <f t="shared" si="50"/>
        <v>0</v>
      </c>
      <c r="I76" s="78"/>
      <c r="J76" s="251"/>
      <c r="K76" s="252"/>
      <c r="L76" s="137"/>
      <c r="M76" s="189" t="s">
        <v>49</v>
      </c>
      <c r="N76" s="86"/>
      <c r="O76" s="90"/>
      <c r="P76" s="92"/>
      <c r="Q76" s="93"/>
      <c r="R76" s="95"/>
      <c r="S76" s="620"/>
      <c r="T76" s="96"/>
      <c r="U76" s="96"/>
      <c r="V76" s="78"/>
      <c r="W76" s="88"/>
      <c r="X76" s="253"/>
      <c r="Y76" s="253"/>
      <c r="Z76" s="185"/>
      <c r="AA76" s="185"/>
      <c r="AB76" s="601"/>
      <c r="AC76" s="601"/>
      <c r="AD76" s="359"/>
      <c r="AE76" s="359"/>
      <c r="AF76" s="92">
        <f t="shared" ref="AF76:AF80" si="51">N76-K76</f>
        <v>0</v>
      </c>
      <c r="AG76" s="95" t="e">
        <f t="shared" ref="AG76:AG80" si="52">N76/K76</f>
        <v>#DIV/0!</v>
      </c>
      <c r="AH76" s="620"/>
    </row>
    <row r="77" spans="1:34" ht="19.350000000000001" customHeight="1">
      <c r="A77" s="632"/>
      <c r="B77" s="78">
        <v>0</v>
      </c>
      <c r="C77" s="237"/>
      <c r="D77" s="249"/>
      <c r="E77" s="84"/>
      <c r="F77" s="85" t="s">
        <v>391</v>
      </c>
      <c r="G77" s="247"/>
      <c r="H77" s="87">
        <f t="shared" si="50"/>
        <v>0</v>
      </c>
      <c r="I77" s="359"/>
      <c r="J77" s="89"/>
      <c r="K77" s="247"/>
      <c r="L77" s="90"/>
      <c r="M77" s="189"/>
      <c r="N77" s="86"/>
      <c r="O77" s="90"/>
      <c r="P77" s="92"/>
      <c r="Q77" s="93"/>
      <c r="R77" s="95"/>
      <c r="S77" s="620"/>
      <c r="T77" s="96"/>
      <c r="U77" s="96"/>
      <c r="V77" s="78"/>
      <c r="W77" s="88"/>
      <c r="X77" s="253"/>
      <c r="Y77" s="253"/>
      <c r="Z77" s="185"/>
      <c r="AA77" s="185"/>
      <c r="AB77" s="601"/>
      <c r="AC77" s="601"/>
      <c r="AD77" s="359"/>
      <c r="AE77" s="359"/>
      <c r="AF77" s="92">
        <f t="shared" si="51"/>
        <v>0</v>
      </c>
      <c r="AG77" s="95" t="e">
        <f t="shared" si="52"/>
        <v>#DIV/0!</v>
      </c>
      <c r="AH77" s="620"/>
    </row>
    <row r="78" spans="1:34" ht="19.350000000000001" customHeight="1">
      <c r="A78" s="632"/>
      <c r="B78" s="78">
        <v>0</v>
      </c>
      <c r="C78" s="237"/>
      <c r="D78" s="83"/>
      <c r="E78" s="84"/>
      <c r="F78" s="85" t="s">
        <v>391</v>
      </c>
      <c r="G78" s="104"/>
      <c r="H78" s="87">
        <f t="shared" si="50"/>
        <v>0</v>
      </c>
      <c r="I78" s="359"/>
      <c r="J78" s="138"/>
      <c r="K78" s="104"/>
      <c r="L78" s="137"/>
      <c r="M78" s="189"/>
      <c r="N78" s="86"/>
      <c r="O78" s="90"/>
      <c r="P78" s="92"/>
      <c r="Q78" s="93"/>
      <c r="R78" s="95"/>
      <c r="S78" s="620"/>
      <c r="T78" s="96"/>
      <c r="U78" s="96"/>
      <c r="V78" s="78"/>
      <c r="W78" s="88"/>
      <c r="X78" s="253"/>
      <c r="Y78" s="253"/>
      <c r="Z78" s="185"/>
      <c r="AA78" s="185"/>
      <c r="AB78" s="601"/>
      <c r="AC78" s="601"/>
      <c r="AD78" s="359"/>
      <c r="AE78" s="359"/>
      <c r="AF78" s="92">
        <f t="shared" si="51"/>
        <v>0</v>
      </c>
      <c r="AG78" s="95" t="e">
        <f t="shared" si="52"/>
        <v>#DIV/0!</v>
      </c>
      <c r="AH78" s="620"/>
    </row>
    <row r="79" spans="1:34" ht="19.350000000000001" customHeight="1">
      <c r="A79" s="632"/>
      <c r="B79" s="78">
        <v>0</v>
      </c>
      <c r="C79" s="248"/>
      <c r="D79" s="249"/>
      <c r="E79" s="250"/>
      <c r="F79" s="85" t="s">
        <v>391</v>
      </c>
      <c r="G79" s="104"/>
      <c r="H79" s="87">
        <f t="shared" si="50"/>
        <v>0</v>
      </c>
      <c r="I79" s="359"/>
      <c r="J79" s="138"/>
      <c r="K79" s="104"/>
      <c r="L79" s="137"/>
      <c r="M79" s="189"/>
      <c r="N79" s="104"/>
      <c r="O79" s="254"/>
      <c r="P79" s="165"/>
      <c r="Q79" s="255"/>
      <c r="R79" s="166"/>
      <c r="S79" s="620"/>
      <c r="T79" s="96"/>
      <c r="U79" s="96"/>
      <c r="V79" s="78"/>
      <c r="W79" s="88">
        <f t="shared" si="49"/>
        <v>0</v>
      </c>
      <c r="X79" s="253"/>
      <c r="Y79" s="253"/>
      <c r="Z79" s="185"/>
      <c r="AA79" s="185"/>
      <c r="AB79" s="601"/>
      <c r="AC79" s="601"/>
      <c r="AD79" s="359"/>
      <c r="AE79" s="359"/>
      <c r="AF79" s="92">
        <f t="shared" si="51"/>
        <v>0</v>
      </c>
      <c r="AG79" s="95" t="e">
        <f t="shared" si="52"/>
        <v>#DIV/0!</v>
      </c>
      <c r="AH79" s="620"/>
    </row>
    <row r="80" spans="1:34" ht="19.350000000000001" customHeight="1">
      <c r="A80" s="632"/>
      <c r="B80" s="78">
        <v>0</v>
      </c>
      <c r="C80" s="237"/>
      <c r="D80" s="83"/>
      <c r="E80" s="84"/>
      <c r="F80" s="85"/>
      <c r="G80" s="104"/>
      <c r="H80" s="87">
        <f t="shared" si="50"/>
        <v>0</v>
      </c>
      <c r="I80" s="359"/>
      <c r="J80" s="138"/>
      <c r="K80" s="104"/>
      <c r="L80" s="137"/>
      <c r="M80" s="189"/>
      <c r="N80" s="104"/>
      <c r="O80" s="256"/>
      <c r="P80" s="100"/>
      <c r="Q80" s="139"/>
      <c r="R80" s="321"/>
      <c r="S80" s="620"/>
      <c r="T80" s="96"/>
      <c r="U80" s="96"/>
      <c r="V80" s="78"/>
      <c r="W80" s="88">
        <f t="shared" si="49"/>
        <v>0</v>
      </c>
      <c r="X80" s="253"/>
      <c r="Y80" s="253"/>
      <c r="Z80" s="185"/>
      <c r="AA80" s="185"/>
      <c r="AB80" s="601"/>
      <c r="AC80" s="601"/>
      <c r="AD80" s="359"/>
      <c r="AE80" s="359"/>
      <c r="AF80" s="92">
        <f t="shared" si="51"/>
        <v>0</v>
      </c>
      <c r="AG80" s="95" t="e">
        <f t="shared" si="52"/>
        <v>#DIV/0!</v>
      </c>
      <c r="AH80" s="620"/>
    </row>
    <row r="81" spans="1:34" ht="19.350000000000001" customHeight="1">
      <c r="A81" s="632"/>
      <c r="B81" s="78">
        <v>0</v>
      </c>
      <c r="C81" s="237"/>
      <c r="D81" s="83"/>
      <c r="E81" s="84"/>
      <c r="F81" s="199"/>
      <c r="G81" s="104"/>
      <c r="H81" s="135"/>
      <c r="I81" s="359"/>
      <c r="J81" s="138"/>
      <c r="K81" s="104"/>
      <c r="L81" s="137"/>
      <c r="M81" s="189"/>
      <c r="N81" s="104"/>
      <c r="O81" s="256"/>
      <c r="P81" s="100"/>
      <c r="Q81" s="139"/>
      <c r="R81" s="321"/>
      <c r="S81" s="620"/>
      <c r="T81" s="96"/>
      <c r="U81" s="96"/>
      <c r="V81" s="78"/>
      <c r="W81" s="88">
        <f t="shared" si="49"/>
        <v>0</v>
      </c>
      <c r="X81" s="253"/>
      <c r="Y81" s="253"/>
      <c r="Z81" s="185"/>
      <c r="AA81" s="185"/>
      <c r="AB81" s="601"/>
      <c r="AC81" s="601"/>
      <c r="AD81" s="359"/>
      <c r="AE81" s="359"/>
      <c r="AF81" s="92"/>
      <c r="AG81" s="186"/>
      <c r="AH81" s="620"/>
    </row>
    <row r="82" spans="1:34" ht="19.350000000000001" customHeight="1">
      <c r="A82" s="633"/>
      <c r="B82" s="240">
        <v>0</v>
      </c>
      <c r="C82" s="156" t="s">
        <v>32</v>
      </c>
      <c r="D82" s="602" t="s">
        <v>75</v>
      </c>
      <c r="E82" s="602"/>
      <c r="F82" s="258"/>
      <c r="G82" s="158"/>
      <c r="H82" s="159"/>
      <c r="I82" s="160"/>
      <c r="J82" s="158">
        <v>16.333333333333332</v>
      </c>
      <c r="K82" s="158">
        <v>1460</v>
      </c>
      <c r="L82" s="161">
        <v>90.079365079365061</v>
      </c>
      <c r="M82" s="158">
        <f t="shared" ref="M82:O82" si="53">AVERAGE(M70:M81)</f>
        <v>15.666666666666666</v>
      </c>
      <c r="N82" s="158">
        <f t="shared" si="53"/>
        <v>1262.1032399760777</v>
      </c>
      <c r="O82" s="259">
        <f t="shared" si="53"/>
        <v>81.488256377737486</v>
      </c>
      <c r="P82" s="175">
        <f>M82-J82</f>
        <v>-0.66666666666666607</v>
      </c>
      <c r="Q82" s="176">
        <f>N82-K82</f>
        <v>-197.8967600239223</v>
      </c>
      <c r="R82" s="245">
        <f>O82/L82</f>
        <v>0.90462733952378194</v>
      </c>
      <c r="S82" s="620"/>
      <c r="T82" s="96"/>
      <c r="U82" s="96"/>
      <c r="V82" s="78"/>
      <c r="W82" s="86"/>
      <c r="X82" s="90"/>
      <c r="Y82" s="90"/>
      <c r="Z82" s="163">
        <f>SUM(Z70:Z81)</f>
        <v>0</v>
      </c>
      <c r="AA82" s="163">
        <f>SUM(AA70:AA81)</f>
        <v>0</v>
      </c>
      <c r="AB82" s="601"/>
      <c r="AC82" s="601"/>
      <c r="AD82" s="164">
        <f>SUM(AD70:AD81)</f>
        <v>0</v>
      </c>
      <c r="AE82" s="164">
        <f>SUM(AE70:AE81)</f>
        <v>0</v>
      </c>
      <c r="AF82" s="92">
        <f>N82-K82</f>
        <v>-197.8967600239223</v>
      </c>
      <c r="AG82" s="95">
        <f>N82/K82</f>
        <v>0.86445427395621766</v>
      </c>
      <c r="AH82" s="620"/>
    </row>
    <row r="83" spans="1:34" ht="19.350000000000001" customHeight="1">
      <c r="A83" s="630" t="s">
        <v>162</v>
      </c>
      <c r="B83" s="167" t="s">
        <v>388</v>
      </c>
      <c r="C83" s="115"/>
      <c r="D83" s="260" t="s">
        <v>145</v>
      </c>
      <c r="E83" s="84"/>
      <c r="F83" s="199">
        <v>29.113149847094796</v>
      </c>
      <c r="G83" s="104">
        <v>2722</v>
      </c>
      <c r="H83" s="135">
        <f t="shared" ref="H83:H94" si="54">F83*G83</f>
        <v>79245.993883792034</v>
      </c>
      <c r="I83" s="359"/>
      <c r="J83" s="138">
        <v>19</v>
      </c>
      <c r="K83" s="104">
        <v>1500</v>
      </c>
      <c r="L83" s="137">
        <v>78.94736842105263</v>
      </c>
      <c r="M83" s="189">
        <v>18</v>
      </c>
      <c r="N83" s="104">
        <f t="shared" ref="N83:N85" si="55">G83/W83*60</f>
        <v>1317.096774193549</v>
      </c>
      <c r="O83" s="256">
        <f t="shared" ref="O83:O85" si="56">N83/M83</f>
        <v>73.172043010752716</v>
      </c>
      <c r="P83" s="100">
        <f t="shared" ref="P83:P85" si="57">M83-J83</f>
        <v>-1</v>
      </c>
      <c r="Q83" s="139">
        <f t="shared" ref="Q83:Q85" si="58">O83-L83</f>
        <v>-5.7753254102999136</v>
      </c>
      <c r="R83" s="261">
        <f t="shared" ref="R83:R85" si="59">O83/L83</f>
        <v>0.92684587813620112</v>
      </c>
      <c r="S83" s="620">
        <f>R95</f>
        <v>0.8047231046623059</v>
      </c>
      <c r="T83" s="96">
        <v>0.33333333333333331</v>
      </c>
      <c r="U83" s="96">
        <v>0.4194444444444444</v>
      </c>
      <c r="V83" s="78">
        <v>5</v>
      </c>
      <c r="W83" s="88">
        <f t="shared" ref="W83:W93" si="60">(U83-T83)*24*60</f>
        <v>123.99999999999996</v>
      </c>
      <c r="X83" s="99"/>
      <c r="Y83" s="99"/>
      <c r="Z83" s="100"/>
      <c r="AA83" s="100"/>
      <c r="AB83" s="601"/>
      <c r="AC83" s="601"/>
      <c r="AD83" s="359"/>
      <c r="AE83" s="359"/>
      <c r="AF83" s="92">
        <f t="shared" ref="AF83:AF173" si="61">N83-K83</f>
        <v>-182.90322580645102</v>
      </c>
      <c r="AG83" s="95">
        <f t="shared" ref="AG83:AG173" si="62">N83/K83</f>
        <v>0.87806451612903269</v>
      </c>
      <c r="AH83" s="620">
        <f>AG95</f>
        <v>0.79906660919259265</v>
      </c>
    </row>
    <row r="84" spans="1:34" ht="19.350000000000001" customHeight="1">
      <c r="A84" s="631"/>
      <c r="B84" s="167" t="s">
        <v>388</v>
      </c>
      <c r="C84" s="237"/>
      <c r="D84" s="262" t="s">
        <v>163</v>
      </c>
      <c r="E84" s="84"/>
      <c r="F84" s="199">
        <v>57.73</v>
      </c>
      <c r="G84" s="86">
        <v>569</v>
      </c>
      <c r="H84" s="135">
        <f t="shared" si="54"/>
        <v>32848.369999999995</v>
      </c>
      <c r="I84" s="78"/>
      <c r="J84" s="138">
        <v>20</v>
      </c>
      <c r="K84" s="104">
        <v>1385</v>
      </c>
      <c r="L84" s="137">
        <v>69.25</v>
      </c>
      <c r="M84" s="189">
        <v>20</v>
      </c>
      <c r="N84" s="104">
        <f t="shared" si="55"/>
        <v>1004.1176470588222</v>
      </c>
      <c r="O84" s="256">
        <f t="shared" si="56"/>
        <v>50.20588235294111</v>
      </c>
      <c r="P84" s="100">
        <f t="shared" si="57"/>
        <v>0</v>
      </c>
      <c r="Q84" s="139">
        <f t="shared" si="58"/>
        <v>-19.04411764705889</v>
      </c>
      <c r="R84" s="261">
        <f t="shared" si="59"/>
        <v>0.72499469101720015</v>
      </c>
      <c r="S84" s="620"/>
      <c r="T84" s="96">
        <v>0.43472222222222218</v>
      </c>
      <c r="U84" s="96">
        <v>0.45833333333333331</v>
      </c>
      <c r="V84" s="78">
        <v>22</v>
      </c>
      <c r="W84" s="88">
        <f t="shared" si="60"/>
        <v>34.000000000000043</v>
      </c>
      <c r="X84" s="99">
        <v>0.42291666666666666</v>
      </c>
      <c r="Y84" s="99">
        <v>0.43194444444444446</v>
      </c>
      <c r="Z84" s="100"/>
      <c r="AA84" s="100"/>
      <c r="AB84" s="601"/>
      <c r="AC84" s="601"/>
      <c r="AD84" s="359"/>
      <c r="AE84" s="359"/>
      <c r="AF84" s="92">
        <f t="shared" si="61"/>
        <v>-380.88235294117783</v>
      </c>
      <c r="AG84" s="95">
        <f t="shared" si="62"/>
        <v>0.72499469101720015</v>
      </c>
      <c r="AH84" s="620"/>
    </row>
    <row r="85" spans="1:34" ht="19.350000000000001" customHeight="1">
      <c r="A85" s="631"/>
      <c r="B85" s="167" t="s">
        <v>387</v>
      </c>
      <c r="C85" s="183"/>
      <c r="D85" s="262" t="s">
        <v>164</v>
      </c>
      <c r="E85" s="84"/>
      <c r="F85" s="199">
        <v>56.43</v>
      </c>
      <c r="G85" s="86">
        <v>909</v>
      </c>
      <c r="H85" s="135">
        <f t="shared" si="54"/>
        <v>51294.87</v>
      </c>
      <c r="I85" s="78"/>
      <c r="J85" s="138">
        <v>19</v>
      </c>
      <c r="K85" s="104">
        <v>1385</v>
      </c>
      <c r="L85" s="137">
        <v>72.89473684210526</v>
      </c>
      <c r="M85" s="189">
        <v>20</v>
      </c>
      <c r="N85" s="104">
        <f t="shared" si="55"/>
        <v>1090.7999999999988</v>
      </c>
      <c r="O85" s="256">
        <f t="shared" si="56"/>
        <v>54.539999999999942</v>
      </c>
      <c r="P85" s="100">
        <f t="shared" si="57"/>
        <v>1</v>
      </c>
      <c r="Q85" s="139">
        <f t="shared" si="58"/>
        <v>-18.354736842105318</v>
      </c>
      <c r="R85" s="261">
        <f t="shared" si="59"/>
        <v>0.74820216606498113</v>
      </c>
      <c r="S85" s="620"/>
      <c r="T85" s="96">
        <v>0.46388888888888885</v>
      </c>
      <c r="U85" s="96">
        <v>0.49861111111111112</v>
      </c>
      <c r="V85" s="78">
        <v>8</v>
      </c>
      <c r="W85" s="88">
        <f t="shared" si="60"/>
        <v>50.000000000000064</v>
      </c>
      <c r="X85" s="99"/>
      <c r="Y85" s="99"/>
      <c r="Z85" s="100"/>
      <c r="AA85" s="100"/>
      <c r="AB85" s="601"/>
      <c r="AC85" s="601"/>
      <c r="AD85" s="359">
        <v>1</v>
      </c>
      <c r="AE85" s="359"/>
      <c r="AF85" s="92">
        <f t="shared" si="61"/>
        <v>-294.20000000000118</v>
      </c>
      <c r="AG85" s="95">
        <f t="shared" si="62"/>
        <v>0.78758122743682224</v>
      </c>
      <c r="AH85" s="620"/>
    </row>
    <row r="86" spans="1:34" ht="19.350000000000001" customHeight="1">
      <c r="A86" s="631"/>
      <c r="B86" s="167">
        <v>0</v>
      </c>
      <c r="C86" s="152"/>
      <c r="D86" s="262"/>
      <c r="E86" s="84"/>
      <c r="F86" s="199" t="s">
        <v>391</v>
      </c>
      <c r="G86" s="86"/>
      <c r="H86" s="135">
        <f t="shared" si="54"/>
        <v>0</v>
      </c>
      <c r="I86" s="78"/>
      <c r="J86" s="138"/>
      <c r="K86" s="104"/>
      <c r="L86" s="137"/>
      <c r="M86" s="189"/>
      <c r="N86" s="104"/>
      <c r="O86" s="256"/>
      <c r="P86" s="100"/>
      <c r="Q86" s="139"/>
      <c r="R86" s="261"/>
      <c r="S86" s="620"/>
      <c r="T86" s="96"/>
      <c r="U86" s="96"/>
      <c r="V86" s="78"/>
      <c r="W86" s="88"/>
      <c r="X86" s="99"/>
      <c r="Y86" s="99"/>
      <c r="Z86" s="100"/>
      <c r="AA86" s="100"/>
      <c r="AB86" s="601"/>
      <c r="AC86" s="601"/>
      <c r="AD86" s="359"/>
      <c r="AE86" s="359"/>
      <c r="AF86" s="92">
        <f t="shared" si="61"/>
        <v>0</v>
      </c>
      <c r="AG86" s="95" t="e">
        <f t="shared" si="62"/>
        <v>#DIV/0!</v>
      </c>
      <c r="AH86" s="620"/>
    </row>
    <row r="87" spans="1:34" ht="19.350000000000001" customHeight="1">
      <c r="A87" s="631"/>
      <c r="B87" s="167">
        <v>0</v>
      </c>
      <c r="C87" s="152"/>
      <c r="D87" s="262"/>
      <c r="E87" s="84"/>
      <c r="F87" s="199" t="s">
        <v>391</v>
      </c>
      <c r="G87" s="86"/>
      <c r="H87" s="135">
        <f t="shared" si="54"/>
        <v>0</v>
      </c>
      <c r="I87" s="78"/>
      <c r="J87" s="138"/>
      <c r="K87" s="104"/>
      <c r="L87" s="137"/>
      <c r="M87" s="189"/>
      <c r="N87" s="104"/>
      <c r="O87" s="256"/>
      <c r="P87" s="100"/>
      <c r="Q87" s="139"/>
      <c r="R87" s="261"/>
      <c r="S87" s="620"/>
      <c r="T87" s="96"/>
      <c r="U87" s="96"/>
      <c r="V87" s="78"/>
      <c r="W87" s="88"/>
      <c r="X87" s="99"/>
      <c r="Y87" s="99"/>
      <c r="Z87" s="100"/>
      <c r="AA87" s="100"/>
      <c r="AB87" s="601"/>
      <c r="AC87" s="601"/>
      <c r="AD87" s="359"/>
      <c r="AE87" s="359"/>
      <c r="AF87" s="92">
        <f t="shared" si="61"/>
        <v>0</v>
      </c>
      <c r="AG87" s="95" t="e">
        <f t="shared" si="62"/>
        <v>#DIV/0!</v>
      </c>
      <c r="AH87" s="620"/>
    </row>
    <row r="88" spans="1:34" ht="19.350000000000001" customHeight="1">
      <c r="A88" s="631"/>
      <c r="B88" s="167">
        <v>0</v>
      </c>
      <c r="C88" s="237"/>
      <c r="D88" s="262"/>
      <c r="E88" s="84"/>
      <c r="F88" s="199" t="s">
        <v>391</v>
      </c>
      <c r="G88" s="104"/>
      <c r="H88" s="135">
        <f t="shared" si="54"/>
        <v>0</v>
      </c>
      <c r="I88" s="78"/>
      <c r="J88" s="138"/>
      <c r="K88" s="104"/>
      <c r="L88" s="137"/>
      <c r="M88" s="189"/>
      <c r="N88" s="104"/>
      <c r="O88" s="256"/>
      <c r="P88" s="100"/>
      <c r="Q88" s="139"/>
      <c r="R88" s="261"/>
      <c r="S88" s="620"/>
      <c r="T88" s="96"/>
      <c r="U88" s="96"/>
      <c r="V88" s="78"/>
      <c r="W88" s="88"/>
      <c r="X88" s="99"/>
      <c r="Y88" s="99"/>
      <c r="Z88" s="100"/>
      <c r="AA88" s="100"/>
      <c r="AB88" s="601"/>
      <c r="AC88" s="601"/>
      <c r="AD88" s="359"/>
      <c r="AE88" s="359"/>
      <c r="AF88" s="92">
        <f t="shared" si="61"/>
        <v>0</v>
      </c>
      <c r="AG88" s="95" t="e">
        <f t="shared" si="62"/>
        <v>#DIV/0!</v>
      </c>
      <c r="AH88" s="620"/>
    </row>
    <row r="89" spans="1:34" ht="19.350000000000001" customHeight="1">
      <c r="A89" s="631"/>
      <c r="B89" s="167">
        <v>0</v>
      </c>
      <c r="C89" s="237"/>
      <c r="D89" s="83"/>
      <c r="E89" s="84"/>
      <c r="F89" s="199" t="s">
        <v>391</v>
      </c>
      <c r="G89" s="173"/>
      <c r="H89" s="135">
        <f t="shared" si="54"/>
        <v>0</v>
      </c>
      <c r="I89" s="78"/>
      <c r="J89" s="138"/>
      <c r="K89" s="104"/>
      <c r="L89" s="137"/>
      <c r="M89" s="189"/>
      <c r="N89" s="104"/>
      <c r="O89" s="256"/>
      <c r="P89" s="100"/>
      <c r="Q89" s="139"/>
      <c r="R89" s="261"/>
      <c r="S89" s="620"/>
      <c r="T89" s="96"/>
      <c r="U89" s="96"/>
      <c r="V89" s="78"/>
      <c r="W89" s="88"/>
      <c r="X89" s="99"/>
      <c r="Y89" s="99"/>
      <c r="Z89" s="100"/>
      <c r="AA89" s="100"/>
      <c r="AB89" s="601"/>
      <c r="AC89" s="601"/>
      <c r="AD89" s="359"/>
      <c r="AE89" s="359"/>
      <c r="AF89" s="92">
        <f t="shared" si="61"/>
        <v>0</v>
      </c>
      <c r="AG89" s="95" t="e">
        <f t="shared" si="62"/>
        <v>#DIV/0!</v>
      </c>
      <c r="AH89" s="620"/>
    </row>
    <row r="90" spans="1:34" ht="19.350000000000001" customHeight="1">
      <c r="A90" s="631"/>
      <c r="B90" s="167">
        <v>0</v>
      </c>
      <c r="C90" s="237"/>
      <c r="D90" s="83"/>
      <c r="E90" s="84"/>
      <c r="F90" s="199" t="s">
        <v>391</v>
      </c>
      <c r="G90" s="188"/>
      <c r="H90" s="135">
        <f t="shared" si="54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0"/>
      <c r="T90" s="96"/>
      <c r="U90" s="96"/>
      <c r="V90" s="78"/>
      <c r="W90" s="88"/>
      <c r="X90" s="264"/>
      <c r="Y90" s="264"/>
      <c r="Z90" s="100"/>
      <c r="AA90" s="100"/>
      <c r="AB90" s="601"/>
      <c r="AC90" s="601"/>
      <c r="AD90" s="359"/>
      <c r="AE90" s="359"/>
      <c r="AF90" s="92">
        <f t="shared" si="61"/>
        <v>0</v>
      </c>
      <c r="AG90" s="95" t="e">
        <f t="shared" si="62"/>
        <v>#DIV/0!</v>
      </c>
      <c r="AH90" s="620"/>
    </row>
    <row r="91" spans="1:34" ht="19.350000000000001" customHeight="1">
      <c r="A91" s="631"/>
      <c r="B91" s="167">
        <v>0</v>
      </c>
      <c r="C91" s="237"/>
      <c r="D91" s="83"/>
      <c r="E91" s="84"/>
      <c r="F91" s="199" t="s">
        <v>391</v>
      </c>
      <c r="G91" s="86"/>
      <c r="H91" s="135">
        <f t="shared" si="54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3"/>
      <c r="T91" s="96"/>
      <c r="U91" s="96"/>
      <c r="V91" s="78"/>
      <c r="W91" s="88"/>
      <c r="X91" s="174"/>
      <c r="Y91" s="174"/>
      <c r="Z91" s="100"/>
      <c r="AA91" s="100"/>
      <c r="AB91" s="601"/>
      <c r="AC91" s="601"/>
      <c r="AD91" s="359"/>
      <c r="AE91" s="359"/>
      <c r="AF91" s="92">
        <f t="shared" si="61"/>
        <v>0</v>
      </c>
      <c r="AG91" s="95" t="e">
        <f t="shared" si="62"/>
        <v>#DIV/0!</v>
      </c>
      <c r="AH91" s="623"/>
    </row>
    <row r="92" spans="1:34" ht="19.350000000000001" customHeight="1">
      <c r="A92" s="631"/>
      <c r="B92" s="167">
        <v>0</v>
      </c>
      <c r="C92" s="237"/>
      <c r="D92" s="83"/>
      <c r="E92" s="84"/>
      <c r="F92" s="199" t="s">
        <v>391</v>
      </c>
      <c r="G92" s="86"/>
      <c r="H92" s="135">
        <f t="shared" si="54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4"/>
      <c r="S92" s="623"/>
      <c r="T92" s="96"/>
      <c r="U92" s="96"/>
      <c r="V92" s="78"/>
      <c r="W92" s="88"/>
      <c r="X92" s="253"/>
      <c r="Y92" s="253"/>
      <c r="Z92" s="185"/>
      <c r="AA92" s="185"/>
      <c r="AB92" s="601"/>
      <c r="AC92" s="601"/>
      <c r="AD92" s="359"/>
      <c r="AE92" s="359"/>
      <c r="AF92" s="92">
        <f t="shared" si="61"/>
        <v>0</v>
      </c>
      <c r="AG92" s="95" t="e">
        <f t="shared" si="62"/>
        <v>#DIV/0!</v>
      </c>
      <c r="AH92" s="623"/>
    </row>
    <row r="93" spans="1:34" ht="19.350000000000001" customHeight="1">
      <c r="A93" s="631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4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1"/>
      <c r="S93" s="629"/>
      <c r="T93" s="111"/>
      <c r="U93" s="111"/>
      <c r="V93" s="109"/>
      <c r="W93" s="88">
        <f t="shared" si="60"/>
        <v>0</v>
      </c>
      <c r="X93" s="275"/>
      <c r="Y93" s="275"/>
      <c r="Z93" s="185"/>
      <c r="AA93" s="185"/>
      <c r="AB93" s="601"/>
      <c r="AC93" s="601"/>
      <c r="AD93" s="359"/>
      <c r="AE93" s="359"/>
      <c r="AF93" s="92">
        <f t="shared" si="61"/>
        <v>0</v>
      </c>
      <c r="AG93" s="95" t="e">
        <f t="shared" si="62"/>
        <v>#DIV/0!</v>
      </c>
      <c r="AH93" s="623"/>
    </row>
    <row r="94" spans="1:34" ht="19.350000000000001" customHeight="1">
      <c r="A94" s="631"/>
      <c r="B94" s="109">
        <v>0</v>
      </c>
      <c r="C94" s="272"/>
      <c r="D94" s="83"/>
      <c r="E94" s="84"/>
      <c r="F94" s="199" t="s">
        <v>391</v>
      </c>
      <c r="G94" s="86"/>
      <c r="H94" s="135">
        <f t="shared" si="54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1"/>
      <c r="S94" s="629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01"/>
      <c r="AC94" s="601"/>
      <c r="AD94" s="359"/>
      <c r="AE94" s="359"/>
      <c r="AF94" s="92">
        <f t="shared" si="61"/>
        <v>0</v>
      </c>
      <c r="AG94" s="95" t="e">
        <f t="shared" si="62"/>
        <v>#DIV/0!</v>
      </c>
      <c r="AH94" s="623"/>
    </row>
    <row r="95" spans="1:34" ht="19.350000000000001" customHeight="1">
      <c r="A95" s="631"/>
      <c r="B95" s="278">
        <v>0</v>
      </c>
      <c r="C95" s="156" t="s">
        <v>33</v>
      </c>
      <c r="D95" s="602" t="s">
        <v>75</v>
      </c>
      <c r="E95" s="602"/>
      <c r="F95" s="119"/>
      <c r="G95" s="120"/>
      <c r="H95" s="279"/>
      <c r="I95" s="160"/>
      <c r="J95" s="280">
        <v>19.333333333333332</v>
      </c>
      <c r="K95" s="280">
        <v>1423.3333333333333</v>
      </c>
      <c r="L95" s="281">
        <v>73.69736842105263</v>
      </c>
      <c r="M95" s="280">
        <f t="shared" ref="M95:O95" si="63">AVERAGE(M83:M94)</f>
        <v>19.333333333333332</v>
      </c>
      <c r="N95" s="280">
        <f t="shared" si="63"/>
        <v>1137.3381404174568</v>
      </c>
      <c r="O95" s="281">
        <f t="shared" si="63"/>
        <v>59.305975121231256</v>
      </c>
      <c r="P95" s="282">
        <f>M95-J95</f>
        <v>0</v>
      </c>
      <c r="Q95" s="283">
        <f t="shared" ref="Q95:Q103" si="64">O95-L95</f>
        <v>-14.391393299821374</v>
      </c>
      <c r="R95" s="284">
        <f>O95/L95</f>
        <v>0.8047231046623059</v>
      </c>
      <c r="S95" s="623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01"/>
      <c r="AC95" s="601"/>
      <c r="AD95" s="164">
        <f>SUM(AD83:AD94)</f>
        <v>1</v>
      </c>
      <c r="AE95" s="164">
        <f>SUM(AE83:AE94)</f>
        <v>0</v>
      </c>
      <c r="AF95" s="113">
        <f t="shared" si="61"/>
        <v>-285.99519291587649</v>
      </c>
      <c r="AG95" s="114">
        <f t="shared" si="62"/>
        <v>0.79906660919259265</v>
      </c>
      <c r="AH95" s="623"/>
    </row>
    <row r="96" spans="1:34" ht="19.350000000000001" customHeight="1">
      <c r="A96" s="628" t="s">
        <v>167</v>
      </c>
      <c r="B96" s="78" t="s">
        <v>386</v>
      </c>
      <c r="C96" s="152"/>
      <c r="D96" s="83" t="s">
        <v>185</v>
      </c>
      <c r="E96" s="84"/>
      <c r="F96" s="85">
        <v>65.400000000000006</v>
      </c>
      <c r="G96" s="86">
        <v>350</v>
      </c>
      <c r="H96" s="87">
        <f t="shared" ref="H96:H106" si="65">F96*G96</f>
        <v>22890.000000000004</v>
      </c>
      <c r="I96" s="78"/>
      <c r="J96" s="89">
        <v>18</v>
      </c>
      <c r="K96" s="86">
        <v>1440</v>
      </c>
      <c r="L96" s="90">
        <v>80</v>
      </c>
      <c r="M96" s="91">
        <v>18</v>
      </c>
      <c r="N96" s="86">
        <f t="shared" ref="N96:N103" si="66">G96/W96*60</f>
        <v>1049.9999999999995</v>
      </c>
      <c r="O96" s="90">
        <f t="shared" ref="O96:O103" si="67">N96/M96</f>
        <v>58.333333333333307</v>
      </c>
      <c r="P96" s="92">
        <f t="shared" ref="P96:P103" si="68">M96-J96</f>
        <v>0</v>
      </c>
      <c r="Q96" s="93">
        <f t="shared" si="64"/>
        <v>-21.666666666666693</v>
      </c>
      <c r="R96" s="95">
        <f t="shared" ref="R96:R103" si="69">O96/L96</f>
        <v>0.7291666666666663</v>
      </c>
      <c r="S96" s="620">
        <f>R108</f>
        <v>0.80397434223857034</v>
      </c>
      <c r="T96" s="142">
        <v>0.33333333333333331</v>
      </c>
      <c r="U96" s="142">
        <v>0.34722222222222221</v>
      </c>
      <c r="V96" s="359">
        <v>5</v>
      </c>
      <c r="W96" s="143">
        <f t="shared" ref="W96:W122" si="70">(U96-T96)*24*60</f>
        <v>20.000000000000007</v>
      </c>
      <c r="X96" s="151"/>
      <c r="Y96" s="151"/>
      <c r="Z96" s="100"/>
      <c r="AA96" s="100"/>
      <c r="AB96" s="601"/>
      <c r="AC96" s="601"/>
      <c r="AD96" s="359"/>
      <c r="AE96" s="359"/>
      <c r="AF96" s="100">
        <f t="shared" si="61"/>
        <v>-390.00000000000045</v>
      </c>
      <c r="AG96" s="141">
        <f t="shared" si="62"/>
        <v>0.7291666666666663</v>
      </c>
      <c r="AH96" s="605">
        <f>AG108</f>
        <v>0.80244872524560262</v>
      </c>
    </row>
    <row r="97" spans="1:34" s="294" customFormat="1" ht="19.350000000000001" customHeight="1">
      <c r="A97" s="628"/>
      <c r="B97" s="78" t="s">
        <v>390</v>
      </c>
      <c r="C97" s="285"/>
      <c r="D97" s="286" t="s">
        <v>178</v>
      </c>
      <c r="E97" s="103"/>
      <c r="F97" s="287">
        <v>54.09</v>
      </c>
      <c r="G97" s="288">
        <v>1191</v>
      </c>
      <c r="H97" s="289">
        <f t="shared" si="65"/>
        <v>64421.19</v>
      </c>
      <c r="I97" s="208"/>
      <c r="J97" s="89">
        <v>20</v>
      </c>
      <c r="K97" s="86">
        <v>1500</v>
      </c>
      <c r="L97" s="90">
        <v>75</v>
      </c>
      <c r="M97" s="138">
        <v>20</v>
      </c>
      <c r="N97" s="86">
        <f t="shared" si="66"/>
        <v>1232.0689655172405</v>
      </c>
      <c r="O97" s="90">
        <f t="shared" si="67"/>
        <v>61.603448275862021</v>
      </c>
      <c r="P97" s="92">
        <f t="shared" si="68"/>
        <v>0</v>
      </c>
      <c r="Q97" s="93">
        <f t="shared" si="64"/>
        <v>-13.396551724137979</v>
      </c>
      <c r="R97" s="95">
        <f t="shared" si="69"/>
        <v>0.82137931034482692</v>
      </c>
      <c r="S97" s="620"/>
      <c r="T97" s="290">
        <v>0.3520833333333333</v>
      </c>
      <c r="U97" s="290">
        <v>0.3923611111111111</v>
      </c>
      <c r="V97" s="291">
        <v>7</v>
      </c>
      <c r="W97" s="143">
        <f t="shared" si="70"/>
        <v>58.000000000000036</v>
      </c>
      <c r="X97" s="99"/>
      <c r="Y97" s="99"/>
      <c r="Z97" s="100"/>
      <c r="AA97" s="100"/>
      <c r="AB97" s="601"/>
      <c r="AC97" s="601"/>
      <c r="AD97" s="291"/>
      <c r="AE97" s="291"/>
      <c r="AF97" s="292">
        <f t="shared" si="61"/>
        <v>-267.93103448275951</v>
      </c>
      <c r="AG97" s="293">
        <f t="shared" si="62"/>
        <v>0.82137931034482703</v>
      </c>
      <c r="AH97" s="605"/>
    </row>
    <row r="98" spans="1:34" s="298" customFormat="1" ht="19.350000000000001" customHeight="1">
      <c r="A98" s="628"/>
      <c r="B98" s="78" t="s">
        <v>390</v>
      </c>
      <c r="C98" s="102"/>
      <c r="D98" s="83" t="s">
        <v>179</v>
      </c>
      <c r="E98" s="133"/>
      <c r="F98" s="287">
        <v>51.75</v>
      </c>
      <c r="G98" s="104">
        <v>1200.6000000000001</v>
      </c>
      <c r="H98" s="289">
        <f t="shared" si="65"/>
        <v>62131.05000000001</v>
      </c>
      <c r="I98" s="359"/>
      <c r="J98" s="89">
        <v>21</v>
      </c>
      <c r="K98" s="86">
        <v>1500</v>
      </c>
      <c r="L98" s="90">
        <v>71.428571428571431</v>
      </c>
      <c r="M98" s="138">
        <v>20</v>
      </c>
      <c r="N98" s="86">
        <f t="shared" si="66"/>
        <v>1161.8709677419351</v>
      </c>
      <c r="O98" s="90">
        <f t="shared" si="67"/>
        <v>58.09354838709676</v>
      </c>
      <c r="P98" s="92">
        <f t="shared" si="68"/>
        <v>-1</v>
      </c>
      <c r="Q98" s="93">
        <f t="shared" si="64"/>
        <v>-13.33502304147467</v>
      </c>
      <c r="R98" s="95">
        <f t="shared" si="69"/>
        <v>0.81330967741935467</v>
      </c>
      <c r="S98" s="620"/>
      <c r="T98" s="142">
        <v>0.39791666666666664</v>
      </c>
      <c r="U98" s="142">
        <v>0.44097222222222221</v>
      </c>
      <c r="V98" s="359">
        <v>8</v>
      </c>
      <c r="W98" s="143">
        <f t="shared" si="70"/>
        <v>62.000000000000021</v>
      </c>
      <c r="X98" s="295"/>
      <c r="Y98" s="295"/>
      <c r="Z98" s="296"/>
      <c r="AA98" s="296"/>
      <c r="AB98" s="601"/>
      <c r="AC98" s="601"/>
      <c r="AD98" s="359"/>
      <c r="AE98" s="359"/>
      <c r="AF98" s="297">
        <f t="shared" si="61"/>
        <v>-338.12903225806485</v>
      </c>
      <c r="AG98" s="95">
        <f t="shared" si="62"/>
        <v>0.7745806451612901</v>
      </c>
      <c r="AH98" s="605"/>
    </row>
    <row r="99" spans="1:34" ht="19.350000000000001" customHeight="1">
      <c r="A99" s="628"/>
      <c r="B99" s="78" t="s">
        <v>386</v>
      </c>
      <c r="C99" s="131"/>
      <c r="D99" s="132" t="s">
        <v>186</v>
      </c>
      <c r="E99" s="133"/>
      <c r="F99" s="287">
        <v>59.52</v>
      </c>
      <c r="G99" s="104">
        <v>1575.75</v>
      </c>
      <c r="H99" s="289">
        <f t="shared" si="65"/>
        <v>93788.64</v>
      </c>
      <c r="I99" s="359"/>
      <c r="J99" s="89">
        <v>21</v>
      </c>
      <c r="K99" s="86">
        <v>1385</v>
      </c>
      <c r="L99" s="90">
        <v>65.952380952380949</v>
      </c>
      <c r="M99" s="91">
        <v>20</v>
      </c>
      <c r="N99" s="86">
        <f t="shared" si="66"/>
        <v>1167.2222222222217</v>
      </c>
      <c r="O99" s="90">
        <f t="shared" si="67"/>
        <v>58.361111111111086</v>
      </c>
      <c r="P99" s="92">
        <f t="shared" si="68"/>
        <v>-1</v>
      </c>
      <c r="Q99" s="93">
        <f t="shared" si="64"/>
        <v>-7.5912698412698632</v>
      </c>
      <c r="R99" s="95">
        <f t="shared" si="69"/>
        <v>0.88489771359807423</v>
      </c>
      <c r="S99" s="620"/>
      <c r="T99" s="142">
        <v>0.4458333333333333</v>
      </c>
      <c r="U99" s="142">
        <v>0.50208333333333333</v>
      </c>
      <c r="V99" s="359">
        <v>7</v>
      </c>
      <c r="W99" s="143">
        <f t="shared" si="70"/>
        <v>81.000000000000028</v>
      </c>
      <c r="X99" s="253"/>
      <c r="Y99" s="253"/>
      <c r="Z99" s="185"/>
      <c r="AA99" s="185"/>
      <c r="AB99" s="601"/>
      <c r="AC99" s="601"/>
      <c r="AD99" s="359"/>
      <c r="AE99" s="359"/>
      <c r="AF99" s="92">
        <f t="shared" si="61"/>
        <v>-217.77777777777828</v>
      </c>
      <c r="AG99" s="186">
        <f t="shared" si="62"/>
        <v>0.84275972723626114</v>
      </c>
      <c r="AH99" s="605"/>
    </row>
    <row r="100" spans="1:34" s="298" customFormat="1" ht="19.350000000000001" customHeight="1">
      <c r="A100" s="628"/>
      <c r="B100" s="78" t="s">
        <v>386</v>
      </c>
      <c r="C100" s="102"/>
      <c r="D100" s="83" t="s">
        <v>187</v>
      </c>
      <c r="E100" s="133"/>
      <c r="F100" s="287">
        <v>58.67</v>
      </c>
      <c r="G100" s="104">
        <v>1486</v>
      </c>
      <c r="H100" s="289">
        <f t="shared" si="65"/>
        <v>87183.62</v>
      </c>
      <c r="I100" s="359"/>
      <c r="J100" s="89">
        <v>19</v>
      </c>
      <c r="K100" s="86">
        <v>1440</v>
      </c>
      <c r="L100" s="90">
        <v>75.78947368421052</v>
      </c>
      <c r="M100" s="138">
        <v>19</v>
      </c>
      <c r="N100" s="86">
        <f t="shared" si="66"/>
        <v>1238.3333333333323</v>
      </c>
      <c r="O100" s="90">
        <f t="shared" si="67"/>
        <v>65.175438596491176</v>
      </c>
      <c r="P100" s="92">
        <f t="shared" si="68"/>
        <v>0</v>
      </c>
      <c r="Q100" s="93">
        <f t="shared" si="64"/>
        <v>-10.614035087719344</v>
      </c>
      <c r="R100" s="95">
        <f t="shared" si="69"/>
        <v>0.85995370370370305</v>
      </c>
      <c r="S100" s="620"/>
      <c r="T100" s="290">
        <v>0.54236111111111107</v>
      </c>
      <c r="U100" s="290">
        <v>0.59236111111111112</v>
      </c>
      <c r="V100" s="291">
        <v>5</v>
      </c>
      <c r="W100" s="143">
        <f t="shared" si="70"/>
        <v>72.000000000000057</v>
      </c>
      <c r="X100" s="299"/>
      <c r="Y100" s="299"/>
      <c r="Z100" s="296"/>
      <c r="AA100" s="296"/>
      <c r="AB100" s="601"/>
      <c r="AC100" s="601"/>
      <c r="AD100" s="359"/>
      <c r="AE100" s="359"/>
      <c r="AF100" s="297">
        <f t="shared" si="61"/>
        <v>-201.66666666666765</v>
      </c>
      <c r="AG100" s="95">
        <f t="shared" si="62"/>
        <v>0.85995370370370305</v>
      </c>
      <c r="AH100" s="605"/>
    </row>
    <row r="101" spans="1:34" s="298" customFormat="1" ht="19.350000000000001" customHeight="1">
      <c r="A101" s="628"/>
      <c r="B101" s="78" t="s">
        <v>387</v>
      </c>
      <c r="C101" s="102"/>
      <c r="D101" s="132" t="s">
        <v>134</v>
      </c>
      <c r="E101" s="133"/>
      <c r="F101" s="287">
        <v>56.43</v>
      </c>
      <c r="G101" s="104">
        <v>570</v>
      </c>
      <c r="H101" s="289">
        <f t="shared" si="65"/>
        <v>32165.1</v>
      </c>
      <c r="I101" s="359"/>
      <c r="J101" s="89">
        <v>17</v>
      </c>
      <c r="K101" s="86">
        <v>1500</v>
      </c>
      <c r="L101" s="90">
        <v>88.235294117647058</v>
      </c>
      <c r="M101" s="138">
        <v>18</v>
      </c>
      <c r="N101" s="86">
        <f t="shared" si="66"/>
        <v>1221.4285714285686</v>
      </c>
      <c r="O101" s="90">
        <f t="shared" si="67"/>
        <v>67.857142857142705</v>
      </c>
      <c r="P101" s="92">
        <f t="shared" si="68"/>
        <v>1</v>
      </c>
      <c r="Q101" s="93">
        <f t="shared" si="64"/>
        <v>-20.378151260504353</v>
      </c>
      <c r="R101" s="95">
        <f t="shared" si="69"/>
        <v>0.76904761904761731</v>
      </c>
      <c r="S101" s="620"/>
      <c r="T101" s="290">
        <v>0.59791666666666665</v>
      </c>
      <c r="U101" s="142">
        <v>0.61736111111111114</v>
      </c>
      <c r="V101" s="291">
        <v>8</v>
      </c>
      <c r="W101" s="143">
        <f t="shared" si="70"/>
        <v>28.00000000000006</v>
      </c>
      <c r="X101" s="300"/>
      <c r="Y101" s="300"/>
      <c r="Z101" s="296"/>
      <c r="AA101" s="296"/>
      <c r="AB101" s="601"/>
      <c r="AC101" s="601"/>
      <c r="AD101" s="359"/>
      <c r="AE101" s="359"/>
      <c r="AF101" s="92">
        <f t="shared" si="61"/>
        <v>-278.5714285714314</v>
      </c>
      <c r="AG101" s="186">
        <f t="shared" si="62"/>
        <v>0.81428571428571239</v>
      </c>
      <c r="AH101" s="605"/>
    </row>
    <row r="102" spans="1:34" s="298" customFormat="1" ht="19.350000000000001" customHeight="1">
      <c r="A102" s="628"/>
      <c r="B102" s="78" t="s">
        <v>386</v>
      </c>
      <c r="C102" s="248"/>
      <c r="D102" s="249" t="s">
        <v>158</v>
      </c>
      <c r="E102" s="250"/>
      <c r="F102" s="287">
        <v>47.65</v>
      </c>
      <c r="G102" s="104">
        <v>246.4</v>
      </c>
      <c r="H102" s="289">
        <f t="shared" si="65"/>
        <v>11740.96</v>
      </c>
      <c r="I102" s="78"/>
      <c r="J102" s="89">
        <v>18</v>
      </c>
      <c r="K102" s="86">
        <v>1440</v>
      </c>
      <c r="L102" s="90">
        <v>80</v>
      </c>
      <c r="M102" s="138">
        <v>18</v>
      </c>
      <c r="N102" s="86">
        <f t="shared" si="66"/>
        <v>1137.2307692307734</v>
      </c>
      <c r="O102" s="90">
        <f t="shared" si="67"/>
        <v>63.17948717948741</v>
      </c>
      <c r="P102" s="92">
        <f t="shared" si="68"/>
        <v>0</v>
      </c>
      <c r="Q102" s="93">
        <f t="shared" si="64"/>
        <v>-16.82051282051259</v>
      </c>
      <c r="R102" s="95">
        <f t="shared" si="69"/>
        <v>0.7897435897435926</v>
      </c>
      <c r="S102" s="620"/>
      <c r="T102" s="290">
        <v>0.63263888888888886</v>
      </c>
      <c r="U102" s="290">
        <v>0.64166666666666661</v>
      </c>
      <c r="V102" s="291">
        <v>22</v>
      </c>
      <c r="W102" s="143">
        <f t="shared" si="70"/>
        <v>12.999999999999954</v>
      </c>
      <c r="X102" s="300">
        <v>0.62569444444444444</v>
      </c>
      <c r="Y102" s="300">
        <v>0.63472222222222219</v>
      </c>
      <c r="Z102" s="296"/>
      <c r="AA102" s="296"/>
      <c r="AB102" s="601"/>
      <c r="AC102" s="601"/>
      <c r="AD102" s="359"/>
      <c r="AE102" s="359"/>
      <c r="AF102" s="297">
        <f t="shared" si="61"/>
        <v>-302.76923076922662</v>
      </c>
      <c r="AG102" s="95">
        <f t="shared" si="62"/>
        <v>0.7897435897435926</v>
      </c>
      <c r="AH102" s="605"/>
    </row>
    <row r="103" spans="1:34" s="298" customFormat="1" ht="19.350000000000001" customHeight="1">
      <c r="A103" s="628"/>
      <c r="B103" s="78" t="s">
        <v>390</v>
      </c>
      <c r="C103" s="301"/>
      <c r="D103" s="132" t="s">
        <v>175</v>
      </c>
      <c r="E103" s="133"/>
      <c r="F103" s="287">
        <v>57.734999999999999</v>
      </c>
      <c r="G103" s="104">
        <v>371</v>
      </c>
      <c r="H103" s="289">
        <f t="shared" si="65"/>
        <v>21419.685000000001</v>
      </c>
      <c r="I103" s="302"/>
      <c r="J103" s="89">
        <v>16</v>
      </c>
      <c r="K103" s="86">
        <v>1565</v>
      </c>
      <c r="L103" s="90">
        <v>97.8125</v>
      </c>
      <c r="M103" s="138">
        <v>16</v>
      </c>
      <c r="N103" s="86">
        <f t="shared" si="66"/>
        <v>1236.6666666666711</v>
      </c>
      <c r="O103" s="90">
        <f t="shared" si="67"/>
        <v>77.291666666666941</v>
      </c>
      <c r="P103" s="92">
        <f t="shared" si="68"/>
        <v>0</v>
      </c>
      <c r="Q103" s="93">
        <f t="shared" si="64"/>
        <v>-20.520833333333059</v>
      </c>
      <c r="R103" s="95">
        <f t="shared" si="69"/>
        <v>0.79020234291800073</v>
      </c>
      <c r="S103" s="620"/>
      <c r="T103" s="290">
        <v>0.65763888888888888</v>
      </c>
      <c r="U103" s="290">
        <v>0.67013888888888884</v>
      </c>
      <c r="V103" s="291">
        <v>23</v>
      </c>
      <c r="W103" s="143">
        <f t="shared" si="70"/>
        <v>17.999999999999936</v>
      </c>
      <c r="X103" s="300">
        <v>0.65</v>
      </c>
      <c r="Y103" s="300">
        <v>0.65972222222222221</v>
      </c>
      <c r="Z103" s="296"/>
      <c r="AA103" s="296"/>
      <c r="AB103" s="601"/>
      <c r="AC103" s="601"/>
      <c r="AD103" s="359"/>
      <c r="AE103" s="359"/>
      <c r="AF103" s="92">
        <f t="shared" si="61"/>
        <v>-328.33333333332894</v>
      </c>
      <c r="AG103" s="186">
        <f t="shared" si="62"/>
        <v>0.79020234291800073</v>
      </c>
      <c r="AH103" s="605"/>
    </row>
    <row r="104" spans="1:34" s="298" customFormat="1" ht="19.350000000000001" customHeight="1">
      <c r="A104" s="628"/>
      <c r="B104" s="78">
        <v>0</v>
      </c>
      <c r="C104" s="303"/>
      <c r="D104" s="132"/>
      <c r="E104" s="133"/>
      <c r="F104" s="287" t="s">
        <v>391</v>
      </c>
      <c r="G104" s="288"/>
      <c r="H104" s="289">
        <f t="shared" si="65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5"/>
      <c r="S104" s="623"/>
      <c r="T104" s="290"/>
      <c r="U104" s="290"/>
      <c r="V104" s="291"/>
      <c r="W104" s="143"/>
      <c r="X104" s="300"/>
      <c r="Y104" s="300"/>
      <c r="Z104" s="296"/>
      <c r="AA104" s="296"/>
      <c r="AB104" s="601"/>
      <c r="AC104" s="601"/>
      <c r="AD104" s="359"/>
      <c r="AE104" s="359"/>
      <c r="AF104" s="297">
        <f t="shared" si="61"/>
        <v>0</v>
      </c>
      <c r="AG104" s="95" t="e">
        <f t="shared" si="62"/>
        <v>#DIV/0!</v>
      </c>
      <c r="AH104" s="605"/>
    </row>
    <row r="105" spans="1:34" s="298" customFormat="1" ht="19.350000000000001" customHeight="1">
      <c r="A105" s="628"/>
      <c r="B105" s="78">
        <v>0</v>
      </c>
      <c r="C105" s="303"/>
      <c r="D105" s="132"/>
      <c r="E105" s="133"/>
      <c r="F105" s="287" t="s">
        <v>391</v>
      </c>
      <c r="G105" s="288"/>
      <c r="H105" s="289">
        <f t="shared" si="65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5"/>
      <c r="S105" s="623"/>
      <c r="T105" s="290"/>
      <c r="U105" s="290"/>
      <c r="V105" s="291"/>
      <c r="W105" s="143">
        <f t="shared" si="70"/>
        <v>0</v>
      </c>
      <c r="X105" s="300"/>
      <c r="Y105" s="300"/>
      <c r="Z105" s="296"/>
      <c r="AA105" s="296"/>
      <c r="AB105" s="601"/>
      <c r="AC105" s="601"/>
      <c r="AD105" s="359"/>
      <c r="AE105" s="359"/>
      <c r="AF105" s="296"/>
      <c r="AG105" s="141"/>
      <c r="AH105" s="605"/>
    </row>
    <row r="106" spans="1:34" s="298" customFormat="1" ht="19.350000000000001" customHeight="1">
      <c r="A106" s="628"/>
      <c r="B106" s="78">
        <v>0</v>
      </c>
      <c r="C106" s="303"/>
      <c r="D106" s="132"/>
      <c r="E106" s="133"/>
      <c r="F106" s="85" t="s">
        <v>391</v>
      </c>
      <c r="G106" s="288"/>
      <c r="H106" s="289">
        <f t="shared" si="65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1"/>
      <c r="S106" s="629"/>
      <c r="T106" s="290"/>
      <c r="U106" s="290"/>
      <c r="V106" s="291"/>
      <c r="W106" s="143">
        <f t="shared" si="70"/>
        <v>0</v>
      </c>
      <c r="X106" s="300"/>
      <c r="Y106" s="300"/>
      <c r="Z106" s="296"/>
      <c r="AA106" s="296"/>
      <c r="AB106" s="601"/>
      <c r="AC106" s="601"/>
      <c r="AD106" s="359"/>
      <c r="AE106" s="359"/>
      <c r="AF106" s="296"/>
      <c r="AG106" s="141"/>
      <c r="AH106" s="605"/>
    </row>
    <row r="107" spans="1:34" s="298" customFormat="1" ht="19.350000000000001" customHeight="1">
      <c r="A107" s="628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1"/>
      <c r="S107" s="629"/>
      <c r="T107" s="290"/>
      <c r="U107" s="290"/>
      <c r="V107" s="291"/>
      <c r="W107" s="143">
        <f t="shared" si="70"/>
        <v>0</v>
      </c>
      <c r="X107" s="300"/>
      <c r="Y107" s="300"/>
      <c r="Z107" s="296"/>
      <c r="AA107" s="296"/>
      <c r="AB107" s="601"/>
      <c r="AC107" s="601"/>
      <c r="AD107" s="359"/>
      <c r="AE107" s="359"/>
      <c r="AF107" s="296"/>
      <c r="AG107" s="141"/>
      <c r="AH107" s="605"/>
    </row>
    <row r="108" spans="1:34" ht="19.350000000000001" customHeight="1">
      <c r="A108" s="628"/>
      <c r="B108" s="167">
        <v>0</v>
      </c>
      <c r="C108" s="156" t="s">
        <v>34</v>
      </c>
      <c r="D108" s="602" t="s">
        <v>75</v>
      </c>
      <c r="E108" s="602"/>
      <c r="F108" s="307"/>
      <c r="G108" s="158"/>
      <c r="H108" s="159"/>
      <c r="I108" s="160"/>
      <c r="J108" s="158">
        <v>18.75</v>
      </c>
      <c r="K108" s="158">
        <v>1471.25</v>
      </c>
      <c r="L108" s="161">
        <v>79.27727752285125</v>
      </c>
      <c r="M108" s="158">
        <f t="shared" ref="M108:O108" si="71">AVERAGE(M96:M107)</f>
        <v>18.625</v>
      </c>
      <c r="N108" s="158">
        <f t="shared" si="71"/>
        <v>1180.6026870175929</v>
      </c>
      <c r="O108" s="161">
        <f t="shared" si="71"/>
        <v>63.736897050898932</v>
      </c>
      <c r="P108" s="100">
        <f t="shared" ref="P108:P113" si="72">M108-J108</f>
        <v>-0.125</v>
      </c>
      <c r="Q108" s="139">
        <f t="shared" ref="Q108:Q113" si="73">O108-L108</f>
        <v>-15.540380471952318</v>
      </c>
      <c r="R108" s="162">
        <f t="shared" ref="R108:R113" si="74">O108/L108</f>
        <v>0.80397434223857034</v>
      </c>
      <c r="S108" s="623"/>
      <c r="T108" s="142"/>
      <c r="U108" s="142"/>
      <c r="V108" s="104"/>
      <c r="W108" s="143">
        <f t="shared" si="70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01"/>
      <c r="AC108" s="601"/>
      <c r="AD108" s="164">
        <f>SUM(AD96:AD107)</f>
        <v>0</v>
      </c>
      <c r="AE108" s="164">
        <f>SUM(AE96:AE107)</f>
        <v>0</v>
      </c>
      <c r="AF108" s="100">
        <f t="shared" si="61"/>
        <v>-290.64731298240713</v>
      </c>
      <c r="AG108" s="141">
        <f t="shared" si="62"/>
        <v>0.80244872524560262</v>
      </c>
      <c r="AH108" s="605"/>
    </row>
    <row r="109" spans="1:34" ht="19.350000000000001" customHeight="1">
      <c r="A109" s="624" t="s">
        <v>176</v>
      </c>
      <c r="B109" s="78" t="s">
        <v>390</v>
      </c>
      <c r="C109" s="237"/>
      <c r="D109" s="249" t="s">
        <v>165</v>
      </c>
      <c r="E109" s="84"/>
      <c r="F109" s="85">
        <v>58.17</v>
      </c>
      <c r="G109" s="86">
        <v>1132</v>
      </c>
      <c r="H109" s="87">
        <f t="shared" ref="H109:H118" si="75">F109*G109</f>
        <v>65848.44</v>
      </c>
      <c r="I109" s="78"/>
      <c r="J109" s="89">
        <v>19</v>
      </c>
      <c r="K109" s="86">
        <v>1385</v>
      </c>
      <c r="L109" s="90">
        <v>72.89473684210526</v>
      </c>
      <c r="M109" s="91">
        <v>19</v>
      </c>
      <c r="N109" s="86">
        <f t="shared" ref="N109:N113" si="76">G109/W109*60</f>
        <v>1113.4426229508208</v>
      </c>
      <c r="O109" s="90">
        <f t="shared" ref="O109:O113" si="77">N109/M109</f>
        <v>58.602243313201093</v>
      </c>
      <c r="P109" s="92">
        <f t="shared" si="72"/>
        <v>0</v>
      </c>
      <c r="Q109" s="93">
        <f t="shared" si="73"/>
        <v>-14.292493528904167</v>
      </c>
      <c r="R109" s="95">
        <f t="shared" si="74"/>
        <v>0.80392969166124251</v>
      </c>
      <c r="S109" s="627">
        <f>R121</f>
        <v>0.80521776286613567</v>
      </c>
      <c r="T109" s="308">
        <v>0.70833333333333337</v>
      </c>
      <c r="U109" s="308">
        <v>0.75069444444444444</v>
      </c>
      <c r="V109" s="309">
        <v>5</v>
      </c>
      <c r="W109" s="88">
        <f t="shared" si="70"/>
        <v>60.999999999999943</v>
      </c>
      <c r="X109" s="99"/>
      <c r="Y109" s="99"/>
      <c r="Z109" s="100"/>
      <c r="AA109" s="100"/>
      <c r="AB109" s="601"/>
      <c r="AC109" s="601"/>
      <c r="AD109" s="359"/>
      <c r="AE109" s="359"/>
      <c r="AF109" s="92">
        <f t="shared" si="61"/>
        <v>-271.55737704917919</v>
      </c>
      <c r="AG109" s="186">
        <f t="shared" si="62"/>
        <v>0.80392969166124251</v>
      </c>
      <c r="AH109" s="605">
        <f>AG121</f>
        <v>0.82391596163458325</v>
      </c>
    </row>
    <row r="110" spans="1:34" ht="19.350000000000001" customHeight="1">
      <c r="A110" s="625"/>
      <c r="B110" s="78" t="s">
        <v>390</v>
      </c>
      <c r="C110" s="248"/>
      <c r="D110" s="83" t="s">
        <v>166</v>
      </c>
      <c r="E110" s="250"/>
      <c r="F110" s="85">
        <v>53.68</v>
      </c>
      <c r="G110" s="247">
        <v>1138</v>
      </c>
      <c r="H110" s="87">
        <f t="shared" si="75"/>
        <v>61087.839999999997</v>
      </c>
      <c r="I110" s="78"/>
      <c r="J110" s="89">
        <v>20</v>
      </c>
      <c r="K110" s="86">
        <v>1380</v>
      </c>
      <c r="L110" s="90">
        <v>69</v>
      </c>
      <c r="M110" s="91">
        <v>20</v>
      </c>
      <c r="N110" s="86">
        <f t="shared" si="76"/>
        <v>1119.3442622950829</v>
      </c>
      <c r="O110" s="90">
        <f t="shared" si="77"/>
        <v>55.967213114754145</v>
      </c>
      <c r="P110" s="92">
        <f t="shared" si="72"/>
        <v>0</v>
      </c>
      <c r="Q110" s="93">
        <f t="shared" si="73"/>
        <v>-13.032786885245855</v>
      </c>
      <c r="R110" s="95">
        <f t="shared" si="74"/>
        <v>0.81111903064861079</v>
      </c>
      <c r="S110" s="616"/>
      <c r="T110" s="308">
        <v>0.75555555555555554</v>
      </c>
      <c r="U110" s="308">
        <v>0.79791666666666661</v>
      </c>
      <c r="V110" s="309">
        <v>7</v>
      </c>
      <c r="W110" s="88">
        <f t="shared" si="70"/>
        <v>60.999999999999943</v>
      </c>
      <c r="X110" s="264"/>
      <c r="Y110" s="264"/>
      <c r="Z110" s="100"/>
      <c r="AA110" s="100"/>
      <c r="AB110" s="601"/>
      <c r="AC110" s="601"/>
      <c r="AD110" s="359"/>
      <c r="AE110" s="359"/>
      <c r="AF110" s="165">
        <f t="shared" si="61"/>
        <v>-260.6557377049171</v>
      </c>
      <c r="AG110" s="186">
        <f t="shared" si="62"/>
        <v>0.81111903064861079</v>
      </c>
      <c r="AH110" s="605"/>
    </row>
    <row r="111" spans="1:34" ht="19.350000000000001" customHeight="1">
      <c r="A111" s="625"/>
      <c r="B111" s="78" t="s">
        <v>390</v>
      </c>
      <c r="C111" s="248"/>
      <c r="D111" s="83" t="s">
        <v>183</v>
      </c>
      <c r="E111" s="250"/>
      <c r="F111" s="85">
        <v>57.73</v>
      </c>
      <c r="G111" s="104">
        <v>787</v>
      </c>
      <c r="H111" s="87">
        <f t="shared" si="75"/>
        <v>45433.509999999995</v>
      </c>
      <c r="I111" s="78"/>
      <c r="J111" s="89">
        <v>16</v>
      </c>
      <c r="K111" s="86">
        <v>1380</v>
      </c>
      <c r="L111" s="90">
        <v>86.25</v>
      </c>
      <c r="M111" s="310">
        <v>17</v>
      </c>
      <c r="N111" s="86">
        <f t="shared" si="76"/>
        <v>1210.76923076923</v>
      </c>
      <c r="O111" s="90">
        <f t="shared" si="77"/>
        <v>71.221719457013535</v>
      </c>
      <c r="P111" s="92">
        <f t="shared" si="72"/>
        <v>1</v>
      </c>
      <c r="Q111" s="93">
        <f t="shared" si="73"/>
        <v>-15.028280542986465</v>
      </c>
      <c r="R111" s="95">
        <f t="shared" si="74"/>
        <v>0.82575906616827288</v>
      </c>
      <c r="S111" s="616"/>
      <c r="T111" s="308">
        <v>0.81388888888888888</v>
      </c>
      <c r="U111" s="308">
        <v>0.84097222222222223</v>
      </c>
      <c r="V111" s="309">
        <v>23</v>
      </c>
      <c r="W111" s="88">
        <f t="shared" si="70"/>
        <v>39.000000000000021</v>
      </c>
      <c r="X111" s="99">
        <v>0.80347222222222225</v>
      </c>
      <c r="Y111" s="99">
        <v>0.81319444444444444</v>
      </c>
      <c r="Z111" s="100"/>
      <c r="AA111" s="100"/>
      <c r="AB111" s="601"/>
      <c r="AC111" s="601"/>
      <c r="AD111" s="359"/>
      <c r="AE111" s="359"/>
      <c r="AF111" s="92">
        <f t="shared" si="61"/>
        <v>-169.23076923076997</v>
      </c>
      <c r="AG111" s="186">
        <f t="shared" si="62"/>
        <v>0.8773690078037899</v>
      </c>
      <c r="AH111" s="605"/>
    </row>
    <row r="112" spans="1:34" ht="19.350000000000001" customHeight="1">
      <c r="A112" s="625"/>
      <c r="B112" s="78" t="s">
        <v>390</v>
      </c>
      <c r="C112" s="248"/>
      <c r="D112" s="249" t="s">
        <v>188</v>
      </c>
      <c r="E112" s="250"/>
      <c r="F112" s="85">
        <v>56.79</v>
      </c>
      <c r="G112" s="104">
        <v>1110</v>
      </c>
      <c r="H112" s="87">
        <f t="shared" si="75"/>
        <v>63036.9</v>
      </c>
      <c r="I112" s="359"/>
      <c r="J112" s="89">
        <v>18</v>
      </c>
      <c r="K112" s="86">
        <v>1636</v>
      </c>
      <c r="L112" s="90">
        <v>90.888888888888886</v>
      </c>
      <c r="M112" s="310">
        <v>18</v>
      </c>
      <c r="N112" s="86">
        <f t="shared" si="76"/>
        <v>1332.0000000000005</v>
      </c>
      <c r="O112" s="90">
        <f t="shared" si="77"/>
        <v>74.000000000000028</v>
      </c>
      <c r="P112" s="92">
        <f t="shared" si="72"/>
        <v>0</v>
      </c>
      <c r="Q112" s="93">
        <f t="shared" si="73"/>
        <v>-16.888888888888857</v>
      </c>
      <c r="R112" s="95">
        <f t="shared" si="74"/>
        <v>0.81418092909535489</v>
      </c>
      <c r="S112" s="616"/>
      <c r="T112" s="308">
        <v>0.84583333333333333</v>
      </c>
      <c r="U112" s="308">
        <v>0.88055555555555554</v>
      </c>
      <c r="V112" s="309">
        <v>7</v>
      </c>
      <c r="W112" s="88">
        <f t="shared" si="70"/>
        <v>49.999999999999986</v>
      </c>
      <c r="X112" s="99"/>
      <c r="Y112" s="99"/>
      <c r="Z112" s="100"/>
      <c r="AA112" s="100"/>
      <c r="AB112" s="601"/>
      <c r="AC112" s="601"/>
      <c r="AD112" s="359"/>
      <c r="AE112" s="359"/>
      <c r="AF112" s="92">
        <f t="shared" si="61"/>
        <v>-303.99999999999955</v>
      </c>
      <c r="AG112" s="186">
        <f t="shared" si="62"/>
        <v>0.81418092909535478</v>
      </c>
      <c r="AH112" s="605"/>
    </row>
    <row r="113" spans="1:34" s="298" customFormat="1" ht="19.350000000000001" customHeight="1">
      <c r="A113" s="625"/>
      <c r="B113" s="78" t="s">
        <v>390</v>
      </c>
      <c r="C113" s="248"/>
      <c r="D113" s="249" t="s">
        <v>189</v>
      </c>
      <c r="E113" s="250"/>
      <c r="F113" s="85">
        <v>56.87</v>
      </c>
      <c r="G113" s="104">
        <v>779</v>
      </c>
      <c r="H113" s="87">
        <f t="shared" si="75"/>
        <v>44301.729999999996</v>
      </c>
      <c r="I113" s="359"/>
      <c r="J113" s="89">
        <v>18</v>
      </c>
      <c r="K113" s="86">
        <v>1636</v>
      </c>
      <c r="L113" s="90">
        <v>90.888888888888886</v>
      </c>
      <c r="M113" s="310">
        <v>19</v>
      </c>
      <c r="N113" s="86">
        <f t="shared" si="76"/>
        <v>1335.4285714285702</v>
      </c>
      <c r="O113" s="90">
        <f t="shared" si="77"/>
        <v>70.285714285714221</v>
      </c>
      <c r="P113" s="92">
        <f t="shared" si="72"/>
        <v>1</v>
      </c>
      <c r="Q113" s="93">
        <f t="shared" si="73"/>
        <v>-20.603174603174665</v>
      </c>
      <c r="R113" s="95">
        <f t="shared" si="74"/>
        <v>0.7733147048550465</v>
      </c>
      <c r="S113" s="616"/>
      <c r="T113" s="308">
        <v>0.88611111111111107</v>
      </c>
      <c r="U113" s="308">
        <v>0.91041666666666665</v>
      </c>
      <c r="V113" s="309">
        <v>8</v>
      </c>
      <c r="W113" s="88">
        <f t="shared" si="70"/>
        <v>35.000000000000036</v>
      </c>
      <c r="X113" s="295"/>
      <c r="Y113" s="295"/>
      <c r="Z113" s="296"/>
      <c r="AA113" s="296"/>
      <c r="AB113" s="601"/>
      <c r="AC113" s="601"/>
      <c r="AD113" s="301"/>
      <c r="AE113" s="301"/>
      <c r="AF113" s="165">
        <f t="shared" si="61"/>
        <v>-300.57142857142981</v>
      </c>
      <c r="AG113" s="186">
        <f t="shared" si="62"/>
        <v>0.81627663290254904</v>
      </c>
      <c r="AH113" s="605"/>
    </row>
    <row r="114" spans="1:34" s="298" customFormat="1" ht="19.350000000000001" customHeight="1">
      <c r="A114" s="625"/>
      <c r="B114" s="78">
        <v>0</v>
      </c>
      <c r="C114" s="248"/>
      <c r="D114" s="249"/>
      <c r="E114" s="250"/>
      <c r="F114" s="85" t="s">
        <v>391</v>
      </c>
      <c r="G114" s="104"/>
      <c r="H114" s="87">
        <f t="shared" si="75"/>
        <v>0</v>
      </c>
      <c r="I114" s="359"/>
      <c r="J114" s="89"/>
      <c r="K114" s="86"/>
      <c r="L114" s="90"/>
      <c r="M114" s="310"/>
      <c r="N114" s="86"/>
      <c r="O114" s="90"/>
      <c r="P114" s="92"/>
      <c r="Q114" s="93"/>
      <c r="R114" s="95"/>
      <c r="S114" s="616"/>
      <c r="T114" s="308"/>
      <c r="U114" s="308"/>
      <c r="V114" s="309"/>
      <c r="W114" s="88"/>
      <c r="X114" s="295"/>
      <c r="Y114" s="295"/>
      <c r="Z114" s="296"/>
      <c r="AA114" s="296"/>
      <c r="AB114" s="601"/>
      <c r="AC114" s="601"/>
      <c r="AD114" s="301"/>
      <c r="AE114" s="301"/>
      <c r="AF114" s="92">
        <f t="shared" si="61"/>
        <v>0</v>
      </c>
      <c r="AG114" s="186" t="e">
        <f t="shared" si="62"/>
        <v>#DIV/0!</v>
      </c>
      <c r="AH114" s="605"/>
    </row>
    <row r="115" spans="1:34" s="298" customFormat="1" ht="19.350000000000001" customHeight="1">
      <c r="A115" s="625"/>
      <c r="B115" s="78">
        <v>0</v>
      </c>
      <c r="C115" s="248"/>
      <c r="D115" s="249"/>
      <c r="E115" s="250"/>
      <c r="F115" s="85" t="s">
        <v>391</v>
      </c>
      <c r="G115" s="247"/>
      <c r="H115" s="87">
        <f t="shared" si="75"/>
        <v>0</v>
      </c>
      <c r="I115" s="359"/>
      <c r="J115" s="89"/>
      <c r="K115" s="86"/>
      <c r="L115" s="90"/>
      <c r="M115" s="91"/>
      <c r="N115" s="86"/>
      <c r="O115" s="90"/>
      <c r="P115" s="92"/>
      <c r="Q115" s="93"/>
      <c r="R115" s="95"/>
      <c r="S115" s="616"/>
      <c r="T115" s="308"/>
      <c r="U115" s="308"/>
      <c r="V115" s="309"/>
      <c r="W115" s="88"/>
      <c r="X115" s="295"/>
      <c r="Y115" s="295"/>
      <c r="Z115" s="296"/>
      <c r="AA115" s="296"/>
      <c r="AB115" s="601"/>
      <c r="AC115" s="601"/>
      <c r="AD115" s="301"/>
      <c r="AE115" s="301"/>
      <c r="AF115" s="92">
        <f t="shared" si="61"/>
        <v>0</v>
      </c>
      <c r="AG115" s="186" t="e">
        <f t="shared" si="62"/>
        <v>#DIV/0!</v>
      </c>
      <c r="AH115" s="605"/>
    </row>
    <row r="116" spans="1:34" s="298" customFormat="1" ht="19.350000000000001" customHeight="1">
      <c r="A116" s="625"/>
      <c r="B116" s="78">
        <v>0</v>
      </c>
      <c r="C116" s="102"/>
      <c r="D116" s="132"/>
      <c r="E116" s="133"/>
      <c r="F116" s="85"/>
      <c r="G116" s="104"/>
      <c r="H116" s="87">
        <f t="shared" si="75"/>
        <v>0</v>
      </c>
      <c r="I116" s="359"/>
      <c r="J116" s="89"/>
      <c r="K116" s="86"/>
      <c r="L116" s="90"/>
      <c r="M116" s="189"/>
      <c r="N116" s="86"/>
      <c r="O116" s="90"/>
      <c r="P116" s="92"/>
      <c r="Q116" s="93"/>
      <c r="R116" s="95"/>
      <c r="S116" s="616"/>
      <c r="T116" s="308"/>
      <c r="U116" s="308"/>
      <c r="V116" s="309"/>
      <c r="W116" s="88">
        <f t="shared" si="70"/>
        <v>0</v>
      </c>
      <c r="X116" s="295"/>
      <c r="Y116" s="295"/>
      <c r="Z116" s="296"/>
      <c r="AA116" s="296"/>
      <c r="AB116" s="601"/>
      <c r="AC116" s="601"/>
      <c r="AD116" s="301"/>
      <c r="AE116" s="301"/>
      <c r="AF116" s="165">
        <f t="shared" si="61"/>
        <v>0</v>
      </c>
      <c r="AG116" s="186" t="e">
        <f t="shared" si="62"/>
        <v>#DIV/0!</v>
      </c>
      <c r="AH116" s="605"/>
    </row>
    <row r="117" spans="1:34" s="298" customFormat="1" ht="19.350000000000001" customHeight="1">
      <c r="A117" s="625"/>
      <c r="B117" s="78">
        <v>0</v>
      </c>
      <c r="C117" s="102"/>
      <c r="D117" s="249"/>
      <c r="E117" s="133"/>
      <c r="F117" s="85" t="s">
        <v>391</v>
      </c>
      <c r="G117" s="104"/>
      <c r="H117" s="87">
        <f t="shared" si="75"/>
        <v>0</v>
      </c>
      <c r="I117" s="359"/>
      <c r="J117" s="89"/>
      <c r="K117" s="86"/>
      <c r="L117" s="137"/>
      <c r="M117" s="189"/>
      <c r="N117" s="104"/>
      <c r="O117" s="137"/>
      <c r="P117" s="100"/>
      <c r="Q117" s="139"/>
      <c r="R117" s="141"/>
      <c r="S117" s="616"/>
      <c r="T117" s="308"/>
      <c r="U117" s="308"/>
      <c r="V117" s="309"/>
      <c r="W117" s="88">
        <f t="shared" si="70"/>
        <v>0</v>
      </c>
      <c r="X117" s="295"/>
      <c r="Y117" s="295"/>
      <c r="Z117" s="296"/>
      <c r="AA117" s="296"/>
      <c r="AB117" s="601"/>
      <c r="AC117" s="601"/>
      <c r="AD117" s="301"/>
      <c r="AE117" s="301"/>
      <c r="AF117" s="92">
        <f t="shared" si="61"/>
        <v>0</v>
      </c>
      <c r="AG117" s="186" t="e">
        <f t="shared" si="62"/>
        <v>#DIV/0!</v>
      </c>
      <c r="AH117" s="605"/>
    </row>
    <row r="118" spans="1:34" s="298" customFormat="1" ht="19.350000000000001" customHeight="1">
      <c r="A118" s="625"/>
      <c r="B118" s="78">
        <v>0</v>
      </c>
      <c r="C118" s="233"/>
      <c r="D118" s="249"/>
      <c r="E118" s="84"/>
      <c r="F118" s="199" t="s">
        <v>391</v>
      </c>
      <c r="G118" s="86"/>
      <c r="H118" s="87">
        <f t="shared" si="75"/>
        <v>0</v>
      </c>
      <c r="I118" s="359"/>
      <c r="J118" s="89"/>
      <c r="K118" s="86"/>
      <c r="L118" s="90"/>
      <c r="M118" s="189"/>
      <c r="N118" s="86"/>
      <c r="O118" s="90"/>
      <c r="P118" s="92"/>
      <c r="Q118" s="93"/>
      <c r="R118" s="95"/>
      <c r="S118" s="616"/>
      <c r="T118" s="308"/>
      <c r="U118" s="308"/>
      <c r="V118" s="309"/>
      <c r="W118" s="88">
        <f t="shared" si="70"/>
        <v>0</v>
      </c>
      <c r="X118" s="295"/>
      <c r="Y118" s="295"/>
      <c r="Z118" s="296"/>
      <c r="AA118" s="296"/>
      <c r="AB118" s="601"/>
      <c r="AC118" s="601"/>
      <c r="AD118" s="301"/>
      <c r="AE118" s="301"/>
      <c r="AF118" s="297"/>
      <c r="AG118" s="186"/>
      <c r="AH118" s="605"/>
    </row>
    <row r="119" spans="1:34" s="298" customFormat="1" ht="19.350000000000001" customHeight="1">
      <c r="A119" s="625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359"/>
      <c r="J119" s="251"/>
      <c r="K119" s="313"/>
      <c r="L119" s="90"/>
      <c r="M119" s="189"/>
      <c r="N119" s="252"/>
      <c r="O119" s="305"/>
      <c r="P119" s="235"/>
      <c r="Q119" s="93"/>
      <c r="R119" s="95"/>
      <c r="S119" s="616"/>
      <c r="T119" s="308"/>
      <c r="U119" s="308"/>
      <c r="V119" s="309"/>
      <c r="W119" s="88">
        <f t="shared" si="70"/>
        <v>0</v>
      </c>
      <c r="X119" s="295"/>
      <c r="Y119" s="295"/>
      <c r="Z119" s="296"/>
      <c r="AA119" s="296"/>
      <c r="AB119" s="601"/>
      <c r="AC119" s="601"/>
      <c r="AD119" s="301"/>
      <c r="AE119" s="301"/>
      <c r="AF119" s="297"/>
      <c r="AG119" s="186"/>
      <c r="AH119" s="605"/>
    </row>
    <row r="120" spans="1:34" s="298" customFormat="1" ht="19.350000000000001" customHeight="1">
      <c r="A120" s="625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359"/>
      <c r="J120" s="251"/>
      <c r="K120" s="313"/>
      <c r="L120" s="90"/>
      <c r="M120" s="189"/>
      <c r="N120" s="252"/>
      <c r="O120" s="305"/>
      <c r="P120" s="235"/>
      <c r="Q120" s="93"/>
      <c r="R120" s="95"/>
      <c r="S120" s="616"/>
      <c r="T120" s="308"/>
      <c r="U120" s="308"/>
      <c r="V120" s="309"/>
      <c r="W120" s="88">
        <f t="shared" si="70"/>
        <v>0</v>
      </c>
      <c r="X120" s="295"/>
      <c r="Y120" s="295"/>
      <c r="Z120" s="296"/>
      <c r="AA120" s="296"/>
      <c r="AB120" s="601"/>
      <c r="AC120" s="601"/>
      <c r="AD120" s="301"/>
      <c r="AE120" s="301"/>
      <c r="AF120" s="297"/>
      <c r="AG120" s="186"/>
      <c r="AH120" s="605"/>
    </row>
    <row r="121" spans="1:34" ht="19.350000000000001" customHeight="1">
      <c r="A121" s="626"/>
      <c r="B121" s="182">
        <v>0</v>
      </c>
      <c r="C121" s="156" t="s">
        <v>35</v>
      </c>
      <c r="D121" s="314" t="s">
        <v>75</v>
      </c>
      <c r="E121" s="315"/>
      <c r="F121" s="241"/>
      <c r="G121" s="316"/>
      <c r="H121" s="317"/>
      <c r="I121" s="318"/>
      <c r="J121" s="280">
        <v>18.2</v>
      </c>
      <c r="K121" s="280">
        <v>1483.4</v>
      </c>
      <c r="L121" s="281">
        <v>81.984502923976606</v>
      </c>
      <c r="M121" s="280">
        <f t="shared" ref="M121:O121" si="78">AVERAGE(M109:M120)</f>
        <v>18.600000000000001</v>
      </c>
      <c r="N121" s="280">
        <f t="shared" si="78"/>
        <v>1222.1969374887408</v>
      </c>
      <c r="O121" s="281">
        <f t="shared" si="78"/>
        <v>66.015378034136603</v>
      </c>
      <c r="P121" s="92">
        <f t="shared" ref="P121:P129" si="79">M121-J121</f>
        <v>0.40000000000000213</v>
      </c>
      <c r="Q121" s="93">
        <f t="shared" ref="Q121:Q129" si="80">O121-L121</f>
        <v>-15.969124889840003</v>
      </c>
      <c r="R121" s="245">
        <f t="shared" ref="R121:R129" si="81">O121/L121</f>
        <v>0.80521776286613567</v>
      </c>
      <c r="S121" s="622"/>
      <c r="T121" s="96"/>
      <c r="U121" s="96"/>
      <c r="V121" s="86"/>
      <c r="W121" s="88">
        <f t="shared" si="70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01"/>
      <c r="AC121" s="601"/>
      <c r="AD121" s="164">
        <f>SUM(AD109:AD120)</f>
        <v>0</v>
      </c>
      <c r="AE121" s="164">
        <f>SUM(AE109:AE120)</f>
        <v>0</v>
      </c>
      <c r="AF121" s="92">
        <f>N121-K121</f>
        <v>-261.2030625112593</v>
      </c>
      <c r="AG121" s="186">
        <f>N121/K121</f>
        <v>0.82391596163458325</v>
      </c>
      <c r="AH121" s="605"/>
    </row>
    <row r="122" spans="1:34" ht="19.350000000000001" customHeight="1">
      <c r="A122" s="619" t="s">
        <v>184</v>
      </c>
      <c r="B122" s="192" t="s">
        <v>390</v>
      </c>
      <c r="C122" s="233"/>
      <c r="D122" s="249" t="s">
        <v>180</v>
      </c>
      <c r="E122" s="84"/>
      <c r="F122" s="85">
        <v>54.29</v>
      </c>
      <c r="G122" s="86">
        <v>1203</v>
      </c>
      <c r="H122" s="87">
        <f t="shared" ref="H122:H132" si="82">F122*G122</f>
        <v>65310.869999999995</v>
      </c>
      <c r="I122" s="78"/>
      <c r="J122" s="89">
        <v>16</v>
      </c>
      <c r="K122" s="86">
        <v>1440</v>
      </c>
      <c r="L122" s="90">
        <v>90</v>
      </c>
      <c r="M122" s="91">
        <v>16</v>
      </c>
      <c r="N122" s="247">
        <f t="shared" ref="N122:N129" si="83">G122/W122*60</f>
        <v>1244.4827586206907</v>
      </c>
      <c r="O122" s="319">
        <f t="shared" ref="O122:O129" si="84">N122/M122</f>
        <v>77.780172413793167</v>
      </c>
      <c r="P122" s="165">
        <f t="shared" si="79"/>
        <v>0</v>
      </c>
      <c r="Q122" s="255">
        <f t="shared" si="80"/>
        <v>-12.219827586206833</v>
      </c>
      <c r="R122" s="166">
        <f t="shared" si="81"/>
        <v>0.86422413793103514</v>
      </c>
      <c r="S122" s="620">
        <f>R134</f>
        <v>0.83342090808868585</v>
      </c>
      <c r="T122" s="96">
        <v>0.70833333333333337</v>
      </c>
      <c r="U122" s="96">
        <v>0.74861111111111112</v>
      </c>
      <c r="V122" s="309">
        <v>5</v>
      </c>
      <c r="W122" s="88">
        <f t="shared" si="70"/>
        <v>57.999999999999957</v>
      </c>
      <c r="X122" s="99"/>
      <c r="Y122" s="99"/>
      <c r="Z122" s="100"/>
      <c r="AA122" s="100"/>
      <c r="AB122" s="601"/>
      <c r="AC122" s="601"/>
      <c r="AD122" s="359"/>
      <c r="AE122" s="359"/>
      <c r="AF122" s="92">
        <f t="shared" si="61"/>
        <v>-195.51724137930933</v>
      </c>
      <c r="AG122" s="95">
        <f t="shared" si="62"/>
        <v>0.86422413793103514</v>
      </c>
      <c r="AH122" s="622">
        <f>AG134</f>
        <v>0.82905244691878877</v>
      </c>
    </row>
    <row r="123" spans="1:34" ht="19.350000000000001" customHeight="1">
      <c r="A123" s="619"/>
      <c r="B123" s="192" t="s">
        <v>390</v>
      </c>
      <c r="C123" s="152"/>
      <c r="D123" s="83" t="s">
        <v>181</v>
      </c>
      <c r="E123" s="250"/>
      <c r="F123" s="85">
        <v>55.32</v>
      </c>
      <c r="G123" s="86">
        <v>456</v>
      </c>
      <c r="H123" s="87">
        <f t="shared" si="82"/>
        <v>25225.920000000002</v>
      </c>
      <c r="I123" s="359"/>
      <c r="J123" s="138">
        <v>15</v>
      </c>
      <c r="K123" s="104">
        <v>1440</v>
      </c>
      <c r="L123" s="137">
        <v>96</v>
      </c>
      <c r="M123" s="189">
        <v>15</v>
      </c>
      <c r="N123" s="104">
        <f t="shared" si="83"/>
        <v>1139.9999999999964</v>
      </c>
      <c r="O123" s="137">
        <f t="shared" si="84"/>
        <v>75.999999999999758</v>
      </c>
      <c r="P123" s="100">
        <f t="shared" si="79"/>
        <v>0</v>
      </c>
      <c r="Q123" s="139">
        <f t="shared" si="80"/>
        <v>-20.000000000000242</v>
      </c>
      <c r="R123" s="141">
        <f t="shared" si="81"/>
        <v>0.79166666666666419</v>
      </c>
      <c r="S123" s="620"/>
      <c r="T123" s="96">
        <v>0.75416666666666665</v>
      </c>
      <c r="U123" s="96">
        <v>0.77083333333333337</v>
      </c>
      <c r="V123" s="309">
        <v>8</v>
      </c>
      <c r="W123" s="88">
        <f>(U123-T123)*24*60</f>
        <v>24.000000000000075</v>
      </c>
      <c r="X123" s="99"/>
      <c r="Y123" s="99"/>
      <c r="Z123" s="100"/>
      <c r="AA123" s="100"/>
      <c r="AB123" s="601"/>
      <c r="AC123" s="601"/>
      <c r="AD123" s="359"/>
      <c r="AE123" s="359"/>
      <c r="AF123" s="92">
        <f t="shared" si="61"/>
        <v>-300.00000000000364</v>
      </c>
      <c r="AG123" s="95">
        <f t="shared" si="62"/>
        <v>0.79166666666666419</v>
      </c>
      <c r="AH123" s="620"/>
    </row>
    <row r="124" spans="1:34" ht="19.350000000000001" customHeight="1">
      <c r="A124" s="619"/>
      <c r="B124" s="192" t="s">
        <v>390</v>
      </c>
      <c r="C124" s="248"/>
      <c r="D124" s="249" t="s">
        <v>182</v>
      </c>
      <c r="E124" s="250"/>
      <c r="F124" s="85">
        <v>55.56</v>
      </c>
      <c r="G124" s="247">
        <v>749</v>
      </c>
      <c r="H124" s="87">
        <f t="shared" si="82"/>
        <v>41614.44</v>
      </c>
      <c r="I124" s="320"/>
      <c r="J124" s="138">
        <v>16</v>
      </c>
      <c r="K124" s="104">
        <v>1440</v>
      </c>
      <c r="L124" s="137">
        <v>90</v>
      </c>
      <c r="M124" s="91">
        <v>16</v>
      </c>
      <c r="N124" s="247">
        <f t="shared" si="83"/>
        <v>1283.9999999999986</v>
      </c>
      <c r="O124" s="319">
        <f t="shared" si="84"/>
        <v>80.249999999999915</v>
      </c>
      <c r="P124" s="165">
        <f t="shared" si="79"/>
        <v>0</v>
      </c>
      <c r="Q124" s="255">
        <f t="shared" si="80"/>
        <v>-9.7500000000000853</v>
      </c>
      <c r="R124" s="166">
        <f t="shared" si="81"/>
        <v>0.89166666666666572</v>
      </c>
      <c r="S124" s="621"/>
      <c r="T124" s="96">
        <v>0.77569444444444446</v>
      </c>
      <c r="U124" s="96">
        <v>0.8</v>
      </c>
      <c r="V124" s="309">
        <v>7</v>
      </c>
      <c r="W124" s="322">
        <f>(U124-T124)*24*60</f>
        <v>35.000000000000036</v>
      </c>
      <c r="X124" s="264"/>
      <c r="Y124" s="264"/>
      <c r="Z124" s="100"/>
      <c r="AA124" s="100"/>
      <c r="AB124" s="601"/>
      <c r="AC124" s="601"/>
      <c r="AD124" s="359"/>
      <c r="AE124" s="359"/>
      <c r="AF124" s="165">
        <f t="shared" si="61"/>
        <v>-156.00000000000136</v>
      </c>
      <c r="AG124" s="166">
        <f t="shared" si="62"/>
        <v>0.89166666666666572</v>
      </c>
      <c r="AH124" s="620"/>
    </row>
    <row r="125" spans="1:34" ht="19.350000000000001" customHeight="1">
      <c r="A125" s="619"/>
      <c r="B125" s="192" t="s">
        <v>390</v>
      </c>
      <c r="C125" s="152"/>
      <c r="D125" s="83" t="s">
        <v>190</v>
      </c>
      <c r="E125" s="84"/>
      <c r="F125" s="85">
        <v>54.09</v>
      </c>
      <c r="G125" s="86">
        <v>1167.2</v>
      </c>
      <c r="H125" s="87">
        <f t="shared" si="82"/>
        <v>63133.848000000005</v>
      </c>
      <c r="I125" s="78"/>
      <c r="J125" s="138">
        <v>16</v>
      </c>
      <c r="K125" s="104">
        <v>1565</v>
      </c>
      <c r="L125" s="137">
        <v>97.8125</v>
      </c>
      <c r="M125" s="91">
        <v>17</v>
      </c>
      <c r="N125" s="104">
        <f t="shared" si="83"/>
        <v>1273.3090909090918</v>
      </c>
      <c r="O125" s="137">
        <f t="shared" si="84"/>
        <v>74.900534759358337</v>
      </c>
      <c r="P125" s="100">
        <f t="shared" si="79"/>
        <v>1</v>
      </c>
      <c r="Q125" s="139">
        <f t="shared" si="80"/>
        <v>-22.911965240641663</v>
      </c>
      <c r="R125" s="141">
        <f t="shared" si="81"/>
        <v>0.76575626591037282</v>
      </c>
      <c r="S125" s="621"/>
      <c r="T125" s="96">
        <v>0.81597222222222232</v>
      </c>
      <c r="U125" s="96">
        <v>0.85416666666666674</v>
      </c>
      <c r="V125" s="309">
        <v>23</v>
      </c>
      <c r="W125" s="322">
        <f t="shared" ref="W125:W133" si="85">(U125-T125)*24*60</f>
        <v>54.999999999999964</v>
      </c>
      <c r="X125" s="112">
        <v>0.80347222222222225</v>
      </c>
      <c r="Y125" s="112">
        <v>0.81319444444444444</v>
      </c>
      <c r="Z125" s="100"/>
      <c r="AA125" s="100"/>
      <c r="AB125" s="601"/>
      <c r="AC125" s="601"/>
      <c r="AD125" s="359"/>
      <c r="AE125" s="359"/>
      <c r="AF125" s="92">
        <f t="shared" si="61"/>
        <v>-291.69090909090824</v>
      </c>
      <c r="AG125" s="95">
        <f t="shared" si="62"/>
        <v>0.8136160325297711</v>
      </c>
      <c r="AH125" s="623"/>
    </row>
    <row r="126" spans="1:34" ht="19.350000000000001" customHeight="1">
      <c r="A126" s="619"/>
      <c r="B126" s="192" t="s">
        <v>390</v>
      </c>
      <c r="C126" s="359"/>
      <c r="D126" s="83" t="s">
        <v>193</v>
      </c>
      <c r="E126" s="250"/>
      <c r="F126" s="85">
        <v>57.3</v>
      </c>
      <c r="G126" s="104">
        <v>894</v>
      </c>
      <c r="H126" s="87">
        <f t="shared" si="82"/>
        <v>51226.2</v>
      </c>
      <c r="I126" s="359"/>
      <c r="J126" s="138">
        <v>17</v>
      </c>
      <c r="K126" s="104">
        <v>1385</v>
      </c>
      <c r="L126" s="137">
        <v>81.470588235294116</v>
      </c>
      <c r="M126" s="189">
        <v>17</v>
      </c>
      <c r="N126" s="104">
        <f t="shared" si="83"/>
        <v>1166.0869565217392</v>
      </c>
      <c r="O126" s="137">
        <f t="shared" si="84"/>
        <v>68.593350383631716</v>
      </c>
      <c r="P126" s="100">
        <f t="shared" si="79"/>
        <v>0</v>
      </c>
      <c r="Q126" s="139">
        <f t="shared" si="80"/>
        <v>-12.8772378516624</v>
      </c>
      <c r="R126" s="141">
        <f t="shared" si="81"/>
        <v>0.84194004080992002</v>
      </c>
      <c r="S126" s="621"/>
      <c r="T126" s="96">
        <v>0.85902777777777783</v>
      </c>
      <c r="U126" s="96">
        <v>0.89097222222222228</v>
      </c>
      <c r="V126" s="309">
        <v>7</v>
      </c>
      <c r="W126" s="322">
        <f t="shared" si="85"/>
        <v>46</v>
      </c>
      <c r="X126" s="112"/>
      <c r="Y126" s="112"/>
      <c r="Z126" s="100"/>
      <c r="AA126" s="100"/>
      <c r="AB126" s="601"/>
      <c r="AC126" s="601"/>
      <c r="AD126" s="359"/>
      <c r="AE126" s="359"/>
      <c r="AF126" s="165">
        <f t="shared" si="61"/>
        <v>-218.91304347826076</v>
      </c>
      <c r="AG126" s="166">
        <f t="shared" si="62"/>
        <v>0.84194004080992002</v>
      </c>
      <c r="AH126" s="623"/>
    </row>
    <row r="127" spans="1:34" ht="19.350000000000001" customHeight="1">
      <c r="A127" s="619"/>
      <c r="B127" s="192" t="s">
        <v>390</v>
      </c>
      <c r="C127" s="303"/>
      <c r="D127" s="132" t="s">
        <v>194</v>
      </c>
      <c r="E127" s="133"/>
      <c r="F127" s="85">
        <v>50.67</v>
      </c>
      <c r="G127" s="288">
        <v>767</v>
      </c>
      <c r="H127" s="87">
        <f t="shared" si="82"/>
        <v>38863.89</v>
      </c>
      <c r="I127" s="301"/>
      <c r="J127" s="138">
        <v>19</v>
      </c>
      <c r="K127" s="104">
        <v>1636</v>
      </c>
      <c r="L127" s="137">
        <v>86.10526315789474</v>
      </c>
      <c r="M127" s="91">
        <v>18</v>
      </c>
      <c r="N127" s="247">
        <f t="shared" si="83"/>
        <v>1278.3333333333323</v>
      </c>
      <c r="O127" s="319">
        <f t="shared" si="84"/>
        <v>71.018518518518462</v>
      </c>
      <c r="P127" s="165">
        <f t="shared" si="79"/>
        <v>-1</v>
      </c>
      <c r="Q127" s="255">
        <f t="shared" si="80"/>
        <v>-15.086744639376278</v>
      </c>
      <c r="R127" s="166">
        <f t="shared" si="81"/>
        <v>0.82478719550846624</v>
      </c>
      <c r="S127" s="621"/>
      <c r="T127" s="96">
        <v>0.89652777777777781</v>
      </c>
      <c r="U127" s="96">
        <v>0.92152777777777783</v>
      </c>
      <c r="V127" s="78">
        <v>8</v>
      </c>
      <c r="W127" s="322">
        <f t="shared" si="85"/>
        <v>36.000000000000028</v>
      </c>
      <c r="X127" s="112"/>
      <c r="Y127" s="112"/>
      <c r="Z127" s="100"/>
      <c r="AA127" s="100"/>
      <c r="AB127" s="601"/>
      <c r="AC127" s="601"/>
      <c r="AD127" s="359"/>
      <c r="AE127" s="359"/>
      <c r="AF127" s="165">
        <f t="shared" si="61"/>
        <v>-357.66666666666765</v>
      </c>
      <c r="AG127" s="166">
        <f t="shared" si="62"/>
        <v>0.78137734311328388</v>
      </c>
      <c r="AH127" s="623"/>
    </row>
    <row r="128" spans="1:34" ht="19.350000000000001" customHeight="1">
      <c r="A128" s="619"/>
      <c r="B128" s="192" t="s">
        <v>390</v>
      </c>
      <c r="C128" s="226"/>
      <c r="D128" s="106" t="s">
        <v>191</v>
      </c>
      <c r="E128" s="133"/>
      <c r="F128" s="85">
        <v>50.67</v>
      </c>
      <c r="G128" s="104">
        <v>414</v>
      </c>
      <c r="H128" s="87">
        <f t="shared" si="82"/>
        <v>20977.38</v>
      </c>
      <c r="I128" s="359"/>
      <c r="J128" s="138">
        <v>18</v>
      </c>
      <c r="K128" s="104">
        <v>1440</v>
      </c>
      <c r="L128" s="137">
        <v>80</v>
      </c>
      <c r="M128" s="138">
        <v>18</v>
      </c>
      <c r="N128" s="104">
        <f t="shared" si="83"/>
        <v>1079.9999999999964</v>
      </c>
      <c r="O128" s="137">
        <f t="shared" si="84"/>
        <v>59.999999999999801</v>
      </c>
      <c r="P128" s="100">
        <f t="shared" si="79"/>
        <v>0</v>
      </c>
      <c r="Q128" s="139">
        <f t="shared" si="80"/>
        <v>-20.000000000000199</v>
      </c>
      <c r="R128" s="141">
        <f t="shared" si="81"/>
        <v>0.74999999999999756</v>
      </c>
      <c r="S128" s="621"/>
      <c r="T128" s="96">
        <v>0.9375</v>
      </c>
      <c r="U128" s="96">
        <v>0.95347222222222228</v>
      </c>
      <c r="V128" s="78">
        <v>23</v>
      </c>
      <c r="W128" s="322">
        <f t="shared" si="85"/>
        <v>23.000000000000078</v>
      </c>
      <c r="X128" s="112">
        <v>0.92499999999999993</v>
      </c>
      <c r="Y128" s="112">
        <v>0.93472222222222223</v>
      </c>
      <c r="Z128" s="100"/>
      <c r="AA128" s="100"/>
      <c r="AB128" s="601"/>
      <c r="AC128" s="601"/>
      <c r="AD128" s="359"/>
      <c r="AE128" s="359"/>
      <c r="AF128" s="165">
        <f t="shared" si="61"/>
        <v>-360.00000000000364</v>
      </c>
      <c r="AG128" s="166">
        <f t="shared" si="62"/>
        <v>0.74999999999999745</v>
      </c>
      <c r="AH128" s="623"/>
    </row>
    <row r="129" spans="1:34" ht="19.350000000000001" customHeight="1">
      <c r="A129" s="619"/>
      <c r="B129" s="192" t="s">
        <v>390</v>
      </c>
      <c r="C129" s="226"/>
      <c r="D129" s="106" t="s">
        <v>192</v>
      </c>
      <c r="E129" s="107"/>
      <c r="F129" s="85">
        <v>47.6</v>
      </c>
      <c r="G129" s="104">
        <v>1131</v>
      </c>
      <c r="H129" s="87">
        <f t="shared" si="82"/>
        <v>53835.6</v>
      </c>
      <c r="I129" s="359"/>
      <c r="J129" s="138">
        <v>19</v>
      </c>
      <c r="K129" s="104">
        <v>1440</v>
      </c>
      <c r="L129" s="137">
        <v>75.78947368421052</v>
      </c>
      <c r="M129" s="189">
        <v>18</v>
      </c>
      <c r="N129" s="104">
        <f t="shared" si="83"/>
        <v>1305.0000000000007</v>
      </c>
      <c r="O129" s="137">
        <f t="shared" si="84"/>
        <v>72.500000000000043</v>
      </c>
      <c r="P129" s="100">
        <f t="shared" si="79"/>
        <v>-1</v>
      </c>
      <c r="Q129" s="139">
        <f t="shared" si="80"/>
        <v>-3.2894736842104777</v>
      </c>
      <c r="R129" s="141">
        <f t="shared" si="81"/>
        <v>0.95659722222222288</v>
      </c>
      <c r="S129" s="621"/>
      <c r="T129" s="96">
        <v>0.95833333333333337</v>
      </c>
      <c r="U129" s="96">
        <v>0.99444444444444446</v>
      </c>
      <c r="V129" s="78">
        <v>7</v>
      </c>
      <c r="W129" s="322">
        <f t="shared" si="85"/>
        <v>51.999999999999972</v>
      </c>
      <c r="X129" s="112"/>
      <c r="Y129" s="112"/>
      <c r="Z129" s="100"/>
      <c r="AA129" s="100"/>
      <c r="AB129" s="601"/>
      <c r="AC129" s="601"/>
      <c r="AD129" s="359"/>
      <c r="AE129" s="359"/>
      <c r="AF129" s="165"/>
      <c r="AG129" s="166"/>
      <c r="AH129" s="623"/>
    </row>
    <row r="130" spans="1:34" ht="19.350000000000001" customHeight="1">
      <c r="A130" s="619"/>
      <c r="B130" s="278">
        <v>0</v>
      </c>
      <c r="C130" s="226"/>
      <c r="D130" s="106"/>
      <c r="E130" s="107"/>
      <c r="F130" s="85" t="s">
        <v>391</v>
      </c>
      <c r="G130" s="104"/>
      <c r="H130" s="87">
        <f t="shared" si="82"/>
        <v>0</v>
      </c>
      <c r="I130" s="359"/>
      <c r="J130" s="89"/>
      <c r="K130" s="104"/>
      <c r="L130" s="137"/>
      <c r="M130" s="189"/>
      <c r="N130" s="86"/>
      <c r="O130" s="90"/>
      <c r="P130" s="92"/>
      <c r="Q130" s="93"/>
      <c r="R130" s="95"/>
      <c r="S130" s="621"/>
      <c r="T130" s="96"/>
      <c r="U130" s="96"/>
      <c r="V130" s="78"/>
      <c r="W130" s="322">
        <f t="shared" si="85"/>
        <v>0</v>
      </c>
      <c r="X130" s="112"/>
      <c r="Y130" s="112"/>
      <c r="Z130" s="100"/>
      <c r="AA130" s="100"/>
      <c r="AB130" s="601"/>
      <c r="AC130" s="601"/>
      <c r="AD130" s="359"/>
      <c r="AE130" s="359"/>
      <c r="AF130" s="113"/>
      <c r="AG130" s="114"/>
      <c r="AH130" s="623"/>
    </row>
    <row r="131" spans="1:34" ht="19.350000000000001" customHeight="1">
      <c r="A131" s="619"/>
      <c r="B131" s="278">
        <v>0</v>
      </c>
      <c r="C131" s="226"/>
      <c r="D131" s="106"/>
      <c r="E131" s="133"/>
      <c r="F131" s="85" t="s">
        <v>391</v>
      </c>
      <c r="G131" s="288"/>
      <c r="H131" s="87">
        <f t="shared" si="82"/>
        <v>0</v>
      </c>
      <c r="I131" s="301"/>
      <c r="J131" s="89"/>
      <c r="K131" s="86"/>
      <c r="L131" s="90"/>
      <c r="M131" s="138"/>
      <c r="N131" s="86"/>
      <c r="O131" s="90"/>
      <c r="P131" s="92"/>
      <c r="Q131" s="93"/>
      <c r="R131" s="95"/>
      <c r="S131" s="621"/>
      <c r="T131" s="96"/>
      <c r="U131" s="96"/>
      <c r="V131" s="78"/>
      <c r="W131" s="322">
        <f t="shared" si="85"/>
        <v>0</v>
      </c>
      <c r="X131" s="112"/>
      <c r="Y131" s="112"/>
      <c r="Z131" s="100"/>
      <c r="AA131" s="100"/>
      <c r="AB131" s="601"/>
      <c r="AC131" s="601"/>
      <c r="AD131" s="359"/>
      <c r="AE131" s="359"/>
      <c r="AF131" s="113"/>
      <c r="AG131" s="114"/>
      <c r="AH131" s="623"/>
    </row>
    <row r="132" spans="1:34" ht="19.350000000000001" customHeight="1">
      <c r="A132" s="619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2"/>
        <v>0</v>
      </c>
      <c r="I132" s="359"/>
      <c r="J132" s="138"/>
      <c r="K132" s="104"/>
      <c r="L132" s="137"/>
      <c r="M132" s="189"/>
      <c r="N132" s="104"/>
      <c r="O132" s="137"/>
      <c r="P132" s="100"/>
      <c r="Q132" s="139"/>
      <c r="R132" s="141"/>
      <c r="S132" s="621"/>
      <c r="T132" s="96"/>
      <c r="U132" s="96"/>
      <c r="V132" s="78"/>
      <c r="W132" s="322">
        <f t="shared" si="85"/>
        <v>0</v>
      </c>
      <c r="X132" s="112"/>
      <c r="Y132" s="112"/>
      <c r="Z132" s="100"/>
      <c r="AA132" s="100"/>
      <c r="AB132" s="601"/>
      <c r="AC132" s="601"/>
      <c r="AD132" s="359"/>
      <c r="AE132" s="359"/>
      <c r="AF132" s="113"/>
      <c r="AG132" s="114"/>
      <c r="AH132" s="623"/>
    </row>
    <row r="133" spans="1:34" ht="19.350000000000001" customHeight="1">
      <c r="A133" s="619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359"/>
      <c r="J133" s="138"/>
      <c r="K133" s="104"/>
      <c r="L133" s="137"/>
      <c r="M133" s="189"/>
      <c r="N133" s="104"/>
      <c r="O133" s="137"/>
      <c r="P133" s="100"/>
      <c r="Q133" s="139"/>
      <c r="R133" s="141"/>
      <c r="S133" s="621"/>
      <c r="T133" s="96"/>
      <c r="U133" s="96"/>
      <c r="V133" s="78"/>
      <c r="W133" s="322">
        <f t="shared" si="85"/>
        <v>0</v>
      </c>
      <c r="X133" s="112"/>
      <c r="Y133" s="112"/>
      <c r="Z133" s="100"/>
      <c r="AA133" s="100"/>
      <c r="AB133" s="601"/>
      <c r="AC133" s="601"/>
      <c r="AD133" s="359"/>
      <c r="AE133" s="359"/>
      <c r="AF133" s="113"/>
      <c r="AG133" s="114"/>
      <c r="AH133" s="623"/>
    </row>
    <row r="134" spans="1:34" ht="19.350000000000001" customHeight="1">
      <c r="A134" s="619"/>
      <c r="B134" s="240">
        <v>0</v>
      </c>
      <c r="C134" s="156" t="s">
        <v>36</v>
      </c>
      <c r="D134" s="602" t="s">
        <v>75</v>
      </c>
      <c r="E134" s="602"/>
      <c r="F134" s="258"/>
      <c r="G134" s="158"/>
      <c r="H134" s="159"/>
      <c r="I134" s="325"/>
      <c r="J134" s="326">
        <v>17</v>
      </c>
      <c r="K134" s="326">
        <v>1473.25</v>
      </c>
      <c r="L134" s="327">
        <v>87.147228134674933</v>
      </c>
      <c r="M134" s="326">
        <f t="shared" ref="M134:O134" si="86">AVERAGE(M122:M133)</f>
        <v>16.875</v>
      </c>
      <c r="N134" s="326">
        <f t="shared" si="86"/>
        <v>1221.4015174231056</v>
      </c>
      <c r="O134" s="327">
        <f t="shared" si="86"/>
        <v>72.630322009412652</v>
      </c>
      <c r="P134" s="97">
        <f t="shared" ref="P134:P141" si="87">M134-J134</f>
        <v>-0.125</v>
      </c>
      <c r="Q134" s="205">
        <f t="shared" ref="Q134:Q141" si="88">O134-L134</f>
        <v>-14.516906125262281</v>
      </c>
      <c r="R134" s="328">
        <f t="shared" ref="R134:R141" si="89">O134/L134</f>
        <v>0.83342090808868585</v>
      </c>
      <c r="S134" s="620"/>
      <c r="T134" s="96"/>
      <c r="U134" s="96"/>
      <c r="V134" s="78"/>
      <c r="W134" s="78"/>
      <c r="X134" s="99"/>
      <c r="Y134" s="99"/>
      <c r="Z134" s="163">
        <f>SUM(Z122:Z133)</f>
        <v>0</v>
      </c>
      <c r="AA134" s="163">
        <f>SUM(AA122:AA133)</f>
        <v>0</v>
      </c>
      <c r="AB134" s="601"/>
      <c r="AC134" s="601"/>
      <c r="AD134" s="164">
        <f>SUM(AD122:AD133)</f>
        <v>0</v>
      </c>
      <c r="AE134" s="164">
        <f>SUM(AE122:AE133)</f>
        <v>0</v>
      </c>
      <c r="AF134" s="92">
        <f t="shared" si="61"/>
        <v>-251.84848257689441</v>
      </c>
      <c r="AG134" s="95">
        <f t="shared" si="62"/>
        <v>0.82905244691878877</v>
      </c>
      <c r="AH134" s="623"/>
    </row>
    <row r="135" spans="1:34" ht="19.350000000000001" customHeight="1">
      <c r="A135" s="612" t="s">
        <v>195</v>
      </c>
      <c r="B135" s="78" t="s">
        <v>390</v>
      </c>
      <c r="C135" s="359"/>
      <c r="D135" s="132" t="s">
        <v>196</v>
      </c>
      <c r="E135" s="133"/>
      <c r="F135" s="85">
        <v>50.67</v>
      </c>
      <c r="G135" s="104">
        <v>699</v>
      </c>
      <c r="H135" s="329">
        <f t="shared" ref="H135:H146" si="90">F135*G135</f>
        <v>35418.33</v>
      </c>
      <c r="I135" s="359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91">G135/W135*60</f>
        <v>1270.9090909090894</v>
      </c>
      <c r="O135" s="174">
        <f t="shared" ref="O135:O141" si="92">N135/M135</f>
        <v>74.75935828876996</v>
      </c>
      <c r="P135" s="100">
        <f t="shared" si="87"/>
        <v>0</v>
      </c>
      <c r="Q135" s="139">
        <f t="shared" si="88"/>
        <v>-13.475935828877098</v>
      </c>
      <c r="R135" s="141">
        <f t="shared" si="89"/>
        <v>0.84727272727272618</v>
      </c>
      <c r="S135" s="616">
        <f>R147</f>
        <v>0.88415067002272696</v>
      </c>
      <c r="T135" s="330">
        <v>0.70833333333333337</v>
      </c>
      <c r="U135" s="96">
        <v>0.73125000000000007</v>
      </c>
      <c r="V135" s="208">
        <v>5</v>
      </c>
      <c r="W135" s="331">
        <f t="shared" ref="W135:W147" si="93">(U135-T135)*24*60</f>
        <v>33.000000000000043</v>
      </c>
      <c r="X135" s="230"/>
      <c r="Y135" s="230"/>
      <c r="Z135" s="100"/>
      <c r="AA135" s="100"/>
      <c r="AB135" s="601"/>
      <c r="AC135" s="601"/>
      <c r="AD135" s="359"/>
      <c r="AE135" s="359"/>
      <c r="AF135" s="175">
        <f t="shared" si="61"/>
        <v>-229.0909090909106</v>
      </c>
      <c r="AG135" s="180">
        <f t="shared" si="62"/>
        <v>0.84727272727272629</v>
      </c>
      <c r="AH135" s="605">
        <f>AG147</f>
        <v>0.88650446586101184</v>
      </c>
    </row>
    <row r="136" spans="1:34" ht="19.350000000000001" customHeight="1">
      <c r="A136" s="613"/>
      <c r="B136" s="78" t="s">
        <v>390</v>
      </c>
      <c r="C136" s="359"/>
      <c r="D136" s="132" t="s">
        <v>197</v>
      </c>
      <c r="E136" s="332"/>
      <c r="F136" s="85">
        <v>50.98</v>
      </c>
      <c r="G136" s="104">
        <v>1516</v>
      </c>
      <c r="H136" s="135">
        <f t="shared" si="90"/>
        <v>77285.679999999993</v>
      </c>
      <c r="I136" s="359"/>
      <c r="J136" s="89">
        <v>18</v>
      </c>
      <c r="K136" s="104">
        <v>1440</v>
      </c>
      <c r="L136" s="137">
        <v>80</v>
      </c>
      <c r="M136" s="189">
        <v>18</v>
      </c>
      <c r="N136" s="104">
        <f t="shared" si="91"/>
        <v>1318.2608695652159</v>
      </c>
      <c r="O136" s="137">
        <f t="shared" si="92"/>
        <v>73.236714975845331</v>
      </c>
      <c r="P136" s="100">
        <f t="shared" si="87"/>
        <v>0</v>
      </c>
      <c r="Q136" s="139">
        <f t="shared" si="88"/>
        <v>-6.7632850241546691</v>
      </c>
      <c r="R136" s="141">
        <f t="shared" si="89"/>
        <v>0.91545893719806659</v>
      </c>
      <c r="S136" s="616"/>
      <c r="T136" s="330">
        <v>0.73611111111111116</v>
      </c>
      <c r="U136" s="96">
        <v>0.78402777777777788</v>
      </c>
      <c r="V136" s="208">
        <v>7</v>
      </c>
      <c r="W136" s="88">
        <f t="shared" si="93"/>
        <v>69.000000000000071</v>
      </c>
      <c r="X136" s="99"/>
      <c r="Y136" s="99"/>
      <c r="Z136" s="100"/>
      <c r="AA136" s="100"/>
      <c r="AB136" s="601"/>
      <c r="AC136" s="601"/>
      <c r="AD136" s="359"/>
      <c r="AE136" s="359"/>
      <c r="AF136" s="92">
        <f t="shared" si="61"/>
        <v>-121.7391304347841</v>
      </c>
      <c r="AG136" s="186">
        <f t="shared" si="62"/>
        <v>0.91545893719806659</v>
      </c>
      <c r="AH136" s="605"/>
    </row>
    <row r="137" spans="1:34" ht="19.350000000000001" customHeight="1">
      <c r="A137" s="613"/>
      <c r="B137" s="78" t="s">
        <v>390</v>
      </c>
      <c r="C137" s="359"/>
      <c r="D137" s="132" t="s">
        <v>198</v>
      </c>
      <c r="E137" s="133"/>
      <c r="F137" s="85">
        <v>54.09</v>
      </c>
      <c r="G137" s="288">
        <v>794</v>
      </c>
      <c r="H137" s="135">
        <f t="shared" si="90"/>
        <v>42947.46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91"/>
        <v>1253.6842105263147</v>
      </c>
      <c r="O137" s="137">
        <f t="shared" si="92"/>
        <v>69.649122807017477</v>
      </c>
      <c r="P137" s="100">
        <f t="shared" si="87"/>
        <v>-1</v>
      </c>
      <c r="Q137" s="139">
        <f t="shared" si="88"/>
        <v>-9.298245614035153</v>
      </c>
      <c r="R137" s="141">
        <f t="shared" si="89"/>
        <v>0.88222222222222135</v>
      </c>
      <c r="S137" s="616"/>
      <c r="T137" s="96">
        <v>0.7993055555555556</v>
      </c>
      <c r="U137" s="96">
        <v>0.82569444444444451</v>
      </c>
      <c r="V137" s="333">
        <v>22</v>
      </c>
      <c r="W137" s="88">
        <f t="shared" si="93"/>
        <v>38.000000000000028</v>
      </c>
      <c r="X137" s="99">
        <v>0.78749999999999998</v>
      </c>
      <c r="Y137" s="99">
        <v>0.79652777777777783</v>
      </c>
      <c r="Z137" s="100"/>
      <c r="AA137" s="100"/>
      <c r="AB137" s="601"/>
      <c r="AC137" s="601"/>
      <c r="AD137" s="359"/>
      <c r="AE137" s="359"/>
      <c r="AF137" s="92">
        <f t="shared" si="61"/>
        <v>-246.3157894736853</v>
      </c>
      <c r="AG137" s="186">
        <f t="shared" si="62"/>
        <v>0.83578947368420975</v>
      </c>
      <c r="AH137" s="605"/>
    </row>
    <row r="138" spans="1:34" ht="19.350000000000001" customHeight="1">
      <c r="A138" s="613"/>
      <c r="B138" s="78" t="s">
        <v>390</v>
      </c>
      <c r="C138" s="303"/>
      <c r="D138" s="132" t="s">
        <v>199</v>
      </c>
      <c r="E138" s="133"/>
      <c r="F138" s="85">
        <v>50.92</v>
      </c>
      <c r="G138" s="104">
        <v>1822</v>
      </c>
      <c r="H138" s="135">
        <f t="shared" si="90"/>
        <v>92776.24</v>
      </c>
      <c r="I138" s="359"/>
      <c r="J138" s="138">
        <v>17</v>
      </c>
      <c r="K138" s="104">
        <v>1440</v>
      </c>
      <c r="L138" s="137">
        <v>84.705882352941174</v>
      </c>
      <c r="M138" s="310">
        <v>17</v>
      </c>
      <c r="N138" s="104">
        <f t="shared" si="91"/>
        <v>1349.6296296296291</v>
      </c>
      <c r="O138" s="137">
        <f t="shared" si="92"/>
        <v>79.38997821350759</v>
      </c>
      <c r="P138" s="100">
        <f t="shared" si="87"/>
        <v>0</v>
      </c>
      <c r="Q138" s="139">
        <f t="shared" si="88"/>
        <v>-5.3159041394335844</v>
      </c>
      <c r="R138" s="321">
        <f t="shared" si="89"/>
        <v>0.93724279835390911</v>
      </c>
      <c r="S138" s="616"/>
      <c r="T138" s="96">
        <v>0.8305555555555556</v>
      </c>
      <c r="U138" s="96">
        <v>0.88680555555555562</v>
      </c>
      <c r="V138" s="333">
        <v>7</v>
      </c>
      <c r="W138" s="88">
        <f t="shared" si="93"/>
        <v>81.000000000000028</v>
      </c>
      <c r="X138" s="99"/>
      <c r="Y138" s="99"/>
      <c r="Z138" s="100"/>
      <c r="AA138" s="100"/>
      <c r="AB138" s="601"/>
      <c r="AC138" s="601"/>
      <c r="AD138" s="359"/>
      <c r="AE138" s="359"/>
      <c r="AF138" s="92">
        <f t="shared" si="61"/>
        <v>-90.370370370370892</v>
      </c>
      <c r="AG138" s="186">
        <f t="shared" si="62"/>
        <v>0.93724279835390911</v>
      </c>
      <c r="AH138" s="605"/>
    </row>
    <row r="139" spans="1:34" ht="19.350000000000001" customHeight="1">
      <c r="A139" s="613"/>
      <c r="B139" s="78" t="s">
        <v>390</v>
      </c>
      <c r="C139" s="237"/>
      <c r="D139" s="83" t="s">
        <v>200</v>
      </c>
      <c r="E139" s="84"/>
      <c r="F139" s="85">
        <v>50.29</v>
      </c>
      <c r="G139" s="104">
        <v>662</v>
      </c>
      <c r="H139" s="135">
        <f t="shared" si="90"/>
        <v>33291.979999999996</v>
      </c>
      <c r="I139" s="359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91"/>
        <v>1281.2903225806431</v>
      </c>
      <c r="O139" s="137">
        <f t="shared" si="92"/>
        <v>71.182795698924622</v>
      </c>
      <c r="P139" s="100">
        <f t="shared" si="87"/>
        <v>0</v>
      </c>
      <c r="Q139" s="139">
        <f t="shared" si="88"/>
        <v>-8.8172043010753782</v>
      </c>
      <c r="R139" s="141">
        <f t="shared" si="89"/>
        <v>0.88978494623655779</v>
      </c>
      <c r="S139" s="616"/>
      <c r="T139" s="96">
        <v>0.89236111111111116</v>
      </c>
      <c r="U139" s="96">
        <v>0.91388888888888897</v>
      </c>
      <c r="V139" s="334">
        <v>8</v>
      </c>
      <c r="W139" s="88">
        <f t="shared" si="93"/>
        <v>31.00000000000005</v>
      </c>
      <c r="X139" s="99"/>
      <c r="Y139" s="99"/>
      <c r="Z139" s="100"/>
      <c r="AA139" s="100"/>
      <c r="AB139" s="601"/>
      <c r="AC139" s="601"/>
      <c r="AD139" s="359"/>
      <c r="AE139" s="359"/>
      <c r="AF139" s="92">
        <f t="shared" si="61"/>
        <v>-158.70967741935692</v>
      </c>
      <c r="AG139" s="186">
        <f t="shared" si="62"/>
        <v>0.88978494623655768</v>
      </c>
      <c r="AH139" s="605"/>
    </row>
    <row r="140" spans="1:34" ht="19.350000000000001" customHeight="1">
      <c r="A140" s="614"/>
      <c r="B140" s="78" t="s">
        <v>390</v>
      </c>
      <c r="C140" s="237"/>
      <c r="D140" s="335" t="s">
        <v>201</v>
      </c>
      <c r="E140" s="133"/>
      <c r="F140" s="85">
        <v>50.67</v>
      </c>
      <c r="G140" s="104">
        <v>916</v>
      </c>
      <c r="H140" s="135">
        <f t="shared" si="90"/>
        <v>46413.72</v>
      </c>
      <c r="I140" s="359"/>
      <c r="J140" s="89">
        <v>17</v>
      </c>
      <c r="K140" s="104">
        <v>1440</v>
      </c>
      <c r="L140" s="137">
        <v>84.705882352941174</v>
      </c>
      <c r="M140" s="310">
        <v>17</v>
      </c>
      <c r="N140" s="104">
        <f t="shared" si="91"/>
        <v>1308.5714285714282</v>
      </c>
      <c r="O140" s="137">
        <f t="shared" si="92"/>
        <v>76.974789915966369</v>
      </c>
      <c r="P140" s="100">
        <f t="shared" si="87"/>
        <v>0</v>
      </c>
      <c r="Q140" s="139">
        <f t="shared" si="88"/>
        <v>-7.7310924369748051</v>
      </c>
      <c r="R140" s="141">
        <f t="shared" si="89"/>
        <v>0.9087301587301585</v>
      </c>
      <c r="S140" s="617"/>
      <c r="T140" s="111">
        <v>0.91875000000000007</v>
      </c>
      <c r="U140" s="336">
        <v>0.94791666666666674</v>
      </c>
      <c r="V140" s="337">
        <v>7</v>
      </c>
      <c r="W140" s="88">
        <f t="shared" si="93"/>
        <v>42.000000000000014</v>
      </c>
      <c r="X140" s="99"/>
      <c r="Y140" s="99"/>
      <c r="Z140" s="100"/>
      <c r="AA140" s="100"/>
      <c r="AB140" s="601"/>
      <c r="AC140" s="601"/>
      <c r="AD140" s="359"/>
      <c r="AE140" s="359"/>
      <c r="AF140" s="92">
        <f t="shared" si="61"/>
        <v>-131.42857142857179</v>
      </c>
      <c r="AG140" s="186">
        <f t="shared" si="62"/>
        <v>0.9087301587301585</v>
      </c>
      <c r="AH140" s="605"/>
    </row>
    <row r="141" spans="1:34" ht="19.350000000000001" customHeight="1">
      <c r="A141" s="614"/>
      <c r="B141" s="78" t="s">
        <v>390</v>
      </c>
      <c r="C141" s="237"/>
      <c r="D141" s="83" t="s">
        <v>202</v>
      </c>
      <c r="E141" s="338"/>
      <c r="F141" s="85">
        <v>50.49</v>
      </c>
      <c r="G141" s="104">
        <v>1113</v>
      </c>
      <c r="H141" s="135">
        <f t="shared" si="90"/>
        <v>56195.37</v>
      </c>
      <c r="I141" s="359"/>
      <c r="J141" s="89">
        <v>15</v>
      </c>
      <c r="K141" s="86">
        <v>1440</v>
      </c>
      <c r="L141" s="90">
        <v>96</v>
      </c>
      <c r="M141" s="310">
        <v>16</v>
      </c>
      <c r="N141" s="104">
        <f t="shared" si="91"/>
        <v>1260.0000000000007</v>
      </c>
      <c r="O141" s="137">
        <f t="shared" si="92"/>
        <v>78.750000000000043</v>
      </c>
      <c r="P141" s="100">
        <f t="shared" si="87"/>
        <v>1</v>
      </c>
      <c r="Q141" s="139">
        <f t="shared" si="88"/>
        <v>-17.249999999999957</v>
      </c>
      <c r="R141" s="321">
        <f t="shared" si="89"/>
        <v>0.82031250000000044</v>
      </c>
      <c r="S141" s="617"/>
      <c r="T141" s="111">
        <v>0.96319444444444446</v>
      </c>
      <c r="U141" s="336">
        <v>1</v>
      </c>
      <c r="V141" s="102">
        <v>22</v>
      </c>
      <c r="W141" s="88">
        <f t="shared" si="93"/>
        <v>52.999999999999972</v>
      </c>
      <c r="X141" s="99">
        <v>0.95138888888888884</v>
      </c>
      <c r="Y141" s="99">
        <v>0.9604166666666667</v>
      </c>
      <c r="Z141" s="100"/>
      <c r="AA141" s="100"/>
      <c r="AB141" s="601"/>
      <c r="AC141" s="601"/>
      <c r="AD141" s="359"/>
      <c r="AE141" s="359"/>
      <c r="AF141" s="92">
        <f t="shared" si="61"/>
        <v>-179.99999999999932</v>
      </c>
      <c r="AG141" s="186">
        <f t="shared" si="62"/>
        <v>0.87500000000000044</v>
      </c>
      <c r="AH141" s="605"/>
    </row>
    <row r="142" spans="1:34" ht="19.350000000000001" customHeight="1">
      <c r="A142" s="614"/>
      <c r="B142" s="78">
        <v>0</v>
      </c>
      <c r="C142" s="237"/>
      <c r="D142" s="83"/>
      <c r="E142" s="338"/>
      <c r="F142" s="85" t="s">
        <v>391</v>
      </c>
      <c r="G142" s="104"/>
      <c r="H142" s="135">
        <f t="shared" si="90"/>
        <v>0</v>
      </c>
      <c r="I142" s="359"/>
      <c r="J142" s="138"/>
      <c r="K142" s="104"/>
      <c r="L142" s="137"/>
      <c r="M142" s="310"/>
      <c r="N142" s="104"/>
      <c r="O142" s="137"/>
      <c r="P142" s="100"/>
      <c r="Q142" s="139"/>
      <c r="R142" s="141"/>
      <c r="S142" s="617"/>
      <c r="T142" s="111"/>
      <c r="U142" s="336"/>
      <c r="V142" s="102"/>
      <c r="W142" s="88"/>
      <c r="X142" s="99"/>
      <c r="Y142" s="99"/>
      <c r="Z142" s="100"/>
      <c r="AA142" s="100"/>
      <c r="AB142" s="601"/>
      <c r="AC142" s="601"/>
      <c r="AD142" s="359"/>
      <c r="AE142" s="359"/>
      <c r="AF142" s="92">
        <f t="shared" si="61"/>
        <v>0</v>
      </c>
      <c r="AG142" s="186" t="e">
        <f t="shared" si="62"/>
        <v>#DIV/0!</v>
      </c>
      <c r="AH142" s="605"/>
    </row>
    <row r="143" spans="1:34" ht="19.350000000000001" customHeight="1">
      <c r="A143" s="614"/>
      <c r="B143" s="78">
        <v>0</v>
      </c>
      <c r="C143" s="339"/>
      <c r="D143" s="132"/>
      <c r="E143" s="133"/>
      <c r="F143" s="85" t="s">
        <v>391</v>
      </c>
      <c r="G143" s="104"/>
      <c r="H143" s="135">
        <f t="shared" si="90"/>
        <v>0</v>
      </c>
      <c r="I143" s="359"/>
      <c r="J143" s="89"/>
      <c r="K143" s="86"/>
      <c r="L143" s="90"/>
      <c r="M143" s="310"/>
      <c r="N143" s="104"/>
      <c r="O143" s="137"/>
      <c r="P143" s="100"/>
      <c r="Q143" s="139"/>
      <c r="R143" s="141"/>
      <c r="S143" s="617"/>
      <c r="T143" s="111"/>
      <c r="U143" s="336"/>
      <c r="V143" s="102"/>
      <c r="W143" s="88"/>
      <c r="X143" s="99"/>
      <c r="Y143" s="99"/>
      <c r="Z143" s="100"/>
      <c r="AA143" s="100"/>
      <c r="AB143" s="601"/>
      <c r="AC143" s="601"/>
      <c r="AD143" s="359"/>
      <c r="AE143" s="359"/>
      <c r="AF143" s="92">
        <f t="shared" si="61"/>
        <v>0</v>
      </c>
      <c r="AG143" s="186" t="e">
        <f t="shared" si="62"/>
        <v>#DIV/0!</v>
      </c>
      <c r="AH143" s="605"/>
    </row>
    <row r="144" spans="1:34" ht="19.350000000000001" customHeight="1">
      <c r="A144" s="614"/>
      <c r="B144" s="78">
        <v>0</v>
      </c>
      <c r="C144" s="237"/>
      <c r="D144" s="83"/>
      <c r="E144" s="338"/>
      <c r="F144" s="85" t="s">
        <v>391</v>
      </c>
      <c r="G144" s="104"/>
      <c r="H144" s="135">
        <f t="shared" si="90"/>
        <v>0</v>
      </c>
      <c r="I144" s="359"/>
      <c r="J144" s="89"/>
      <c r="K144" s="104"/>
      <c r="L144" s="137"/>
      <c r="M144" s="189"/>
      <c r="N144" s="104"/>
      <c r="O144" s="137"/>
      <c r="P144" s="100"/>
      <c r="Q144" s="139"/>
      <c r="R144" s="321"/>
      <c r="S144" s="617"/>
      <c r="T144" s="111"/>
      <c r="U144" s="336"/>
      <c r="V144" s="102"/>
      <c r="W144" s="88"/>
      <c r="X144" s="99"/>
      <c r="Y144" s="99"/>
      <c r="Z144" s="100"/>
      <c r="AA144" s="100"/>
      <c r="AB144" s="601"/>
      <c r="AC144" s="601"/>
      <c r="AD144" s="359"/>
      <c r="AE144" s="359"/>
      <c r="AF144" s="92">
        <f t="shared" si="61"/>
        <v>0</v>
      </c>
      <c r="AG144" s="186" t="e">
        <f t="shared" si="62"/>
        <v>#DIV/0!</v>
      </c>
      <c r="AH144" s="605"/>
    </row>
    <row r="145" spans="1:34" ht="19.350000000000001" customHeight="1">
      <c r="A145" s="614"/>
      <c r="B145" s="78">
        <v>0</v>
      </c>
      <c r="C145" s="237"/>
      <c r="D145" s="83"/>
      <c r="E145" s="338"/>
      <c r="F145" s="85" t="s">
        <v>391</v>
      </c>
      <c r="G145" s="104"/>
      <c r="H145" s="135">
        <f t="shared" si="90"/>
        <v>0</v>
      </c>
      <c r="I145" s="359"/>
      <c r="J145" s="138"/>
      <c r="K145" s="104"/>
      <c r="L145" s="137"/>
      <c r="M145" s="189"/>
      <c r="N145" s="104"/>
      <c r="O145" s="137"/>
      <c r="P145" s="100"/>
      <c r="Q145" s="139"/>
      <c r="R145" s="141"/>
      <c r="S145" s="617"/>
      <c r="T145" s="111"/>
      <c r="U145" s="336"/>
      <c r="V145" s="102"/>
      <c r="W145" s="88">
        <f t="shared" si="93"/>
        <v>0</v>
      </c>
      <c r="X145" s="99"/>
      <c r="Y145" s="99"/>
      <c r="Z145" s="100"/>
      <c r="AA145" s="100"/>
      <c r="AB145" s="601"/>
      <c r="AC145" s="601"/>
      <c r="AD145" s="359"/>
      <c r="AE145" s="359"/>
      <c r="AF145" s="92">
        <f t="shared" si="61"/>
        <v>0</v>
      </c>
      <c r="AG145" s="186" t="e">
        <f t="shared" si="62"/>
        <v>#DIV/0!</v>
      </c>
      <c r="AH145" s="605"/>
    </row>
    <row r="146" spans="1:34" ht="19.350000000000001" customHeight="1">
      <c r="A146" s="614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90"/>
        <v>0</v>
      </c>
      <c r="I146" s="359"/>
      <c r="J146" s="138"/>
      <c r="K146" s="104"/>
      <c r="L146" s="137"/>
      <c r="M146" s="189"/>
      <c r="N146" s="104"/>
      <c r="O146" s="137"/>
      <c r="P146" s="100"/>
      <c r="Q146" s="139"/>
      <c r="R146" s="141"/>
      <c r="S146" s="617"/>
      <c r="T146" s="111"/>
      <c r="U146" s="336"/>
      <c r="V146" s="102"/>
      <c r="W146" s="88">
        <f t="shared" si="93"/>
        <v>0</v>
      </c>
      <c r="X146" s="99"/>
      <c r="Y146" s="99"/>
      <c r="Z146" s="100"/>
      <c r="AA146" s="100"/>
      <c r="AB146" s="601"/>
      <c r="AC146" s="601"/>
      <c r="AD146" s="359"/>
      <c r="AE146" s="359"/>
      <c r="AF146" s="100"/>
      <c r="AG146" s="141"/>
      <c r="AH146" s="605"/>
    </row>
    <row r="147" spans="1:34" ht="19.350000000000001" customHeight="1">
      <c r="A147" s="615"/>
      <c r="B147" s="341">
        <v>0</v>
      </c>
      <c r="C147" s="156" t="s">
        <v>37</v>
      </c>
      <c r="D147" s="602" t="s">
        <v>75</v>
      </c>
      <c r="E147" s="602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4">AVERAGE(M135:M146)</f>
        <v>17.285714285714285</v>
      </c>
      <c r="N147" s="326">
        <f t="shared" si="94"/>
        <v>1291.7636502546172</v>
      </c>
      <c r="O147" s="327">
        <f t="shared" si="94"/>
        <v>74.84896570000447</v>
      </c>
      <c r="P147" s="97">
        <f t="shared" ref="P147:P151" si="95">M147-J147</f>
        <v>0</v>
      </c>
      <c r="Q147" s="205">
        <f t="shared" ref="Q147:Q151" si="96">O147-L147</f>
        <v>-9.807381049221533</v>
      </c>
      <c r="R147" s="343">
        <f t="shared" ref="R147:R151" si="97">O147/L147</f>
        <v>0.88415067002272696</v>
      </c>
      <c r="S147" s="618"/>
      <c r="T147" s="111"/>
      <c r="U147" s="111"/>
      <c r="V147" s="102"/>
      <c r="W147" s="88">
        <f t="shared" si="93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01"/>
      <c r="AC147" s="601"/>
      <c r="AD147" s="164">
        <f>SUM(AD135:AD146)</f>
        <v>0</v>
      </c>
      <c r="AE147" s="164">
        <f>SUM(AE135:AE146)</f>
        <v>0</v>
      </c>
      <c r="AF147" s="282">
        <f t="shared" si="61"/>
        <v>-165.37920688823988</v>
      </c>
      <c r="AG147" s="344">
        <f t="shared" si="62"/>
        <v>0.88650446586101184</v>
      </c>
      <c r="AH147" s="605"/>
    </row>
    <row r="148" spans="1:34" ht="19.350000000000001" customHeight="1">
      <c r="A148" s="608" t="s">
        <v>203</v>
      </c>
      <c r="B148" s="359" t="s">
        <v>390</v>
      </c>
      <c r="C148" s="182"/>
      <c r="D148" s="246" t="s">
        <v>204</v>
      </c>
      <c r="E148" s="84"/>
      <c r="F148" s="199">
        <v>57.3</v>
      </c>
      <c r="G148" s="104">
        <v>1293</v>
      </c>
      <c r="H148" s="135">
        <f t="shared" ref="H148:H172" si="98">F148*G148</f>
        <v>74088.899999999994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1293.0000000000014</v>
      </c>
      <c r="O148" s="90">
        <f>N148/M148</f>
        <v>71.833333333333414</v>
      </c>
      <c r="P148" s="92">
        <f t="shared" si="95"/>
        <v>-1</v>
      </c>
      <c r="Q148" s="93">
        <f t="shared" si="96"/>
        <v>-3.9561403508771065</v>
      </c>
      <c r="R148" s="95">
        <f t="shared" si="97"/>
        <v>0.94780092592592702</v>
      </c>
      <c r="S148" s="609">
        <f>R160</f>
        <v>0.83716219497806899</v>
      </c>
      <c r="T148" s="330">
        <v>0.70833333333333337</v>
      </c>
      <c r="U148" s="96">
        <v>0.75</v>
      </c>
      <c r="V148" s="78">
        <v>5</v>
      </c>
      <c r="W148" s="88">
        <f>(U148-T148)*24*60</f>
        <v>59.999999999999943</v>
      </c>
      <c r="X148" s="99"/>
      <c r="Y148" s="99"/>
      <c r="Z148" s="100"/>
      <c r="AA148" s="100"/>
      <c r="AB148" s="601"/>
      <c r="AC148" s="601"/>
      <c r="AD148" s="359"/>
      <c r="AE148" s="359"/>
      <c r="AF148" s="92">
        <f t="shared" si="61"/>
        <v>-146.99999999999864</v>
      </c>
      <c r="AG148" s="186">
        <f t="shared" si="62"/>
        <v>0.89791666666666758</v>
      </c>
      <c r="AH148" s="605">
        <f>AG160</f>
        <v>0.86586579215445136</v>
      </c>
    </row>
    <row r="149" spans="1:34" ht="19.350000000000001" customHeight="1">
      <c r="A149" s="608"/>
      <c r="B149" s="359" t="s">
        <v>390</v>
      </c>
      <c r="C149" s="301"/>
      <c r="D149" s="335" t="s">
        <v>205</v>
      </c>
      <c r="E149" s="107"/>
      <c r="F149" s="199">
        <v>50.67</v>
      </c>
      <c r="G149" s="104">
        <v>773</v>
      </c>
      <c r="H149" s="135">
        <f t="shared" si="98"/>
        <v>39167.910000000003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1253.5135135135126</v>
      </c>
      <c r="O149" s="90">
        <f>N149/M149</f>
        <v>73.736089030206628</v>
      </c>
      <c r="P149" s="92">
        <f t="shared" si="95"/>
        <v>1</v>
      </c>
      <c r="Q149" s="93">
        <f t="shared" si="96"/>
        <v>-16.263910969793372</v>
      </c>
      <c r="R149" s="95">
        <f t="shared" si="97"/>
        <v>0.81928987811340703</v>
      </c>
      <c r="S149" s="610"/>
      <c r="T149" s="330">
        <v>0.75555555555555554</v>
      </c>
      <c r="U149" s="96">
        <v>0.78125</v>
      </c>
      <c r="V149" s="78">
        <v>8</v>
      </c>
      <c r="W149" s="88">
        <f t="shared" ref="W149:W159" si="99">(U149-T149)*24*60</f>
        <v>37.000000000000028</v>
      </c>
      <c r="X149" s="99"/>
      <c r="Y149" s="99"/>
      <c r="Z149" s="100"/>
      <c r="AA149" s="100"/>
      <c r="AB149" s="601"/>
      <c r="AC149" s="601"/>
      <c r="AD149" s="359"/>
      <c r="AE149" s="359">
        <v>1</v>
      </c>
      <c r="AF149" s="92">
        <f t="shared" si="61"/>
        <v>-186.48648648648737</v>
      </c>
      <c r="AG149" s="186">
        <f t="shared" si="62"/>
        <v>0.87049549549549488</v>
      </c>
      <c r="AH149" s="611"/>
    </row>
    <row r="150" spans="1:34" ht="19.350000000000001" customHeight="1">
      <c r="A150" s="608"/>
      <c r="B150" s="359" t="s">
        <v>390</v>
      </c>
      <c r="C150" s="301"/>
      <c r="D150" s="249" t="s">
        <v>206</v>
      </c>
      <c r="E150" s="107"/>
      <c r="F150" s="199">
        <v>57.3</v>
      </c>
      <c r="G150" s="104">
        <v>1500</v>
      </c>
      <c r="H150" s="135">
        <f t="shared" si="98"/>
        <v>85950</v>
      </c>
      <c r="I150" s="345"/>
      <c r="J150" s="138">
        <v>17</v>
      </c>
      <c r="K150" s="104">
        <v>1500</v>
      </c>
      <c r="L150" s="137">
        <v>88.235294117647058</v>
      </c>
      <c r="M150" s="310">
        <v>18</v>
      </c>
      <c r="N150" s="86">
        <f>G150/W150*60</f>
        <v>1285.7142857142844</v>
      </c>
      <c r="O150" s="90">
        <f>N150/M150</f>
        <v>71.42857142857136</v>
      </c>
      <c r="P150" s="92">
        <f t="shared" si="95"/>
        <v>1</v>
      </c>
      <c r="Q150" s="93">
        <f t="shared" si="96"/>
        <v>-16.806722689075698</v>
      </c>
      <c r="R150" s="95">
        <f t="shared" si="97"/>
        <v>0.80952380952380876</v>
      </c>
      <c r="S150" s="610"/>
      <c r="T150" s="330">
        <v>0.79652777777777772</v>
      </c>
      <c r="U150" s="96">
        <v>0.84513888888888888</v>
      </c>
      <c r="V150" s="78">
        <v>22</v>
      </c>
      <c r="W150" s="88">
        <f t="shared" si="99"/>
        <v>70.000000000000071</v>
      </c>
      <c r="X150" s="295">
        <v>0.78472222222222221</v>
      </c>
      <c r="Y150" s="295">
        <v>0.79375000000000007</v>
      </c>
      <c r="Z150" s="296"/>
      <c r="AA150" s="296"/>
      <c r="AB150" s="601"/>
      <c r="AC150" s="601"/>
      <c r="AD150" s="359"/>
      <c r="AE150" s="359"/>
      <c r="AF150" s="92">
        <f t="shared" si="61"/>
        <v>-214.28571428571558</v>
      </c>
      <c r="AG150" s="186">
        <f t="shared" si="62"/>
        <v>0.85714285714285632</v>
      </c>
      <c r="AH150" s="611"/>
    </row>
    <row r="151" spans="1:34" s="298" customFormat="1" ht="19.350000000000001" customHeight="1">
      <c r="A151" s="608"/>
      <c r="B151" s="359" t="s">
        <v>386</v>
      </c>
      <c r="C151" s="301"/>
      <c r="D151" s="106" t="s">
        <v>161</v>
      </c>
      <c r="E151" s="107"/>
      <c r="F151" s="199">
        <v>47.51</v>
      </c>
      <c r="G151" s="104">
        <v>543.20000000000005</v>
      </c>
      <c r="H151" s="135">
        <f t="shared" si="98"/>
        <v>25807.432000000001</v>
      </c>
      <c r="I151" s="345"/>
      <c r="J151" s="138">
        <v>16</v>
      </c>
      <c r="K151" s="104">
        <v>1440</v>
      </c>
      <c r="L151" s="137">
        <v>90</v>
      </c>
      <c r="M151" s="310">
        <v>17</v>
      </c>
      <c r="N151" s="86">
        <f>G151/W151*60</f>
        <v>1207.1111111111084</v>
      </c>
      <c r="O151" s="90">
        <f>N151/M151</f>
        <v>71.006535947712251</v>
      </c>
      <c r="P151" s="92">
        <f t="shared" si="95"/>
        <v>1</v>
      </c>
      <c r="Q151" s="93">
        <f t="shared" si="96"/>
        <v>-18.993464052287749</v>
      </c>
      <c r="R151" s="95">
        <f t="shared" si="97"/>
        <v>0.78896151053013608</v>
      </c>
      <c r="S151" s="610"/>
      <c r="T151" s="330">
        <v>0.85069444444444442</v>
      </c>
      <c r="U151" s="96">
        <v>0.86944444444444446</v>
      </c>
      <c r="V151" s="78">
        <v>8</v>
      </c>
      <c r="W151" s="88">
        <f t="shared" si="99"/>
        <v>27.000000000000064</v>
      </c>
      <c r="X151" s="295"/>
      <c r="Y151" s="295"/>
      <c r="Z151" s="296"/>
      <c r="AA151" s="296"/>
      <c r="AB151" s="601"/>
      <c r="AC151" s="601"/>
      <c r="AD151" s="301"/>
      <c r="AE151" s="301"/>
      <c r="AF151" s="92">
        <f t="shared" si="61"/>
        <v>-232.88888888889164</v>
      </c>
      <c r="AG151" s="186">
        <f t="shared" si="62"/>
        <v>0.83827160493826969</v>
      </c>
      <c r="AH151" s="611"/>
    </row>
    <row r="152" spans="1:34" s="298" customFormat="1" ht="19.350000000000001" customHeight="1">
      <c r="A152" s="608"/>
      <c r="B152" s="359">
        <v>0</v>
      </c>
      <c r="C152" s="301"/>
      <c r="D152" s="335"/>
      <c r="E152" s="107"/>
      <c r="F152" s="199" t="s">
        <v>391</v>
      </c>
      <c r="G152" s="104"/>
      <c r="H152" s="135">
        <f t="shared" si="98"/>
        <v>0</v>
      </c>
      <c r="I152" s="345"/>
      <c r="J152" s="138"/>
      <c r="K152" s="104"/>
      <c r="L152" s="137"/>
      <c r="M152" s="310"/>
      <c r="N152" s="86"/>
      <c r="O152" s="90"/>
      <c r="P152" s="92"/>
      <c r="Q152" s="93"/>
      <c r="R152" s="95"/>
      <c r="S152" s="610"/>
      <c r="T152" s="346"/>
      <c r="U152" s="111"/>
      <c r="V152" s="109"/>
      <c r="W152" s="88">
        <f t="shared" si="99"/>
        <v>0</v>
      </c>
      <c r="X152" s="299"/>
      <c r="Y152" s="299"/>
      <c r="Z152" s="296"/>
      <c r="AA152" s="296"/>
      <c r="AB152" s="601"/>
      <c r="AC152" s="601"/>
      <c r="AD152" s="301"/>
      <c r="AE152" s="301"/>
      <c r="AF152" s="92">
        <f t="shared" si="61"/>
        <v>0</v>
      </c>
      <c r="AG152" s="186" t="e">
        <f t="shared" si="62"/>
        <v>#DIV/0!</v>
      </c>
      <c r="AH152" s="611"/>
    </row>
    <row r="153" spans="1:34" s="298" customFormat="1" ht="19.350000000000001" customHeight="1">
      <c r="A153" s="608"/>
      <c r="B153" s="359">
        <v>0</v>
      </c>
      <c r="C153" s="301"/>
      <c r="D153" s="335"/>
      <c r="E153" s="107"/>
      <c r="F153" s="199" t="s">
        <v>391</v>
      </c>
      <c r="G153" s="104"/>
      <c r="H153" s="135">
        <f t="shared" si="98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5"/>
      <c r="S153" s="610"/>
      <c r="T153" s="346"/>
      <c r="U153" s="111"/>
      <c r="V153" s="109"/>
      <c r="W153" s="88">
        <f t="shared" si="99"/>
        <v>0</v>
      </c>
      <c r="X153" s="299"/>
      <c r="Y153" s="299"/>
      <c r="Z153" s="296"/>
      <c r="AA153" s="296"/>
      <c r="AB153" s="601"/>
      <c r="AC153" s="601"/>
      <c r="AD153" s="301"/>
      <c r="AE153" s="301"/>
      <c r="AF153" s="92">
        <f t="shared" si="61"/>
        <v>0</v>
      </c>
      <c r="AG153" s="186" t="e">
        <f t="shared" si="62"/>
        <v>#DIV/0!</v>
      </c>
      <c r="AH153" s="611"/>
    </row>
    <row r="154" spans="1:34" s="298" customFormat="1" ht="19.350000000000001" customHeight="1">
      <c r="A154" s="608"/>
      <c r="B154" s="359">
        <v>0</v>
      </c>
      <c r="C154" s="301"/>
      <c r="D154" s="335"/>
      <c r="E154" s="107"/>
      <c r="F154" s="199" t="s">
        <v>391</v>
      </c>
      <c r="G154" s="104"/>
      <c r="H154" s="135">
        <f t="shared" si="98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10"/>
      <c r="T154" s="346"/>
      <c r="U154" s="111"/>
      <c r="V154" s="109"/>
      <c r="W154" s="88">
        <f t="shared" si="99"/>
        <v>0</v>
      </c>
      <c r="X154" s="299"/>
      <c r="Y154" s="299"/>
      <c r="Z154" s="296"/>
      <c r="AA154" s="296"/>
      <c r="AB154" s="601"/>
      <c r="AC154" s="601"/>
      <c r="AD154" s="301"/>
      <c r="AE154" s="301"/>
      <c r="AF154" s="92">
        <f t="shared" si="61"/>
        <v>0</v>
      </c>
      <c r="AG154" s="186" t="e">
        <f t="shared" si="62"/>
        <v>#DIV/0!</v>
      </c>
      <c r="AH154" s="611"/>
    </row>
    <row r="155" spans="1:34" s="298" customFormat="1" ht="19.350000000000001" customHeight="1">
      <c r="A155" s="608"/>
      <c r="B155" s="359">
        <v>0</v>
      </c>
      <c r="C155" s="301"/>
      <c r="D155" s="335"/>
      <c r="E155" s="107"/>
      <c r="F155" s="199" t="s">
        <v>391</v>
      </c>
      <c r="G155" s="104"/>
      <c r="H155" s="135">
        <f t="shared" si="98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10"/>
      <c r="T155" s="346"/>
      <c r="U155" s="111"/>
      <c r="V155" s="109"/>
      <c r="W155" s="88">
        <f t="shared" si="99"/>
        <v>0</v>
      </c>
      <c r="X155" s="299"/>
      <c r="Y155" s="299"/>
      <c r="Z155" s="296"/>
      <c r="AA155" s="296"/>
      <c r="AB155" s="601"/>
      <c r="AC155" s="601"/>
      <c r="AD155" s="301"/>
      <c r="AE155" s="301"/>
      <c r="AF155" s="349"/>
      <c r="AG155" s="191"/>
      <c r="AH155" s="611"/>
    </row>
    <row r="156" spans="1:34" s="298" customFormat="1" ht="19.350000000000001" customHeight="1">
      <c r="A156" s="608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8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10"/>
      <c r="T156" s="346"/>
      <c r="U156" s="111"/>
      <c r="V156" s="109"/>
      <c r="W156" s="350">
        <f t="shared" si="99"/>
        <v>0</v>
      </c>
      <c r="X156" s="299"/>
      <c r="Y156" s="299"/>
      <c r="Z156" s="296"/>
      <c r="AA156" s="296"/>
      <c r="AB156" s="601"/>
      <c r="AC156" s="601"/>
      <c r="AD156" s="301"/>
      <c r="AE156" s="301"/>
      <c r="AF156" s="349"/>
      <c r="AG156" s="191"/>
      <c r="AH156" s="611"/>
    </row>
    <row r="157" spans="1:34" s="298" customFormat="1" ht="19.350000000000001" customHeight="1">
      <c r="A157" s="608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8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10"/>
      <c r="T157" s="346"/>
      <c r="U157" s="111"/>
      <c r="V157" s="109"/>
      <c r="W157" s="350">
        <f t="shared" si="99"/>
        <v>0</v>
      </c>
      <c r="X157" s="299"/>
      <c r="Y157" s="299"/>
      <c r="Z157" s="296"/>
      <c r="AA157" s="296"/>
      <c r="AB157" s="601"/>
      <c r="AC157" s="601"/>
      <c r="AD157" s="301"/>
      <c r="AE157" s="301"/>
      <c r="AF157" s="349"/>
      <c r="AG157" s="191"/>
      <c r="AH157" s="611"/>
    </row>
    <row r="158" spans="1:34" s="298" customFormat="1" ht="19.350000000000001" customHeight="1">
      <c r="A158" s="608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8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10"/>
      <c r="T158" s="346"/>
      <c r="U158" s="111"/>
      <c r="V158" s="109"/>
      <c r="W158" s="350">
        <f t="shared" si="99"/>
        <v>0</v>
      </c>
      <c r="X158" s="299"/>
      <c r="Y158" s="299"/>
      <c r="Z158" s="296"/>
      <c r="AA158" s="296"/>
      <c r="AB158" s="601"/>
      <c r="AC158" s="601"/>
      <c r="AD158" s="301"/>
      <c r="AE158" s="301"/>
      <c r="AF158" s="349"/>
      <c r="AG158" s="191"/>
      <c r="AH158" s="611"/>
    </row>
    <row r="159" spans="1:34" s="298" customFormat="1" ht="19.350000000000001" customHeight="1">
      <c r="A159" s="608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8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10"/>
      <c r="T159" s="346"/>
      <c r="U159" s="111"/>
      <c r="V159" s="109"/>
      <c r="W159" s="351">
        <f t="shared" si="99"/>
        <v>0</v>
      </c>
      <c r="X159" s="299"/>
      <c r="Y159" s="299"/>
      <c r="Z159" s="296"/>
      <c r="AA159" s="296"/>
      <c r="AB159" s="601"/>
      <c r="AC159" s="601"/>
      <c r="AD159" s="301"/>
      <c r="AE159" s="301"/>
      <c r="AF159" s="349"/>
      <c r="AG159" s="191"/>
      <c r="AH159" s="611"/>
    </row>
    <row r="160" spans="1:34" ht="19.350000000000001" customHeight="1">
      <c r="A160" s="608"/>
      <c r="B160" s="352">
        <v>0</v>
      </c>
      <c r="C160" s="353" t="s">
        <v>38</v>
      </c>
      <c r="D160" s="606" t="s">
        <v>75</v>
      </c>
      <c r="E160" s="607"/>
      <c r="F160" s="119"/>
      <c r="G160" s="280"/>
      <c r="H160" s="279"/>
      <c r="I160" s="122"/>
      <c r="J160" s="354">
        <v>17</v>
      </c>
      <c r="K160" s="354">
        <v>1455</v>
      </c>
      <c r="L160" s="355">
        <v>86.006191950464398</v>
      </c>
      <c r="M160" s="354">
        <f t="shared" ref="M160:O160" si="100">AVERAGE(M148:M159)</f>
        <v>17.5</v>
      </c>
      <c r="N160" s="354">
        <f t="shared" si="100"/>
        <v>1259.8347275847268</v>
      </c>
      <c r="O160" s="355">
        <f t="shared" si="100"/>
        <v>72.001132434955906</v>
      </c>
      <c r="P160" s="113">
        <f t="shared" ref="P160:P165" si="101">M160-J160</f>
        <v>0.5</v>
      </c>
      <c r="Q160" s="124">
        <f t="shared" ref="Q160:Q165" si="102">O160-L160</f>
        <v>-14.005059515508492</v>
      </c>
      <c r="R160" s="356">
        <f>O160/L160</f>
        <v>0.83716219497806899</v>
      </c>
      <c r="S160" s="610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01"/>
      <c r="AC160" s="601"/>
      <c r="AD160" s="129">
        <f>SUM(AD148:AD159)</f>
        <v>0</v>
      </c>
      <c r="AE160" s="129">
        <f>SUM(AE148:AE159)</f>
        <v>1</v>
      </c>
      <c r="AF160" s="113">
        <f t="shared" si="61"/>
        <v>-195.16527241527319</v>
      </c>
      <c r="AG160" s="191">
        <f t="shared" si="62"/>
        <v>0.86586579215445136</v>
      </c>
      <c r="AH160" s="611"/>
    </row>
    <row r="161" spans="1:36" ht="19.350000000000001" customHeight="1">
      <c r="A161" s="604" t="s">
        <v>207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2654</v>
      </c>
      <c r="H161" s="135">
        <f t="shared" ref="H161:H170" si="103">F161*G161</f>
        <v>90846.42</v>
      </c>
      <c r="I161" s="359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4">G161/W161*60</f>
        <v>2242.8169014084515</v>
      </c>
      <c r="O161" s="137">
        <f t="shared" ref="O161:O165" si="105">N161/M161</f>
        <v>186.90140845070428</v>
      </c>
      <c r="P161" s="100">
        <f t="shared" si="101"/>
        <v>0</v>
      </c>
      <c r="Q161" s="139">
        <f t="shared" si="102"/>
        <v>-0.59859154929571901</v>
      </c>
      <c r="R161" s="141">
        <f t="shared" ref="R161:R165" si="106">O161/L161</f>
        <v>0.99680751173708948</v>
      </c>
      <c r="S161" s="605">
        <f>R173</f>
        <v>0.98333710448699096</v>
      </c>
      <c r="T161" s="142">
        <v>0.16666666666666666</v>
      </c>
      <c r="U161" s="142">
        <v>0.2159722222222222</v>
      </c>
      <c r="V161" s="359">
        <v>5</v>
      </c>
      <c r="W161" s="143">
        <f t="shared" ref="W161:W165" si="107">(U161-T161)*24*60</f>
        <v>70.999999999999986</v>
      </c>
      <c r="X161" s="151"/>
      <c r="Y161" s="151"/>
      <c r="Z161" s="100"/>
      <c r="AA161" s="100"/>
      <c r="AB161" s="601"/>
      <c r="AC161" s="601"/>
      <c r="AD161" s="359"/>
      <c r="AE161" s="359"/>
      <c r="AF161" s="100">
        <f t="shared" si="61"/>
        <v>-7.1830985915485144</v>
      </c>
      <c r="AG161" s="141">
        <f t="shared" si="62"/>
        <v>0.99680751173708959</v>
      </c>
      <c r="AH161" s="605">
        <f>AG173</f>
        <v>0.9824950227328807</v>
      </c>
    </row>
    <row r="162" spans="1:36" ht="19.350000000000001" customHeight="1">
      <c r="A162" s="604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3781</v>
      </c>
      <c r="H162" s="135">
        <f t="shared" si="103"/>
        <v>129423.62999999999</v>
      </c>
      <c r="I162" s="359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4"/>
        <v>2160.571428571428</v>
      </c>
      <c r="O162" s="137">
        <f t="shared" si="105"/>
        <v>166.19780219780216</v>
      </c>
      <c r="P162" s="100">
        <f t="shared" si="101"/>
        <v>0</v>
      </c>
      <c r="Q162" s="139">
        <f t="shared" si="102"/>
        <v>-6.8791208791209044</v>
      </c>
      <c r="R162" s="141">
        <f t="shared" si="106"/>
        <v>0.96025396825396814</v>
      </c>
      <c r="S162" s="605"/>
      <c r="T162" s="142">
        <v>0.22083333333333333</v>
      </c>
      <c r="U162" s="142">
        <v>0.29375000000000001</v>
      </c>
      <c r="V162" s="359">
        <v>7</v>
      </c>
      <c r="W162" s="143">
        <f t="shared" si="107"/>
        <v>105.00000000000003</v>
      </c>
      <c r="X162" s="151"/>
      <c r="Y162" s="151"/>
      <c r="Z162" s="100"/>
      <c r="AA162" s="100"/>
      <c r="AB162" s="601"/>
      <c r="AC162" s="601"/>
      <c r="AD162" s="359"/>
      <c r="AE162" s="359"/>
      <c r="AF162" s="100">
        <f t="shared" si="61"/>
        <v>-89.428571428572013</v>
      </c>
      <c r="AG162" s="141">
        <f t="shared" si="62"/>
        <v>0.96025396825396803</v>
      </c>
      <c r="AH162" s="605"/>
    </row>
    <row r="163" spans="1:36" ht="19.350000000000001" customHeight="1">
      <c r="A163" s="604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3022</v>
      </c>
      <c r="H163" s="135">
        <f t="shared" si="103"/>
        <v>103443.06</v>
      </c>
      <c r="I163" s="359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4"/>
        <v>2211.2195121951208</v>
      </c>
      <c r="O163" s="137">
        <f t="shared" si="105"/>
        <v>184.26829268292673</v>
      </c>
      <c r="P163" s="100">
        <f t="shared" si="101"/>
        <v>0</v>
      </c>
      <c r="Q163" s="139">
        <f t="shared" si="102"/>
        <v>-3.2317073170732726</v>
      </c>
      <c r="R163" s="141">
        <f t="shared" si="106"/>
        <v>0.98276422764227589</v>
      </c>
      <c r="S163" s="605"/>
      <c r="T163" s="142">
        <v>0.33402777777777776</v>
      </c>
      <c r="U163" s="142">
        <v>0.39097222222222222</v>
      </c>
      <c r="V163" s="359">
        <v>5</v>
      </c>
      <c r="W163" s="143">
        <f t="shared" si="107"/>
        <v>82.000000000000028</v>
      </c>
      <c r="X163" s="151"/>
      <c r="Y163" s="151"/>
      <c r="Z163" s="100"/>
      <c r="AA163" s="100"/>
      <c r="AB163" s="601"/>
      <c r="AC163" s="601"/>
      <c r="AD163" s="359"/>
      <c r="AE163" s="359"/>
      <c r="AF163" s="100">
        <f t="shared" si="61"/>
        <v>-38.780487804879158</v>
      </c>
      <c r="AG163" s="141">
        <f t="shared" si="62"/>
        <v>0.98276422764227589</v>
      </c>
      <c r="AH163" s="605"/>
    </row>
    <row r="164" spans="1:36" ht="19.350000000000001" customHeight="1">
      <c r="A164" s="604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5358</v>
      </c>
      <c r="H164" s="135">
        <f t="shared" si="103"/>
        <v>191977.13999999998</v>
      </c>
      <c r="I164" s="359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4"/>
        <v>2186.9387755102048</v>
      </c>
      <c r="O164" s="137">
        <f t="shared" si="105"/>
        <v>198.81261595547315</v>
      </c>
      <c r="P164" s="100">
        <f t="shared" si="101"/>
        <v>0</v>
      </c>
      <c r="Q164" s="139">
        <f t="shared" si="102"/>
        <v>-5.7328385899813838</v>
      </c>
      <c r="R164" s="141">
        <f t="shared" si="106"/>
        <v>0.97197278911564655</v>
      </c>
      <c r="S164" s="605"/>
      <c r="T164" s="142">
        <v>0.40694444444444444</v>
      </c>
      <c r="U164" s="142">
        <v>0.50902777777777775</v>
      </c>
      <c r="V164" s="359">
        <v>23</v>
      </c>
      <c r="W164" s="143">
        <f t="shared" si="107"/>
        <v>146.99999999999994</v>
      </c>
      <c r="X164" s="151">
        <v>0.39444444444444443</v>
      </c>
      <c r="Y164" s="151">
        <v>0.40416666666666662</v>
      </c>
      <c r="Z164" s="100"/>
      <c r="AA164" s="100"/>
      <c r="AB164" s="601"/>
      <c r="AC164" s="601"/>
      <c r="AD164" s="359"/>
      <c r="AE164" s="359"/>
      <c r="AF164" s="100">
        <f t="shared" si="61"/>
        <v>-63.061224489795222</v>
      </c>
      <c r="AG164" s="141">
        <f t="shared" si="62"/>
        <v>0.97197278911564655</v>
      </c>
      <c r="AH164" s="605"/>
    </row>
    <row r="165" spans="1:36" ht="19.350000000000001" customHeight="1">
      <c r="A165" s="604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5028.4000000000005</v>
      </c>
      <c r="H165" s="135">
        <f t="shared" si="103"/>
        <v>183084.04399999999</v>
      </c>
      <c r="I165" s="359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4"/>
        <v>2251.5223880597018</v>
      </c>
      <c r="O165" s="137">
        <f t="shared" si="105"/>
        <v>225.15223880597017</v>
      </c>
      <c r="P165" s="100">
        <f t="shared" si="101"/>
        <v>0</v>
      </c>
      <c r="Q165" s="139">
        <f t="shared" si="102"/>
        <v>0.15223880597017114</v>
      </c>
      <c r="R165" s="141">
        <f t="shared" si="106"/>
        <v>1.0006766169154231</v>
      </c>
      <c r="S165" s="605"/>
      <c r="T165" s="142">
        <v>0.52430555555555547</v>
      </c>
      <c r="U165" s="142">
        <v>0.61736111111111103</v>
      </c>
      <c r="V165" s="359">
        <v>22</v>
      </c>
      <c r="W165" s="143">
        <f t="shared" si="107"/>
        <v>134</v>
      </c>
      <c r="X165" s="151">
        <v>0.51250000000000007</v>
      </c>
      <c r="Y165" s="151">
        <v>0.52152777777777781</v>
      </c>
      <c r="Z165" s="100"/>
      <c r="AA165" s="100"/>
      <c r="AB165" s="601"/>
      <c r="AC165" s="601"/>
      <c r="AD165" s="359"/>
      <c r="AE165" s="359"/>
      <c r="AF165" s="100">
        <f t="shared" si="61"/>
        <v>1.5223880597018251</v>
      </c>
      <c r="AG165" s="141">
        <f t="shared" si="62"/>
        <v>1.0006766169154231</v>
      </c>
      <c r="AH165" s="605"/>
    </row>
    <row r="166" spans="1:36" ht="19.350000000000001" customHeight="1">
      <c r="A166" s="604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3"/>
        <v>0</v>
      </c>
      <c r="I166" s="359"/>
      <c r="J166" s="138"/>
      <c r="K166" s="104"/>
      <c r="L166" s="137"/>
      <c r="M166" s="138"/>
      <c r="N166" s="104"/>
      <c r="O166" s="137"/>
      <c r="P166" s="100"/>
      <c r="Q166" s="139"/>
      <c r="R166" s="141"/>
      <c r="S166" s="605"/>
      <c r="T166" s="142"/>
      <c r="U166" s="142"/>
      <c r="V166" s="359"/>
      <c r="W166" s="143"/>
      <c r="X166" s="151"/>
      <c r="Y166" s="151"/>
      <c r="Z166" s="100"/>
      <c r="AA166" s="100"/>
      <c r="AB166" s="601"/>
      <c r="AC166" s="601"/>
      <c r="AD166" s="359"/>
      <c r="AE166" s="359"/>
      <c r="AF166" s="100">
        <f t="shared" si="61"/>
        <v>0</v>
      </c>
      <c r="AG166" s="141" t="e">
        <f t="shared" si="62"/>
        <v>#DIV/0!</v>
      </c>
      <c r="AH166" s="605"/>
    </row>
    <row r="167" spans="1:36" ht="19.350000000000001" customHeight="1">
      <c r="A167" s="604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3"/>
        <v>0</v>
      </c>
      <c r="I167" s="359"/>
      <c r="J167" s="138"/>
      <c r="K167" s="104"/>
      <c r="L167" s="137"/>
      <c r="M167" s="138"/>
      <c r="N167" s="104"/>
      <c r="O167" s="137"/>
      <c r="P167" s="100"/>
      <c r="Q167" s="139"/>
      <c r="R167" s="141"/>
      <c r="S167" s="605"/>
      <c r="T167" s="142"/>
      <c r="U167" s="142"/>
      <c r="V167" s="359"/>
      <c r="W167" s="143"/>
      <c r="X167" s="151"/>
      <c r="Y167" s="151"/>
      <c r="Z167" s="100"/>
      <c r="AA167" s="100"/>
      <c r="AB167" s="601"/>
      <c r="AC167" s="601"/>
      <c r="AD167" s="359"/>
      <c r="AE167" s="359"/>
      <c r="AF167" s="100">
        <f t="shared" si="61"/>
        <v>0</v>
      </c>
      <c r="AG167" s="141" t="e">
        <f t="shared" si="62"/>
        <v>#DIV/0!</v>
      </c>
      <c r="AH167" s="605"/>
    </row>
    <row r="168" spans="1:36" ht="19.350000000000001" customHeight="1">
      <c r="A168" s="604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3"/>
        <v>0</v>
      </c>
      <c r="I168" s="359"/>
      <c r="J168" s="138"/>
      <c r="K168" s="104"/>
      <c r="L168" s="137"/>
      <c r="M168" s="138"/>
      <c r="N168" s="104"/>
      <c r="O168" s="137"/>
      <c r="P168" s="100"/>
      <c r="Q168" s="139"/>
      <c r="R168" s="141"/>
      <c r="S168" s="605"/>
      <c r="T168" s="142"/>
      <c r="U168" s="142"/>
      <c r="V168" s="359"/>
      <c r="W168" s="143"/>
      <c r="X168" s="151"/>
      <c r="Y168" s="151"/>
      <c r="Z168" s="100"/>
      <c r="AA168" s="100"/>
      <c r="AB168" s="601"/>
      <c r="AC168" s="601"/>
      <c r="AD168" s="359"/>
      <c r="AE168" s="359"/>
      <c r="AF168" s="100">
        <f t="shared" si="61"/>
        <v>0</v>
      </c>
      <c r="AG168" s="141" t="e">
        <f t="shared" si="62"/>
        <v>#DIV/0!</v>
      </c>
      <c r="AH168" s="605"/>
    </row>
    <row r="169" spans="1:36" ht="19.350000000000001" customHeight="1">
      <c r="A169" s="604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3"/>
        <v>0</v>
      </c>
      <c r="I169" s="359"/>
      <c r="J169" s="138"/>
      <c r="K169" s="104"/>
      <c r="L169" s="137"/>
      <c r="M169" s="138"/>
      <c r="N169" s="104"/>
      <c r="O169" s="137"/>
      <c r="P169" s="100"/>
      <c r="Q169" s="139"/>
      <c r="R169" s="141"/>
      <c r="S169" s="605"/>
      <c r="T169" s="142"/>
      <c r="U169" s="142"/>
      <c r="V169" s="359" t="s">
        <v>49</v>
      </c>
      <c r="W169" s="143">
        <f>(U169-T169)*24*60</f>
        <v>0</v>
      </c>
      <c r="X169" s="151"/>
      <c r="Y169" s="151"/>
      <c r="Z169" s="100"/>
      <c r="AA169" s="100"/>
      <c r="AB169" s="601"/>
      <c r="AC169" s="601"/>
      <c r="AD169" s="359"/>
      <c r="AE169" s="359"/>
      <c r="AF169" s="100">
        <f t="shared" si="61"/>
        <v>0</v>
      </c>
      <c r="AG169" s="141" t="e">
        <f t="shared" si="62"/>
        <v>#DIV/0!</v>
      </c>
      <c r="AH169" s="605"/>
    </row>
    <row r="170" spans="1:36" ht="19.350000000000001" customHeight="1">
      <c r="A170" s="604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3"/>
        <v>0</v>
      </c>
      <c r="I170" s="359"/>
      <c r="J170" s="138"/>
      <c r="K170" s="104"/>
      <c r="L170" s="137"/>
      <c r="M170" s="138"/>
      <c r="N170" s="104"/>
      <c r="O170" s="137"/>
      <c r="P170" s="100"/>
      <c r="Q170" s="139"/>
      <c r="R170" s="141"/>
      <c r="S170" s="605"/>
      <c r="T170" s="142"/>
      <c r="U170" s="142"/>
      <c r="V170" s="359"/>
      <c r="W170" s="143">
        <f>(U170-T170)*24*60</f>
        <v>0</v>
      </c>
      <c r="X170" s="151"/>
      <c r="Y170" s="151"/>
      <c r="Z170" s="100"/>
      <c r="AA170" s="100"/>
      <c r="AB170" s="601"/>
      <c r="AC170" s="601"/>
      <c r="AD170" s="359"/>
      <c r="AE170" s="359"/>
      <c r="AF170" s="100">
        <f t="shared" si="61"/>
        <v>0</v>
      </c>
      <c r="AG170" s="141" t="e">
        <f t="shared" si="62"/>
        <v>#DIV/0!</v>
      </c>
      <c r="AH170" s="605"/>
    </row>
    <row r="171" spans="1:36" ht="19.350000000000001" customHeight="1">
      <c r="A171" s="604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8"/>
        <v>0</v>
      </c>
      <c r="I171" s="359"/>
      <c r="J171" s="138"/>
      <c r="K171" s="104"/>
      <c r="L171" s="137"/>
      <c r="M171" s="138"/>
      <c r="N171" s="104"/>
      <c r="O171" s="137"/>
      <c r="P171" s="100"/>
      <c r="Q171" s="139"/>
      <c r="R171" s="141"/>
      <c r="S171" s="605"/>
      <c r="T171" s="142"/>
      <c r="U171" s="142"/>
      <c r="V171" s="359"/>
      <c r="W171" s="143">
        <f>(U171-T171)*24*60</f>
        <v>0</v>
      </c>
      <c r="X171" s="151"/>
      <c r="Y171" s="151"/>
      <c r="Z171" s="100"/>
      <c r="AA171" s="100"/>
      <c r="AB171" s="601"/>
      <c r="AC171" s="601"/>
      <c r="AD171" s="359"/>
      <c r="AE171" s="359"/>
      <c r="AF171" s="100"/>
      <c r="AG171" s="141"/>
      <c r="AH171" s="605"/>
    </row>
    <row r="172" spans="1:36" ht="19.350000000000001" customHeight="1">
      <c r="A172" s="604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8"/>
        <v>0</v>
      </c>
      <c r="I172" s="359"/>
      <c r="J172" s="138"/>
      <c r="K172" s="104"/>
      <c r="L172" s="137"/>
      <c r="M172" s="138"/>
      <c r="N172" s="104"/>
      <c r="O172" s="137"/>
      <c r="P172" s="100"/>
      <c r="Q172" s="139"/>
      <c r="R172" s="141"/>
      <c r="S172" s="605"/>
      <c r="T172" s="142"/>
      <c r="U172" s="142"/>
      <c r="V172" s="359"/>
      <c r="W172" s="143">
        <f>(U172-T172)*24*60</f>
        <v>0</v>
      </c>
      <c r="X172" s="151"/>
      <c r="Y172" s="151"/>
      <c r="Z172" s="100"/>
      <c r="AA172" s="100"/>
      <c r="AB172" s="601"/>
      <c r="AC172" s="601"/>
      <c r="AD172" s="359"/>
      <c r="AE172" s="359"/>
      <c r="AF172" s="100"/>
      <c r="AG172" s="141"/>
      <c r="AH172" s="605"/>
    </row>
    <row r="173" spans="1:36" ht="19.350000000000001" customHeight="1">
      <c r="A173" s="604"/>
      <c r="B173" s="182">
        <v>0</v>
      </c>
      <c r="C173" s="156" t="s">
        <v>39</v>
      </c>
      <c r="D173" s="602" t="s">
        <v>75</v>
      </c>
      <c r="E173" s="602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8">AVERAGE(M161:M172)</f>
        <v>11.6</v>
      </c>
      <c r="N173" s="158">
        <f t="shared" si="108"/>
        <v>2210.6138011489816</v>
      </c>
      <c r="O173" s="161">
        <f t="shared" si="108"/>
        <v>192.26647161857528</v>
      </c>
      <c r="P173" s="100">
        <f>M173-J173</f>
        <v>0</v>
      </c>
      <c r="Q173" s="139">
        <f>O173-L173</f>
        <v>-3.2580039059002388</v>
      </c>
      <c r="R173" s="162">
        <f>O173/L173</f>
        <v>0.98333710448699096</v>
      </c>
      <c r="S173" s="605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03"/>
      <c r="AC173" s="603"/>
      <c r="AD173" s="164">
        <f>SUM(AD161:AD172)</f>
        <v>0</v>
      </c>
      <c r="AE173" s="164">
        <f>SUM(AE161:AE172)</f>
        <v>0</v>
      </c>
      <c r="AF173" s="100">
        <f t="shared" si="61"/>
        <v>-39.386198851018435</v>
      </c>
      <c r="AG173" s="141">
        <f t="shared" si="62"/>
        <v>0.9824950227328807</v>
      </c>
      <c r="AH173" s="605"/>
    </row>
    <row r="174" spans="1:36" ht="19.350000000000001" customHeight="1">
      <c r="AJ174" s="361" t="s">
        <v>212</v>
      </c>
    </row>
    <row r="175" spans="1:36" ht="19.350000000000001" customHeight="1">
      <c r="AJ175" s="361" t="s">
        <v>214</v>
      </c>
    </row>
    <row r="176" spans="1:36" ht="19.350000000000001" customHeight="1">
      <c r="AJ176" s="361" t="s">
        <v>215</v>
      </c>
    </row>
    <row r="177" spans="23:36" ht="19.350000000000001" customHeight="1">
      <c r="W177" s="71"/>
      <c r="AJ177" s="361" t="s">
        <v>216</v>
      </c>
    </row>
    <row r="178" spans="23:36" ht="19.350000000000001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224</v>
      </c>
    </row>
    <row r="186" spans="23:36">
      <c r="W186" s="71"/>
      <c r="AJ186" s="361" t="s">
        <v>225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4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3625" priority="3626" operator="lessThan">
      <formula>0</formula>
    </cfRule>
  </conditionalFormatting>
  <conditionalFormatting sqref="AH57 AH70 S43 S123 S95 AH95 S5:S9 AH5:AH9 S134 AH17:AH18 S17:S18 S32 S82 AH82 S57:S70">
    <cfRule type="cellIs" dxfId="3624" priority="3625" operator="lessThan">
      <formula>0.8</formula>
    </cfRule>
  </conditionalFormatting>
  <conditionalFormatting sqref="R147 R173 R30 R121 R95 R43 R134 R82 R154:R159 R17:R18 R57:R70">
    <cfRule type="cellIs" dxfId="3623" priority="3623" operator="lessThan">
      <formula>0.8</formula>
    </cfRule>
    <cfRule type="cellIs" dxfId="3622" priority="3624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3621" priority="3621" operator="greaterThan">
      <formula>1</formula>
    </cfRule>
    <cfRule type="cellIs" dxfId="3620" priority="3622" operator="lessThan">
      <formula>0.8</formula>
    </cfRule>
  </conditionalFormatting>
  <conditionalFormatting sqref="P147 P30 P121 P95 P43 P134 P82 P154:P159 P17:P18 P57:P70">
    <cfRule type="cellIs" dxfId="3619" priority="3620" operator="greaterThan">
      <formula>0</formula>
    </cfRule>
  </conditionalFormatting>
  <conditionalFormatting sqref="S161">
    <cfRule type="cellIs" dxfId="3618" priority="3619" operator="lessThan">
      <formula>0.8</formula>
    </cfRule>
  </conditionalFormatting>
  <conditionalFormatting sqref="Q161:Q166">
    <cfRule type="cellIs" dxfId="3617" priority="3618" operator="lessThan">
      <formula>0</formula>
    </cfRule>
  </conditionalFormatting>
  <conditionalFormatting sqref="R161:R166">
    <cfRule type="cellIs" dxfId="3616" priority="3616" operator="lessThan">
      <formula>0.8</formula>
    </cfRule>
    <cfRule type="cellIs" dxfId="3615" priority="3617" operator="greaterThan">
      <formula>1</formula>
    </cfRule>
  </conditionalFormatting>
  <conditionalFormatting sqref="R161:R166">
    <cfRule type="cellIs" dxfId="3614" priority="3614" operator="greaterThan">
      <formula>1</formula>
    </cfRule>
    <cfRule type="cellIs" dxfId="3613" priority="3615" operator="lessThan">
      <formula>0.8</formula>
    </cfRule>
  </conditionalFormatting>
  <conditionalFormatting sqref="P161:P166">
    <cfRule type="cellIs" dxfId="3612" priority="3613" operator="greaterThan">
      <formula>0</formula>
    </cfRule>
  </conditionalFormatting>
  <conditionalFormatting sqref="Q169:Q172 AF161:AF172">
    <cfRule type="cellIs" dxfId="3611" priority="3612" operator="lessThan">
      <formula>0</formula>
    </cfRule>
  </conditionalFormatting>
  <conditionalFormatting sqref="R169:R172">
    <cfRule type="cellIs" dxfId="3610" priority="3610" operator="lessThan">
      <formula>0.8</formula>
    </cfRule>
    <cfRule type="cellIs" dxfId="3609" priority="3611" operator="greaterThan">
      <formula>1</formula>
    </cfRule>
  </conditionalFormatting>
  <conditionalFormatting sqref="R169:R172 AG161:AG172">
    <cfRule type="cellIs" dxfId="3608" priority="3608" operator="greaterThan">
      <formula>1</formula>
    </cfRule>
    <cfRule type="cellIs" dxfId="3607" priority="3609" operator="lessThan">
      <formula>0.8</formula>
    </cfRule>
  </conditionalFormatting>
  <conditionalFormatting sqref="P169:P172">
    <cfRule type="cellIs" dxfId="3606" priority="3607" operator="greaterThan">
      <formula>0</formula>
    </cfRule>
  </conditionalFormatting>
  <conditionalFormatting sqref="AF145">
    <cfRule type="cellIs" dxfId="3605" priority="3606" operator="lessThan">
      <formula>0</formula>
    </cfRule>
  </conditionalFormatting>
  <conditionalFormatting sqref="AG145">
    <cfRule type="cellIs" dxfId="3604" priority="3604" operator="greaterThan">
      <formula>1</formula>
    </cfRule>
    <cfRule type="cellIs" dxfId="3603" priority="3605" operator="lessThan">
      <formula>0.8</formula>
    </cfRule>
  </conditionalFormatting>
  <conditionalFormatting sqref="AF44:AF52">
    <cfRule type="cellIs" dxfId="3602" priority="3603" operator="lessThan">
      <formula>0</formula>
    </cfRule>
  </conditionalFormatting>
  <conditionalFormatting sqref="AG44:AG52">
    <cfRule type="cellIs" dxfId="3601" priority="3601" operator="greaterThan">
      <formula>1</formula>
    </cfRule>
    <cfRule type="cellIs" dxfId="3600" priority="3602" operator="lessThan">
      <formula>0.8</formula>
    </cfRule>
  </conditionalFormatting>
  <conditionalFormatting sqref="AF83:AF94">
    <cfRule type="cellIs" dxfId="3599" priority="3600" operator="lessThan">
      <formula>0</formula>
    </cfRule>
  </conditionalFormatting>
  <conditionalFormatting sqref="AH83">
    <cfRule type="cellIs" dxfId="3598" priority="3599" operator="lessThan">
      <formula>0.8</formula>
    </cfRule>
  </conditionalFormatting>
  <conditionalFormatting sqref="AG83:AG94">
    <cfRule type="cellIs" dxfId="3597" priority="3597" operator="greaterThan">
      <formula>1</formula>
    </cfRule>
    <cfRule type="cellIs" dxfId="3596" priority="3598" operator="lessThan">
      <formula>0.8</formula>
    </cfRule>
  </conditionalFormatting>
  <conditionalFormatting sqref="S83">
    <cfRule type="cellIs" dxfId="3595" priority="3596" operator="lessThan">
      <formula>0.8</formula>
    </cfRule>
  </conditionalFormatting>
  <conditionalFormatting sqref="AH84">
    <cfRule type="cellIs" dxfId="3594" priority="3595" operator="lessThan">
      <formula>0.8</formula>
    </cfRule>
  </conditionalFormatting>
  <conditionalFormatting sqref="S84">
    <cfRule type="cellIs" dxfId="3593" priority="3594" operator="lessThan">
      <formula>0.8</formula>
    </cfRule>
  </conditionalFormatting>
  <conditionalFormatting sqref="S90">
    <cfRule type="cellIs" dxfId="3592" priority="3593" operator="lessThan">
      <formula>0.8</formula>
    </cfRule>
  </conditionalFormatting>
  <conditionalFormatting sqref="AH90">
    <cfRule type="cellIs" dxfId="3591" priority="3592" operator="lessThan">
      <formula>0.8</formula>
    </cfRule>
  </conditionalFormatting>
  <conditionalFormatting sqref="AF122">
    <cfRule type="cellIs" dxfId="3590" priority="3591" operator="lessThan">
      <formula>0</formula>
    </cfRule>
  </conditionalFormatting>
  <conditionalFormatting sqref="S122">
    <cfRule type="cellIs" dxfId="3589" priority="3590" operator="lessThan">
      <formula>0.8</formula>
    </cfRule>
  </conditionalFormatting>
  <conditionalFormatting sqref="AG122">
    <cfRule type="cellIs" dxfId="3588" priority="3588" operator="greaterThan">
      <formula>1</formula>
    </cfRule>
    <cfRule type="cellIs" dxfId="3587" priority="3589" operator="lessThan">
      <formula>0.8</formula>
    </cfRule>
  </conditionalFormatting>
  <conditionalFormatting sqref="P162:P168">
    <cfRule type="cellIs" dxfId="3586" priority="3582" operator="greaterThan">
      <formula>0</formula>
    </cfRule>
  </conditionalFormatting>
  <conditionalFormatting sqref="R162:R168">
    <cfRule type="cellIs" dxfId="3585" priority="3585" operator="lessThan">
      <formula>0.8</formula>
    </cfRule>
    <cfRule type="cellIs" dxfId="3584" priority="3586" operator="greaterThan">
      <formula>1</formula>
    </cfRule>
  </conditionalFormatting>
  <conditionalFormatting sqref="R162:R168">
    <cfRule type="cellIs" dxfId="3583" priority="3583" operator="greaterThan">
      <formula>1</formula>
    </cfRule>
    <cfRule type="cellIs" dxfId="3582" priority="3584" operator="lessThan">
      <formula>0.8</formula>
    </cfRule>
  </conditionalFormatting>
  <conditionalFormatting sqref="Q162:Q168">
    <cfRule type="cellIs" dxfId="3581" priority="3587" operator="lessThan">
      <formula>0</formula>
    </cfRule>
  </conditionalFormatting>
  <conditionalFormatting sqref="P132:P133">
    <cfRule type="cellIs" dxfId="3580" priority="3575" operator="greaterThan">
      <formula>0</formula>
    </cfRule>
  </conditionalFormatting>
  <conditionalFormatting sqref="AF124 Q132:Q133 AF126:AF133">
    <cfRule type="cellIs" dxfId="3579" priority="3581" operator="lessThan">
      <formula>0</formula>
    </cfRule>
  </conditionalFormatting>
  <conditionalFormatting sqref="S124:S133">
    <cfRule type="cellIs" dxfId="3578" priority="3580" operator="lessThan">
      <formula>0.8</formula>
    </cfRule>
  </conditionalFormatting>
  <conditionalFormatting sqref="R132:R133">
    <cfRule type="cellIs" dxfId="3577" priority="3578" operator="lessThan">
      <formula>0.8</formula>
    </cfRule>
    <cfRule type="cellIs" dxfId="3576" priority="3579" operator="greaterThan">
      <formula>1</formula>
    </cfRule>
  </conditionalFormatting>
  <conditionalFormatting sqref="AG124 R132:R133 AG126:AG133">
    <cfRule type="cellIs" dxfId="3575" priority="3576" operator="greaterThan">
      <formula>1</formula>
    </cfRule>
    <cfRule type="cellIs" dxfId="3574" priority="3577" operator="lessThan">
      <formula>0.8</formula>
    </cfRule>
  </conditionalFormatting>
  <conditionalFormatting sqref="AF112 AF115">
    <cfRule type="cellIs" dxfId="3573" priority="3574" operator="lessThan">
      <formula>0</formula>
    </cfRule>
  </conditionalFormatting>
  <conditionalFormatting sqref="AG112 AG115">
    <cfRule type="cellIs" dxfId="3572" priority="3572" operator="greaterThan">
      <formula>1</formula>
    </cfRule>
    <cfRule type="cellIs" dxfId="3571" priority="3573" operator="lessThan">
      <formula>0.8</formula>
    </cfRule>
  </conditionalFormatting>
  <conditionalFormatting sqref="AF111 AF114 AF117">
    <cfRule type="cellIs" dxfId="3570" priority="3571" operator="lessThan">
      <formula>0</formula>
    </cfRule>
  </conditionalFormatting>
  <conditionalFormatting sqref="AH109">
    <cfRule type="cellIs" dxfId="3569" priority="3570" operator="lessThan">
      <formula>0.8</formula>
    </cfRule>
  </conditionalFormatting>
  <conditionalFormatting sqref="AG111 AG114 AG117">
    <cfRule type="cellIs" dxfId="3568" priority="3568" operator="greaterThan">
      <formula>1</formula>
    </cfRule>
    <cfRule type="cellIs" dxfId="3567" priority="3569" operator="lessThan">
      <formula>0.8</formula>
    </cfRule>
  </conditionalFormatting>
  <conditionalFormatting sqref="R160 AG160">
    <cfRule type="cellIs" dxfId="3566" priority="3563" operator="greaterThan">
      <formula>1</formula>
    </cfRule>
    <cfRule type="cellIs" dxfId="3565" priority="3564" operator="lessThan">
      <formula>0.8</formula>
    </cfRule>
  </conditionalFormatting>
  <conditionalFormatting sqref="R160">
    <cfRule type="cellIs" dxfId="3564" priority="3565" operator="lessThan">
      <formula>0.8</formula>
    </cfRule>
    <cfRule type="cellIs" dxfId="3563" priority="3566" operator="greaterThan">
      <formula>1</formula>
    </cfRule>
  </conditionalFormatting>
  <conditionalFormatting sqref="P160">
    <cfRule type="cellIs" dxfId="3562" priority="3562" operator="greaterThan">
      <formula>0</formula>
    </cfRule>
  </conditionalFormatting>
  <conditionalFormatting sqref="AH148">
    <cfRule type="cellIs" dxfId="3561" priority="3561" operator="lessThan">
      <formula>0.8</formula>
    </cfRule>
  </conditionalFormatting>
  <conditionalFormatting sqref="Q160 AF160">
    <cfRule type="cellIs" dxfId="3560" priority="3567" operator="lessThan">
      <formula>0</formula>
    </cfRule>
  </conditionalFormatting>
  <conditionalFormatting sqref="AF148:AF154">
    <cfRule type="cellIs" dxfId="3559" priority="3560" operator="lessThan">
      <formula>0</formula>
    </cfRule>
  </conditionalFormatting>
  <conditionalFormatting sqref="S148">
    <cfRule type="cellIs" dxfId="3558" priority="3559" operator="lessThan">
      <formula>0.8</formula>
    </cfRule>
  </conditionalFormatting>
  <conditionalFormatting sqref="AG148:AG154">
    <cfRule type="cellIs" dxfId="3557" priority="3557" operator="greaterThan">
      <formula>1</formula>
    </cfRule>
    <cfRule type="cellIs" dxfId="3556" priority="3558" operator="lessThan">
      <formula>0.8</formula>
    </cfRule>
  </conditionalFormatting>
  <conditionalFormatting sqref="S86">
    <cfRule type="cellIs" dxfId="3555" priority="3556" operator="lessThan">
      <formula>0.8</formula>
    </cfRule>
  </conditionalFormatting>
  <conditionalFormatting sqref="S88 AH88">
    <cfRule type="cellIs" dxfId="3554" priority="3551" operator="lessThan">
      <formula>0.8</formula>
    </cfRule>
  </conditionalFormatting>
  <conditionalFormatting sqref="AH86">
    <cfRule type="cellIs" dxfId="3553" priority="3555" operator="lessThan">
      <formula>0.8</formula>
    </cfRule>
  </conditionalFormatting>
  <conditionalFormatting sqref="S87">
    <cfRule type="cellIs" dxfId="3552" priority="3554" operator="lessThan">
      <formula>0.8</formula>
    </cfRule>
  </conditionalFormatting>
  <conditionalFormatting sqref="AH87">
    <cfRule type="cellIs" dxfId="3551" priority="3553" operator="lessThan">
      <formula>0.8</formula>
    </cfRule>
  </conditionalFormatting>
  <conditionalFormatting sqref="S89 AH89">
    <cfRule type="cellIs" dxfId="3550" priority="3552" operator="lessThan">
      <formula>0.8</formula>
    </cfRule>
  </conditionalFormatting>
  <conditionalFormatting sqref="AF31">
    <cfRule type="cellIs" dxfId="3549" priority="3550" operator="lessThan">
      <formula>0</formula>
    </cfRule>
  </conditionalFormatting>
  <conditionalFormatting sqref="AH31 S31">
    <cfRule type="cellIs" dxfId="3548" priority="3549" operator="lessThan">
      <formula>0.8</formula>
    </cfRule>
  </conditionalFormatting>
  <conditionalFormatting sqref="AG31">
    <cfRule type="cellIs" dxfId="3547" priority="3547" operator="greaterThan">
      <formula>1</formula>
    </cfRule>
    <cfRule type="cellIs" dxfId="3546" priority="3548" operator="lessThan">
      <formula>0.8</formula>
    </cfRule>
  </conditionalFormatting>
  <conditionalFormatting sqref="AF135">
    <cfRule type="cellIs" dxfId="3545" priority="3546" operator="lessThan">
      <formula>0</formula>
    </cfRule>
  </conditionalFormatting>
  <conditionalFormatting sqref="AH135 S135">
    <cfRule type="cellIs" dxfId="3544" priority="3545" operator="lessThan">
      <formula>0.8</formula>
    </cfRule>
  </conditionalFormatting>
  <conditionalFormatting sqref="AG135">
    <cfRule type="cellIs" dxfId="3543" priority="3543" operator="greaterThan">
      <formula>1</formula>
    </cfRule>
    <cfRule type="cellIs" dxfId="3542" priority="3544" operator="lessThan">
      <formula>0.8</formula>
    </cfRule>
  </conditionalFormatting>
  <conditionalFormatting sqref="AF110 AF113 AF116">
    <cfRule type="cellIs" dxfId="3541" priority="3542" operator="lessThan">
      <formula>0</formula>
    </cfRule>
  </conditionalFormatting>
  <conditionalFormatting sqref="AG110 AG113 AG116">
    <cfRule type="cellIs" dxfId="3540" priority="3540" operator="greaterThan">
      <formula>1</formula>
    </cfRule>
    <cfRule type="cellIs" dxfId="3539" priority="3541" operator="lessThan">
      <formula>0.8</formula>
    </cfRule>
  </conditionalFormatting>
  <conditionalFormatting sqref="AF108 Q108">
    <cfRule type="cellIs" dxfId="3538" priority="3539" operator="lessThan">
      <formula>0</formula>
    </cfRule>
  </conditionalFormatting>
  <conditionalFormatting sqref="R108">
    <cfRule type="cellIs" dxfId="3537" priority="3537" operator="lessThan">
      <formula>0.8</formula>
    </cfRule>
    <cfRule type="cellIs" dxfId="3536" priority="3538" operator="greaterThan">
      <formula>1</formula>
    </cfRule>
  </conditionalFormatting>
  <conditionalFormatting sqref="AG108 R108">
    <cfRule type="cellIs" dxfId="3535" priority="3535" operator="greaterThan">
      <formula>1</formula>
    </cfRule>
    <cfRule type="cellIs" dxfId="3534" priority="3536" operator="lessThan">
      <formula>0.8</formula>
    </cfRule>
  </conditionalFormatting>
  <conditionalFormatting sqref="P108">
    <cfRule type="cellIs" dxfId="3533" priority="3534" operator="greaterThan">
      <formula>0</formula>
    </cfRule>
  </conditionalFormatting>
  <conditionalFormatting sqref="AH97">
    <cfRule type="cellIs" dxfId="3532" priority="3529" operator="lessThan">
      <formula>0.8</formula>
    </cfRule>
  </conditionalFormatting>
  <conditionalFormatting sqref="AG96">
    <cfRule type="cellIs" dxfId="3531" priority="3531" operator="greaterThan">
      <formula>1</formula>
    </cfRule>
    <cfRule type="cellIs" dxfId="3530" priority="3532" operator="lessThan">
      <formula>0.8</formula>
    </cfRule>
  </conditionalFormatting>
  <conditionalFormatting sqref="AF96">
    <cfRule type="cellIs" dxfId="3529" priority="3533" operator="lessThan">
      <formula>0</formula>
    </cfRule>
  </conditionalFormatting>
  <conditionalFormatting sqref="AG97">
    <cfRule type="cellIs" dxfId="3528" priority="3527" operator="greaterThan">
      <formula>1</formula>
    </cfRule>
    <cfRule type="cellIs" dxfId="3527" priority="3528" operator="lessThan">
      <formula>0.8</formula>
    </cfRule>
  </conditionalFormatting>
  <conditionalFormatting sqref="AF97">
    <cfRule type="cellIs" dxfId="3526" priority="3530" operator="lessThan">
      <formula>0</formula>
    </cfRule>
  </conditionalFormatting>
  <conditionalFormatting sqref="AF71 AF73 AF75 AF77 AF79">
    <cfRule type="cellIs" dxfId="3525" priority="3524" operator="lessThan">
      <formula>0</formula>
    </cfRule>
  </conditionalFormatting>
  <conditionalFormatting sqref="S71 AH71">
    <cfRule type="cellIs" dxfId="3524" priority="3523" operator="lessThan">
      <formula>0.8</formula>
    </cfRule>
  </conditionalFormatting>
  <conditionalFormatting sqref="AG71 AG73 AG75 AG77 AG79">
    <cfRule type="cellIs" dxfId="3523" priority="3521" operator="greaterThan">
      <formula>1</formula>
    </cfRule>
    <cfRule type="cellIs" dxfId="3522" priority="3522" operator="lessThan">
      <formula>0.8</formula>
    </cfRule>
  </conditionalFormatting>
  <conditionalFormatting sqref="AF72 AF74 AF76 AF78 AF80">
    <cfRule type="cellIs" dxfId="3521" priority="3520" operator="lessThan">
      <formula>0</formula>
    </cfRule>
  </conditionalFormatting>
  <conditionalFormatting sqref="S72 AH72">
    <cfRule type="cellIs" dxfId="3520" priority="3519" operator="lessThan">
      <formula>0.8</formula>
    </cfRule>
  </conditionalFormatting>
  <conditionalFormatting sqref="S11">
    <cfRule type="cellIs" dxfId="3519" priority="3526" operator="lessThan">
      <formula>0.8</formula>
    </cfRule>
  </conditionalFormatting>
  <conditionalFormatting sqref="S10">
    <cfRule type="cellIs" dxfId="3518" priority="3525" operator="lessThan">
      <formula>0.8</formula>
    </cfRule>
  </conditionalFormatting>
  <conditionalFormatting sqref="AG72 AG74 AG76 AG78 AG80">
    <cfRule type="cellIs" dxfId="3517" priority="3517" operator="greaterThan">
      <formula>1</formula>
    </cfRule>
    <cfRule type="cellIs" dxfId="3516" priority="3518" operator="lessThan">
      <formula>0.8</formula>
    </cfRule>
  </conditionalFormatting>
  <conditionalFormatting sqref="AF13:AF16 Q15:Q16">
    <cfRule type="cellIs" dxfId="3515" priority="3516" operator="lessThan">
      <formula>0</formula>
    </cfRule>
  </conditionalFormatting>
  <conditionalFormatting sqref="R15:R16">
    <cfRule type="cellIs" dxfId="3514" priority="3514" operator="lessThan">
      <formula>0.8</formula>
    </cfRule>
    <cfRule type="cellIs" dxfId="3513" priority="3515" operator="greaterThan">
      <formula>1</formula>
    </cfRule>
  </conditionalFormatting>
  <conditionalFormatting sqref="AG12:AG16 R15:R16">
    <cfRule type="cellIs" dxfId="3512" priority="3512" operator="greaterThan">
      <formula>1</formula>
    </cfRule>
    <cfRule type="cellIs" dxfId="3511" priority="3513" operator="lessThan">
      <formula>0.8</formula>
    </cfRule>
  </conditionalFormatting>
  <conditionalFormatting sqref="P15:P16">
    <cfRule type="cellIs" dxfId="3510" priority="3511" operator="greaterThan">
      <formula>0</formula>
    </cfRule>
  </conditionalFormatting>
  <conditionalFormatting sqref="AF98 AF100 AF102 AF104">
    <cfRule type="cellIs" dxfId="3509" priority="3510" operator="lessThan">
      <formula>0</formula>
    </cfRule>
  </conditionalFormatting>
  <conditionalFormatting sqref="AH98">
    <cfRule type="cellIs" dxfId="3508" priority="3509" operator="lessThan">
      <formula>0.8</formula>
    </cfRule>
  </conditionalFormatting>
  <conditionalFormatting sqref="AG98 AG100 AG102 AG104">
    <cfRule type="cellIs" dxfId="3507" priority="3507" operator="greaterThan">
      <formula>1</formula>
    </cfRule>
    <cfRule type="cellIs" dxfId="3506" priority="3508" operator="lessThan">
      <formula>0.8</formula>
    </cfRule>
  </conditionalFormatting>
  <conditionalFormatting sqref="AF20 AF22 AF24 AF26 AF28">
    <cfRule type="cellIs" dxfId="3505" priority="3506" operator="lessThan">
      <formula>0</formula>
    </cfRule>
  </conditionalFormatting>
  <conditionalFormatting sqref="AG20 AG22 AG24 AG26 AG28">
    <cfRule type="cellIs" dxfId="3504" priority="3504" operator="greaterThan">
      <formula>1</formula>
    </cfRule>
    <cfRule type="cellIs" dxfId="3503" priority="3505" operator="lessThan">
      <formula>0.8</formula>
    </cfRule>
  </conditionalFormatting>
  <conditionalFormatting sqref="AF33">
    <cfRule type="cellIs" dxfId="3502" priority="3503" operator="lessThan">
      <formula>0</formula>
    </cfRule>
  </conditionalFormatting>
  <conditionalFormatting sqref="AG33">
    <cfRule type="cellIs" dxfId="3501" priority="3501" operator="greaterThan">
      <formula>1</formula>
    </cfRule>
    <cfRule type="cellIs" dxfId="3500" priority="3502" operator="lessThan">
      <formula>0.8</formula>
    </cfRule>
  </conditionalFormatting>
  <conditionalFormatting sqref="P41:P42">
    <cfRule type="cellIs" dxfId="3499" priority="3495" operator="greaterThan">
      <formula>0</formula>
    </cfRule>
  </conditionalFormatting>
  <conditionalFormatting sqref="Q41:Q42 AF34:AF42">
    <cfRule type="cellIs" dxfId="3498" priority="3500" operator="lessThan">
      <formula>0</formula>
    </cfRule>
  </conditionalFormatting>
  <conditionalFormatting sqref="R41:R42">
    <cfRule type="cellIs" dxfId="3497" priority="3498" operator="lessThan">
      <formula>0.8</formula>
    </cfRule>
    <cfRule type="cellIs" dxfId="3496" priority="3499" operator="greaterThan">
      <formula>1</formula>
    </cfRule>
  </conditionalFormatting>
  <conditionalFormatting sqref="R41:R42 AG34:AG42">
    <cfRule type="cellIs" dxfId="3495" priority="3496" operator="greaterThan">
      <formula>1</formula>
    </cfRule>
    <cfRule type="cellIs" dxfId="3494" priority="3497" operator="lessThan">
      <formula>0.8</formula>
    </cfRule>
  </conditionalFormatting>
  <conditionalFormatting sqref="AF137:AF144">
    <cfRule type="cellIs" dxfId="3493" priority="3494" operator="lessThan">
      <formula>0</formula>
    </cfRule>
  </conditionalFormatting>
  <conditionalFormatting sqref="AH137 S137">
    <cfRule type="cellIs" dxfId="3492" priority="3493" operator="lessThan">
      <formula>0.8</formula>
    </cfRule>
  </conditionalFormatting>
  <conditionalFormatting sqref="AG137:AG144">
    <cfRule type="cellIs" dxfId="3491" priority="3491" operator="greaterThan">
      <formula>1</formula>
    </cfRule>
    <cfRule type="cellIs" dxfId="3490" priority="3492" operator="lessThan">
      <formula>0.8</formula>
    </cfRule>
  </conditionalFormatting>
  <conditionalFormatting sqref="AF53:AF55">
    <cfRule type="cellIs" dxfId="3489" priority="3490" operator="lessThan">
      <formula>0</formula>
    </cfRule>
  </conditionalFormatting>
  <conditionalFormatting sqref="AG53:AG55">
    <cfRule type="cellIs" dxfId="3488" priority="3488" operator="greaterThan">
      <formula>1</formula>
    </cfRule>
    <cfRule type="cellIs" dxfId="3487" priority="3489" operator="lessThan">
      <formula>0.8</formula>
    </cfRule>
  </conditionalFormatting>
  <conditionalFormatting sqref="AF56 Q56">
    <cfRule type="cellIs" dxfId="3486" priority="3487" operator="lessThan">
      <formula>0</formula>
    </cfRule>
  </conditionalFormatting>
  <conditionalFormatting sqref="R56">
    <cfRule type="cellIs" dxfId="3485" priority="3485" operator="lessThan">
      <formula>0.8</formula>
    </cfRule>
    <cfRule type="cellIs" dxfId="3484" priority="3486" operator="greaterThan">
      <formula>1</formula>
    </cfRule>
  </conditionalFormatting>
  <conditionalFormatting sqref="AG56 R56">
    <cfRule type="cellIs" dxfId="3483" priority="3483" operator="greaterThan">
      <formula>1</formula>
    </cfRule>
    <cfRule type="cellIs" dxfId="3482" priority="3484" operator="lessThan">
      <formula>0.8</formula>
    </cfRule>
  </conditionalFormatting>
  <conditionalFormatting sqref="P56">
    <cfRule type="cellIs" dxfId="3481" priority="3482" operator="greaterThan">
      <formula>0</formula>
    </cfRule>
  </conditionalFormatting>
  <conditionalFormatting sqref="P52:P55">
    <cfRule type="cellIs" dxfId="3480" priority="3476" operator="greaterThan">
      <formula>0</formula>
    </cfRule>
  </conditionalFormatting>
  <conditionalFormatting sqref="Q52:Q55">
    <cfRule type="cellIs" dxfId="3479" priority="3481" operator="lessThan">
      <formula>0</formula>
    </cfRule>
  </conditionalFormatting>
  <conditionalFormatting sqref="R52:R55">
    <cfRule type="cellIs" dxfId="3478" priority="3479" operator="lessThan">
      <formula>0.8</formula>
    </cfRule>
    <cfRule type="cellIs" dxfId="3477" priority="3480" operator="greaterThan">
      <formula>1</formula>
    </cfRule>
  </conditionalFormatting>
  <conditionalFormatting sqref="R52:R55">
    <cfRule type="cellIs" dxfId="3476" priority="3477" operator="greaterThan">
      <formula>1</formula>
    </cfRule>
    <cfRule type="cellIs" dxfId="3475" priority="3478" operator="lessThan">
      <formula>0.8</formula>
    </cfRule>
  </conditionalFormatting>
  <conditionalFormatting sqref="P80:P81">
    <cfRule type="cellIs" dxfId="3474" priority="3470" operator="greaterThan">
      <formula>0</formula>
    </cfRule>
  </conditionalFormatting>
  <conditionalFormatting sqref="AF81 Q80:Q81">
    <cfRule type="cellIs" dxfId="3473" priority="3475" operator="lessThan">
      <formula>0</formula>
    </cfRule>
  </conditionalFormatting>
  <conditionalFormatting sqref="R80:R81">
    <cfRule type="cellIs" dxfId="3472" priority="3473" operator="lessThan">
      <formula>0.8</formula>
    </cfRule>
    <cfRule type="cellIs" dxfId="3471" priority="3474" operator="greaterThan">
      <formula>1</formula>
    </cfRule>
  </conditionalFormatting>
  <conditionalFormatting sqref="AG81 R80:R81">
    <cfRule type="cellIs" dxfId="3470" priority="3471" operator="greaterThan">
      <formula>1</formula>
    </cfRule>
    <cfRule type="cellIs" dxfId="3469" priority="3472" operator="lessThan">
      <formula>0.8</formula>
    </cfRule>
  </conditionalFormatting>
  <conditionalFormatting sqref="AH85">
    <cfRule type="cellIs" dxfId="3468" priority="3469" operator="lessThan">
      <formula>0.8</formula>
    </cfRule>
  </conditionalFormatting>
  <conditionalFormatting sqref="S85">
    <cfRule type="cellIs" dxfId="3467" priority="3468" operator="lessThan">
      <formula>0.8</formula>
    </cfRule>
  </conditionalFormatting>
  <conditionalFormatting sqref="AF99 AF101 AF103">
    <cfRule type="cellIs" dxfId="3466" priority="3467" operator="lessThan">
      <formula>0</formula>
    </cfRule>
  </conditionalFormatting>
  <conditionalFormatting sqref="AG99 AG101 AG103">
    <cfRule type="cellIs" dxfId="3465" priority="3465" operator="greaterThan">
      <formula>1</formula>
    </cfRule>
    <cfRule type="cellIs" dxfId="3464" priority="3466" operator="lessThan">
      <formula>0.8</formula>
    </cfRule>
  </conditionalFormatting>
  <conditionalFormatting sqref="AF105:AF107">
    <cfRule type="cellIs" dxfId="3463" priority="3464" operator="lessThan">
      <formula>0</formula>
    </cfRule>
  </conditionalFormatting>
  <conditionalFormatting sqref="AH100:AH107">
    <cfRule type="cellIs" dxfId="3462" priority="3463" operator="lessThan">
      <formula>0.8</formula>
    </cfRule>
  </conditionalFormatting>
  <conditionalFormatting sqref="AG105:AG107">
    <cfRule type="cellIs" dxfId="3461" priority="3461" operator="greaterThan">
      <formula>1</formula>
    </cfRule>
    <cfRule type="cellIs" dxfId="3460" priority="3462" operator="lessThan">
      <formula>0.8</formula>
    </cfRule>
  </conditionalFormatting>
  <conditionalFormatting sqref="P106:P107">
    <cfRule type="cellIs" dxfId="3459" priority="3455" operator="greaterThan">
      <formula>0</formula>
    </cfRule>
  </conditionalFormatting>
  <conditionalFormatting sqref="Q106:Q107">
    <cfRule type="cellIs" dxfId="3458" priority="3460" operator="lessThan">
      <formula>0</formula>
    </cfRule>
  </conditionalFormatting>
  <conditionalFormatting sqref="R106:R107">
    <cfRule type="cellIs" dxfId="3457" priority="3458" operator="lessThan">
      <formula>0.8</formula>
    </cfRule>
    <cfRule type="cellIs" dxfId="3456" priority="3459" operator="greaterThan">
      <formula>1</formula>
    </cfRule>
  </conditionalFormatting>
  <conditionalFormatting sqref="R106:R107">
    <cfRule type="cellIs" dxfId="3455" priority="3456" operator="greaterThan">
      <formula>1</formula>
    </cfRule>
    <cfRule type="cellIs" dxfId="3454" priority="3457" operator="lessThan">
      <formula>0.8</formula>
    </cfRule>
  </conditionalFormatting>
  <conditionalFormatting sqref="AF109">
    <cfRule type="cellIs" dxfId="3453" priority="3454" operator="lessThan">
      <formula>0</formula>
    </cfRule>
  </conditionalFormatting>
  <conditionalFormatting sqref="S109">
    <cfRule type="cellIs" dxfId="3452" priority="3453" operator="lessThan">
      <formula>0.8</formula>
    </cfRule>
  </conditionalFormatting>
  <conditionalFormatting sqref="AG109">
    <cfRule type="cellIs" dxfId="3451" priority="3451" operator="greaterThan">
      <formula>1</formula>
    </cfRule>
    <cfRule type="cellIs" dxfId="3450" priority="3452" operator="lessThan">
      <formula>0.8</formula>
    </cfRule>
  </conditionalFormatting>
  <conditionalFormatting sqref="S150">
    <cfRule type="cellIs" dxfId="3449" priority="3450" operator="lessThan">
      <formula>0.8</formula>
    </cfRule>
  </conditionalFormatting>
  <conditionalFormatting sqref="AH150">
    <cfRule type="cellIs" dxfId="3448" priority="3449" operator="lessThan">
      <formula>0.8</formula>
    </cfRule>
  </conditionalFormatting>
  <conditionalFormatting sqref="S149">
    <cfRule type="cellIs" dxfId="3447" priority="3448" operator="lessThan">
      <formula>0.8</formula>
    </cfRule>
  </conditionalFormatting>
  <conditionalFormatting sqref="Q26:Q29">
    <cfRule type="cellIs" dxfId="3446" priority="3447" operator="lessThan">
      <formula>0</formula>
    </cfRule>
  </conditionalFormatting>
  <conditionalFormatting sqref="S21:S29 AH21:AH29">
    <cfRule type="cellIs" dxfId="3445" priority="3446" operator="lessThan">
      <formula>0.8</formula>
    </cfRule>
  </conditionalFormatting>
  <conditionalFormatting sqref="R26:R29">
    <cfRule type="cellIs" dxfId="3444" priority="3444" operator="lessThan">
      <formula>0.8</formula>
    </cfRule>
    <cfRule type="cellIs" dxfId="3443" priority="3445" operator="greaterThan">
      <formula>1</formula>
    </cfRule>
  </conditionalFormatting>
  <conditionalFormatting sqref="R26:R29">
    <cfRule type="cellIs" dxfId="3442" priority="3442" operator="greaterThan">
      <formula>1</formula>
    </cfRule>
    <cfRule type="cellIs" dxfId="3441" priority="3443" operator="lessThan">
      <formula>0.8</formula>
    </cfRule>
  </conditionalFormatting>
  <conditionalFormatting sqref="P26:P29">
    <cfRule type="cellIs" dxfId="3440" priority="3441" operator="greaterThan">
      <formula>0</formula>
    </cfRule>
  </conditionalFormatting>
  <conditionalFormatting sqref="AH91 S91">
    <cfRule type="cellIs" dxfId="3439" priority="3440" operator="lessThan">
      <formula>0.8</formula>
    </cfRule>
  </conditionalFormatting>
  <conditionalFormatting sqref="P92:P94">
    <cfRule type="cellIs" dxfId="3438" priority="3434" operator="greaterThan">
      <formula>0</formula>
    </cfRule>
  </conditionalFormatting>
  <conditionalFormatting sqref="Q92:Q94">
    <cfRule type="cellIs" dxfId="3437" priority="3439" operator="lessThan">
      <formula>0</formula>
    </cfRule>
  </conditionalFormatting>
  <conditionalFormatting sqref="R92:R94">
    <cfRule type="cellIs" dxfId="3436" priority="3437" operator="lessThan">
      <formula>0.8</formula>
    </cfRule>
    <cfRule type="cellIs" dxfId="3435" priority="3438" operator="greaterThan">
      <formula>1</formula>
    </cfRule>
  </conditionalFormatting>
  <conditionalFormatting sqref="R92:R94">
    <cfRule type="cellIs" dxfId="3434" priority="3435" operator="greaterThan">
      <formula>1</formula>
    </cfRule>
    <cfRule type="cellIs" dxfId="3433" priority="3436" operator="lessThan">
      <formula>0.8</formula>
    </cfRule>
  </conditionalFormatting>
  <conditionalFormatting sqref="AF146 Q145:Q146">
    <cfRule type="cellIs" dxfId="3432" priority="3433" operator="lessThan">
      <formula>0</formula>
    </cfRule>
  </conditionalFormatting>
  <conditionalFormatting sqref="AH139:AH146 S139:S146">
    <cfRule type="cellIs" dxfId="3431" priority="3432" operator="lessThan">
      <formula>0.8</formula>
    </cfRule>
  </conditionalFormatting>
  <conditionalFormatting sqref="R145:R146">
    <cfRule type="cellIs" dxfId="3430" priority="3430" operator="lessThan">
      <formula>0.8</formula>
    </cfRule>
    <cfRule type="cellIs" dxfId="3429" priority="3431" operator="greaterThan">
      <formula>1</formula>
    </cfRule>
  </conditionalFormatting>
  <conditionalFormatting sqref="AG146 R145:R146">
    <cfRule type="cellIs" dxfId="3428" priority="3428" operator="greaterThan">
      <formula>1</formula>
    </cfRule>
    <cfRule type="cellIs" dxfId="3427" priority="3429" operator="lessThan">
      <formula>0.8</formula>
    </cfRule>
  </conditionalFormatting>
  <conditionalFormatting sqref="P145:P146">
    <cfRule type="cellIs" dxfId="3426" priority="3427" operator="greaterThan">
      <formula>0</formula>
    </cfRule>
  </conditionalFormatting>
  <conditionalFormatting sqref="Q119:Q120">
    <cfRule type="cellIs" dxfId="3425" priority="3426" operator="lessThan">
      <formula>0</formula>
    </cfRule>
  </conditionalFormatting>
  <conditionalFormatting sqref="R119:R120">
    <cfRule type="cellIs" dxfId="3424" priority="3424" operator="lessThan">
      <formula>0.8</formula>
    </cfRule>
    <cfRule type="cellIs" dxfId="3423" priority="3425" operator="greaterThan">
      <formula>1</formula>
    </cfRule>
  </conditionalFormatting>
  <conditionalFormatting sqref="R119:R120">
    <cfRule type="cellIs" dxfId="3422" priority="3422" operator="greaterThan">
      <formula>1</formula>
    </cfRule>
    <cfRule type="cellIs" dxfId="3421" priority="3423" operator="lessThan">
      <formula>0.8</formula>
    </cfRule>
  </conditionalFormatting>
  <conditionalFormatting sqref="P119:P120">
    <cfRule type="cellIs" dxfId="3420" priority="3421" operator="greaterThan">
      <formula>0</formula>
    </cfRule>
  </conditionalFormatting>
  <conditionalFormatting sqref="AF118:AF120">
    <cfRule type="cellIs" dxfId="3419" priority="3420" operator="lessThan">
      <formula>0</formula>
    </cfRule>
  </conditionalFormatting>
  <conditionalFormatting sqref="AG118:AG120">
    <cfRule type="cellIs" dxfId="3418" priority="3418" operator="greaterThan">
      <formula>1</formula>
    </cfRule>
    <cfRule type="cellIs" dxfId="3417" priority="3419" operator="lessThan">
      <formula>0.8</formula>
    </cfRule>
  </conditionalFormatting>
  <conditionalFormatting sqref="S44:S56">
    <cfRule type="cellIs" dxfId="3416" priority="3417" operator="lessThan">
      <formula>0.8</formula>
    </cfRule>
  </conditionalFormatting>
  <conditionalFormatting sqref="S108">
    <cfRule type="cellIs" dxfId="3415" priority="3416" operator="lessThan">
      <formula>0.8</formula>
    </cfRule>
  </conditionalFormatting>
  <conditionalFormatting sqref="S96">
    <cfRule type="cellIs" dxfId="3414" priority="3415" operator="lessThan">
      <formula>0.8</formula>
    </cfRule>
  </conditionalFormatting>
  <conditionalFormatting sqref="S97">
    <cfRule type="cellIs" dxfId="3413" priority="3414" operator="lessThan">
      <formula>0.8</formula>
    </cfRule>
  </conditionalFormatting>
  <conditionalFormatting sqref="S103">
    <cfRule type="cellIs" dxfId="3412" priority="3413" operator="lessThan">
      <formula>0.8</formula>
    </cfRule>
  </conditionalFormatting>
  <conditionalFormatting sqref="S99">
    <cfRule type="cellIs" dxfId="3411" priority="3412" operator="lessThan">
      <formula>0.8</formula>
    </cfRule>
  </conditionalFormatting>
  <conditionalFormatting sqref="S101">
    <cfRule type="cellIs" dxfId="3410" priority="3409" operator="lessThan">
      <formula>0.8</formula>
    </cfRule>
  </conditionalFormatting>
  <conditionalFormatting sqref="S100">
    <cfRule type="cellIs" dxfId="3409" priority="3411" operator="lessThan">
      <formula>0.8</formula>
    </cfRule>
  </conditionalFormatting>
  <conditionalFormatting sqref="S102">
    <cfRule type="cellIs" dxfId="3408" priority="3410" operator="lessThan">
      <formula>0.8</formula>
    </cfRule>
  </conditionalFormatting>
  <conditionalFormatting sqref="S98">
    <cfRule type="cellIs" dxfId="3407" priority="3408" operator="lessThan">
      <formula>0.8</formula>
    </cfRule>
  </conditionalFormatting>
  <conditionalFormatting sqref="S104">
    <cfRule type="cellIs" dxfId="3406" priority="3407" operator="lessThan">
      <formula>0.8</formula>
    </cfRule>
  </conditionalFormatting>
  <conditionalFormatting sqref="P118">
    <cfRule type="cellIs" dxfId="3405" priority="3401" operator="greaterThan">
      <formula>0</formula>
    </cfRule>
  </conditionalFormatting>
  <conditionalFormatting sqref="Q118">
    <cfRule type="cellIs" dxfId="3404" priority="3406" operator="lessThan">
      <formula>0</formula>
    </cfRule>
  </conditionalFormatting>
  <conditionalFormatting sqref="R118">
    <cfRule type="cellIs" dxfId="3403" priority="3404" operator="lessThan">
      <formula>0.8</formula>
    </cfRule>
    <cfRule type="cellIs" dxfId="3402" priority="3405" operator="greaterThan">
      <formula>1</formula>
    </cfRule>
  </conditionalFormatting>
  <conditionalFormatting sqref="R118">
    <cfRule type="cellIs" dxfId="3401" priority="3402" operator="greaterThan">
      <formula>1</formula>
    </cfRule>
    <cfRule type="cellIs" dxfId="3400" priority="3403" operator="lessThan">
      <formula>0.8</formula>
    </cfRule>
  </conditionalFormatting>
  <conditionalFormatting sqref="Q162:Q166">
    <cfRule type="cellIs" dxfId="3399" priority="3400" operator="lessThan">
      <formula>0</formula>
    </cfRule>
  </conditionalFormatting>
  <conditionalFormatting sqref="R162:R166">
    <cfRule type="cellIs" dxfId="3398" priority="3398" operator="lessThan">
      <formula>0.8</formula>
    </cfRule>
    <cfRule type="cellIs" dxfId="3397" priority="3399" operator="greaterThan">
      <formula>1</formula>
    </cfRule>
  </conditionalFormatting>
  <conditionalFormatting sqref="R162:R166">
    <cfRule type="cellIs" dxfId="3396" priority="3396" operator="greaterThan">
      <formula>1</formula>
    </cfRule>
    <cfRule type="cellIs" dxfId="3395" priority="3397" operator="lessThan">
      <formula>0.8</formula>
    </cfRule>
  </conditionalFormatting>
  <conditionalFormatting sqref="P162:P166">
    <cfRule type="cellIs" dxfId="3394" priority="3395" operator="greaterThan">
      <formula>0</formula>
    </cfRule>
  </conditionalFormatting>
  <conditionalFormatting sqref="P167:P168">
    <cfRule type="cellIs" dxfId="3393" priority="3389" operator="greaterThan">
      <formula>0</formula>
    </cfRule>
  </conditionalFormatting>
  <conditionalFormatting sqref="R167:R168">
    <cfRule type="cellIs" dxfId="3392" priority="3392" operator="lessThan">
      <formula>0.8</formula>
    </cfRule>
    <cfRule type="cellIs" dxfId="3391" priority="3393" operator="greaterThan">
      <formula>1</formula>
    </cfRule>
  </conditionalFormatting>
  <conditionalFormatting sqref="R167:R168">
    <cfRule type="cellIs" dxfId="3390" priority="3390" operator="greaterThan">
      <formula>1</formula>
    </cfRule>
    <cfRule type="cellIs" dxfId="3389" priority="3391" operator="lessThan">
      <formula>0.8</formula>
    </cfRule>
  </conditionalFormatting>
  <conditionalFormatting sqref="Q167:Q168">
    <cfRule type="cellIs" dxfId="3388" priority="3394" operator="lessThan">
      <formula>0</formula>
    </cfRule>
  </conditionalFormatting>
  <conditionalFormatting sqref="Q117">
    <cfRule type="cellIs" dxfId="3387" priority="3388" operator="lessThan">
      <formula>0</formula>
    </cfRule>
  </conditionalFormatting>
  <conditionalFormatting sqref="R117">
    <cfRule type="cellIs" dxfId="3386" priority="3386" operator="lessThan">
      <formula>0.8</formula>
    </cfRule>
    <cfRule type="cellIs" dxfId="3385" priority="3387" operator="greaterThan">
      <formula>1</formula>
    </cfRule>
  </conditionalFormatting>
  <conditionalFormatting sqref="R117">
    <cfRule type="cellIs" dxfId="3384" priority="3384" operator="greaterThan">
      <formula>1</formula>
    </cfRule>
    <cfRule type="cellIs" dxfId="3383" priority="3385" operator="lessThan">
      <formula>0.8</formula>
    </cfRule>
  </conditionalFormatting>
  <conditionalFormatting sqref="P117">
    <cfRule type="cellIs" dxfId="3382" priority="3383" operator="greaterThan">
      <formula>0</formula>
    </cfRule>
  </conditionalFormatting>
  <conditionalFormatting sqref="Q117">
    <cfRule type="cellIs" dxfId="3381" priority="3382" operator="lessThan">
      <formula>0</formula>
    </cfRule>
  </conditionalFormatting>
  <conditionalFormatting sqref="R117">
    <cfRule type="cellIs" dxfId="3380" priority="3380" operator="lessThan">
      <formula>0.8</formula>
    </cfRule>
    <cfRule type="cellIs" dxfId="3379" priority="3381" operator="greaterThan">
      <formula>1</formula>
    </cfRule>
  </conditionalFormatting>
  <conditionalFormatting sqref="R117">
    <cfRule type="cellIs" dxfId="3378" priority="3378" operator="greaterThan">
      <formula>1</formula>
    </cfRule>
    <cfRule type="cellIs" dxfId="3377" priority="3379" operator="lessThan">
      <formula>0.8</formula>
    </cfRule>
  </conditionalFormatting>
  <conditionalFormatting sqref="P117">
    <cfRule type="cellIs" dxfId="3376" priority="3377" operator="greaterThan">
      <formula>0</formula>
    </cfRule>
  </conditionalFormatting>
  <conditionalFormatting sqref="P117">
    <cfRule type="cellIs" dxfId="3375" priority="3371" operator="greaterThan">
      <formula>0</formula>
    </cfRule>
  </conditionalFormatting>
  <conditionalFormatting sqref="Q117">
    <cfRule type="cellIs" dxfId="3374" priority="3376" operator="lessThan">
      <formula>0</formula>
    </cfRule>
  </conditionalFormatting>
  <conditionalFormatting sqref="R117">
    <cfRule type="cellIs" dxfId="3373" priority="3374" operator="lessThan">
      <formula>0.8</formula>
    </cfRule>
    <cfRule type="cellIs" dxfId="3372" priority="3375" operator="greaterThan">
      <formula>1</formula>
    </cfRule>
  </conditionalFormatting>
  <conditionalFormatting sqref="R117">
    <cfRule type="cellIs" dxfId="3371" priority="3372" operator="greaterThan">
      <formula>1</formula>
    </cfRule>
    <cfRule type="cellIs" dxfId="3370" priority="3373" operator="lessThan">
      <formula>0.8</formula>
    </cfRule>
  </conditionalFormatting>
  <conditionalFormatting sqref="P117">
    <cfRule type="cellIs" dxfId="3369" priority="3365" operator="greaterThan">
      <formula>0</formula>
    </cfRule>
  </conditionalFormatting>
  <conditionalFormatting sqref="Q117">
    <cfRule type="cellIs" dxfId="3368" priority="3370" operator="lessThan">
      <formula>0</formula>
    </cfRule>
  </conditionalFormatting>
  <conditionalFormatting sqref="R117">
    <cfRule type="cellIs" dxfId="3367" priority="3368" operator="lessThan">
      <formula>0.8</formula>
    </cfRule>
    <cfRule type="cellIs" dxfId="3366" priority="3369" operator="greaterThan">
      <formula>1</formula>
    </cfRule>
  </conditionalFormatting>
  <conditionalFormatting sqref="R117">
    <cfRule type="cellIs" dxfId="3365" priority="3366" operator="greaterThan">
      <formula>1</formula>
    </cfRule>
    <cfRule type="cellIs" dxfId="3364" priority="3367" operator="lessThan">
      <formula>0.8</formula>
    </cfRule>
  </conditionalFormatting>
  <conditionalFormatting sqref="P117">
    <cfRule type="cellIs" dxfId="3363" priority="3359" operator="greaterThan">
      <formula>0</formula>
    </cfRule>
  </conditionalFormatting>
  <conditionalFormatting sqref="Q117">
    <cfRule type="cellIs" dxfId="3362" priority="3364" operator="lessThan">
      <formula>0</formula>
    </cfRule>
  </conditionalFormatting>
  <conditionalFormatting sqref="R117">
    <cfRule type="cellIs" dxfId="3361" priority="3362" operator="lessThan">
      <formula>0.8</formula>
    </cfRule>
    <cfRule type="cellIs" dxfId="3360" priority="3363" operator="greaterThan">
      <formula>1</formula>
    </cfRule>
  </conditionalFormatting>
  <conditionalFormatting sqref="R117">
    <cfRule type="cellIs" dxfId="3359" priority="3360" operator="greaterThan">
      <formula>1</formula>
    </cfRule>
    <cfRule type="cellIs" dxfId="3358" priority="3361" operator="lessThan">
      <formula>0.8</formula>
    </cfRule>
  </conditionalFormatting>
  <conditionalFormatting sqref="Q117">
    <cfRule type="cellIs" dxfId="3357" priority="3358" operator="lessThan">
      <formula>0</formula>
    </cfRule>
  </conditionalFormatting>
  <conditionalFormatting sqref="R117">
    <cfRule type="cellIs" dxfId="3356" priority="3356" operator="lessThan">
      <formula>0.8</formula>
    </cfRule>
    <cfRule type="cellIs" dxfId="3355" priority="3357" operator="greaterThan">
      <formula>1</formula>
    </cfRule>
  </conditionalFormatting>
  <conditionalFormatting sqref="R117">
    <cfRule type="cellIs" dxfId="3354" priority="3354" operator="greaterThan">
      <formula>1</formula>
    </cfRule>
    <cfRule type="cellIs" dxfId="3353" priority="3355" operator="lessThan">
      <formula>0.8</formula>
    </cfRule>
  </conditionalFormatting>
  <conditionalFormatting sqref="P117">
    <cfRule type="cellIs" dxfId="3352" priority="3353" operator="greaterThan">
      <formula>0</formula>
    </cfRule>
  </conditionalFormatting>
  <conditionalFormatting sqref="P117">
    <cfRule type="cellIs" dxfId="3351" priority="3347" operator="greaterThan">
      <formula>0</formula>
    </cfRule>
  </conditionalFormatting>
  <conditionalFormatting sqref="Q117">
    <cfRule type="cellIs" dxfId="3350" priority="3352" operator="lessThan">
      <formula>0</formula>
    </cfRule>
  </conditionalFormatting>
  <conditionalFormatting sqref="R117">
    <cfRule type="cellIs" dxfId="3349" priority="3350" operator="lessThan">
      <formula>0.8</formula>
    </cfRule>
    <cfRule type="cellIs" dxfId="3348" priority="3351" operator="greaterThan">
      <formula>1</formula>
    </cfRule>
  </conditionalFormatting>
  <conditionalFormatting sqref="R117">
    <cfRule type="cellIs" dxfId="3347" priority="3348" operator="greaterThan">
      <formula>1</formula>
    </cfRule>
    <cfRule type="cellIs" dxfId="3346" priority="3349" operator="lessThan">
      <formula>0.8</formula>
    </cfRule>
  </conditionalFormatting>
  <conditionalFormatting sqref="P117">
    <cfRule type="cellIs" dxfId="3345" priority="3341" operator="greaterThan">
      <formula>0</formula>
    </cfRule>
  </conditionalFormatting>
  <conditionalFormatting sqref="Q117">
    <cfRule type="cellIs" dxfId="3344" priority="3346" operator="lessThan">
      <formula>0</formula>
    </cfRule>
  </conditionalFormatting>
  <conditionalFormatting sqref="R117">
    <cfRule type="cellIs" dxfId="3343" priority="3344" operator="lessThan">
      <formula>0.8</formula>
    </cfRule>
    <cfRule type="cellIs" dxfId="3342" priority="3345" operator="greaterThan">
      <formula>1</formula>
    </cfRule>
  </conditionalFormatting>
  <conditionalFormatting sqref="R117">
    <cfRule type="cellIs" dxfId="3341" priority="3342" operator="greaterThan">
      <formula>1</formula>
    </cfRule>
    <cfRule type="cellIs" dxfId="3340" priority="3343" operator="lessThan">
      <formula>0.8</formula>
    </cfRule>
  </conditionalFormatting>
  <conditionalFormatting sqref="Q117">
    <cfRule type="cellIs" dxfId="3339" priority="3340" operator="lessThan">
      <formula>0</formula>
    </cfRule>
  </conditionalFormatting>
  <conditionalFormatting sqref="R117">
    <cfRule type="cellIs" dxfId="3338" priority="3338" operator="lessThan">
      <formula>0.8</formula>
    </cfRule>
    <cfRule type="cellIs" dxfId="3337" priority="3339" operator="greaterThan">
      <formula>1</formula>
    </cfRule>
  </conditionalFormatting>
  <conditionalFormatting sqref="R117">
    <cfRule type="cellIs" dxfId="3336" priority="3336" operator="greaterThan">
      <formula>1</formula>
    </cfRule>
    <cfRule type="cellIs" dxfId="3335" priority="3337" operator="lessThan">
      <formula>0.8</formula>
    </cfRule>
  </conditionalFormatting>
  <conditionalFormatting sqref="P117">
    <cfRule type="cellIs" dxfId="3334" priority="3335" operator="greaterThan">
      <formula>0</formula>
    </cfRule>
  </conditionalFormatting>
  <conditionalFormatting sqref="P117">
    <cfRule type="cellIs" dxfId="3333" priority="3329" operator="greaterThan">
      <formula>0</formula>
    </cfRule>
  </conditionalFormatting>
  <conditionalFormatting sqref="Q117">
    <cfRule type="cellIs" dxfId="3332" priority="3334" operator="lessThan">
      <formula>0</formula>
    </cfRule>
  </conditionalFormatting>
  <conditionalFormatting sqref="R117">
    <cfRule type="cellIs" dxfId="3331" priority="3332" operator="lessThan">
      <formula>0.8</formula>
    </cfRule>
    <cfRule type="cellIs" dxfId="3330" priority="3333" operator="greaterThan">
      <formula>1</formula>
    </cfRule>
  </conditionalFormatting>
  <conditionalFormatting sqref="R117">
    <cfRule type="cellIs" dxfId="3329" priority="3330" operator="greaterThan">
      <formula>1</formula>
    </cfRule>
    <cfRule type="cellIs" dxfId="3328" priority="3331" operator="lessThan">
      <formula>0.8</formula>
    </cfRule>
  </conditionalFormatting>
  <conditionalFormatting sqref="Q117">
    <cfRule type="cellIs" dxfId="3327" priority="3328" operator="lessThan">
      <formula>0</formula>
    </cfRule>
  </conditionalFormatting>
  <conditionalFormatting sqref="R117">
    <cfRule type="cellIs" dxfId="3326" priority="3326" operator="lessThan">
      <formula>0.8</formula>
    </cfRule>
    <cfRule type="cellIs" dxfId="3325" priority="3327" operator="greaterThan">
      <formula>1</formula>
    </cfRule>
  </conditionalFormatting>
  <conditionalFormatting sqref="R117">
    <cfRule type="cellIs" dxfId="3324" priority="3324" operator="greaterThan">
      <formula>1</formula>
    </cfRule>
    <cfRule type="cellIs" dxfId="3323" priority="3325" operator="lessThan">
      <formula>0.8</formula>
    </cfRule>
  </conditionalFormatting>
  <conditionalFormatting sqref="P117">
    <cfRule type="cellIs" dxfId="3322" priority="3323" operator="greaterThan">
      <formula>0</formula>
    </cfRule>
  </conditionalFormatting>
  <conditionalFormatting sqref="Q117">
    <cfRule type="cellIs" dxfId="3321" priority="3322" operator="lessThan">
      <formula>0</formula>
    </cfRule>
  </conditionalFormatting>
  <conditionalFormatting sqref="R117">
    <cfRule type="cellIs" dxfId="3320" priority="3320" operator="lessThan">
      <formula>0.8</formula>
    </cfRule>
    <cfRule type="cellIs" dxfId="3319" priority="3321" operator="greaterThan">
      <formula>1</formula>
    </cfRule>
  </conditionalFormatting>
  <conditionalFormatting sqref="R117">
    <cfRule type="cellIs" dxfId="3318" priority="3318" operator="greaterThan">
      <formula>1</formula>
    </cfRule>
    <cfRule type="cellIs" dxfId="3317" priority="3319" operator="lessThan">
      <formula>0.8</formula>
    </cfRule>
  </conditionalFormatting>
  <conditionalFormatting sqref="P117">
    <cfRule type="cellIs" dxfId="3316" priority="3317" operator="greaterThan">
      <formula>0</formula>
    </cfRule>
  </conditionalFormatting>
  <conditionalFormatting sqref="Q83">
    <cfRule type="cellIs" dxfId="3315" priority="3316" operator="lessThan">
      <formula>0</formula>
    </cfRule>
  </conditionalFormatting>
  <conditionalFormatting sqref="R83">
    <cfRule type="cellIs" dxfId="3314" priority="3314" operator="lessThan">
      <formula>0.8</formula>
    </cfRule>
    <cfRule type="cellIs" dxfId="3313" priority="3315" operator="greaterThan">
      <formula>1</formula>
    </cfRule>
  </conditionalFormatting>
  <conditionalFormatting sqref="R83">
    <cfRule type="cellIs" dxfId="3312" priority="3312" operator="greaterThan">
      <formula>1</formula>
    </cfRule>
    <cfRule type="cellIs" dxfId="3311" priority="3313" operator="lessThan">
      <formula>0.8</formula>
    </cfRule>
  </conditionalFormatting>
  <conditionalFormatting sqref="P83">
    <cfRule type="cellIs" dxfId="3310" priority="3311" operator="greaterThan">
      <formula>0</formula>
    </cfRule>
  </conditionalFormatting>
  <conditionalFormatting sqref="Q83">
    <cfRule type="cellIs" dxfId="3309" priority="3310" operator="lessThan">
      <formula>0</formula>
    </cfRule>
  </conditionalFormatting>
  <conditionalFormatting sqref="R83">
    <cfRule type="cellIs" dxfId="3308" priority="3308" operator="lessThan">
      <formula>0.8</formula>
    </cfRule>
    <cfRule type="cellIs" dxfId="3307" priority="3309" operator="greaterThan">
      <formula>1</formula>
    </cfRule>
  </conditionalFormatting>
  <conditionalFormatting sqref="R83">
    <cfRule type="cellIs" dxfId="3306" priority="3306" operator="greaterThan">
      <formula>1</formula>
    </cfRule>
    <cfRule type="cellIs" dxfId="3305" priority="3307" operator="lessThan">
      <formula>0.8</formula>
    </cfRule>
  </conditionalFormatting>
  <conditionalFormatting sqref="P83">
    <cfRule type="cellIs" dxfId="3304" priority="3305" operator="greaterThan">
      <formula>0</formula>
    </cfRule>
  </conditionalFormatting>
  <conditionalFormatting sqref="Q83">
    <cfRule type="cellIs" dxfId="3303" priority="3304" operator="lessThan">
      <formula>0</formula>
    </cfRule>
  </conditionalFormatting>
  <conditionalFormatting sqref="R83">
    <cfRule type="cellIs" dxfId="3302" priority="3302" operator="lessThan">
      <formula>0.8</formula>
    </cfRule>
    <cfRule type="cellIs" dxfId="3301" priority="3303" operator="greaterThan">
      <formula>1</formula>
    </cfRule>
  </conditionalFormatting>
  <conditionalFormatting sqref="R83">
    <cfRule type="cellIs" dxfId="3300" priority="3300" operator="greaterThan">
      <formula>1</formula>
    </cfRule>
    <cfRule type="cellIs" dxfId="3299" priority="3301" operator="lessThan">
      <formula>0.8</formula>
    </cfRule>
  </conditionalFormatting>
  <conditionalFormatting sqref="P83">
    <cfRule type="cellIs" dxfId="3298" priority="3299" operator="greaterThan">
      <formula>0</formula>
    </cfRule>
  </conditionalFormatting>
  <conditionalFormatting sqref="Q83">
    <cfRule type="cellIs" dxfId="3297" priority="3298" operator="lessThan">
      <formula>0</formula>
    </cfRule>
  </conditionalFormatting>
  <conditionalFormatting sqref="R83">
    <cfRule type="cellIs" dxfId="3296" priority="3296" operator="lessThan">
      <formula>0.8</formula>
    </cfRule>
    <cfRule type="cellIs" dxfId="3295" priority="3297" operator="greaterThan">
      <formula>1</formula>
    </cfRule>
  </conditionalFormatting>
  <conditionalFormatting sqref="R83">
    <cfRule type="cellIs" dxfId="3294" priority="3294" operator="greaterThan">
      <formula>1</formula>
    </cfRule>
    <cfRule type="cellIs" dxfId="3293" priority="3295" operator="lessThan">
      <formula>0.8</formula>
    </cfRule>
  </conditionalFormatting>
  <conditionalFormatting sqref="P83">
    <cfRule type="cellIs" dxfId="3292" priority="3293" operator="greaterThan">
      <formula>0</formula>
    </cfRule>
  </conditionalFormatting>
  <conditionalFormatting sqref="P83">
    <cfRule type="cellIs" dxfId="3291" priority="3287" operator="greaterThan">
      <formula>0</formula>
    </cfRule>
  </conditionalFormatting>
  <conditionalFormatting sqref="Q83">
    <cfRule type="cellIs" dxfId="3290" priority="3292" operator="lessThan">
      <formula>0</formula>
    </cfRule>
  </conditionalFormatting>
  <conditionalFormatting sqref="R83">
    <cfRule type="cellIs" dxfId="3289" priority="3290" operator="lessThan">
      <formula>0.8</formula>
    </cfRule>
    <cfRule type="cellIs" dxfId="3288" priority="3291" operator="greaterThan">
      <formula>1</formula>
    </cfRule>
  </conditionalFormatting>
  <conditionalFormatting sqref="R83">
    <cfRule type="cellIs" dxfId="3287" priority="3288" operator="greaterThan">
      <formula>1</formula>
    </cfRule>
    <cfRule type="cellIs" dxfId="3286" priority="3289" operator="lessThan">
      <formula>0.8</formula>
    </cfRule>
  </conditionalFormatting>
  <conditionalFormatting sqref="P83">
    <cfRule type="cellIs" dxfId="3285" priority="3281" operator="greaterThan">
      <formula>0</formula>
    </cfRule>
  </conditionalFormatting>
  <conditionalFormatting sqref="Q83">
    <cfRule type="cellIs" dxfId="3284" priority="3286" operator="lessThan">
      <formula>0</formula>
    </cfRule>
  </conditionalFormatting>
  <conditionalFormatting sqref="R83">
    <cfRule type="cellIs" dxfId="3283" priority="3284" operator="lessThan">
      <formula>0.8</formula>
    </cfRule>
    <cfRule type="cellIs" dxfId="3282" priority="3285" operator="greaterThan">
      <formula>1</formula>
    </cfRule>
  </conditionalFormatting>
  <conditionalFormatting sqref="R83">
    <cfRule type="cellIs" dxfId="3281" priority="3282" operator="greaterThan">
      <formula>1</formula>
    </cfRule>
    <cfRule type="cellIs" dxfId="3280" priority="3283" operator="lessThan">
      <formula>0.8</formula>
    </cfRule>
  </conditionalFormatting>
  <conditionalFormatting sqref="R83">
    <cfRule type="cellIs" dxfId="3279" priority="3278" operator="lessThan">
      <formula>0.8</formula>
    </cfRule>
    <cfRule type="cellIs" dxfId="3278" priority="3279" operator="greaterThan">
      <formula>1</formula>
    </cfRule>
  </conditionalFormatting>
  <conditionalFormatting sqref="R83">
    <cfRule type="cellIs" dxfId="3277" priority="3276" operator="greaterThan">
      <formula>1</formula>
    </cfRule>
    <cfRule type="cellIs" dxfId="3276" priority="3277" operator="lessThan">
      <formula>0.8</formula>
    </cfRule>
  </conditionalFormatting>
  <conditionalFormatting sqref="P83">
    <cfRule type="cellIs" dxfId="3275" priority="3275" operator="greaterThan">
      <formula>0</formula>
    </cfRule>
  </conditionalFormatting>
  <conditionalFormatting sqref="Q83">
    <cfRule type="cellIs" dxfId="3274" priority="3280" operator="lessThan">
      <formula>0</formula>
    </cfRule>
  </conditionalFormatting>
  <conditionalFormatting sqref="Q83">
    <cfRule type="cellIs" dxfId="3273" priority="3274" operator="lessThan">
      <formula>0</formula>
    </cfRule>
  </conditionalFormatting>
  <conditionalFormatting sqref="R83">
    <cfRule type="cellIs" dxfId="3272" priority="3272" operator="lessThan">
      <formula>0.8</formula>
    </cfRule>
    <cfRule type="cellIs" dxfId="3271" priority="3273" operator="greaterThan">
      <formula>1</formula>
    </cfRule>
  </conditionalFormatting>
  <conditionalFormatting sqref="R83">
    <cfRule type="cellIs" dxfId="3270" priority="3270" operator="greaterThan">
      <formula>1</formula>
    </cfRule>
    <cfRule type="cellIs" dxfId="3269" priority="3271" operator="lessThan">
      <formula>0.8</formula>
    </cfRule>
  </conditionalFormatting>
  <conditionalFormatting sqref="P83">
    <cfRule type="cellIs" dxfId="3268" priority="3269" operator="greaterThan">
      <formula>0</formula>
    </cfRule>
  </conditionalFormatting>
  <conditionalFormatting sqref="P83">
    <cfRule type="cellIs" dxfId="3267" priority="3263" operator="greaterThan">
      <formula>0</formula>
    </cfRule>
  </conditionalFormatting>
  <conditionalFormatting sqref="Q83">
    <cfRule type="cellIs" dxfId="3266" priority="3268" operator="lessThan">
      <formula>0</formula>
    </cfRule>
  </conditionalFormatting>
  <conditionalFormatting sqref="R83">
    <cfRule type="cellIs" dxfId="3265" priority="3266" operator="lessThan">
      <formula>0.8</formula>
    </cfRule>
    <cfRule type="cellIs" dxfId="3264" priority="3267" operator="greaterThan">
      <formula>1</formula>
    </cfRule>
  </conditionalFormatting>
  <conditionalFormatting sqref="R83">
    <cfRule type="cellIs" dxfId="3263" priority="3264" operator="greaterThan">
      <formula>1</formula>
    </cfRule>
    <cfRule type="cellIs" dxfId="3262" priority="3265" operator="lessThan">
      <formula>0.8</formula>
    </cfRule>
  </conditionalFormatting>
  <conditionalFormatting sqref="P83">
    <cfRule type="cellIs" dxfId="3261" priority="3257" operator="greaterThan">
      <formula>0</formula>
    </cfRule>
  </conditionalFormatting>
  <conditionalFormatting sqref="Q83">
    <cfRule type="cellIs" dxfId="3260" priority="3262" operator="lessThan">
      <formula>0</formula>
    </cfRule>
  </conditionalFormatting>
  <conditionalFormatting sqref="R83">
    <cfRule type="cellIs" dxfId="3259" priority="3260" operator="lessThan">
      <formula>0.8</formula>
    </cfRule>
    <cfRule type="cellIs" dxfId="3258" priority="3261" operator="greaterThan">
      <formula>1</formula>
    </cfRule>
  </conditionalFormatting>
  <conditionalFormatting sqref="R83">
    <cfRule type="cellIs" dxfId="3257" priority="3258" operator="greaterThan">
      <formula>1</formula>
    </cfRule>
    <cfRule type="cellIs" dxfId="3256" priority="3259" operator="lessThan">
      <formula>0.8</formula>
    </cfRule>
  </conditionalFormatting>
  <conditionalFormatting sqref="R83">
    <cfRule type="cellIs" dxfId="3255" priority="3254" operator="lessThan">
      <formula>0.8</formula>
    </cfRule>
    <cfRule type="cellIs" dxfId="3254" priority="3255" operator="greaterThan">
      <formula>1</formula>
    </cfRule>
  </conditionalFormatting>
  <conditionalFormatting sqref="R83">
    <cfRule type="cellIs" dxfId="3253" priority="3252" operator="greaterThan">
      <formula>1</formula>
    </cfRule>
    <cfRule type="cellIs" dxfId="3252" priority="3253" operator="lessThan">
      <formula>0.8</formula>
    </cfRule>
  </conditionalFormatting>
  <conditionalFormatting sqref="P83">
    <cfRule type="cellIs" dxfId="3251" priority="3251" operator="greaterThan">
      <formula>0</formula>
    </cfRule>
  </conditionalFormatting>
  <conditionalFormatting sqref="Q83">
    <cfRule type="cellIs" dxfId="3250" priority="3256" operator="lessThan">
      <formula>0</formula>
    </cfRule>
  </conditionalFormatting>
  <conditionalFormatting sqref="P83">
    <cfRule type="cellIs" dxfId="3249" priority="3245" operator="greaterThan">
      <formula>0</formula>
    </cfRule>
  </conditionalFormatting>
  <conditionalFormatting sqref="Q83">
    <cfRule type="cellIs" dxfId="3248" priority="3250" operator="lessThan">
      <formula>0</formula>
    </cfRule>
  </conditionalFormatting>
  <conditionalFormatting sqref="R83">
    <cfRule type="cellIs" dxfId="3247" priority="3248" operator="lessThan">
      <formula>0.8</formula>
    </cfRule>
    <cfRule type="cellIs" dxfId="3246" priority="3249" operator="greaterThan">
      <formula>1</formula>
    </cfRule>
  </conditionalFormatting>
  <conditionalFormatting sqref="R83">
    <cfRule type="cellIs" dxfId="3245" priority="3246" operator="greaterThan">
      <formula>1</formula>
    </cfRule>
    <cfRule type="cellIs" dxfId="3244" priority="3247" operator="lessThan">
      <formula>0.8</formula>
    </cfRule>
  </conditionalFormatting>
  <conditionalFormatting sqref="R83">
    <cfRule type="cellIs" dxfId="3243" priority="3242" operator="lessThan">
      <formula>0.8</formula>
    </cfRule>
    <cfRule type="cellIs" dxfId="3242" priority="3243" operator="greaterThan">
      <formula>1</formula>
    </cfRule>
  </conditionalFormatting>
  <conditionalFormatting sqref="R83">
    <cfRule type="cellIs" dxfId="3241" priority="3240" operator="greaterThan">
      <formula>1</formula>
    </cfRule>
    <cfRule type="cellIs" dxfId="3240" priority="3241" operator="lessThan">
      <formula>0.8</formula>
    </cfRule>
  </conditionalFormatting>
  <conditionalFormatting sqref="P83">
    <cfRule type="cellIs" dxfId="3239" priority="3239" operator="greaterThan">
      <formula>0</formula>
    </cfRule>
  </conditionalFormatting>
  <conditionalFormatting sqref="Q83">
    <cfRule type="cellIs" dxfId="3238" priority="3244" operator="lessThan">
      <formula>0</formula>
    </cfRule>
  </conditionalFormatting>
  <conditionalFormatting sqref="R83">
    <cfRule type="cellIs" dxfId="3237" priority="3236" operator="lessThan">
      <formula>0.8</formula>
    </cfRule>
    <cfRule type="cellIs" dxfId="3236" priority="3237" operator="greaterThan">
      <formula>1</formula>
    </cfRule>
  </conditionalFormatting>
  <conditionalFormatting sqref="R83">
    <cfRule type="cellIs" dxfId="3235" priority="3234" operator="greaterThan">
      <formula>1</formula>
    </cfRule>
    <cfRule type="cellIs" dxfId="3234" priority="3235" operator="lessThan">
      <formula>0.8</formula>
    </cfRule>
  </conditionalFormatting>
  <conditionalFormatting sqref="P83">
    <cfRule type="cellIs" dxfId="3233" priority="3233" operator="greaterThan">
      <formula>0</formula>
    </cfRule>
  </conditionalFormatting>
  <conditionalFormatting sqref="Q83">
    <cfRule type="cellIs" dxfId="3232" priority="3238" operator="lessThan">
      <formula>0</formula>
    </cfRule>
  </conditionalFormatting>
  <conditionalFormatting sqref="Q83">
    <cfRule type="cellIs" dxfId="3231" priority="3232" operator="lessThan">
      <formula>0</formula>
    </cfRule>
  </conditionalFormatting>
  <conditionalFormatting sqref="R83">
    <cfRule type="cellIs" dxfId="3230" priority="3230" operator="lessThan">
      <formula>0.8</formula>
    </cfRule>
    <cfRule type="cellIs" dxfId="3229" priority="3231" operator="greaterThan">
      <formula>1</formula>
    </cfRule>
  </conditionalFormatting>
  <conditionalFormatting sqref="R83">
    <cfRule type="cellIs" dxfId="3228" priority="3228" operator="greaterThan">
      <formula>1</formula>
    </cfRule>
    <cfRule type="cellIs" dxfId="3227" priority="3229" operator="lessThan">
      <formula>0.8</formula>
    </cfRule>
  </conditionalFormatting>
  <conditionalFormatting sqref="P83">
    <cfRule type="cellIs" dxfId="3226" priority="3227" operator="greaterThan">
      <formula>0</formula>
    </cfRule>
  </conditionalFormatting>
  <conditionalFormatting sqref="Q83">
    <cfRule type="cellIs" dxfId="3225" priority="3221" operator="lessThan">
      <formula>0</formula>
    </cfRule>
  </conditionalFormatting>
  <conditionalFormatting sqref="R83">
    <cfRule type="cellIs" dxfId="3224" priority="3225" operator="lessThan">
      <formula>0.8</formula>
    </cfRule>
    <cfRule type="cellIs" dxfId="3223" priority="3226" operator="greaterThan">
      <formula>1</formula>
    </cfRule>
  </conditionalFormatting>
  <conditionalFormatting sqref="R83">
    <cfRule type="cellIs" dxfId="3222" priority="3223" operator="greaterThan">
      <formula>1</formula>
    </cfRule>
    <cfRule type="cellIs" dxfId="3221" priority="3224" operator="lessThan">
      <formula>0.8</formula>
    </cfRule>
  </conditionalFormatting>
  <conditionalFormatting sqref="P83">
    <cfRule type="cellIs" dxfId="3220" priority="3222" operator="greaterThan">
      <formula>0</formula>
    </cfRule>
  </conditionalFormatting>
  <conditionalFormatting sqref="Q83">
    <cfRule type="cellIs" dxfId="3219" priority="3220" operator="lessThan">
      <formula>0</formula>
    </cfRule>
  </conditionalFormatting>
  <conditionalFormatting sqref="R83">
    <cfRule type="cellIs" dxfId="3218" priority="3218" operator="lessThan">
      <formula>0.8</formula>
    </cfRule>
    <cfRule type="cellIs" dxfId="3217" priority="3219" operator="greaterThan">
      <formula>1</formula>
    </cfRule>
  </conditionalFormatting>
  <conditionalFormatting sqref="R83">
    <cfRule type="cellIs" dxfId="3216" priority="3216" operator="greaterThan">
      <formula>1</formula>
    </cfRule>
    <cfRule type="cellIs" dxfId="3215" priority="3217" operator="lessThan">
      <formula>0.8</formula>
    </cfRule>
  </conditionalFormatting>
  <conditionalFormatting sqref="P83">
    <cfRule type="cellIs" dxfId="3214" priority="3215" operator="greaterThan">
      <formula>0</formula>
    </cfRule>
  </conditionalFormatting>
  <conditionalFormatting sqref="Q83">
    <cfRule type="cellIs" dxfId="3213" priority="3214" operator="lessThan">
      <formula>0</formula>
    </cfRule>
  </conditionalFormatting>
  <conditionalFormatting sqref="R83">
    <cfRule type="cellIs" dxfId="3212" priority="3212" operator="lessThan">
      <formula>0.8</formula>
    </cfRule>
    <cfRule type="cellIs" dxfId="3211" priority="3213" operator="greaterThan">
      <formula>1</formula>
    </cfRule>
  </conditionalFormatting>
  <conditionalFormatting sqref="R83">
    <cfRule type="cellIs" dxfId="3210" priority="3210" operator="greaterThan">
      <formula>1</formula>
    </cfRule>
    <cfRule type="cellIs" dxfId="3209" priority="3211" operator="lessThan">
      <formula>0.8</formula>
    </cfRule>
  </conditionalFormatting>
  <conditionalFormatting sqref="P83">
    <cfRule type="cellIs" dxfId="3208" priority="3209" operator="greaterThan">
      <formula>0</formula>
    </cfRule>
  </conditionalFormatting>
  <conditionalFormatting sqref="Q83">
    <cfRule type="cellIs" dxfId="3207" priority="3208" operator="lessThan">
      <formula>0</formula>
    </cfRule>
  </conditionalFormatting>
  <conditionalFormatting sqref="R83">
    <cfRule type="cellIs" dxfId="3206" priority="3206" operator="lessThan">
      <formula>0.8</formula>
    </cfRule>
    <cfRule type="cellIs" dxfId="3205" priority="3207" operator="greaterThan">
      <formula>1</formula>
    </cfRule>
  </conditionalFormatting>
  <conditionalFormatting sqref="R83">
    <cfRule type="cellIs" dxfId="3204" priority="3204" operator="greaterThan">
      <formula>1</formula>
    </cfRule>
    <cfRule type="cellIs" dxfId="3203" priority="3205" operator="lessThan">
      <formula>0.8</formula>
    </cfRule>
  </conditionalFormatting>
  <conditionalFormatting sqref="P83">
    <cfRule type="cellIs" dxfId="3202" priority="3203" operator="greaterThan">
      <formula>0</formula>
    </cfRule>
  </conditionalFormatting>
  <conditionalFormatting sqref="Q83">
    <cfRule type="cellIs" dxfId="3201" priority="3202" operator="lessThan">
      <formula>0</formula>
    </cfRule>
  </conditionalFormatting>
  <conditionalFormatting sqref="R83">
    <cfRule type="cellIs" dxfId="3200" priority="3200" operator="lessThan">
      <formula>0.8</formula>
    </cfRule>
    <cfRule type="cellIs" dxfId="3199" priority="3201" operator="greaterThan">
      <formula>1</formula>
    </cfRule>
  </conditionalFormatting>
  <conditionalFormatting sqref="R83">
    <cfRule type="cellIs" dxfId="3198" priority="3198" operator="greaterThan">
      <formula>1</formula>
    </cfRule>
    <cfRule type="cellIs" dxfId="3197" priority="3199" operator="lessThan">
      <formula>0.8</formula>
    </cfRule>
  </conditionalFormatting>
  <conditionalFormatting sqref="P83">
    <cfRule type="cellIs" dxfId="3196" priority="3197" operator="greaterThan">
      <formula>0</formula>
    </cfRule>
  </conditionalFormatting>
  <conditionalFormatting sqref="Q83">
    <cfRule type="cellIs" dxfId="3195" priority="3196" operator="lessThan">
      <formula>0</formula>
    </cfRule>
  </conditionalFormatting>
  <conditionalFormatting sqref="R83">
    <cfRule type="cellIs" dxfId="3194" priority="3194" operator="lessThan">
      <formula>0.8</formula>
    </cfRule>
    <cfRule type="cellIs" dxfId="3193" priority="3195" operator="greaterThan">
      <formula>1</formula>
    </cfRule>
  </conditionalFormatting>
  <conditionalFormatting sqref="R83">
    <cfRule type="cellIs" dxfId="3192" priority="3192" operator="greaterThan">
      <formula>1</formula>
    </cfRule>
    <cfRule type="cellIs" dxfId="3191" priority="3193" operator="lessThan">
      <formula>0.8</formula>
    </cfRule>
  </conditionalFormatting>
  <conditionalFormatting sqref="P83">
    <cfRule type="cellIs" dxfId="3190" priority="3191" operator="greaterThan">
      <formula>0</formula>
    </cfRule>
  </conditionalFormatting>
  <conditionalFormatting sqref="P83">
    <cfRule type="cellIs" dxfId="3189" priority="3185" operator="greaterThan">
      <formula>0</formula>
    </cfRule>
  </conditionalFormatting>
  <conditionalFormatting sqref="Q83">
    <cfRule type="cellIs" dxfId="3188" priority="3190" operator="lessThan">
      <formula>0</formula>
    </cfRule>
  </conditionalFormatting>
  <conditionalFormatting sqref="R83">
    <cfRule type="cellIs" dxfId="3187" priority="3188" operator="lessThan">
      <formula>0.8</formula>
    </cfRule>
    <cfRule type="cellIs" dxfId="3186" priority="3189" operator="greaterThan">
      <formula>1</formula>
    </cfRule>
  </conditionalFormatting>
  <conditionalFormatting sqref="R83">
    <cfRule type="cellIs" dxfId="3185" priority="3186" operator="greaterThan">
      <formula>1</formula>
    </cfRule>
    <cfRule type="cellIs" dxfId="3184" priority="3187" operator="lessThan">
      <formula>0.8</formula>
    </cfRule>
  </conditionalFormatting>
  <conditionalFormatting sqref="P83">
    <cfRule type="cellIs" dxfId="3183" priority="3179" operator="greaterThan">
      <formula>0</formula>
    </cfRule>
  </conditionalFormatting>
  <conditionalFormatting sqref="Q83">
    <cfRule type="cellIs" dxfId="3182" priority="3184" operator="lessThan">
      <formula>0</formula>
    </cfRule>
  </conditionalFormatting>
  <conditionalFormatting sqref="R83">
    <cfRule type="cellIs" dxfId="3181" priority="3182" operator="lessThan">
      <formula>0.8</formula>
    </cfRule>
    <cfRule type="cellIs" dxfId="3180" priority="3183" operator="greaterThan">
      <formula>1</formula>
    </cfRule>
  </conditionalFormatting>
  <conditionalFormatting sqref="R83">
    <cfRule type="cellIs" dxfId="3179" priority="3180" operator="greaterThan">
      <formula>1</formula>
    </cfRule>
    <cfRule type="cellIs" dxfId="3178" priority="3181" operator="lessThan">
      <formula>0.8</formula>
    </cfRule>
  </conditionalFormatting>
  <conditionalFormatting sqref="R83">
    <cfRule type="cellIs" dxfId="3177" priority="3176" operator="lessThan">
      <formula>0.8</formula>
    </cfRule>
    <cfRule type="cellIs" dxfId="3176" priority="3177" operator="greaterThan">
      <formula>1</formula>
    </cfRule>
  </conditionalFormatting>
  <conditionalFormatting sqref="R83">
    <cfRule type="cellIs" dxfId="3175" priority="3174" operator="greaterThan">
      <formula>1</formula>
    </cfRule>
    <cfRule type="cellIs" dxfId="3174" priority="3175" operator="lessThan">
      <formula>0.8</formula>
    </cfRule>
  </conditionalFormatting>
  <conditionalFormatting sqref="P83">
    <cfRule type="cellIs" dxfId="3173" priority="3173" operator="greaterThan">
      <formula>0</formula>
    </cfRule>
  </conditionalFormatting>
  <conditionalFormatting sqref="Q83">
    <cfRule type="cellIs" dxfId="3172" priority="3178" operator="lessThan">
      <formula>0</formula>
    </cfRule>
  </conditionalFormatting>
  <conditionalFormatting sqref="Q83">
    <cfRule type="cellIs" dxfId="3171" priority="3172" operator="lessThan">
      <formula>0</formula>
    </cfRule>
  </conditionalFormatting>
  <conditionalFormatting sqref="R83">
    <cfRule type="cellIs" dxfId="3170" priority="3170" operator="lessThan">
      <formula>0.8</formula>
    </cfRule>
    <cfRule type="cellIs" dxfId="3169" priority="3171" operator="greaterThan">
      <formula>1</formula>
    </cfRule>
  </conditionalFormatting>
  <conditionalFormatting sqref="R83">
    <cfRule type="cellIs" dxfId="3168" priority="3168" operator="greaterThan">
      <formula>1</formula>
    </cfRule>
    <cfRule type="cellIs" dxfId="3167" priority="3169" operator="lessThan">
      <formula>0.8</formula>
    </cfRule>
  </conditionalFormatting>
  <conditionalFormatting sqref="P83">
    <cfRule type="cellIs" dxfId="3166" priority="3167" operator="greaterThan">
      <formula>0</formula>
    </cfRule>
  </conditionalFormatting>
  <conditionalFormatting sqref="Q83">
    <cfRule type="cellIs" dxfId="3165" priority="3166" operator="lessThan">
      <formula>0</formula>
    </cfRule>
  </conditionalFormatting>
  <conditionalFormatting sqref="R83">
    <cfRule type="cellIs" dxfId="3164" priority="3164" operator="lessThan">
      <formula>0.8</formula>
    </cfRule>
    <cfRule type="cellIs" dxfId="3163" priority="3165" operator="greaterThan">
      <formula>1</formula>
    </cfRule>
  </conditionalFormatting>
  <conditionalFormatting sqref="R83">
    <cfRule type="cellIs" dxfId="3162" priority="3162" operator="greaterThan">
      <formula>1</formula>
    </cfRule>
    <cfRule type="cellIs" dxfId="3161" priority="3163" operator="lessThan">
      <formula>0.8</formula>
    </cfRule>
  </conditionalFormatting>
  <conditionalFormatting sqref="P83">
    <cfRule type="cellIs" dxfId="3160" priority="3161" operator="greaterThan">
      <formula>0</formula>
    </cfRule>
  </conditionalFormatting>
  <conditionalFormatting sqref="Q83">
    <cfRule type="cellIs" dxfId="3159" priority="3160" operator="lessThan">
      <formula>0</formula>
    </cfRule>
  </conditionalFormatting>
  <conditionalFormatting sqref="R83">
    <cfRule type="cellIs" dxfId="3158" priority="3158" operator="lessThan">
      <formula>0.8</formula>
    </cfRule>
    <cfRule type="cellIs" dxfId="3157" priority="3159" operator="greaterThan">
      <formula>1</formula>
    </cfRule>
  </conditionalFormatting>
  <conditionalFormatting sqref="R83">
    <cfRule type="cellIs" dxfId="3156" priority="3156" operator="greaterThan">
      <formula>1</formula>
    </cfRule>
    <cfRule type="cellIs" dxfId="3155" priority="3157" operator="lessThan">
      <formula>0.8</formula>
    </cfRule>
  </conditionalFormatting>
  <conditionalFormatting sqref="P83">
    <cfRule type="cellIs" dxfId="3154" priority="3155" operator="greaterThan">
      <formula>0</formula>
    </cfRule>
  </conditionalFormatting>
  <conditionalFormatting sqref="Q83">
    <cfRule type="cellIs" dxfId="3153" priority="3154" operator="lessThan">
      <formula>0</formula>
    </cfRule>
  </conditionalFormatting>
  <conditionalFormatting sqref="R83">
    <cfRule type="cellIs" dxfId="3152" priority="3152" operator="lessThan">
      <formula>0.8</formula>
    </cfRule>
    <cfRule type="cellIs" dxfId="3151" priority="3153" operator="greaterThan">
      <formula>1</formula>
    </cfRule>
  </conditionalFormatting>
  <conditionalFormatting sqref="R83">
    <cfRule type="cellIs" dxfId="3150" priority="3150" operator="greaterThan">
      <formula>1</formula>
    </cfRule>
    <cfRule type="cellIs" dxfId="3149" priority="3151" operator="lessThan">
      <formula>0.8</formula>
    </cfRule>
  </conditionalFormatting>
  <conditionalFormatting sqref="P83">
    <cfRule type="cellIs" dxfId="3148" priority="3149" operator="greaterThan">
      <formula>0</formula>
    </cfRule>
  </conditionalFormatting>
  <conditionalFormatting sqref="P83">
    <cfRule type="cellIs" dxfId="3147" priority="3143" operator="greaterThan">
      <formula>0</formula>
    </cfRule>
  </conditionalFormatting>
  <conditionalFormatting sqref="Q83">
    <cfRule type="cellIs" dxfId="3146" priority="3148" operator="lessThan">
      <formula>0</formula>
    </cfRule>
  </conditionalFormatting>
  <conditionalFormatting sqref="R83">
    <cfRule type="cellIs" dxfId="3145" priority="3146" operator="lessThan">
      <formula>0.8</formula>
    </cfRule>
    <cfRule type="cellIs" dxfId="3144" priority="3147" operator="greaterThan">
      <formula>1</formula>
    </cfRule>
  </conditionalFormatting>
  <conditionalFormatting sqref="R83">
    <cfRule type="cellIs" dxfId="3143" priority="3144" operator="greaterThan">
      <formula>1</formula>
    </cfRule>
    <cfRule type="cellIs" dxfId="3142" priority="3145" operator="lessThan">
      <formula>0.8</formula>
    </cfRule>
  </conditionalFormatting>
  <conditionalFormatting sqref="P83">
    <cfRule type="cellIs" dxfId="3141" priority="3137" operator="greaterThan">
      <formula>0</formula>
    </cfRule>
  </conditionalFormatting>
  <conditionalFormatting sqref="Q83">
    <cfRule type="cellIs" dxfId="3140" priority="3142" operator="lessThan">
      <formula>0</formula>
    </cfRule>
  </conditionalFormatting>
  <conditionalFormatting sqref="R83">
    <cfRule type="cellIs" dxfId="3139" priority="3140" operator="lessThan">
      <formula>0.8</formula>
    </cfRule>
    <cfRule type="cellIs" dxfId="3138" priority="3141" operator="greaterThan">
      <formula>1</formula>
    </cfRule>
  </conditionalFormatting>
  <conditionalFormatting sqref="R83">
    <cfRule type="cellIs" dxfId="3137" priority="3138" operator="greaterThan">
      <formula>1</formula>
    </cfRule>
    <cfRule type="cellIs" dxfId="3136" priority="3139" operator="lessThan">
      <formula>0.8</formula>
    </cfRule>
  </conditionalFormatting>
  <conditionalFormatting sqref="R83">
    <cfRule type="cellIs" dxfId="3135" priority="3134" operator="lessThan">
      <formula>0.8</formula>
    </cfRule>
    <cfRule type="cellIs" dxfId="3134" priority="3135" operator="greaterThan">
      <formula>1</formula>
    </cfRule>
  </conditionalFormatting>
  <conditionalFormatting sqref="R83">
    <cfRule type="cellIs" dxfId="3133" priority="3132" operator="greaterThan">
      <formula>1</formula>
    </cfRule>
    <cfRule type="cellIs" dxfId="3132" priority="3133" operator="lessThan">
      <formula>0.8</formula>
    </cfRule>
  </conditionalFormatting>
  <conditionalFormatting sqref="P83">
    <cfRule type="cellIs" dxfId="3131" priority="3131" operator="greaterThan">
      <formula>0</formula>
    </cfRule>
  </conditionalFormatting>
  <conditionalFormatting sqref="Q83">
    <cfRule type="cellIs" dxfId="3130" priority="3136" operator="lessThan">
      <formula>0</formula>
    </cfRule>
  </conditionalFormatting>
  <conditionalFormatting sqref="Q83">
    <cfRule type="cellIs" dxfId="3129" priority="3130" operator="lessThan">
      <formula>0</formula>
    </cfRule>
  </conditionalFormatting>
  <conditionalFormatting sqref="R83">
    <cfRule type="cellIs" dxfId="3128" priority="3128" operator="lessThan">
      <formula>0.8</formula>
    </cfRule>
    <cfRule type="cellIs" dxfId="3127" priority="3129" operator="greaterThan">
      <formula>1</formula>
    </cfRule>
  </conditionalFormatting>
  <conditionalFormatting sqref="R83">
    <cfRule type="cellIs" dxfId="3126" priority="3126" operator="greaterThan">
      <formula>1</formula>
    </cfRule>
    <cfRule type="cellIs" dxfId="3125" priority="3127" operator="lessThan">
      <formula>0.8</formula>
    </cfRule>
  </conditionalFormatting>
  <conditionalFormatting sqref="P83">
    <cfRule type="cellIs" dxfId="3124" priority="3125" operator="greaterThan">
      <formula>0</formula>
    </cfRule>
  </conditionalFormatting>
  <conditionalFormatting sqref="P83">
    <cfRule type="cellIs" dxfId="3123" priority="3119" operator="greaterThan">
      <formula>0</formula>
    </cfRule>
  </conditionalFormatting>
  <conditionalFormatting sqref="Q83">
    <cfRule type="cellIs" dxfId="3122" priority="3124" operator="lessThan">
      <formula>0</formula>
    </cfRule>
  </conditionalFormatting>
  <conditionalFormatting sqref="R83">
    <cfRule type="cellIs" dxfId="3121" priority="3122" operator="lessThan">
      <formula>0.8</formula>
    </cfRule>
    <cfRule type="cellIs" dxfId="3120" priority="3123" operator="greaterThan">
      <formula>1</formula>
    </cfRule>
  </conditionalFormatting>
  <conditionalFormatting sqref="R83">
    <cfRule type="cellIs" dxfId="3119" priority="3120" operator="greaterThan">
      <formula>1</formula>
    </cfRule>
    <cfRule type="cellIs" dxfId="3118" priority="3121" operator="lessThan">
      <formula>0.8</formula>
    </cfRule>
  </conditionalFormatting>
  <conditionalFormatting sqref="P83">
    <cfRule type="cellIs" dxfId="3117" priority="3113" operator="greaterThan">
      <formula>0</formula>
    </cfRule>
  </conditionalFormatting>
  <conditionalFormatting sqref="Q83">
    <cfRule type="cellIs" dxfId="3116" priority="3118" operator="lessThan">
      <formula>0</formula>
    </cfRule>
  </conditionalFormatting>
  <conditionalFormatting sqref="R83">
    <cfRule type="cellIs" dxfId="3115" priority="3116" operator="lessThan">
      <formula>0.8</formula>
    </cfRule>
    <cfRule type="cellIs" dxfId="3114" priority="3117" operator="greaterThan">
      <formula>1</formula>
    </cfRule>
  </conditionalFormatting>
  <conditionalFormatting sqref="R83">
    <cfRule type="cellIs" dxfId="3113" priority="3114" operator="greaterThan">
      <formula>1</formula>
    </cfRule>
    <cfRule type="cellIs" dxfId="3112" priority="3115" operator="lessThan">
      <formula>0.8</formula>
    </cfRule>
  </conditionalFormatting>
  <conditionalFormatting sqref="R83">
    <cfRule type="cellIs" dxfId="3111" priority="3110" operator="lessThan">
      <formula>0.8</formula>
    </cfRule>
    <cfRule type="cellIs" dxfId="3110" priority="3111" operator="greaterThan">
      <formula>1</formula>
    </cfRule>
  </conditionalFormatting>
  <conditionalFormatting sqref="R83">
    <cfRule type="cellIs" dxfId="3109" priority="3108" operator="greaterThan">
      <formula>1</formula>
    </cfRule>
    <cfRule type="cellIs" dxfId="3108" priority="3109" operator="lessThan">
      <formula>0.8</formula>
    </cfRule>
  </conditionalFormatting>
  <conditionalFormatting sqref="P83">
    <cfRule type="cellIs" dxfId="3107" priority="3107" operator="greaterThan">
      <formula>0</formula>
    </cfRule>
  </conditionalFormatting>
  <conditionalFormatting sqref="Q83">
    <cfRule type="cellIs" dxfId="3106" priority="3112" operator="lessThan">
      <formula>0</formula>
    </cfRule>
  </conditionalFormatting>
  <conditionalFormatting sqref="P83">
    <cfRule type="cellIs" dxfId="3105" priority="3101" operator="greaterThan">
      <formula>0</formula>
    </cfRule>
  </conditionalFormatting>
  <conditionalFormatting sqref="Q83">
    <cfRule type="cellIs" dxfId="3104" priority="3106" operator="lessThan">
      <formula>0</formula>
    </cfRule>
  </conditionalFormatting>
  <conditionalFormatting sqref="R83">
    <cfRule type="cellIs" dxfId="3103" priority="3104" operator="lessThan">
      <formula>0.8</formula>
    </cfRule>
    <cfRule type="cellIs" dxfId="3102" priority="3105" operator="greaterThan">
      <formula>1</formula>
    </cfRule>
  </conditionalFormatting>
  <conditionalFormatting sqref="R83">
    <cfRule type="cellIs" dxfId="3101" priority="3102" operator="greaterThan">
      <formula>1</formula>
    </cfRule>
    <cfRule type="cellIs" dxfId="3100" priority="3103" operator="lessThan">
      <formula>0.8</formula>
    </cfRule>
  </conditionalFormatting>
  <conditionalFormatting sqref="R83">
    <cfRule type="cellIs" dxfId="3099" priority="3098" operator="lessThan">
      <formula>0.8</formula>
    </cfRule>
    <cfRule type="cellIs" dxfId="3098" priority="3099" operator="greaterThan">
      <formula>1</formula>
    </cfRule>
  </conditionalFormatting>
  <conditionalFormatting sqref="R83">
    <cfRule type="cellIs" dxfId="3097" priority="3096" operator="greaterThan">
      <formula>1</formula>
    </cfRule>
    <cfRule type="cellIs" dxfId="3096" priority="3097" operator="lessThan">
      <formula>0.8</formula>
    </cfRule>
  </conditionalFormatting>
  <conditionalFormatting sqref="P83">
    <cfRule type="cellIs" dxfId="3095" priority="3095" operator="greaterThan">
      <formula>0</formula>
    </cfRule>
  </conditionalFormatting>
  <conditionalFormatting sqref="Q83">
    <cfRule type="cellIs" dxfId="3094" priority="3100" operator="lessThan">
      <formula>0</formula>
    </cfRule>
  </conditionalFormatting>
  <conditionalFormatting sqref="R83">
    <cfRule type="cellIs" dxfId="3093" priority="3092" operator="lessThan">
      <formula>0.8</formula>
    </cfRule>
    <cfRule type="cellIs" dxfId="3092" priority="3093" operator="greaterThan">
      <formula>1</formula>
    </cfRule>
  </conditionalFormatting>
  <conditionalFormatting sqref="R83">
    <cfRule type="cellIs" dxfId="3091" priority="3090" operator="greaterThan">
      <formula>1</formula>
    </cfRule>
    <cfRule type="cellIs" dxfId="3090" priority="3091" operator="lessThan">
      <formula>0.8</formula>
    </cfRule>
  </conditionalFormatting>
  <conditionalFormatting sqref="P83">
    <cfRule type="cellIs" dxfId="3089" priority="3089" operator="greaterThan">
      <formula>0</formula>
    </cfRule>
  </conditionalFormatting>
  <conditionalFormatting sqref="Q83">
    <cfRule type="cellIs" dxfId="3088" priority="3094" operator="lessThan">
      <formula>0</formula>
    </cfRule>
  </conditionalFormatting>
  <conditionalFormatting sqref="Q83">
    <cfRule type="cellIs" dxfId="3087" priority="3088" operator="lessThan">
      <formula>0</formula>
    </cfRule>
  </conditionalFormatting>
  <conditionalFormatting sqref="R83">
    <cfRule type="cellIs" dxfId="3086" priority="3086" operator="lessThan">
      <formula>0.8</formula>
    </cfRule>
    <cfRule type="cellIs" dxfId="3085" priority="3087" operator="greaterThan">
      <formula>1</formula>
    </cfRule>
  </conditionalFormatting>
  <conditionalFormatting sqref="R83">
    <cfRule type="cellIs" dxfId="3084" priority="3084" operator="greaterThan">
      <formula>1</formula>
    </cfRule>
    <cfRule type="cellIs" dxfId="3083" priority="3085" operator="lessThan">
      <formula>0.8</formula>
    </cfRule>
  </conditionalFormatting>
  <conditionalFormatting sqref="P83">
    <cfRule type="cellIs" dxfId="3082" priority="3083" operator="greaterThan">
      <formula>0</formula>
    </cfRule>
  </conditionalFormatting>
  <conditionalFormatting sqref="Q83">
    <cfRule type="cellIs" dxfId="3081" priority="3077" operator="lessThan">
      <formula>0</formula>
    </cfRule>
  </conditionalFormatting>
  <conditionalFormatting sqref="R83">
    <cfRule type="cellIs" dxfId="3080" priority="3081" operator="lessThan">
      <formula>0.8</formula>
    </cfRule>
    <cfRule type="cellIs" dxfId="3079" priority="3082" operator="greaterThan">
      <formula>1</formula>
    </cfRule>
  </conditionalFormatting>
  <conditionalFormatting sqref="R83">
    <cfRule type="cellIs" dxfId="3078" priority="3079" operator="greaterThan">
      <formula>1</formula>
    </cfRule>
    <cfRule type="cellIs" dxfId="3077" priority="3080" operator="lessThan">
      <formula>0.8</formula>
    </cfRule>
  </conditionalFormatting>
  <conditionalFormatting sqref="P83">
    <cfRule type="cellIs" dxfId="3076" priority="3078" operator="greaterThan">
      <formula>0</formula>
    </cfRule>
  </conditionalFormatting>
  <conditionalFormatting sqref="Q83">
    <cfRule type="cellIs" dxfId="3075" priority="3076" operator="lessThan">
      <formula>0</formula>
    </cfRule>
  </conditionalFormatting>
  <conditionalFormatting sqref="R83">
    <cfRule type="cellIs" dxfId="3074" priority="3074" operator="lessThan">
      <formula>0.8</formula>
    </cfRule>
    <cfRule type="cellIs" dxfId="3073" priority="3075" operator="greaterThan">
      <formula>1</formula>
    </cfRule>
  </conditionalFormatting>
  <conditionalFormatting sqref="R83">
    <cfRule type="cellIs" dxfId="3072" priority="3072" operator="greaterThan">
      <formula>1</formula>
    </cfRule>
    <cfRule type="cellIs" dxfId="3071" priority="3073" operator="lessThan">
      <formula>0.8</formula>
    </cfRule>
  </conditionalFormatting>
  <conditionalFormatting sqref="P83">
    <cfRule type="cellIs" dxfId="3070" priority="3071" operator="greaterThan">
      <formula>0</formula>
    </cfRule>
  </conditionalFormatting>
  <conditionalFormatting sqref="Q83">
    <cfRule type="cellIs" dxfId="3069" priority="3070" operator="lessThan">
      <formula>0</formula>
    </cfRule>
  </conditionalFormatting>
  <conditionalFormatting sqref="R83">
    <cfRule type="cellIs" dxfId="3068" priority="3068" operator="lessThan">
      <formula>0.8</formula>
    </cfRule>
    <cfRule type="cellIs" dxfId="3067" priority="3069" operator="greaterThan">
      <formula>1</formula>
    </cfRule>
  </conditionalFormatting>
  <conditionalFormatting sqref="R83">
    <cfRule type="cellIs" dxfId="3066" priority="3066" operator="greaterThan">
      <formula>1</formula>
    </cfRule>
    <cfRule type="cellIs" dxfId="3065" priority="3067" operator="lessThan">
      <formula>0.8</formula>
    </cfRule>
  </conditionalFormatting>
  <conditionalFormatting sqref="P83">
    <cfRule type="cellIs" dxfId="3064" priority="3065" operator="greaterThan">
      <formula>0</formula>
    </cfRule>
  </conditionalFormatting>
  <conditionalFormatting sqref="Q83">
    <cfRule type="cellIs" dxfId="3063" priority="3064" operator="lessThan">
      <formula>0</formula>
    </cfRule>
  </conditionalFormatting>
  <conditionalFormatting sqref="R83">
    <cfRule type="cellIs" dxfId="3062" priority="3062" operator="lessThan">
      <formula>0.8</formula>
    </cfRule>
    <cfRule type="cellIs" dxfId="3061" priority="3063" operator="greaterThan">
      <formula>1</formula>
    </cfRule>
  </conditionalFormatting>
  <conditionalFormatting sqref="R83">
    <cfRule type="cellIs" dxfId="3060" priority="3060" operator="greaterThan">
      <formula>1</formula>
    </cfRule>
    <cfRule type="cellIs" dxfId="3059" priority="3061" operator="lessThan">
      <formula>0.8</formula>
    </cfRule>
  </conditionalFormatting>
  <conditionalFormatting sqref="P83">
    <cfRule type="cellIs" dxfId="3058" priority="3059" operator="greaterThan">
      <formula>0</formula>
    </cfRule>
  </conditionalFormatting>
  <conditionalFormatting sqref="Q83">
    <cfRule type="cellIs" dxfId="3057" priority="3058" operator="lessThan">
      <formula>0</formula>
    </cfRule>
  </conditionalFormatting>
  <conditionalFormatting sqref="R83">
    <cfRule type="cellIs" dxfId="3056" priority="3056" operator="lessThan">
      <formula>0.8</formula>
    </cfRule>
    <cfRule type="cellIs" dxfId="3055" priority="3057" operator="greaterThan">
      <formula>1</formula>
    </cfRule>
  </conditionalFormatting>
  <conditionalFormatting sqref="R83">
    <cfRule type="cellIs" dxfId="3054" priority="3054" operator="greaterThan">
      <formula>1</formula>
    </cfRule>
    <cfRule type="cellIs" dxfId="3053" priority="3055" operator="lessThan">
      <formula>0.8</formula>
    </cfRule>
  </conditionalFormatting>
  <conditionalFormatting sqref="P83">
    <cfRule type="cellIs" dxfId="3052" priority="3053" operator="greaterThan">
      <formula>0</formula>
    </cfRule>
  </conditionalFormatting>
  <conditionalFormatting sqref="Q83">
    <cfRule type="cellIs" dxfId="3051" priority="3052" operator="lessThan">
      <formula>0</formula>
    </cfRule>
  </conditionalFormatting>
  <conditionalFormatting sqref="R83">
    <cfRule type="cellIs" dxfId="3050" priority="3050" operator="lessThan">
      <formula>0.8</formula>
    </cfRule>
    <cfRule type="cellIs" dxfId="3049" priority="3051" operator="greaterThan">
      <formula>1</formula>
    </cfRule>
  </conditionalFormatting>
  <conditionalFormatting sqref="R83">
    <cfRule type="cellIs" dxfId="3048" priority="3048" operator="greaterThan">
      <formula>1</formula>
    </cfRule>
    <cfRule type="cellIs" dxfId="3047" priority="3049" operator="lessThan">
      <formula>0.8</formula>
    </cfRule>
  </conditionalFormatting>
  <conditionalFormatting sqref="P83">
    <cfRule type="cellIs" dxfId="3046" priority="3047" operator="greaterThan">
      <formula>0</formula>
    </cfRule>
  </conditionalFormatting>
  <conditionalFormatting sqref="P83">
    <cfRule type="cellIs" dxfId="3045" priority="3041" operator="greaterThan">
      <formula>0</formula>
    </cfRule>
  </conditionalFormatting>
  <conditionalFormatting sqref="Q83">
    <cfRule type="cellIs" dxfId="3044" priority="3046" operator="lessThan">
      <formula>0</formula>
    </cfRule>
  </conditionalFormatting>
  <conditionalFormatting sqref="R83">
    <cfRule type="cellIs" dxfId="3043" priority="3044" operator="lessThan">
      <formula>0.8</formula>
    </cfRule>
    <cfRule type="cellIs" dxfId="3042" priority="3045" operator="greaterThan">
      <formula>1</formula>
    </cfRule>
  </conditionalFormatting>
  <conditionalFormatting sqref="R83">
    <cfRule type="cellIs" dxfId="3041" priority="3042" operator="greaterThan">
      <formula>1</formula>
    </cfRule>
    <cfRule type="cellIs" dxfId="3040" priority="3043" operator="lessThan">
      <formula>0.8</formula>
    </cfRule>
  </conditionalFormatting>
  <conditionalFormatting sqref="P83">
    <cfRule type="cellIs" dxfId="3039" priority="3035" operator="greaterThan">
      <formula>0</formula>
    </cfRule>
  </conditionalFormatting>
  <conditionalFormatting sqref="Q83">
    <cfRule type="cellIs" dxfId="3038" priority="3040" operator="lessThan">
      <formula>0</formula>
    </cfRule>
  </conditionalFormatting>
  <conditionalFormatting sqref="R83">
    <cfRule type="cellIs" dxfId="3037" priority="3038" operator="lessThan">
      <formula>0.8</formula>
    </cfRule>
    <cfRule type="cellIs" dxfId="3036" priority="3039" operator="greaterThan">
      <formula>1</formula>
    </cfRule>
  </conditionalFormatting>
  <conditionalFormatting sqref="R83">
    <cfRule type="cellIs" dxfId="3035" priority="3036" operator="greaterThan">
      <formula>1</formula>
    </cfRule>
    <cfRule type="cellIs" dxfId="3034" priority="3037" operator="lessThan">
      <formula>0.8</formula>
    </cfRule>
  </conditionalFormatting>
  <conditionalFormatting sqref="R83">
    <cfRule type="cellIs" dxfId="3033" priority="3032" operator="lessThan">
      <formula>0.8</formula>
    </cfRule>
    <cfRule type="cellIs" dxfId="3032" priority="3033" operator="greaterThan">
      <formula>1</formula>
    </cfRule>
  </conditionalFormatting>
  <conditionalFormatting sqref="R83">
    <cfRule type="cellIs" dxfId="3031" priority="3030" operator="greaterThan">
      <formula>1</formula>
    </cfRule>
    <cfRule type="cellIs" dxfId="3030" priority="3031" operator="lessThan">
      <formula>0.8</formula>
    </cfRule>
  </conditionalFormatting>
  <conditionalFormatting sqref="P83">
    <cfRule type="cellIs" dxfId="3029" priority="3029" operator="greaterThan">
      <formula>0</formula>
    </cfRule>
  </conditionalFormatting>
  <conditionalFormatting sqref="Q83">
    <cfRule type="cellIs" dxfId="3028" priority="3034" operator="lessThan">
      <formula>0</formula>
    </cfRule>
  </conditionalFormatting>
  <conditionalFormatting sqref="Q83">
    <cfRule type="cellIs" dxfId="3027" priority="3023" operator="lessThan">
      <formula>0</formula>
    </cfRule>
  </conditionalFormatting>
  <conditionalFormatting sqref="P83">
    <cfRule type="cellIs" dxfId="3026" priority="3024" operator="greaterThan">
      <formula>0</formula>
    </cfRule>
  </conditionalFormatting>
  <conditionalFormatting sqref="R83">
    <cfRule type="cellIs" dxfId="3025" priority="3027" operator="lessThan">
      <formula>0.8</formula>
    </cfRule>
    <cfRule type="cellIs" dxfId="3024" priority="3028" operator="greaterThan">
      <formula>1</formula>
    </cfRule>
  </conditionalFormatting>
  <conditionalFormatting sqref="R83">
    <cfRule type="cellIs" dxfId="3023" priority="3025" operator="greaterThan">
      <formula>1</formula>
    </cfRule>
    <cfRule type="cellIs" dxfId="3022" priority="3026" operator="lessThan">
      <formula>0.8</formula>
    </cfRule>
  </conditionalFormatting>
  <conditionalFormatting sqref="Q83">
    <cfRule type="cellIs" dxfId="3021" priority="3017" operator="lessThan">
      <formula>0</formula>
    </cfRule>
  </conditionalFormatting>
  <conditionalFormatting sqref="R83">
    <cfRule type="cellIs" dxfId="3020" priority="3021" operator="lessThan">
      <formula>0.8</formula>
    </cfRule>
    <cfRule type="cellIs" dxfId="3019" priority="3022" operator="greaterThan">
      <formula>1</formula>
    </cfRule>
  </conditionalFormatting>
  <conditionalFormatting sqref="R83">
    <cfRule type="cellIs" dxfId="3018" priority="3019" operator="greaterThan">
      <formula>1</formula>
    </cfRule>
    <cfRule type="cellIs" dxfId="3017" priority="3020" operator="lessThan">
      <formula>0.8</formula>
    </cfRule>
  </conditionalFormatting>
  <conditionalFormatting sqref="P83">
    <cfRule type="cellIs" dxfId="3016" priority="3018" operator="greaterThan">
      <formula>0</formula>
    </cfRule>
  </conditionalFormatting>
  <conditionalFormatting sqref="Q83">
    <cfRule type="cellIs" dxfId="3015" priority="3016" operator="lessThan">
      <formula>0</formula>
    </cfRule>
  </conditionalFormatting>
  <conditionalFormatting sqref="R83">
    <cfRule type="cellIs" dxfId="3014" priority="3014" operator="lessThan">
      <formula>0.8</formula>
    </cfRule>
    <cfRule type="cellIs" dxfId="3013" priority="3015" operator="greaterThan">
      <formula>1</formula>
    </cfRule>
  </conditionalFormatting>
  <conditionalFormatting sqref="R83">
    <cfRule type="cellIs" dxfId="3012" priority="3012" operator="greaterThan">
      <formula>1</formula>
    </cfRule>
    <cfRule type="cellIs" dxfId="3011" priority="3013" operator="lessThan">
      <formula>0.8</formula>
    </cfRule>
  </conditionalFormatting>
  <conditionalFormatting sqref="P83">
    <cfRule type="cellIs" dxfId="3010" priority="3011" operator="greaterThan">
      <formula>0</formula>
    </cfRule>
  </conditionalFormatting>
  <conditionalFormatting sqref="Q83">
    <cfRule type="cellIs" dxfId="3009" priority="3010" operator="lessThan">
      <formula>0</formula>
    </cfRule>
  </conditionalFormatting>
  <conditionalFormatting sqref="R83">
    <cfRule type="cellIs" dxfId="3008" priority="3008" operator="lessThan">
      <formula>0.8</formula>
    </cfRule>
    <cfRule type="cellIs" dxfId="3007" priority="3009" operator="greaterThan">
      <formula>1</formula>
    </cfRule>
  </conditionalFormatting>
  <conditionalFormatting sqref="R83">
    <cfRule type="cellIs" dxfId="3006" priority="3006" operator="greaterThan">
      <formula>1</formula>
    </cfRule>
    <cfRule type="cellIs" dxfId="3005" priority="3007" operator="lessThan">
      <formula>0.8</formula>
    </cfRule>
  </conditionalFormatting>
  <conditionalFormatting sqref="P83">
    <cfRule type="cellIs" dxfId="3004" priority="3005" operator="greaterThan">
      <formula>0</formula>
    </cfRule>
  </conditionalFormatting>
  <conditionalFormatting sqref="Q83">
    <cfRule type="cellIs" dxfId="3003" priority="3004" operator="lessThan">
      <formula>0</formula>
    </cfRule>
  </conditionalFormatting>
  <conditionalFormatting sqref="R83">
    <cfRule type="cellIs" dxfId="3002" priority="3002" operator="lessThan">
      <formula>0.8</formula>
    </cfRule>
    <cfRule type="cellIs" dxfId="3001" priority="3003" operator="greaterThan">
      <formula>1</formula>
    </cfRule>
  </conditionalFormatting>
  <conditionalFormatting sqref="R83">
    <cfRule type="cellIs" dxfId="3000" priority="3000" operator="greaterThan">
      <formula>1</formula>
    </cfRule>
    <cfRule type="cellIs" dxfId="2999" priority="3001" operator="lessThan">
      <formula>0.8</formula>
    </cfRule>
  </conditionalFormatting>
  <conditionalFormatting sqref="P83">
    <cfRule type="cellIs" dxfId="2998" priority="2999" operator="greaterThan">
      <formula>0</formula>
    </cfRule>
  </conditionalFormatting>
  <conditionalFormatting sqref="Q83">
    <cfRule type="cellIs" dxfId="2997" priority="2998" operator="lessThan">
      <formula>0</formula>
    </cfRule>
  </conditionalFormatting>
  <conditionalFormatting sqref="R83">
    <cfRule type="cellIs" dxfId="2996" priority="2996" operator="lessThan">
      <formula>0.8</formula>
    </cfRule>
    <cfRule type="cellIs" dxfId="2995" priority="2997" operator="greaterThan">
      <formula>1</formula>
    </cfRule>
  </conditionalFormatting>
  <conditionalFormatting sqref="R83">
    <cfRule type="cellIs" dxfId="2994" priority="2994" operator="greaterThan">
      <formula>1</formula>
    </cfRule>
    <cfRule type="cellIs" dxfId="2993" priority="2995" operator="lessThan">
      <formula>0.8</formula>
    </cfRule>
  </conditionalFormatting>
  <conditionalFormatting sqref="P83">
    <cfRule type="cellIs" dxfId="2992" priority="2993" operator="greaterThan">
      <formula>0</formula>
    </cfRule>
  </conditionalFormatting>
  <conditionalFormatting sqref="Q83">
    <cfRule type="cellIs" dxfId="2991" priority="2992" operator="lessThan">
      <formula>0</formula>
    </cfRule>
  </conditionalFormatting>
  <conditionalFormatting sqref="R83">
    <cfRule type="cellIs" dxfId="2990" priority="2990" operator="lessThan">
      <formula>0.8</formula>
    </cfRule>
    <cfRule type="cellIs" dxfId="2989" priority="2991" operator="greaterThan">
      <formula>1</formula>
    </cfRule>
  </conditionalFormatting>
  <conditionalFormatting sqref="R83">
    <cfRule type="cellIs" dxfId="2988" priority="2988" operator="greaterThan">
      <formula>1</formula>
    </cfRule>
    <cfRule type="cellIs" dxfId="2987" priority="2989" operator="lessThan">
      <formula>0.8</formula>
    </cfRule>
  </conditionalFormatting>
  <conditionalFormatting sqref="P83">
    <cfRule type="cellIs" dxfId="2986" priority="2987" operator="greaterThan">
      <formula>0</formula>
    </cfRule>
  </conditionalFormatting>
  <conditionalFormatting sqref="Q83">
    <cfRule type="cellIs" dxfId="2985" priority="2986" operator="lessThan">
      <formula>0</formula>
    </cfRule>
  </conditionalFormatting>
  <conditionalFormatting sqref="R83">
    <cfRule type="cellIs" dxfId="2984" priority="2984" operator="lessThan">
      <formula>0.8</formula>
    </cfRule>
    <cfRule type="cellIs" dxfId="2983" priority="2985" operator="greaterThan">
      <formula>1</formula>
    </cfRule>
  </conditionalFormatting>
  <conditionalFormatting sqref="R83">
    <cfRule type="cellIs" dxfId="2982" priority="2982" operator="greaterThan">
      <formula>1</formula>
    </cfRule>
    <cfRule type="cellIs" dxfId="2981" priority="2983" operator="lessThan">
      <formula>0.8</formula>
    </cfRule>
  </conditionalFormatting>
  <conditionalFormatting sqref="P83">
    <cfRule type="cellIs" dxfId="2980" priority="2981" operator="greaterThan">
      <formula>0</formula>
    </cfRule>
  </conditionalFormatting>
  <conditionalFormatting sqref="Q83">
    <cfRule type="cellIs" dxfId="2979" priority="2980" operator="lessThan">
      <formula>0</formula>
    </cfRule>
  </conditionalFormatting>
  <conditionalFormatting sqref="R83">
    <cfRule type="cellIs" dxfId="2978" priority="2978" operator="lessThan">
      <formula>0.8</formula>
    </cfRule>
    <cfRule type="cellIs" dxfId="2977" priority="2979" operator="greaterThan">
      <formula>1</formula>
    </cfRule>
  </conditionalFormatting>
  <conditionalFormatting sqref="R83">
    <cfRule type="cellIs" dxfId="2976" priority="2976" operator="greaterThan">
      <formula>1</formula>
    </cfRule>
    <cfRule type="cellIs" dxfId="2975" priority="2977" operator="lessThan">
      <formula>0.8</formula>
    </cfRule>
  </conditionalFormatting>
  <conditionalFormatting sqref="P83">
    <cfRule type="cellIs" dxfId="2974" priority="2975" operator="greaterThan">
      <formula>0</formula>
    </cfRule>
  </conditionalFormatting>
  <conditionalFormatting sqref="P83">
    <cfRule type="cellIs" dxfId="2973" priority="2969" operator="greaterThan">
      <formula>0</formula>
    </cfRule>
  </conditionalFormatting>
  <conditionalFormatting sqref="Q83">
    <cfRule type="cellIs" dxfId="2972" priority="2974" operator="lessThan">
      <formula>0</formula>
    </cfRule>
  </conditionalFormatting>
  <conditionalFormatting sqref="R83">
    <cfRule type="cellIs" dxfId="2971" priority="2972" operator="lessThan">
      <formula>0.8</formula>
    </cfRule>
    <cfRule type="cellIs" dxfId="2970" priority="2973" operator="greaterThan">
      <formula>1</formula>
    </cfRule>
  </conditionalFormatting>
  <conditionalFormatting sqref="R83">
    <cfRule type="cellIs" dxfId="2969" priority="2970" operator="greaterThan">
      <formula>1</formula>
    </cfRule>
    <cfRule type="cellIs" dxfId="2968" priority="2971" operator="lessThan">
      <formula>0.8</formula>
    </cfRule>
  </conditionalFormatting>
  <conditionalFormatting sqref="P83">
    <cfRule type="cellIs" dxfId="2967" priority="2963" operator="greaterThan">
      <formula>0</formula>
    </cfRule>
  </conditionalFormatting>
  <conditionalFormatting sqref="Q83">
    <cfRule type="cellIs" dxfId="2966" priority="2968" operator="lessThan">
      <formula>0</formula>
    </cfRule>
  </conditionalFormatting>
  <conditionalFormatting sqref="R83">
    <cfRule type="cellIs" dxfId="2965" priority="2966" operator="lessThan">
      <formula>0.8</formula>
    </cfRule>
    <cfRule type="cellIs" dxfId="2964" priority="2967" operator="greaterThan">
      <formula>1</formula>
    </cfRule>
  </conditionalFormatting>
  <conditionalFormatting sqref="R83">
    <cfRule type="cellIs" dxfId="2963" priority="2964" operator="greaterThan">
      <formula>1</formula>
    </cfRule>
    <cfRule type="cellIs" dxfId="2962" priority="2965" operator="lessThan">
      <formula>0.8</formula>
    </cfRule>
  </conditionalFormatting>
  <conditionalFormatting sqref="R83">
    <cfRule type="cellIs" dxfId="2961" priority="2960" operator="lessThan">
      <formula>0.8</formula>
    </cfRule>
    <cfRule type="cellIs" dxfId="2960" priority="2961" operator="greaterThan">
      <formula>1</formula>
    </cfRule>
  </conditionalFormatting>
  <conditionalFormatting sqref="R83">
    <cfRule type="cellIs" dxfId="2959" priority="2958" operator="greaterThan">
      <formula>1</formula>
    </cfRule>
    <cfRule type="cellIs" dxfId="2958" priority="2959" operator="lessThan">
      <formula>0.8</formula>
    </cfRule>
  </conditionalFormatting>
  <conditionalFormatting sqref="P83">
    <cfRule type="cellIs" dxfId="2957" priority="2957" operator="greaterThan">
      <formula>0</formula>
    </cfRule>
  </conditionalFormatting>
  <conditionalFormatting sqref="Q83">
    <cfRule type="cellIs" dxfId="2956" priority="2962" operator="lessThan">
      <formula>0</formula>
    </cfRule>
  </conditionalFormatting>
  <conditionalFormatting sqref="Q83">
    <cfRule type="cellIs" dxfId="2955" priority="2956" operator="lessThan">
      <formula>0</formula>
    </cfRule>
  </conditionalFormatting>
  <conditionalFormatting sqref="R83">
    <cfRule type="cellIs" dxfId="2954" priority="2954" operator="lessThan">
      <formula>0.8</formula>
    </cfRule>
    <cfRule type="cellIs" dxfId="2953" priority="2955" operator="greaterThan">
      <formula>1</formula>
    </cfRule>
  </conditionalFormatting>
  <conditionalFormatting sqref="R83">
    <cfRule type="cellIs" dxfId="2952" priority="2952" operator="greaterThan">
      <formula>1</formula>
    </cfRule>
    <cfRule type="cellIs" dxfId="2951" priority="2953" operator="lessThan">
      <formula>0.8</formula>
    </cfRule>
  </conditionalFormatting>
  <conditionalFormatting sqref="P83">
    <cfRule type="cellIs" dxfId="2950" priority="2951" operator="greaterThan">
      <formula>0</formula>
    </cfRule>
  </conditionalFormatting>
  <conditionalFormatting sqref="P83">
    <cfRule type="cellIs" dxfId="2949" priority="2945" operator="greaterThan">
      <formula>0</formula>
    </cfRule>
  </conditionalFormatting>
  <conditionalFormatting sqref="Q83">
    <cfRule type="cellIs" dxfId="2948" priority="2950" operator="lessThan">
      <formula>0</formula>
    </cfRule>
  </conditionalFormatting>
  <conditionalFormatting sqref="R83">
    <cfRule type="cellIs" dxfId="2947" priority="2948" operator="lessThan">
      <formula>0.8</formula>
    </cfRule>
    <cfRule type="cellIs" dxfId="2946" priority="2949" operator="greaterThan">
      <formula>1</formula>
    </cfRule>
  </conditionalFormatting>
  <conditionalFormatting sqref="R83">
    <cfRule type="cellIs" dxfId="2945" priority="2946" operator="greaterThan">
      <formula>1</formula>
    </cfRule>
    <cfRule type="cellIs" dxfId="2944" priority="2947" operator="lessThan">
      <formula>0.8</formula>
    </cfRule>
  </conditionalFormatting>
  <conditionalFormatting sqref="P83">
    <cfRule type="cellIs" dxfId="2943" priority="2939" operator="greaterThan">
      <formula>0</formula>
    </cfRule>
  </conditionalFormatting>
  <conditionalFormatting sqref="Q83">
    <cfRule type="cellIs" dxfId="2942" priority="2944" operator="lessThan">
      <formula>0</formula>
    </cfRule>
  </conditionalFormatting>
  <conditionalFormatting sqref="R83">
    <cfRule type="cellIs" dxfId="2941" priority="2942" operator="lessThan">
      <formula>0.8</formula>
    </cfRule>
    <cfRule type="cellIs" dxfId="2940" priority="2943" operator="greaterThan">
      <formula>1</formula>
    </cfRule>
  </conditionalFormatting>
  <conditionalFormatting sqref="R83">
    <cfRule type="cellIs" dxfId="2939" priority="2940" operator="greaterThan">
      <formula>1</formula>
    </cfRule>
    <cfRule type="cellIs" dxfId="2938" priority="2941" operator="lessThan">
      <formula>0.8</formula>
    </cfRule>
  </conditionalFormatting>
  <conditionalFormatting sqref="R83">
    <cfRule type="cellIs" dxfId="2937" priority="2936" operator="lessThan">
      <formula>0.8</formula>
    </cfRule>
    <cfRule type="cellIs" dxfId="2936" priority="2937" operator="greaterThan">
      <formula>1</formula>
    </cfRule>
  </conditionalFormatting>
  <conditionalFormatting sqref="R83">
    <cfRule type="cellIs" dxfId="2935" priority="2934" operator="greaterThan">
      <formula>1</formula>
    </cfRule>
    <cfRule type="cellIs" dxfId="2934" priority="2935" operator="lessThan">
      <formula>0.8</formula>
    </cfRule>
  </conditionalFormatting>
  <conditionalFormatting sqref="P83">
    <cfRule type="cellIs" dxfId="2933" priority="2933" operator="greaterThan">
      <formula>0</formula>
    </cfRule>
  </conditionalFormatting>
  <conditionalFormatting sqref="Q83">
    <cfRule type="cellIs" dxfId="2932" priority="2938" operator="lessThan">
      <formula>0</formula>
    </cfRule>
  </conditionalFormatting>
  <conditionalFormatting sqref="P83">
    <cfRule type="cellIs" dxfId="2931" priority="2927" operator="greaterThan">
      <formula>0</formula>
    </cfRule>
  </conditionalFormatting>
  <conditionalFormatting sqref="Q83">
    <cfRule type="cellIs" dxfId="2930" priority="2932" operator="lessThan">
      <formula>0</formula>
    </cfRule>
  </conditionalFormatting>
  <conditionalFormatting sqref="R83">
    <cfRule type="cellIs" dxfId="2929" priority="2930" operator="lessThan">
      <formula>0.8</formula>
    </cfRule>
    <cfRule type="cellIs" dxfId="2928" priority="2931" operator="greaterThan">
      <formula>1</formula>
    </cfRule>
  </conditionalFormatting>
  <conditionalFormatting sqref="R83">
    <cfRule type="cellIs" dxfId="2927" priority="2928" operator="greaterThan">
      <formula>1</formula>
    </cfRule>
    <cfRule type="cellIs" dxfId="2926" priority="2929" operator="lessThan">
      <formula>0.8</formula>
    </cfRule>
  </conditionalFormatting>
  <conditionalFormatting sqref="R83">
    <cfRule type="cellIs" dxfId="2925" priority="2924" operator="lessThan">
      <formula>0.8</formula>
    </cfRule>
    <cfRule type="cellIs" dxfId="2924" priority="2925" operator="greaterThan">
      <formula>1</formula>
    </cfRule>
  </conditionalFormatting>
  <conditionalFormatting sqref="R83">
    <cfRule type="cellIs" dxfId="2923" priority="2922" operator="greaterThan">
      <formula>1</formula>
    </cfRule>
    <cfRule type="cellIs" dxfId="2922" priority="2923" operator="lessThan">
      <formula>0.8</formula>
    </cfRule>
  </conditionalFormatting>
  <conditionalFormatting sqref="P83">
    <cfRule type="cellIs" dxfId="2921" priority="2921" operator="greaterThan">
      <formula>0</formula>
    </cfRule>
  </conditionalFormatting>
  <conditionalFormatting sqref="Q83">
    <cfRule type="cellIs" dxfId="2920" priority="2926" operator="lessThan">
      <formula>0</formula>
    </cfRule>
  </conditionalFormatting>
  <conditionalFormatting sqref="R83">
    <cfRule type="cellIs" dxfId="2919" priority="2918" operator="lessThan">
      <formula>0.8</formula>
    </cfRule>
    <cfRule type="cellIs" dxfId="2918" priority="2919" operator="greaterThan">
      <formula>1</formula>
    </cfRule>
  </conditionalFormatting>
  <conditionalFormatting sqref="R83">
    <cfRule type="cellIs" dxfId="2917" priority="2916" operator="greaterThan">
      <formula>1</formula>
    </cfRule>
    <cfRule type="cellIs" dxfId="2916" priority="2917" operator="lessThan">
      <formula>0.8</formula>
    </cfRule>
  </conditionalFormatting>
  <conditionalFormatting sqref="P83">
    <cfRule type="cellIs" dxfId="2915" priority="2915" operator="greaterThan">
      <formula>0</formula>
    </cfRule>
  </conditionalFormatting>
  <conditionalFormatting sqref="Q83">
    <cfRule type="cellIs" dxfId="2914" priority="2920" operator="lessThan">
      <formula>0</formula>
    </cfRule>
  </conditionalFormatting>
  <conditionalFormatting sqref="Q83">
    <cfRule type="cellIs" dxfId="2913" priority="2914" operator="lessThan">
      <formula>0</formula>
    </cfRule>
  </conditionalFormatting>
  <conditionalFormatting sqref="R83">
    <cfRule type="cellIs" dxfId="2912" priority="2912" operator="lessThan">
      <formula>0.8</formula>
    </cfRule>
    <cfRule type="cellIs" dxfId="2911" priority="2913" operator="greaterThan">
      <formula>1</formula>
    </cfRule>
  </conditionalFormatting>
  <conditionalFormatting sqref="R83">
    <cfRule type="cellIs" dxfId="2910" priority="2910" operator="greaterThan">
      <formula>1</formula>
    </cfRule>
    <cfRule type="cellIs" dxfId="2909" priority="2911" operator="lessThan">
      <formula>0.8</formula>
    </cfRule>
  </conditionalFormatting>
  <conditionalFormatting sqref="P83">
    <cfRule type="cellIs" dxfId="2908" priority="2909" operator="greaterThan">
      <formula>0</formula>
    </cfRule>
  </conditionalFormatting>
  <conditionalFormatting sqref="Q83">
    <cfRule type="cellIs" dxfId="2907" priority="2903" operator="lessThan">
      <formula>0</formula>
    </cfRule>
  </conditionalFormatting>
  <conditionalFormatting sqref="R83">
    <cfRule type="cellIs" dxfId="2906" priority="2907" operator="lessThan">
      <formula>0.8</formula>
    </cfRule>
    <cfRule type="cellIs" dxfId="2905" priority="2908" operator="greaterThan">
      <formula>1</formula>
    </cfRule>
  </conditionalFormatting>
  <conditionalFormatting sqref="R83">
    <cfRule type="cellIs" dxfId="2904" priority="2905" operator="greaterThan">
      <formula>1</formula>
    </cfRule>
    <cfRule type="cellIs" dxfId="2903" priority="2906" operator="lessThan">
      <formula>0.8</formula>
    </cfRule>
  </conditionalFormatting>
  <conditionalFormatting sqref="P83">
    <cfRule type="cellIs" dxfId="2902" priority="2904" operator="greaterThan">
      <formula>0</formula>
    </cfRule>
  </conditionalFormatting>
  <conditionalFormatting sqref="Q83">
    <cfRule type="cellIs" dxfId="2901" priority="2902" operator="lessThan">
      <formula>0</formula>
    </cfRule>
  </conditionalFormatting>
  <conditionalFormatting sqref="R83">
    <cfRule type="cellIs" dxfId="2900" priority="2900" operator="lessThan">
      <formula>0.8</formula>
    </cfRule>
    <cfRule type="cellIs" dxfId="2899" priority="2901" operator="greaterThan">
      <formula>1</formula>
    </cfRule>
  </conditionalFormatting>
  <conditionalFormatting sqref="R83">
    <cfRule type="cellIs" dxfId="2898" priority="2898" operator="greaterThan">
      <formula>1</formula>
    </cfRule>
    <cfRule type="cellIs" dxfId="2897" priority="2899" operator="lessThan">
      <formula>0.8</formula>
    </cfRule>
  </conditionalFormatting>
  <conditionalFormatting sqref="P83">
    <cfRule type="cellIs" dxfId="2896" priority="2897" operator="greaterThan">
      <formula>0</formula>
    </cfRule>
  </conditionalFormatting>
  <conditionalFormatting sqref="Q83">
    <cfRule type="cellIs" dxfId="2895" priority="2896" operator="lessThan">
      <formula>0</formula>
    </cfRule>
  </conditionalFormatting>
  <conditionalFormatting sqref="R83">
    <cfRule type="cellIs" dxfId="2894" priority="2894" operator="lessThan">
      <formula>0.8</formula>
    </cfRule>
    <cfRule type="cellIs" dxfId="2893" priority="2895" operator="greaterThan">
      <formula>1</formula>
    </cfRule>
  </conditionalFormatting>
  <conditionalFormatting sqref="R83">
    <cfRule type="cellIs" dxfId="2892" priority="2892" operator="greaterThan">
      <formula>1</formula>
    </cfRule>
    <cfRule type="cellIs" dxfId="2891" priority="2893" operator="lessThan">
      <formula>0.8</formula>
    </cfRule>
  </conditionalFormatting>
  <conditionalFormatting sqref="P83">
    <cfRule type="cellIs" dxfId="2890" priority="2891" operator="greaterThan">
      <formula>0</formula>
    </cfRule>
  </conditionalFormatting>
  <conditionalFormatting sqref="Q83">
    <cfRule type="cellIs" dxfId="2889" priority="2890" operator="lessThan">
      <formula>0</formula>
    </cfRule>
  </conditionalFormatting>
  <conditionalFormatting sqref="R83">
    <cfRule type="cellIs" dxfId="2888" priority="2888" operator="lessThan">
      <formula>0.8</formula>
    </cfRule>
    <cfRule type="cellIs" dxfId="2887" priority="2889" operator="greaterThan">
      <formula>1</formula>
    </cfRule>
  </conditionalFormatting>
  <conditionalFormatting sqref="R83">
    <cfRule type="cellIs" dxfId="2886" priority="2886" operator="greaterThan">
      <formula>1</formula>
    </cfRule>
    <cfRule type="cellIs" dxfId="2885" priority="2887" operator="lessThan">
      <formula>0.8</formula>
    </cfRule>
  </conditionalFormatting>
  <conditionalFormatting sqref="P83">
    <cfRule type="cellIs" dxfId="2884" priority="2885" operator="greaterThan">
      <formula>0</formula>
    </cfRule>
  </conditionalFormatting>
  <conditionalFormatting sqref="Q83">
    <cfRule type="cellIs" dxfId="2883" priority="2884" operator="lessThan">
      <formula>0</formula>
    </cfRule>
  </conditionalFormatting>
  <conditionalFormatting sqref="R83">
    <cfRule type="cellIs" dxfId="2882" priority="2882" operator="lessThan">
      <formula>0.8</formula>
    </cfRule>
    <cfRule type="cellIs" dxfId="2881" priority="2883" operator="greaterThan">
      <formula>1</formula>
    </cfRule>
  </conditionalFormatting>
  <conditionalFormatting sqref="R83">
    <cfRule type="cellIs" dxfId="2880" priority="2880" operator="greaterThan">
      <formula>1</formula>
    </cfRule>
    <cfRule type="cellIs" dxfId="2879" priority="2881" operator="lessThan">
      <formula>0.8</formula>
    </cfRule>
  </conditionalFormatting>
  <conditionalFormatting sqref="P83">
    <cfRule type="cellIs" dxfId="2878" priority="2879" operator="greaterThan">
      <formula>0</formula>
    </cfRule>
  </conditionalFormatting>
  <conditionalFormatting sqref="Q83">
    <cfRule type="cellIs" dxfId="2877" priority="2878" operator="lessThan">
      <formula>0</formula>
    </cfRule>
  </conditionalFormatting>
  <conditionalFormatting sqref="R83">
    <cfRule type="cellIs" dxfId="2876" priority="2876" operator="lessThan">
      <formula>0.8</formula>
    </cfRule>
    <cfRule type="cellIs" dxfId="2875" priority="2877" operator="greaterThan">
      <formula>1</formula>
    </cfRule>
  </conditionalFormatting>
  <conditionalFormatting sqref="R83">
    <cfRule type="cellIs" dxfId="2874" priority="2874" operator="greaterThan">
      <formula>1</formula>
    </cfRule>
    <cfRule type="cellIs" dxfId="2873" priority="2875" operator="lessThan">
      <formula>0.8</formula>
    </cfRule>
  </conditionalFormatting>
  <conditionalFormatting sqref="P83">
    <cfRule type="cellIs" dxfId="2872" priority="2873" operator="greaterThan">
      <formula>0</formula>
    </cfRule>
  </conditionalFormatting>
  <conditionalFormatting sqref="P83">
    <cfRule type="cellIs" dxfId="2871" priority="2867" operator="greaterThan">
      <formula>0</formula>
    </cfRule>
  </conditionalFormatting>
  <conditionalFormatting sqref="Q83">
    <cfRule type="cellIs" dxfId="2870" priority="2872" operator="lessThan">
      <formula>0</formula>
    </cfRule>
  </conditionalFormatting>
  <conditionalFormatting sqref="R83">
    <cfRule type="cellIs" dxfId="2869" priority="2870" operator="lessThan">
      <formula>0.8</formula>
    </cfRule>
    <cfRule type="cellIs" dxfId="2868" priority="2871" operator="greaterThan">
      <formula>1</formula>
    </cfRule>
  </conditionalFormatting>
  <conditionalFormatting sqref="R83">
    <cfRule type="cellIs" dxfId="2867" priority="2868" operator="greaterThan">
      <formula>1</formula>
    </cfRule>
    <cfRule type="cellIs" dxfId="2866" priority="2869" operator="lessThan">
      <formula>0.8</formula>
    </cfRule>
  </conditionalFormatting>
  <conditionalFormatting sqref="P83">
    <cfRule type="cellIs" dxfId="2865" priority="2861" operator="greaterThan">
      <formula>0</formula>
    </cfRule>
  </conditionalFormatting>
  <conditionalFormatting sqref="Q83">
    <cfRule type="cellIs" dxfId="2864" priority="2866" operator="lessThan">
      <formula>0</formula>
    </cfRule>
  </conditionalFormatting>
  <conditionalFormatting sqref="R83">
    <cfRule type="cellIs" dxfId="2863" priority="2864" operator="lessThan">
      <formula>0.8</formula>
    </cfRule>
    <cfRule type="cellIs" dxfId="2862" priority="2865" operator="greaterThan">
      <formula>1</formula>
    </cfRule>
  </conditionalFormatting>
  <conditionalFormatting sqref="R83">
    <cfRule type="cellIs" dxfId="2861" priority="2862" operator="greaterThan">
      <formula>1</formula>
    </cfRule>
    <cfRule type="cellIs" dxfId="2860" priority="2863" operator="lessThan">
      <formula>0.8</formula>
    </cfRule>
  </conditionalFormatting>
  <conditionalFormatting sqref="R83">
    <cfRule type="cellIs" dxfId="2859" priority="2858" operator="lessThan">
      <formula>0.8</formula>
    </cfRule>
    <cfRule type="cellIs" dxfId="2858" priority="2859" operator="greaterThan">
      <formula>1</formula>
    </cfRule>
  </conditionalFormatting>
  <conditionalFormatting sqref="R83">
    <cfRule type="cellIs" dxfId="2857" priority="2856" operator="greaterThan">
      <formula>1</formula>
    </cfRule>
    <cfRule type="cellIs" dxfId="2856" priority="2857" operator="lessThan">
      <formula>0.8</formula>
    </cfRule>
  </conditionalFormatting>
  <conditionalFormatting sqref="P83">
    <cfRule type="cellIs" dxfId="2855" priority="2855" operator="greaterThan">
      <formula>0</formula>
    </cfRule>
  </conditionalFormatting>
  <conditionalFormatting sqref="Q83">
    <cfRule type="cellIs" dxfId="2854" priority="2860" operator="lessThan">
      <formula>0</formula>
    </cfRule>
  </conditionalFormatting>
  <conditionalFormatting sqref="P123 P125:P126 P128:P129">
    <cfRule type="cellIs" dxfId="2853" priority="2849" operator="greaterThan">
      <formula>0</formula>
    </cfRule>
  </conditionalFormatting>
  <conditionalFormatting sqref="Q123 Q125:Q126 Q128:Q129">
    <cfRule type="cellIs" dxfId="2852" priority="2854" operator="lessThan">
      <formula>0</formula>
    </cfRule>
  </conditionalFormatting>
  <conditionalFormatting sqref="R123 R125:R126 R128:R129">
    <cfRule type="cellIs" dxfId="2851" priority="2852" operator="lessThan">
      <formula>0.8</formula>
    </cfRule>
    <cfRule type="cellIs" dxfId="2850" priority="2853" operator="greaterThan">
      <formula>1</formula>
    </cfRule>
  </conditionalFormatting>
  <conditionalFormatting sqref="R123 R125:R126 R128:R129">
    <cfRule type="cellIs" dxfId="2849" priority="2850" operator="greaterThan">
      <formula>1</formula>
    </cfRule>
    <cfRule type="cellIs" dxfId="2848" priority="2851" operator="lessThan">
      <formula>0.8</formula>
    </cfRule>
  </conditionalFormatting>
  <conditionalFormatting sqref="Q123 Q125:Q126 Q128:Q129">
    <cfRule type="cellIs" dxfId="2847" priority="2848" operator="lessThan">
      <formula>0</formula>
    </cfRule>
  </conditionalFormatting>
  <conditionalFormatting sqref="R123 R125:R126 R128:R129">
    <cfRule type="cellIs" dxfId="2846" priority="2846" operator="lessThan">
      <formula>0.8</formula>
    </cfRule>
    <cfRule type="cellIs" dxfId="2845" priority="2847" operator="greaterThan">
      <formula>1</formula>
    </cfRule>
  </conditionalFormatting>
  <conditionalFormatting sqref="R123 R125:R126 R128:R129">
    <cfRule type="cellIs" dxfId="2844" priority="2844" operator="greaterThan">
      <formula>1</formula>
    </cfRule>
    <cfRule type="cellIs" dxfId="2843" priority="2845" operator="lessThan">
      <formula>0.8</formula>
    </cfRule>
  </conditionalFormatting>
  <conditionalFormatting sqref="P123 P125:P126 P128:P129">
    <cfRule type="cellIs" dxfId="2842" priority="2843" operator="greaterThan">
      <formula>0</formula>
    </cfRule>
  </conditionalFormatting>
  <conditionalFormatting sqref="Q31">
    <cfRule type="cellIs" dxfId="2841" priority="2842" operator="lessThan">
      <formula>0</formula>
    </cfRule>
  </conditionalFormatting>
  <conditionalFormatting sqref="R31">
    <cfRule type="cellIs" dxfId="2840" priority="2840" operator="lessThan">
      <formula>0.8</formula>
    </cfRule>
    <cfRule type="cellIs" dxfId="2839" priority="2841" operator="greaterThan">
      <formula>1</formula>
    </cfRule>
  </conditionalFormatting>
  <conditionalFormatting sqref="R31">
    <cfRule type="cellIs" dxfId="2838" priority="2838" operator="greaterThan">
      <formula>1</formula>
    </cfRule>
    <cfRule type="cellIs" dxfId="2837" priority="2839" operator="lessThan">
      <formula>0.8</formula>
    </cfRule>
  </conditionalFormatting>
  <conditionalFormatting sqref="P31">
    <cfRule type="cellIs" dxfId="2836" priority="2837" operator="greaterThan">
      <formula>0</formula>
    </cfRule>
  </conditionalFormatting>
  <conditionalFormatting sqref="Q31">
    <cfRule type="cellIs" dxfId="2835" priority="2836" operator="lessThan">
      <formula>0</formula>
    </cfRule>
  </conditionalFormatting>
  <conditionalFormatting sqref="R31">
    <cfRule type="cellIs" dxfId="2834" priority="2834" operator="lessThan">
      <formula>0.8</formula>
    </cfRule>
    <cfRule type="cellIs" dxfId="2833" priority="2835" operator="greaterThan">
      <formula>1</formula>
    </cfRule>
  </conditionalFormatting>
  <conditionalFormatting sqref="R31">
    <cfRule type="cellIs" dxfId="2832" priority="2832" operator="greaterThan">
      <formula>1</formula>
    </cfRule>
    <cfRule type="cellIs" dxfId="2831" priority="2833" operator="lessThan">
      <formula>0.8</formula>
    </cfRule>
  </conditionalFormatting>
  <conditionalFormatting sqref="P31">
    <cfRule type="cellIs" dxfId="2830" priority="2831" operator="greaterThan">
      <formula>0</formula>
    </cfRule>
  </conditionalFormatting>
  <conditionalFormatting sqref="Q31">
    <cfRule type="cellIs" dxfId="2829" priority="2830" operator="lessThan">
      <formula>0</formula>
    </cfRule>
  </conditionalFormatting>
  <conditionalFormatting sqref="R31">
    <cfRule type="cellIs" dxfId="2828" priority="2828" operator="lessThan">
      <formula>0.8</formula>
    </cfRule>
    <cfRule type="cellIs" dxfId="2827" priority="2829" operator="greaterThan">
      <formula>1</formula>
    </cfRule>
  </conditionalFormatting>
  <conditionalFormatting sqref="R31">
    <cfRule type="cellIs" dxfId="2826" priority="2826" operator="greaterThan">
      <formula>1</formula>
    </cfRule>
    <cfRule type="cellIs" dxfId="2825" priority="2827" operator="lessThan">
      <formula>0.8</formula>
    </cfRule>
  </conditionalFormatting>
  <conditionalFormatting sqref="P31">
    <cfRule type="cellIs" dxfId="2824" priority="2825" operator="greaterThan">
      <formula>0</formula>
    </cfRule>
  </conditionalFormatting>
  <conditionalFormatting sqref="Q31">
    <cfRule type="cellIs" dxfId="2823" priority="2824" operator="lessThan">
      <formula>0</formula>
    </cfRule>
  </conditionalFormatting>
  <conditionalFormatting sqref="R31">
    <cfRule type="cellIs" dxfId="2822" priority="2822" operator="lessThan">
      <formula>0.8</formula>
    </cfRule>
    <cfRule type="cellIs" dxfId="2821" priority="2823" operator="greaterThan">
      <formula>1</formula>
    </cfRule>
  </conditionalFormatting>
  <conditionalFormatting sqref="R31">
    <cfRule type="cellIs" dxfId="2820" priority="2820" operator="greaterThan">
      <formula>1</formula>
    </cfRule>
    <cfRule type="cellIs" dxfId="2819" priority="2821" operator="lessThan">
      <formula>0.8</formula>
    </cfRule>
  </conditionalFormatting>
  <conditionalFormatting sqref="P31">
    <cfRule type="cellIs" dxfId="2818" priority="2819" operator="greaterThan">
      <formula>0</formula>
    </cfRule>
  </conditionalFormatting>
  <conditionalFormatting sqref="P31">
    <cfRule type="cellIs" dxfId="2817" priority="2813" operator="greaterThan">
      <formula>0</formula>
    </cfRule>
  </conditionalFormatting>
  <conditionalFormatting sqref="Q31">
    <cfRule type="cellIs" dxfId="2816" priority="2818" operator="lessThan">
      <formula>0</formula>
    </cfRule>
  </conditionalFormatting>
  <conditionalFormatting sqref="R31">
    <cfRule type="cellIs" dxfId="2815" priority="2816" operator="lessThan">
      <formula>0.8</formula>
    </cfRule>
    <cfRule type="cellIs" dxfId="2814" priority="2817" operator="greaterThan">
      <formula>1</formula>
    </cfRule>
  </conditionalFormatting>
  <conditionalFormatting sqref="R31">
    <cfRule type="cellIs" dxfId="2813" priority="2814" operator="greaterThan">
      <formula>1</formula>
    </cfRule>
    <cfRule type="cellIs" dxfId="2812" priority="2815" operator="lessThan">
      <formula>0.8</formula>
    </cfRule>
  </conditionalFormatting>
  <conditionalFormatting sqref="P31">
    <cfRule type="cellIs" dxfId="2811" priority="2807" operator="greaterThan">
      <formula>0</formula>
    </cfRule>
  </conditionalFormatting>
  <conditionalFormatting sqref="Q31">
    <cfRule type="cellIs" dxfId="2810" priority="2812" operator="lessThan">
      <formula>0</formula>
    </cfRule>
  </conditionalFormatting>
  <conditionalFormatting sqref="R31">
    <cfRule type="cellIs" dxfId="2809" priority="2810" operator="lessThan">
      <formula>0.8</formula>
    </cfRule>
    <cfRule type="cellIs" dxfId="2808" priority="2811" operator="greaterThan">
      <formula>1</formula>
    </cfRule>
  </conditionalFormatting>
  <conditionalFormatting sqref="R31">
    <cfRule type="cellIs" dxfId="2807" priority="2808" operator="greaterThan">
      <formula>1</formula>
    </cfRule>
    <cfRule type="cellIs" dxfId="2806" priority="2809" operator="lessThan">
      <formula>0.8</formula>
    </cfRule>
  </conditionalFormatting>
  <conditionalFormatting sqref="R31">
    <cfRule type="cellIs" dxfId="2805" priority="2804" operator="lessThan">
      <formula>0.8</formula>
    </cfRule>
    <cfRule type="cellIs" dxfId="2804" priority="2805" operator="greaterThan">
      <formula>1</formula>
    </cfRule>
  </conditionalFormatting>
  <conditionalFormatting sqref="R31">
    <cfRule type="cellIs" dxfId="2803" priority="2802" operator="greaterThan">
      <formula>1</formula>
    </cfRule>
    <cfRule type="cellIs" dxfId="2802" priority="2803" operator="lessThan">
      <formula>0.8</formula>
    </cfRule>
  </conditionalFormatting>
  <conditionalFormatting sqref="P31">
    <cfRule type="cellIs" dxfId="2801" priority="2801" operator="greaterThan">
      <formula>0</formula>
    </cfRule>
  </conditionalFormatting>
  <conditionalFormatting sqref="Q31">
    <cfRule type="cellIs" dxfId="2800" priority="2806" operator="lessThan">
      <formula>0</formula>
    </cfRule>
  </conditionalFormatting>
  <conditionalFormatting sqref="Q31">
    <cfRule type="cellIs" dxfId="2799" priority="2800" operator="lessThan">
      <formula>0</formula>
    </cfRule>
  </conditionalFormatting>
  <conditionalFormatting sqref="R31">
    <cfRule type="cellIs" dxfId="2798" priority="2798" operator="lessThan">
      <formula>0.8</formula>
    </cfRule>
    <cfRule type="cellIs" dxfId="2797" priority="2799" operator="greaterThan">
      <formula>1</formula>
    </cfRule>
  </conditionalFormatting>
  <conditionalFormatting sqref="R31">
    <cfRule type="cellIs" dxfId="2796" priority="2796" operator="greaterThan">
      <formula>1</formula>
    </cfRule>
    <cfRule type="cellIs" dxfId="2795" priority="2797" operator="lessThan">
      <formula>0.8</formula>
    </cfRule>
  </conditionalFormatting>
  <conditionalFormatting sqref="P31">
    <cfRule type="cellIs" dxfId="2794" priority="2795" operator="greaterThan">
      <formula>0</formula>
    </cfRule>
  </conditionalFormatting>
  <conditionalFormatting sqref="P31">
    <cfRule type="cellIs" dxfId="2793" priority="2789" operator="greaterThan">
      <formula>0</formula>
    </cfRule>
  </conditionalFormatting>
  <conditionalFormatting sqref="Q31">
    <cfRule type="cellIs" dxfId="2792" priority="2794" operator="lessThan">
      <formula>0</formula>
    </cfRule>
  </conditionalFormatting>
  <conditionalFormatting sqref="R31">
    <cfRule type="cellIs" dxfId="2791" priority="2792" operator="lessThan">
      <formula>0.8</formula>
    </cfRule>
    <cfRule type="cellIs" dxfId="2790" priority="2793" operator="greaterThan">
      <formula>1</formula>
    </cfRule>
  </conditionalFormatting>
  <conditionalFormatting sqref="R31">
    <cfRule type="cellIs" dxfId="2789" priority="2790" operator="greaterThan">
      <formula>1</formula>
    </cfRule>
    <cfRule type="cellIs" dxfId="2788" priority="2791" operator="lessThan">
      <formula>0.8</formula>
    </cfRule>
  </conditionalFormatting>
  <conditionalFormatting sqref="P31">
    <cfRule type="cellIs" dxfId="2787" priority="2783" operator="greaterThan">
      <formula>0</formula>
    </cfRule>
  </conditionalFormatting>
  <conditionalFormatting sqref="Q31">
    <cfRule type="cellIs" dxfId="2786" priority="2788" operator="lessThan">
      <formula>0</formula>
    </cfRule>
  </conditionalFormatting>
  <conditionalFormatting sqref="R31">
    <cfRule type="cellIs" dxfId="2785" priority="2786" operator="lessThan">
      <formula>0.8</formula>
    </cfRule>
    <cfRule type="cellIs" dxfId="2784" priority="2787" operator="greaterThan">
      <formula>1</formula>
    </cfRule>
  </conditionalFormatting>
  <conditionalFormatting sqref="R31">
    <cfRule type="cellIs" dxfId="2783" priority="2784" operator="greaterThan">
      <formula>1</formula>
    </cfRule>
    <cfRule type="cellIs" dxfId="2782" priority="2785" operator="lessThan">
      <formula>0.8</formula>
    </cfRule>
  </conditionalFormatting>
  <conditionalFormatting sqref="R31">
    <cfRule type="cellIs" dxfId="2781" priority="2780" operator="lessThan">
      <formula>0.8</formula>
    </cfRule>
    <cfRule type="cellIs" dxfId="2780" priority="2781" operator="greaterThan">
      <formula>1</formula>
    </cfRule>
  </conditionalFormatting>
  <conditionalFormatting sqref="R31">
    <cfRule type="cellIs" dxfId="2779" priority="2778" operator="greaterThan">
      <formula>1</formula>
    </cfRule>
    <cfRule type="cellIs" dxfId="2778" priority="2779" operator="lessThan">
      <formula>0.8</formula>
    </cfRule>
  </conditionalFormatting>
  <conditionalFormatting sqref="P31">
    <cfRule type="cellIs" dxfId="2777" priority="2777" operator="greaterThan">
      <formula>0</formula>
    </cfRule>
  </conditionalFormatting>
  <conditionalFormatting sqref="Q31">
    <cfRule type="cellIs" dxfId="2776" priority="2782" operator="lessThan">
      <formula>0</formula>
    </cfRule>
  </conditionalFormatting>
  <conditionalFormatting sqref="P31">
    <cfRule type="cellIs" dxfId="2775" priority="2771" operator="greaterThan">
      <formula>0</formula>
    </cfRule>
  </conditionalFormatting>
  <conditionalFormatting sqref="Q31">
    <cfRule type="cellIs" dxfId="2774" priority="2776" operator="lessThan">
      <formula>0</formula>
    </cfRule>
  </conditionalFormatting>
  <conditionalFormatting sqref="R31">
    <cfRule type="cellIs" dxfId="2773" priority="2774" operator="lessThan">
      <formula>0.8</formula>
    </cfRule>
    <cfRule type="cellIs" dxfId="2772" priority="2775" operator="greaterThan">
      <formula>1</formula>
    </cfRule>
  </conditionalFormatting>
  <conditionalFormatting sqref="R31">
    <cfRule type="cellIs" dxfId="2771" priority="2772" operator="greaterThan">
      <formula>1</formula>
    </cfRule>
    <cfRule type="cellIs" dxfId="2770" priority="2773" operator="lessThan">
      <formula>0.8</formula>
    </cfRule>
  </conditionalFormatting>
  <conditionalFormatting sqref="R31">
    <cfRule type="cellIs" dxfId="2769" priority="2768" operator="lessThan">
      <formula>0.8</formula>
    </cfRule>
    <cfRule type="cellIs" dxfId="2768" priority="2769" operator="greaterThan">
      <formula>1</formula>
    </cfRule>
  </conditionalFormatting>
  <conditionalFormatting sqref="R31">
    <cfRule type="cellIs" dxfId="2767" priority="2766" operator="greaterThan">
      <formula>1</formula>
    </cfRule>
    <cfRule type="cellIs" dxfId="2766" priority="2767" operator="lessThan">
      <formula>0.8</formula>
    </cfRule>
  </conditionalFormatting>
  <conditionalFormatting sqref="P31">
    <cfRule type="cellIs" dxfId="2765" priority="2765" operator="greaterThan">
      <formula>0</formula>
    </cfRule>
  </conditionalFormatting>
  <conditionalFormatting sqref="Q31">
    <cfRule type="cellIs" dxfId="2764" priority="2770" operator="lessThan">
      <formula>0</formula>
    </cfRule>
  </conditionalFormatting>
  <conditionalFormatting sqref="R31">
    <cfRule type="cellIs" dxfId="2763" priority="2762" operator="lessThan">
      <formula>0.8</formula>
    </cfRule>
    <cfRule type="cellIs" dxfId="2762" priority="2763" operator="greaterThan">
      <formula>1</formula>
    </cfRule>
  </conditionalFormatting>
  <conditionalFormatting sqref="R31">
    <cfRule type="cellIs" dxfId="2761" priority="2760" operator="greaterThan">
      <formula>1</formula>
    </cfRule>
    <cfRule type="cellIs" dxfId="2760" priority="2761" operator="lessThan">
      <formula>0.8</formula>
    </cfRule>
  </conditionalFormatting>
  <conditionalFormatting sqref="P31">
    <cfRule type="cellIs" dxfId="2759" priority="2759" operator="greaterThan">
      <formula>0</formula>
    </cfRule>
  </conditionalFormatting>
  <conditionalFormatting sqref="Q31">
    <cfRule type="cellIs" dxfId="2758" priority="2764" operator="lessThan">
      <formula>0</formula>
    </cfRule>
  </conditionalFormatting>
  <conditionalFormatting sqref="Q31">
    <cfRule type="cellIs" dxfId="2757" priority="2758" operator="lessThan">
      <formula>0</formula>
    </cfRule>
  </conditionalFormatting>
  <conditionalFormatting sqref="R31">
    <cfRule type="cellIs" dxfId="2756" priority="2756" operator="lessThan">
      <formula>0.8</formula>
    </cfRule>
    <cfRule type="cellIs" dxfId="2755" priority="2757" operator="greaterThan">
      <formula>1</formula>
    </cfRule>
  </conditionalFormatting>
  <conditionalFormatting sqref="R31">
    <cfRule type="cellIs" dxfId="2754" priority="2754" operator="greaterThan">
      <formula>1</formula>
    </cfRule>
    <cfRule type="cellIs" dxfId="2753" priority="2755" operator="lessThan">
      <formula>0.8</formula>
    </cfRule>
  </conditionalFormatting>
  <conditionalFormatting sqref="P31">
    <cfRule type="cellIs" dxfId="2752" priority="2753" operator="greaterThan">
      <formula>0</formula>
    </cfRule>
  </conditionalFormatting>
  <conditionalFormatting sqref="Q31">
    <cfRule type="cellIs" dxfId="2751" priority="2747" operator="lessThan">
      <formula>0</formula>
    </cfRule>
  </conditionalFormatting>
  <conditionalFormatting sqref="R31">
    <cfRule type="cellIs" dxfId="2750" priority="2751" operator="lessThan">
      <formula>0.8</formula>
    </cfRule>
    <cfRule type="cellIs" dxfId="2749" priority="2752" operator="greaterThan">
      <formula>1</formula>
    </cfRule>
  </conditionalFormatting>
  <conditionalFormatting sqref="R31">
    <cfRule type="cellIs" dxfId="2748" priority="2749" operator="greaterThan">
      <formula>1</formula>
    </cfRule>
    <cfRule type="cellIs" dxfId="2747" priority="2750" operator="lessThan">
      <formula>0.8</formula>
    </cfRule>
  </conditionalFormatting>
  <conditionalFormatting sqref="P31">
    <cfRule type="cellIs" dxfId="2746" priority="2748" operator="greaterThan">
      <formula>0</formula>
    </cfRule>
  </conditionalFormatting>
  <conditionalFormatting sqref="Q31">
    <cfRule type="cellIs" dxfId="2745" priority="2746" operator="lessThan">
      <formula>0</formula>
    </cfRule>
  </conditionalFormatting>
  <conditionalFormatting sqref="R31">
    <cfRule type="cellIs" dxfId="2744" priority="2744" operator="lessThan">
      <formula>0.8</formula>
    </cfRule>
    <cfRule type="cellIs" dxfId="2743" priority="2745" operator="greaterThan">
      <formula>1</formula>
    </cfRule>
  </conditionalFormatting>
  <conditionalFormatting sqref="R31">
    <cfRule type="cellIs" dxfId="2742" priority="2742" operator="greaterThan">
      <formula>1</formula>
    </cfRule>
    <cfRule type="cellIs" dxfId="2741" priority="2743" operator="lessThan">
      <formula>0.8</formula>
    </cfRule>
  </conditionalFormatting>
  <conditionalFormatting sqref="P31">
    <cfRule type="cellIs" dxfId="2740" priority="2741" operator="greaterThan">
      <formula>0</formula>
    </cfRule>
  </conditionalFormatting>
  <conditionalFormatting sqref="Q31">
    <cfRule type="cellIs" dxfId="2739" priority="2740" operator="lessThan">
      <formula>0</formula>
    </cfRule>
  </conditionalFormatting>
  <conditionalFormatting sqref="R31">
    <cfRule type="cellIs" dxfId="2738" priority="2738" operator="lessThan">
      <formula>0.8</formula>
    </cfRule>
    <cfRule type="cellIs" dxfId="2737" priority="2739" operator="greaterThan">
      <formula>1</formula>
    </cfRule>
  </conditionalFormatting>
  <conditionalFormatting sqref="R31">
    <cfRule type="cellIs" dxfId="2736" priority="2736" operator="greaterThan">
      <formula>1</formula>
    </cfRule>
    <cfRule type="cellIs" dxfId="2735" priority="2737" operator="lessThan">
      <formula>0.8</formula>
    </cfRule>
  </conditionalFormatting>
  <conditionalFormatting sqref="P31">
    <cfRule type="cellIs" dxfId="2734" priority="2735" operator="greaterThan">
      <formula>0</formula>
    </cfRule>
  </conditionalFormatting>
  <conditionalFormatting sqref="Q31">
    <cfRule type="cellIs" dxfId="2733" priority="2734" operator="lessThan">
      <formula>0</formula>
    </cfRule>
  </conditionalFormatting>
  <conditionalFormatting sqref="R31">
    <cfRule type="cellIs" dxfId="2732" priority="2732" operator="lessThan">
      <formula>0.8</formula>
    </cfRule>
    <cfRule type="cellIs" dxfId="2731" priority="2733" operator="greaterThan">
      <formula>1</formula>
    </cfRule>
  </conditionalFormatting>
  <conditionalFormatting sqref="R31">
    <cfRule type="cellIs" dxfId="2730" priority="2730" operator="greaterThan">
      <formula>1</formula>
    </cfRule>
    <cfRule type="cellIs" dxfId="2729" priority="2731" operator="lessThan">
      <formula>0.8</formula>
    </cfRule>
  </conditionalFormatting>
  <conditionalFormatting sqref="P31">
    <cfRule type="cellIs" dxfId="2728" priority="2729" operator="greaterThan">
      <formula>0</formula>
    </cfRule>
  </conditionalFormatting>
  <conditionalFormatting sqref="Q31">
    <cfRule type="cellIs" dxfId="2727" priority="2728" operator="lessThan">
      <formula>0</formula>
    </cfRule>
  </conditionalFormatting>
  <conditionalFormatting sqref="R31">
    <cfRule type="cellIs" dxfId="2726" priority="2726" operator="lessThan">
      <formula>0.8</formula>
    </cfRule>
    <cfRule type="cellIs" dxfId="2725" priority="2727" operator="greaterThan">
      <formula>1</formula>
    </cfRule>
  </conditionalFormatting>
  <conditionalFormatting sqref="R31">
    <cfRule type="cellIs" dxfId="2724" priority="2724" operator="greaterThan">
      <formula>1</formula>
    </cfRule>
    <cfRule type="cellIs" dxfId="2723" priority="2725" operator="lessThan">
      <formula>0.8</formula>
    </cfRule>
  </conditionalFormatting>
  <conditionalFormatting sqref="P31">
    <cfRule type="cellIs" dxfId="2722" priority="2723" operator="greaterThan">
      <formula>0</formula>
    </cfRule>
  </conditionalFormatting>
  <conditionalFormatting sqref="Q31">
    <cfRule type="cellIs" dxfId="2721" priority="2722" operator="lessThan">
      <formula>0</formula>
    </cfRule>
  </conditionalFormatting>
  <conditionalFormatting sqref="R31">
    <cfRule type="cellIs" dxfId="2720" priority="2720" operator="lessThan">
      <formula>0.8</formula>
    </cfRule>
    <cfRule type="cellIs" dxfId="2719" priority="2721" operator="greaterThan">
      <formula>1</formula>
    </cfRule>
  </conditionalFormatting>
  <conditionalFormatting sqref="R31">
    <cfRule type="cellIs" dxfId="2718" priority="2718" operator="greaterThan">
      <formula>1</formula>
    </cfRule>
    <cfRule type="cellIs" dxfId="2717" priority="2719" operator="lessThan">
      <formula>0.8</formula>
    </cfRule>
  </conditionalFormatting>
  <conditionalFormatting sqref="P31">
    <cfRule type="cellIs" dxfId="2716" priority="2717" operator="greaterThan">
      <formula>0</formula>
    </cfRule>
  </conditionalFormatting>
  <conditionalFormatting sqref="P31">
    <cfRule type="cellIs" dxfId="2715" priority="2711" operator="greaterThan">
      <formula>0</formula>
    </cfRule>
  </conditionalFormatting>
  <conditionalFormatting sqref="Q31">
    <cfRule type="cellIs" dxfId="2714" priority="2716" operator="lessThan">
      <formula>0</formula>
    </cfRule>
  </conditionalFormatting>
  <conditionalFormatting sqref="R31">
    <cfRule type="cellIs" dxfId="2713" priority="2714" operator="lessThan">
      <formula>0.8</formula>
    </cfRule>
    <cfRule type="cellIs" dxfId="2712" priority="2715" operator="greaterThan">
      <formula>1</formula>
    </cfRule>
  </conditionalFormatting>
  <conditionalFormatting sqref="R31">
    <cfRule type="cellIs" dxfId="2711" priority="2712" operator="greaterThan">
      <formula>1</formula>
    </cfRule>
    <cfRule type="cellIs" dxfId="2710" priority="2713" operator="lessThan">
      <formula>0.8</formula>
    </cfRule>
  </conditionalFormatting>
  <conditionalFormatting sqref="P31">
    <cfRule type="cellIs" dxfId="2709" priority="2705" operator="greaterThan">
      <formula>0</formula>
    </cfRule>
  </conditionalFormatting>
  <conditionalFormatting sqref="Q31">
    <cfRule type="cellIs" dxfId="2708" priority="2710" operator="lessThan">
      <formula>0</formula>
    </cfRule>
  </conditionalFormatting>
  <conditionalFormatting sqref="R31">
    <cfRule type="cellIs" dxfId="2707" priority="2708" operator="lessThan">
      <formula>0.8</formula>
    </cfRule>
    <cfRule type="cellIs" dxfId="2706" priority="2709" operator="greaterThan">
      <formula>1</formula>
    </cfRule>
  </conditionalFormatting>
  <conditionalFormatting sqref="R31">
    <cfRule type="cellIs" dxfId="2705" priority="2706" operator="greaterThan">
      <formula>1</formula>
    </cfRule>
    <cfRule type="cellIs" dxfId="2704" priority="2707" operator="lessThan">
      <formula>0.8</formula>
    </cfRule>
  </conditionalFormatting>
  <conditionalFormatting sqref="R31">
    <cfRule type="cellIs" dxfId="2703" priority="2702" operator="lessThan">
      <formula>0.8</formula>
    </cfRule>
    <cfRule type="cellIs" dxfId="2702" priority="2703" operator="greaterThan">
      <formula>1</formula>
    </cfRule>
  </conditionalFormatting>
  <conditionalFormatting sqref="R31">
    <cfRule type="cellIs" dxfId="2701" priority="2700" operator="greaterThan">
      <formula>1</formula>
    </cfRule>
    <cfRule type="cellIs" dxfId="2700" priority="2701" operator="lessThan">
      <formula>0.8</formula>
    </cfRule>
  </conditionalFormatting>
  <conditionalFormatting sqref="P31">
    <cfRule type="cellIs" dxfId="2699" priority="2699" operator="greaterThan">
      <formula>0</formula>
    </cfRule>
  </conditionalFormatting>
  <conditionalFormatting sqref="Q31">
    <cfRule type="cellIs" dxfId="2698" priority="2704" operator="lessThan">
      <formula>0</formula>
    </cfRule>
  </conditionalFormatting>
  <conditionalFormatting sqref="Q31">
    <cfRule type="cellIs" dxfId="2697" priority="2698" operator="lessThan">
      <formula>0</formula>
    </cfRule>
  </conditionalFormatting>
  <conditionalFormatting sqref="R31">
    <cfRule type="cellIs" dxfId="2696" priority="2696" operator="lessThan">
      <formula>0.8</formula>
    </cfRule>
    <cfRule type="cellIs" dxfId="2695" priority="2697" operator="greaterThan">
      <formula>1</formula>
    </cfRule>
  </conditionalFormatting>
  <conditionalFormatting sqref="R31">
    <cfRule type="cellIs" dxfId="2694" priority="2694" operator="greaterThan">
      <formula>1</formula>
    </cfRule>
    <cfRule type="cellIs" dxfId="2693" priority="2695" operator="lessThan">
      <formula>0.8</formula>
    </cfRule>
  </conditionalFormatting>
  <conditionalFormatting sqref="P31">
    <cfRule type="cellIs" dxfId="2692" priority="2693" operator="greaterThan">
      <formula>0</formula>
    </cfRule>
  </conditionalFormatting>
  <conditionalFormatting sqref="Q31">
    <cfRule type="cellIs" dxfId="2691" priority="2692" operator="lessThan">
      <formula>0</formula>
    </cfRule>
  </conditionalFormatting>
  <conditionalFormatting sqref="R31">
    <cfRule type="cellIs" dxfId="2690" priority="2690" operator="lessThan">
      <formula>0.8</formula>
    </cfRule>
    <cfRule type="cellIs" dxfId="2689" priority="2691" operator="greaterThan">
      <formula>1</formula>
    </cfRule>
  </conditionalFormatting>
  <conditionalFormatting sqref="R31">
    <cfRule type="cellIs" dxfId="2688" priority="2688" operator="greaterThan">
      <formula>1</formula>
    </cfRule>
    <cfRule type="cellIs" dxfId="2687" priority="2689" operator="lessThan">
      <formula>0.8</formula>
    </cfRule>
  </conditionalFormatting>
  <conditionalFormatting sqref="P31">
    <cfRule type="cellIs" dxfId="2686" priority="2687" operator="greaterThan">
      <formula>0</formula>
    </cfRule>
  </conditionalFormatting>
  <conditionalFormatting sqref="Q31">
    <cfRule type="cellIs" dxfId="2685" priority="2686" operator="lessThan">
      <formula>0</formula>
    </cfRule>
  </conditionalFormatting>
  <conditionalFormatting sqref="R31">
    <cfRule type="cellIs" dxfId="2684" priority="2684" operator="lessThan">
      <formula>0.8</formula>
    </cfRule>
    <cfRule type="cellIs" dxfId="2683" priority="2685" operator="greaterThan">
      <formula>1</formula>
    </cfRule>
  </conditionalFormatting>
  <conditionalFormatting sqref="R31">
    <cfRule type="cellIs" dxfId="2682" priority="2682" operator="greaterThan">
      <formula>1</formula>
    </cfRule>
    <cfRule type="cellIs" dxfId="2681" priority="2683" operator="lessThan">
      <formula>0.8</formula>
    </cfRule>
  </conditionalFormatting>
  <conditionalFormatting sqref="P31">
    <cfRule type="cellIs" dxfId="2680" priority="2681" operator="greaterThan">
      <formula>0</formula>
    </cfRule>
  </conditionalFormatting>
  <conditionalFormatting sqref="Q31">
    <cfRule type="cellIs" dxfId="2679" priority="2680" operator="lessThan">
      <formula>0</formula>
    </cfRule>
  </conditionalFormatting>
  <conditionalFormatting sqref="R31">
    <cfRule type="cellIs" dxfId="2678" priority="2678" operator="lessThan">
      <formula>0.8</formula>
    </cfRule>
    <cfRule type="cellIs" dxfId="2677" priority="2679" operator="greaterThan">
      <formula>1</formula>
    </cfRule>
  </conditionalFormatting>
  <conditionalFormatting sqref="R31">
    <cfRule type="cellIs" dxfId="2676" priority="2676" operator="greaterThan">
      <formula>1</formula>
    </cfRule>
    <cfRule type="cellIs" dxfId="2675" priority="2677" operator="lessThan">
      <formula>0.8</formula>
    </cfRule>
  </conditionalFormatting>
  <conditionalFormatting sqref="P31">
    <cfRule type="cellIs" dxfId="2674" priority="2675" operator="greaterThan">
      <formula>0</formula>
    </cfRule>
  </conditionalFormatting>
  <conditionalFormatting sqref="P31">
    <cfRule type="cellIs" dxfId="2673" priority="2669" operator="greaterThan">
      <formula>0</formula>
    </cfRule>
  </conditionalFormatting>
  <conditionalFormatting sqref="Q31">
    <cfRule type="cellIs" dxfId="2672" priority="2674" operator="lessThan">
      <formula>0</formula>
    </cfRule>
  </conditionalFormatting>
  <conditionalFormatting sqref="R31">
    <cfRule type="cellIs" dxfId="2671" priority="2672" operator="lessThan">
      <formula>0.8</formula>
    </cfRule>
    <cfRule type="cellIs" dxfId="2670" priority="2673" operator="greaterThan">
      <formula>1</formula>
    </cfRule>
  </conditionalFormatting>
  <conditionalFormatting sqref="R31">
    <cfRule type="cellIs" dxfId="2669" priority="2670" operator="greaterThan">
      <formula>1</formula>
    </cfRule>
    <cfRule type="cellIs" dxfId="2668" priority="2671" operator="lessThan">
      <formula>0.8</formula>
    </cfRule>
  </conditionalFormatting>
  <conditionalFormatting sqref="P31">
    <cfRule type="cellIs" dxfId="2667" priority="2663" operator="greaterThan">
      <formula>0</formula>
    </cfRule>
  </conditionalFormatting>
  <conditionalFormatting sqref="Q31">
    <cfRule type="cellIs" dxfId="2666" priority="2668" operator="lessThan">
      <formula>0</formula>
    </cfRule>
  </conditionalFormatting>
  <conditionalFormatting sqref="R31">
    <cfRule type="cellIs" dxfId="2665" priority="2666" operator="lessThan">
      <formula>0.8</formula>
    </cfRule>
    <cfRule type="cellIs" dxfId="2664" priority="2667" operator="greaterThan">
      <formula>1</formula>
    </cfRule>
  </conditionalFormatting>
  <conditionalFormatting sqref="R31">
    <cfRule type="cellIs" dxfId="2663" priority="2664" operator="greaterThan">
      <formula>1</formula>
    </cfRule>
    <cfRule type="cellIs" dxfId="2662" priority="2665" operator="lessThan">
      <formula>0.8</formula>
    </cfRule>
  </conditionalFormatting>
  <conditionalFormatting sqref="R31">
    <cfRule type="cellIs" dxfId="2661" priority="2660" operator="lessThan">
      <formula>0.8</formula>
    </cfRule>
    <cfRule type="cellIs" dxfId="2660" priority="2661" operator="greaterThan">
      <formula>1</formula>
    </cfRule>
  </conditionalFormatting>
  <conditionalFormatting sqref="R31">
    <cfRule type="cellIs" dxfId="2659" priority="2658" operator="greaterThan">
      <formula>1</formula>
    </cfRule>
    <cfRule type="cellIs" dxfId="2658" priority="2659" operator="lessThan">
      <formula>0.8</formula>
    </cfRule>
  </conditionalFormatting>
  <conditionalFormatting sqref="P31">
    <cfRule type="cellIs" dxfId="2657" priority="2657" operator="greaterThan">
      <formula>0</formula>
    </cfRule>
  </conditionalFormatting>
  <conditionalFormatting sqref="Q31">
    <cfRule type="cellIs" dxfId="2656" priority="2662" operator="lessThan">
      <formula>0</formula>
    </cfRule>
  </conditionalFormatting>
  <conditionalFormatting sqref="Q31">
    <cfRule type="cellIs" dxfId="2655" priority="2656" operator="lessThan">
      <formula>0</formula>
    </cfRule>
  </conditionalFormatting>
  <conditionalFormatting sqref="R31">
    <cfRule type="cellIs" dxfId="2654" priority="2654" operator="lessThan">
      <formula>0.8</formula>
    </cfRule>
    <cfRule type="cellIs" dxfId="2653" priority="2655" operator="greaterThan">
      <formula>1</formula>
    </cfRule>
  </conditionalFormatting>
  <conditionalFormatting sqref="R31">
    <cfRule type="cellIs" dxfId="2652" priority="2652" operator="greaterThan">
      <formula>1</formula>
    </cfRule>
    <cfRule type="cellIs" dxfId="2651" priority="2653" operator="lessThan">
      <formula>0.8</formula>
    </cfRule>
  </conditionalFormatting>
  <conditionalFormatting sqref="P31">
    <cfRule type="cellIs" dxfId="2650" priority="2651" operator="greaterThan">
      <formula>0</formula>
    </cfRule>
  </conditionalFormatting>
  <conditionalFormatting sqref="P31">
    <cfRule type="cellIs" dxfId="2649" priority="2645" operator="greaterThan">
      <formula>0</formula>
    </cfRule>
  </conditionalFormatting>
  <conditionalFormatting sqref="Q31">
    <cfRule type="cellIs" dxfId="2648" priority="2650" operator="lessThan">
      <formula>0</formula>
    </cfRule>
  </conditionalFormatting>
  <conditionalFormatting sqref="R31">
    <cfRule type="cellIs" dxfId="2647" priority="2648" operator="lessThan">
      <formula>0.8</formula>
    </cfRule>
    <cfRule type="cellIs" dxfId="2646" priority="2649" operator="greaterThan">
      <formula>1</formula>
    </cfRule>
  </conditionalFormatting>
  <conditionalFormatting sqref="R31">
    <cfRule type="cellIs" dxfId="2645" priority="2646" operator="greaterThan">
      <formula>1</formula>
    </cfRule>
    <cfRule type="cellIs" dxfId="2644" priority="2647" operator="lessThan">
      <formula>0.8</formula>
    </cfRule>
  </conditionalFormatting>
  <conditionalFormatting sqref="P31">
    <cfRule type="cellIs" dxfId="2643" priority="2639" operator="greaterThan">
      <formula>0</formula>
    </cfRule>
  </conditionalFormatting>
  <conditionalFormatting sqref="Q31">
    <cfRule type="cellIs" dxfId="2642" priority="2644" operator="lessThan">
      <formula>0</formula>
    </cfRule>
  </conditionalFormatting>
  <conditionalFormatting sqref="R31">
    <cfRule type="cellIs" dxfId="2641" priority="2642" operator="lessThan">
      <formula>0.8</formula>
    </cfRule>
    <cfRule type="cellIs" dxfId="2640" priority="2643" operator="greaterThan">
      <formula>1</formula>
    </cfRule>
  </conditionalFormatting>
  <conditionalFormatting sqref="R31">
    <cfRule type="cellIs" dxfId="2639" priority="2640" operator="greaterThan">
      <formula>1</formula>
    </cfRule>
    <cfRule type="cellIs" dxfId="2638" priority="2641" operator="lessThan">
      <formula>0.8</formula>
    </cfRule>
  </conditionalFormatting>
  <conditionalFormatting sqref="R31">
    <cfRule type="cellIs" dxfId="2637" priority="2636" operator="lessThan">
      <formula>0.8</formula>
    </cfRule>
    <cfRule type="cellIs" dxfId="2636" priority="2637" operator="greaterThan">
      <formula>1</formula>
    </cfRule>
  </conditionalFormatting>
  <conditionalFormatting sqref="R31">
    <cfRule type="cellIs" dxfId="2635" priority="2634" operator="greaterThan">
      <formula>1</formula>
    </cfRule>
    <cfRule type="cellIs" dxfId="2634" priority="2635" operator="lessThan">
      <formula>0.8</formula>
    </cfRule>
  </conditionalFormatting>
  <conditionalFormatting sqref="P31">
    <cfRule type="cellIs" dxfId="2633" priority="2633" operator="greaterThan">
      <formula>0</formula>
    </cfRule>
  </conditionalFormatting>
  <conditionalFormatting sqref="Q31">
    <cfRule type="cellIs" dxfId="2632" priority="2638" operator="lessThan">
      <formula>0</formula>
    </cfRule>
  </conditionalFormatting>
  <conditionalFormatting sqref="P31">
    <cfRule type="cellIs" dxfId="2631" priority="2627" operator="greaterThan">
      <formula>0</formula>
    </cfRule>
  </conditionalFormatting>
  <conditionalFormatting sqref="Q31">
    <cfRule type="cellIs" dxfId="2630" priority="2632" operator="lessThan">
      <formula>0</formula>
    </cfRule>
  </conditionalFormatting>
  <conditionalFormatting sqref="R31">
    <cfRule type="cellIs" dxfId="2629" priority="2630" operator="lessThan">
      <formula>0.8</formula>
    </cfRule>
    <cfRule type="cellIs" dxfId="2628" priority="2631" operator="greaterThan">
      <formula>1</formula>
    </cfRule>
  </conditionalFormatting>
  <conditionalFormatting sqref="R31">
    <cfRule type="cellIs" dxfId="2627" priority="2628" operator="greaterThan">
      <formula>1</formula>
    </cfRule>
    <cfRule type="cellIs" dxfId="2626" priority="2629" operator="lessThan">
      <formula>0.8</formula>
    </cfRule>
  </conditionalFormatting>
  <conditionalFormatting sqref="R31">
    <cfRule type="cellIs" dxfId="2625" priority="2624" operator="lessThan">
      <formula>0.8</formula>
    </cfRule>
    <cfRule type="cellIs" dxfId="2624" priority="2625" operator="greaterThan">
      <formula>1</formula>
    </cfRule>
  </conditionalFormatting>
  <conditionalFormatting sqref="R31">
    <cfRule type="cellIs" dxfId="2623" priority="2622" operator="greaterThan">
      <formula>1</formula>
    </cfRule>
    <cfRule type="cellIs" dxfId="2622" priority="2623" operator="lessThan">
      <formula>0.8</formula>
    </cfRule>
  </conditionalFormatting>
  <conditionalFormatting sqref="P31">
    <cfRule type="cellIs" dxfId="2621" priority="2621" operator="greaterThan">
      <formula>0</formula>
    </cfRule>
  </conditionalFormatting>
  <conditionalFormatting sqref="Q31">
    <cfRule type="cellIs" dxfId="2620" priority="2626" operator="lessThan">
      <formula>0</formula>
    </cfRule>
  </conditionalFormatting>
  <conditionalFormatting sqref="R31">
    <cfRule type="cellIs" dxfId="2619" priority="2618" operator="lessThan">
      <formula>0.8</formula>
    </cfRule>
    <cfRule type="cellIs" dxfId="2618" priority="2619" operator="greaterThan">
      <formula>1</formula>
    </cfRule>
  </conditionalFormatting>
  <conditionalFormatting sqref="R31">
    <cfRule type="cellIs" dxfId="2617" priority="2616" operator="greaterThan">
      <formula>1</formula>
    </cfRule>
    <cfRule type="cellIs" dxfId="2616" priority="2617" operator="lessThan">
      <formula>0.8</formula>
    </cfRule>
  </conditionalFormatting>
  <conditionalFormatting sqref="P31">
    <cfRule type="cellIs" dxfId="2615" priority="2615" operator="greaterThan">
      <formula>0</formula>
    </cfRule>
  </conditionalFormatting>
  <conditionalFormatting sqref="Q31">
    <cfRule type="cellIs" dxfId="2614" priority="2620" operator="lessThan">
      <formula>0</formula>
    </cfRule>
  </conditionalFormatting>
  <conditionalFormatting sqref="Q31">
    <cfRule type="cellIs" dxfId="2613" priority="2614" operator="lessThan">
      <formula>0</formula>
    </cfRule>
  </conditionalFormatting>
  <conditionalFormatting sqref="R31">
    <cfRule type="cellIs" dxfId="2612" priority="2612" operator="lessThan">
      <formula>0.8</formula>
    </cfRule>
    <cfRule type="cellIs" dxfId="2611" priority="2613" operator="greaterThan">
      <formula>1</formula>
    </cfRule>
  </conditionalFormatting>
  <conditionalFormatting sqref="R31">
    <cfRule type="cellIs" dxfId="2610" priority="2610" operator="greaterThan">
      <formula>1</formula>
    </cfRule>
    <cfRule type="cellIs" dxfId="2609" priority="2611" operator="lessThan">
      <formula>0.8</formula>
    </cfRule>
  </conditionalFormatting>
  <conditionalFormatting sqref="P31">
    <cfRule type="cellIs" dxfId="2608" priority="2609" operator="greaterThan">
      <formula>0</formula>
    </cfRule>
  </conditionalFormatting>
  <conditionalFormatting sqref="Q31">
    <cfRule type="cellIs" dxfId="2607" priority="2603" operator="lessThan">
      <formula>0</formula>
    </cfRule>
  </conditionalFormatting>
  <conditionalFormatting sqref="R31">
    <cfRule type="cellIs" dxfId="2606" priority="2607" operator="lessThan">
      <formula>0.8</formula>
    </cfRule>
    <cfRule type="cellIs" dxfId="2605" priority="2608" operator="greaterThan">
      <formula>1</formula>
    </cfRule>
  </conditionalFormatting>
  <conditionalFormatting sqref="R31">
    <cfRule type="cellIs" dxfId="2604" priority="2605" operator="greaterThan">
      <formula>1</formula>
    </cfRule>
    <cfRule type="cellIs" dxfId="2603" priority="2606" operator="lessThan">
      <formula>0.8</formula>
    </cfRule>
  </conditionalFormatting>
  <conditionalFormatting sqref="P31">
    <cfRule type="cellIs" dxfId="2602" priority="2604" operator="greaterThan">
      <formula>0</formula>
    </cfRule>
  </conditionalFormatting>
  <conditionalFormatting sqref="Q31">
    <cfRule type="cellIs" dxfId="2601" priority="2602" operator="lessThan">
      <formula>0</formula>
    </cfRule>
  </conditionalFormatting>
  <conditionalFormatting sqref="R31">
    <cfRule type="cellIs" dxfId="2600" priority="2600" operator="lessThan">
      <formula>0.8</formula>
    </cfRule>
    <cfRule type="cellIs" dxfId="2599" priority="2601" operator="greaterThan">
      <formula>1</formula>
    </cfRule>
  </conditionalFormatting>
  <conditionalFormatting sqref="R31">
    <cfRule type="cellIs" dxfId="2598" priority="2598" operator="greaterThan">
      <formula>1</formula>
    </cfRule>
    <cfRule type="cellIs" dxfId="2597" priority="2599" operator="lessThan">
      <formula>0.8</formula>
    </cfRule>
  </conditionalFormatting>
  <conditionalFormatting sqref="P31">
    <cfRule type="cellIs" dxfId="2596" priority="2597" operator="greaterThan">
      <formula>0</formula>
    </cfRule>
  </conditionalFormatting>
  <conditionalFormatting sqref="Q31">
    <cfRule type="cellIs" dxfId="2595" priority="2596" operator="lessThan">
      <formula>0</formula>
    </cfRule>
  </conditionalFormatting>
  <conditionalFormatting sqref="R31">
    <cfRule type="cellIs" dxfId="2594" priority="2594" operator="lessThan">
      <formula>0.8</formula>
    </cfRule>
    <cfRule type="cellIs" dxfId="2593" priority="2595" operator="greaterThan">
      <formula>1</formula>
    </cfRule>
  </conditionalFormatting>
  <conditionalFormatting sqref="R31">
    <cfRule type="cellIs" dxfId="2592" priority="2592" operator="greaterThan">
      <formula>1</formula>
    </cfRule>
    <cfRule type="cellIs" dxfId="2591" priority="2593" operator="lessThan">
      <formula>0.8</formula>
    </cfRule>
  </conditionalFormatting>
  <conditionalFormatting sqref="P31">
    <cfRule type="cellIs" dxfId="2590" priority="2591" operator="greaterThan">
      <formula>0</formula>
    </cfRule>
  </conditionalFormatting>
  <conditionalFormatting sqref="Q31">
    <cfRule type="cellIs" dxfId="2589" priority="2590" operator="lessThan">
      <formula>0</formula>
    </cfRule>
  </conditionalFormatting>
  <conditionalFormatting sqref="R31">
    <cfRule type="cellIs" dxfId="2588" priority="2588" operator="lessThan">
      <formula>0.8</formula>
    </cfRule>
    <cfRule type="cellIs" dxfId="2587" priority="2589" operator="greaterThan">
      <formula>1</formula>
    </cfRule>
  </conditionalFormatting>
  <conditionalFormatting sqref="R31">
    <cfRule type="cellIs" dxfId="2586" priority="2586" operator="greaterThan">
      <formula>1</formula>
    </cfRule>
    <cfRule type="cellIs" dxfId="2585" priority="2587" operator="lessThan">
      <formula>0.8</formula>
    </cfRule>
  </conditionalFormatting>
  <conditionalFormatting sqref="P31">
    <cfRule type="cellIs" dxfId="2584" priority="2585" operator="greaterThan">
      <formula>0</formula>
    </cfRule>
  </conditionalFormatting>
  <conditionalFormatting sqref="Q31">
    <cfRule type="cellIs" dxfId="2583" priority="2584" operator="lessThan">
      <formula>0</formula>
    </cfRule>
  </conditionalFormatting>
  <conditionalFormatting sqref="R31">
    <cfRule type="cellIs" dxfId="2582" priority="2582" operator="lessThan">
      <formula>0.8</formula>
    </cfRule>
    <cfRule type="cellIs" dxfId="2581" priority="2583" operator="greaterThan">
      <formula>1</formula>
    </cfRule>
  </conditionalFormatting>
  <conditionalFormatting sqref="R31">
    <cfRule type="cellIs" dxfId="2580" priority="2580" operator="greaterThan">
      <formula>1</formula>
    </cfRule>
    <cfRule type="cellIs" dxfId="2579" priority="2581" operator="lessThan">
      <formula>0.8</formula>
    </cfRule>
  </conditionalFormatting>
  <conditionalFormatting sqref="P31">
    <cfRule type="cellIs" dxfId="2578" priority="2579" operator="greaterThan">
      <formula>0</formula>
    </cfRule>
  </conditionalFormatting>
  <conditionalFormatting sqref="Q31">
    <cfRule type="cellIs" dxfId="2577" priority="2578" operator="lessThan">
      <formula>0</formula>
    </cfRule>
  </conditionalFormatting>
  <conditionalFormatting sqref="R31">
    <cfRule type="cellIs" dxfId="2576" priority="2576" operator="lessThan">
      <formula>0.8</formula>
    </cfRule>
    <cfRule type="cellIs" dxfId="2575" priority="2577" operator="greaterThan">
      <formula>1</formula>
    </cfRule>
  </conditionalFormatting>
  <conditionalFormatting sqref="R31">
    <cfRule type="cellIs" dxfId="2574" priority="2574" operator="greaterThan">
      <formula>1</formula>
    </cfRule>
    <cfRule type="cellIs" dxfId="2573" priority="2575" operator="lessThan">
      <formula>0.8</formula>
    </cfRule>
  </conditionalFormatting>
  <conditionalFormatting sqref="P31">
    <cfRule type="cellIs" dxfId="2572" priority="2573" operator="greaterThan">
      <formula>0</formula>
    </cfRule>
  </conditionalFormatting>
  <conditionalFormatting sqref="P31">
    <cfRule type="cellIs" dxfId="2571" priority="2567" operator="greaterThan">
      <formula>0</formula>
    </cfRule>
  </conditionalFormatting>
  <conditionalFormatting sqref="Q31">
    <cfRule type="cellIs" dxfId="2570" priority="2572" operator="lessThan">
      <formula>0</formula>
    </cfRule>
  </conditionalFormatting>
  <conditionalFormatting sqref="R31">
    <cfRule type="cellIs" dxfId="2569" priority="2570" operator="lessThan">
      <formula>0.8</formula>
    </cfRule>
    <cfRule type="cellIs" dxfId="2568" priority="2571" operator="greaterThan">
      <formula>1</formula>
    </cfRule>
  </conditionalFormatting>
  <conditionalFormatting sqref="R31">
    <cfRule type="cellIs" dxfId="2567" priority="2568" operator="greaterThan">
      <formula>1</formula>
    </cfRule>
    <cfRule type="cellIs" dxfId="2566" priority="2569" operator="lessThan">
      <formula>0.8</formula>
    </cfRule>
  </conditionalFormatting>
  <conditionalFormatting sqref="P31">
    <cfRule type="cellIs" dxfId="2565" priority="2561" operator="greaterThan">
      <formula>0</formula>
    </cfRule>
  </conditionalFormatting>
  <conditionalFormatting sqref="Q31">
    <cfRule type="cellIs" dxfId="2564" priority="2566" operator="lessThan">
      <formula>0</formula>
    </cfRule>
  </conditionalFormatting>
  <conditionalFormatting sqref="R31">
    <cfRule type="cellIs" dxfId="2563" priority="2564" operator="lessThan">
      <formula>0.8</formula>
    </cfRule>
    <cfRule type="cellIs" dxfId="2562" priority="2565" operator="greaterThan">
      <formula>1</formula>
    </cfRule>
  </conditionalFormatting>
  <conditionalFormatting sqref="R31">
    <cfRule type="cellIs" dxfId="2561" priority="2562" operator="greaterThan">
      <formula>1</formula>
    </cfRule>
    <cfRule type="cellIs" dxfId="2560" priority="2563" operator="lessThan">
      <formula>0.8</formula>
    </cfRule>
  </conditionalFormatting>
  <conditionalFormatting sqref="R31">
    <cfRule type="cellIs" dxfId="2559" priority="2558" operator="lessThan">
      <formula>0.8</formula>
    </cfRule>
    <cfRule type="cellIs" dxfId="2558" priority="2559" operator="greaterThan">
      <formula>1</formula>
    </cfRule>
  </conditionalFormatting>
  <conditionalFormatting sqref="R31">
    <cfRule type="cellIs" dxfId="2557" priority="2556" operator="greaterThan">
      <formula>1</formula>
    </cfRule>
    <cfRule type="cellIs" dxfId="2556" priority="2557" operator="lessThan">
      <formula>0.8</formula>
    </cfRule>
  </conditionalFormatting>
  <conditionalFormatting sqref="P31">
    <cfRule type="cellIs" dxfId="2555" priority="2555" operator="greaterThan">
      <formula>0</formula>
    </cfRule>
  </conditionalFormatting>
  <conditionalFormatting sqref="Q31">
    <cfRule type="cellIs" dxfId="2554" priority="2560" operator="lessThan">
      <formula>0</formula>
    </cfRule>
  </conditionalFormatting>
  <conditionalFormatting sqref="P79">
    <cfRule type="cellIs" dxfId="2553" priority="2549" operator="greaterThan">
      <formula>0</formula>
    </cfRule>
  </conditionalFormatting>
  <conditionalFormatting sqref="Q79">
    <cfRule type="cellIs" dxfId="2552" priority="2554" operator="lessThan">
      <formula>0</formula>
    </cfRule>
  </conditionalFormatting>
  <conditionalFormatting sqref="R79">
    <cfRule type="cellIs" dxfId="2551" priority="2552" operator="lessThan">
      <formula>0.8</formula>
    </cfRule>
    <cfRule type="cellIs" dxfId="2550" priority="2553" operator="greaterThan">
      <formula>1</formula>
    </cfRule>
  </conditionalFormatting>
  <conditionalFormatting sqref="R79">
    <cfRule type="cellIs" dxfId="2549" priority="2550" operator="greaterThan">
      <formula>1</formula>
    </cfRule>
    <cfRule type="cellIs" dxfId="2548" priority="2551" operator="lessThan">
      <formula>0.8</formula>
    </cfRule>
  </conditionalFormatting>
  <conditionalFormatting sqref="Q79">
    <cfRule type="cellIs" dxfId="2547" priority="2548" operator="lessThan">
      <formula>0</formula>
    </cfRule>
  </conditionalFormatting>
  <conditionalFormatting sqref="R79">
    <cfRule type="cellIs" dxfId="2546" priority="2546" operator="lessThan">
      <formula>0.8</formula>
    </cfRule>
    <cfRule type="cellIs" dxfId="2545" priority="2547" operator="greaterThan">
      <formula>1</formula>
    </cfRule>
  </conditionalFormatting>
  <conditionalFormatting sqref="R79">
    <cfRule type="cellIs" dxfId="2544" priority="2544" operator="greaterThan">
      <formula>1</formula>
    </cfRule>
    <cfRule type="cellIs" dxfId="2543" priority="2545" operator="lessThan">
      <formula>0.8</formula>
    </cfRule>
  </conditionalFormatting>
  <conditionalFormatting sqref="P79">
    <cfRule type="cellIs" dxfId="2542" priority="2543" operator="greaterThan">
      <formula>0</formula>
    </cfRule>
  </conditionalFormatting>
  <conditionalFormatting sqref="P79">
    <cfRule type="cellIs" dxfId="2541" priority="2537" operator="greaterThan">
      <formula>0</formula>
    </cfRule>
  </conditionalFormatting>
  <conditionalFormatting sqref="Q79">
    <cfRule type="cellIs" dxfId="2540" priority="2542" operator="lessThan">
      <formula>0</formula>
    </cfRule>
  </conditionalFormatting>
  <conditionalFormatting sqref="R79">
    <cfRule type="cellIs" dxfId="2539" priority="2540" operator="lessThan">
      <formula>0.8</formula>
    </cfRule>
    <cfRule type="cellIs" dxfId="2538" priority="2541" operator="greaterThan">
      <formula>1</formula>
    </cfRule>
  </conditionalFormatting>
  <conditionalFormatting sqref="R79">
    <cfRule type="cellIs" dxfId="2537" priority="2538" operator="greaterThan">
      <formula>1</formula>
    </cfRule>
    <cfRule type="cellIs" dxfId="2536" priority="2539" operator="lessThan">
      <formula>0.8</formula>
    </cfRule>
  </conditionalFormatting>
  <conditionalFormatting sqref="Q79">
    <cfRule type="cellIs" dxfId="2535" priority="2531" operator="lessThan">
      <formula>0</formula>
    </cfRule>
  </conditionalFormatting>
  <conditionalFormatting sqref="P79">
    <cfRule type="cellIs" dxfId="2534" priority="2532" operator="greaterThan">
      <formula>0</formula>
    </cfRule>
  </conditionalFormatting>
  <conditionalFormatting sqref="R79">
    <cfRule type="cellIs" dxfId="2533" priority="2535" operator="lessThan">
      <formula>0.8</formula>
    </cfRule>
    <cfRule type="cellIs" dxfId="2532" priority="2536" operator="greaterThan">
      <formula>1</formula>
    </cfRule>
  </conditionalFormatting>
  <conditionalFormatting sqref="R79">
    <cfRule type="cellIs" dxfId="2531" priority="2533" operator="greaterThan">
      <formula>1</formula>
    </cfRule>
    <cfRule type="cellIs" dxfId="2530" priority="2534" operator="lessThan">
      <formula>0.8</formula>
    </cfRule>
  </conditionalFormatting>
  <conditionalFormatting sqref="Q79">
    <cfRule type="cellIs" dxfId="2529" priority="2525" operator="lessThan">
      <formula>0</formula>
    </cfRule>
  </conditionalFormatting>
  <conditionalFormatting sqref="R79">
    <cfRule type="cellIs" dxfId="2528" priority="2529" operator="lessThan">
      <formula>0.8</formula>
    </cfRule>
    <cfRule type="cellIs" dxfId="2527" priority="2530" operator="greaterThan">
      <formula>1</formula>
    </cfRule>
  </conditionalFormatting>
  <conditionalFormatting sqref="R79">
    <cfRule type="cellIs" dxfId="2526" priority="2527" operator="greaterThan">
      <formula>1</formula>
    </cfRule>
    <cfRule type="cellIs" dxfId="2525" priority="2528" operator="lessThan">
      <formula>0.8</formula>
    </cfRule>
  </conditionalFormatting>
  <conditionalFormatting sqref="P79">
    <cfRule type="cellIs" dxfId="2524" priority="2526" operator="greaterThan">
      <formula>0</formula>
    </cfRule>
  </conditionalFormatting>
  <conditionalFormatting sqref="Q79">
    <cfRule type="cellIs" dxfId="2523" priority="2524" operator="lessThan">
      <formula>0</formula>
    </cfRule>
  </conditionalFormatting>
  <conditionalFormatting sqref="R79">
    <cfRule type="cellIs" dxfId="2522" priority="2522" operator="lessThan">
      <formula>0.8</formula>
    </cfRule>
    <cfRule type="cellIs" dxfId="2521" priority="2523" operator="greaterThan">
      <formula>1</formula>
    </cfRule>
  </conditionalFormatting>
  <conditionalFormatting sqref="R79">
    <cfRule type="cellIs" dxfId="2520" priority="2520" operator="greaterThan">
      <formula>1</formula>
    </cfRule>
    <cfRule type="cellIs" dxfId="2519" priority="2521" operator="lessThan">
      <formula>0.8</formula>
    </cfRule>
  </conditionalFormatting>
  <conditionalFormatting sqref="P79">
    <cfRule type="cellIs" dxfId="2518" priority="2519" operator="greaterThan">
      <formula>0</formula>
    </cfRule>
  </conditionalFormatting>
  <conditionalFormatting sqref="Q79">
    <cfRule type="cellIs" dxfId="2517" priority="2518" operator="lessThan">
      <formula>0</formula>
    </cfRule>
  </conditionalFormatting>
  <conditionalFormatting sqref="R79">
    <cfRule type="cellIs" dxfId="2516" priority="2516" operator="lessThan">
      <formula>0.8</formula>
    </cfRule>
    <cfRule type="cellIs" dxfId="2515" priority="2517" operator="greaterThan">
      <formula>1</formula>
    </cfRule>
  </conditionalFormatting>
  <conditionalFormatting sqref="R79">
    <cfRule type="cellIs" dxfId="2514" priority="2514" operator="greaterThan">
      <formula>1</formula>
    </cfRule>
    <cfRule type="cellIs" dxfId="2513" priority="2515" operator="lessThan">
      <formula>0.8</formula>
    </cfRule>
  </conditionalFormatting>
  <conditionalFormatting sqref="P79">
    <cfRule type="cellIs" dxfId="2512" priority="2513" operator="greaterThan">
      <formula>0</formula>
    </cfRule>
  </conditionalFormatting>
  <conditionalFormatting sqref="P79">
    <cfRule type="cellIs" dxfId="2511" priority="2507" operator="greaterThan">
      <formula>0</formula>
    </cfRule>
  </conditionalFormatting>
  <conditionalFormatting sqref="Q79">
    <cfRule type="cellIs" dxfId="2510" priority="2512" operator="lessThan">
      <formula>0</formula>
    </cfRule>
  </conditionalFormatting>
  <conditionalFormatting sqref="R79">
    <cfRule type="cellIs" dxfId="2509" priority="2510" operator="lessThan">
      <formula>0.8</formula>
    </cfRule>
    <cfRule type="cellIs" dxfId="2508" priority="2511" operator="greaterThan">
      <formula>1</formula>
    </cfRule>
  </conditionalFormatting>
  <conditionalFormatting sqref="R79">
    <cfRule type="cellIs" dxfId="2507" priority="2508" operator="greaterThan">
      <formula>1</formula>
    </cfRule>
    <cfRule type="cellIs" dxfId="2506" priority="2509" operator="lessThan">
      <formula>0.8</formula>
    </cfRule>
  </conditionalFormatting>
  <conditionalFormatting sqref="P71:P78">
    <cfRule type="cellIs" dxfId="2505" priority="2501" operator="greaterThan">
      <formula>0</formula>
    </cfRule>
  </conditionalFormatting>
  <conditionalFormatting sqref="Q71:Q78">
    <cfRule type="cellIs" dxfId="2504" priority="2506" operator="lessThan">
      <formula>0</formula>
    </cfRule>
  </conditionalFormatting>
  <conditionalFormatting sqref="R71:R78">
    <cfRule type="cellIs" dxfId="2503" priority="2504" operator="lessThan">
      <formula>0.8</formula>
    </cfRule>
    <cfRule type="cellIs" dxfId="2502" priority="2505" operator="greaterThan">
      <formula>1</formula>
    </cfRule>
  </conditionalFormatting>
  <conditionalFormatting sqref="R71:R78">
    <cfRule type="cellIs" dxfId="2501" priority="2502" operator="greaterThan">
      <formula>1</formula>
    </cfRule>
    <cfRule type="cellIs" dxfId="2500" priority="2503" operator="lessThan">
      <formula>0.8</formula>
    </cfRule>
  </conditionalFormatting>
  <conditionalFormatting sqref="Q148:Q153">
    <cfRule type="cellIs" dxfId="2499" priority="2500" operator="lessThan">
      <formula>0</formula>
    </cfRule>
  </conditionalFormatting>
  <conditionalFormatting sqref="R148:R153">
    <cfRule type="cellIs" dxfId="2498" priority="2498" operator="lessThan">
      <formula>0.8</formula>
    </cfRule>
    <cfRule type="cellIs" dxfId="2497" priority="2499" operator="greaterThan">
      <formula>1</formula>
    </cfRule>
  </conditionalFormatting>
  <conditionalFormatting sqref="R148:R153">
    <cfRule type="cellIs" dxfId="2496" priority="2496" operator="greaterThan">
      <formula>1</formula>
    </cfRule>
    <cfRule type="cellIs" dxfId="2495" priority="2497" operator="lessThan">
      <formula>0.8</formula>
    </cfRule>
  </conditionalFormatting>
  <conditionalFormatting sqref="P148:P153">
    <cfRule type="cellIs" dxfId="2494" priority="2495" operator="greaterThan">
      <formula>0</formula>
    </cfRule>
  </conditionalFormatting>
  <conditionalFormatting sqref="Q148:Q153">
    <cfRule type="cellIs" dxfId="2493" priority="2494" operator="lessThan">
      <formula>0</formula>
    </cfRule>
  </conditionalFormatting>
  <conditionalFormatting sqref="R148:R153">
    <cfRule type="cellIs" dxfId="2492" priority="2492" operator="lessThan">
      <formula>0.8</formula>
    </cfRule>
    <cfRule type="cellIs" dxfId="2491" priority="2493" operator="greaterThan">
      <formula>1</formula>
    </cfRule>
  </conditionalFormatting>
  <conditionalFormatting sqref="R148:R153">
    <cfRule type="cellIs" dxfId="2490" priority="2490" operator="greaterThan">
      <formula>1</formula>
    </cfRule>
    <cfRule type="cellIs" dxfId="2489" priority="2491" operator="lessThan">
      <formula>0.8</formula>
    </cfRule>
  </conditionalFormatting>
  <conditionalFormatting sqref="P148:P153">
    <cfRule type="cellIs" dxfId="2488" priority="2489" operator="greaterThan">
      <formula>0</formula>
    </cfRule>
  </conditionalFormatting>
  <conditionalFormatting sqref="Q148:Q153">
    <cfRule type="cellIs" dxfId="2487" priority="2488" operator="lessThan">
      <formula>0</formula>
    </cfRule>
  </conditionalFormatting>
  <conditionalFormatting sqref="R148:R153">
    <cfRule type="cellIs" dxfId="2486" priority="2486" operator="lessThan">
      <formula>0.8</formula>
    </cfRule>
    <cfRule type="cellIs" dxfId="2485" priority="2487" operator="greaterThan">
      <formula>1</formula>
    </cfRule>
  </conditionalFormatting>
  <conditionalFormatting sqref="R148:R153">
    <cfRule type="cellIs" dxfId="2484" priority="2484" operator="greaterThan">
      <formula>1</formula>
    </cfRule>
    <cfRule type="cellIs" dxfId="2483" priority="2485" operator="lessThan">
      <formula>0.8</formula>
    </cfRule>
  </conditionalFormatting>
  <conditionalFormatting sqref="P148:P153">
    <cfRule type="cellIs" dxfId="2482" priority="2483" operator="greaterThan">
      <formula>0</formula>
    </cfRule>
  </conditionalFormatting>
  <conditionalFormatting sqref="Q148:Q153">
    <cfRule type="cellIs" dxfId="2481" priority="2482" operator="lessThan">
      <formula>0</formula>
    </cfRule>
  </conditionalFormatting>
  <conditionalFormatting sqref="R148:R153">
    <cfRule type="cellIs" dxfId="2480" priority="2480" operator="lessThan">
      <formula>0.8</formula>
    </cfRule>
    <cfRule type="cellIs" dxfId="2479" priority="2481" operator="greaterThan">
      <formula>1</formula>
    </cfRule>
  </conditionalFormatting>
  <conditionalFormatting sqref="R148:R153">
    <cfRule type="cellIs" dxfId="2478" priority="2478" operator="greaterThan">
      <formula>1</formula>
    </cfRule>
    <cfRule type="cellIs" dxfId="2477" priority="2479" operator="lessThan">
      <formula>0.8</formula>
    </cfRule>
  </conditionalFormatting>
  <conditionalFormatting sqref="P148:P153">
    <cfRule type="cellIs" dxfId="2476" priority="2477" operator="greaterThan">
      <formula>0</formula>
    </cfRule>
  </conditionalFormatting>
  <conditionalFormatting sqref="P148:P153">
    <cfRule type="cellIs" dxfId="2475" priority="2471" operator="greaterThan">
      <formula>0</formula>
    </cfRule>
  </conditionalFormatting>
  <conditionalFormatting sqref="Q148:Q153">
    <cfRule type="cellIs" dxfId="2474" priority="2476" operator="lessThan">
      <formula>0</formula>
    </cfRule>
  </conditionalFormatting>
  <conditionalFormatting sqref="R148:R153">
    <cfRule type="cellIs" dxfId="2473" priority="2474" operator="lessThan">
      <formula>0.8</formula>
    </cfRule>
    <cfRule type="cellIs" dxfId="2472" priority="2475" operator="greaterThan">
      <formula>1</formula>
    </cfRule>
  </conditionalFormatting>
  <conditionalFormatting sqref="R148:R153">
    <cfRule type="cellIs" dxfId="2471" priority="2472" operator="greaterThan">
      <formula>1</formula>
    </cfRule>
    <cfRule type="cellIs" dxfId="2470" priority="2473" operator="lessThan">
      <formula>0.8</formula>
    </cfRule>
  </conditionalFormatting>
  <conditionalFormatting sqref="P148:P153">
    <cfRule type="cellIs" dxfId="2469" priority="2465" operator="greaterThan">
      <formula>0</formula>
    </cfRule>
  </conditionalFormatting>
  <conditionalFormatting sqref="Q148:Q153">
    <cfRule type="cellIs" dxfId="2468" priority="2470" operator="lessThan">
      <formula>0</formula>
    </cfRule>
  </conditionalFormatting>
  <conditionalFormatting sqref="R148:R153">
    <cfRule type="cellIs" dxfId="2467" priority="2468" operator="lessThan">
      <formula>0.8</formula>
    </cfRule>
    <cfRule type="cellIs" dxfId="2466" priority="2469" operator="greaterThan">
      <formula>1</formula>
    </cfRule>
  </conditionalFormatting>
  <conditionalFormatting sqref="R148:R153">
    <cfRule type="cellIs" dxfId="2465" priority="2466" operator="greaterThan">
      <formula>1</formula>
    </cfRule>
    <cfRule type="cellIs" dxfId="2464" priority="2467" operator="lessThan">
      <formula>0.8</formula>
    </cfRule>
  </conditionalFormatting>
  <conditionalFormatting sqref="R148:R153">
    <cfRule type="cellIs" dxfId="2463" priority="2462" operator="lessThan">
      <formula>0.8</formula>
    </cfRule>
    <cfRule type="cellIs" dxfId="2462" priority="2463" operator="greaterThan">
      <formula>1</formula>
    </cfRule>
  </conditionalFormatting>
  <conditionalFormatting sqref="R148:R153">
    <cfRule type="cellIs" dxfId="2461" priority="2460" operator="greaterThan">
      <formula>1</formula>
    </cfRule>
    <cfRule type="cellIs" dxfId="2460" priority="2461" operator="lessThan">
      <formula>0.8</formula>
    </cfRule>
  </conditionalFormatting>
  <conditionalFormatting sqref="P148:P153">
    <cfRule type="cellIs" dxfId="2459" priority="2459" operator="greaterThan">
      <formula>0</formula>
    </cfRule>
  </conditionalFormatting>
  <conditionalFormatting sqref="Q148:Q153">
    <cfRule type="cellIs" dxfId="2458" priority="2464" operator="lessThan">
      <formula>0</formula>
    </cfRule>
  </conditionalFormatting>
  <conditionalFormatting sqref="Q148:Q153">
    <cfRule type="cellIs" dxfId="2457" priority="2458" operator="lessThan">
      <formula>0</formula>
    </cfRule>
  </conditionalFormatting>
  <conditionalFormatting sqref="R148:R153">
    <cfRule type="cellIs" dxfId="2456" priority="2456" operator="lessThan">
      <formula>0.8</formula>
    </cfRule>
    <cfRule type="cellIs" dxfId="2455" priority="2457" operator="greaterThan">
      <formula>1</formula>
    </cfRule>
  </conditionalFormatting>
  <conditionalFormatting sqref="R148:R153">
    <cfRule type="cellIs" dxfId="2454" priority="2454" operator="greaterThan">
      <formula>1</formula>
    </cfRule>
    <cfRule type="cellIs" dxfId="2453" priority="2455" operator="lessThan">
      <formula>0.8</formula>
    </cfRule>
  </conditionalFormatting>
  <conditionalFormatting sqref="P148:P153">
    <cfRule type="cellIs" dxfId="2452" priority="2453" operator="greaterThan">
      <formula>0</formula>
    </cfRule>
  </conditionalFormatting>
  <conditionalFormatting sqref="P148:P153">
    <cfRule type="cellIs" dxfId="2451" priority="2447" operator="greaterThan">
      <formula>0</formula>
    </cfRule>
  </conditionalFormatting>
  <conditionalFormatting sqref="Q148:Q153">
    <cfRule type="cellIs" dxfId="2450" priority="2452" operator="lessThan">
      <formula>0</formula>
    </cfRule>
  </conditionalFormatting>
  <conditionalFormatting sqref="R148:R153">
    <cfRule type="cellIs" dxfId="2449" priority="2450" operator="lessThan">
      <formula>0.8</formula>
    </cfRule>
    <cfRule type="cellIs" dxfId="2448" priority="2451" operator="greaterThan">
      <formula>1</formula>
    </cfRule>
  </conditionalFormatting>
  <conditionalFormatting sqref="R148:R153">
    <cfRule type="cellIs" dxfId="2447" priority="2448" operator="greaterThan">
      <formula>1</formula>
    </cfRule>
    <cfRule type="cellIs" dxfId="2446" priority="2449" operator="lessThan">
      <formula>0.8</formula>
    </cfRule>
  </conditionalFormatting>
  <conditionalFormatting sqref="P148:P153">
    <cfRule type="cellIs" dxfId="2445" priority="2441" operator="greaterThan">
      <formula>0</formula>
    </cfRule>
  </conditionalFormatting>
  <conditionalFormatting sqref="Q148:Q153">
    <cfRule type="cellIs" dxfId="2444" priority="2446" operator="lessThan">
      <formula>0</formula>
    </cfRule>
  </conditionalFormatting>
  <conditionalFormatting sqref="R148:R153">
    <cfRule type="cellIs" dxfId="2443" priority="2444" operator="lessThan">
      <formula>0.8</formula>
    </cfRule>
    <cfRule type="cellIs" dxfId="2442" priority="2445" operator="greaterThan">
      <formula>1</formula>
    </cfRule>
  </conditionalFormatting>
  <conditionalFormatting sqref="R148:R153">
    <cfRule type="cellIs" dxfId="2441" priority="2442" operator="greaterThan">
      <formula>1</formula>
    </cfRule>
    <cfRule type="cellIs" dxfId="2440" priority="2443" operator="lessThan">
      <formula>0.8</formula>
    </cfRule>
  </conditionalFormatting>
  <conditionalFormatting sqref="R148:R153">
    <cfRule type="cellIs" dxfId="2439" priority="2438" operator="lessThan">
      <formula>0.8</formula>
    </cfRule>
    <cfRule type="cellIs" dxfId="2438" priority="2439" operator="greaterThan">
      <formula>1</formula>
    </cfRule>
  </conditionalFormatting>
  <conditionalFormatting sqref="R148:R153">
    <cfRule type="cellIs" dxfId="2437" priority="2436" operator="greaterThan">
      <formula>1</formula>
    </cfRule>
    <cfRule type="cellIs" dxfId="2436" priority="2437" operator="lessThan">
      <formula>0.8</formula>
    </cfRule>
  </conditionalFormatting>
  <conditionalFormatting sqref="P148:P153">
    <cfRule type="cellIs" dxfId="2435" priority="2435" operator="greaterThan">
      <formula>0</formula>
    </cfRule>
  </conditionalFormatting>
  <conditionalFormatting sqref="Q148:Q153">
    <cfRule type="cellIs" dxfId="2434" priority="2440" operator="lessThan">
      <formula>0</formula>
    </cfRule>
  </conditionalFormatting>
  <conditionalFormatting sqref="P148:P153">
    <cfRule type="cellIs" dxfId="2433" priority="2429" operator="greaterThan">
      <formula>0</formula>
    </cfRule>
  </conditionalFormatting>
  <conditionalFormatting sqref="Q148:Q153">
    <cfRule type="cellIs" dxfId="2432" priority="2434" operator="lessThan">
      <formula>0</formula>
    </cfRule>
  </conditionalFormatting>
  <conditionalFormatting sqref="R148:R153">
    <cfRule type="cellIs" dxfId="2431" priority="2432" operator="lessThan">
      <formula>0.8</formula>
    </cfRule>
    <cfRule type="cellIs" dxfId="2430" priority="2433" operator="greaterThan">
      <formula>1</formula>
    </cfRule>
  </conditionalFormatting>
  <conditionalFormatting sqref="R148:R153">
    <cfRule type="cellIs" dxfId="2429" priority="2430" operator="greaterThan">
      <formula>1</formula>
    </cfRule>
    <cfRule type="cellIs" dxfId="2428" priority="2431" operator="lessThan">
      <formula>0.8</formula>
    </cfRule>
  </conditionalFormatting>
  <conditionalFormatting sqref="R148:R153">
    <cfRule type="cellIs" dxfId="2427" priority="2426" operator="lessThan">
      <formula>0.8</formula>
    </cfRule>
    <cfRule type="cellIs" dxfId="2426" priority="2427" operator="greaterThan">
      <formula>1</formula>
    </cfRule>
  </conditionalFormatting>
  <conditionalFormatting sqref="R148:R153">
    <cfRule type="cellIs" dxfId="2425" priority="2424" operator="greaterThan">
      <formula>1</formula>
    </cfRule>
    <cfRule type="cellIs" dxfId="2424" priority="2425" operator="lessThan">
      <formula>0.8</formula>
    </cfRule>
  </conditionalFormatting>
  <conditionalFormatting sqref="P148:P153">
    <cfRule type="cellIs" dxfId="2423" priority="2423" operator="greaterThan">
      <formula>0</formula>
    </cfRule>
  </conditionalFormatting>
  <conditionalFormatting sqref="Q148:Q153">
    <cfRule type="cellIs" dxfId="2422" priority="2428" operator="lessThan">
      <formula>0</formula>
    </cfRule>
  </conditionalFormatting>
  <conditionalFormatting sqref="R148:R153">
    <cfRule type="cellIs" dxfId="2421" priority="2420" operator="lessThan">
      <formula>0.8</formula>
    </cfRule>
    <cfRule type="cellIs" dxfId="2420" priority="2421" operator="greaterThan">
      <formula>1</formula>
    </cfRule>
  </conditionalFormatting>
  <conditionalFormatting sqref="R148:R153">
    <cfRule type="cellIs" dxfId="2419" priority="2418" operator="greaterThan">
      <formula>1</formula>
    </cfRule>
    <cfRule type="cellIs" dxfId="2418" priority="2419" operator="lessThan">
      <formula>0.8</formula>
    </cfRule>
  </conditionalFormatting>
  <conditionalFormatting sqref="P148:P153">
    <cfRule type="cellIs" dxfId="2417" priority="2417" operator="greaterThan">
      <formula>0</formula>
    </cfRule>
  </conditionalFormatting>
  <conditionalFormatting sqref="Q148:Q153">
    <cfRule type="cellIs" dxfId="2416" priority="2422" operator="lessThan">
      <formula>0</formula>
    </cfRule>
  </conditionalFormatting>
  <conditionalFormatting sqref="Q148:Q153">
    <cfRule type="cellIs" dxfId="2415" priority="2416" operator="lessThan">
      <formula>0</formula>
    </cfRule>
  </conditionalFormatting>
  <conditionalFormatting sqref="R148:R153">
    <cfRule type="cellIs" dxfId="2414" priority="2414" operator="lessThan">
      <formula>0.8</formula>
    </cfRule>
    <cfRule type="cellIs" dxfId="2413" priority="2415" operator="greaterThan">
      <formula>1</formula>
    </cfRule>
  </conditionalFormatting>
  <conditionalFormatting sqref="R148:R153">
    <cfRule type="cellIs" dxfId="2412" priority="2412" operator="greaterThan">
      <formula>1</formula>
    </cfRule>
    <cfRule type="cellIs" dxfId="2411" priority="2413" operator="lessThan">
      <formula>0.8</formula>
    </cfRule>
  </conditionalFormatting>
  <conditionalFormatting sqref="P148:P153">
    <cfRule type="cellIs" dxfId="2410" priority="2411" operator="greaterThan">
      <formula>0</formula>
    </cfRule>
  </conditionalFormatting>
  <conditionalFormatting sqref="Q148:Q153">
    <cfRule type="cellIs" dxfId="2409" priority="2405" operator="lessThan">
      <formula>0</formula>
    </cfRule>
  </conditionalFormatting>
  <conditionalFormatting sqref="R148:R153">
    <cfRule type="cellIs" dxfId="2408" priority="2409" operator="lessThan">
      <formula>0.8</formula>
    </cfRule>
    <cfRule type="cellIs" dxfId="2407" priority="2410" operator="greaterThan">
      <formula>1</formula>
    </cfRule>
  </conditionalFormatting>
  <conditionalFormatting sqref="R148:R153">
    <cfRule type="cellIs" dxfId="2406" priority="2407" operator="greaterThan">
      <formula>1</formula>
    </cfRule>
    <cfRule type="cellIs" dxfId="2405" priority="2408" operator="lessThan">
      <formula>0.8</formula>
    </cfRule>
  </conditionalFormatting>
  <conditionalFormatting sqref="P148:P153">
    <cfRule type="cellIs" dxfId="2404" priority="2406" operator="greaterThan">
      <formula>0</formula>
    </cfRule>
  </conditionalFormatting>
  <conditionalFormatting sqref="Q148:Q153">
    <cfRule type="cellIs" dxfId="2403" priority="2404" operator="lessThan">
      <formula>0</formula>
    </cfRule>
  </conditionalFormatting>
  <conditionalFormatting sqref="R148:R153">
    <cfRule type="cellIs" dxfId="2402" priority="2402" operator="lessThan">
      <formula>0.8</formula>
    </cfRule>
    <cfRule type="cellIs" dxfId="2401" priority="2403" operator="greaterThan">
      <formula>1</formula>
    </cfRule>
  </conditionalFormatting>
  <conditionalFormatting sqref="R148:R153">
    <cfRule type="cellIs" dxfId="2400" priority="2400" operator="greaterThan">
      <formula>1</formula>
    </cfRule>
    <cfRule type="cellIs" dxfId="2399" priority="2401" operator="lessThan">
      <formula>0.8</formula>
    </cfRule>
  </conditionalFormatting>
  <conditionalFormatting sqref="P148:P153">
    <cfRule type="cellIs" dxfId="2398" priority="2399" operator="greaterThan">
      <formula>0</formula>
    </cfRule>
  </conditionalFormatting>
  <conditionalFormatting sqref="Q148:Q153">
    <cfRule type="cellIs" dxfId="2397" priority="2398" operator="lessThan">
      <formula>0</formula>
    </cfRule>
  </conditionalFormatting>
  <conditionalFormatting sqref="R148:R153">
    <cfRule type="cellIs" dxfId="2396" priority="2396" operator="lessThan">
      <formula>0.8</formula>
    </cfRule>
    <cfRule type="cellIs" dxfId="2395" priority="2397" operator="greaterThan">
      <formula>1</formula>
    </cfRule>
  </conditionalFormatting>
  <conditionalFormatting sqref="R148:R153">
    <cfRule type="cellIs" dxfId="2394" priority="2394" operator="greaterThan">
      <formula>1</formula>
    </cfRule>
    <cfRule type="cellIs" dxfId="2393" priority="2395" operator="lessThan">
      <formula>0.8</formula>
    </cfRule>
  </conditionalFormatting>
  <conditionalFormatting sqref="P148:P153">
    <cfRule type="cellIs" dxfId="2392" priority="2393" operator="greaterThan">
      <formula>0</formula>
    </cfRule>
  </conditionalFormatting>
  <conditionalFormatting sqref="Q148:Q153">
    <cfRule type="cellIs" dxfId="2391" priority="2392" operator="lessThan">
      <formula>0</formula>
    </cfRule>
  </conditionalFormatting>
  <conditionalFormatting sqref="R148:R153">
    <cfRule type="cellIs" dxfId="2390" priority="2390" operator="lessThan">
      <formula>0.8</formula>
    </cfRule>
    <cfRule type="cellIs" dxfId="2389" priority="2391" operator="greaterThan">
      <formula>1</formula>
    </cfRule>
  </conditionalFormatting>
  <conditionalFormatting sqref="R148:R153">
    <cfRule type="cellIs" dxfId="2388" priority="2388" operator="greaterThan">
      <formula>1</formula>
    </cfRule>
    <cfRule type="cellIs" dxfId="2387" priority="2389" operator="lessThan">
      <formula>0.8</formula>
    </cfRule>
  </conditionalFormatting>
  <conditionalFormatting sqref="P148:P153">
    <cfRule type="cellIs" dxfId="2386" priority="2387" operator="greaterThan">
      <formula>0</formula>
    </cfRule>
  </conditionalFormatting>
  <conditionalFormatting sqref="Q148:Q153">
    <cfRule type="cellIs" dxfId="2385" priority="2386" operator="lessThan">
      <formula>0</formula>
    </cfRule>
  </conditionalFormatting>
  <conditionalFormatting sqref="R148:R153">
    <cfRule type="cellIs" dxfId="2384" priority="2384" operator="lessThan">
      <formula>0.8</formula>
    </cfRule>
    <cfRule type="cellIs" dxfId="2383" priority="2385" operator="greaterThan">
      <formula>1</formula>
    </cfRule>
  </conditionalFormatting>
  <conditionalFormatting sqref="R148:R153">
    <cfRule type="cellIs" dxfId="2382" priority="2382" operator="greaterThan">
      <formula>1</formula>
    </cfRule>
    <cfRule type="cellIs" dxfId="2381" priority="2383" operator="lessThan">
      <formula>0.8</formula>
    </cfRule>
  </conditionalFormatting>
  <conditionalFormatting sqref="P148:P153">
    <cfRule type="cellIs" dxfId="2380" priority="2381" operator="greaterThan">
      <formula>0</formula>
    </cfRule>
  </conditionalFormatting>
  <conditionalFormatting sqref="Q148:Q153">
    <cfRule type="cellIs" dxfId="2379" priority="2380" operator="lessThan">
      <formula>0</formula>
    </cfRule>
  </conditionalFormatting>
  <conditionalFormatting sqref="R148:R153">
    <cfRule type="cellIs" dxfId="2378" priority="2378" operator="lessThan">
      <formula>0.8</formula>
    </cfRule>
    <cfRule type="cellIs" dxfId="2377" priority="2379" operator="greaterThan">
      <formula>1</formula>
    </cfRule>
  </conditionalFormatting>
  <conditionalFormatting sqref="R148:R153">
    <cfRule type="cellIs" dxfId="2376" priority="2376" operator="greaterThan">
      <formula>1</formula>
    </cfRule>
    <cfRule type="cellIs" dxfId="2375" priority="2377" operator="lessThan">
      <formula>0.8</formula>
    </cfRule>
  </conditionalFormatting>
  <conditionalFormatting sqref="P148:P153">
    <cfRule type="cellIs" dxfId="2374" priority="2375" operator="greaterThan">
      <formula>0</formula>
    </cfRule>
  </conditionalFormatting>
  <conditionalFormatting sqref="P148:P153">
    <cfRule type="cellIs" dxfId="2373" priority="2369" operator="greaterThan">
      <formula>0</formula>
    </cfRule>
  </conditionalFormatting>
  <conditionalFormatting sqref="Q148:Q153">
    <cfRule type="cellIs" dxfId="2372" priority="2374" operator="lessThan">
      <formula>0</formula>
    </cfRule>
  </conditionalFormatting>
  <conditionalFormatting sqref="R148:R153">
    <cfRule type="cellIs" dxfId="2371" priority="2372" operator="lessThan">
      <formula>0.8</formula>
    </cfRule>
    <cfRule type="cellIs" dxfId="2370" priority="2373" operator="greaterThan">
      <formula>1</formula>
    </cfRule>
  </conditionalFormatting>
  <conditionalFormatting sqref="R148:R153">
    <cfRule type="cellIs" dxfId="2369" priority="2370" operator="greaterThan">
      <formula>1</formula>
    </cfRule>
    <cfRule type="cellIs" dxfId="2368" priority="2371" operator="lessThan">
      <formula>0.8</formula>
    </cfRule>
  </conditionalFormatting>
  <conditionalFormatting sqref="P148:P153">
    <cfRule type="cellIs" dxfId="2367" priority="2363" operator="greaterThan">
      <formula>0</formula>
    </cfRule>
  </conditionalFormatting>
  <conditionalFormatting sqref="Q148:Q153">
    <cfRule type="cellIs" dxfId="2366" priority="2368" operator="lessThan">
      <formula>0</formula>
    </cfRule>
  </conditionalFormatting>
  <conditionalFormatting sqref="R148:R153">
    <cfRule type="cellIs" dxfId="2365" priority="2366" operator="lessThan">
      <formula>0.8</formula>
    </cfRule>
    <cfRule type="cellIs" dxfId="2364" priority="2367" operator="greaterThan">
      <formula>1</formula>
    </cfRule>
  </conditionalFormatting>
  <conditionalFormatting sqref="R148:R153">
    <cfRule type="cellIs" dxfId="2363" priority="2364" operator="greaterThan">
      <formula>1</formula>
    </cfRule>
    <cfRule type="cellIs" dxfId="2362" priority="2365" operator="lessThan">
      <formula>0.8</formula>
    </cfRule>
  </conditionalFormatting>
  <conditionalFormatting sqref="R148:R153">
    <cfRule type="cellIs" dxfId="2361" priority="2360" operator="lessThan">
      <formula>0.8</formula>
    </cfRule>
    <cfRule type="cellIs" dxfId="2360" priority="2361" operator="greaterThan">
      <formula>1</formula>
    </cfRule>
  </conditionalFormatting>
  <conditionalFormatting sqref="R148:R153">
    <cfRule type="cellIs" dxfId="2359" priority="2358" operator="greaterThan">
      <formula>1</formula>
    </cfRule>
    <cfRule type="cellIs" dxfId="2358" priority="2359" operator="lessThan">
      <formula>0.8</formula>
    </cfRule>
  </conditionalFormatting>
  <conditionalFormatting sqref="P148:P153">
    <cfRule type="cellIs" dxfId="2357" priority="2357" operator="greaterThan">
      <formula>0</formula>
    </cfRule>
  </conditionalFormatting>
  <conditionalFormatting sqref="Q148:Q153">
    <cfRule type="cellIs" dxfId="2356" priority="2362" operator="lessThan">
      <formula>0</formula>
    </cfRule>
  </conditionalFormatting>
  <conditionalFormatting sqref="Q148:Q153">
    <cfRule type="cellIs" dxfId="2355" priority="2351" operator="lessThan">
      <formula>0</formula>
    </cfRule>
  </conditionalFormatting>
  <conditionalFormatting sqref="P148:P153">
    <cfRule type="cellIs" dxfId="2354" priority="2352" operator="greaterThan">
      <formula>0</formula>
    </cfRule>
  </conditionalFormatting>
  <conditionalFormatting sqref="R148:R153">
    <cfRule type="cellIs" dxfId="2353" priority="2355" operator="lessThan">
      <formula>0.8</formula>
    </cfRule>
    <cfRule type="cellIs" dxfId="2352" priority="2356" operator="greaterThan">
      <formula>1</formula>
    </cfRule>
  </conditionalFormatting>
  <conditionalFormatting sqref="R148:R153">
    <cfRule type="cellIs" dxfId="2351" priority="2353" operator="greaterThan">
      <formula>1</formula>
    </cfRule>
    <cfRule type="cellIs" dxfId="2350" priority="2354" operator="lessThan">
      <formula>0.8</formula>
    </cfRule>
  </conditionalFormatting>
  <conditionalFormatting sqref="Q148:Q153">
    <cfRule type="cellIs" dxfId="2349" priority="2345" operator="lessThan">
      <formula>0</formula>
    </cfRule>
  </conditionalFormatting>
  <conditionalFormatting sqref="R148:R153">
    <cfRule type="cellIs" dxfId="2348" priority="2349" operator="lessThan">
      <formula>0.8</formula>
    </cfRule>
    <cfRule type="cellIs" dxfId="2347" priority="2350" operator="greaterThan">
      <formula>1</formula>
    </cfRule>
  </conditionalFormatting>
  <conditionalFormatting sqref="R148:R153">
    <cfRule type="cellIs" dxfId="2346" priority="2347" operator="greaterThan">
      <formula>1</formula>
    </cfRule>
    <cfRule type="cellIs" dxfId="2345" priority="2348" operator="lessThan">
      <formula>0.8</formula>
    </cfRule>
  </conditionalFormatting>
  <conditionalFormatting sqref="P148:P153">
    <cfRule type="cellIs" dxfId="2344" priority="2346" operator="greaterThan">
      <formula>0</formula>
    </cfRule>
  </conditionalFormatting>
  <conditionalFormatting sqref="Q148:Q153">
    <cfRule type="cellIs" dxfId="2343" priority="2344" operator="lessThan">
      <formula>0</formula>
    </cfRule>
  </conditionalFormatting>
  <conditionalFormatting sqref="R148:R153">
    <cfRule type="cellIs" dxfId="2342" priority="2342" operator="lessThan">
      <formula>0.8</formula>
    </cfRule>
    <cfRule type="cellIs" dxfId="2341" priority="2343" operator="greaterThan">
      <formula>1</formula>
    </cfRule>
  </conditionalFormatting>
  <conditionalFormatting sqref="R148:R153">
    <cfRule type="cellIs" dxfId="2340" priority="2340" operator="greaterThan">
      <formula>1</formula>
    </cfRule>
    <cfRule type="cellIs" dxfId="2339" priority="2341" operator="lessThan">
      <formula>0.8</formula>
    </cfRule>
  </conditionalFormatting>
  <conditionalFormatting sqref="P148:P153">
    <cfRule type="cellIs" dxfId="2338" priority="2339" operator="greaterThan">
      <formula>0</formula>
    </cfRule>
  </conditionalFormatting>
  <conditionalFormatting sqref="Q148:Q153">
    <cfRule type="cellIs" dxfId="2337" priority="2338" operator="lessThan">
      <formula>0</formula>
    </cfRule>
  </conditionalFormatting>
  <conditionalFormatting sqref="R148:R153">
    <cfRule type="cellIs" dxfId="2336" priority="2336" operator="lessThan">
      <formula>0.8</formula>
    </cfRule>
    <cfRule type="cellIs" dxfId="2335" priority="2337" operator="greaterThan">
      <formula>1</formula>
    </cfRule>
  </conditionalFormatting>
  <conditionalFormatting sqref="R148:R153">
    <cfRule type="cellIs" dxfId="2334" priority="2334" operator="greaterThan">
      <formula>1</formula>
    </cfRule>
    <cfRule type="cellIs" dxfId="2333" priority="2335" operator="lessThan">
      <formula>0.8</formula>
    </cfRule>
  </conditionalFormatting>
  <conditionalFormatting sqref="P148:P153">
    <cfRule type="cellIs" dxfId="2332" priority="2333" operator="greaterThan">
      <formula>0</formula>
    </cfRule>
  </conditionalFormatting>
  <conditionalFormatting sqref="Q148:Q153">
    <cfRule type="cellIs" dxfId="2331" priority="2332" operator="lessThan">
      <formula>0</formula>
    </cfRule>
  </conditionalFormatting>
  <conditionalFormatting sqref="R148:R153">
    <cfRule type="cellIs" dxfId="2330" priority="2330" operator="lessThan">
      <formula>0.8</formula>
    </cfRule>
    <cfRule type="cellIs" dxfId="2329" priority="2331" operator="greaterThan">
      <formula>1</formula>
    </cfRule>
  </conditionalFormatting>
  <conditionalFormatting sqref="R148:R153">
    <cfRule type="cellIs" dxfId="2328" priority="2328" operator="greaterThan">
      <formula>1</formula>
    </cfRule>
    <cfRule type="cellIs" dxfId="2327" priority="2329" operator="lessThan">
      <formula>0.8</formula>
    </cfRule>
  </conditionalFormatting>
  <conditionalFormatting sqref="P148:P153">
    <cfRule type="cellIs" dxfId="2326" priority="2327" operator="greaterThan">
      <formula>0</formula>
    </cfRule>
  </conditionalFormatting>
  <conditionalFormatting sqref="Q148:Q153">
    <cfRule type="cellIs" dxfId="2325" priority="2326" operator="lessThan">
      <formula>0</formula>
    </cfRule>
  </conditionalFormatting>
  <conditionalFormatting sqref="R148:R153">
    <cfRule type="cellIs" dxfId="2324" priority="2324" operator="lessThan">
      <formula>0.8</formula>
    </cfRule>
    <cfRule type="cellIs" dxfId="2323" priority="2325" operator="greaterThan">
      <formula>1</formula>
    </cfRule>
  </conditionalFormatting>
  <conditionalFormatting sqref="R148:R153">
    <cfRule type="cellIs" dxfId="2322" priority="2322" operator="greaterThan">
      <formula>1</formula>
    </cfRule>
    <cfRule type="cellIs" dxfId="2321" priority="2323" operator="lessThan">
      <formula>0.8</formula>
    </cfRule>
  </conditionalFormatting>
  <conditionalFormatting sqref="P148:P153">
    <cfRule type="cellIs" dxfId="2320" priority="2321" operator="greaterThan">
      <formula>0</formula>
    </cfRule>
  </conditionalFormatting>
  <conditionalFormatting sqref="Q124 Q127">
    <cfRule type="cellIs" dxfId="2319" priority="2315" operator="lessThan">
      <formula>0</formula>
    </cfRule>
  </conditionalFormatting>
  <conditionalFormatting sqref="P124 P127">
    <cfRule type="cellIs" dxfId="2318" priority="2316" operator="greaterThan">
      <formula>0</formula>
    </cfRule>
  </conditionalFormatting>
  <conditionalFormatting sqref="R124 R127">
    <cfRule type="cellIs" dxfId="2317" priority="2319" operator="lessThan">
      <formula>0.8</formula>
    </cfRule>
    <cfRule type="cellIs" dxfId="2316" priority="2320" operator="greaterThan">
      <formula>1</formula>
    </cfRule>
  </conditionalFormatting>
  <conditionalFormatting sqref="R124 R127">
    <cfRule type="cellIs" dxfId="2315" priority="2317" operator="greaterThan">
      <formula>1</formula>
    </cfRule>
    <cfRule type="cellIs" dxfId="2314" priority="2318" operator="lessThan">
      <formula>0.8</formula>
    </cfRule>
  </conditionalFormatting>
  <conditionalFormatting sqref="Q124 Q127">
    <cfRule type="cellIs" dxfId="2313" priority="2309" operator="lessThan">
      <formula>0</formula>
    </cfRule>
  </conditionalFormatting>
  <conditionalFormatting sqref="R124 R127">
    <cfRule type="cellIs" dxfId="2312" priority="2313" operator="lessThan">
      <formula>0.8</formula>
    </cfRule>
    <cfRule type="cellIs" dxfId="2311" priority="2314" operator="greaterThan">
      <formula>1</formula>
    </cfRule>
  </conditionalFormatting>
  <conditionalFormatting sqref="R124 R127">
    <cfRule type="cellIs" dxfId="2310" priority="2311" operator="greaterThan">
      <formula>1</formula>
    </cfRule>
    <cfRule type="cellIs" dxfId="2309" priority="2312" operator="lessThan">
      <formula>0.8</formula>
    </cfRule>
  </conditionalFormatting>
  <conditionalFormatting sqref="P124 P127">
    <cfRule type="cellIs" dxfId="2308" priority="2310" operator="greaterThan">
      <formula>0</formula>
    </cfRule>
  </conditionalFormatting>
  <conditionalFormatting sqref="Q124 Q127">
    <cfRule type="cellIs" dxfId="2307" priority="2308" operator="lessThan">
      <formula>0</formula>
    </cfRule>
  </conditionalFormatting>
  <conditionalFormatting sqref="R124 R127">
    <cfRule type="cellIs" dxfId="2306" priority="2306" operator="lessThan">
      <formula>0.8</formula>
    </cfRule>
    <cfRule type="cellIs" dxfId="2305" priority="2307" operator="greaterThan">
      <formula>1</formula>
    </cfRule>
  </conditionalFormatting>
  <conditionalFormatting sqref="R124 R127">
    <cfRule type="cellIs" dxfId="2304" priority="2304" operator="greaterThan">
      <formula>1</formula>
    </cfRule>
    <cfRule type="cellIs" dxfId="2303" priority="2305" operator="lessThan">
      <formula>0.8</formula>
    </cfRule>
  </conditionalFormatting>
  <conditionalFormatting sqref="P124 P127">
    <cfRule type="cellIs" dxfId="2302" priority="2303" operator="greaterThan">
      <formula>0</formula>
    </cfRule>
  </conditionalFormatting>
  <conditionalFormatting sqref="Q124 Q127">
    <cfRule type="cellIs" dxfId="2301" priority="2302" operator="lessThan">
      <formula>0</formula>
    </cfRule>
  </conditionalFormatting>
  <conditionalFormatting sqref="R124 R127">
    <cfRule type="cellIs" dxfId="2300" priority="2300" operator="lessThan">
      <formula>0.8</formula>
    </cfRule>
    <cfRule type="cellIs" dxfId="2299" priority="2301" operator="greaterThan">
      <formula>1</formula>
    </cfRule>
  </conditionalFormatting>
  <conditionalFormatting sqref="R124 R127">
    <cfRule type="cellIs" dxfId="2298" priority="2298" operator="greaterThan">
      <formula>1</formula>
    </cfRule>
    <cfRule type="cellIs" dxfId="2297" priority="2299" operator="lessThan">
      <formula>0.8</formula>
    </cfRule>
  </conditionalFormatting>
  <conditionalFormatting sqref="P124 P127">
    <cfRule type="cellIs" dxfId="2296" priority="2297" operator="greaterThan">
      <formula>0</formula>
    </cfRule>
  </conditionalFormatting>
  <conditionalFormatting sqref="Q124 Q127">
    <cfRule type="cellIs" dxfId="2295" priority="2296" operator="lessThan">
      <formula>0</formula>
    </cfRule>
  </conditionalFormatting>
  <conditionalFormatting sqref="R124 R127">
    <cfRule type="cellIs" dxfId="2294" priority="2294" operator="lessThan">
      <formula>0.8</formula>
    </cfRule>
    <cfRule type="cellIs" dxfId="2293" priority="2295" operator="greaterThan">
      <formula>1</formula>
    </cfRule>
  </conditionalFormatting>
  <conditionalFormatting sqref="R124 R127">
    <cfRule type="cellIs" dxfId="2292" priority="2292" operator="greaterThan">
      <formula>1</formula>
    </cfRule>
    <cfRule type="cellIs" dxfId="2291" priority="2293" operator="lessThan">
      <formula>0.8</formula>
    </cfRule>
  </conditionalFormatting>
  <conditionalFormatting sqref="P124 P127">
    <cfRule type="cellIs" dxfId="2290" priority="2291" operator="greaterThan">
      <formula>0</formula>
    </cfRule>
  </conditionalFormatting>
  <conditionalFormatting sqref="Q124 Q127">
    <cfRule type="cellIs" dxfId="2289" priority="2290" operator="lessThan">
      <formula>0</formula>
    </cfRule>
  </conditionalFormatting>
  <conditionalFormatting sqref="R124 R127">
    <cfRule type="cellIs" dxfId="2288" priority="2288" operator="lessThan">
      <formula>0.8</formula>
    </cfRule>
    <cfRule type="cellIs" dxfId="2287" priority="2289" operator="greaterThan">
      <formula>1</formula>
    </cfRule>
  </conditionalFormatting>
  <conditionalFormatting sqref="R124 R127">
    <cfRule type="cellIs" dxfId="2286" priority="2286" operator="greaterThan">
      <formula>1</formula>
    </cfRule>
    <cfRule type="cellIs" dxfId="2285" priority="2287" operator="lessThan">
      <formula>0.8</formula>
    </cfRule>
  </conditionalFormatting>
  <conditionalFormatting sqref="P124 P127">
    <cfRule type="cellIs" dxfId="2284" priority="2285" operator="greaterThan">
      <formula>0</formula>
    </cfRule>
  </conditionalFormatting>
  <conditionalFormatting sqref="Q124 Q127">
    <cfRule type="cellIs" dxfId="2283" priority="2284" operator="lessThan">
      <formula>0</formula>
    </cfRule>
  </conditionalFormatting>
  <conditionalFormatting sqref="R124 R127">
    <cfRule type="cellIs" dxfId="2282" priority="2282" operator="lessThan">
      <formula>0.8</formula>
    </cfRule>
    <cfRule type="cellIs" dxfId="2281" priority="2283" operator="greaterThan">
      <formula>1</formula>
    </cfRule>
  </conditionalFormatting>
  <conditionalFormatting sqref="R124 R127">
    <cfRule type="cellIs" dxfId="2280" priority="2280" operator="greaterThan">
      <formula>1</formula>
    </cfRule>
    <cfRule type="cellIs" dxfId="2279" priority="2281" operator="lessThan">
      <formula>0.8</formula>
    </cfRule>
  </conditionalFormatting>
  <conditionalFormatting sqref="P124 P127">
    <cfRule type="cellIs" dxfId="2278" priority="2279" operator="greaterThan">
      <formula>0</formula>
    </cfRule>
  </conditionalFormatting>
  <conditionalFormatting sqref="Q124 Q127">
    <cfRule type="cellIs" dxfId="2277" priority="2278" operator="lessThan">
      <formula>0</formula>
    </cfRule>
  </conditionalFormatting>
  <conditionalFormatting sqref="R124 R127">
    <cfRule type="cellIs" dxfId="2276" priority="2276" operator="lessThan">
      <formula>0.8</formula>
    </cfRule>
    <cfRule type="cellIs" dxfId="2275" priority="2277" operator="greaterThan">
      <formula>1</formula>
    </cfRule>
  </conditionalFormatting>
  <conditionalFormatting sqref="R124 R127">
    <cfRule type="cellIs" dxfId="2274" priority="2274" operator="greaterThan">
      <formula>1</formula>
    </cfRule>
    <cfRule type="cellIs" dxfId="2273" priority="2275" operator="lessThan">
      <formula>0.8</formula>
    </cfRule>
  </conditionalFormatting>
  <conditionalFormatting sqref="P124 P127">
    <cfRule type="cellIs" dxfId="2272" priority="2273" operator="greaterThan">
      <formula>0</formula>
    </cfRule>
  </conditionalFormatting>
  <conditionalFormatting sqref="Q124 Q127">
    <cfRule type="cellIs" dxfId="2271" priority="2272" operator="lessThan">
      <formula>0</formula>
    </cfRule>
  </conditionalFormatting>
  <conditionalFormatting sqref="R124 R127">
    <cfRule type="cellIs" dxfId="2270" priority="2270" operator="lessThan">
      <formula>0.8</formula>
    </cfRule>
    <cfRule type="cellIs" dxfId="2269" priority="2271" operator="greaterThan">
      <formula>1</formula>
    </cfRule>
  </conditionalFormatting>
  <conditionalFormatting sqref="R124 R127">
    <cfRule type="cellIs" dxfId="2268" priority="2268" operator="greaterThan">
      <formula>1</formula>
    </cfRule>
    <cfRule type="cellIs" dxfId="2267" priority="2269" operator="lessThan">
      <formula>0.8</formula>
    </cfRule>
  </conditionalFormatting>
  <conditionalFormatting sqref="P124 P127">
    <cfRule type="cellIs" dxfId="2266" priority="2267" operator="greaterThan">
      <formula>0</formula>
    </cfRule>
  </conditionalFormatting>
  <conditionalFormatting sqref="P124 P127">
    <cfRule type="cellIs" dxfId="2265" priority="2261" operator="greaterThan">
      <formula>0</formula>
    </cfRule>
  </conditionalFormatting>
  <conditionalFormatting sqref="Q124 Q127">
    <cfRule type="cellIs" dxfId="2264" priority="2266" operator="lessThan">
      <formula>0</formula>
    </cfRule>
  </conditionalFormatting>
  <conditionalFormatting sqref="R124 R127">
    <cfRule type="cellIs" dxfId="2263" priority="2264" operator="lessThan">
      <formula>0.8</formula>
    </cfRule>
    <cfRule type="cellIs" dxfId="2262" priority="2265" operator="greaterThan">
      <formula>1</formula>
    </cfRule>
  </conditionalFormatting>
  <conditionalFormatting sqref="R124 R127">
    <cfRule type="cellIs" dxfId="2261" priority="2262" operator="greaterThan">
      <formula>1</formula>
    </cfRule>
    <cfRule type="cellIs" dxfId="2260" priority="2263" operator="lessThan">
      <formula>0.8</formula>
    </cfRule>
  </conditionalFormatting>
  <conditionalFormatting sqref="P124 P127">
    <cfRule type="cellIs" dxfId="2259" priority="2255" operator="greaterThan">
      <formula>0</formula>
    </cfRule>
  </conditionalFormatting>
  <conditionalFormatting sqref="Q124 Q127">
    <cfRule type="cellIs" dxfId="2258" priority="2260" operator="lessThan">
      <formula>0</formula>
    </cfRule>
  </conditionalFormatting>
  <conditionalFormatting sqref="R124 R127">
    <cfRule type="cellIs" dxfId="2257" priority="2258" operator="lessThan">
      <formula>0.8</formula>
    </cfRule>
    <cfRule type="cellIs" dxfId="2256" priority="2259" operator="greaterThan">
      <formula>1</formula>
    </cfRule>
  </conditionalFormatting>
  <conditionalFormatting sqref="R124 R127">
    <cfRule type="cellIs" dxfId="2255" priority="2256" operator="greaterThan">
      <formula>1</formula>
    </cfRule>
    <cfRule type="cellIs" dxfId="2254" priority="2257" operator="lessThan">
      <formula>0.8</formula>
    </cfRule>
  </conditionalFormatting>
  <conditionalFormatting sqref="R124 R127">
    <cfRule type="cellIs" dxfId="2253" priority="2252" operator="lessThan">
      <formula>0.8</formula>
    </cfRule>
    <cfRule type="cellIs" dxfId="2252" priority="2253" operator="greaterThan">
      <formula>1</formula>
    </cfRule>
  </conditionalFormatting>
  <conditionalFormatting sqref="R124 R127">
    <cfRule type="cellIs" dxfId="2251" priority="2250" operator="greaterThan">
      <formula>1</formula>
    </cfRule>
    <cfRule type="cellIs" dxfId="2250" priority="2251" operator="lessThan">
      <formula>0.8</formula>
    </cfRule>
  </conditionalFormatting>
  <conditionalFormatting sqref="P124 P127">
    <cfRule type="cellIs" dxfId="2249" priority="2249" operator="greaterThan">
      <formula>0</formula>
    </cfRule>
  </conditionalFormatting>
  <conditionalFormatting sqref="Q124 Q127">
    <cfRule type="cellIs" dxfId="2248" priority="2254" operator="lessThan">
      <formula>0</formula>
    </cfRule>
  </conditionalFormatting>
  <conditionalFormatting sqref="Q124 Q127">
    <cfRule type="cellIs" dxfId="2247" priority="2248" operator="lessThan">
      <formula>0</formula>
    </cfRule>
  </conditionalFormatting>
  <conditionalFormatting sqref="R124 R127">
    <cfRule type="cellIs" dxfId="2246" priority="2246" operator="lessThan">
      <formula>0.8</formula>
    </cfRule>
    <cfRule type="cellIs" dxfId="2245" priority="2247" operator="greaterThan">
      <formula>1</formula>
    </cfRule>
  </conditionalFormatting>
  <conditionalFormatting sqref="R124 R127">
    <cfRule type="cellIs" dxfId="2244" priority="2244" operator="greaterThan">
      <formula>1</formula>
    </cfRule>
    <cfRule type="cellIs" dxfId="2243" priority="2245" operator="lessThan">
      <formula>0.8</formula>
    </cfRule>
  </conditionalFormatting>
  <conditionalFormatting sqref="P124 P127">
    <cfRule type="cellIs" dxfId="2242" priority="2243" operator="greaterThan">
      <formula>0</formula>
    </cfRule>
  </conditionalFormatting>
  <conditionalFormatting sqref="P124 P127">
    <cfRule type="cellIs" dxfId="2241" priority="2237" operator="greaterThan">
      <formula>0</formula>
    </cfRule>
  </conditionalFormatting>
  <conditionalFormatting sqref="Q124 Q127">
    <cfRule type="cellIs" dxfId="2240" priority="2242" operator="lessThan">
      <formula>0</formula>
    </cfRule>
  </conditionalFormatting>
  <conditionalFormatting sqref="R124 R127">
    <cfRule type="cellIs" dxfId="2239" priority="2240" operator="lessThan">
      <formula>0.8</formula>
    </cfRule>
    <cfRule type="cellIs" dxfId="2238" priority="2241" operator="greaterThan">
      <formula>1</formula>
    </cfRule>
  </conditionalFormatting>
  <conditionalFormatting sqref="R124 R127">
    <cfRule type="cellIs" dxfId="2237" priority="2238" operator="greaterThan">
      <formula>1</formula>
    </cfRule>
    <cfRule type="cellIs" dxfId="2236" priority="2239" operator="lessThan">
      <formula>0.8</formula>
    </cfRule>
  </conditionalFormatting>
  <conditionalFormatting sqref="P124 P127">
    <cfRule type="cellIs" dxfId="2235" priority="2231" operator="greaterThan">
      <formula>0</formula>
    </cfRule>
  </conditionalFormatting>
  <conditionalFormatting sqref="Q124 Q127">
    <cfRule type="cellIs" dxfId="2234" priority="2236" operator="lessThan">
      <formula>0</formula>
    </cfRule>
  </conditionalFormatting>
  <conditionalFormatting sqref="R124 R127">
    <cfRule type="cellIs" dxfId="2233" priority="2234" operator="lessThan">
      <formula>0.8</formula>
    </cfRule>
    <cfRule type="cellIs" dxfId="2232" priority="2235" operator="greaterThan">
      <formula>1</formula>
    </cfRule>
  </conditionalFormatting>
  <conditionalFormatting sqref="R124 R127">
    <cfRule type="cellIs" dxfId="2231" priority="2232" operator="greaterThan">
      <formula>1</formula>
    </cfRule>
    <cfRule type="cellIs" dxfId="2230" priority="2233" operator="lessThan">
      <formula>0.8</formula>
    </cfRule>
  </conditionalFormatting>
  <conditionalFormatting sqref="R124 R127">
    <cfRule type="cellIs" dxfId="2229" priority="2228" operator="lessThan">
      <formula>0.8</formula>
    </cfRule>
    <cfRule type="cellIs" dxfId="2228" priority="2229" operator="greaterThan">
      <formula>1</formula>
    </cfRule>
  </conditionalFormatting>
  <conditionalFormatting sqref="R124 R127">
    <cfRule type="cellIs" dxfId="2227" priority="2226" operator="greaterThan">
      <formula>1</formula>
    </cfRule>
    <cfRule type="cellIs" dxfId="2226" priority="2227" operator="lessThan">
      <formula>0.8</formula>
    </cfRule>
  </conditionalFormatting>
  <conditionalFormatting sqref="P124 P127">
    <cfRule type="cellIs" dxfId="2225" priority="2225" operator="greaterThan">
      <formula>0</formula>
    </cfRule>
  </conditionalFormatting>
  <conditionalFormatting sqref="Q124 Q127">
    <cfRule type="cellIs" dxfId="2224" priority="2230" operator="lessThan">
      <formula>0</formula>
    </cfRule>
  </conditionalFormatting>
  <conditionalFormatting sqref="P124 P127">
    <cfRule type="cellIs" dxfId="2223" priority="2219" operator="greaterThan">
      <formula>0</formula>
    </cfRule>
  </conditionalFormatting>
  <conditionalFormatting sqref="Q124 Q127">
    <cfRule type="cellIs" dxfId="2222" priority="2224" operator="lessThan">
      <formula>0</formula>
    </cfRule>
  </conditionalFormatting>
  <conditionalFormatting sqref="R124 R127">
    <cfRule type="cellIs" dxfId="2221" priority="2222" operator="lessThan">
      <formula>0.8</formula>
    </cfRule>
    <cfRule type="cellIs" dxfId="2220" priority="2223" operator="greaterThan">
      <formula>1</formula>
    </cfRule>
  </conditionalFormatting>
  <conditionalFormatting sqref="R124 R127">
    <cfRule type="cellIs" dxfId="2219" priority="2220" operator="greaterThan">
      <formula>1</formula>
    </cfRule>
    <cfRule type="cellIs" dxfId="2218" priority="2221" operator="lessThan">
      <formula>0.8</formula>
    </cfRule>
  </conditionalFormatting>
  <conditionalFormatting sqref="R124 R127">
    <cfRule type="cellIs" dxfId="2217" priority="2216" operator="lessThan">
      <formula>0.8</formula>
    </cfRule>
    <cfRule type="cellIs" dxfId="2216" priority="2217" operator="greaterThan">
      <formula>1</formula>
    </cfRule>
  </conditionalFormatting>
  <conditionalFormatting sqref="R124 R127">
    <cfRule type="cellIs" dxfId="2215" priority="2214" operator="greaterThan">
      <formula>1</formula>
    </cfRule>
    <cfRule type="cellIs" dxfId="2214" priority="2215" operator="lessThan">
      <formula>0.8</formula>
    </cfRule>
  </conditionalFormatting>
  <conditionalFormatting sqref="P124 P127">
    <cfRule type="cellIs" dxfId="2213" priority="2213" operator="greaterThan">
      <formula>0</formula>
    </cfRule>
  </conditionalFormatting>
  <conditionalFormatting sqref="Q124 Q127">
    <cfRule type="cellIs" dxfId="2212" priority="2218" operator="lessThan">
      <formula>0</formula>
    </cfRule>
  </conditionalFormatting>
  <conditionalFormatting sqref="R124 R127">
    <cfRule type="cellIs" dxfId="2211" priority="2210" operator="lessThan">
      <formula>0.8</formula>
    </cfRule>
    <cfRule type="cellIs" dxfId="2210" priority="2211" operator="greaterThan">
      <formula>1</formula>
    </cfRule>
  </conditionalFormatting>
  <conditionalFormatting sqref="R124 R127">
    <cfRule type="cellIs" dxfId="2209" priority="2208" operator="greaterThan">
      <formula>1</formula>
    </cfRule>
    <cfRule type="cellIs" dxfId="2208" priority="2209" operator="lessThan">
      <formula>0.8</formula>
    </cfRule>
  </conditionalFormatting>
  <conditionalFormatting sqref="P124 P127">
    <cfRule type="cellIs" dxfId="2207" priority="2207" operator="greaterThan">
      <formula>0</formula>
    </cfRule>
  </conditionalFormatting>
  <conditionalFormatting sqref="Q124 Q127">
    <cfRule type="cellIs" dxfId="2206" priority="2212" operator="lessThan">
      <formula>0</formula>
    </cfRule>
  </conditionalFormatting>
  <conditionalFormatting sqref="Q124 Q127">
    <cfRule type="cellIs" dxfId="2205" priority="2206" operator="lessThan">
      <formula>0</formula>
    </cfRule>
  </conditionalFormatting>
  <conditionalFormatting sqref="R124 R127">
    <cfRule type="cellIs" dxfId="2204" priority="2204" operator="lessThan">
      <formula>0.8</formula>
    </cfRule>
    <cfRule type="cellIs" dxfId="2203" priority="2205" operator="greaterThan">
      <formula>1</formula>
    </cfRule>
  </conditionalFormatting>
  <conditionalFormatting sqref="R124 R127">
    <cfRule type="cellIs" dxfId="2202" priority="2202" operator="greaterThan">
      <formula>1</formula>
    </cfRule>
    <cfRule type="cellIs" dxfId="2201" priority="2203" operator="lessThan">
      <formula>0.8</formula>
    </cfRule>
  </conditionalFormatting>
  <conditionalFormatting sqref="P124 P127">
    <cfRule type="cellIs" dxfId="2200" priority="2201" operator="greaterThan">
      <formula>0</formula>
    </cfRule>
  </conditionalFormatting>
  <conditionalFormatting sqref="Q124 Q127">
    <cfRule type="cellIs" dxfId="2199" priority="2195" operator="lessThan">
      <formula>0</formula>
    </cfRule>
  </conditionalFormatting>
  <conditionalFormatting sqref="R124 R127">
    <cfRule type="cellIs" dxfId="2198" priority="2199" operator="lessThan">
      <formula>0.8</formula>
    </cfRule>
    <cfRule type="cellIs" dxfId="2197" priority="2200" operator="greaterThan">
      <formula>1</formula>
    </cfRule>
  </conditionalFormatting>
  <conditionalFormatting sqref="R124 R127">
    <cfRule type="cellIs" dxfId="2196" priority="2197" operator="greaterThan">
      <formula>1</formula>
    </cfRule>
    <cfRule type="cellIs" dxfId="2195" priority="2198" operator="lessThan">
      <formula>0.8</formula>
    </cfRule>
  </conditionalFormatting>
  <conditionalFormatting sqref="P124 P127">
    <cfRule type="cellIs" dxfId="2194" priority="2196" operator="greaterThan">
      <formula>0</formula>
    </cfRule>
  </conditionalFormatting>
  <conditionalFormatting sqref="Q124 Q127">
    <cfRule type="cellIs" dxfId="2193" priority="2194" operator="lessThan">
      <formula>0</formula>
    </cfRule>
  </conditionalFormatting>
  <conditionalFormatting sqref="R124 R127">
    <cfRule type="cellIs" dxfId="2192" priority="2192" operator="lessThan">
      <formula>0.8</formula>
    </cfRule>
    <cfRule type="cellIs" dxfId="2191" priority="2193" operator="greaterThan">
      <formula>1</formula>
    </cfRule>
  </conditionalFormatting>
  <conditionalFormatting sqref="R124 R127">
    <cfRule type="cellIs" dxfId="2190" priority="2190" operator="greaterThan">
      <formula>1</formula>
    </cfRule>
    <cfRule type="cellIs" dxfId="2189" priority="2191" operator="lessThan">
      <formula>0.8</formula>
    </cfRule>
  </conditionalFormatting>
  <conditionalFormatting sqref="P124 P127">
    <cfRule type="cellIs" dxfId="2188" priority="2189" operator="greaterThan">
      <formula>0</formula>
    </cfRule>
  </conditionalFormatting>
  <conditionalFormatting sqref="Q124 Q127">
    <cfRule type="cellIs" dxfId="2187" priority="2188" operator="lessThan">
      <formula>0</formula>
    </cfRule>
  </conditionalFormatting>
  <conditionalFormatting sqref="R124 R127">
    <cfRule type="cellIs" dxfId="2186" priority="2186" operator="lessThan">
      <formula>0.8</formula>
    </cfRule>
    <cfRule type="cellIs" dxfId="2185" priority="2187" operator="greaterThan">
      <formula>1</formula>
    </cfRule>
  </conditionalFormatting>
  <conditionalFormatting sqref="R124 R127">
    <cfRule type="cellIs" dxfId="2184" priority="2184" operator="greaterThan">
      <formula>1</formula>
    </cfRule>
    <cfRule type="cellIs" dxfId="2183" priority="2185" operator="lessThan">
      <formula>0.8</formula>
    </cfRule>
  </conditionalFormatting>
  <conditionalFormatting sqref="P124 P127">
    <cfRule type="cellIs" dxfId="2182" priority="2183" operator="greaterThan">
      <formula>0</formula>
    </cfRule>
  </conditionalFormatting>
  <conditionalFormatting sqref="Q124 Q127">
    <cfRule type="cellIs" dxfId="2181" priority="2182" operator="lessThan">
      <formula>0</formula>
    </cfRule>
  </conditionalFormatting>
  <conditionalFormatting sqref="R124 R127">
    <cfRule type="cellIs" dxfId="2180" priority="2180" operator="lessThan">
      <formula>0.8</formula>
    </cfRule>
    <cfRule type="cellIs" dxfId="2179" priority="2181" operator="greaterThan">
      <formula>1</formula>
    </cfRule>
  </conditionalFormatting>
  <conditionalFormatting sqref="R124 R127">
    <cfRule type="cellIs" dxfId="2178" priority="2178" operator="greaterThan">
      <formula>1</formula>
    </cfRule>
    <cfRule type="cellIs" dxfId="2177" priority="2179" operator="lessThan">
      <formula>0.8</formula>
    </cfRule>
  </conditionalFormatting>
  <conditionalFormatting sqref="P124 P127">
    <cfRule type="cellIs" dxfId="2176" priority="2177" operator="greaterThan">
      <formula>0</formula>
    </cfRule>
  </conditionalFormatting>
  <conditionalFormatting sqref="Q124 Q127">
    <cfRule type="cellIs" dxfId="2175" priority="2176" operator="lessThan">
      <formula>0</formula>
    </cfRule>
  </conditionalFormatting>
  <conditionalFormatting sqref="R124 R127">
    <cfRule type="cellIs" dxfId="2174" priority="2174" operator="lessThan">
      <formula>0.8</formula>
    </cfRule>
    <cfRule type="cellIs" dxfId="2173" priority="2175" operator="greaterThan">
      <formula>1</formula>
    </cfRule>
  </conditionalFormatting>
  <conditionalFormatting sqref="R124 R127">
    <cfRule type="cellIs" dxfId="2172" priority="2172" operator="greaterThan">
      <formula>1</formula>
    </cfRule>
    <cfRule type="cellIs" dxfId="2171" priority="2173" operator="lessThan">
      <formula>0.8</formula>
    </cfRule>
  </conditionalFormatting>
  <conditionalFormatting sqref="P124 P127">
    <cfRule type="cellIs" dxfId="2170" priority="2171" operator="greaterThan">
      <formula>0</formula>
    </cfRule>
  </conditionalFormatting>
  <conditionalFormatting sqref="Q124 Q127">
    <cfRule type="cellIs" dxfId="2169" priority="2170" operator="lessThan">
      <formula>0</formula>
    </cfRule>
  </conditionalFormatting>
  <conditionalFormatting sqref="R124 R127">
    <cfRule type="cellIs" dxfId="2168" priority="2168" operator="lessThan">
      <formula>0.8</formula>
    </cfRule>
    <cfRule type="cellIs" dxfId="2167" priority="2169" operator="greaterThan">
      <formula>1</formula>
    </cfRule>
  </conditionalFormatting>
  <conditionalFormatting sqref="R124 R127">
    <cfRule type="cellIs" dxfId="2166" priority="2166" operator="greaterThan">
      <formula>1</formula>
    </cfRule>
    <cfRule type="cellIs" dxfId="2165" priority="2167" operator="lessThan">
      <formula>0.8</formula>
    </cfRule>
  </conditionalFormatting>
  <conditionalFormatting sqref="P124 P127">
    <cfRule type="cellIs" dxfId="2164" priority="2165" operator="greaterThan">
      <formula>0</formula>
    </cfRule>
  </conditionalFormatting>
  <conditionalFormatting sqref="P124 P127">
    <cfRule type="cellIs" dxfId="2163" priority="2159" operator="greaterThan">
      <formula>0</formula>
    </cfRule>
  </conditionalFormatting>
  <conditionalFormatting sqref="Q124 Q127">
    <cfRule type="cellIs" dxfId="2162" priority="2164" operator="lessThan">
      <formula>0</formula>
    </cfRule>
  </conditionalFormatting>
  <conditionalFormatting sqref="R124 R127">
    <cfRule type="cellIs" dxfId="2161" priority="2162" operator="lessThan">
      <formula>0.8</formula>
    </cfRule>
    <cfRule type="cellIs" dxfId="2160" priority="2163" operator="greaterThan">
      <formula>1</formula>
    </cfRule>
  </conditionalFormatting>
  <conditionalFormatting sqref="R124 R127">
    <cfRule type="cellIs" dxfId="2159" priority="2160" operator="greaterThan">
      <formula>1</formula>
    </cfRule>
    <cfRule type="cellIs" dxfId="2158" priority="2161" operator="lessThan">
      <formula>0.8</formula>
    </cfRule>
  </conditionalFormatting>
  <conditionalFormatting sqref="P124 P127">
    <cfRule type="cellIs" dxfId="2157" priority="2153" operator="greaterThan">
      <formula>0</formula>
    </cfRule>
  </conditionalFormatting>
  <conditionalFormatting sqref="Q124 Q127">
    <cfRule type="cellIs" dxfId="2156" priority="2158" operator="lessThan">
      <formula>0</formula>
    </cfRule>
  </conditionalFormatting>
  <conditionalFormatting sqref="R124 R127">
    <cfRule type="cellIs" dxfId="2155" priority="2156" operator="lessThan">
      <formula>0.8</formula>
    </cfRule>
    <cfRule type="cellIs" dxfId="2154" priority="2157" operator="greaterThan">
      <formula>1</formula>
    </cfRule>
  </conditionalFormatting>
  <conditionalFormatting sqref="R124 R127">
    <cfRule type="cellIs" dxfId="2153" priority="2154" operator="greaterThan">
      <formula>1</formula>
    </cfRule>
    <cfRule type="cellIs" dxfId="2152" priority="2155" operator="lessThan">
      <formula>0.8</formula>
    </cfRule>
  </conditionalFormatting>
  <conditionalFormatting sqref="R124 R127">
    <cfRule type="cellIs" dxfId="2151" priority="2150" operator="lessThan">
      <formula>0.8</formula>
    </cfRule>
    <cfRule type="cellIs" dxfId="2150" priority="2151" operator="greaterThan">
      <formula>1</formula>
    </cfRule>
  </conditionalFormatting>
  <conditionalFormatting sqref="R124 R127">
    <cfRule type="cellIs" dxfId="2149" priority="2148" operator="greaterThan">
      <formula>1</formula>
    </cfRule>
    <cfRule type="cellIs" dxfId="2148" priority="2149" operator="lessThan">
      <formula>0.8</formula>
    </cfRule>
  </conditionalFormatting>
  <conditionalFormatting sqref="P124 P127">
    <cfRule type="cellIs" dxfId="2147" priority="2147" operator="greaterThan">
      <formula>0</formula>
    </cfRule>
  </conditionalFormatting>
  <conditionalFormatting sqref="Q124 Q127">
    <cfRule type="cellIs" dxfId="2146" priority="2152" operator="lessThan">
      <formula>0</formula>
    </cfRule>
  </conditionalFormatting>
  <conditionalFormatting sqref="Q5:Q14">
    <cfRule type="cellIs" dxfId="2145" priority="2146" operator="lessThan">
      <formula>0</formula>
    </cfRule>
  </conditionalFormatting>
  <conditionalFormatting sqref="R5:R14">
    <cfRule type="cellIs" dxfId="2144" priority="2144" operator="lessThan">
      <formula>0.8</formula>
    </cfRule>
    <cfRule type="cellIs" dxfId="2143" priority="2145" operator="greaterThan">
      <formula>1</formula>
    </cfRule>
  </conditionalFormatting>
  <conditionalFormatting sqref="R5:R14">
    <cfRule type="cellIs" dxfId="2142" priority="2142" operator="greaterThan">
      <formula>1</formula>
    </cfRule>
    <cfRule type="cellIs" dxfId="2141" priority="2143" operator="lessThan">
      <formula>0.8</formula>
    </cfRule>
  </conditionalFormatting>
  <conditionalFormatting sqref="P5:P14">
    <cfRule type="cellIs" dxfId="2140" priority="2141" operator="greaterThan">
      <formula>0</formula>
    </cfRule>
  </conditionalFormatting>
  <conditionalFormatting sqref="Q83">
    <cfRule type="cellIs" dxfId="2139" priority="2140" operator="lessThan">
      <formula>0</formula>
    </cfRule>
  </conditionalFormatting>
  <conditionalFormatting sqref="R83">
    <cfRule type="cellIs" dxfId="2138" priority="2138" operator="lessThan">
      <formula>0.8</formula>
    </cfRule>
    <cfRule type="cellIs" dxfId="2137" priority="2139" operator="greaterThan">
      <formula>1</formula>
    </cfRule>
  </conditionalFormatting>
  <conditionalFormatting sqref="R83">
    <cfRule type="cellIs" dxfId="2136" priority="2136" operator="greaterThan">
      <formula>1</formula>
    </cfRule>
    <cfRule type="cellIs" dxfId="2135" priority="2137" operator="lessThan">
      <formula>0.8</formula>
    </cfRule>
  </conditionalFormatting>
  <conditionalFormatting sqref="P83">
    <cfRule type="cellIs" dxfId="2134" priority="2135" operator="greaterThan">
      <formula>0</formula>
    </cfRule>
  </conditionalFormatting>
  <conditionalFormatting sqref="Q83">
    <cfRule type="cellIs" dxfId="2133" priority="2134" operator="lessThan">
      <formula>0</formula>
    </cfRule>
  </conditionalFormatting>
  <conditionalFormatting sqref="R83">
    <cfRule type="cellIs" dxfId="2132" priority="2132" operator="lessThan">
      <formula>0.8</formula>
    </cfRule>
    <cfRule type="cellIs" dxfId="2131" priority="2133" operator="greaterThan">
      <formula>1</formula>
    </cfRule>
  </conditionalFormatting>
  <conditionalFormatting sqref="R83">
    <cfRule type="cellIs" dxfId="2130" priority="2130" operator="greaterThan">
      <formula>1</formula>
    </cfRule>
    <cfRule type="cellIs" dxfId="2129" priority="2131" operator="lessThan">
      <formula>0.8</formula>
    </cfRule>
  </conditionalFormatting>
  <conditionalFormatting sqref="P83">
    <cfRule type="cellIs" dxfId="2128" priority="2129" operator="greaterThan">
      <formula>0</formula>
    </cfRule>
  </conditionalFormatting>
  <conditionalFormatting sqref="Q83">
    <cfRule type="cellIs" dxfId="2127" priority="2128" operator="lessThan">
      <formula>0</formula>
    </cfRule>
  </conditionalFormatting>
  <conditionalFormatting sqref="R83">
    <cfRule type="cellIs" dxfId="2126" priority="2126" operator="lessThan">
      <formula>0.8</formula>
    </cfRule>
    <cfRule type="cellIs" dxfId="2125" priority="2127" operator="greaterThan">
      <formula>1</formula>
    </cfRule>
  </conditionalFormatting>
  <conditionalFormatting sqref="R83">
    <cfRule type="cellIs" dxfId="2124" priority="2124" operator="greaterThan">
      <formula>1</formula>
    </cfRule>
    <cfRule type="cellIs" dxfId="2123" priority="2125" operator="lessThan">
      <formula>0.8</formula>
    </cfRule>
  </conditionalFormatting>
  <conditionalFormatting sqref="P83">
    <cfRule type="cellIs" dxfId="2122" priority="2123" operator="greaterThan">
      <formula>0</formula>
    </cfRule>
  </conditionalFormatting>
  <conditionalFormatting sqref="Q83">
    <cfRule type="cellIs" dxfId="2121" priority="2122" operator="lessThan">
      <formula>0</formula>
    </cfRule>
  </conditionalFormatting>
  <conditionalFormatting sqref="R83">
    <cfRule type="cellIs" dxfId="2120" priority="2120" operator="lessThan">
      <formula>0.8</formula>
    </cfRule>
    <cfRule type="cellIs" dxfId="2119" priority="2121" operator="greaterThan">
      <formula>1</formula>
    </cfRule>
  </conditionalFormatting>
  <conditionalFormatting sqref="R83">
    <cfRule type="cellIs" dxfId="2118" priority="2118" operator="greaterThan">
      <formula>1</formula>
    </cfRule>
    <cfRule type="cellIs" dxfId="2117" priority="2119" operator="lessThan">
      <formula>0.8</formula>
    </cfRule>
  </conditionalFormatting>
  <conditionalFormatting sqref="P83">
    <cfRule type="cellIs" dxfId="2116" priority="2117" operator="greaterThan">
      <formula>0</formula>
    </cfRule>
  </conditionalFormatting>
  <conditionalFormatting sqref="P83">
    <cfRule type="cellIs" dxfId="2115" priority="2111" operator="greaterThan">
      <formula>0</formula>
    </cfRule>
  </conditionalFormatting>
  <conditionalFormatting sqref="Q83">
    <cfRule type="cellIs" dxfId="2114" priority="2116" operator="lessThan">
      <formula>0</formula>
    </cfRule>
  </conditionalFormatting>
  <conditionalFormatting sqref="R83">
    <cfRule type="cellIs" dxfId="2113" priority="2114" operator="lessThan">
      <formula>0.8</formula>
    </cfRule>
    <cfRule type="cellIs" dxfId="2112" priority="2115" operator="greaterThan">
      <formula>1</formula>
    </cfRule>
  </conditionalFormatting>
  <conditionalFormatting sqref="R83">
    <cfRule type="cellIs" dxfId="2111" priority="2112" operator="greaterThan">
      <formula>1</formula>
    </cfRule>
    <cfRule type="cellIs" dxfId="2110" priority="2113" operator="lessThan">
      <formula>0.8</formula>
    </cfRule>
  </conditionalFormatting>
  <conditionalFormatting sqref="P83">
    <cfRule type="cellIs" dxfId="2109" priority="2105" operator="greaterThan">
      <formula>0</formula>
    </cfRule>
  </conditionalFormatting>
  <conditionalFormatting sqref="Q83">
    <cfRule type="cellIs" dxfId="2108" priority="2110" operator="lessThan">
      <formula>0</formula>
    </cfRule>
  </conditionalFormatting>
  <conditionalFormatting sqref="R83">
    <cfRule type="cellIs" dxfId="2107" priority="2108" operator="lessThan">
      <formula>0.8</formula>
    </cfRule>
    <cfRule type="cellIs" dxfId="2106" priority="2109" operator="greaterThan">
      <formula>1</formula>
    </cfRule>
  </conditionalFormatting>
  <conditionalFormatting sqref="R83">
    <cfRule type="cellIs" dxfId="2105" priority="2106" operator="greaterThan">
      <formula>1</formula>
    </cfRule>
    <cfRule type="cellIs" dxfId="2104" priority="2107" operator="lessThan">
      <formula>0.8</formula>
    </cfRule>
  </conditionalFormatting>
  <conditionalFormatting sqref="R83">
    <cfRule type="cellIs" dxfId="2103" priority="2102" operator="lessThan">
      <formula>0.8</formula>
    </cfRule>
    <cfRule type="cellIs" dxfId="2102" priority="2103" operator="greaterThan">
      <formula>1</formula>
    </cfRule>
  </conditionalFormatting>
  <conditionalFormatting sqref="R83">
    <cfRule type="cellIs" dxfId="2101" priority="2100" operator="greaterThan">
      <formula>1</formula>
    </cfRule>
    <cfRule type="cellIs" dxfId="2100" priority="2101" operator="lessThan">
      <formula>0.8</formula>
    </cfRule>
  </conditionalFormatting>
  <conditionalFormatting sqref="P83">
    <cfRule type="cellIs" dxfId="2099" priority="2099" operator="greaterThan">
      <formula>0</formula>
    </cfRule>
  </conditionalFormatting>
  <conditionalFormatting sqref="Q83">
    <cfRule type="cellIs" dxfId="2098" priority="2104" operator="lessThan">
      <formula>0</formula>
    </cfRule>
  </conditionalFormatting>
  <conditionalFormatting sqref="Q83">
    <cfRule type="cellIs" dxfId="2097" priority="2098" operator="lessThan">
      <formula>0</formula>
    </cfRule>
  </conditionalFormatting>
  <conditionalFormatting sqref="R83">
    <cfRule type="cellIs" dxfId="2096" priority="2096" operator="lessThan">
      <formula>0.8</formula>
    </cfRule>
    <cfRule type="cellIs" dxfId="2095" priority="2097" operator="greaterThan">
      <formula>1</formula>
    </cfRule>
  </conditionalFormatting>
  <conditionalFormatting sqref="R83">
    <cfRule type="cellIs" dxfId="2094" priority="2094" operator="greaterThan">
      <formula>1</formula>
    </cfRule>
    <cfRule type="cellIs" dxfId="2093" priority="2095" operator="lessThan">
      <formula>0.8</formula>
    </cfRule>
  </conditionalFormatting>
  <conditionalFormatting sqref="P83">
    <cfRule type="cellIs" dxfId="2092" priority="2093" operator="greaterThan">
      <formula>0</formula>
    </cfRule>
  </conditionalFormatting>
  <conditionalFormatting sqref="P83">
    <cfRule type="cellIs" dxfId="2091" priority="2087" operator="greaterThan">
      <formula>0</formula>
    </cfRule>
  </conditionalFormatting>
  <conditionalFormatting sqref="Q83">
    <cfRule type="cellIs" dxfId="2090" priority="2092" operator="lessThan">
      <formula>0</formula>
    </cfRule>
  </conditionalFormatting>
  <conditionalFormatting sqref="R83">
    <cfRule type="cellIs" dxfId="2089" priority="2090" operator="lessThan">
      <formula>0.8</formula>
    </cfRule>
    <cfRule type="cellIs" dxfId="2088" priority="2091" operator="greaterThan">
      <formula>1</formula>
    </cfRule>
  </conditionalFormatting>
  <conditionalFormatting sqref="R83">
    <cfRule type="cellIs" dxfId="2087" priority="2088" operator="greaterThan">
      <formula>1</formula>
    </cfRule>
    <cfRule type="cellIs" dxfId="2086" priority="2089" operator="lessThan">
      <formula>0.8</formula>
    </cfRule>
  </conditionalFormatting>
  <conditionalFormatting sqref="P83">
    <cfRule type="cellIs" dxfId="2085" priority="2081" operator="greaterThan">
      <formula>0</formula>
    </cfRule>
  </conditionalFormatting>
  <conditionalFormatting sqref="Q83">
    <cfRule type="cellIs" dxfId="2084" priority="2086" operator="lessThan">
      <formula>0</formula>
    </cfRule>
  </conditionalFormatting>
  <conditionalFormatting sqref="R83">
    <cfRule type="cellIs" dxfId="2083" priority="2084" operator="lessThan">
      <formula>0.8</formula>
    </cfRule>
    <cfRule type="cellIs" dxfId="2082" priority="2085" operator="greaterThan">
      <formula>1</formula>
    </cfRule>
  </conditionalFormatting>
  <conditionalFormatting sqref="R83">
    <cfRule type="cellIs" dxfId="2081" priority="2082" operator="greaterThan">
      <formula>1</formula>
    </cfRule>
    <cfRule type="cellIs" dxfId="2080" priority="2083" operator="lessThan">
      <formula>0.8</formula>
    </cfRule>
  </conditionalFormatting>
  <conditionalFormatting sqref="R83">
    <cfRule type="cellIs" dxfId="2079" priority="2078" operator="lessThan">
      <formula>0.8</formula>
    </cfRule>
    <cfRule type="cellIs" dxfId="2078" priority="2079" operator="greaterThan">
      <formula>1</formula>
    </cfRule>
  </conditionalFormatting>
  <conditionalFormatting sqref="R83">
    <cfRule type="cellIs" dxfId="2077" priority="2076" operator="greaterThan">
      <formula>1</formula>
    </cfRule>
    <cfRule type="cellIs" dxfId="2076" priority="2077" operator="lessThan">
      <formula>0.8</formula>
    </cfRule>
  </conditionalFormatting>
  <conditionalFormatting sqref="P83">
    <cfRule type="cellIs" dxfId="2075" priority="2075" operator="greaterThan">
      <formula>0</formula>
    </cfRule>
  </conditionalFormatting>
  <conditionalFormatting sqref="Q83">
    <cfRule type="cellIs" dxfId="2074" priority="2080" operator="lessThan">
      <formula>0</formula>
    </cfRule>
  </conditionalFormatting>
  <conditionalFormatting sqref="P83">
    <cfRule type="cellIs" dxfId="2073" priority="2069" operator="greaterThan">
      <formula>0</formula>
    </cfRule>
  </conditionalFormatting>
  <conditionalFormatting sqref="Q83">
    <cfRule type="cellIs" dxfId="2072" priority="2074" operator="lessThan">
      <formula>0</formula>
    </cfRule>
  </conditionalFormatting>
  <conditionalFormatting sqref="R83">
    <cfRule type="cellIs" dxfId="2071" priority="2072" operator="lessThan">
      <formula>0.8</formula>
    </cfRule>
    <cfRule type="cellIs" dxfId="2070" priority="2073" operator="greaterThan">
      <formula>1</formula>
    </cfRule>
  </conditionalFormatting>
  <conditionalFormatting sqref="R83">
    <cfRule type="cellIs" dxfId="2069" priority="2070" operator="greaterThan">
      <formula>1</formula>
    </cfRule>
    <cfRule type="cellIs" dxfId="2068" priority="2071" operator="lessThan">
      <formula>0.8</formula>
    </cfRule>
  </conditionalFormatting>
  <conditionalFormatting sqref="R83">
    <cfRule type="cellIs" dxfId="2067" priority="2066" operator="lessThan">
      <formula>0.8</formula>
    </cfRule>
    <cfRule type="cellIs" dxfId="2066" priority="2067" operator="greaterThan">
      <formula>1</formula>
    </cfRule>
  </conditionalFormatting>
  <conditionalFormatting sqref="R83">
    <cfRule type="cellIs" dxfId="2065" priority="2064" operator="greaterThan">
      <formula>1</formula>
    </cfRule>
    <cfRule type="cellIs" dxfId="2064" priority="2065" operator="lessThan">
      <formula>0.8</formula>
    </cfRule>
  </conditionalFormatting>
  <conditionalFormatting sqref="P83">
    <cfRule type="cellIs" dxfId="2063" priority="2063" operator="greaterThan">
      <formula>0</formula>
    </cfRule>
  </conditionalFormatting>
  <conditionalFormatting sqref="Q83">
    <cfRule type="cellIs" dxfId="2062" priority="2068" operator="lessThan">
      <formula>0</formula>
    </cfRule>
  </conditionalFormatting>
  <conditionalFormatting sqref="R83">
    <cfRule type="cellIs" dxfId="2061" priority="2060" operator="lessThan">
      <formula>0.8</formula>
    </cfRule>
    <cfRule type="cellIs" dxfId="2060" priority="2061" operator="greaterThan">
      <formula>1</formula>
    </cfRule>
  </conditionalFormatting>
  <conditionalFormatting sqref="R83">
    <cfRule type="cellIs" dxfId="2059" priority="2058" operator="greaterThan">
      <formula>1</formula>
    </cfRule>
    <cfRule type="cellIs" dxfId="2058" priority="2059" operator="lessThan">
      <formula>0.8</formula>
    </cfRule>
  </conditionalFormatting>
  <conditionalFormatting sqref="P83">
    <cfRule type="cellIs" dxfId="2057" priority="2057" operator="greaterThan">
      <formula>0</formula>
    </cfRule>
  </conditionalFormatting>
  <conditionalFormatting sqref="Q83">
    <cfRule type="cellIs" dxfId="2056" priority="2062" operator="lessThan">
      <formula>0</formula>
    </cfRule>
  </conditionalFormatting>
  <conditionalFormatting sqref="Q83">
    <cfRule type="cellIs" dxfId="2055" priority="2056" operator="lessThan">
      <formula>0</formula>
    </cfRule>
  </conditionalFormatting>
  <conditionalFormatting sqref="R83">
    <cfRule type="cellIs" dxfId="2054" priority="2054" operator="lessThan">
      <formula>0.8</formula>
    </cfRule>
    <cfRule type="cellIs" dxfId="2053" priority="2055" operator="greaterThan">
      <formula>1</formula>
    </cfRule>
  </conditionalFormatting>
  <conditionalFormatting sqref="R83">
    <cfRule type="cellIs" dxfId="2052" priority="2052" operator="greaterThan">
      <formula>1</formula>
    </cfRule>
    <cfRule type="cellIs" dxfId="2051" priority="2053" operator="lessThan">
      <formula>0.8</formula>
    </cfRule>
  </conditionalFormatting>
  <conditionalFormatting sqref="P83">
    <cfRule type="cellIs" dxfId="2050" priority="2051" operator="greaterThan">
      <formula>0</formula>
    </cfRule>
  </conditionalFormatting>
  <conditionalFormatting sqref="Q83">
    <cfRule type="cellIs" dxfId="2049" priority="2045" operator="lessThan">
      <formula>0</formula>
    </cfRule>
  </conditionalFormatting>
  <conditionalFormatting sqref="R83">
    <cfRule type="cellIs" dxfId="2048" priority="2049" operator="lessThan">
      <formula>0.8</formula>
    </cfRule>
    <cfRule type="cellIs" dxfId="2047" priority="2050" operator="greaterThan">
      <formula>1</formula>
    </cfRule>
  </conditionalFormatting>
  <conditionalFormatting sqref="R83">
    <cfRule type="cellIs" dxfId="2046" priority="2047" operator="greaterThan">
      <formula>1</formula>
    </cfRule>
    <cfRule type="cellIs" dxfId="2045" priority="2048" operator="lessThan">
      <formula>0.8</formula>
    </cfRule>
  </conditionalFormatting>
  <conditionalFormatting sqref="P83">
    <cfRule type="cellIs" dxfId="2044" priority="2046" operator="greaterThan">
      <formula>0</formula>
    </cfRule>
  </conditionalFormatting>
  <conditionalFormatting sqref="Q83">
    <cfRule type="cellIs" dxfId="2043" priority="2044" operator="lessThan">
      <formula>0</formula>
    </cfRule>
  </conditionalFormatting>
  <conditionalFormatting sqref="R83">
    <cfRule type="cellIs" dxfId="2042" priority="2042" operator="lessThan">
      <formula>0.8</formula>
    </cfRule>
    <cfRule type="cellIs" dxfId="2041" priority="2043" operator="greaterThan">
      <formula>1</formula>
    </cfRule>
  </conditionalFormatting>
  <conditionalFormatting sqref="R83">
    <cfRule type="cellIs" dxfId="2040" priority="2040" operator="greaterThan">
      <formula>1</formula>
    </cfRule>
    <cfRule type="cellIs" dxfId="2039" priority="2041" operator="lessThan">
      <formula>0.8</formula>
    </cfRule>
  </conditionalFormatting>
  <conditionalFormatting sqref="P83">
    <cfRule type="cellIs" dxfId="2038" priority="2039" operator="greaterThan">
      <formula>0</formula>
    </cfRule>
  </conditionalFormatting>
  <conditionalFormatting sqref="Q83">
    <cfRule type="cellIs" dxfId="2037" priority="2038" operator="lessThan">
      <formula>0</formula>
    </cfRule>
  </conditionalFormatting>
  <conditionalFormatting sqref="R83">
    <cfRule type="cellIs" dxfId="2036" priority="2036" operator="lessThan">
      <formula>0.8</formula>
    </cfRule>
    <cfRule type="cellIs" dxfId="2035" priority="2037" operator="greaterThan">
      <formula>1</formula>
    </cfRule>
  </conditionalFormatting>
  <conditionalFormatting sqref="R83">
    <cfRule type="cellIs" dxfId="2034" priority="2034" operator="greaterThan">
      <formula>1</formula>
    </cfRule>
    <cfRule type="cellIs" dxfId="2033" priority="2035" operator="lessThan">
      <formula>0.8</formula>
    </cfRule>
  </conditionalFormatting>
  <conditionalFormatting sqref="P83">
    <cfRule type="cellIs" dxfId="2032" priority="2033" operator="greaterThan">
      <formula>0</formula>
    </cfRule>
  </conditionalFormatting>
  <conditionalFormatting sqref="Q83">
    <cfRule type="cellIs" dxfId="2031" priority="2032" operator="lessThan">
      <formula>0</formula>
    </cfRule>
  </conditionalFormatting>
  <conditionalFormatting sqref="R83">
    <cfRule type="cellIs" dxfId="2030" priority="2030" operator="lessThan">
      <formula>0.8</formula>
    </cfRule>
    <cfRule type="cellIs" dxfId="2029" priority="2031" operator="greaterThan">
      <formula>1</formula>
    </cfRule>
  </conditionalFormatting>
  <conditionalFormatting sqref="R83">
    <cfRule type="cellIs" dxfId="2028" priority="2028" operator="greaterThan">
      <formula>1</formula>
    </cfRule>
    <cfRule type="cellIs" dxfId="2027" priority="2029" operator="lessThan">
      <formula>0.8</formula>
    </cfRule>
  </conditionalFormatting>
  <conditionalFormatting sqref="P83">
    <cfRule type="cellIs" dxfId="2026" priority="2027" operator="greaterThan">
      <formula>0</formula>
    </cfRule>
  </conditionalFormatting>
  <conditionalFormatting sqref="Q83">
    <cfRule type="cellIs" dxfId="2025" priority="2026" operator="lessThan">
      <formula>0</formula>
    </cfRule>
  </conditionalFormatting>
  <conditionalFormatting sqref="R83">
    <cfRule type="cellIs" dxfId="2024" priority="2024" operator="lessThan">
      <formula>0.8</formula>
    </cfRule>
    <cfRule type="cellIs" dxfId="2023" priority="2025" operator="greaterThan">
      <formula>1</formula>
    </cfRule>
  </conditionalFormatting>
  <conditionalFormatting sqref="R83">
    <cfRule type="cellIs" dxfId="2022" priority="2022" operator="greaterThan">
      <formula>1</formula>
    </cfRule>
    <cfRule type="cellIs" dxfId="2021" priority="2023" operator="lessThan">
      <formula>0.8</formula>
    </cfRule>
  </conditionalFormatting>
  <conditionalFormatting sqref="P83">
    <cfRule type="cellIs" dxfId="2020" priority="2021" operator="greaterThan">
      <formula>0</formula>
    </cfRule>
  </conditionalFormatting>
  <conditionalFormatting sqref="Q83">
    <cfRule type="cellIs" dxfId="2019" priority="2020" operator="lessThan">
      <formula>0</formula>
    </cfRule>
  </conditionalFormatting>
  <conditionalFormatting sqref="R83">
    <cfRule type="cellIs" dxfId="2018" priority="2018" operator="lessThan">
      <formula>0.8</formula>
    </cfRule>
    <cfRule type="cellIs" dxfId="2017" priority="2019" operator="greaterThan">
      <formula>1</formula>
    </cfRule>
  </conditionalFormatting>
  <conditionalFormatting sqref="R83">
    <cfRule type="cellIs" dxfId="2016" priority="2016" operator="greaterThan">
      <formula>1</formula>
    </cfRule>
    <cfRule type="cellIs" dxfId="2015" priority="2017" operator="lessThan">
      <formula>0.8</formula>
    </cfRule>
  </conditionalFormatting>
  <conditionalFormatting sqref="P83">
    <cfRule type="cellIs" dxfId="2014" priority="2015" operator="greaterThan">
      <formula>0</formula>
    </cfRule>
  </conditionalFormatting>
  <conditionalFormatting sqref="P83">
    <cfRule type="cellIs" dxfId="2013" priority="2009" operator="greaterThan">
      <formula>0</formula>
    </cfRule>
  </conditionalFormatting>
  <conditionalFormatting sqref="Q83">
    <cfRule type="cellIs" dxfId="2012" priority="2014" operator="lessThan">
      <formula>0</formula>
    </cfRule>
  </conditionalFormatting>
  <conditionalFormatting sqref="R83">
    <cfRule type="cellIs" dxfId="2011" priority="2012" operator="lessThan">
      <formula>0.8</formula>
    </cfRule>
    <cfRule type="cellIs" dxfId="2010" priority="2013" operator="greaterThan">
      <formula>1</formula>
    </cfRule>
  </conditionalFormatting>
  <conditionalFormatting sqref="R83">
    <cfRule type="cellIs" dxfId="2009" priority="2010" operator="greaterThan">
      <formula>1</formula>
    </cfRule>
    <cfRule type="cellIs" dxfId="2008" priority="2011" operator="lessThan">
      <formula>0.8</formula>
    </cfRule>
  </conditionalFormatting>
  <conditionalFormatting sqref="P83">
    <cfRule type="cellIs" dxfId="2007" priority="2003" operator="greaterThan">
      <formula>0</formula>
    </cfRule>
  </conditionalFormatting>
  <conditionalFormatting sqref="Q83">
    <cfRule type="cellIs" dxfId="2006" priority="2008" operator="lessThan">
      <formula>0</formula>
    </cfRule>
  </conditionalFormatting>
  <conditionalFormatting sqref="R83">
    <cfRule type="cellIs" dxfId="2005" priority="2006" operator="lessThan">
      <formula>0.8</formula>
    </cfRule>
    <cfRule type="cellIs" dxfId="2004" priority="2007" operator="greaterThan">
      <formula>1</formula>
    </cfRule>
  </conditionalFormatting>
  <conditionalFormatting sqref="R83">
    <cfRule type="cellIs" dxfId="2003" priority="2004" operator="greaterThan">
      <formula>1</formula>
    </cfRule>
    <cfRule type="cellIs" dxfId="2002" priority="2005" operator="lessThan">
      <formula>0.8</formula>
    </cfRule>
  </conditionalFormatting>
  <conditionalFormatting sqref="R83">
    <cfRule type="cellIs" dxfId="2001" priority="2000" operator="lessThan">
      <formula>0.8</formula>
    </cfRule>
    <cfRule type="cellIs" dxfId="2000" priority="2001" operator="greaterThan">
      <formula>1</formula>
    </cfRule>
  </conditionalFormatting>
  <conditionalFormatting sqref="R83">
    <cfRule type="cellIs" dxfId="1999" priority="1998" operator="greaterThan">
      <formula>1</formula>
    </cfRule>
    <cfRule type="cellIs" dxfId="1998" priority="1999" operator="lessThan">
      <formula>0.8</formula>
    </cfRule>
  </conditionalFormatting>
  <conditionalFormatting sqref="P83">
    <cfRule type="cellIs" dxfId="1997" priority="1997" operator="greaterThan">
      <formula>0</formula>
    </cfRule>
  </conditionalFormatting>
  <conditionalFormatting sqref="Q83">
    <cfRule type="cellIs" dxfId="1996" priority="2002" operator="lessThan">
      <formula>0</formula>
    </cfRule>
  </conditionalFormatting>
  <conditionalFormatting sqref="Q83">
    <cfRule type="cellIs" dxfId="1995" priority="1991" operator="lessThan">
      <formula>0</formula>
    </cfRule>
  </conditionalFormatting>
  <conditionalFormatting sqref="P83">
    <cfRule type="cellIs" dxfId="1994" priority="1992" operator="greaterThan">
      <formula>0</formula>
    </cfRule>
  </conditionalFormatting>
  <conditionalFormatting sqref="R83">
    <cfRule type="cellIs" dxfId="1993" priority="1995" operator="lessThan">
      <formula>0.8</formula>
    </cfRule>
    <cfRule type="cellIs" dxfId="1992" priority="1996" operator="greaterThan">
      <formula>1</formula>
    </cfRule>
  </conditionalFormatting>
  <conditionalFormatting sqref="R83">
    <cfRule type="cellIs" dxfId="1991" priority="1993" operator="greaterThan">
      <formula>1</formula>
    </cfRule>
    <cfRule type="cellIs" dxfId="1990" priority="1994" operator="lessThan">
      <formula>0.8</formula>
    </cfRule>
  </conditionalFormatting>
  <conditionalFormatting sqref="Q83">
    <cfRule type="cellIs" dxfId="1989" priority="1985" operator="lessThan">
      <formula>0</formula>
    </cfRule>
  </conditionalFormatting>
  <conditionalFormatting sqref="R83">
    <cfRule type="cellIs" dxfId="1988" priority="1989" operator="lessThan">
      <formula>0.8</formula>
    </cfRule>
    <cfRule type="cellIs" dxfId="1987" priority="1990" operator="greaterThan">
      <formula>1</formula>
    </cfRule>
  </conditionalFormatting>
  <conditionalFormatting sqref="R83">
    <cfRule type="cellIs" dxfId="1986" priority="1987" operator="greaterThan">
      <formula>1</formula>
    </cfRule>
    <cfRule type="cellIs" dxfId="1985" priority="1988" operator="lessThan">
      <formula>0.8</formula>
    </cfRule>
  </conditionalFormatting>
  <conditionalFormatting sqref="P83">
    <cfRule type="cellIs" dxfId="1984" priority="1986" operator="greaterThan">
      <formula>0</formula>
    </cfRule>
  </conditionalFormatting>
  <conditionalFormatting sqref="Q83">
    <cfRule type="cellIs" dxfId="1983" priority="1984" operator="lessThan">
      <formula>0</formula>
    </cfRule>
  </conditionalFormatting>
  <conditionalFormatting sqref="R83">
    <cfRule type="cellIs" dxfId="1982" priority="1982" operator="lessThan">
      <formula>0.8</formula>
    </cfRule>
    <cfRule type="cellIs" dxfId="1981" priority="1983" operator="greaterThan">
      <formula>1</formula>
    </cfRule>
  </conditionalFormatting>
  <conditionalFormatting sqref="R83">
    <cfRule type="cellIs" dxfId="1980" priority="1980" operator="greaterThan">
      <formula>1</formula>
    </cfRule>
    <cfRule type="cellIs" dxfId="1979" priority="1981" operator="lessThan">
      <formula>0.8</formula>
    </cfRule>
  </conditionalFormatting>
  <conditionalFormatting sqref="P83">
    <cfRule type="cellIs" dxfId="1978" priority="1979" operator="greaterThan">
      <formula>0</formula>
    </cfRule>
  </conditionalFormatting>
  <conditionalFormatting sqref="Q83">
    <cfRule type="cellIs" dxfId="1977" priority="1978" operator="lessThan">
      <formula>0</formula>
    </cfRule>
  </conditionalFormatting>
  <conditionalFormatting sqref="R83">
    <cfRule type="cellIs" dxfId="1976" priority="1976" operator="lessThan">
      <formula>0.8</formula>
    </cfRule>
    <cfRule type="cellIs" dxfId="1975" priority="1977" operator="greaterThan">
      <formula>1</formula>
    </cfRule>
  </conditionalFormatting>
  <conditionalFormatting sqref="R83">
    <cfRule type="cellIs" dxfId="1974" priority="1974" operator="greaterThan">
      <formula>1</formula>
    </cfRule>
    <cfRule type="cellIs" dxfId="1973" priority="1975" operator="lessThan">
      <formula>0.8</formula>
    </cfRule>
  </conditionalFormatting>
  <conditionalFormatting sqref="P83">
    <cfRule type="cellIs" dxfId="1972" priority="1973" operator="greaterThan">
      <formula>0</formula>
    </cfRule>
  </conditionalFormatting>
  <conditionalFormatting sqref="Q83">
    <cfRule type="cellIs" dxfId="1971" priority="1972" operator="lessThan">
      <formula>0</formula>
    </cfRule>
  </conditionalFormatting>
  <conditionalFormatting sqref="R83">
    <cfRule type="cellIs" dxfId="1970" priority="1970" operator="lessThan">
      <formula>0.8</formula>
    </cfRule>
    <cfRule type="cellIs" dxfId="1969" priority="1971" operator="greaterThan">
      <formula>1</formula>
    </cfRule>
  </conditionalFormatting>
  <conditionalFormatting sqref="R83">
    <cfRule type="cellIs" dxfId="1968" priority="1968" operator="greaterThan">
      <formula>1</formula>
    </cfRule>
    <cfRule type="cellIs" dxfId="1967" priority="1969" operator="lessThan">
      <formula>0.8</formula>
    </cfRule>
  </conditionalFormatting>
  <conditionalFormatting sqref="P83">
    <cfRule type="cellIs" dxfId="1966" priority="1967" operator="greaterThan">
      <formula>0</formula>
    </cfRule>
  </conditionalFormatting>
  <conditionalFormatting sqref="Q32:Q39">
    <cfRule type="cellIs" dxfId="1965" priority="1961" operator="lessThan">
      <formula>0</formula>
    </cfRule>
  </conditionalFormatting>
  <conditionalFormatting sqref="P32:P39">
    <cfRule type="cellIs" dxfId="1964" priority="1962" operator="greaterThan">
      <formula>0</formula>
    </cfRule>
  </conditionalFormatting>
  <conditionalFormatting sqref="R32:R39">
    <cfRule type="cellIs" dxfId="1963" priority="1965" operator="lessThan">
      <formula>0.8</formula>
    </cfRule>
    <cfRule type="cellIs" dxfId="1962" priority="1966" operator="greaterThan">
      <formula>1</formula>
    </cfRule>
  </conditionalFormatting>
  <conditionalFormatting sqref="R32:R39">
    <cfRule type="cellIs" dxfId="1961" priority="1963" operator="greaterThan">
      <formula>1</formula>
    </cfRule>
    <cfRule type="cellIs" dxfId="1960" priority="1964" operator="lessThan">
      <formula>0.8</formula>
    </cfRule>
  </conditionalFormatting>
  <conditionalFormatting sqref="Q32:Q39">
    <cfRule type="cellIs" dxfId="1959" priority="1955" operator="lessThan">
      <formula>0</formula>
    </cfRule>
  </conditionalFormatting>
  <conditionalFormatting sqref="R32:R39">
    <cfRule type="cellIs" dxfId="1958" priority="1959" operator="lessThan">
      <formula>0.8</formula>
    </cfRule>
    <cfRule type="cellIs" dxfId="1957" priority="1960" operator="greaterThan">
      <formula>1</formula>
    </cfRule>
  </conditionalFormatting>
  <conditionalFormatting sqref="R32:R39">
    <cfRule type="cellIs" dxfId="1956" priority="1957" operator="greaterThan">
      <formula>1</formula>
    </cfRule>
    <cfRule type="cellIs" dxfId="1955" priority="1958" operator="lessThan">
      <formula>0.8</formula>
    </cfRule>
  </conditionalFormatting>
  <conditionalFormatting sqref="P32:P39">
    <cfRule type="cellIs" dxfId="1954" priority="1956" operator="greaterThan">
      <formula>0</formula>
    </cfRule>
  </conditionalFormatting>
  <conditionalFormatting sqref="Q32:Q39">
    <cfRule type="cellIs" dxfId="1953" priority="1954" operator="lessThan">
      <formula>0</formula>
    </cfRule>
  </conditionalFormatting>
  <conditionalFormatting sqref="R32:R39">
    <cfRule type="cellIs" dxfId="1952" priority="1952" operator="lessThan">
      <formula>0.8</formula>
    </cfRule>
    <cfRule type="cellIs" dxfId="1951" priority="1953" operator="greaterThan">
      <formula>1</formula>
    </cfRule>
  </conditionalFormatting>
  <conditionalFormatting sqref="R32:R39">
    <cfRule type="cellIs" dxfId="1950" priority="1950" operator="greaterThan">
      <formula>1</formula>
    </cfRule>
    <cfRule type="cellIs" dxfId="1949" priority="1951" operator="lessThan">
      <formula>0.8</formula>
    </cfRule>
  </conditionalFormatting>
  <conditionalFormatting sqref="P32:P39">
    <cfRule type="cellIs" dxfId="1948" priority="1949" operator="greaterThan">
      <formula>0</formula>
    </cfRule>
  </conditionalFormatting>
  <conditionalFormatting sqref="Q32:Q39">
    <cfRule type="cellIs" dxfId="1947" priority="1948" operator="lessThan">
      <formula>0</formula>
    </cfRule>
  </conditionalFormatting>
  <conditionalFormatting sqref="R32:R39">
    <cfRule type="cellIs" dxfId="1946" priority="1946" operator="lessThan">
      <formula>0.8</formula>
    </cfRule>
    <cfRule type="cellIs" dxfId="1945" priority="1947" operator="greaterThan">
      <formula>1</formula>
    </cfRule>
  </conditionalFormatting>
  <conditionalFormatting sqref="R32:R39">
    <cfRule type="cellIs" dxfId="1944" priority="1944" operator="greaterThan">
      <formula>1</formula>
    </cfRule>
    <cfRule type="cellIs" dxfId="1943" priority="1945" operator="lessThan">
      <formula>0.8</formula>
    </cfRule>
  </conditionalFormatting>
  <conditionalFormatting sqref="P32:P39">
    <cfRule type="cellIs" dxfId="1942" priority="1943" operator="greaterThan">
      <formula>0</formula>
    </cfRule>
  </conditionalFormatting>
  <conditionalFormatting sqref="Q32:Q39">
    <cfRule type="cellIs" dxfId="1941" priority="1937" operator="lessThan">
      <formula>0</formula>
    </cfRule>
  </conditionalFormatting>
  <conditionalFormatting sqref="R32:R39">
    <cfRule type="cellIs" dxfId="1940" priority="1941" operator="lessThan">
      <formula>0.8</formula>
    </cfRule>
    <cfRule type="cellIs" dxfId="1939" priority="1942" operator="greaterThan">
      <formula>1</formula>
    </cfRule>
  </conditionalFormatting>
  <conditionalFormatting sqref="R32:R39">
    <cfRule type="cellIs" dxfId="1938" priority="1939" operator="greaterThan">
      <formula>1</formula>
    </cfRule>
    <cfRule type="cellIs" dxfId="1937" priority="1940" operator="lessThan">
      <formula>0.8</formula>
    </cfRule>
  </conditionalFormatting>
  <conditionalFormatting sqref="P32:P39">
    <cfRule type="cellIs" dxfId="1936" priority="1938" operator="greaterThan">
      <formula>0</formula>
    </cfRule>
  </conditionalFormatting>
  <conditionalFormatting sqref="Q32:Q39">
    <cfRule type="cellIs" dxfId="1935" priority="1936" operator="lessThan">
      <formula>0</formula>
    </cfRule>
  </conditionalFormatting>
  <conditionalFormatting sqref="R32:R39">
    <cfRule type="cellIs" dxfId="1934" priority="1934" operator="lessThan">
      <formula>0.8</formula>
    </cfRule>
    <cfRule type="cellIs" dxfId="1933" priority="1935" operator="greaterThan">
      <formula>1</formula>
    </cfRule>
  </conditionalFormatting>
  <conditionalFormatting sqref="R32:R39">
    <cfRule type="cellIs" dxfId="1932" priority="1932" operator="greaterThan">
      <formula>1</formula>
    </cfRule>
    <cfRule type="cellIs" dxfId="1931" priority="1933" operator="lessThan">
      <formula>0.8</formula>
    </cfRule>
  </conditionalFormatting>
  <conditionalFormatting sqref="P32:P39">
    <cfRule type="cellIs" dxfId="1930" priority="1931" operator="greaterThan">
      <formula>0</formula>
    </cfRule>
  </conditionalFormatting>
  <conditionalFormatting sqref="Q32:Q39">
    <cfRule type="cellIs" dxfId="1929" priority="1930" operator="lessThan">
      <formula>0</formula>
    </cfRule>
  </conditionalFormatting>
  <conditionalFormatting sqref="R32:R39">
    <cfRule type="cellIs" dxfId="1928" priority="1928" operator="lessThan">
      <formula>0.8</formula>
    </cfRule>
    <cfRule type="cellIs" dxfId="1927" priority="1929" operator="greaterThan">
      <formula>1</formula>
    </cfRule>
  </conditionalFormatting>
  <conditionalFormatting sqref="R32:R39">
    <cfRule type="cellIs" dxfId="1926" priority="1926" operator="greaterThan">
      <formula>1</formula>
    </cfRule>
    <cfRule type="cellIs" dxfId="1925" priority="1927" operator="lessThan">
      <formula>0.8</formula>
    </cfRule>
  </conditionalFormatting>
  <conditionalFormatting sqref="P32:P39">
    <cfRule type="cellIs" dxfId="1924" priority="1925" operator="greaterThan">
      <formula>0</formula>
    </cfRule>
  </conditionalFormatting>
  <conditionalFormatting sqref="Q32:Q39">
    <cfRule type="cellIs" dxfId="1923" priority="1924" operator="lessThan">
      <formula>0</formula>
    </cfRule>
  </conditionalFormatting>
  <conditionalFormatting sqref="R32:R39">
    <cfRule type="cellIs" dxfId="1922" priority="1922" operator="lessThan">
      <formula>0.8</formula>
    </cfRule>
    <cfRule type="cellIs" dxfId="1921" priority="1923" operator="greaterThan">
      <formula>1</formula>
    </cfRule>
  </conditionalFormatting>
  <conditionalFormatting sqref="R32:R39">
    <cfRule type="cellIs" dxfId="1920" priority="1920" operator="greaterThan">
      <formula>1</formula>
    </cfRule>
    <cfRule type="cellIs" dxfId="1919" priority="1921" operator="lessThan">
      <formula>0.8</formula>
    </cfRule>
  </conditionalFormatting>
  <conditionalFormatting sqref="P32:P39">
    <cfRule type="cellIs" dxfId="1918" priority="1919" operator="greaterThan">
      <formula>0</formula>
    </cfRule>
  </conditionalFormatting>
  <conditionalFormatting sqref="Q32:Q39">
    <cfRule type="cellIs" dxfId="1917" priority="1918" operator="lessThan">
      <formula>0</formula>
    </cfRule>
  </conditionalFormatting>
  <conditionalFormatting sqref="R32:R39">
    <cfRule type="cellIs" dxfId="1916" priority="1916" operator="lessThan">
      <formula>0.8</formula>
    </cfRule>
    <cfRule type="cellIs" dxfId="1915" priority="1917" operator="greaterThan">
      <formula>1</formula>
    </cfRule>
  </conditionalFormatting>
  <conditionalFormatting sqref="R32:R39">
    <cfRule type="cellIs" dxfId="1914" priority="1914" operator="greaterThan">
      <formula>1</formula>
    </cfRule>
    <cfRule type="cellIs" dxfId="1913" priority="1915" operator="lessThan">
      <formula>0.8</formula>
    </cfRule>
  </conditionalFormatting>
  <conditionalFormatting sqref="P32:P39">
    <cfRule type="cellIs" dxfId="1912" priority="1913" operator="greaterThan">
      <formula>0</formula>
    </cfRule>
  </conditionalFormatting>
  <conditionalFormatting sqref="Q32:Q39">
    <cfRule type="cellIs" dxfId="1911" priority="1912" operator="lessThan">
      <formula>0</formula>
    </cfRule>
  </conditionalFormatting>
  <conditionalFormatting sqref="R32:R39">
    <cfRule type="cellIs" dxfId="1910" priority="1910" operator="lessThan">
      <formula>0.8</formula>
    </cfRule>
    <cfRule type="cellIs" dxfId="1909" priority="1911" operator="greaterThan">
      <formula>1</formula>
    </cfRule>
  </conditionalFormatting>
  <conditionalFormatting sqref="R32:R39">
    <cfRule type="cellIs" dxfId="1908" priority="1908" operator="greaterThan">
      <formula>1</formula>
    </cfRule>
    <cfRule type="cellIs" dxfId="1907" priority="1909" operator="lessThan">
      <formula>0.8</formula>
    </cfRule>
  </conditionalFormatting>
  <conditionalFormatting sqref="P32:P39">
    <cfRule type="cellIs" dxfId="1906" priority="1907" operator="greaterThan">
      <formula>0</formula>
    </cfRule>
  </conditionalFormatting>
  <conditionalFormatting sqref="P32:P39">
    <cfRule type="cellIs" dxfId="1905" priority="1901" operator="greaterThan">
      <formula>0</formula>
    </cfRule>
  </conditionalFormatting>
  <conditionalFormatting sqref="Q32:Q39">
    <cfRule type="cellIs" dxfId="1904" priority="1906" operator="lessThan">
      <formula>0</formula>
    </cfRule>
  </conditionalFormatting>
  <conditionalFormatting sqref="R32:R39">
    <cfRule type="cellIs" dxfId="1903" priority="1904" operator="lessThan">
      <formula>0.8</formula>
    </cfRule>
    <cfRule type="cellIs" dxfId="1902" priority="1905" operator="greaterThan">
      <formula>1</formula>
    </cfRule>
  </conditionalFormatting>
  <conditionalFormatting sqref="R32:R39">
    <cfRule type="cellIs" dxfId="1901" priority="1902" operator="greaterThan">
      <formula>1</formula>
    </cfRule>
    <cfRule type="cellIs" dxfId="1900" priority="1903" operator="lessThan">
      <formula>0.8</formula>
    </cfRule>
  </conditionalFormatting>
  <conditionalFormatting sqref="P32:P39">
    <cfRule type="cellIs" dxfId="1899" priority="1895" operator="greaterThan">
      <formula>0</formula>
    </cfRule>
  </conditionalFormatting>
  <conditionalFormatting sqref="Q32:Q39">
    <cfRule type="cellIs" dxfId="1898" priority="1900" operator="lessThan">
      <formula>0</formula>
    </cfRule>
  </conditionalFormatting>
  <conditionalFormatting sqref="R32:R39">
    <cfRule type="cellIs" dxfId="1897" priority="1898" operator="lessThan">
      <formula>0.8</formula>
    </cfRule>
    <cfRule type="cellIs" dxfId="1896" priority="1899" operator="greaterThan">
      <formula>1</formula>
    </cfRule>
  </conditionalFormatting>
  <conditionalFormatting sqref="R32:R39">
    <cfRule type="cellIs" dxfId="1895" priority="1896" operator="greaterThan">
      <formula>1</formula>
    </cfRule>
    <cfRule type="cellIs" dxfId="1894" priority="1897" operator="lessThan">
      <formula>0.8</formula>
    </cfRule>
  </conditionalFormatting>
  <conditionalFormatting sqref="R32:R39">
    <cfRule type="cellIs" dxfId="1893" priority="1892" operator="lessThan">
      <formula>0.8</formula>
    </cfRule>
    <cfRule type="cellIs" dxfId="1892" priority="1893" operator="greaterThan">
      <formula>1</formula>
    </cfRule>
  </conditionalFormatting>
  <conditionalFormatting sqref="R32:R39">
    <cfRule type="cellIs" dxfId="1891" priority="1890" operator="greaterThan">
      <formula>1</formula>
    </cfRule>
    <cfRule type="cellIs" dxfId="1890" priority="1891" operator="lessThan">
      <formula>0.8</formula>
    </cfRule>
  </conditionalFormatting>
  <conditionalFormatting sqref="P32:P39">
    <cfRule type="cellIs" dxfId="1889" priority="1889" operator="greaterThan">
      <formula>0</formula>
    </cfRule>
  </conditionalFormatting>
  <conditionalFormatting sqref="Q32:Q39">
    <cfRule type="cellIs" dxfId="1888" priority="1894" operator="lessThan">
      <formula>0</formula>
    </cfRule>
  </conditionalFormatting>
  <conditionalFormatting sqref="Q32:Q39">
    <cfRule type="cellIs" dxfId="1887" priority="1883" operator="lessThan">
      <formula>0</formula>
    </cfRule>
  </conditionalFormatting>
  <conditionalFormatting sqref="P32:P39">
    <cfRule type="cellIs" dxfId="1886" priority="1884" operator="greaterThan">
      <formula>0</formula>
    </cfRule>
  </conditionalFormatting>
  <conditionalFormatting sqref="R32:R39">
    <cfRule type="cellIs" dxfId="1885" priority="1887" operator="lessThan">
      <formula>0.8</formula>
    </cfRule>
    <cfRule type="cellIs" dxfId="1884" priority="1888" operator="greaterThan">
      <formula>1</formula>
    </cfRule>
  </conditionalFormatting>
  <conditionalFormatting sqref="R32:R39">
    <cfRule type="cellIs" dxfId="1883" priority="1885" operator="greaterThan">
      <formula>1</formula>
    </cfRule>
    <cfRule type="cellIs" dxfId="1882" priority="1886" operator="lessThan">
      <formula>0.8</formula>
    </cfRule>
  </conditionalFormatting>
  <conditionalFormatting sqref="Q32:Q39">
    <cfRule type="cellIs" dxfId="1881" priority="1877" operator="lessThan">
      <formula>0</formula>
    </cfRule>
  </conditionalFormatting>
  <conditionalFormatting sqref="R32:R39">
    <cfRule type="cellIs" dxfId="1880" priority="1881" operator="lessThan">
      <formula>0.8</formula>
    </cfRule>
    <cfRule type="cellIs" dxfId="1879" priority="1882" operator="greaterThan">
      <formula>1</formula>
    </cfRule>
  </conditionalFormatting>
  <conditionalFormatting sqref="R32:R39">
    <cfRule type="cellIs" dxfId="1878" priority="1879" operator="greaterThan">
      <formula>1</formula>
    </cfRule>
    <cfRule type="cellIs" dxfId="1877" priority="1880" operator="lessThan">
      <formula>0.8</formula>
    </cfRule>
  </conditionalFormatting>
  <conditionalFormatting sqref="P32:P39">
    <cfRule type="cellIs" dxfId="1876" priority="1878" operator="greaterThan">
      <formula>0</formula>
    </cfRule>
  </conditionalFormatting>
  <conditionalFormatting sqref="Q32:Q39">
    <cfRule type="cellIs" dxfId="1875" priority="1876" operator="lessThan">
      <formula>0</formula>
    </cfRule>
  </conditionalFormatting>
  <conditionalFormatting sqref="R32:R39">
    <cfRule type="cellIs" dxfId="1874" priority="1874" operator="lessThan">
      <formula>0.8</formula>
    </cfRule>
    <cfRule type="cellIs" dxfId="1873" priority="1875" operator="greaterThan">
      <formula>1</formula>
    </cfRule>
  </conditionalFormatting>
  <conditionalFormatting sqref="R32:R39">
    <cfRule type="cellIs" dxfId="1872" priority="1872" operator="greaterThan">
      <formula>1</formula>
    </cfRule>
    <cfRule type="cellIs" dxfId="1871" priority="1873" operator="lessThan">
      <formula>0.8</formula>
    </cfRule>
  </conditionalFormatting>
  <conditionalFormatting sqref="P32:P39">
    <cfRule type="cellIs" dxfId="1870" priority="1871" operator="greaterThan">
      <formula>0</formula>
    </cfRule>
  </conditionalFormatting>
  <conditionalFormatting sqref="Q32:Q39">
    <cfRule type="cellIs" dxfId="1869" priority="1870" operator="lessThan">
      <formula>0</formula>
    </cfRule>
  </conditionalFormatting>
  <conditionalFormatting sqref="R32:R39">
    <cfRule type="cellIs" dxfId="1868" priority="1868" operator="lessThan">
      <formula>0.8</formula>
    </cfRule>
    <cfRule type="cellIs" dxfId="1867" priority="1869" operator="greaterThan">
      <formula>1</formula>
    </cfRule>
  </conditionalFormatting>
  <conditionalFormatting sqref="R32:R39">
    <cfRule type="cellIs" dxfId="1866" priority="1866" operator="greaterThan">
      <formula>1</formula>
    </cfRule>
    <cfRule type="cellIs" dxfId="1865" priority="1867" operator="lessThan">
      <formula>0.8</formula>
    </cfRule>
  </conditionalFormatting>
  <conditionalFormatting sqref="P32:P39">
    <cfRule type="cellIs" dxfId="1864" priority="1865" operator="greaterThan">
      <formula>0</formula>
    </cfRule>
  </conditionalFormatting>
  <conditionalFormatting sqref="Q32:Q39">
    <cfRule type="cellIs" dxfId="1863" priority="1859" operator="lessThan">
      <formula>0</formula>
    </cfRule>
  </conditionalFormatting>
  <conditionalFormatting sqref="P32:P39">
    <cfRule type="cellIs" dxfId="1862" priority="1860" operator="greaterThan">
      <formula>0</formula>
    </cfRule>
  </conditionalFormatting>
  <conditionalFormatting sqref="R32:R39">
    <cfRule type="cellIs" dxfId="1861" priority="1863" operator="lessThan">
      <formula>0.8</formula>
    </cfRule>
    <cfRule type="cellIs" dxfId="1860" priority="1864" operator="greaterThan">
      <formula>1</formula>
    </cfRule>
  </conditionalFormatting>
  <conditionalFormatting sqref="R32:R39">
    <cfRule type="cellIs" dxfId="1859" priority="1861" operator="greaterThan">
      <formula>1</formula>
    </cfRule>
    <cfRule type="cellIs" dxfId="1858" priority="1862" operator="lessThan">
      <formula>0.8</formula>
    </cfRule>
  </conditionalFormatting>
  <conditionalFormatting sqref="Q32:Q39">
    <cfRule type="cellIs" dxfId="1857" priority="1853" operator="lessThan">
      <formula>0</formula>
    </cfRule>
  </conditionalFormatting>
  <conditionalFormatting sqref="R32:R39">
    <cfRule type="cellIs" dxfId="1856" priority="1857" operator="lessThan">
      <formula>0.8</formula>
    </cfRule>
    <cfRule type="cellIs" dxfId="1855" priority="1858" operator="greaterThan">
      <formula>1</formula>
    </cfRule>
  </conditionalFormatting>
  <conditionalFormatting sqref="R32:R39">
    <cfRule type="cellIs" dxfId="1854" priority="1855" operator="greaterThan">
      <formula>1</formula>
    </cfRule>
    <cfRule type="cellIs" dxfId="1853" priority="1856" operator="lessThan">
      <formula>0.8</formula>
    </cfRule>
  </conditionalFormatting>
  <conditionalFormatting sqref="P32:P39">
    <cfRule type="cellIs" dxfId="1852" priority="1854" operator="greaterThan">
      <formula>0</formula>
    </cfRule>
  </conditionalFormatting>
  <conditionalFormatting sqref="Q32:Q39">
    <cfRule type="cellIs" dxfId="1851" priority="1852" operator="lessThan">
      <formula>0</formula>
    </cfRule>
  </conditionalFormatting>
  <conditionalFormatting sqref="R32:R39">
    <cfRule type="cellIs" dxfId="1850" priority="1850" operator="lessThan">
      <formula>0.8</formula>
    </cfRule>
    <cfRule type="cellIs" dxfId="1849" priority="1851" operator="greaterThan">
      <formula>1</formula>
    </cfRule>
  </conditionalFormatting>
  <conditionalFormatting sqref="R32:R39">
    <cfRule type="cellIs" dxfId="1848" priority="1848" operator="greaterThan">
      <formula>1</formula>
    </cfRule>
    <cfRule type="cellIs" dxfId="1847" priority="1849" operator="lessThan">
      <formula>0.8</formula>
    </cfRule>
  </conditionalFormatting>
  <conditionalFormatting sqref="P32:P39">
    <cfRule type="cellIs" dxfId="1846" priority="1847" operator="greaterThan">
      <formula>0</formula>
    </cfRule>
  </conditionalFormatting>
  <conditionalFormatting sqref="Q32:Q39">
    <cfRule type="cellIs" dxfId="1845" priority="1846" operator="lessThan">
      <formula>0</formula>
    </cfRule>
  </conditionalFormatting>
  <conditionalFormatting sqref="R32:R39">
    <cfRule type="cellIs" dxfId="1844" priority="1844" operator="lessThan">
      <formula>0.8</formula>
    </cfRule>
    <cfRule type="cellIs" dxfId="1843" priority="1845" operator="greaterThan">
      <formula>1</formula>
    </cfRule>
  </conditionalFormatting>
  <conditionalFormatting sqref="R32:R39">
    <cfRule type="cellIs" dxfId="1842" priority="1842" operator="greaterThan">
      <formula>1</formula>
    </cfRule>
    <cfRule type="cellIs" dxfId="1841" priority="1843" operator="lessThan">
      <formula>0.8</formula>
    </cfRule>
  </conditionalFormatting>
  <conditionalFormatting sqref="P32:P39">
    <cfRule type="cellIs" dxfId="1840" priority="1841" operator="greaterThan">
      <formula>0</formula>
    </cfRule>
  </conditionalFormatting>
  <conditionalFormatting sqref="Q19:Q24">
    <cfRule type="cellIs" dxfId="1839" priority="1840" operator="lessThan">
      <formula>0</formula>
    </cfRule>
  </conditionalFormatting>
  <conditionalFormatting sqref="R19:R24">
    <cfRule type="cellIs" dxfId="1838" priority="1838" operator="lessThan">
      <formula>0.8</formula>
    </cfRule>
    <cfRule type="cellIs" dxfId="1837" priority="1839" operator="greaterThan">
      <formula>1</formula>
    </cfRule>
  </conditionalFormatting>
  <conditionalFormatting sqref="R19:R24">
    <cfRule type="cellIs" dxfId="1836" priority="1836" operator="greaterThan">
      <formula>1</formula>
    </cfRule>
    <cfRule type="cellIs" dxfId="1835" priority="1837" operator="lessThan">
      <formula>0.8</formula>
    </cfRule>
  </conditionalFormatting>
  <conditionalFormatting sqref="P19:P24">
    <cfRule type="cellIs" dxfId="1834" priority="1835" operator="greaterThan">
      <formula>0</formula>
    </cfRule>
  </conditionalFormatting>
  <conditionalFormatting sqref="R19:R24">
    <cfRule type="cellIs" dxfId="1833" priority="1832" operator="lessThan">
      <formula>0.8</formula>
    </cfRule>
    <cfRule type="cellIs" dxfId="1832" priority="1833" operator="greaterThan">
      <formula>1</formula>
    </cfRule>
  </conditionalFormatting>
  <conditionalFormatting sqref="R19:R24">
    <cfRule type="cellIs" dxfId="1831" priority="1830" operator="greaterThan">
      <formula>1</formula>
    </cfRule>
    <cfRule type="cellIs" dxfId="1830" priority="1831" operator="lessThan">
      <formula>0.8</formula>
    </cfRule>
  </conditionalFormatting>
  <conditionalFormatting sqref="P19:P24">
    <cfRule type="cellIs" dxfId="1829" priority="1829" operator="greaterThan">
      <formula>0</formula>
    </cfRule>
  </conditionalFormatting>
  <conditionalFormatting sqref="Q19:Q24">
    <cfRule type="cellIs" dxfId="1828" priority="1834" operator="lessThan">
      <formula>0</formula>
    </cfRule>
  </conditionalFormatting>
  <conditionalFormatting sqref="R19:R24">
    <cfRule type="cellIs" dxfId="1827" priority="1826" operator="lessThan">
      <formula>0.8</formula>
    </cfRule>
    <cfRule type="cellIs" dxfId="1826" priority="1827" operator="greaterThan">
      <formula>1</formula>
    </cfRule>
  </conditionalFormatting>
  <conditionalFormatting sqref="R19:R24">
    <cfRule type="cellIs" dxfId="1825" priority="1824" operator="greaterThan">
      <formula>1</formula>
    </cfRule>
    <cfRule type="cellIs" dxfId="1824" priority="1825" operator="lessThan">
      <formula>0.8</formula>
    </cfRule>
  </conditionalFormatting>
  <conditionalFormatting sqref="P19:P24">
    <cfRule type="cellIs" dxfId="1823" priority="1823" operator="greaterThan">
      <formula>0</formula>
    </cfRule>
  </conditionalFormatting>
  <conditionalFormatting sqref="Q19:Q24">
    <cfRule type="cellIs" dxfId="1822" priority="1828" operator="lessThan">
      <formula>0</formula>
    </cfRule>
  </conditionalFormatting>
  <conditionalFormatting sqref="Q19:Q24">
    <cfRule type="cellIs" dxfId="1821" priority="1822" operator="lessThan">
      <formula>0</formula>
    </cfRule>
  </conditionalFormatting>
  <conditionalFormatting sqref="R19:R24">
    <cfRule type="cellIs" dxfId="1820" priority="1820" operator="lessThan">
      <formula>0.8</formula>
    </cfRule>
    <cfRule type="cellIs" dxfId="1819" priority="1821" operator="greaterThan">
      <formula>1</formula>
    </cfRule>
  </conditionalFormatting>
  <conditionalFormatting sqref="R19:R24">
    <cfRule type="cellIs" dxfId="1818" priority="1818" operator="greaterThan">
      <formula>1</formula>
    </cfRule>
    <cfRule type="cellIs" dxfId="1817" priority="1819" operator="lessThan">
      <formula>0.8</formula>
    </cfRule>
  </conditionalFormatting>
  <conditionalFormatting sqref="P19:P24">
    <cfRule type="cellIs" dxfId="1816" priority="1817" operator="greaterThan">
      <formula>0</formula>
    </cfRule>
  </conditionalFormatting>
  <conditionalFormatting sqref="Q135:Q136 Q139 Q142">
    <cfRule type="cellIs" dxfId="1815" priority="1816" operator="lessThan">
      <formula>0</formula>
    </cfRule>
  </conditionalFormatting>
  <conditionalFormatting sqref="R135:R136 R139 R142">
    <cfRule type="cellIs" dxfId="1814" priority="1814" operator="lessThan">
      <formula>0.8</formula>
    </cfRule>
    <cfRule type="cellIs" dxfId="1813" priority="1815" operator="greaterThan">
      <formula>1</formula>
    </cfRule>
  </conditionalFormatting>
  <conditionalFormatting sqref="R135:R136 R139 R142">
    <cfRule type="cellIs" dxfId="1812" priority="1812" operator="greaterThan">
      <formula>1</formula>
    </cfRule>
    <cfRule type="cellIs" dxfId="1811" priority="1813" operator="lessThan">
      <formula>0.8</formula>
    </cfRule>
  </conditionalFormatting>
  <conditionalFormatting sqref="P135:P136 P139 P142">
    <cfRule type="cellIs" dxfId="1810" priority="1811" operator="greaterThan">
      <formula>0</formula>
    </cfRule>
  </conditionalFormatting>
  <conditionalFormatting sqref="P135:P136 P139 P142">
    <cfRule type="cellIs" dxfId="1809" priority="1805" operator="greaterThan">
      <formula>0</formula>
    </cfRule>
  </conditionalFormatting>
  <conditionalFormatting sqref="Q135:Q136 Q139 Q142">
    <cfRule type="cellIs" dxfId="1808" priority="1810" operator="lessThan">
      <formula>0</formula>
    </cfRule>
  </conditionalFormatting>
  <conditionalFormatting sqref="R135:R136 R139 R142">
    <cfRule type="cellIs" dxfId="1807" priority="1808" operator="lessThan">
      <formula>0.8</formula>
    </cfRule>
    <cfRule type="cellIs" dxfId="1806" priority="1809" operator="greaterThan">
      <formula>1</formula>
    </cfRule>
  </conditionalFormatting>
  <conditionalFormatting sqref="R135:R136 R139 R142">
    <cfRule type="cellIs" dxfId="1805" priority="1806" operator="greaterThan">
      <formula>1</formula>
    </cfRule>
    <cfRule type="cellIs" dxfId="1804" priority="1807" operator="lessThan">
      <formula>0.8</formula>
    </cfRule>
  </conditionalFormatting>
  <conditionalFormatting sqref="Q25">
    <cfRule type="cellIs" dxfId="1803" priority="1804" operator="lessThan">
      <formula>0</formula>
    </cfRule>
  </conditionalFormatting>
  <conditionalFormatting sqref="R25">
    <cfRule type="cellIs" dxfId="1802" priority="1802" operator="lessThan">
      <formula>0.8</formula>
    </cfRule>
    <cfRule type="cellIs" dxfId="1801" priority="1803" operator="greaterThan">
      <formula>1</formula>
    </cfRule>
  </conditionalFormatting>
  <conditionalFormatting sqref="R25">
    <cfRule type="cellIs" dxfId="1800" priority="1800" operator="greaterThan">
      <formula>1</formula>
    </cfRule>
    <cfRule type="cellIs" dxfId="1799" priority="1801" operator="lessThan">
      <formula>0.8</formula>
    </cfRule>
  </conditionalFormatting>
  <conditionalFormatting sqref="P25">
    <cfRule type="cellIs" dxfId="1798" priority="1799" operator="greaterThan">
      <formula>0</formula>
    </cfRule>
  </conditionalFormatting>
  <conditionalFormatting sqref="R25">
    <cfRule type="cellIs" dxfId="1797" priority="1796" operator="lessThan">
      <formula>0.8</formula>
    </cfRule>
    <cfRule type="cellIs" dxfId="1796" priority="1797" operator="greaterThan">
      <formula>1</formula>
    </cfRule>
  </conditionalFormatting>
  <conditionalFormatting sqref="R25">
    <cfRule type="cellIs" dxfId="1795" priority="1794" operator="greaterThan">
      <formula>1</formula>
    </cfRule>
    <cfRule type="cellIs" dxfId="1794" priority="1795" operator="lessThan">
      <formula>0.8</formula>
    </cfRule>
  </conditionalFormatting>
  <conditionalFormatting sqref="P25">
    <cfRule type="cellIs" dxfId="1793" priority="1793" operator="greaterThan">
      <formula>0</formula>
    </cfRule>
  </conditionalFormatting>
  <conditionalFormatting sqref="Q25">
    <cfRule type="cellIs" dxfId="1792" priority="1798" operator="lessThan">
      <formula>0</formula>
    </cfRule>
  </conditionalFormatting>
  <conditionalFormatting sqref="R25">
    <cfRule type="cellIs" dxfId="1791" priority="1790" operator="lessThan">
      <formula>0.8</formula>
    </cfRule>
    <cfRule type="cellIs" dxfId="1790" priority="1791" operator="greaterThan">
      <formula>1</formula>
    </cfRule>
  </conditionalFormatting>
  <conditionalFormatting sqref="R25">
    <cfRule type="cellIs" dxfId="1789" priority="1788" operator="greaterThan">
      <formula>1</formula>
    </cfRule>
    <cfRule type="cellIs" dxfId="1788" priority="1789" operator="lessThan">
      <formula>0.8</formula>
    </cfRule>
  </conditionalFormatting>
  <conditionalFormatting sqref="P25">
    <cfRule type="cellIs" dxfId="1787" priority="1787" operator="greaterThan">
      <formula>0</formula>
    </cfRule>
  </conditionalFormatting>
  <conditionalFormatting sqref="Q25">
    <cfRule type="cellIs" dxfId="1786" priority="1792" operator="lessThan">
      <formula>0</formula>
    </cfRule>
  </conditionalFormatting>
  <conditionalFormatting sqref="Q25">
    <cfRule type="cellIs" dxfId="1785" priority="1786" operator="lessThan">
      <formula>0</formula>
    </cfRule>
  </conditionalFormatting>
  <conditionalFormatting sqref="R25">
    <cfRule type="cellIs" dxfId="1784" priority="1784" operator="lessThan">
      <formula>0.8</formula>
    </cfRule>
    <cfRule type="cellIs" dxfId="1783" priority="1785" operator="greaterThan">
      <formula>1</formula>
    </cfRule>
  </conditionalFormatting>
  <conditionalFormatting sqref="R25">
    <cfRule type="cellIs" dxfId="1782" priority="1782" operator="greaterThan">
      <formula>1</formula>
    </cfRule>
    <cfRule type="cellIs" dxfId="1781" priority="1783" operator="lessThan">
      <formula>0.8</formula>
    </cfRule>
  </conditionalFormatting>
  <conditionalFormatting sqref="P25">
    <cfRule type="cellIs" dxfId="1780" priority="1781" operator="greaterThan">
      <formula>0</formula>
    </cfRule>
  </conditionalFormatting>
  <conditionalFormatting sqref="Q25">
    <cfRule type="cellIs" dxfId="1779" priority="1780" operator="lessThan">
      <formula>0</formula>
    </cfRule>
  </conditionalFormatting>
  <conditionalFormatting sqref="R25">
    <cfRule type="cellIs" dxfId="1778" priority="1778" operator="lessThan">
      <formula>0.8</formula>
    </cfRule>
    <cfRule type="cellIs" dxfId="1777" priority="1779" operator="greaterThan">
      <formula>1</formula>
    </cfRule>
  </conditionalFormatting>
  <conditionalFormatting sqref="R25">
    <cfRule type="cellIs" dxfId="1776" priority="1776" operator="greaterThan">
      <formula>1</formula>
    </cfRule>
    <cfRule type="cellIs" dxfId="1775" priority="1777" operator="lessThan">
      <formula>0.8</formula>
    </cfRule>
  </conditionalFormatting>
  <conditionalFormatting sqref="P25">
    <cfRule type="cellIs" dxfId="1774" priority="1775" operator="greaterThan">
      <formula>0</formula>
    </cfRule>
  </conditionalFormatting>
  <conditionalFormatting sqref="P19:P24">
    <cfRule type="cellIs" dxfId="1773" priority="1769" operator="greaterThan">
      <formula>0</formula>
    </cfRule>
  </conditionalFormatting>
  <conditionalFormatting sqref="Q19:Q24">
    <cfRule type="cellIs" dxfId="1772" priority="1774" operator="lessThan">
      <formula>0</formula>
    </cfRule>
  </conditionalFormatting>
  <conditionalFormatting sqref="R19:R24">
    <cfRule type="cellIs" dxfId="1771" priority="1772" operator="lessThan">
      <formula>0.8</formula>
    </cfRule>
    <cfRule type="cellIs" dxfId="1770" priority="1773" operator="greaterThan">
      <formula>1</formula>
    </cfRule>
  </conditionalFormatting>
  <conditionalFormatting sqref="R19:R24">
    <cfRule type="cellIs" dxfId="1769" priority="1770" operator="greaterThan">
      <formula>1</formula>
    </cfRule>
    <cfRule type="cellIs" dxfId="1768" priority="1771" operator="lessThan">
      <formula>0.8</formula>
    </cfRule>
  </conditionalFormatting>
  <conditionalFormatting sqref="Q19:Q24">
    <cfRule type="cellIs" dxfId="1767" priority="1768" operator="lessThan">
      <formula>0</formula>
    </cfRule>
  </conditionalFormatting>
  <conditionalFormatting sqref="R19:R24">
    <cfRule type="cellIs" dxfId="1766" priority="1766" operator="lessThan">
      <formula>0.8</formula>
    </cfRule>
    <cfRule type="cellIs" dxfId="1765" priority="1767" operator="greaterThan">
      <formula>1</formula>
    </cfRule>
  </conditionalFormatting>
  <conditionalFormatting sqref="R19:R24">
    <cfRule type="cellIs" dxfId="1764" priority="1764" operator="greaterThan">
      <formula>1</formula>
    </cfRule>
    <cfRule type="cellIs" dxfId="1763" priority="1765" operator="lessThan">
      <formula>0.8</formula>
    </cfRule>
  </conditionalFormatting>
  <conditionalFormatting sqref="P19:P24">
    <cfRule type="cellIs" dxfId="1762" priority="1763" operator="greaterThan">
      <formula>0</formula>
    </cfRule>
  </conditionalFormatting>
  <conditionalFormatting sqref="Q19:Q24">
    <cfRule type="cellIs" dxfId="1761" priority="1762" operator="lessThan">
      <formula>0</formula>
    </cfRule>
  </conditionalFormatting>
  <conditionalFormatting sqref="R19:R24">
    <cfRule type="cellIs" dxfId="1760" priority="1760" operator="lessThan">
      <formula>0.8</formula>
    </cfRule>
    <cfRule type="cellIs" dxfId="1759" priority="1761" operator="greaterThan">
      <formula>1</formula>
    </cfRule>
  </conditionalFormatting>
  <conditionalFormatting sqref="R19:R24">
    <cfRule type="cellIs" dxfId="1758" priority="1758" operator="greaterThan">
      <formula>1</formula>
    </cfRule>
    <cfRule type="cellIs" dxfId="1757" priority="1759" operator="lessThan">
      <formula>0.8</formula>
    </cfRule>
  </conditionalFormatting>
  <conditionalFormatting sqref="P19:P24">
    <cfRule type="cellIs" dxfId="1756" priority="1757" operator="greaterThan">
      <formula>0</formula>
    </cfRule>
  </conditionalFormatting>
  <conditionalFormatting sqref="Q19:Q24">
    <cfRule type="cellIs" dxfId="1755" priority="1756" operator="lessThan">
      <formula>0</formula>
    </cfRule>
  </conditionalFormatting>
  <conditionalFormatting sqref="R19:R24">
    <cfRule type="cellIs" dxfId="1754" priority="1754" operator="lessThan">
      <formula>0.8</formula>
    </cfRule>
    <cfRule type="cellIs" dxfId="1753" priority="1755" operator="greaterThan">
      <formula>1</formula>
    </cfRule>
  </conditionalFormatting>
  <conditionalFormatting sqref="R19:R24">
    <cfRule type="cellIs" dxfId="1752" priority="1752" operator="greaterThan">
      <formula>1</formula>
    </cfRule>
    <cfRule type="cellIs" dxfId="1751" priority="1753" operator="lessThan">
      <formula>0.8</formula>
    </cfRule>
  </conditionalFormatting>
  <conditionalFormatting sqref="P19:P24">
    <cfRule type="cellIs" dxfId="1750" priority="1751" operator="greaterThan">
      <formula>0</formula>
    </cfRule>
  </conditionalFormatting>
  <conditionalFormatting sqref="R19:R24">
    <cfRule type="cellIs" dxfId="1749" priority="1748" operator="lessThan">
      <formula>0.8</formula>
    </cfRule>
    <cfRule type="cellIs" dxfId="1748" priority="1749" operator="greaterThan">
      <formula>1</formula>
    </cfRule>
  </conditionalFormatting>
  <conditionalFormatting sqref="R19:R24">
    <cfRule type="cellIs" dxfId="1747" priority="1746" operator="greaterThan">
      <formula>1</formula>
    </cfRule>
    <cfRule type="cellIs" dxfId="1746" priority="1747" operator="lessThan">
      <formula>0.8</formula>
    </cfRule>
  </conditionalFormatting>
  <conditionalFormatting sqref="P19:P24">
    <cfRule type="cellIs" dxfId="1745" priority="1745" operator="greaterThan">
      <formula>0</formula>
    </cfRule>
  </conditionalFormatting>
  <conditionalFormatting sqref="Q19:Q24">
    <cfRule type="cellIs" dxfId="1744" priority="1750" operator="lessThan">
      <formula>0</formula>
    </cfRule>
  </conditionalFormatting>
  <conditionalFormatting sqref="Q19:Q24">
    <cfRule type="cellIs" dxfId="1743" priority="1744" operator="lessThan">
      <formula>0</formula>
    </cfRule>
  </conditionalFormatting>
  <conditionalFormatting sqref="R19:R24">
    <cfRule type="cellIs" dxfId="1742" priority="1742" operator="lessThan">
      <formula>0.8</formula>
    </cfRule>
    <cfRule type="cellIs" dxfId="1741" priority="1743" operator="greaterThan">
      <formula>1</formula>
    </cfRule>
  </conditionalFormatting>
  <conditionalFormatting sqref="R19:R24">
    <cfRule type="cellIs" dxfId="1740" priority="1740" operator="greaterThan">
      <formula>1</formula>
    </cfRule>
    <cfRule type="cellIs" dxfId="1739" priority="1741" operator="lessThan">
      <formula>0.8</formula>
    </cfRule>
  </conditionalFormatting>
  <conditionalFormatting sqref="P19:P24">
    <cfRule type="cellIs" dxfId="1738" priority="1739" operator="greaterThan">
      <formula>0</formula>
    </cfRule>
  </conditionalFormatting>
  <conditionalFormatting sqref="P19:P24">
    <cfRule type="cellIs" dxfId="1737" priority="1733" operator="greaterThan">
      <formula>0</formula>
    </cfRule>
  </conditionalFormatting>
  <conditionalFormatting sqref="Q19:Q24">
    <cfRule type="cellIs" dxfId="1736" priority="1738" operator="lessThan">
      <formula>0</formula>
    </cfRule>
  </conditionalFormatting>
  <conditionalFormatting sqref="R19:R24">
    <cfRule type="cellIs" dxfId="1735" priority="1736" operator="lessThan">
      <formula>0.8</formula>
    </cfRule>
    <cfRule type="cellIs" dxfId="1734" priority="1737" operator="greaterThan">
      <formula>1</formula>
    </cfRule>
  </conditionalFormatting>
  <conditionalFormatting sqref="R19:R24">
    <cfRule type="cellIs" dxfId="1733" priority="1734" operator="greaterThan">
      <formula>1</formula>
    </cfRule>
    <cfRule type="cellIs" dxfId="1732" priority="1735" operator="lessThan">
      <formula>0.8</formula>
    </cfRule>
  </conditionalFormatting>
  <conditionalFormatting sqref="P19:P24">
    <cfRule type="cellIs" dxfId="1731" priority="1727" operator="greaterThan">
      <formula>0</formula>
    </cfRule>
  </conditionalFormatting>
  <conditionalFormatting sqref="Q19:Q24">
    <cfRule type="cellIs" dxfId="1730" priority="1732" operator="lessThan">
      <formula>0</formula>
    </cfRule>
  </conditionalFormatting>
  <conditionalFormatting sqref="R19:R24">
    <cfRule type="cellIs" dxfId="1729" priority="1730" operator="lessThan">
      <formula>0.8</formula>
    </cfRule>
    <cfRule type="cellIs" dxfId="1728" priority="1731" operator="greaterThan">
      <formula>1</formula>
    </cfRule>
  </conditionalFormatting>
  <conditionalFormatting sqref="R19:R24">
    <cfRule type="cellIs" dxfId="1727" priority="1728" operator="greaterThan">
      <formula>1</formula>
    </cfRule>
    <cfRule type="cellIs" dxfId="1726" priority="1729" operator="lessThan">
      <formula>0.8</formula>
    </cfRule>
  </conditionalFormatting>
  <conditionalFormatting sqref="Q19:Q24">
    <cfRule type="cellIs" dxfId="1725" priority="1726" operator="lessThan">
      <formula>0</formula>
    </cfRule>
  </conditionalFormatting>
  <conditionalFormatting sqref="R19:R24">
    <cfRule type="cellIs" dxfId="1724" priority="1724" operator="lessThan">
      <formula>0.8</formula>
    </cfRule>
    <cfRule type="cellIs" dxfId="1723" priority="1725" operator="greaterThan">
      <formula>1</formula>
    </cfRule>
  </conditionalFormatting>
  <conditionalFormatting sqref="R19:R24">
    <cfRule type="cellIs" dxfId="1722" priority="1722" operator="greaterThan">
      <formula>1</formula>
    </cfRule>
    <cfRule type="cellIs" dxfId="1721" priority="1723" operator="lessThan">
      <formula>0.8</formula>
    </cfRule>
  </conditionalFormatting>
  <conditionalFormatting sqref="P19:P24">
    <cfRule type="cellIs" dxfId="1720" priority="1721" operator="greaterThan">
      <formula>0</formula>
    </cfRule>
  </conditionalFormatting>
  <conditionalFormatting sqref="Q19:Q24">
    <cfRule type="cellIs" dxfId="1719" priority="1720" operator="lessThan">
      <formula>0</formula>
    </cfRule>
  </conditionalFormatting>
  <conditionalFormatting sqref="R19:R24">
    <cfRule type="cellIs" dxfId="1718" priority="1718" operator="lessThan">
      <formula>0.8</formula>
    </cfRule>
    <cfRule type="cellIs" dxfId="1717" priority="1719" operator="greaterThan">
      <formula>1</formula>
    </cfRule>
  </conditionalFormatting>
  <conditionalFormatting sqref="R19:R24">
    <cfRule type="cellIs" dxfId="1716" priority="1716" operator="greaterThan">
      <formula>1</formula>
    </cfRule>
    <cfRule type="cellIs" dxfId="1715" priority="1717" operator="lessThan">
      <formula>0.8</formula>
    </cfRule>
  </conditionalFormatting>
  <conditionalFormatting sqref="P19:P24">
    <cfRule type="cellIs" dxfId="1714" priority="1715" operator="greaterThan">
      <formula>0</formula>
    </cfRule>
  </conditionalFormatting>
  <conditionalFormatting sqref="P19:P24">
    <cfRule type="cellIs" dxfId="1713" priority="1709" operator="greaterThan">
      <formula>0</formula>
    </cfRule>
  </conditionalFormatting>
  <conditionalFormatting sqref="Q19:Q24">
    <cfRule type="cellIs" dxfId="1712" priority="1714" operator="lessThan">
      <formula>0</formula>
    </cfRule>
  </conditionalFormatting>
  <conditionalFormatting sqref="R19:R24">
    <cfRule type="cellIs" dxfId="1711" priority="1712" operator="lessThan">
      <formula>0.8</formula>
    </cfRule>
    <cfRule type="cellIs" dxfId="1710" priority="1713" operator="greaterThan">
      <formula>1</formula>
    </cfRule>
  </conditionalFormatting>
  <conditionalFormatting sqref="R19:R24">
    <cfRule type="cellIs" dxfId="1709" priority="1710" operator="greaterThan">
      <formula>1</formula>
    </cfRule>
    <cfRule type="cellIs" dxfId="1708" priority="1711" operator="lessThan">
      <formula>0.8</formula>
    </cfRule>
  </conditionalFormatting>
  <conditionalFormatting sqref="Q19:Q24">
    <cfRule type="cellIs" dxfId="1707" priority="1708" operator="lessThan">
      <formula>0</formula>
    </cfRule>
  </conditionalFormatting>
  <conditionalFormatting sqref="R19:R24">
    <cfRule type="cellIs" dxfId="1706" priority="1706" operator="lessThan">
      <formula>0.8</formula>
    </cfRule>
    <cfRule type="cellIs" dxfId="1705" priority="1707" operator="greaterThan">
      <formula>1</formula>
    </cfRule>
  </conditionalFormatting>
  <conditionalFormatting sqref="R19:R24">
    <cfRule type="cellIs" dxfId="1704" priority="1704" operator="greaterThan">
      <formula>1</formula>
    </cfRule>
    <cfRule type="cellIs" dxfId="1703" priority="1705" operator="lessThan">
      <formula>0.8</formula>
    </cfRule>
  </conditionalFormatting>
  <conditionalFormatting sqref="P19:P24">
    <cfRule type="cellIs" dxfId="1702" priority="1703" operator="greaterThan">
      <formula>0</formula>
    </cfRule>
  </conditionalFormatting>
  <conditionalFormatting sqref="Q19:Q24">
    <cfRule type="cellIs" dxfId="1701" priority="1702" operator="lessThan">
      <formula>0</formula>
    </cfRule>
  </conditionalFormatting>
  <conditionalFormatting sqref="R19:R24">
    <cfRule type="cellIs" dxfId="1700" priority="1700" operator="lessThan">
      <formula>0.8</formula>
    </cfRule>
    <cfRule type="cellIs" dxfId="1699" priority="1701" operator="greaterThan">
      <formula>1</formula>
    </cfRule>
  </conditionalFormatting>
  <conditionalFormatting sqref="R19:R24">
    <cfRule type="cellIs" dxfId="1698" priority="1698" operator="greaterThan">
      <formula>1</formula>
    </cfRule>
    <cfRule type="cellIs" dxfId="1697" priority="1699" operator="lessThan">
      <formula>0.8</formula>
    </cfRule>
  </conditionalFormatting>
  <conditionalFormatting sqref="P19:P24">
    <cfRule type="cellIs" dxfId="1696" priority="1697" operator="greaterThan">
      <formula>0</formula>
    </cfRule>
  </conditionalFormatting>
  <conditionalFormatting sqref="Q19:Q24">
    <cfRule type="cellIs" dxfId="1695" priority="1696" operator="lessThan">
      <formula>0</formula>
    </cfRule>
  </conditionalFormatting>
  <conditionalFormatting sqref="R19:R24">
    <cfRule type="cellIs" dxfId="1694" priority="1694" operator="lessThan">
      <formula>0.8</formula>
    </cfRule>
    <cfRule type="cellIs" dxfId="1693" priority="1695" operator="greaterThan">
      <formula>1</formula>
    </cfRule>
  </conditionalFormatting>
  <conditionalFormatting sqref="R19:R24">
    <cfRule type="cellIs" dxfId="1692" priority="1692" operator="greaterThan">
      <formula>1</formula>
    </cfRule>
    <cfRule type="cellIs" dxfId="1691" priority="1693" operator="lessThan">
      <formula>0.8</formula>
    </cfRule>
  </conditionalFormatting>
  <conditionalFormatting sqref="P19:P24">
    <cfRule type="cellIs" dxfId="1690" priority="1691" operator="greaterThan">
      <formula>0</formula>
    </cfRule>
  </conditionalFormatting>
  <conditionalFormatting sqref="R19:R24">
    <cfRule type="cellIs" dxfId="1689" priority="1688" operator="lessThan">
      <formula>0.8</formula>
    </cfRule>
    <cfRule type="cellIs" dxfId="1688" priority="1689" operator="greaterThan">
      <formula>1</formula>
    </cfRule>
  </conditionalFormatting>
  <conditionalFormatting sqref="R19:R24">
    <cfRule type="cellIs" dxfId="1687" priority="1686" operator="greaterThan">
      <formula>1</formula>
    </cfRule>
    <cfRule type="cellIs" dxfId="1686" priority="1687" operator="lessThan">
      <formula>0.8</formula>
    </cfRule>
  </conditionalFormatting>
  <conditionalFormatting sqref="P19:P24">
    <cfRule type="cellIs" dxfId="1685" priority="1685" operator="greaterThan">
      <formula>0</formula>
    </cfRule>
  </conditionalFormatting>
  <conditionalFormatting sqref="Q19:Q24">
    <cfRule type="cellIs" dxfId="1684" priority="1690" operator="lessThan">
      <formula>0</formula>
    </cfRule>
  </conditionalFormatting>
  <conditionalFormatting sqref="Q40">
    <cfRule type="cellIs" dxfId="1683" priority="1684" operator="lessThan">
      <formula>0</formula>
    </cfRule>
  </conditionalFormatting>
  <conditionalFormatting sqref="R40">
    <cfRule type="cellIs" dxfId="1682" priority="1682" operator="lessThan">
      <formula>0.8</formula>
    </cfRule>
    <cfRule type="cellIs" dxfId="1681" priority="1683" operator="greaterThan">
      <formula>1</formula>
    </cfRule>
  </conditionalFormatting>
  <conditionalFormatting sqref="R40">
    <cfRule type="cellIs" dxfId="1680" priority="1680" operator="greaterThan">
      <formula>1</formula>
    </cfRule>
    <cfRule type="cellIs" dxfId="1679" priority="1681" operator="lessThan">
      <formula>0.8</formula>
    </cfRule>
  </conditionalFormatting>
  <conditionalFormatting sqref="P40">
    <cfRule type="cellIs" dxfId="1678" priority="1679" operator="greaterThan">
      <formula>0</formula>
    </cfRule>
  </conditionalFormatting>
  <conditionalFormatting sqref="P40">
    <cfRule type="cellIs" dxfId="1677" priority="1673" operator="greaterThan">
      <formula>0</formula>
    </cfRule>
  </conditionalFormatting>
  <conditionalFormatting sqref="Q40">
    <cfRule type="cellIs" dxfId="1676" priority="1678" operator="lessThan">
      <formula>0</formula>
    </cfRule>
  </conditionalFormatting>
  <conditionalFormatting sqref="R40">
    <cfRule type="cellIs" dxfId="1675" priority="1676" operator="lessThan">
      <formula>0.8</formula>
    </cfRule>
    <cfRule type="cellIs" dxfId="1674" priority="1677" operator="greaterThan">
      <formula>1</formula>
    </cfRule>
  </conditionalFormatting>
  <conditionalFormatting sqref="R40">
    <cfRule type="cellIs" dxfId="1673" priority="1674" operator="greaterThan">
      <formula>1</formula>
    </cfRule>
    <cfRule type="cellIs" dxfId="1672" priority="1675" operator="lessThan">
      <formula>0.8</formula>
    </cfRule>
  </conditionalFormatting>
  <conditionalFormatting sqref="P40">
    <cfRule type="cellIs" dxfId="1671" priority="1667" operator="greaterThan">
      <formula>0</formula>
    </cfRule>
  </conditionalFormatting>
  <conditionalFormatting sqref="Q40">
    <cfRule type="cellIs" dxfId="1670" priority="1672" operator="lessThan">
      <formula>0</formula>
    </cfRule>
  </conditionalFormatting>
  <conditionalFormatting sqref="R40">
    <cfRule type="cellIs" dxfId="1669" priority="1670" operator="lessThan">
      <formula>0.8</formula>
    </cfRule>
    <cfRule type="cellIs" dxfId="1668" priority="1671" operator="greaterThan">
      <formula>1</formula>
    </cfRule>
  </conditionalFormatting>
  <conditionalFormatting sqref="R40">
    <cfRule type="cellIs" dxfId="1667" priority="1668" operator="greaterThan">
      <formula>1</formula>
    </cfRule>
    <cfRule type="cellIs" dxfId="1666" priority="1669" operator="lessThan">
      <formula>0.8</formula>
    </cfRule>
  </conditionalFormatting>
  <conditionalFormatting sqref="Q40">
    <cfRule type="cellIs" dxfId="1665" priority="1666" operator="lessThan">
      <formula>0</formula>
    </cfRule>
  </conditionalFormatting>
  <conditionalFormatting sqref="R40">
    <cfRule type="cellIs" dxfId="1664" priority="1664" operator="lessThan">
      <formula>0.8</formula>
    </cfRule>
    <cfRule type="cellIs" dxfId="1663" priority="1665" operator="greaterThan">
      <formula>1</formula>
    </cfRule>
  </conditionalFormatting>
  <conditionalFormatting sqref="R40">
    <cfRule type="cellIs" dxfId="1662" priority="1662" operator="greaterThan">
      <formula>1</formula>
    </cfRule>
    <cfRule type="cellIs" dxfId="1661" priority="1663" operator="lessThan">
      <formula>0.8</formula>
    </cfRule>
  </conditionalFormatting>
  <conditionalFormatting sqref="P40">
    <cfRule type="cellIs" dxfId="1660" priority="1661" operator="greaterThan">
      <formula>0</formula>
    </cfRule>
  </conditionalFormatting>
  <conditionalFormatting sqref="P40">
    <cfRule type="cellIs" dxfId="1659" priority="1655" operator="greaterThan">
      <formula>0</formula>
    </cfRule>
  </conditionalFormatting>
  <conditionalFormatting sqref="Q40">
    <cfRule type="cellIs" dxfId="1658" priority="1660" operator="lessThan">
      <formula>0</formula>
    </cfRule>
  </conditionalFormatting>
  <conditionalFormatting sqref="R40">
    <cfRule type="cellIs" dxfId="1657" priority="1658" operator="lessThan">
      <formula>0.8</formula>
    </cfRule>
    <cfRule type="cellIs" dxfId="1656" priority="1659" operator="greaterThan">
      <formula>1</formula>
    </cfRule>
  </conditionalFormatting>
  <conditionalFormatting sqref="R40">
    <cfRule type="cellIs" dxfId="1655" priority="1656" operator="greaterThan">
      <formula>1</formula>
    </cfRule>
    <cfRule type="cellIs" dxfId="1654" priority="1657" operator="lessThan">
      <formula>0.8</formula>
    </cfRule>
  </conditionalFormatting>
  <conditionalFormatting sqref="P40">
    <cfRule type="cellIs" dxfId="1653" priority="1649" operator="greaterThan">
      <formula>0</formula>
    </cfRule>
  </conditionalFormatting>
  <conditionalFormatting sqref="Q40">
    <cfRule type="cellIs" dxfId="1652" priority="1654" operator="lessThan">
      <formula>0</formula>
    </cfRule>
  </conditionalFormatting>
  <conditionalFormatting sqref="R40">
    <cfRule type="cellIs" dxfId="1651" priority="1652" operator="lessThan">
      <formula>0.8</formula>
    </cfRule>
    <cfRule type="cellIs" dxfId="1650" priority="1653" operator="greaterThan">
      <formula>1</formula>
    </cfRule>
  </conditionalFormatting>
  <conditionalFormatting sqref="R40">
    <cfRule type="cellIs" dxfId="1649" priority="1650" operator="greaterThan">
      <formula>1</formula>
    </cfRule>
    <cfRule type="cellIs" dxfId="1648" priority="1651" operator="lessThan">
      <formula>0.8</formula>
    </cfRule>
  </conditionalFormatting>
  <conditionalFormatting sqref="P40">
    <cfRule type="cellIs" dxfId="1647" priority="1643" operator="greaterThan">
      <formula>0</formula>
    </cfRule>
  </conditionalFormatting>
  <conditionalFormatting sqref="Q40">
    <cfRule type="cellIs" dxfId="1646" priority="1648" operator="lessThan">
      <formula>0</formula>
    </cfRule>
  </conditionalFormatting>
  <conditionalFormatting sqref="R40">
    <cfRule type="cellIs" dxfId="1645" priority="1646" operator="lessThan">
      <formula>0.8</formula>
    </cfRule>
    <cfRule type="cellIs" dxfId="1644" priority="1647" operator="greaterThan">
      <formula>1</formula>
    </cfRule>
  </conditionalFormatting>
  <conditionalFormatting sqref="R40">
    <cfRule type="cellIs" dxfId="1643" priority="1644" operator="greaterThan">
      <formula>1</formula>
    </cfRule>
    <cfRule type="cellIs" dxfId="1642" priority="1645" operator="lessThan">
      <formula>0.8</formula>
    </cfRule>
  </conditionalFormatting>
  <conditionalFormatting sqref="Q40">
    <cfRule type="cellIs" dxfId="1641" priority="1637" operator="lessThan">
      <formula>0</formula>
    </cfRule>
  </conditionalFormatting>
  <conditionalFormatting sqref="P40">
    <cfRule type="cellIs" dxfId="1640" priority="1638" operator="greaterThan">
      <formula>0</formula>
    </cfRule>
  </conditionalFormatting>
  <conditionalFormatting sqref="R40">
    <cfRule type="cellIs" dxfId="1639" priority="1641" operator="lessThan">
      <formula>0.8</formula>
    </cfRule>
    <cfRule type="cellIs" dxfId="1638" priority="1642" operator="greaterThan">
      <formula>1</formula>
    </cfRule>
  </conditionalFormatting>
  <conditionalFormatting sqref="R40">
    <cfRule type="cellIs" dxfId="1637" priority="1639" operator="greaterThan">
      <formula>1</formula>
    </cfRule>
    <cfRule type="cellIs" dxfId="1636" priority="1640" operator="lessThan">
      <formula>0.8</formula>
    </cfRule>
  </conditionalFormatting>
  <conditionalFormatting sqref="Q40">
    <cfRule type="cellIs" dxfId="1635" priority="1631" operator="lessThan">
      <formula>0</formula>
    </cfRule>
  </conditionalFormatting>
  <conditionalFormatting sqref="R40">
    <cfRule type="cellIs" dxfId="1634" priority="1635" operator="lessThan">
      <formula>0.8</formula>
    </cfRule>
    <cfRule type="cellIs" dxfId="1633" priority="1636" operator="greaterThan">
      <formula>1</formula>
    </cfRule>
  </conditionalFormatting>
  <conditionalFormatting sqref="R40">
    <cfRule type="cellIs" dxfId="1632" priority="1633" operator="greaterThan">
      <formula>1</formula>
    </cfRule>
    <cfRule type="cellIs" dxfId="1631" priority="1634" operator="lessThan">
      <formula>0.8</formula>
    </cfRule>
  </conditionalFormatting>
  <conditionalFormatting sqref="P40">
    <cfRule type="cellIs" dxfId="1630" priority="1632" operator="greaterThan">
      <formula>0</formula>
    </cfRule>
  </conditionalFormatting>
  <conditionalFormatting sqref="Q40">
    <cfRule type="cellIs" dxfId="1629" priority="1630" operator="lessThan">
      <formula>0</formula>
    </cfRule>
  </conditionalFormatting>
  <conditionalFormatting sqref="R40">
    <cfRule type="cellIs" dxfId="1628" priority="1628" operator="lessThan">
      <formula>0.8</formula>
    </cfRule>
    <cfRule type="cellIs" dxfId="1627" priority="1629" operator="greaterThan">
      <formula>1</formula>
    </cfRule>
  </conditionalFormatting>
  <conditionalFormatting sqref="R40">
    <cfRule type="cellIs" dxfId="1626" priority="1626" operator="greaterThan">
      <formula>1</formula>
    </cfRule>
    <cfRule type="cellIs" dxfId="1625" priority="1627" operator="lessThan">
      <formula>0.8</formula>
    </cfRule>
  </conditionalFormatting>
  <conditionalFormatting sqref="P40">
    <cfRule type="cellIs" dxfId="1624" priority="1625" operator="greaterThan">
      <formula>0</formula>
    </cfRule>
  </conditionalFormatting>
  <conditionalFormatting sqref="Q40">
    <cfRule type="cellIs" dxfId="1623" priority="1624" operator="lessThan">
      <formula>0</formula>
    </cfRule>
  </conditionalFormatting>
  <conditionalFormatting sqref="R40">
    <cfRule type="cellIs" dxfId="1622" priority="1622" operator="lessThan">
      <formula>0.8</formula>
    </cfRule>
    <cfRule type="cellIs" dxfId="1621" priority="1623" operator="greaterThan">
      <formula>1</formula>
    </cfRule>
  </conditionalFormatting>
  <conditionalFormatting sqref="R40">
    <cfRule type="cellIs" dxfId="1620" priority="1620" operator="greaterThan">
      <formula>1</formula>
    </cfRule>
    <cfRule type="cellIs" dxfId="1619" priority="1621" operator="lessThan">
      <formula>0.8</formula>
    </cfRule>
  </conditionalFormatting>
  <conditionalFormatting sqref="P40">
    <cfRule type="cellIs" dxfId="1618" priority="1619" operator="greaterThan">
      <formula>0</formula>
    </cfRule>
  </conditionalFormatting>
  <conditionalFormatting sqref="Q32:Q39">
    <cfRule type="cellIs" dxfId="1617" priority="1618" operator="lessThan">
      <formula>0</formula>
    </cfRule>
  </conditionalFormatting>
  <conditionalFormatting sqref="R32:R39">
    <cfRule type="cellIs" dxfId="1616" priority="1616" operator="lessThan">
      <formula>0.8</formula>
    </cfRule>
    <cfRule type="cellIs" dxfId="1615" priority="1617" operator="greaterThan">
      <formula>1</formula>
    </cfRule>
  </conditionalFormatting>
  <conditionalFormatting sqref="R32:R39">
    <cfRule type="cellIs" dxfId="1614" priority="1614" operator="greaterThan">
      <formula>1</formula>
    </cfRule>
    <cfRule type="cellIs" dxfId="1613" priority="1615" operator="lessThan">
      <formula>0.8</formula>
    </cfRule>
  </conditionalFormatting>
  <conditionalFormatting sqref="P32:P39">
    <cfRule type="cellIs" dxfId="1612" priority="1613" operator="greaterThan">
      <formula>0</formula>
    </cfRule>
  </conditionalFormatting>
  <conditionalFormatting sqref="Q32:Q39">
    <cfRule type="cellIs" dxfId="1611" priority="1612" operator="lessThan">
      <formula>0</formula>
    </cfRule>
  </conditionalFormatting>
  <conditionalFormatting sqref="R32:R39">
    <cfRule type="cellIs" dxfId="1610" priority="1610" operator="lessThan">
      <formula>0.8</formula>
    </cfRule>
    <cfRule type="cellIs" dxfId="1609" priority="1611" operator="greaterThan">
      <formula>1</formula>
    </cfRule>
  </conditionalFormatting>
  <conditionalFormatting sqref="R32:R39">
    <cfRule type="cellIs" dxfId="1608" priority="1608" operator="greaterThan">
      <formula>1</formula>
    </cfRule>
    <cfRule type="cellIs" dxfId="1607" priority="1609" operator="lessThan">
      <formula>0.8</formula>
    </cfRule>
  </conditionalFormatting>
  <conditionalFormatting sqref="P32:P39">
    <cfRule type="cellIs" dxfId="1606" priority="1607" operator="greaterThan">
      <formula>0</formula>
    </cfRule>
  </conditionalFormatting>
  <conditionalFormatting sqref="Q32:Q39">
    <cfRule type="cellIs" dxfId="1605" priority="1606" operator="lessThan">
      <formula>0</formula>
    </cfRule>
  </conditionalFormatting>
  <conditionalFormatting sqref="R32:R39">
    <cfRule type="cellIs" dxfId="1604" priority="1604" operator="lessThan">
      <formula>0.8</formula>
    </cfRule>
    <cfRule type="cellIs" dxfId="1603" priority="1605" operator="greaterThan">
      <formula>1</formula>
    </cfRule>
  </conditionalFormatting>
  <conditionalFormatting sqref="R32:R39">
    <cfRule type="cellIs" dxfId="1602" priority="1602" operator="greaterThan">
      <formula>1</formula>
    </cfRule>
    <cfRule type="cellIs" dxfId="1601" priority="1603" operator="lessThan">
      <formula>0.8</formula>
    </cfRule>
  </conditionalFormatting>
  <conditionalFormatting sqref="P32:P39">
    <cfRule type="cellIs" dxfId="1600" priority="1601" operator="greaterThan">
      <formula>0</formula>
    </cfRule>
  </conditionalFormatting>
  <conditionalFormatting sqref="Q32:Q39">
    <cfRule type="cellIs" dxfId="1599" priority="1600" operator="lessThan">
      <formula>0</formula>
    </cfRule>
  </conditionalFormatting>
  <conditionalFormatting sqref="R32:R39">
    <cfRule type="cellIs" dxfId="1598" priority="1598" operator="lessThan">
      <formula>0.8</formula>
    </cfRule>
    <cfRule type="cellIs" dxfId="1597" priority="1599" operator="greaterThan">
      <formula>1</formula>
    </cfRule>
  </conditionalFormatting>
  <conditionalFormatting sqref="R32:R39">
    <cfRule type="cellIs" dxfId="1596" priority="1596" operator="greaterThan">
      <formula>1</formula>
    </cfRule>
    <cfRule type="cellIs" dxfId="1595" priority="1597" operator="lessThan">
      <formula>0.8</formula>
    </cfRule>
  </conditionalFormatting>
  <conditionalFormatting sqref="P32:P39">
    <cfRule type="cellIs" dxfId="1594" priority="1595" operator="greaterThan">
      <formula>0</formula>
    </cfRule>
  </conditionalFormatting>
  <conditionalFormatting sqref="P32:P39">
    <cfRule type="cellIs" dxfId="1593" priority="1589" operator="greaterThan">
      <formula>0</formula>
    </cfRule>
  </conditionalFormatting>
  <conditionalFormatting sqref="Q32:Q39">
    <cfRule type="cellIs" dxfId="1592" priority="1594" operator="lessThan">
      <formula>0</formula>
    </cfRule>
  </conditionalFormatting>
  <conditionalFormatting sqref="R32:R39">
    <cfRule type="cellIs" dxfId="1591" priority="1592" operator="lessThan">
      <formula>0.8</formula>
    </cfRule>
    <cfRule type="cellIs" dxfId="1590" priority="1593" operator="greaterThan">
      <formula>1</formula>
    </cfRule>
  </conditionalFormatting>
  <conditionalFormatting sqref="R32:R39">
    <cfRule type="cellIs" dxfId="1589" priority="1590" operator="greaterThan">
      <formula>1</formula>
    </cfRule>
    <cfRule type="cellIs" dxfId="1588" priority="1591" operator="lessThan">
      <formula>0.8</formula>
    </cfRule>
  </conditionalFormatting>
  <conditionalFormatting sqref="P32:P39">
    <cfRule type="cellIs" dxfId="1587" priority="1583" operator="greaterThan">
      <formula>0</formula>
    </cfRule>
  </conditionalFormatting>
  <conditionalFormatting sqref="Q32:Q39">
    <cfRule type="cellIs" dxfId="1586" priority="1588" operator="lessThan">
      <formula>0</formula>
    </cfRule>
  </conditionalFormatting>
  <conditionalFormatting sqref="R32:R39">
    <cfRule type="cellIs" dxfId="1585" priority="1586" operator="lessThan">
      <formula>0.8</formula>
    </cfRule>
    <cfRule type="cellIs" dxfId="1584" priority="1587" operator="greaterThan">
      <formula>1</formula>
    </cfRule>
  </conditionalFormatting>
  <conditionalFormatting sqref="R32:R39">
    <cfRule type="cellIs" dxfId="1583" priority="1584" operator="greaterThan">
      <formula>1</formula>
    </cfRule>
    <cfRule type="cellIs" dxfId="1582" priority="1585" operator="lessThan">
      <formula>0.8</formula>
    </cfRule>
  </conditionalFormatting>
  <conditionalFormatting sqref="R32:R39">
    <cfRule type="cellIs" dxfId="1581" priority="1580" operator="lessThan">
      <formula>0.8</formula>
    </cfRule>
    <cfRule type="cellIs" dxfId="1580" priority="1581" operator="greaterThan">
      <formula>1</formula>
    </cfRule>
  </conditionalFormatting>
  <conditionalFormatting sqref="R32:R39">
    <cfRule type="cellIs" dxfId="1579" priority="1578" operator="greaterThan">
      <formula>1</formula>
    </cfRule>
    <cfRule type="cellIs" dxfId="1578" priority="1579" operator="lessThan">
      <formula>0.8</formula>
    </cfRule>
  </conditionalFormatting>
  <conditionalFormatting sqref="P32:P39">
    <cfRule type="cellIs" dxfId="1577" priority="1577" operator="greaterThan">
      <formula>0</formula>
    </cfRule>
  </conditionalFormatting>
  <conditionalFormatting sqref="Q32:Q39">
    <cfRule type="cellIs" dxfId="1576" priority="1582" operator="lessThan">
      <formula>0</formula>
    </cfRule>
  </conditionalFormatting>
  <conditionalFormatting sqref="Q32:Q39">
    <cfRule type="cellIs" dxfId="1575" priority="1576" operator="lessThan">
      <formula>0</formula>
    </cfRule>
  </conditionalFormatting>
  <conditionalFormatting sqref="R32:R39">
    <cfRule type="cellIs" dxfId="1574" priority="1574" operator="lessThan">
      <formula>0.8</formula>
    </cfRule>
    <cfRule type="cellIs" dxfId="1573" priority="1575" operator="greaterThan">
      <formula>1</formula>
    </cfRule>
  </conditionalFormatting>
  <conditionalFormatting sqref="R32:R39">
    <cfRule type="cellIs" dxfId="1572" priority="1572" operator="greaterThan">
      <formula>1</formula>
    </cfRule>
    <cfRule type="cellIs" dxfId="1571" priority="1573" operator="lessThan">
      <formula>0.8</formula>
    </cfRule>
  </conditionalFormatting>
  <conditionalFormatting sqref="P32:P39">
    <cfRule type="cellIs" dxfId="1570" priority="1571" operator="greaterThan">
      <formula>0</formula>
    </cfRule>
  </conditionalFormatting>
  <conditionalFormatting sqref="P32:P39">
    <cfRule type="cellIs" dxfId="1569" priority="1565" operator="greaterThan">
      <formula>0</formula>
    </cfRule>
  </conditionalFormatting>
  <conditionalFormatting sqref="Q32:Q39">
    <cfRule type="cellIs" dxfId="1568" priority="1570" operator="lessThan">
      <formula>0</formula>
    </cfRule>
  </conditionalFormatting>
  <conditionalFormatting sqref="R32:R39">
    <cfRule type="cellIs" dxfId="1567" priority="1568" operator="lessThan">
      <formula>0.8</formula>
    </cfRule>
    <cfRule type="cellIs" dxfId="1566" priority="1569" operator="greaterThan">
      <formula>1</formula>
    </cfRule>
  </conditionalFormatting>
  <conditionalFormatting sqref="R32:R39">
    <cfRule type="cellIs" dxfId="1565" priority="1566" operator="greaterThan">
      <formula>1</formula>
    </cfRule>
    <cfRule type="cellIs" dxfId="1564" priority="1567" operator="lessThan">
      <formula>0.8</formula>
    </cfRule>
  </conditionalFormatting>
  <conditionalFormatting sqref="P32:P39">
    <cfRule type="cellIs" dxfId="1563" priority="1559" operator="greaterThan">
      <formula>0</formula>
    </cfRule>
  </conditionalFormatting>
  <conditionalFormatting sqref="Q32:Q39">
    <cfRule type="cellIs" dxfId="1562" priority="1564" operator="lessThan">
      <formula>0</formula>
    </cfRule>
  </conditionalFormatting>
  <conditionalFormatting sqref="R32:R39">
    <cfRule type="cellIs" dxfId="1561" priority="1562" operator="lessThan">
      <formula>0.8</formula>
    </cfRule>
    <cfRule type="cellIs" dxfId="1560" priority="1563" operator="greaterThan">
      <formula>1</formula>
    </cfRule>
  </conditionalFormatting>
  <conditionalFormatting sqref="R32:R39">
    <cfRule type="cellIs" dxfId="1559" priority="1560" operator="greaterThan">
      <formula>1</formula>
    </cfRule>
    <cfRule type="cellIs" dxfId="1558" priority="1561" operator="lessThan">
      <formula>0.8</formula>
    </cfRule>
  </conditionalFormatting>
  <conditionalFormatting sqref="R32:R39">
    <cfRule type="cellIs" dxfId="1557" priority="1556" operator="lessThan">
      <formula>0.8</formula>
    </cfRule>
    <cfRule type="cellIs" dxfId="1556" priority="1557" operator="greaterThan">
      <formula>1</formula>
    </cfRule>
  </conditionalFormatting>
  <conditionalFormatting sqref="R32:R39">
    <cfRule type="cellIs" dxfId="1555" priority="1554" operator="greaterThan">
      <formula>1</formula>
    </cfRule>
    <cfRule type="cellIs" dxfId="1554" priority="1555" operator="lessThan">
      <formula>0.8</formula>
    </cfRule>
  </conditionalFormatting>
  <conditionalFormatting sqref="P32:P39">
    <cfRule type="cellIs" dxfId="1553" priority="1553" operator="greaterThan">
      <formula>0</formula>
    </cfRule>
  </conditionalFormatting>
  <conditionalFormatting sqref="Q32:Q39">
    <cfRule type="cellIs" dxfId="1552" priority="1558" operator="lessThan">
      <formula>0</formula>
    </cfRule>
  </conditionalFormatting>
  <conditionalFormatting sqref="P32:P39">
    <cfRule type="cellIs" dxfId="1551" priority="1547" operator="greaterThan">
      <formula>0</formula>
    </cfRule>
  </conditionalFormatting>
  <conditionalFormatting sqref="Q32:Q39">
    <cfRule type="cellIs" dxfId="1550" priority="1552" operator="lessThan">
      <formula>0</formula>
    </cfRule>
  </conditionalFormatting>
  <conditionalFormatting sqref="R32:R39">
    <cfRule type="cellIs" dxfId="1549" priority="1550" operator="lessThan">
      <formula>0.8</formula>
    </cfRule>
    <cfRule type="cellIs" dxfId="1548" priority="1551" operator="greaterThan">
      <formula>1</formula>
    </cfRule>
  </conditionalFormatting>
  <conditionalFormatting sqref="R32:R39">
    <cfRule type="cellIs" dxfId="1547" priority="1548" operator="greaterThan">
      <formula>1</formula>
    </cfRule>
    <cfRule type="cellIs" dxfId="1546" priority="1549" operator="lessThan">
      <formula>0.8</formula>
    </cfRule>
  </conditionalFormatting>
  <conditionalFormatting sqref="R32:R39">
    <cfRule type="cellIs" dxfId="1545" priority="1544" operator="lessThan">
      <formula>0.8</formula>
    </cfRule>
    <cfRule type="cellIs" dxfId="1544" priority="1545" operator="greaterThan">
      <formula>1</formula>
    </cfRule>
  </conditionalFormatting>
  <conditionalFormatting sqref="R32:R39">
    <cfRule type="cellIs" dxfId="1543" priority="1542" operator="greaterThan">
      <formula>1</formula>
    </cfRule>
    <cfRule type="cellIs" dxfId="1542" priority="1543" operator="lessThan">
      <formula>0.8</formula>
    </cfRule>
  </conditionalFormatting>
  <conditionalFormatting sqref="P32:P39">
    <cfRule type="cellIs" dxfId="1541" priority="1541" operator="greaterThan">
      <formula>0</formula>
    </cfRule>
  </conditionalFormatting>
  <conditionalFormatting sqref="Q32:Q39">
    <cfRule type="cellIs" dxfId="1540" priority="1546" operator="lessThan">
      <formula>0</formula>
    </cfRule>
  </conditionalFormatting>
  <conditionalFormatting sqref="R32:R39">
    <cfRule type="cellIs" dxfId="1539" priority="1538" operator="lessThan">
      <formula>0.8</formula>
    </cfRule>
    <cfRule type="cellIs" dxfId="1538" priority="1539" operator="greaterThan">
      <formula>1</formula>
    </cfRule>
  </conditionalFormatting>
  <conditionalFormatting sqref="R32:R39">
    <cfRule type="cellIs" dxfId="1537" priority="1536" operator="greaterThan">
      <formula>1</formula>
    </cfRule>
    <cfRule type="cellIs" dxfId="1536" priority="1537" operator="lessThan">
      <formula>0.8</formula>
    </cfRule>
  </conditionalFormatting>
  <conditionalFormatting sqref="P32:P39">
    <cfRule type="cellIs" dxfId="1535" priority="1535" operator="greaterThan">
      <formula>0</formula>
    </cfRule>
  </conditionalFormatting>
  <conditionalFormatting sqref="Q32:Q39">
    <cfRule type="cellIs" dxfId="1534" priority="1540" operator="lessThan">
      <formula>0</formula>
    </cfRule>
  </conditionalFormatting>
  <conditionalFormatting sqref="Q32:Q39">
    <cfRule type="cellIs" dxfId="1533" priority="1534" operator="lessThan">
      <formula>0</formula>
    </cfRule>
  </conditionalFormatting>
  <conditionalFormatting sqref="R32:R39">
    <cfRule type="cellIs" dxfId="1532" priority="1532" operator="lessThan">
      <formula>0.8</formula>
    </cfRule>
    <cfRule type="cellIs" dxfId="1531" priority="1533" operator="greaterThan">
      <formula>1</formula>
    </cfRule>
  </conditionalFormatting>
  <conditionalFormatting sqref="R32:R39">
    <cfRule type="cellIs" dxfId="1530" priority="1530" operator="greaterThan">
      <formula>1</formula>
    </cfRule>
    <cfRule type="cellIs" dxfId="1529" priority="1531" operator="lessThan">
      <formula>0.8</formula>
    </cfRule>
  </conditionalFormatting>
  <conditionalFormatting sqref="P32:P39">
    <cfRule type="cellIs" dxfId="1528" priority="1529" operator="greaterThan">
      <formula>0</formula>
    </cfRule>
  </conditionalFormatting>
  <conditionalFormatting sqref="Q32:Q39">
    <cfRule type="cellIs" dxfId="1527" priority="1523" operator="lessThan">
      <formula>0</formula>
    </cfRule>
  </conditionalFormatting>
  <conditionalFormatting sqref="R32:R39">
    <cfRule type="cellIs" dxfId="1526" priority="1527" operator="lessThan">
      <formula>0.8</formula>
    </cfRule>
    <cfRule type="cellIs" dxfId="1525" priority="1528" operator="greaterThan">
      <formula>1</formula>
    </cfRule>
  </conditionalFormatting>
  <conditionalFormatting sqref="R32:R39">
    <cfRule type="cellIs" dxfId="1524" priority="1525" operator="greaterThan">
      <formula>1</formula>
    </cfRule>
    <cfRule type="cellIs" dxfId="1523" priority="1526" operator="lessThan">
      <formula>0.8</formula>
    </cfRule>
  </conditionalFormatting>
  <conditionalFormatting sqref="P32:P39">
    <cfRule type="cellIs" dxfId="1522" priority="1524" operator="greaterThan">
      <formula>0</formula>
    </cfRule>
  </conditionalFormatting>
  <conditionalFormatting sqref="Q32:Q39">
    <cfRule type="cellIs" dxfId="1521" priority="1522" operator="lessThan">
      <formula>0</formula>
    </cfRule>
  </conditionalFormatting>
  <conditionalFormatting sqref="R32:R39">
    <cfRule type="cellIs" dxfId="1520" priority="1520" operator="lessThan">
      <formula>0.8</formula>
    </cfRule>
    <cfRule type="cellIs" dxfId="1519" priority="1521" operator="greaterThan">
      <formula>1</formula>
    </cfRule>
  </conditionalFormatting>
  <conditionalFormatting sqref="R32:R39">
    <cfRule type="cellIs" dxfId="1518" priority="1518" operator="greaterThan">
      <formula>1</formula>
    </cfRule>
    <cfRule type="cellIs" dxfId="1517" priority="1519" operator="lessThan">
      <formula>0.8</formula>
    </cfRule>
  </conditionalFormatting>
  <conditionalFormatting sqref="P32:P39">
    <cfRule type="cellIs" dxfId="1516" priority="1517" operator="greaterThan">
      <formula>0</formula>
    </cfRule>
  </conditionalFormatting>
  <conditionalFormatting sqref="Q32:Q39">
    <cfRule type="cellIs" dxfId="1515" priority="1516" operator="lessThan">
      <formula>0</formula>
    </cfRule>
  </conditionalFormatting>
  <conditionalFormatting sqref="R32:R39">
    <cfRule type="cellIs" dxfId="1514" priority="1514" operator="lessThan">
      <formula>0.8</formula>
    </cfRule>
    <cfRule type="cellIs" dxfId="1513" priority="1515" operator="greaterThan">
      <formula>1</formula>
    </cfRule>
  </conditionalFormatting>
  <conditionalFormatting sqref="R32:R39">
    <cfRule type="cellIs" dxfId="1512" priority="1512" operator="greaterThan">
      <formula>1</formula>
    </cfRule>
    <cfRule type="cellIs" dxfId="1511" priority="1513" operator="lessThan">
      <formula>0.8</formula>
    </cfRule>
  </conditionalFormatting>
  <conditionalFormatting sqref="P32:P39">
    <cfRule type="cellIs" dxfId="1510" priority="1511" operator="greaterThan">
      <formula>0</formula>
    </cfRule>
  </conditionalFormatting>
  <conditionalFormatting sqref="Q32:Q39">
    <cfRule type="cellIs" dxfId="1509" priority="1510" operator="lessThan">
      <formula>0</formula>
    </cfRule>
  </conditionalFormatting>
  <conditionalFormatting sqref="R32:R39">
    <cfRule type="cellIs" dxfId="1508" priority="1508" operator="lessThan">
      <formula>0.8</formula>
    </cfRule>
    <cfRule type="cellIs" dxfId="1507" priority="1509" operator="greaterThan">
      <formula>1</formula>
    </cfRule>
  </conditionalFormatting>
  <conditionalFormatting sqref="R32:R39">
    <cfRule type="cellIs" dxfId="1506" priority="1506" operator="greaterThan">
      <formula>1</formula>
    </cfRule>
    <cfRule type="cellIs" dxfId="1505" priority="1507" operator="lessThan">
      <formula>0.8</formula>
    </cfRule>
  </conditionalFormatting>
  <conditionalFormatting sqref="P32:P39">
    <cfRule type="cellIs" dxfId="1504" priority="1505" operator="greaterThan">
      <formula>0</formula>
    </cfRule>
  </conditionalFormatting>
  <conditionalFormatting sqref="Q32:Q39">
    <cfRule type="cellIs" dxfId="1503" priority="1504" operator="lessThan">
      <formula>0</formula>
    </cfRule>
  </conditionalFormatting>
  <conditionalFormatting sqref="R32:R39">
    <cfRule type="cellIs" dxfId="1502" priority="1502" operator="lessThan">
      <formula>0.8</formula>
    </cfRule>
    <cfRule type="cellIs" dxfId="1501" priority="1503" operator="greaterThan">
      <formula>1</formula>
    </cfRule>
  </conditionalFormatting>
  <conditionalFormatting sqref="R32:R39">
    <cfRule type="cellIs" dxfId="1500" priority="1500" operator="greaterThan">
      <formula>1</formula>
    </cfRule>
    <cfRule type="cellIs" dxfId="1499" priority="1501" operator="lessThan">
      <formula>0.8</formula>
    </cfRule>
  </conditionalFormatting>
  <conditionalFormatting sqref="P32:P39">
    <cfRule type="cellIs" dxfId="1498" priority="1499" operator="greaterThan">
      <formula>0</formula>
    </cfRule>
  </conditionalFormatting>
  <conditionalFormatting sqref="Q32:Q39">
    <cfRule type="cellIs" dxfId="1497" priority="1498" operator="lessThan">
      <formula>0</formula>
    </cfRule>
  </conditionalFormatting>
  <conditionalFormatting sqref="R32:R39">
    <cfRule type="cellIs" dxfId="1496" priority="1496" operator="lessThan">
      <formula>0.8</formula>
    </cfRule>
    <cfRule type="cellIs" dxfId="1495" priority="1497" operator="greaterThan">
      <formula>1</formula>
    </cfRule>
  </conditionalFormatting>
  <conditionalFormatting sqref="R32:R39">
    <cfRule type="cellIs" dxfId="1494" priority="1494" operator="greaterThan">
      <formula>1</formula>
    </cfRule>
    <cfRule type="cellIs" dxfId="1493" priority="1495" operator="lessThan">
      <formula>0.8</formula>
    </cfRule>
  </conditionalFormatting>
  <conditionalFormatting sqref="P32:P39">
    <cfRule type="cellIs" dxfId="1492" priority="1493" operator="greaterThan">
      <formula>0</formula>
    </cfRule>
  </conditionalFormatting>
  <conditionalFormatting sqref="P32:P39">
    <cfRule type="cellIs" dxfId="1491" priority="1487" operator="greaterThan">
      <formula>0</formula>
    </cfRule>
  </conditionalFormatting>
  <conditionalFormatting sqref="Q32:Q39">
    <cfRule type="cellIs" dxfId="1490" priority="1492" operator="lessThan">
      <formula>0</formula>
    </cfRule>
  </conditionalFormatting>
  <conditionalFormatting sqref="R32:R39">
    <cfRule type="cellIs" dxfId="1489" priority="1490" operator="lessThan">
      <formula>0.8</formula>
    </cfRule>
    <cfRule type="cellIs" dxfId="1488" priority="1491" operator="greaterThan">
      <formula>1</formula>
    </cfRule>
  </conditionalFormatting>
  <conditionalFormatting sqref="R32:R39">
    <cfRule type="cellIs" dxfId="1487" priority="1488" operator="greaterThan">
      <formula>1</formula>
    </cfRule>
    <cfRule type="cellIs" dxfId="1486" priority="1489" operator="lessThan">
      <formula>0.8</formula>
    </cfRule>
  </conditionalFormatting>
  <conditionalFormatting sqref="P32:P39">
    <cfRule type="cellIs" dxfId="1485" priority="1481" operator="greaterThan">
      <formula>0</formula>
    </cfRule>
  </conditionalFormatting>
  <conditionalFormatting sqref="Q32:Q39">
    <cfRule type="cellIs" dxfId="1484" priority="1486" operator="lessThan">
      <formula>0</formula>
    </cfRule>
  </conditionalFormatting>
  <conditionalFormatting sqref="R32:R39">
    <cfRule type="cellIs" dxfId="1483" priority="1484" operator="lessThan">
      <formula>0.8</formula>
    </cfRule>
    <cfRule type="cellIs" dxfId="1482" priority="1485" operator="greaterThan">
      <formula>1</formula>
    </cfRule>
  </conditionalFormatting>
  <conditionalFormatting sqref="R32:R39">
    <cfRule type="cellIs" dxfId="1481" priority="1482" operator="greaterThan">
      <formula>1</formula>
    </cfRule>
    <cfRule type="cellIs" dxfId="1480" priority="1483" operator="lessThan">
      <formula>0.8</formula>
    </cfRule>
  </conditionalFormatting>
  <conditionalFormatting sqref="R32:R39">
    <cfRule type="cellIs" dxfId="1479" priority="1478" operator="lessThan">
      <formula>0.8</formula>
    </cfRule>
    <cfRule type="cellIs" dxfId="1478" priority="1479" operator="greaterThan">
      <formula>1</formula>
    </cfRule>
  </conditionalFormatting>
  <conditionalFormatting sqref="R32:R39">
    <cfRule type="cellIs" dxfId="1477" priority="1476" operator="greaterThan">
      <formula>1</formula>
    </cfRule>
    <cfRule type="cellIs" dxfId="1476" priority="1477" operator="lessThan">
      <formula>0.8</formula>
    </cfRule>
  </conditionalFormatting>
  <conditionalFormatting sqref="P32:P39">
    <cfRule type="cellIs" dxfId="1475" priority="1475" operator="greaterThan">
      <formula>0</formula>
    </cfRule>
  </conditionalFormatting>
  <conditionalFormatting sqref="Q32:Q39">
    <cfRule type="cellIs" dxfId="1474" priority="1480" operator="lessThan">
      <formula>0</formula>
    </cfRule>
  </conditionalFormatting>
  <conditionalFormatting sqref="Q32:Q39">
    <cfRule type="cellIs" dxfId="1473" priority="1469" operator="lessThan">
      <formula>0</formula>
    </cfRule>
  </conditionalFormatting>
  <conditionalFormatting sqref="P32:P39">
    <cfRule type="cellIs" dxfId="1472" priority="1470" operator="greaterThan">
      <formula>0</formula>
    </cfRule>
  </conditionalFormatting>
  <conditionalFormatting sqref="R32:R39">
    <cfRule type="cellIs" dxfId="1471" priority="1473" operator="lessThan">
      <formula>0.8</formula>
    </cfRule>
    <cfRule type="cellIs" dxfId="1470" priority="1474" operator="greaterThan">
      <formula>1</formula>
    </cfRule>
  </conditionalFormatting>
  <conditionalFormatting sqref="R32:R39">
    <cfRule type="cellIs" dxfId="1469" priority="1471" operator="greaterThan">
      <formula>1</formula>
    </cfRule>
    <cfRule type="cellIs" dxfId="1468" priority="1472" operator="lessThan">
      <formula>0.8</formula>
    </cfRule>
  </conditionalFormatting>
  <conditionalFormatting sqref="Q32:Q39">
    <cfRule type="cellIs" dxfId="1467" priority="1463" operator="lessThan">
      <formula>0</formula>
    </cfRule>
  </conditionalFormatting>
  <conditionalFormatting sqref="R32:R39">
    <cfRule type="cellIs" dxfId="1466" priority="1467" operator="lessThan">
      <formula>0.8</formula>
    </cfRule>
    <cfRule type="cellIs" dxfId="1465" priority="1468" operator="greaterThan">
      <formula>1</formula>
    </cfRule>
  </conditionalFormatting>
  <conditionalFormatting sqref="R32:R39">
    <cfRule type="cellIs" dxfId="1464" priority="1465" operator="greaterThan">
      <formula>1</formula>
    </cfRule>
    <cfRule type="cellIs" dxfId="1463" priority="1466" operator="lessThan">
      <formula>0.8</formula>
    </cfRule>
  </conditionalFormatting>
  <conditionalFormatting sqref="P32:P39">
    <cfRule type="cellIs" dxfId="1462" priority="1464" operator="greaterThan">
      <formula>0</formula>
    </cfRule>
  </conditionalFormatting>
  <conditionalFormatting sqref="Q32:Q39">
    <cfRule type="cellIs" dxfId="1461" priority="1462" operator="lessThan">
      <formula>0</formula>
    </cfRule>
  </conditionalFormatting>
  <conditionalFormatting sqref="R32:R39">
    <cfRule type="cellIs" dxfId="1460" priority="1460" operator="lessThan">
      <formula>0.8</formula>
    </cfRule>
    <cfRule type="cellIs" dxfId="1459" priority="1461" operator="greaterThan">
      <formula>1</formula>
    </cfRule>
  </conditionalFormatting>
  <conditionalFormatting sqref="R32:R39">
    <cfRule type="cellIs" dxfId="1458" priority="1458" operator="greaterThan">
      <formula>1</formula>
    </cfRule>
    <cfRule type="cellIs" dxfId="1457" priority="1459" operator="lessThan">
      <formula>0.8</formula>
    </cfRule>
  </conditionalFormatting>
  <conditionalFormatting sqref="P32:P39">
    <cfRule type="cellIs" dxfId="1456" priority="1457" operator="greaterThan">
      <formula>0</formula>
    </cfRule>
  </conditionalFormatting>
  <conditionalFormatting sqref="Q32:Q39">
    <cfRule type="cellIs" dxfId="1455" priority="1456" operator="lessThan">
      <formula>0</formula>
    </cfRule>
  </conditionalFormatting>
  <conditionalFormatting sqref="R32:R39">
    <cfRule type="cellIs" dxfId="1454" priority="1454" operator="lessThan">
      <formula>0.8</formula>
    </cfRule>
    <cfRule type="cellIs" dxfId="1453" priority="1455" operator="greaterThan">
      <formula>1</formula>
    </cfRule>
  </conditionalFormatting>
  <conditionalFormatting sqref="R32:R39">
    <cfRule type="cellIs" dxfId="1452" priority="1452" operator="greaterThan">
      <formula>1</formula>
    </cfRule>
    <cfRule type="cellIs" dxfId="1451" priority="1453" operator="lessThan">
      <formula>0.8</formula>
    </cfRule>
  </conditionalFormatting>
  <conditionalFormatting sqref="P32:P39">
    <cfRule type="cellIs" dxfId="1450" priority="1451" operator="greaterThan">
      <formula>0</formula>
    </cfRule>
  </conditionalFormatting>
  <conditionalFormatting sqref="Q32:Q39">
    <cfRule type="cellIs" dxfId="1449" priority="1450" operator="lessThan">
      <formula>0</formula>
    </cfRule>
  </conditionalFormatting>
  <conditionalFormatting sqref="R32:R39">
    <cfRule type="cellIs" dxfId="1448" priority="1448" operator="lessThan">
      <formula>0.8</formula>
    </cfRule>
    <cfRule type="cellIs" dxfId="1447" priority="1449" operator="greaterThan">
      <formula>1</formula>
    </cfRule>
  </conditionalFormatting>
  <conditionalFormatting sqref="R32:R39">
    <cfRule type="cellIs" dxfId="1446" priority="1446" operator="greaterThan">
      <formula>1</formula>
    </cfRule>
    <cfRule type="cellIs" dxfId="1445" priority="1447" operator="lessThan">
      <formula>0.8</formula>
    </cfRule>
  </conditionalFormatting>
  <conditionalFormatting sqref="P32:P39">
    <cfRule type="cellIs" dxfId="1444" priority="1445" operator="greaterThan">
      <formula>0</formula>
    </cfRule>
  </conditionalFormatting>
  <conditionalFormatting sqref="Q32:Q39">
    <cfRule type="cellIs" dxfId="1443" priority="1444" operator="lessThan">
      <formula>0</formula>
    </cfRule>
  </conditionalFormatting>
  <conditionalFormatting sqref="R32:R39">
    <cfRule type="cellIs" dxfId="1442" priority="1442" operator="lessThan">
      <formula>0.8</formula>
    </cfRule>
    <cfRule type="cellIs" dxfId="1441" priority="1443" operator="greaterThan">
      <formula>1</formula>
    </cfRule>
  </conditionalFormatting>
  <conditionalFormatting sqref="R32:R39">
    <cfRule type="cellIs" dxfId="1440" priority="1440" operator="greaterThan">
      <formula>1</formula>
    </cfRule>
    <cfRule type="cellIs" dxfId="1439" priority="1441" operator="lessThan">
      <formula>0.8</formula>
    </cfRule>
  </conditionalFormatting>
  <conditionalFormatting sqref="P32:P39">
    <cfRule type="cellIs" dxfId="1438" priority="1439" operator="greaterThan">
      <formula>0</formula>
    </cfRule>
  </conditionalFormatting>
  <conditionalFormatting sqref="Q105">
    <cfRule type="cellIs" dxfId="1437" priority="1438" operator="lessThan">
      <formula>0</formula>
    </cfRule>
  </conditionalFormatting>
  <conditionalFormatting sqref="P105">
    <cfRule type="cellIs" dxfId="1436" priority="1437" operator="greaterThan">
      <formula>0</formula>
    </cfRule>
  </conditionalFormatting>
  <conditionalFormatting sqref="P105">
    <cfRule type="cellIs" dxfId="1435" priority="1435" operator="greaterThan">
      <formula>0</formula>
    </cfRule>
  </conditionalFormatting>
  <conditionalFormatting sqref="Q105">
    <cfRule type="cellIs" dxfId="1434" priority="1436" operator="lessThan">
      <formula>0</formula>
    </cfRule>
  </conditionalFormatting>
  <conditionalFormatting sqref="Q105">
    <cfRule type="cellIs" dxfId="1433" priority="1434" operator="lessThan">
      <formula>0</formula>
    </cfRule>
  </conditionalFormatting>
  <conditionalFormatting sqref="P105">
    <cfRule type="cellIs" dxfId="1432" priority="1433" operator="greaterThan">
      <formula>0</formula>
    </cfRule>
  </conditionalFormatting>
  <conditionalFormatting sqref="Q96:Q104">
    <cfRule type="cellIs" dxfId="1431" priority="1427" operator="lessThan">
      <formula>0</formula>
    </cfRule>
  </conditionalFormatting>
  <conditionalFormatting sqref="P96:P104">
    <cfRule type="cellIs" dxfId="1430" priority="1428" operator="greaterThan">
      <formula>0</formula>
    </cfRule>
  </conditionalFormatting>
  <conditionalFormatting sqref="R96:R105">
    <cfRule type="cellIs" dxfId="1429" priority="1431" operator="lessThan">
      <formula>0.8</formula>
    </cfRule>
    <cfRule type="cellIs" dxfId="1428" priority="1432" operator="greaterThan">
      <formula>1</formula>
    </cfRule>
  </conditionalFormatting>
  <conditionalFormatting sqref="R96:R105">
    <cfRule type="cellIs" dxfId="1427" priority="1429" operator="greaterThan">
      <formula>1</formula>
    </cfRule>
    <cfRule type="cellIs" dxfId="1426" priority="1430" operator="lessThan">
      <formula>0.8</formula>
    </cfRule>
  </conditionalFormatting>
  <conditionalFormatting sqref="Q96:Q104">
    <cfRule type="cellIs" dxfId="1425" priority="1421" operator="lessThan">
      <formula>0</formula>
    </cfRule>
  </conditionalFormatting>
  <conditionalFormatting sqref="R96:R105">
    <cfRule type="cellIs" dxfId="1424" priority="1425" operator="lessThan">
      <formula>0.8</formula>
    </cfRule>
    <cfRule type="cellIs" dxfId="1423" priority="1426" operator="greaterThan">
      <formula>1</formula>
    </cfRule>
  </conditionalFormatting>
  <conditionalFormatting sqref="R96:R105">
    <cfRule type="cellIs" dxfId="1422" priority="1423" operator="greaterThan">
      <formula>1</formula>
    </cfRule>
    <cfRule type="cellIs" dxfId="1421" priority="1424" operator="lessThan">
      <formula>0.8</formula>
    </cfRule>
  </conditionalFormatting>
  <conditionalFormatting sqref="P96:P104">
    <cfRule type="cellIs" dxfId="1420" priority="1422" operator="greaterThan">
      <formula>0</formula>
    </cfRule>
  </conditionalFormatting>
  <conditionalFormatting sqref="Q96:Q104">
    <cfRule type="cellIs" dxfId="1419" priority="1420" operator="lessThan">
      <formula>0</formula>
    </cfRule>
  </conditionalFormatting>
  <conditionalFormatting sqref="R96:R105">
    <cfRule type="cellIs" dxfId="1418" priority="1418" operator="lessThan">
      <formula>0.8</formula>
    </cfRule>
    <cfRule type="cellIs" dxfId="1417" priority="1419" operator="greaterThan">
      <formula>1</formula>
    </cfRule>
  </conditionalFormatting>
  <conditionalFormatting sqref="R96:R105">
    <cfRule type="cellIs" dxfId="1416" priority="1416" operator="greaterThan">
      <formula>1</formula>
    </cfRule>
    <cfRule type="cellIs" dxfId="1415" priority="1417" operator="lessThan">
      <formula>0.8</formula>
    </cfRule>
  </conditionalFormatting>
  <conditionalFormatting sqref="P96:P104">
    <cfRule type="cellIs" dxfId="1414" priority="1415" operator="greaterThan">
      <formula>0</formula>
    </cfRule>
  </conditionalFormatting>
  <conditionalFormatting sqref="Q96:Q104">
    <cfRule type="cellIs" dxfId="1413" priority="1414" operator="lessThan">
      <formula>0</formula>
    </cfRule>
  </conditionalFormatting>
  <conditionalFormatting sqref="R96:R105">
    <cfRule type="cellIs" dxfId="1412" priority="1412" operator="lessThan">
      <formula>0.8</formula>
    </cfRule>
    <cfRule type="cellIs" dxfId="1411" priority="1413" operator="greaterThan">
      <formula>1</formula>
    </cfRule>
  </conditionalFormatting>
  <conditionalFormatting sqref="R96:R105">
    <cfRule type="cellIs" dxfId="1410" priority="1410" operator="greaterThan">
      <formula>1</formula>
    </cfRule>
    <cfRule type="cellIs" dxfId="1409" priority="1411" operator="lessThan">
      <formula>0.8</formula>
    </cfRule>
  </conditionalFormatting>
  <conditionalFormatting sqref="P96:P104">
    <cfRule type="cellIs" dxfId="1408" priority="1409" operator="greaterThan">
      <formula>0</formula>
    </cfRule>
  </conditionalFormatting>
  <conditionalFormatting sqref="Q96:Q104">
    <cfRule type="cellIs" dxfId="1407" priority="1403" operator="lessThan">
      <formula>0</formula>
    </cfRule>
  </conditionalFormatting>
  <conditionalFormatting sqref="R96:R105">
    <cfRule type="cellIs" dxfId="1406" priority="1407" operator="lessThan">
      <formula>0.8</formula>
    </cfRule>
    <cfRule type="cellIs" dxfId="1405" priority="1408" operator="greaterThan">
      <formula>1</formula>
    </cfRule>
  </conditionalFormatting>
  <conditionalFormatting sqref="R96:R105">
    <cfRule type="cellIs" dxfId="1404" priority="1405" operator="greaterThan">
      <formula>1</formula>
    </cfRule>
    <cfRule type="cellIs" dxfId="1403" priority="1406" operator="lessThan">
      <formula>0.8</formula>
    </cfRule>
  </conditionalFormatting>
  <conditionalFormatting sqref="P96:P104">
    <cfRule type="cellIs" dxfId="1402" priority="1404" operator="greaterThan">
      <formula>0</formula>
    </cfRule>
  </conditionalFormatting>
  <conditionalFormatting sqref="Q96:Q104">
    <cfRule type="cellIs" dxfId="1401" priority="1402" operator="lessThan">
      <formula>0</formula>
    </cfRule>
  </conditionalFormatting>
  <conditionalFormatting sqref="R96:R105">
    <cfRule type="cellIs" dxfId="1400" priority="1400" operator="lessThan">
      <formula>0.8</formula>
    </cfRule>
    <cfRule type="cellIs" dxfId="1399" priority="1401" operator="greaterThan">
      <formula>1</formula>
    </cfRule>
  </conditionalFormatting>
  <conditionalFormatting sqref="R96:R105">
    <cfRule type="cellIs" dxfId="1398" priority="1398" operator="greaterThan">
      <formula>1</formula>
    </cfRule>
    <cfRule type="cellIs" dxfId="1397" priority="1399" operator="lessThan">
      <formula>0.8</formula>
    </cfRule>
  </conditionalFormatting>
  <conditionalFormatting sqref="P96:P104">
    <cfRule type="cellIs" dxfId="1396" priority="1397" operator="greaterThan">
      <formula>0</formula>
    </cfRule>
  </conditionalFormatting>
  <conditionalFormatting sqref="Q96:Q104">
    <cfRule type="cellIs" dxfId="1395" priority="1396" operator="lessThan">
      <formula>0</formula>
    </cfRule>
  </conditionalFormatting>
  <conditionalFormatting sqref="R96:R105">
    <cfRule type="cellIs" dxfId="1394" priority="1394" operator="lessThan">
      <formula>0.8</formula>
    </cfRule>
    <cfRule type="cellIs" dxfId="1393" priority="1395" operator="greaterThan">
      <formula>1</formula>
    </cfRule>
  </conditionalFormatting>
  <conditionalFormatting sqref="R96:R105">
    <cfRule type="cellIs" dxfId="1392" priority="1392" operator="greaterThan">
      <formula>1</formula>
    </cfRule>
    <cfRule type="cellIs" dxfId="1391" priority="1393" operator="lessThan">
      <formula>0.8</formula>
    </cfRule>
  </conditionalFormatting>
  <conditionalFormatting sqref="P96:P104">
    <cfRule type="cellIs" dxfId="1390" priority="1391" operator="greaterThan">
      <formula>0</formula>
    </cfRule>
  </conditionalFormatting>
  <conditionalFormatting sqref="Q96:Q104">
    <cfRule type="cellIs" dxfId="1389" priority="1390" operator="lessThan">
      <formula>0</formula>
    </cfRule>
  </conditionalFormatting>
  <conditionalFormatting sqref="R96:R105">
    <cfRule type="cellIs" dxfId="1388" priority="1388" operator="lessThan">
      <formula>0.8</formula>
    </cfRule>
    <cfRule type="cellIs" dxfId="1387" priority="1389" operator="greaterThan">
      <formula>1</formula>
    </cfRule>
  </conditionalFormatting>
  <conditionalFormatting sqref="R96:R105">
    <cfRule type="cellIs" dxfId="1386" priority="1386" operator="greaterThan">
      <formula>1</formula>
    </cfRule>
    <cfRule type="cellIs" dxfId="1385" priority="1387" operator="lessThan">
      <formula>0.8</formula>
    </cfRule>
  </conditionalFormatting>
  <conditionalFormatting sqref="P96:P104">
    <cfRule type="cellIs" dxfId="1384" priority="1385" operator="greaterThan">
      <formula>0</formula>
    </cfRule>
  </conditionalFormatting>
  <conditionalFormatting sqref="Q96:Q104">
    <cfRule type="cellIs" dxfId="1383" priority="1384" operator="lessThan">
      <formula>0</formula>
    </cfRule>
  </conditionalFormatting>
  <conditionalFormatting sqref="R96:R105">
    <cfRule type="cellIs" dxfId="1382" priority="1382" operator="lessThan">
      <formula>0.8</formula>
    </cfRule>
    <cfRule type="cellIs" dxfId="1381" priority="1383" operator="greaterThan">
      <formula>1</formula>
    </cfRule>
  </conditionalFormatting>
  <conditionalFormatting sqref="R96:R105">
    <cfRule type="cellIs" dxfId="1380" priority="1380" operator="greaterThan">
      <formula>1</formula>
    </cfRule>
    <cfRule type="cellIs" dxfId="1379" priority="1381" operator="lessThan">
      <formula>0.8</formula>
    </cfRule>
  </conditionalFormatting>
  <conditionalFormatting sqref="P96:P104">
    <cfRule type="cellIs" dxfId="1378" priority="1379" operator="greaterThan">
      <formula>0</formula>
    </cfRule>
  </conditionalFormatting>
  <conditionalFormatting sqref="Q96:Q104">
    <cfRule type="cellIs" dxfId="1377" priority="1378" operator="lessThan">
      <formula>0</formula>
    </cfRule>
  </conditionalFormatting>
  <conditionalFormatting sqref="R96:R105">
    <cfRule type="cellIs" dxfId="1376" priority="1376" operator="lessThan">
      <formula>0.8</formula>
    </cfRule>
    <cfRule type="cellIs" dxfId="1375" priority="1377" operator="greaterThan">
      <formula>1</formula>
    </cfRule>
  </conditionalFormatting>
  <conditionalFormatting sqref="R96:R105">
    <cfRule type="cellIs" dxfId="1374" priority="1374" operator="greaterThan">
      <formula>1</formula>
    </cfRule>
    <cfRule type="cellIs" dxfId="1373" priority="1375" operator="lessThan">
      <formula>0.8</formula>
    </cfRule>
  </conditionalFormatting>
  <conditionalFormatting sqref="P96:P104">
    <cfRule type="cellIs" dxfId="1372" priority="1373" operator="greaterThan">
      <formula>0</formula>
    </cfRule>
  </conditionalFormatting>
  <conditionalFormatting sqref="P96:P104">
    <cfRule type="cellIs" dxfId="1371" priority="1367" operator="greaterThan">
      <formula>0</formula>
    </cfRule>
  </conditionalFormatting>
  <conditionalFormatting sqref="Q96:Q104">
    <cfRule type="cellIs" dxfId="1370" priority="1372" operator="lessThan">
      <formula>0</formula>
    </cfRule>
  </conditionalFormatting>
  <conditionalFormatting sqref="R96:R105">
    <cfRule type="cellIs" dxfId="1369" priority="1370" operator="lessThan">
      <formula>0.8</formula>
    </cfRule>
    <cfRule type="cellIs" dxfId="1368" priority="1371" operator="greaterThan">
      <formula>1</formula>
    </cfRule>
  </conditionalFormatting>
  <conditionalFormatting sqref="R96:R105">
    <cfRule type="cellIs" dxfId="1367" priority="1368" operator="greaterThan">
      <formula>1</formula>
    </cfRule>
    <cfRule type="cellIs" dxfId="1366" priority="1369" operator="lessThan">
      <formula>0.8</formula>
    </cfRule>
  </conditionalFormatting>
  <conditionalFormatting sqref="P96:P104">
    <cfRule type="cellIs" dxfId="1365" priority="1361" operator="greaterThan">
      <formula>0</formula>
    </cfRule>
  </conditionalFormatting>
  <conditionalFormatting sqref="Q96:Q104">
    <cfRule type="cellIs" dxfId="1364" priority="1366" operator="lessThan">
      <formula>0</formula>
    </cfRule>
  </conditionalFormatting>
  <conditionalFormatting sqref="R96:R105">
    <cfRule type="cellIs" dxfId="1363" priority="1364" operator="lessThan">
      <formula>0.8</formula>
    </cfRule>
    <cfRule type="cellIs" dxfId="1362" priority="1365" operator="greaterThan">
      <formula>1</formula>
    </cfRule>
  </conditionalFormatting>
  <conditionalFormatting sqref="R96:R105">
    <cfRule type="cellIs" dxfId="1361" priority="1362" operator="greaterThan">
      <formula>1</formula>
    </cfRule>
    <cfRule type="cellIs" dxfId="1360" priority="1363" operator="lessThan">
      <formula>0.8</formula>
    </cfRule>
  </conditionalFormatting>
  <conditionalFormatting sqref="R96:R105">
    <cfRule type="cellIs" dxfId="1359" priority="1358" operator="lessThan">
      <formula>0.8</formula>
    </cfRule>
    <cfRule type="cellIs" dxfId="1358" priority="1359" operator="greaterThan">
      <formula>1</formula>
    </cfRule>
  </conditionalFormatting>
  <conditionalFormatting sqref="R96:R105">
    <cfRule type="cellIs" dxfId="1357" priority="1356" operator="greaterThan">
      <formula>1</formula>
    </cfRule>
    <cfRule type="cellIs" dxfId="1356" priority="1357" operator="lessThan">
      <formula>0.8</formula>
    </cfRule>
  </conditionalFormatting>
  <conditionalFormatting sqref="P96:P104">
    <cfRule type="cellIs" dxfId="1355" priority="1355" operator="greaterThan">
      <formula>0</formula>
    </cfRule>
  </conditionalFormatting>
  <conditionalFormatting sqref="Q96:Q104">
    <cfRule type="cellIs" dxfId="1354" priority="1360" operator="lessThan">
      <formula>0</formula>
    </cfRule>
  </conditionalFormatting>
  <conditionalFormatting sqref="Q96:Q104">
    <cfRule type="cellIs" dxfId="1353" priority="1349" operator="lessThan">
      <formula>0</formula>
    </cfRule>
  </conditionalFormatting>
  <conditionalFormatting sqref="P96:P104">
    <cfRule type="cellIs" dxfId="1352" priority="1350" operator="greaterThan">
      <formula>0</formula>
    </cfRule>
  </conditionalFormatting>
  <conditionalFormatting sqref="R96:R105">
    <cfRule type="cellIs" dxfId="1351" priority="1353" operator="lessThan">
      <formula>0.8</formula>
    </cfRule>
    <cfRule type="cellIs" dxfId="1350" priority="1354" operator="greaterThan">
      <formula>1</formula>
    </cfRule>
  </conditionalFormatting>
  <conditionalFormatting sqref="R96:R105">
    <cfRule type="cellIs" dxfId="1349" priority="1351" operator="greaterThan">
      <formula>1</formula>
    </cfRule>
    <cfRule type="cellIs" dxfId="1348" priority="1352" operator="lessThan">
      <formula>0.8</formula>
    </cfRule>
  </conditionalFormatting>
  <conditionalFormatting sqref="Q96:Q104">
    <cfRule type="cellIs" dxfId="1347" priority="1343" operator="lessThan">
      <formula>0</formula>
    </cfRule>
  </conditionalFormatting>
  <conditionalFormatting sqref="R96:R105">
    <cfRule type="cellIs" dxfId="1346" priority="1347" operator="lessThan">
      <formula>0.8</formula>
    </cfRule>
    <cfRule type="cellIs" dxfId="1345" priority="1348" operator="greaterThan">
      <formula>1</formula>
    </cfRule>
  </conditionalFormatting>
  <conditionalFormatting sqref="R96:R105">
    <cfRule type="cellIs" dxfId="1344" priority="1345" operator="greaterThan">
      <formula>1</formula>
    </cfRule>
    <cfRule type="cellIs" dxfId="1343" priority="1346" operator="lessThan">
      <formula>0.8</formula>
    </cfRule>
  </conditionalFormatting>
  <conditionalFormatting sqref="P96:P104">
    <cfRule type="cellIs" dxfId="1342" priority="1344" operator="greaterThan">
      <formula>0</formula>
    </cfRule>
  </conditionalFormatting>
  <conditionalFormatting sqref="Q96:Q104">
    <cfRule type="cellIs" dxfId="1341" priority="1342" operator="lessThan">
      <formula>0</formula>
    </cfRule>
  </conditionalFormatting>
  <conditionalFormatting sqref="R96:R105">
    <cfRule type="cellIs" dxfId="1340" priority="1340" operator="lessThan">
      <formula>0.8</formula>
    </cfRule>
    <cfRule type="cellIs" dxfId="1339" priority="1341" operator="greaterThan">
      <formula>1</formula>
    </cfRule>
  </conditionalFormatting>
  <conditionalFormatting sqref="R96:R105">
    <cfRule type="cellIs" dxfId="1338" priority="1338" operator="greaterThan">
      <formula>1</formula>
    </cfRule>
    <cfRule type="cellIs" dxfId="1337" priority="1339" operator="lessThan">
      <formula>0.8</formula>
    </cfRule>
  </conditionalFormatting>
  <conditionalFormatting sqref="P96:P104">
    <cfRule type="cellIs" dxfId="1336" priority="1337" operator="greaterThan">
      <formula>0</formula>
    </cfRule>
  </conditionalFormatting>
  <conditionalFormatting sqref="Q96:Q104">
    <cfRule type="cellIs" dxfId="1335" priority="1336" operator="lessThan">
      <formula>0</formula>
    </cfRule>
  </conditionalFormatting>
  <conditionalFormatting sqref="R96:R105">
    <cfRule type="cellIs" dxfId="1334" priority="1334" operator="lessThan">
      <formula>0.8</formula>
    </cfRule>
    <cfRule type="cellIs" dxfId="1333" priority="1335" operator="greaterThan">
      <formula>1</formula>
    </cfRule>
  </conditionalFormatting>
  <conditionalFormatting sqref="R96:R105">
    <cfRule type="cellIs" dxfId="1332" priority="1332" operator="greaterThan">
      <formula>1</formula>
    </cfRule>
    <cfRule type="cellIs" dxfId="1331" priority="1333" operator="lessThan">
      <formula>0.8</formula>
    </cfRule>
  </conditionalFormatting>
  <conditionalFormatting sqref="P96:P104">
    <cfRule type="cellIs" dxfId="1330" priority="1331" operator="greaterThan">
      <formula>0</formula>
    </cfRule>
  </conditionalFormatting>
  <conditionalFormatting sqref="Q96:Q104">
    <cfRule type="cellIs" dxfId="1329" priority="1325" operator="lessThan">
      <formula>0</formula>
    </cfRule>
  </conditionalFormatting>
  <conditionalFormatting sqref="P96:P104">
    <cfRule type="cellIs" dxfId="1328" priority="1326" operator="greaterThan">
      <formula>0</formula>
    </cfRule>
  </conditionalFormatting>
  <conditionalFormatting sqref="R96:R105">
    <cfRule type="cellIs" dxfId="1327" priority="1329" operator="lessThan">
      <formula>0.8</formula>
    </cfRule>
    <cfRule type="cellIs" dxfId="1326" priority="1330" operator="greaterThan">
      <formula>1</formula>
    </cfRule>
  </conditionalFormatting>
  <conditionalFormatting sqref="R96:R105">
    <cfRule type="cellIs" dxfId="1325" priority="1327" operator="greaterThan">
      <formula>1</formula>
    </cfRule>
    <cfRule type="cellIs" dxfId="1324" priority="1328" operator="lessThan">
      <formula>0.8</formula>
    </cfRule>
  </conditionalFormatting>
  <conditionalFormatting sqref="Q96:Q104">
    <cfRule type="cellIs" dxfId="1323" priority="1319" operator="lessThan">
      <formula>0</formula>
    </cfRule>
  </conditionalFormatting>
  <conditionalFormatting sqref="R96:R105">
    <cfRule type="cellIs" dxfId="1322" priority="1323" operator="lessThan">
      <formula>0.8</formula>
    </cfRule>
    <cfRule type="cellIs" dxfId="1321" priority="1324" operator="greaterThan">
      <formula>1</formula>
    </cfRule>
  </conditionalFormatting>
  <conditionalFormatting sqref="R96:R105">
    <cfRule type="cellIs" dxfId="1320" priority="1321" operator="greaterThan">
      <formula>1</formula>
    </cfRule>
    <cfRule type="cellIs" dxfId="1319" priority="1322" operator="lessThan">
      <formula>0.8</formula>
    </cfRule>
  </conditionalFormatting>
  <conditionalFormatting sqref="P96:P104">
    <cfRule type="cellIs" dxfId="1318" priority="1320" operator="greaterThan">
      <formula>0</formula>
    </cfRule>
  </conditionalFormatting>
  <conditionalFormatting sqref="Q96:Q104">
    <cfRule type="cellIs" dxfId="1317" priority="1318" operator="lessThan">
      <formula>0</formula>
    </cfRule>
  </conditionalFormatting>
  <conditionalFormatting sqref="R96:R105">
    <cfRule type="cellIs" dxfId="1316" priority="1316" operator="lessThan">
      <formula>0.8</formula>
    </cfRule>
    <cfRule type="cellIs" dxfId="1315" priority="1317" operator="greaterThan">
      <formula>1</formula>
    </cfRule>
  </conditionalFormatting>
  <conditionalFormatting sqref="R96:R105">
    <cfRule type="cellIs" dxfId="1314" priority="1314" operator="greaterThan">
      <formula>1</formula>
    </cfRule>
    <cfRule type="cellIs" dxfId="1313" priority="1315" operator="lessThan">
      <formula>0.8</formula>
    </cfRule>
  </conditionalFormatting>
  <conditionalFormatting sqref="P96:P104">
    <cfRule type="cellIs" dxfId="1312" priority="1313" operator="greaterThan">
      <formula>0</formula>
    </cfRule>
  </conditionalFormatting>
  <conditionalFormatting sqref="Q96:Q104">
    <cfRule type="cellIs" dxfId="1311" priority="1312" operator="lessThan">
      <formula>0</formula>
    </cfRule>
  </conditionalFormatting>
  <conditionalFormatting sqref="R96:R105">
    <cfRule type="cellIs" dxfId="1310" priority="1310" operator="lessThan">
      <formula>0.8</formula>
    </cfRule>
    <cfRule type="cellIs" dxfId="1309" priority="1311" operator="greaterThan">
      <formula>1</formula>
    </cfRule>
  </conditionalFormatting>
  <conditionalFormatting sqref="R96:R105">
    <cfRule type="cellIs" dxfId="1308" priority="1308" operator="greaterThan">
      <formula>1</formula>
    </cfRule>
    <cfRule type="cellIs" dxfId="1307" priority="1309" operator="lessThan">
      <formula>0.8</formula>
    </cfRule>
  </conditionalFormatting>
  <conditionalFormatting sqref="P96:P104">
    <cfRule type="cellIs" dxfId="1306" priority="1307" operator="greaterThan">
      <formula>0</formula>
    </cfRule>
  </conditionalFormatting>
  <conditionalFormatting sqref="P124 P127">
    <cfRule type="cellIs" dxfId="1305" priority="1301" operator="greaterThan">
      <formula>0</formula>
    </cfRule>
  </conditionalFormatting>
  <conditionalFormatting sqref="Q124 Q127">
    <cfRule type="cellIs" dxfId="1304" priority="1306" operator="lessThan">
      <formula>0</formula>
    </cfRule>
  </conditionalFormatting>
  <conditionalFormatting sqref="R124 R127">
    <cfRule type="cellIs" dxfId="1303" priority="1304" operator="lessThan">
      <formula>0.8</formula>
    </cfRule>
    <cfRule type="cellIs" dxfId="1302" priority="1305" operator="greaterThan">
      <formula>1</formula>
    </cfRule>
  </conditionalFormatting>
  <conditionalFormatting sqref="R124 R127">
    <cfRule type="cellIs" dxfId="1301" priority="1302" operator="greaterThan">
      <formula>1</formula>
    </cfRule>
    <cfRule type="cellIs" dxfId="1300" priority="1303" operator="lessThan">
      <formula>0.8</formula>
    </cfRule>
  </conditionalFormatting>
  <conditionalFormatting sqref="Q124 Q127">
    <cfRule type="cellIs" dxfId="1299" priority="1300" operator="lessThan">
      <formula>0</formula>
    </cfRule>
  </conditionalFormatting>
  <conditionalFormatting sqref="R124 R127">
    <cfRule type="cellIs" dxfId="1298" priority="1298" operator="lessThan">
      <formula>0.8</formula>
    </cfRule>
    <cfRule type="cellIs" dxfId="1297" priority="1299" operator="greaterThan">
      <formula>1</formula>
    </cfRule>
  </conditionalFormatting>
  <conditionalFormatting sqref="R124 R127">
    <cfRule type="cellIs" dxfId="1296" priority="1296" operator="greaterThan">
      <formula>1</formula>
    </cfRule>
    <cfRule type="cellIs" dxfId="1295" priority="1297" operator="lessThan">
      <formula>0.8</formula>
    </cfRule>
  </conditionalFormatting>
  <conditionalFormatting sqref="P124 P127">
    <cfRule type="cellIs" dxfId="1294" priority="1295" operator="greaterThan">
      <formula>0</formula>
    </cfRule>
  </conditionalFormatting>
  <conditionalFormatting sqref="Q123 Q125:Q126 Q128:Q129">
    <cfRule type="cellIs" dxfId="1293" priority="1294" operator="lessThan">
      <formula>0</formula>
    </cfRule>
  </conditionalFormatting>
  <conditionalFormatting sqref="R123 R125:R126 R128:R129">
    <cfRule type="cellIs" dxfId="1292" priority="1292" operator="lessThan">
      <formula>0.8</formula>
    </cfRule>
    <cfRule type="cellIs" dxfId="1291" priority="1293" operator="greaterThan">
      <formula>1</formula>
    </cfRule>
  </conditionalFormatting>
  <conditionalFormatting sqref="R123 R125:R126 R128:R129">
    <cfRule type="cellIs" dxfId="1290" priority="1290" operator="greaterThan">
      <formula>1</formula>
    </cfRule>
    <cfRule type="cellIs" dxfId="1289" priority="1291" operator="lessThan">
      <formula>0.8</formula>
    </cfRule>
  </conditionalFormatting>
  <conditionalFormatting sqref="P123 P125:P126 P128:P129">
    <cfRule type="cellIs" dxfId="1288" priority="1289" operator="greaterThan">
      <formula>0</formula>
    </cfRule>
  </conditionalFormatting>
  <conditionalFormatting sqref="P123 P125:P126 P128:P129">
    <cfRule type="cellIs" dxfId="1287" priority="1283" operator="greaterThan">
      <formula>0</formula>
    </cfRule>
  </conditionalFormatting>
  <conditionalFormatting sqref="Q123 Q125:Q126 Q128:Q129">
    <cfRule type="cellIs" dxfId="1286" priority="1288" operator="lessThan">
      <formula>0</formula>
    </cfRule>
  </conditionalFormatting>
  <conditionalFormatting sqref="R123 R125:R126 R128:R129">
    <cfRule type="cellIs" dxfId="1285" priority="1286" operator="lessThan">
      <formula>0.8</formula>
    </cfRule>
    <cfRule type="cellIs" dxfId="1284" priority="1287" operator="greaterThan">
      <formula>1</formula>
    </cfRule>
  </conditionalFormatting>
  <conditionalFormatting sqref="R123 R125:R126 R128:R129">
    <cfRule type="cellIs" dxfId="1283" priority="1284" operator="greaterThan">
      <formula>1</formula>
    </cfRule>
    <cfRule type="cellIs" dxfId="1282" priority="1285" operator="lessThan">
      <formula>0.8</formula>
    </cfRule>
  </conditionalFormatting>
  <conditionalFormatting sqref="P122">
    <cfRule type="cellIs" dxfId="1281" priority="1277" operator="greaterThan">
      <formula>0</formula>
    </cfRule>
  </conditionalFormatting>
  <conditionalFormatting sqref="Q122">
    <cfRule type="cellIs" dxfId="1280" priority="1282" operator="lessThan">
      <formula>0</formula>
    </cfRule>
  </conditionalFormatting>
  <conditionalFormatting sqref="R122">
    <cfRule type="cellIs" dxfId="1279" priority="1280" operator="lessThan">
      <formula>0.8</formula>
    </cfRule>
    <cfRule type="cellIs" dxfId="1278" priority="1281" operator="greaterThan">
      <formula>1</formula>
    </cfRule>
  </conditionalFormatting>
  <conditionalFormatting sqref="R122">
    <cfRule type="cellIs" dxfId="1277" priority="1278" operator="greaterThan">
      <formula>1</formula>
    </cfRule>
    <cfRule type="cellIs" dxfId="1276" priority="1279" operator="lessThan">
      <formula>0.8</formula>
    </cfRule>
  </conditionalFormatting>
  <conditionalFormatting sqref="Q109:Q116">
    <cfRule type="cellIs" dxfId="1275" priority="1276" operator="lessThan">
      <formula>0</formula>
    </cfRule>
  </conditionalFormatting>
  <conditionalFormatting sqref="R109:R116">
    <cfRule type="cellIs" dxfId="1274" priority="1274" operator="lessThan">
      <formula>0.8</formula>
    </cfRule>
    <cfRule type="cellIs" dxfId="1273" priority="1275" operator="greaterThan">
      <formula>1</formula>
    </cfRule>
  </conditionalFormatting>
  <conditionalFormatting sqref="R109:R116">
    <cfRule type="cellIs" dxfId="1272" priority="1272" operator="greaterThan">
      <formula>1</formula>
    </cfRule>
    <cfRule type="cellIs" dxfId="1271" priority="1273" operator="lessThan">
      <formula>0.8</formula>
    </cfRule>
  </conditionalFormatting>
  <conditionalFormatting sqref="P109:P116">
    <cfRule type="cellIs" dxfId="1270" priority="1271" operator="greaterThan">
      <formula>0</formula>
    </cfRule>
  </conditionalFormatting>
  <conditionalFormatting sqref="Q130">
    <cfRule type="cellIs" dxfId="1269" priority="1270" operator="lessThan">
      <formula>0</formula>
    </cfRule>
  </conditionalFormatting>
  <conditionalFormatting sqref="R130">
    <cfRule type="cellIs" dxfId="1268" priority="1268" operator="lessThan">
      <formula>0.8</formula>
    </cfRule>
    <cfRule type="cellIs" dxfId="1267" priority="1269" operator="greaterThan">
      <formula>1</formula>
    </cfRule>
  </conditionalFormatting>
  <conditionalFormatting sqref="R130">
    <cfRule type="cellIs" dxfId="1266" priority="1266" operator="greaterThan">
      <formula>1</formula>
    </cfRule>
    <cfRule type="cellIs" dxfId="1265" priority="1267" operator="lessThan">
      <formula>0.8</formula>
    </cfRule>
  </conditionalFormatting>
  <conditionalFormatting sqref="P130">
    <cfRule type="cellIs" dxfId="1264" priority="1265" operator="greaterThan">
      <formula>0</formula>
    </cfRule>
  </conditionalFormatting>
  <conditionalFormatting sqref="R130">
    <cfRule type="cellIs" dxfId="1263" priority="1262" operator="lessThan">
      <formula>0.8</formula>
    </cfRule>
    <cfRule type="cellIs" dxfId="1262" priority="1263" operator="greaterThan">
      <formula>1</formula>
    </cfRule>
  </conditionalFormatting>
  <conditionalFormatting sqref="R130">
    <cfRule type="cellIs" dxfId="1261" priority="1260" operator="greaterThan">
      <formula>1</formula>
    </cfRule>
    <cfRule type="cellIs" dxfId="1260" priority="1261" operator="lessThan">
      <formula>0.8</formula>
    </cfRule>
  </conditionalFormatting>
  <conditionalFormatting sqref="P130">
    <cfRule type="cellIs" dxfId="1259" priority="1259" operator="greaterThan">
      <formula>0</formula>
    </cfRule>
  </conditionalFormatting>
  <conditionalFormatting sqref="Q130">
    <cfRule type="cellIs" dxfId="1258" priority="1264" operator="lessThan">
      <formula>0</formula>
    </cfRule>
  </conditionalFormatting>
  <conditionalFormatting sqref="R130">
    <cfRule type="cellIs" dxfId="1257" priority="1256" operator="lessThan">
      <formula>0.8</formula>
    </cfRule>
    <cfRule type="cellIs" dxfId="1256" priority="1257" operator="greaterThan">
      <formula>1</formula>
    </cfRule>
  </conditionalFormatting>
  <conditionalFormatting sqref="R130">
    <cfRule type="cellIs" dxfId="1255" priority="1254" operator="greaterThan">
      <formula>1</formula>
    </cfRule>
    <cfRule type="cellIs" dxfId="1254" priority="1255" operator="lessThan">
      <formula>0.8</formula>
    </cfRule>
  </conditionalFormatting>
  <conditionalFormatting sqref="P130">
    <cfRule type="cellIs" dxfId="1253" priority="1253" operator="greaterThan">
      <formula>0</formula>
    </cfRule>
  </conditionalFormatting>
  <conditionalFormatting sqref="Q130">
    <cfRule type="cellIs" dxfId="1252" priority="1258" operator="lessThan">
      <formula>0</formula>
    </cfRule>
  </conditionalFormatting>
  <conditionalFormatting sqref="Q130">
    <cfRule type="cellIs" dxfId="1251" priority="1252" operator="lessThan">
      <formula>0</formula>
    </cfRule>
  </conditionalFormatting>
  <conditionalFormatting sqref="R130">
    <cfRule type="cellIs" dxfId="1250" priority="1250" operator="lessThan">
      <formula>0.8</formula>
    </cfRule>
    <cfRule type="cellIs" dxfId="1249" priority="1251" operator="greaterThan">
      <formula>1</formula>
    </cfRule>
  </conditionalFormatting>
  <conditionalFormatting sqref="R130">
    <cfRule type="cellIs" dxfId="1248" priority="1248" operator="greaterThan">
      <formula>1</formula>
    </cfRule>
    <cfRule type="cellIs" dxfId="1247" priority="1249" operator="lessThan">
      <formula>0.8</formula>
    </cfRule>
  </conditionalFormatting>
  <conditionalFormatting sqref="P130">
    <cfRule type="cellIs" dxfId="1246" priority="1247" operator="greaterThan">
      <formula>0</formula>
    </cfRule>
  </conditionalFormatting>
  <conditionalFormatting sqref="R130">
    <cfRule type="cellIs" dxfId="1245" priority="1244" operator="lessThan">
      <formula>0.8</formula>
    </cfRule>
    <cfRule type="cellIs" dxfId="1244" priority="1245" operator="greaterThan">
      <formula>1</formula>
    </cfRule>
  </conditionalFormatting>
  <conditionalFormatting sqref="R130">
    <cfRule type="cellIs" dxfId="1243" priority="1242" operator="greaterThan">
      <formula>1</formula>
    </cfRule>
    <cfRule type="cellIs" dxfId="1242" priority="1243" operator="lessThan">
      <formula>0.8</formula>
    </cfRule>
  </conditionalFormatting>
  <conditionalFormatting sqref="P130">
    <cfRule type="cellIs" dxfId="1241" priority="1241" operator="greaterThan">
      <formula>0</formula>
    </cfRule>
  </conditionalFormatting>
  <conditionalFormatting sqref="Q130">
    <cfRule type="cellIs" dxfId="1240" priority="1246" operator="lessThan">
      <formula>0</formula>
    </cfRule>
  </conditionalFormatting>
  <conditionalFormatting sqref="Q130">
    <cfRule type="cellIs" dxfId="1239" priority="1240" operator="lessThan">
      <formula>0</formula>
    </cfRule>
  </conditionalFormatting>
  <conditionalFormatting sqref="R130">
    <cfRule type="cellIs" dxfId="1238" priority="1238" operator="lessThan">
      <formula>0.8</formula>
    </cfRule>
    <cfRule type="cellIs" dxfId="1237" priority="1239" operator="greaterThan">
      <formula>1</formula>
    </cfRule>
  </conditionalFormatting>
  <conditionalFormatting sqref="R130">
    <cfRule type="cellIs" dxfId="1236" priority="1236" operator="greaterThan">
      <formula>1</formula>
    </cfRule>
    <cfRule type="cellIs" dxfId="1235" priority="1237" operator="lessThan">
      <formula>0.8</formula>
    </cfRule>
  </conditionalFormatting>
  <conditionalFormatting sqref="P130">
    <cfRule type="cellIs" dxfId="1234" priority="1235" operator="greaterThan">
      <formula>0</formula>
    </cfRule>
  </conditionalFormatting>
  <conditionalFormatting sqref="Q130">
    <cfRule type="cellIs" dxfId="1233" priority="1229" operator="lessThan">
      <formula>0</formula>
    </cfRule>
  </conditionalFormatting>
  <conditionalFormatting sqref="R130">
    <cfRule type="cellIs" dxfId="1232" priority="1233" operator="lessThan">
      <formula>0.8</formula>
    </cfRule>
    <cfRule type="cellIs" dxfId="1231" priority="1234" operator="greaterThan">
      <formula>1</formula>
    </cfRule>
  </conditionalFormatting>
  <conditionalFormatting sqref="R130">
    <cfRule type="cellIs" dxfId="1230" priority="1231" operator="greaterThan">
      <formula>1</formula>
    </cfRule>
    <cfRule type="cellIs" dxfId="1229" priority="1232" operator="lessThan">
      <formula>0.8</formula>
    </cfRule>
  </conditionalFormatting>
  <conditionalFormatting sqref="P130">
    <cfRule type="cellIs" dxfId="1228" priority="1230" operator="greaterThan">
      <formula>0</formula>
    </cfRule>
  </conditionalFormatting>
  <conditionalFormatting sqref="Q130">
    <cfRule type="cellIs" dxfId="1227" priority="1228" operator="lessThan">
      <formula>0</formula>
    </cfRule>
  </conditionalFormatting>
  <conditionalFormatting sqref="R130">
    <cfRule type="cellIs" dxfId="1226" priority="1226" operator="lessThan">
      <formula>0.8</formula>
    </cfRule>
    <cfRule type="cellIs" dxfId="1225" priority="1227" operator="greaterThan">
      <formula>1</formula>
    </cfRule>
  </conditionalFormatting>
  <conditionalFormatting sqref="R130">
    <cfRule type="cellIs" dxfId="1224" priority="1224" operator="greaterThan">
      <formula>1</formula>
    </cfRule>
    <cfRule type="cellIs" dxfId="1223" priority="1225" operator="lessThan">
      <formula>0.8</formula>
    </cfRule>
  </conditionalFormatting>
  <conditionalFormatting sqref="P130">
    <cfRule type="cellIs" dxfId="1222" priority="1223" operator="greaterThan">
      <formula>0</formula>
    </cfRule>
  </conditionalFormatting>
  <conditionalFormatting sqref="Q130">
    <cfRule type="cellIs" dxfId="1221" priority="1222" operator="lessThan">
      <formula>0</formula>
    </cfRule>
  </conditionalFormatting>
  <conditionalFormatting sqref="R130">
    <cfRule type="cellIs" dxfId="1220" priority="1220" operator="lessThan">
      <formula>0.8</formula>
    </cfRule>
    <cfRule type="cellIs" dxfId="1219" priority="1221" operator="greaterThan">
      <formula>1</formula>
    </cfRule>
  </conditionalFormatting>
  <conditionalFormatting sqref="R130">
    <cfRule type="cellIs" dxfId="1218" priority="1218" operator="greaterThan">
      <formula>1</formula>
    </cfRule>
    <cfRule type="cellIs" dxfId="1217" priority="1219" operator="lessThan">
      <formula>0.8</formula>
    </cfRule>
  </conditionalFormatting>
  <conditionalFormatting sqref="P130">
    <cfRule type="cellIs" dxfId="1216" priority="1217" operator="greaterThan">
      <formula>0</formula>
    </cfRule>
  </conditionalFormatting>
  <conditionalFormatting sqref="Q130">
    <cfRule type="cellIs" dxfId="1215" priority="1216" operator="lessThan">
      <formula>0</formula>
    </cfRule>
  </conditionalFormatting>
  <conditionalFormatting sqref="R130">
    <cfRule type="cellIs" dxfId="1214" priority="1214" operator="lessThan">
      <formula>0.8</formula>
    </cfRule>
    <cfRule type="cellIs" dxfId="1213" priority="1215" operator="greaterThan">
      <formula>1</formula>
    </cfRule>
  </conditionalFormatting>
  <conditionalFormatting sqref="R130">
    <cfRule type="cellIs" dxfId="1212" priority="1212" operator="greaterThan">
      <formula>1</formula>
    </cfRule>
    <cfRule type="cellIs" dxfId="1211" priority="1213" operator="lessThan">
      <formula>0.8</formula>
    </cfRule>
  </conditionalFormatting>
  <conditionalFormatting sqref="P130">
    <cfRule type="cellIs" dxfId="1210" priority="1211" operator="greaterThan">
      <formula>0</formula>
    </cfRule>
  </conditionalFormatting>
  <conditionalFormatting sqref="Q130">
    <cfRule type="cellIs" dxfId="1209" priority="1210" operator="lessThan">
      <formula>0</formula>
    </cfRule>
  </conditionalFormatting>
  <conditionalFormatting sqref="R130">
    <cfRule type="cellIs" dxfId="1208" priority="1208" operator="lessThan">
      <formula>0.8</formula>
    </cfRule>
    <cfRule type="cellIs" dxfId="1207" priority="1209" operator="greaterThan">
      <formula>1</formula>
    </cfRule>
  </conditionalFormatting>
  <conditionalFormatting sqref="R130">
    <cfRule type="cellIs" dxfId="1206" priority="1206" operator="greaterThan">
      <formula>1</formula>
    </cfRule>
    <cfRule type="cellIs" dxfId="1205" priority="1207" operator="lessThan">
      <formula>0.8</formula>
    </cfRule>
  </conditionalFormatting>
  <conditionalFormatting sqref="P130">
    <cfRule type="cellIs" dxfId="1204" priority="1205" operator="greaterThan">
      <formula>0</formula>
    </cfRule>
  </conditionalFormatting>
  <conditionalFormatting sqref="Q130">
    <cfRule type="cellIs" dxfId="1203" priority="1204" operator="lessThan">
      <formula>0</formula>
    </cfRule>
  </conditionalFormatting>
  <conditionalFormatting sqref="R130">
    <cfRule type="cellIs" dxfId="1202" priority="1202" operator="lessThan">
      <formula>0.8</formula>
    </cfRule>
    <cfRule type="cellIs" dxfId="1201" priority="1203" operator="greaterThan">
      <formula>1</formula>
    </cfRule>
  </conditionalFormatting>
  <conditionalFormatting sqref="R130">
    <cfRule type="cellIs" dxfId="1200" priority="1200" operator="greaterThan">
      <formula>1</formula>
    </cfRule>
    <cfRule type="cellIs" dxfId="1199" priority="1201" operator="lessThan">
      <formula>0.8</formula>
    </cfRule>
  </conditionalFormatting>
  <conditionalFormatting sqref="P130">
    <cfRule type="cellIs" dxfId="1198" priority="1199" operator="greaterThan">
      <formula>0</formula>
    </cfRule>
  </conditionalFormatting>
  <conditionalFormatting sqref="P130">
    <cfRule type="cellIs" dxfId="1197" priority="1193" operator="greaterThan">
      <formula>0</formula>
    </cfRule>
  </conditionalFormatting>
  <conditionalFormatting sqref="Q130">
    <cfRule type="cellIs" dxfId="1196" priority="1198" operator="lessThan">
      <formula>0</formula>
    </cfRule>
  </conditionalFormatting>
  <conditionalFormatting sqref="R130">
    <cfRule type="cellIs" dxfId="1195" priority="1196" operator="lessThan">
      <formula>0.8</formula>
    </cfRule>
    <cfRule type="cellIs" dxfId="1194" priority="1197" operator="greaterThan">
      <formula>1</formula>
    </cfRule>
  </conditionalFormatting>
  <conditionalFormatting sqref="R130">
    <cfRule type="cellIs" dxfId="1193" priority="1194" operator="greaterThan">
      <formula>1</formula>
    </cfRule>
    <cfRule type="cellIs" dxfId="1192" priority="1195" operator="lessThan">
      <formula>0.8</formula>
    </cfRule>
  </conditionalFormatting>
  <conditionalFormatting sqref="P130">
    <cfRule type="cellIs" dxfId="1191" priority="1187" operator="greaterThan">
      <formula>0</formula>
    </cfRule>
  </conditionalFormatting>
  <conditionalFormatting sqref="Q130">
    <cfRule type="cellIs" dxfId="1190" priority="1192" operator="lessThan">
      <formula>0</formula>
    </cfRule>
  </conditionalFormatting>
  <conditionalFormatting sqref="R130">
    <cfRule type="cellIs" dxfId="1189" priority="1190" operator="lessThan">
      <formula>0.8</formula>
    </cfRule>
    <cfRule type="cellIs" dxfId="1188" priority="1191" operator="greaterThan">
      <formula>1</formula>
    </cfRule>
  </conditionalFormatting>
  <conditionalFormatting sqref="R130">
    <cfRule type="cellIs" dxfId="1187" priority="1188" operator="greaterThan">
      <formula>1</formula>
    </cfRule>
    <cfRule type="cellIs" dxfId="1186" priority="1189" operator="lessThan">
      <formula>0.8</formula>
    </cfRule>
  </conditionalFormatting>
  <conditionalFormatting sqref="R130">
    <cfRule type="cellIs" dxfId="1185" priority="1184" operator="lessThan">
      <formula>0.8</formula>
    </cfRule>
    <cfRule type="cellIs" dxfId="1184" priority="1185" operator="greaterThan">
      <formula>1</formula>
    </cfRule>
  </conditionalFormatting>
  <conditionalFormatting sqref="R130">
    <cfRule type="cellIs" dxfId="1183" priority="1182" operator="greaterThan">
      <formula>1</formula>
    </cfRule>
    <cfRule type="cellIs" dxfId="1182" priority="1183" operator="lessThan">
      <formula>0.8</formula>
    </cfRule>
  </conditionalFormatting>
  <conditionalFormatting sqref="P130">
    <cfRule type="cellIs" dxfId="1181" priority="1181" operator="greaterThan">
      <formula>0</formula>
    </cfRule>
  </conditionalFormatting>
  <conditionalFormatting sqref="Q130">
    <cfRule type="cellIs" dxfId="1180" priority="1186" operator="lessThan">
      <formula>0</formula>
    </cfRule>
  </conditionalFormatting>
  <conditionalFormatting sqref="Q130">
    <cfRule type="cellIs" dxfId="1179" priority="1175" operator="lessThan">
      <formula>0</formula>
    </cfRule>
  </conditionalFormatting>
  <conditionalFormatting sqref="P130">
    <cfRule type="cellIs" dxfId="1178" priority="1176" operator="greaterThan">
      <formula>0</formula>
    </cfRule>
  </conditionalFormatting>
  <conditionalFormatting sqref="R130">
    <cfRule type="cellIs" dxfId="1177" priority="1179" operator="lessThan">
      <formula>0.8</formula>
    </cfRule>
    <cfRule type="cellIs" dxfId="1176" priority="1180" operator="greaterThan">
      <formula>1</formula>
    </cfRule>
  </conditionalFormatting>
  <conditionalFormatting sqref="R130">
    <cfRule type="cellIs" dxfId="1175" priority="1177" operator="greaterThan">
      <formula>1</formula>
    </cfRule>
    <cfRule type="cellIs" dxfId="1174" priority="1178" operator="lessThan">
      <formula>0.8</formula>
    </cfRule>
  </conditionalFormatting>
  <conditionalFormatting sqref="Q130">
    <cfRule type="cellIs" dxfId="1173" priority="1169" operator="lessThan">
      <formula>0</formula>
    </cfRule>
  </conditionalFormatting>
  <conditionalFormatting sqref="R130">
    <cfRule type="cellIs" dxfId="1172" priority="1173" operator="lessThan">
      <formula>0.8</formula>
    </cfRule>
    <cfRule type="cellIs" dxfId="1171" priority="1174" operator="greaterThan">
      <formula>1</formula>
    </cfRule>
  </conditionalFormatting>
  <conditionalFormatting sqref="R130">
    <cfRule type="cellIs" dxfId="1170" priority="1171" operator="greaterThan">
      <formula>1</formula>
    </cfRule>
    <cfRule type="cellIs" dxfId="1169" priority="1172" operator="lessThan">
      <formula>0.8</formula>
    </cfRule>
  </conditionalFormatting>
  <conditionalFormatting sqref="P130">
    <cfRule type="cellIs" dxfId="1168" priority="1170" operator="greaterThan">
      <formula>0</formula>
    </cfRule>
  </conditionalFormatting>
  <conditionalFormatting sqref="Q130">
    <cfRule type="cellIs" dxfId="1167" priority="1168" operator="lessThan">
      <formula>0</formula>
    </cfRule>
  </conditionalFormatting>
  <conditionalFormatting sqref="R130">
    <cfRule type="cellIs" dxfId="1166" priority="1166" operator="lessThan">
      <formula>0.8</formula>
    </cfRule>
    <cfRule type="cellIs" dxfId="1165" priority="1167" operator="greaterThan">
      <formula>1</formula>
    </cfRule>
  </conditionalFormatting>
  <conditionalFormatting sqref="R130">
    <cfRule type="cellIs" dxfId="1164" priority="1164" operator="greaterThan">
      <formula>1</formula>
    </cfRule>
    <cfRule type="cellIs" dxfId="1163" priority="1165" operator="lessThan">
      <formula>0.8</formula>
    </cfRule>
  </conditionalFormatting>
  <conditionalFormatting sqref="P130">
    <cfRule type="cellIs" dxfId="1162" priority="1163" operator="greaterThan">
      <formula>0</formula>
    </cfRule>
  </conditionalFormatting>
  <conditionalFormatting sqref="Q130">
    <cfRule type="cellIs" dxfId="1161" priority="1162" operator="lessThan">
      <formula>0</formula>
    </cfRule>
  </conditionalFormatting>
  <conditionalFormatting sqref="R130">
    <cfRule type="cellIs" dxfId="1160" priority="1160" operator="lessThan">
      <formula>0.8</formula>
    </cfRule>
    <cfRule type="cellIs" dxfId="1159" priority="1161" operator="greaterThan">
      <formula>1</formula>
    </cfRule>
  </conditionalFormatting>
  <conditionalFormatting sqref="R130">
    <cfRule type="cellIs" dxfId="1158" priority="1158" operator="greaterThan">
      <formula>1</formula>
    </cfRule>
    <cfRule type="cellIs" dxfId="1157" priority="1159" operator="lessThan">
      <formula>0.8</formula>
    </cfRule>
  </conditionalFormatting>
  <conditionalFormatting sqref="P130">
    <cfRule type="cellIs" dxfId="1156" priority="1157" operator="greaterThan">
      <formula>0</formula>
    </cfRule>
  </conditionalFormatting>
  <conditionalFormatting sqref="Q130">
    <cfRule type="cellIs" dxfId="1155" priority="1151" operator="lessThan">
      <formula>0</formula>
    </cfRule>
  </conditionalFormatting>
  <conditionalFormatting sqref="P130">
    <cfRule type="cellIs" dxfId="1154" priority="1152" operator="greaterThan">
      <formula>0</formula>
    </cfRule>
  </conditionalFormatting>
  <conditionalFormatting sqref="R130">
    <cfRule type="cellIs" dxfId="1153" priority="1155" operator="lessThan">
      <formula>0.8</formula>
    </cfRule>
    <cfRule type="cellIs" dxfId="1152" priority="1156" operator="greaterThan">
      <formula>1</formula>
    </cfRule>
  </conditionalFormatting>
  <conditionalFormatting sqref="R130">
    <cfRule type="cellIs" dxfId="1151" priority="1153" operator="greaterThan">
      <formula>1</formula>
    </cfRule>
    <cfRule type="cellIs" dxfId="1150" priority="1154" operator="lessThan">
      <formula>0.8</formula>
    </cfRule>
  </conditionalFormatting>
  <conditionalFormatting sqref="Q130">
    <cfRule type="cellIs" dxfId="1149" priority="1145" operator="lessThan">
      <formula>0</formula>
    </cfRule>
  </conditionalFormatting>
  <conditionalFormatting sqref="R130">
    <cfRule type="cellIs" dxfId="1148" priority="1149" operator="lessThan">
      <formula>0.8</formula>
    </cfRule>
    <cfRule type="cellIs" dxfId="1147" priority="1150" operator="greaterThan">
      <formula>1</formula>
    </cfRule>
  </conditionalFormatting>
  <conditionalFormatting sqref="R130">
    <cfRule type="cellIs" dxfId="1146" priority="1147" operator="greaterThan">
      <formula>1</formula>
    </cfRule>
    <cfRule type="cellIs" dxfId="1145" priority="1148" operator="lessThan">
      <formula>0.8</formula>
    </cfRule>
  </conditionalFormatting>
  <conditionalFormatting sqref="P130">
    <cfRule type="cellIs" dxfId="1144" priority="1146" operator="greaterThan">
      <formula>0</formula>
    </cfRule>
  </conditionalFormatting>
  <conditionalFormatting sqref="Q130">
    <cfRule type="cellIs" dxfId="1143" priority="1144" operator="lessThan">
      <formula>0</formula>
    </cfRule>
  </conditionalFormatting>
  <conditionalFormatting sqref="R130">
    <cfRule type="cellIs" dxfId="1142" priority="1142" operator="lessThan">
      <formula>0.8</formula>
    </cfRule>
    <cfRule type="cellIs" dxfId="1141" priority="1143" operator="greaterThan">
      <formula>1</formula>
    </cfRule>
  </conditionalFormatting>
  <conditionalFormatting sqref="R130">
    <cfRule type="cellIs" dxfId="1140" priority="1140" operator="greaterThan">
      <formula>1</formula>
    </cfRule>
    <cfRule type="cellIs" dxfId="1139" priority="1141" operator="lessThan">
      <formula>0.8</formula>
    </cfRule>
  </conditionalFormatting>
  <conditionalFormatting sqref="P130">
    <cfRule type="cellIs" dxfId="1138" priority="1139" operator="greaterThan">
      <formula>0</formula>
    </cfRule>
  </conditionalFormatting>
  <conditionalFormatting sqref="Q130">
    <cfRule type="cellIs" dxfId="1137" priority="1138" operator="lessThan">
      <formula>0</formula>
    </cfRule>
  </conditionalFormatting>
  <conditionalFormatting sqref="R130">
    <cfRule type="cellIs" dxfId="1136" priority="1136" operator="lessThan">
      <formula>0.8</formula>
    </cfRule>
    <cfRule type="cellIs" dxfId="1135" priority="1137" operator="greaterThan">
      <formula>1</formula>
    </cfRule>
  </conditionalFormatting>
  <conditionalFormatting sqref="R130">
    <cfRule type="cellIs" dxfId="1134" priority="1134" operator="greaterThan">
      <formula>1</formula>
    </cfRule>
    <cfRule type="cellIs" dxfId="1133" priority="1135" operator="lessThan">
      <formula>0.8</formula>
    </cfRule>
  </conditionalFormatting>
  <conditionalFormatting sqref="P130">
    <cfRule type="cellIs" dxfId="1132" priority="1133" operator="greaterThan">
      <formula>0</formula>
    </cfRule>
  </conditionalFormatting>
  <conditionalFormatting sqref="P130">
    <cfRule type="cellIs" dxfId="1131" priority="1127" operator="greaterThan">
      <formula>0</formula>
    </cfRule>
  </conditionalFormatting>
  <conditionalFormatting sqref="Q130">
    <cfRule type="cellIs" dxfId="1130" priority="1132" operator="lessThan">
      <formula>0</formula>
    </cfRule>
  </conditionalFormatting>
  <conditionalFormatting sqref="R130">
    <cfRule type="cellIs" dxfId="1129" priority="1130" operator="lessThan">
      <formula>0.8</formula>
    </cfRule>
    <cfRule type="cellIs" dxfId="1128" priority="1131" operator="greaterThan">
      <formula>1</formula>
    </cfRule>
  </conditionalFormatting>
  <conditionalFormatting sqref="R130">
    <cfRule type="cellIs" dxfId="1127" priority="1128" operator="greaterThan">
      <formula>1</formula>
    </cfRule>
    <cfRule type="cellIs" dxfId="1126" priority="1129" operator="lessThan">
      <formula>0.8</formula>
    </cfRule>
  </conditionalFormatting>
  <conditionalFormatting sqref="P130">
    <cfRule type="cellIs" dxfId="1125" priority="1121" operator="greaterThan">
      <formula>0</formula>
    </cfRule>
  </conditionalFormatting>
  <conditionalFormatting sqref="Q130">
    <cfRule type="cellIs" dxfId="1124" priority="1126" operator="lessThan">
      <formula>0</formula>
    </cfRule>
  </conditionalFormatting>
  <conditionalFormatting sqref="R130">
    <cfRule type="cellIs" dxfId="1123" priority="1124" operator="lessThan">
      <formula>0.8</formula>
    </cfRule>
    <cfRule type="cellIs" dxfId="1122" priority="1125" operator="greaterThan">
      <formula>1</formula>
    </cfRule>
  </conditionalFormatting>
  <conditionalFormatting sqref="R130">
    <cfRule type="cellIs" dxfId="1121" priority="1122" operator="greaterThan">
      <formula>1</formula>
    </cfRule>
    <cfRule type="cellIs" dxfId="1120" priority="1123" operator="lessThan">
      <formula>0.8</formula>
    </cfRule>
  </conditionalFormatting>
  <conditionalFormatting sqref="Q130">
    <cfRule type="cellIs" dxfId="1119" priority="1115" operator="lessThan">
      <formula>0</formula>
    </cfRule>
  </conditionalFormatting>
  <conditionalFormatting sqref="R130">
    <cfRule type="cellIs" dxfId="1118" priority="1119" operator="lessThan">
      <formula>0.8</formula>
    </cfRule>
    <cfRule type="cellIs" dxfId="1117" priority="1120" operator="greaterThan">
      <formula>1</formula>
    </cfRule>
  </conditionalFormatting>
  <conditionalFormatting sqref="R130">
    <cfRule type="cellIs" dxfId="1116" priority="1117" operator="greaterThan">
      <formula>1</formula>
    </cfRule>
    <cfRule type="cellIs" dxfId="1115" priority="1118" operator="lessThan">
      <formula>0.8</formula>
    </cfRule>
  </conditionalFormatting>
  <conditionalFormatting sqref="P130">
    <cfRule type="cellIs" dxfId="1114" priority="1116" operator="greaterThan">
      <formula>0</formula>
    </cfRule>
  </conditionalFormatting>
  <conditionalFormatting sqref="Q130">
    <cfRule type="cellIs" dxfId="1113" priority="1114" operator="lessThan">
      <formula>0</formula>
    </cfRule>
  </conditionalFormatting>
  <conditionalFormatting sqref="R130">
    <cfRule type="cellIs" dxfId="1112" priority="1112" operator="lessThan">
      <formula>0.8</formula>
    </cfRule>
    <cfRule type="cellIs" dxfId="1111" priority="1113" operator="greaterThan">
      <formula>1</formula>
    </cfRule>
  </conditionalFormatting>
  <conditionalFormatting sqref="R130">
    <cfRule type="cellIs" dxfId="1110" priority="1110" operator="greaterThan">
      <formula>1</formula>
    </cfRule>
    <cfRule type="cellIs" dxfId="1109" priority="1111" operator="lessThan">
      <formula>0.8</formula>
    </cfRule>
  </conditionalFormatting>
  <conditionalFormatting sqref="P130">
    <cfRule type="cellIs" dxfId="1108" priority="1109" operator="greaterThan">
      <formula>0</formula>
    </cfRule>
  </conditionalFormatting>
  <conditionalFormatting sqref="Q130">
    <cfRule type="cellIs" dxfId="1107" priority="1108" operator="lessThan">
      <formula>0</formula>
    </cfRule>
  </conditionalFormatting>
  <conditionalFormatting sqref="R130">
    <cfRule type="cellIs" dxfId="1106" priority="1106" operator="lessThan">
      <formula>0.8</formula>
    </cfRule>
    <cfRule type="cellIs" dxfId="1105" priority="1107" operator="greaterThan">
      <formula>1</formula>
    </cfRule>
  </conditionalFormatting>
  <conditionalFormatting sqref="R130">
    <cfRule type="cellIs" dxfId="1104" priority="1104" operator="greaterThan">
      <formula>1</formula>
    </cfRule>
    <cfRule type="cellIs" dxfId="1103" priority="1105" operator="lessThan">
      <formula>0.8</formula>
    </cfRule>
  </conditionalFormatting>
  <conditionalFormatting sqref="P130">
    <cfRule type="cellIs" dxfId="1102" priority="1103" operator="greaterThan">
      <formula>0</formula>
    </cfRule>
  </conditionalFormatting>
  <conditionalFormatting sqref="Q130">
    <cfRule type="cellIs" dxfId="1101" priority="1102" operator="lessThan">
      <formula>0</formula>
    </cfRule>
  </conditionalFormatting>
  <conditionalFormatting sqref="R130">
    <cfRule type="cellIs" dxfId="1100" priority="1100" operator="lessThan">
      <formula>0.8</formula>
    </cfRule>
    <cfRule type="cellIs" dxfId="1099" priority="1101" operator="greaterThan">
      <formula>1</formula>
    </cfRule>
  </conditionalFormatting>
  <conditionalFormatting sqref="R130">
    <cfRule type="cellIs" dxfId="1098" priority="1098" operator="greaterThan">
      <formula>1</formula>
    </cfRule>
    <cfRule type="cellIs" dxfId="1097" priority="1099" operator="lessThan">
      <formula>0.8</formula>
    </cfRule>
  </conditionalFormatting>
  <conditionalFormatting sqref="P130">
    <cfRule type="cellIs" dxfId="1096" priority="1097" operator="greaterThan">
      <formula>0</formula>
    </cfRule>
  </conditionalFormatting>
  <conditionalFormatting sqref="Q130">
    <cfRule type="cellIs" dxfId="1095" priority="1096" operator="lessThan">
      <formula>0</formula>
    </cfRule>
  </conditionalFormatting>
  <conditionalFormatting sqref="R130">
    <cfRule type="cellIs" dxfId="1094" priority="1094" operator="lessThan">
      <formula>0.8</formula>
    </cfRule>
    <cfRule type="cellIs" dxfId="1093" priority="1095" operator="greaterThan">
      <formula>1</formula>
    </cfRule>
  </conditionalFormatting>
  <conditionalFormatting sqref="R130">
    <cfRule type="cellIs" dxfId="1092" priority="1092" operator="greaterThan">
      <formula>1</formula>
    </cfRule>
    <cfRule type="cellIs" dxfId="1091" priority="1093" operator="lessThan">
      <formula>0.8</formula>
    </cfRule>
  </conditionalFormatting>
  <conditionalFormatting sqref="P130">
    <cfRule type="cellIs" dxfId="1090" priority="1091" operator="greaterThan">
      <formula>0</formula>
    </cfRule>
  </conditionalFormatting>
  <conditionalFormatting sqref="Q130">
    <cfRule type="cellIs" dxfId="1089" priority="1090" operator="lessThan">
      <formula>0</formula>
    </cfRule>
  </conditionalFormatting>
  <conditionalFormatting sqref="R130">
    <cfRule type="cellIs" dxfId="1088" priority="1088" operator="lessThan">
      <formula>0.8</formula>
    </cfRule>
    <cfRule type="cellIs" dxfId="1087" priority="1089" operator="greaterThan">
      <formula>1</formula>
    </cfRule>
  </conditionalFormatting>
  <conditionalFormatting sqref="R130">
    <cfRule type="cellIs" dxfId="1086" priority="1086" operator="greaterThan">
      <formula>1</formula>
    </cfRule>
    <cfRule type="cellIs" dxfId="1085" priority="1087" operator="lessThan">
      <formula>0.8</formula>
    </cfRule>
  </conditionalFormatting>
  <conditionalFormatting sqref="P130">
    <cfRule type="cellIs" dxfId="1084" priority="1085" operator="greaterThan">
      <formula>0</formula>
    </cfRule>
  </conditionalFormatting>
  <conditionalFormatting sqref="P130">
    <cfRule type="cellIs" dxfId="1083" priority="1079" operator="greaterThan">
      <formula>0</formula>
    </cfRule>
  </conditionalFormatting>
  <conditionalFormatting sqref="Q130">
    <cfRule type="cellIs" dxfId="1082" priority="1084" operator="lessThan">
      <formula>0</formula>
    </cfRule>
  </conditionalFormatting>
  <conditionalFormatting sqref="R130">
    <cfRule type="cellIs" dxfId="1081" priority="1082" operator="lessThan">
      <formula>0.8</formula>
    </cfRule>
    <cfRule type="cellIs" dxfId="1080" priority="1083" operator="greaterThan">
      <formula>1</formula>
    </cfRule>
  </conditionalFormatting>
  <conditionalFormatting sqref="R130">
    <cfRule type="cellIs" dxfId="1079" priority="1080" operator="greaterThan">
      <formula>1</formula>
    </cfRule>
    <cfRule type="cellIs" dxfId="1078" priority="1081" operator="lessThan">
      <formula>0.8</formula>
    </cfRule>
  </conditionalFormatting>
  <conditionalFormatting sqref="P130">
    <cfRule type="cellIs" dxfId="1077" priority="1073" operator="greaterThan">
      <formula>0</formula>
    </cfRule>
  </conditionalFormatting>
  <conditionalFormatting sqref="Q130">
    <cfRule type="cellIs" dxfId="1076" priority="1078" operator="lessThan">
      <formula>0</formula>
    </cfRule>
  </conditionalFormatting>
  <conditionalFormatting sqref="R130">
    <cfRule type="cellIs" dxfId="1075" priority="1076" operator="lessThan">
      <formula>0.8</formula>
    </cfRule>
    <cfRule type="cellIs" dxfId="1074" priority="1077" operator="greaterThan">
      <formula>1</formula>
    </cfRule>
  </conditionalFormatting>
  <conditionalFormatting sqref="R130">
    <cfRule type="cellIs" dxfId="1073" priority="1074" operator="greaterThan">
      <formula>1</formula>
    </cfRule>
    <cfRule type="cellIs" dxfId="1072" priority="1075" operator="lessThan">
      <formula>0.8</formula>
    </cfRule>
  </conditionalFormatting>
  <conditionalFormatting sqref="R130">
    <cfRule type="cellIs" dxfId="1071" priority="1070" operator="lessThan">
      <formula>0.8</formula>
    </cfRule>
    <cfRule type="cellIs" dxfId="1070" priority="1071" operator="greaterThan">
      <formula>1</formula>
    </cfRule>
  </conditionalFormatting>
  <conditionalFormatting sqref="R130">
    <cfRule type="cellIs" dxfId="1069" priority="1068" operator="greaterThan">
      <formula>1</formula>
    </cfRule>
    <cfRule type="cellIs" dxfId="1068" priority="1069" operator="lessThan">
      <formula>0.8</formula>
    </cfRule>
  </conditionalFormatting>
  <conditionalFormatting sqref="P130">
    <cfRule type="cellIs" dxfId="1067" priority="1067" operator="greaterThan">
      <formula>0</formula>
    </cfRule>
  </conditionalFormatting>
  <conditionalFormatting sqref="Q130">
    <cfRule type="cellIs" dxfId="1066" priority="1072" operator="lessThan">
      <formula>0</formula>
    </cfRule>
  </conditionalFormatting>
  <conditionalFormatting sqref="Q130">
    <cfRule type="cellIs" dxfId="1065" priority="1061" operator="lessThan">
      <formula>0</formula>
    </cfRule>
  </conditionalFormatting>
  <conditionalFormatting sqref="P130">
    <cfRule type="cellIs" dxfId="1064" priority="1062" operator="greaterThan">
      <formula>0</formula>
    </cfRule>
  </conditionalFormatting>
  <conditionalFormatting sqref="R130">
    <cfRule type="cellIs" dxfId="1063" priority="1065" operator="lessThan">
      <formula>0.8</formula>
    </cfRule>
    <cfRule type="cellIs" dxfId="1062" priority="1066" operator="greaterThan">
      <formula>1</formula>
    </cfRule>
  </conditionalFormatting>
  <conditionalFormatting sqref="R130">
    <cfRule type="cellIs" dxfId="1061" priority="1063" operator="greaterThan">
      <formula>1</formula>
    </cfRule>
    <cfRule type="cellIs" dxfId="1060" priority="1064" operator="lessThan">
      <formula>0.8</formula>
    </cfRule>
  </conditionalFormatting>
  <conditionalFormatting sqref="Q130">
    <cfRule type="cellIs" dxfId="1059" priority="1055" operator="lessThan">
      <formula>0</formula>
    </cfRule>
  </conditionalFormatting>
  <conditionalFormatting sqref="R130">
    <cfRule type="cellIs" dxfId="1058" priority="1059" operator="lessThan">
      <formula>0.8</formula>
    </cfRule>
    <cfRule type="cellIs" dxfId="1057" priority="1060" operator="greaterThan">
      <formula>1</formula>
    </cfRule>
  </conditionalFormatting>
  <conditionalFormatting sqref="R130">
    <cfRule type="cellIs" dxfId="1056" priority="1057" operator="greaterThan">
      <formula>1</formula>
    </cfRule>
    <cfRule type="cellIs" dxfId="1055" priority="1058" operator="lessThan">
      <formula>0.8</formula>
    </cfRule>
  </conditionalFormatting>
  <conditionalFormatting sqref="P130">
    <cfRule type="cellIs" dxfId="1054" priority="1056" operator="greaterThan">
      <formula>0</formula>
    </cfRule>
  </conditionalFormatting>
  <conditionalFormatting sqref="Q130">
    <cfRule type="cellIs" dxfId="1053" priority="1054" operator="lessThan">
      <formula>0</formula>
    </cfRule>
  </conditionalFormatting>
  <conditionalFormatting sqref="R130">
    <cfRule type="cellIs" dxfId="1052" priority="1052" operator="lessThan">
      <formula>0.8</formula>
    </cfRule>
    <cfRule type="cellIs" dxfId="1051" priority="1053" operator="greaterThan">
      <formula>1</formula>
    </cfRule>
  </conditionalFormatting>
  <conditionalFormatting sqref="R130">
    <cfRule type="cellIs" dxfId="1050" priority="1050" operator="greaterThan">
      <formula>1</formula>
    </cfRule>
    <cfRule type="cellIs" dxfId="1049" priority="1051" operator="lessThan">
      <formula>0.8</formula>
    </cfRule>
  </conditionalFormatting>
  <conditionalFormatting sqref="P130">
    <cfRule type="cellIs" dxfId="1048" priority="1049" operator="greaterThan">
      <formula>0</formula>
    </cfRule>
  </conditionalFormatting>
  <conditionalFormatting sqref="Q130">
    <cfRule type="cellIs" dxfId="1047" priority="1048" operator="lessThan">
      <formula>0</formula>
    </cfRule>
  </conditionalFormatting>
  <conditionalFormatting sqref="R130">
    <cfRule type="cellIs" dxfId="1046" priority="1046" operator="lessThan">
      <formula>0.8</formula>
    </cfRule>
    <cfRule type="cellIs" dxfId="1045" priority="1047" operator="greaterThan">
      <formula>1</formula>
    </cfRule>
  </conditionalFormatting>
  <conditionalFormatting sqref="R130">
    <cfRule type="cellIs" dxfId="1044" priority="1044" operator="greaterThan">
      <formula>1</formula>
    </cfRule>
    <cfRule type="cellIs" dxfId="1043" priority="1045" operator="lessThan">
      <formula>0.8</formula>
    </cfRule>
  </conditionalFormatting>
  <conditionalFormatting sqref="P130">
    <cfRule type="cellIs" dxfId="1042" priority="1043" operator="greaterThan">
      <formula>0</formula>
    </cfRule>
  </conditionalFormatting>
  <conditionalFormatting sqref="P131">
    <cfRule type="cellIs" dxfId="1041" priority="1042" operator="greaterThan">
      <formula>0</formula>
    </cfRule>
  </conditionalFormatting>
  <conditionalFormatting sqref="Q131">
    <cfRule type="cellIs" dxfId="1040" priority="1041" operator="lessThan">
      <formula>0</formula>
    </cfRule>
  </conditionalFormatting>
  <conditionalFormatting sqref="R131">
    <cfRule type="cellIs" dxfId="1039" priority="1039" operator="lessThan">
      <formula>0.8</formula>
    </cfRule>
    <cfRule type="cellIs" dxfId="1038" priority="1040" operator="greaterThan">
      <formula>1</formula>
    </cfRule>
  </conditionalFormatting>
  <conditionalFormatting sqref="R131">
    <cfRule type="cellIs" dxfId="1037" priority="1037" operator="greaterThan">
      <formula>1</formula>
    </cfRule>
    <cfRule type="cellIs" dxfId="1036" priority="1038" operator="lessThan">
      <formula>0.8</formula>
    </cfRule>
  </conditionalFormatting>
  <conditionalFormatting sqref="P131">
    <cfRule type="cellIs" dxfId="1035" priority="1036" operator="greaterThan">
      <formula>0</formula>
    </cfRule>
  </conditionalFormatting>
  <conditionalFormatting sqref="P137 P140 P143">
    <cfRule type="cellIs" dxfId="1034" priority="1035" operator="greaterThan">
      <formula>0</formula>
    </cfRule>
  </conditionalFormatting>
  <conditionalFormatting sqref="Q137 Q140 Q143">
    <cfRule type="cellIs" dxfId="1033" priority="1034" operator="lessThan">
      <formula>0</formula>
    </cfRule>
  </conditionalFormatting>
  <conditionalFormatting sqref="R137 R140 R143">
    <cfRule type="cellIs" dxfId="1032" priority="1032" operator="lessThan">
      <formula>0.8</formula>
    </cfRule>
    <cfRule type="cellIs" dxfId="1031" priority="1033" operator="greaterThan">
      <formula>1</formula>
    </cfRule>
  </conditionalFormatting>
  <conditionalFormatting sqref="R137 R140 R143">
    <cfRule type="cellIs" dxfId="1030" priority="1030" operator="greaterThan">
      <formula>1</formula>
    </cfRule>
    <cfRule type="cellIs" dxfId="1029" priority="1031" operator="lessThan">
      <formula>0.8</formula>
    </cfRule>
  </conditionalFormatting>
  <conditionalFormatting sqref="P137 P140 P143">
    <cfRule type="cellIs" dxfId="1028" priority="1029" operator="greaterThan">
      <formula>0</formula>
    </cfRule>
  </conditionalFormatting>
  <conditionalFormatting sqref="Q137 Q140 Q143">
    <cfRule type="cellIs" dxfId="1027" priority="1028" operator="lessThan">
      <formula>0</formula>
    </cfRule>
  </conditionalFormatting>
  <conditionalFormatting sqref="R137 R140 R143">
    <cfRule type="cellIs" dxfId="1026" priority="1026" operator="lessThan">
      <formula>0.8</formula>
    </cfRule>
    <cfRule type="cellIs" dxfId="1025" priority="1027" operator="greaterThan">
      <formula>1</formula>
    </cfRule>
  </conditionalFormatting>
  <conditionalFormatting sqref="R137 R140 R143">
    <cfRule type="cellIs" dxfId="1024" priority="1024" operator="greaterThan">
      <formula>1</formula>
    </cfRule>
    <cfRule type="cellIs" dxfId="1023" priority="1025" operator="lessThan">
      <formula>0.8</formula>
    </cfRule>
  </conditionalFormatting>
  <conditionalFormatting sqref="P137 P140 P143">
    <cfRule type="cellIs" dxfId="1022" priority="1023" operator="greaterThan">
      <formula>0</formula>
    </cfRule>
  </conditionalFormatting>
  <conditionalFormatting sqref="P137 P140 P143">
    <cfRule type="cellIs" dxfId="1021" priority="1017" operator="greaterThan">
      <formula>0</formula>
    </cfRule>
  </conditionalFormatting>
  <conditionalFormatting sqref="Q137 Q140 Q143">
    <cfRule type="cellIs" dxfId="1020" priority="1022" operator="lessThan">
      <formula>0</formula>
    </cfRule>
  </conditionalFormatting>
  <conditionalFormatting sqref="R137 R140 R143">
    <cfRule type="cellIs" dxfId="1019" priority="1020" operator="lessThan">
      <formula>0.8</formula>
    </cfRule>
    <cfRule type="cellIs" dxfId="1018" priority="1021" operator="greaterThan">
      <formula>1</formula>
    </cfRule>
  </conditionalFormatting>
  <conditionalFormatting sqref="R137 R140 R143">
    <cfRule type="cellIs" dxfId="1017" priority="1018" operator="greaterThan">
      <formula>1</formula>
    </cfRule>
    <cfRule type="cellIs" dxfId="1016" priority="1019" operator="lessThan">
      <formula>0.8</formula>
    </cfRule>
  </conditionalFormatting>
  <conditionalFormatting sqref="Q137 Q140 Q143">
    <cfRule type="cellIs" dxfId="1015" priority="1016" operator="lessThan">
      <formula>0</formula>
    </cfRule>
  </conditionalFormatting>
  <conditionalFormatting sqref="R137 R140 R143">
    <cfRule type="cellIs" dxfId="1014" priority="1014" operator="lessThan">
      <formula>0.8</formula>
    </cfRule>
    <cfRule type="cellIs" dxfId="1013" priority="1015" operator="greaterThan">
      <formula>1</formula>
    </cfRule>
  </conditionalFormatting>
  <conditionalFormatting sqref="R137 R140 R143">
    <cfRule type="cellIs" dxfId="1012" priority="1012" operator="greaterThan">
      <formula>1</formula>
    </cfRule>
    <cfRule type="cellIs" dxfId="1011" priority="1013" operator="lessThan">
      <formula>0.8</formula>
    </cfRule>
  </conditionalFormatting>
  <conditionalFormatting sqref="P137 P140 P143">
    <cfRule type="cellIs" dxfId="1010" priority="1011" operator="greaterThan">
      <formula>0</formula>
    </cfRule>
  </conditionalFormatting>
  <conditionalFormatting sqref="Q137 Q140 Q143">
    <cfRule type="cellIs" dxfId="1009" priority="1010" operator="lessThan">
      <formula>0</formula>
    </cfRule>
  </conditionalFormatting>
  <conditionalFormatting sqref="R137 R140 R143">
    <cfRule type="cellIs" dxfId="1008" priority="1008" operator="lessThan">
      <formula>0.8</formula>
    </cfRule>
    <cfRule type="cellIs" dxfId="1007" priority="1009" operator="greaterThan">
      <formula>1</formula>
    </cfRule>
  </conditionalFormatting>
  <conditionalFormatting sqref="R137 R140 R143">
    <cfRule type="cellIs" dxfId="1006" priority="1006" operator="greaterThan">
      <formula>1</formula>
    </cfRule>
    <cfRule type="cellIs" dxfId="1005" priority="1007" operator="lessThan">
      <formula>0.8</formula>
    </cfRule>
  </conditionalFormatting>
  <conditionalFormatting sqref="P137 P140 P143">
    <cfRule type="cellIs" dxfId="1004" priority="1005" operator="greaterThan">
      <formula>0</formula>
    </cfRule>
  </conditionalFormatting>
  <conditionalFormatting sqref="P137 P140 P143">
    <cfRule type="cellIs" dxfId="1003" priority="999" operator="greaterThan">
      <formula>0</formula>
    </cfRule>
  </conditionalFormatting>
  <conditionalFormatting sqref="Q137 Q140 Q143">
    <cfRule type="cellIs" dxfId="1002" priority="1004" operator="lessThan">
      <formula>0</formula>
    </cfRule>
  </conditionalFormatting>
  <conditionalFormatting sqref="R137 R140 R143">
    <cfRule type="cellIs" dxfId="1001" priority="1002" operator="lessThan">
      <formula>0.8</formula>
    </cfRule>
    <cfRule type="cellIs" dxfId="1000" priority="1003" operator="greaterThan">
      <formula>1</formula>
    </cfRule>
  </conditionalFormatting>
  <conditionalFormatting sqref="R137 R140 R143">
    <cfRule type="cellIs" dxfId="999" priority="1000" operator="greaterThan">
      <formula>1</formula>
    </cfRule>
    <cfRule type="cellIs" dxfId="998" priority="1001" operator="lessThan">
      <formula>0.8</formula>
    </cfRule>
  </conditionalFormatting>
  <conditionalFormatting sqref="Q137 Q140 Q143">
    <cfRule type="cellIs" dxfId="997" priority="998" operator="lessThan">
      <formula>0</formula>
    </cfRule>
  </conditionalFormatting>
  <conditionalFormatting sqref="R137 R140 R143">
    <cfRule type="cellIs" dxfId="996" priority="996" operator="lessThan">
      <formula>0.8</formula>
    </cfRule>
    <cfRule type="cellIs" dxfId="995" priority="997" operator="greaterThan">
      <formula>1</formula>
    </cfRule>
  </conditionalFormatting>
  <conditionalFormatting sqref="R137 R140 R143">
    <cfRule type="cellIs" dxfId="994" priority="994" operator="greaterThan">
      <formula>1</formula>
    </cfRule>
    <cfRule type="cellIs" dxfId="993" priority="995" operator="lessThan">
      <formula>0.8</formula>
    </cfRule>
  </conditionalFormatting>
  <conditionalFormatting sqref="P137 P140 P143">
    <cfRule type="cellIs" dxfId="992" priority="993" operator="greaterThan">
      <formula>0</formula>
    </cfRule>
  </conditionalFormatting>
  <conditionalFormatting sqref="Q137 Q140 Q143">
    <cfRule type="cellIs" dxfId="991" priority="992" operator="lessThan">
      <formula>0</formula>
    </cfRule>
  </conditionalFormatting>
  <conditionalFormatting sqref="R137 R140 R143">
    <cfRule type="cellIs" dxfId="990" priority="990" operator="lessThan">
      <formula>0.8</formula>
    </cfRule>
    <cfRule type="cellIs" dxfId="989" priority="991" operator="greaterThan">
      <formula>1</formula>
    </cfRule>
  </conditionalFormatting>
  <conditionalFormatting sqref="R137 R140 R143">
    <cfRule type="cellIs" dxfId="988" priority="988" operator="greaterThan">
      <formula>1</formula>
    </cfRule>
    <cfRule type="cellIs" dxfId="987" priority="989" operator="lessThan">
      <formula>0.8</formula>
    </cfRule>
  </conditionalFormatting>
  <conditionalFormatting sqref="P137 P140 P143">
    <cfRule type="cellIs" dxfId="986" priority="987" operator="greaterThan">
      <formula>0</formula>
    </cfRule>
  </conditionalFormatting>
  <conditionalFormatting sqref="P137 P140 P143">
    <cfRule type="cellIs" dxfId="985" priority="981" operator="greaterThan">
      <formula>0</formula>
    </cfRule>
  </conditionalFormatting>
  <conditionalFormatting sqref="Q137 Q140 Q143">
    <cfRule type="cellIs" dxfId="984" priority="986" operator="lessThan">
      <formula>0</formula>
    </cfRule>
  </conditionalFormatting>
  <conditionalFormatting sqref="R137 R140 R143">
    <cfRule type="cellIs" dxfId="983" priority="984" operator="lessThan">
      <formula>0.8</formula>
    </cfRule>
    <cfRule type="cellIs" dxfId="982" priority="985" operator="greaterThan">
      <formula>1</formula>
    </cfRule>
  </conditionalFormatting>
  <conditionalFormatting sqref="R137 R140 R143">
    <cfRule type="cellIs" dxfId="981" priority="982" operator="greaterThan">
      <formula>1</formula>
    </cfRule>
    <cfRule type="cellIs" dxfId="980" priority="983" operator="lessThan">
      <formula>0.8</formula>
    </cfRule>
  </conditionalFormatting>
  <conditionalFormatting sqref="Q137 Q140 Q143">
    <cfRule type="cellIs" dxfId="979" priority="980" operator="lessThan">
      <formula>0</formula>
    </cfRule>
  </conditionalFormatting>
  <conditionalFormatting sqref="R137 R140 R143">
    <cfRule type="cellIs" dxfId="978" priority="978" operator="lessThan">
      <formula>0.8</formula>
    </cfRule>
    <cfRule type="cellIs" dxfId="977" priority="979" operator="greaterThan">
      <formula>1</formula>
    </cfRule>
  </conditionalFormatting>
  <conditionalFormatting sqref="R137 R140 R143">
    <cfRule type="cellIs" dxfId="976" priority="976" operator="greaterThan">
      <formula>1</formula>
    </cfRule>
    <cfRule type="cellIs" dxfId="975" priority="977" operator="lessThan">
      <formula>0.8</formula>
    </cfRule>
  </conditionalFormatting>
  <conditionalFormatting sqref="P137 P140 P143">
    <cfRule type="cellIs" dxfId="974" priority="975" operator="greaterThan">
      <formula>0</formula>
    </cfRule>
  </conditionalFormatting>
  <conditionalFormatting sqref="P138 P141 P144">
    <cfRule type="cellIs" dxfId="973" priority="969" operator="greaterThan">
      <formula>0</formula>
    </cfRule>
  </conditionalFormatting>
  <conditionalFormatting sqref="Q138 Q141 Q144">
    <cfRule type="cellIs" dxfId="972" priority="974" operator="lessThan">
      <formula>0</formula>
    </cfRule>
  </conditionalFormatting>
  <conditionalFormatting sqref="R138 R141 R144">
    <cfRule type="cellIs" dxfId="971" priority="972" operator="lessThan">
      <formula>0.8</formula>
    </cfRule>
    <cfRule type="cellIs" dxfId="970" priority="973" operator="greaterThan">
      <formula>1</formula>
    </cfRule>
  </conditionalFormatting>
  <conditionalFormatting sqref="R138 R141 R144">
    <cfRule type="cellIs" dxfId="969" priority="970" operator="greaterThan">
      <formula>1</formula>
    </cfRule>
    <cfRule type="cellIs" dxfId="968" priority="971" operator="lessThan">
      <formula>0.8</formula>
    </cfRule>
  </conditionalFormatting>
  <conditionalFormatting sqref="Q138 Q141 Q144">
    <cfRule type="cellIs" dxfId="967" priority="968" operator="lessThan">
      <formula>0</formula>
    </cfRule>
  </conditionalFormatting>
  <conditionalFormatting sqref="R138 R141 R144">
    <cfRule type="cellIs" dxfId="966" priority="966" operator="lessThan">
      <formula>0.8</formula>
    </cfRule>
    <cfRule type="cellIs" dxfId="965" priority="967" operator="greaterThan">
      <formula>1</formula>
    </cfRule>
  </conditionalFormatting>
  <conditionalFormatting sqref="R138 R141 R144">
    <cfRule type="cellIs" dxfId="964" priority="964" operator="greaterThan">
      <formula>1</formula>
    </cfRule>
    <cfRule type="cellIs" dxfId="963" priority="965" operator="lessThan">
      <formula>0.8</formula>
    </cfRule>
  </conditionalFormatting>
  <conditionalFormatting sqref="P138 P141 P144">
    <cfRule type="cellIs" dxfId="962" priority="963" operator="greaterThan">
      <formula>0</formula>
    </cfRule>
  </conditionalFormatting>
  <conditionalFormatting sqref="Q138 Q141 Q144">
    <cfRule type="cellIs" dxfId="961" priority="962" operator="lessThan">
      <formula>0</formula>
    </cfRule>
  </conditionalFormatting>
  <conditionalFormatting sqref="R138 R141 R144">
    <cfRule type="cellIs" dxfId="960" priority="960" operator="lessThan">
      <formula>0.8</formula>
    </cfRule>
    <cfRule type="cellIs" dxfId="959" priority="961" operator="greaterThan">
      <formula>1</formula>
    </cfRule>
  </conditionalFormatting>
  <conditionalFormatting sqref="R138 R141 R144">
    <cfRule type="cellIs" dxfId="958" priority="958" operator="greaterThan">
      <formula>1</formula>
    </cfRule>
    <cfRule type="cellIs" dxfId="957" priority="959" operator="lessThan">
      <formula>0.8</formula>
    </cfRule>
  </conditionalFormatting>
  <conditionalFormatting sqref="P138 P141 P144">
    <cfRule type="cellIs" dxfId="956" priority="957" operator="greaterThan">
      <formula>0</formula>
    </cfRule>
  </conditionalFormatting>
  <conditionalFormatting sqref="Q138 Q141 Q144">
    <cfRule type="cellIs" dxfId="955" priority="956" operator="lessThan">
      <formula>0</formula>
    </cfRule>
  </conditionalFormatting>
  <conditionalFormatting sqref="R138 R141 R144">
    <cfRule type="cellIs" dxfId="954" priority="954" operator="lessThan">
      <formula>0.8</formula>
    </cfRule>
    <cfRule type="cellIs" dxfId="953" priority="955" operator="greaterThan">
      <formula>1</formula>
    </cfRule>
  </conditionalFormatting>
  <conditionalFormatting sqref="R138 R141 R144">
    <cfRule type="cellIs" dxfId="952" priority="952" operator="greaterThan">
      <formula>1</formula>
    </cfRule>
    <cfRule type="cellIs" dxfId="951" priority="953" operator="lessThan">
      <formula>0.8</formula>
    </cfRule>
  </conditionalFormatting>
  <conditionalFormatting sqref="P138 P141 P144">
    <cfRule type="cellIs" dxfId="950" priority="951" operator="greaterThan">
      <formula>0</formula>
    </cfRule>
  </conditionalFormatting>
  <conditionalFormatting sqref="Q138 Q141 Q144">
    <cfRule type="cellIs" dxfId="949" priority="950" operator="lessThan">
      <formula>0</formula>
    </cfRule>
  </conditionalFormatting>
  <conditionalFormatting sqref="R138 R141 R144">
    <cfRule type="cellIs" dxfId="948" priority="948" operator="lessThan">
      <formula>0.8</formula>
    </cfRule>
    <cfRule type="cellIs" dxfId="947" priority="949" operator="greaterThan">
      <formula>1</formula>
    </cfRule>
  </conditionalFormatting>
  <conditionalFormatting sqref="R138 R141 R144">
    <cfRule type="cellIs" dxfId="946" priority="946" operator="greaterThan">
      <formula>1</formula>
    </cfRule>
    <cfRule type="cellIs" dxfId="945" priority="947" operator="lessThan">
      <formula>0.8</formula>
    </cfRule>
  </conditionalFormatting>
  <conditionalFormatting sqref="Q138 Q141 Q144">
    <cfRule type="cellIs" dxfId="944" priority="945" operator="lessThan">
      <formula>0</formula>
    </cfRule>
  </conditionalFormatting>
  <conditionalFormatting sqref="R138 R141 R144">
    <cfRule type="cellIs" dxfId="943" priority="943" operator="lessThan">
      <formula>0.8</formula>
    </cfRule>
    <cfRule type="cellIs" dxfId="942" priority="944" operator="greaterThan">
      <formula>1</formula>
    </cfRule>
  </conditionalFormatting>
  <conditionalFormatting sqref="R138 R141 R144">
    <cfRule type="cellIs" dxfId="941" priority="941" operator="greaterThan">
      <formula>1</formula>
    </cfRule>
    <cfRule type="cellIs" dxfId="940" priority="942" operator="lessThan">
      <formula>0.8</formula>
    </cfRule>
  </conditionalFormatting>
  <conditionalFormatting sqref="P138 P141 P144">
    <cfRule type="cellIs" dxfId="939" priority="940" operator="greaterThan">
      <formula>0</formula>
    </cfRule>
  </conditionalFormatting>
  <conditionalFormatting sqref="P138 P141 P144">
    <cfRule type="cellIs" dxfId="938" priority="934" operator="greaterThan">
      <formula>0</formula>
    </cfRule>
  </conditionalFormatting>
  <conditionalFormatting sqref="Q138 Q141 Q144">
    <cfRule type="cellIs" dxfId="937" priority="939" operator="lessThan">
      <formula>0</formula>
    </cfRule>
  </conditionalFormatting>
  <conditionalFormatting sqref="R138 R141 R144">
    <cfRule type="cellIs" dxfId="936" priority="937" operator="lessThan">
      <formula>0.8</formula>
    </cfRule>
    <cfRule type="cellIs" dxfId="935" priority="938" operator="greaterThan">
      <formula>1</formula>
    </cfRule>
  </conditionalFormatting>
  <conditionalFormatting sqref="R138 R141 R144">
    <cfRule type="cellIs" dxfId="934" priority="935" operator="greaterThan">
      <formula>1</formula>
    </cfRule>
    <cfRule type="cellIs" dxfId="933" priority="936" operator="lessThan">
      <formula>0.8</formula>
    </cfRule>
  </conditionalFormatting>
  <conditionalFormatting sqref="Q138 Q141 Q144">
    <cfRule type="cellIs" dxfId="932" priority="933" operator="lessThan">
      <formula>0</formula>
    </cfRule>
  </conditionalFormatting>
  <conditionalFormatting sqref="R138 R141 R144">
    <cfRule type="cellIs" dxfId="931" priority="931" operator="lessThan">
      <formula>0.8</formula>
    </cfRule>
    <cfRule type="cellIs" dxfId="930" priority="932" operator="greaterThan">
      <formula>1</formula>
    </cfRule>
  </conditionalFormatting>
  <conditionalFormatting sqref="R138 R141 R144">
    <cfRule type="cellIs" dxfId="929" priority="929" operator="greaterThan">
      <formula>1</formula>
    </cfRule>
    <cfRule type="cellIs" dxfId="928" priority="930" operator="lessThan">
      <formula>0.8</formula>
    </cfRule>
  </conditionalFormatting>
  <conditionalFormatting sqref="P138 P141 P144">
    <cfRule type="cellIs" dxfId="927" priority="928" operator="greaterThan">
      <formula>0</formula>
    </cfRule>
  </conditionalFormatting>
  <conditionalFormatting sqref="Q148:Q153">
    <cfRule type="cellIs" dxfId="926" priority="927" operator="lessThan">
      <formula>0</formula>
    </cfRule>
  </conditionalFormatting>
  <conditionalFormatting sqref="R148:R153">
    <cfRule type="cellIs" dxfId="925" priority="925" operator="lessThan">
      <formula>0.8</formula>
    </cfRule>
    <cfRule type="cellIs" dxfId="924" priority="926" operator="greaterThan">
      <formula>1</formula>
    </cfRule>
  </conditionalFormatting>
  <conditionalFormatting sqref="R148:R153">
    <cfRule type="cellIs" dxfId="923" priority="923" operator="greaterThan">
      <formula>1</formula>
    </cfRule>
    <cfRule type="cellIs" dxfId="922" priority="924" operator="lessThan">
      <formula>0.8</formula>
    </cfRule>
  </conditionalFormatting>
  <conditionalFormatting sqref="P148:P153">
    <cfRule type="cellIs" dxfId="921" priority="922" operator="greaterThan">
      <formula>0</formula>
    </cfRule>
  </conditionalFormatting>
  <conditionalFormatting sqref="P148:P153">
    <cfRule type="cellIs" dxfId="920" priority="916" operator="greaterThan">
      <formula>0</formula>
    </cfRule>
  </conditionalFormatting>
  <conditionalFormatting sqref="Q148:Q153">
    <cfRule type="cellIs" dxfId="919" priority="921" operator="lessThan">
      <formula>0</formula>
    </cfRule>
  </conditionalFormatting>
  <conditionalFormatting sqref="R148:R153">
    <cfRule type="cellIs" dxfId="918" priority="919" operator="lessThan">
      <formula>0.8</formula>
    </cfRule>
    <cfRule type="cellIs" dxfId="917" priority="920" operator="greaterThan">
      <formula>1</formula>
    </cfRule>
  </conditionalFormatting>
  <conditionalFormatting sqref="R148:R153">
    <cfRule type="cellIs" dxfId="916" priority="917" operator="greaterThan">
      <formula>1</formula>
    </cfRule>
    <cfRule type="cellIs" dxfId="915" priority="918" operator="lessThan">
      <formula>0.8</formula>
    </cfRule>
  </conditionalFormatting>
  <conditionalFormatting sqref="Q148:Q153">
    <cfRule type="cellIs" dxfId="914" priority="915" operator="lessThan">
      <formula>0</formula>
    </cfRule>
  </conditionalFormatting>
  <conditionalFormatting sqref="R148:R153">
    <cfRule type="cellIs" dxfId="913" priority="913" operator="lessThan">
      <formula>0.8</formula>
    </cfRule>
    <cfRule type="cellIs" dxfId="912" priority="914" operator="greaterThan">
      <formula>1</formula>
    </cfRule>
  </conditionalFormatting>
  <conditionalFormatting sqref="R148:R153">
    <cfRule type="cellIs" dxfId="911" priority="911" operator="greaterThan">
      <formula>1</formula>
    </cfRule>
    <cfRule type="cellIs" dxfId="910" priority="912" operator="lessThan">
      <formula>0.8</formula>
    </cfRule>
  </conditionalFormatting>
  <conditionalFormatting sqref="P148:P153">
    <cfRule type="cellIs" dxfId="909" priority="910" operator="greaterThan">
      <formula>0</formula>
    </cfRule>
  </conditionalFormatting>
  <conditionalFormatting sqref="Q148:Q153">
    <cfRule type="cellIs" dxfId="908" priority="909" operator="lessThan">
      <formula>0</formula>
    </cfRule>
  </conditionalFormatting>
  <conditionalFormatting sqref="R148:R153">
    <cfRule type="cellIs" dxfId="907" priority="907" operator="lessThan">
      <formula>0.8</formula>
    </cfRule>
    <cfRule type="cellIs" dxfId="906" priority="908" operator="greaterThan">
      <formula>1</formula>
    </cfRule>
  </conditionalFormatting>
  <conditionalFormatting sqref="R148:R153">
    <cfRule type="cellIs" dxfId="905" priority="905" operator="greaterThan">
      <formula>1</formula>
    </cfRule>
    <cfRule type="cellIs" dxfId="904" priority="906" operator="lessThan">
      <formula>0.8</formula>
    </cfRule>
  </conditionalFormatting>
  <conditionalFormatting sqref="P148:P153">
    <cfRule type="cellIs" dxfId="903" priority="904" operator="greaterThan">
      <formula>0</formula>
    </cfRule>
  </conditionalFormatting>
  <conditionalFormatting sqref="P148:P153">
    <cfRule type="cellIs" dxfId="902" priority="898" operator="greaterThan">
      <formula>0</formula>
    </cfRule>
  </conditionalFormatting>
  <conditionalFormatting sqref="Q148:Q153">
    <cfRule type="cellIs" dxfId="901" priority="903" operator="lessThan">
      <formula>0</formula>
    </cfRule>
  </conditionalFormatting>
  <conditionalFormatting sqref="R148:R153">
    <cfRule type="cellIs" dxfId="900" priority="901" operator="lessThan">
      <formula>0.8</formula>
    </cfRule>
    <cfRule type="cellIs" dxfId="899" priority="902" operator="greaterThan">
      <formula>1</formula>
    </cfRule>
  </conditionalFormatting>
  <conditionalFormatting sqref="R148:R153">
    <cfRule type="cellIs" dxfId="898" priority="899" operator="greaterThan">
      <formula>1</formula>
    </cfRule>
    <cfRule type="cellIs" dxfId="897" priority="900" operator="lessThan">
      <formula>0.8</formula>
    </cfRule>
  </conditionalFormatting>
  <conditionalFormatting sqref="Q148:Q153">
    <cfRule type="cellIs" dxfId="896" priority="897" operator="lessThan">
      <formula>0</formula>
    </cfRule>
  </conditionalFormatting>
  <conditionalFormatting sqref="R148:R153">
    <cfRule type="cellIs" dxfId="895" priority="895" operator="lessThan">
      <formula>0.8</formula>
    </cfRule>
    <cfRule type="cellIs" dxfId="894" priority="896" operator="greaterThan">
      <formula>1</formula>
    </cfRule>
  </conditionalFormatting>
  <conditionalFormatting sqref="R148:R153">
    <cfRule type="cellIs" dxfId="893" priority="893" operator="greaterThan">
      <formula>1</formula>
    </cfRule>
    <cfRule type="cellIs" dxfId="892" priority="894" operator="lessThan">
      <formula>0.8</formula>
    </cfRule>
  </conditionalFormatting>
  <conditionalFormatting sqref="P148:P153">
    <cfRule type="cellIs" dxfId="891" priority="892" operator="greaterThan">
      <formula>0</formula>
    </cfRule>
  </conditionalFormatting>
  <conditionalFormatting sqref="Q148:Q153">
    <cfRule type="cellIs" dxfId="890" priority="886" operator="lessThan">
      <formula>0</formula>
    </cfRule>
  </conditionalFormatting>
  <conditionalFormatting sqref="P148:P153">
    <cfRule type="cellIs" dxfId="889" priority="887" operator="greaterThan">
      <formula>0</formula>
    </cfRule>
  </conditionalFormatting>
  <conditionalFormatting sqref="R148:R153">
    <cfRule type="cellIs" dxfId="888" priority="890" operator="lessThan">
      <formula>0.8</formula>
    </cfRule>
    <cfRule type="cellIs" dxfId="887" priority="891" operator="greaterThan">
      <formula>1</formula>
    </cfRule>
  </conditionalFormatting>
  <conditionalFormatting sqref="R148:R153">
    <cfRule type="cellIs" dxfId="886" priority="888" operator="greaterThan">
      <formula>1</formula>
    </cfRule>
    <cfRule type="cellIs" dxfId="885" priority="889" operator="lessThan">
      <formula>0.8</formula>
    </cfRule>
  </conditionalFormatting>
  <conditionalFormatting sqref="Q148:Q153">
    <cfRule type="cellIs" dxfId="884" priority="880" operator="lessThan">
      <formula>0</formula>
    </cfRule>
  </conditionalFormatting>
  <conditionalFormatting sqref="R148:R153">
    <cfRule type="cellIs" dxfId="883" priority="884" operator="lessThan">
      <formula>0.8</formula>
    </cfRule>
    <cfRule type="cellIs" dxfId="882" priority="885" operator="greaterThan">
      <formula>1</formula>
    </cfRule>
  </conditionalFormatting>
  <conditionalFormatting sqref="R148:R153">
    <cfRule type="cellIs" dxfId="881" priority="882" operator="greaterThan">
      <formula>1</formula>
    </cfRule>
    <cfRule type="cellIs" dxfId="880" priority="883" operator="lessThan">
      <formula>0.8</formula>
    </cfRule>
  </conditionalFormatting>
  <conditionalFormatting sqref="P148:P153">
    <cfRule type="cellIs" dxfId="879" priority="881" operator="greaterThan">
      <formula>0</formula>
    </cfRule>
  </conditionalFormatting>
  <conditionalFormatting sqref="Q148:Q153">
    <cfRule type="cellIs" dxfId="878" priority="879" operator="lessThan">
      <formula>0</formula>
    </cfRule>
  </conditionalFormatting>
  <conditionalFormatting sqref="R148:R153">
    <cfRule type="cellIs" dxfId="877" priority="877" operator="lessThan">
      <formula>0.8</formula>
    </cfRule>
    <cfRule type="cellIs" dxfId="876" priority="878" operator="greaterThan">
      <formula>1</formula>
    </cfRule>
  </conditionalFormatting>
  <conditionalFormatting sqref="R148:R153">
    <cfRule type="cellIs" dxfId="875" priority="875" operator="greaterThan">
      <formula>1</formula>
    </cfRule>
    <cfRule type="cellIs" dxfId="874" priority="876" operator="lessThan">
      <formula>0.8</formula>
    </cfRule>
  </conditionalFormatting>
  <conditionalFormatting sqref="P148:P153">
    <cfRule type="cellIs" dxfId="873" priority="874" operator="greaterThan">
      <formula>0</formula>
    </cfRule>
  </conditionalFormatting>
  <conditionalFormatting sqref="Q148:Q153">
    <cfRule type="cellIs" dxfId="872" priority="873" operator="lessThan">
      <formula>0</formula>
    </cfRule>
  </conditionalFormatting>
  <conditionalFormatting sqref="R148:R153">
    <cfRule type="cellIs" dxfId="871" priority="871" operator="lessThan">
      <formula>0.8</formula>
    </cfRule>
    <cfRule type="cellIs" dxfId="870" priority="872" operator="greaterThan">
      <formula>1</formula>
    </cfRule>
  </conditionalFormatting>
  <conditionalFormatting sqref="R148:R153">
    <cfRule type="cellIs" dxfId="869" priority="869" operator="greaterThan">
      <formula>1</formula>
    </cfRule>
    <cfRule type="cellIs" dxfId="868" priority="870" operator="lessThan">
      <formula>0.8</formula>
    </cfRule>
  </conditionalFormatting>
  <conditionalFormatting sqref="P148:P153">
    <cfRule type="cellIs" dxfId="867" priority="868" operator="greaterThan">
      <formula>0</formula>
    </cfRule>
  </conditionalFormatting>
  <conditionalFormatting sqref="Q148:Q153">
    <cfRule type="cellIs" dxfId="866" priority="867" operator="lessThan">
      <formula>0</formula>
    </cfRule>
  </conditionalFormatting>
  <conditionalFormatting sqref="R148:R153">
    <cfRule type="cellIs" dxfId="865" priority="865" operator="lessThan">
      <formula>0.8</formula>
    </cfRule>
    <cfRule type="cellIs" dxfId="864" priority="866" operator="greaterThan">
      <formula>1</formula>
    </cfRule>
  </conditionalFormatting>
  <conditionalFormatting sqref="R148:R153">
    <cfRule type="cellIs" dxfId="863" priority="863" operator="greaterThan">
      <formula>1</formula>
    </cfRule>
    <cfRule type="cellIs" dxfId="862" priority="864" operator="lessThan">
      <formula>0.8</formula>
    </cfRule>
  </conditionalFormatting>
  <conditionalFormatting sqref="P148:P153">
    <cfRule type="cellIs" dxfId="861" priority="862" operator="greaterThan">
      <formula>0</formula>
    </cfRule>
  </conditionalFormatting>
  <conditionalFormatting sqref="Q148:Q153">
    <cfRule type="cellIs" dxfId="860" priority="861" operator="lessThan">
      <formula>0</formula>
    </cfRule>
  </conditionalFormatting>
  <conditionalFormatting sqref="R148:R153">
    <cfRule type="cellIs" dxfId="859" priority="859" operator="lessThan">
      <formula>0.8</formula>
    </cfRule>
    <cfRule type="cellIs" dxfId="858" priority="860" operator="greaterThan">
      <formula>1</formula>
    </cfRule>
  </conditionalFormatting>
  <conditionalFormatting sqref="R148:R153">
    <cfRule type="cellIs" dxfId="857" priority="857" operator="greaterThan">
      <formula>1</formula>
    </cfRule>
    <cfRule type="cellIs" dxfId="856" priority="858" operator="lessThan">
      <formula>0.8</formula>
    </cfRule>
  </conditionalFormatting>
  <conditionalFormatting sqref="P148:P153">
    <cfRule type="cellIs" dxfId="855" priority="856" operator="greaterThan">
      <formula>0</formula>
    </cfRule>
  </conditionalFormatting>
  <conditionalFormatting sqref="Q148:Q153">
    <cfRule type="cellIs" dxfId="854" priority="855" operator="lessThan">
      <formula>0</formula>
    </cfRule>
  </conditionalFormatting>
  <conditionalFormatting sqref="R148:R153">
    <cfRule type="cellIs" dxfId="853" priority="853" operator="lessThan">
      <formula>0.8</formula>
    </cfRule>
    <cfRule type="cellIs" dxfId="852" priority="854" operator="greaterThan">
      <formula>1</formula>
    </cfRule>
  </conditionalFormatting>
  <conditionalFormatting sqref="R148:R153">
    <cfRule type="cellIs" dxfId="851" priority="851" operator="greaterThan">
      <formula>1</formula>
    </cfRule>
    <cfRule type="cellIs" dxfId="850" priority="852" operator="lessThan">
      <formula>0.8</formula>
    </cfRule>
  </conditionalFormatting>
  <conditionalFormatting sqref="P148:P153">
    <cfRule type="cellIs" dxfId="849" priority="850" operator="greaterThan">
      <formula>0</formula>
    </cfRule>
  </conditionalFormatting>
  <conditionalFormatting sqref="Q148:Q153">
    <cfRule type="cellIs" dxfId="848" priority="849" operator="lessThan">
      <formula>0</formula>
    </cfRule>
  </conditionalFormatting>
  <conditionalFormatting sqref="R148:R153">
    <cfRule type="cellIs" dxfId="847" priority="847" operator="lessThan">
      <formula>0.8</formula>
    </cfRule>
    <cfRule type="cellIs" dxfId="846" priority="848" operator="greaterThan">
      <formula>1</formula>
    </cfRule>
  </conditionalFormatting>
  <conditionalFormatting sqref="R148:R153">
    <cfRule type="cellIs" dxfId="845" priority="845" operator="greaterThan">
      <formula>1</formula>
    </cfRule>
    <cfRule type="cellIs" dxfId="844" priority="846" operator="lessThan">
      <formula>0.8</formula>
    </cfRule>
  </conditionalFormatting>
  <conditionalFormatting sqref="P148:P153">
    <cfRule type="cellIs" dxfId="843" priority="844" operator="greaterThan">
      <formula>0</formula>
    </cfRule>
  </conditionalFormatting>
  <conditionalFormatting sqref="Q148:Q153">
    <cfRule type="cellIs" dxfId="842" priority="843" operator="lessThan">
      <formula>0</formula>
    </cfRule>
  </conditionalFormatting>
  <conditionalFormatting sqref="R148:R153">
    <cfRule type="cellIs" dxfId="841" priority="841" operator="lessThan">
      <formula>0.8</formula>
    </cfRule>
    <cfRule type="cellIs" dxfId="840" priority="842" operator="greaterThan">
      <formula>1</formula>
    </cfRule>
  </conditionalFormatting>
  <conditionalFormatting sqref="R148:R153">
    <cfRule type="cellIs" dxfId="839" priority="839" operator="greaterThan">
      <formula>1</formula>
    </cfRule>
    <cfRule type="cellIs" dxfId="838" priority="840" operator="lessThan">
      <formula>0.8</formula>
    </cfRule>
  </conditionalFormatting>
  <conditionalFormatting sqref="P148:P153">
    <cfRule type="cellIs" dxfId="837" priority="838" operator="greaterThan">
      <formula>0</formula>
    </cfRule>
  </conditionalFormatting>
  <conditionalFormatting sqref="P148:P153">
    <cfRule type="cellIs" dxfId="836" priority="832" operator="greaterThan">
      <formula>0</formula>
    </cfRule>
  </conditionalFormatting>
  <conditionalFormatting sqref="Q148:Q153">
    <cfRule type="cellIs" dxfId="835" priority="837" operator="lessThan">
      <formula>0</formula>
    </cfRule>
  </conditionalFormatting>
  <conditionalFormatting sqref="R148:R153">
    <cfRule type="cellIs" dxfId="834" priority="835" operator="lessThan">
      <formula>0.8</formula>
    </cfRule>
    <cfRule type="cellIs" dxfId="833" priority="836" operator="greaterThan">
      <formula>1</formula>
    </cfRule>
  </conditionalFormatting>
  <conditionalFormatting sqref="R148:R153">
    <cfRule type="cellIs" dxfId="832" priority="833" operator="greaterThan">
      <formula>1</formula>
    </cfRule>
    <cfRule type="cellIs" dxfId="831" priority="834" operator="lessThan">
      <formula>0.8</formula>
    </cfRule>
  </conditionalFormatting>
  <conditionalFormatting sqref="P148:P153">
    <cfRule type="cellIs" dxfId="830" priority="826" operator="greaterThan">
      <formula>0</formula>
    </cfRule>
  </conditionalFormatting>
  <conditionalFormatting sqref="Q148:Q153">
    <cfRule type="cellIs" dxfId="829" priority="831" operator="lessThan">
      <formula>0</formula>
    </cfRule>
  </conditionalFormatting>
  <conditionalFormatting sqref="R148:R153">
    <cfRule type="cellIs" dxfId="828" priority="829" operator="lessThan">
      <formula>0.8</formula>
    </cfRule>
    <cfRule type="cellIs" dxfId="827" priority="830" operator="greaterThan">
      <formula>1</formula>
    </cfRule>
  </conditionalFormatting>
  <conditionalFormatting sqref="R148:R153">
    <cfRule type="cellIs" dxfId="826" priority="827" operator="greaterThan">
      <formula>1</formula>
    </cfRule>
    <cfRule type="cellIs" dxfId="825" priority="828" operator="lessThan">
      <formula>0.8</formula>
    </cfRule>
  </conditionalFormatting>
  <conditionalFormatting sqref="R148:R153">
    <cfRule type="cellIs" dxfId="824" priority="823" operator="lessThan">
      <formula>0.8</formula>
    </cfRule>
    <cfRule type="cellIs" dxfId="823" priority="824" operator="greaterThan">
      <formula>1</formula>
    </cfRule>
  </conditionalFormatting>
  <conditionalFormatting sqref="R148:R153">
    <cfRule type="cellIs" dxfId="822" priority="821" operator="greaterThan">
      <formula>1</formula>
    </cfRule>
    <cfRule type="cellIs" dxfId="821" priority="822" operator="lessThan">
      <formula>0.8</formula>
    </cfRule>
  </conditionalFormatting>
  <conditionalFormatting sqref="P148:P153">
    <cfRule type="cellIs" dxfId="820" priority="820" operator="greaterThan">
      <formula>0</formula>
    </cfRule>
  </conditionalFormatting>
  <conditionalFormatting sqref="Q148:Q153">
    <cfRule type="cellIs" dxfId="819" priority="825" operator="lessThan">
      <formula>0</formula>
    </cfRule>
  </conditionalFormatting>
  <conditionalFormatting sqref="Q148:Q153">
    <cfRule type="cellIs" dxfId="818" priority="819" operator="lessThan">
      <formula>0</formula>
    </cfRule>
  </conditionalFormatting>
  <conditionalFormatting sqref="R148:R153">
    <cfRule type="cellIs" dxfId="817" priority="817" operator="lessThan">
      <formula>0.8</formula>
    </cfRule>
    <cfRule type="cellIs" dxfId="816" priority="818" operator="greaterThan">
      <formula>1</formula>
    </cfRule>
  </conditionalFormatting>
  <conditionalFormatting sqref="R148:R153">
    <cfRule type="cellIs" dxfId="815" priority="815" operator="greaterThan">
      <formula>1</formula>
    </cfRule>
    <cfRule type="cellIs" dxfId="814" priority="816" operator="lessThan">
      <formula>0.8</formula>
    </cfRule>
  </conditionalFormatting>
  <conditionalFormatting sqref="P148:P153">
    <cfRule type="cellIs" dxfId="813" priority="814" operator="greaterThan">
      <formula>0</formula>
    </cfRule>
  </conditionalFormatting>
  <conditionalFormatting sqref="P148:P153">
    <cfRule type="cellIs" dxfId="812" priority="808" operator="greaterThan">
      <formula>0</formula>
    </cfRule>
  </conditionalFormatting>
  <conditionalFormatting sqref="Q148:Q153">
    <cfRule type="cellIs" dxfId="811" priority="813" operator="lessThan">
      <formula>0</formula>
    </cfRule>
  </conditionalFormatting>
  <conditionalFormatting sqref="R148:R153">
    <cfRule type="cellIs" dxfId="810" priority="811" operator="lessThan">
      <formula>0.8</formula>
    </cfRule>
    <cfRule type="cellIs" dxfId="809" priority="812" operator="greaterThan">
      <formula>1</formula>
    </cfRule>
  </conditionalFormatting>
  <conditionalFormatting sqref="R148:R153">
    <cfRule type="cellIs" dxfId="808" priority="809" operator="greaterThan">
      <formula>1</formula>
    </cfRule>
    <cfRule type="cellIs" dxfId="807" priority="810" operator="lessThan">
      <formula>0.8</formula>
    </cfRule>
  </conditionalFormatting>
  <conditionalFormatting sqref="P148:P153">
    <cfRule type="cellIs" dxfId="806" priority="802" operator="greaterThan">
      <formula>0</formula>
    </cfRule>
  </conditionalFormatting>
  <conditionalFormatting sqref="Q148:Q153">
    <cfRule type="cellIs" dxfId="805" priority="807" operator="lessThan">
      <formula>0</formula>
    </cfRule>
  </conditionalFormatting>
  <conditionalFormatting sqref="R148:R153">
    <cfRule type="cellIs" dxfId="804" priority="805" operator="lessThan">
      <formula>0.8</formula>
    </cfRule>
    <cfRule type="cellIs" dxfId="803" priority="806" operator="greaterThan">
      <formula>1</formula>
    </cfRule>
  </conditionalFormatting>
  <conditionalFormatting sqref="R148:R153">
    <cfRule type="cellIs" dxfId="802" priority="803" operator="greaterThan">
      <formula>1</formula>
    </cfRule>
    <cfRule type="cellIs" dxfId="801" priority="804" operator="lessThan">
      <formula>0.8</formula>
    </cfRule>
  </conditionalFormatting>
  <conditionalFormatting sqref="R148:R153">
    <cfRule type="cellIs" dxfId="800" priority="799" operator="lessThan">
      <formula>0.8</formula>
    </cfRule>
    <cfRule type="cellIs" dxfId="799" priority="800" operator="greaterThan">
      <formula>1</formula>
    </cfRule>
  </conditionalFormatting>
  <conditionalFormatting sqref="R148:R153">
    <cfRule type="cellIs" dxfId="798" priority="797" operator="greaterThan">
      <formula>1</formula>
    </cfRule>
    <cfRule type="cellIs" dxfId="797" priority="798" operator="lessThan">
      <formula>0.8</formula>
    </cfRule>
  </conditionalFormatting>
  <conditionalFormatting sqref="P148:P153">
    <cfRule type="cellIs" dxfId="796" priority="796" operator="greaterThan">
      <formula>0</formula>
    </cfRule>
  </conditionalFormatting>
  <conditionalFormatting sqref="Q148:Q153">
    <cfRule type="cellIs" dxfId="795" priority="801" operator="lessThan">
      <formula>0</formula>
    </cfRule>
  </conditionalFormatting>
  <conditionalFormatting sqref="P148:P153">
    <cfRule type="cellIs" dxfId="794" priority="790" operator="greaterThan">
      <formula>0</formula>
    </cfRule>
  </conditionalFormatting>
  <conditionalFormatting sqref="Q148:Q153">
    <cfRule type="cellIs" dxfId="793" priority="795" operator="lessThan">
      <formula>0</formula>
    </cfRule>
  </conditionalFormatting>
  <conditionalFormatting sqref="R148:R153">
    <cfRule type="cellIs" dxfId="792" priority="793" operator="lessThan">
      <formula>0.8</formula>
    </cfRule>
    <cfRule type="cellIs" dxfId="791" priority="794" operator="greaterThan">
      <formula>1</formula>
    </cfRule>
  </conditionalFormatting>
  <conditionalFormatting sqref="R148:R153">
    <cfRule type="cellIs" dxfId="790" priority="791" operator="greaterThan">
      <formula>1</formula>
    </cfRule>
    <cfRule type="cellIs" dxfId="789" priority="792" operator="lessThan">
      <formula>0.8</formula>
    </cfRule>
  </conditionalFormatting>
  <conditionalFormatting sqref="R148:R153">
    <cfRule type="cellIs" dxfId="788" priority="787" operator="lessThan">
      <formula>0.8</formula>
    </cfRule>
    <cfRule type="cellIs" dxfId="787" priority="788" operator="greaterThan">
      <formula>1</formula>
    </cfRule>
  </conditionalFormatting>
  <conditionalFormatting sqref="R148:R153">
    <cfRule type="cellIs" dxfId="786" priority="785" operator="greaterThan">
      <formula>1</formula>
    </cfRule>
    <cfRule type="cellIs" dxfId="785" priority="786" operator="lessThan">
      <formula>0.8</formula>
    </cfRule>
  </conditionalFormatting>
  <conditionalFormatting sqref="P148:P153">
    <cfRule type="cellIs" dxfId="784" priority="784" operator="greaterThan">
      <formula>0</formula>
    </cfRule>
  </conditionalFormatting>
  <conditionalFormatting sqref="Q148:Q153">
    <cfRule type="cellIs" dxfId="783" priority="789" operator="lessThan">
      <formula>0</formula>
    </cfRule>
  </conditionalFormatting>
  <conditionalFormatting sqref="R148:R153">
    <cfRule type="cellIs" dxfId="782" priority="781" operator="lessThan">
      <formula>0.8</formula>
    </cfRule>
    <cfRule type="cellIs" dxfId="781" priority="782" operator="greaterThan">
      <formula>1</formula>
    </cfRule>
  </conditionalFormatting>
  <conditionalFormatting sqref="R148:R153">
    <cfRule type="cellIs" dxfId="780" priority="779" operator="greaterThan">
      <formula>1</formula>
    </cfRule>
    <cfRule type="cellIs" dxfId="779" priority="780" operator="lessThan">
      <formula>0.8</formula>
    </cfRule>
  </conditionalFormatting>
  <conditionalFormatting sqref="P148:P153">
    <cfRule type="cellIs" dxfId="778" priority="778" operator="greaterThan">
      <formula>0</formula>
    </cfRule>
  </conditionalFormatting>
  <conditionalFormatting sqref="Q148:Q153">
    <cfRule type="cellIs" dxfId="777" priority="783" operator="lessThan">
      <formula>0</formula>
    </cfRule>
  </conditionalFormatting>
  <conditionalFormatting sqref="Q148:Q153">
    <cfRule type="cellIs" dxfId="776" priority="777" operator="lessThan">
      <formula>0</formula>
    </cfRule>
  </conditionalFormatting>
  <conditionalFormatting sqref="R148:R153">
    <cfRule type="cellIs" dxfId="775" priority="775" operator="lessThan">
      <formula>0.8</formula>
    </cfRule>
    <cfRule type="cellIs" dxfId="774" priority="776" operator="greaterThan">
      <formula>1</formula>
    </cfRule>
  </conditionalFormatting>
  <conditionalFormatting sqref="R148:R153">
    <cfRule type="cellIs" dxfId="773" priority="773" operator="greaterThan">
      <formula>1</formula>
    </cfRule>
    <cfRule type="cellIs" dxfId="772" priority="774" operator="lessThan">
      <formula>0.8</formula>
    </cfRule>
  </conditionalFormatting>
  <conditionalFormatting sqref="P148:P153">
    <cfRule type="cellIs" dxfId="771" priority="772" operator="greaterThan">
      <formula>0</formula>
    </cfRule>
  </conditionalFormatting>
  <conditionalFormatting sqref="Q148:Q153">
    <cfRule type="cellIs" dxfId="770" priority="766" operator="lessThan">
      <formula>0</formula>
    </cfRule>
  </conditionalFormatting>
  <conditionalFormatting sqref="R148:R153">
    <cfRule type="cellIs" dxfId="769" priority="770" operator="lessThan">
      <formula>0.8</formula>
    </cfRule>
    <cfRule type="cellIs" dxfId="768" priority="771" operator="greaterThan">
      <formula>1</formula>
    </cfRule>
  </conditionalFormatting>
  <conditionalFormatting sqref="R148:R153">
    <cfRule type="cellIs" dxfId="767" priority="768" operator="greaterThan">
      <formula>1</formula>
    </cfRule>
    <cfRule type="cellIs" dxfId="766" priority="769" operator="lessThan">
      <formula>0.8</formula>
    </cfRule>
  </conditionalFormatting>
  <conditionalFormatting sqref="P148:P153">
    <cfRule type="cellIs" dxfId="765" priority="767" operator="greaterThan">
      <formula>0</formula>
    </cfRule>
  </conditionalFormatting>
  <conditionalFormatting sqref="Q148:Q153">
    <cfRule type="cellIs" dxfId="764" priority="765" operator="lessThan">
      <formula>0</formula>
    </cfRule>
  </conditionalFormatting>
  <conditionalFormatting sqref="R148:R153">
    <cfRule type="cellIs" dxfId="763" priority="763" operator="lessThan">
      <formula>0.8</formula>
    </cfRule>
    <cfRule type="cellIs" dxfId="762" priority="764" operator="greaterThan">
      <formula>1</formula>
    </cfRule>
  </conditionalFormatting>
  <conditionalFormatting sqref="R148:R153">
    <cfRule type="cellIs" dxfId="761" priority="761" operator="greaterThan">
      <formula>1</formula>
    </cfRule>
    <cfRule type="cellIs" dxfId="760" priority="762" operator="lessThan">
      <formula>0.8</formula>
    </cfRule>
  </conditionalFormatting>
  <conditionalFormatting sqref="P148:P153">
    <cfRule type="cellIs" dxfId="759" priority="760" operator="greaterThan">
      <formula>0</formula>
    </cfRule>
  </conditionalFormatting>
  <conditionalFormatting sqref="Q148:Q153">
    <cfRule type="cellIs" dxfId="758" priority="759" operator="lessThan">
      <formula>0</formula>
    </cfRule>
  </conditionalFormatting>
  <conditionalFormatting sqref="R148:R153">
    <cfRule type="cellIs" dxfId="757" priority="757" operator="lessThan">
      <formula>0.8</formula>
    </cfRule>
    <cfRule type="cellIs" dxfId="756" priority="758" operator="greaterThan">
      <formula>1</formula>
    </cfRule>
  </conditionalFormatting>
  <conditionalFormatting sqref="R148:R153">
    <cfRule type="cellIs" dxfId="755" priority="755" operator="greaterThan">
      <formula>1</formula>
    </cfRule>
    <cfRule type="cellIs" dxfId="754" priority="756" operator="lessThan">
      <formula>0.8</formula>
    </cfRule>
  </conditionalFormatting>
  <conditionalFormatting sqref="P148:P153">
    <cfRule type="cellIs" dxfId="753" priority="754" operator="greaterThan">
      <formula>0</formula>
    </cfRule>
  </conditionalFormatting>
  <conditionalFormatting sqref="Q148:Q153">
    <cfRule type="cellIs" dxfId="752" priority="753" operator="lessThan">
      <formula>0</formula>
    </cfRule>
  </conditionalFormatting>
  <conditionalFormatting sqref="R148:R153">
    <cfRule type="cellIs" dxfId="751" priority="751" operator="lessThan">
      <formula>0.8</formula>
    </cfRule>
    <cfRule type="cellIs" dxfId="750" priority="752" operator="greaterThan">
      <formula>1</formula>
    </cfRule>
  </conditionalFormatting>
  <conditionalFormatting sqref="R148:R153">
    <cfRule type="cellIs" dxfId="749" priority="749" operator="greaterThan">
      <formula>1</formula>
    </cfRule>
    <cfRule type="cellIs" dxfId="748" priority="750" operator="lessThan">
      <formula>0.8</formula>
    </cfRule>
  </conditionalFormatting>
  <conditionalFormatting sqref="P148:P153">
    <cfRule type="cellIs" dxfId="747" priority="748" operator="greaterThan">
      <formula>0</formula>
    </cfRule>
  </conditionalFormatting>
  <conditionalFormatting sqref="Q148:Q153">
    <cfRule type="cellIs" dxfId="746" priority="747" operator="lessThan">
      <formula>0</formula>
    </cfRule>
  </conditionalFormatting>
  <conditionalFormatting sqref="R148:R153">
    <cfRule type="cellIs" dxfId="745" priority="745" operator="lessThan">
      <formula>0.8</formula>
    </cfRule>
    <cfRule type="cellIs" dxfId="744" priority="746" operator="greaterThan">
      <formula>1</formula>
    </cfRule>
  </conditionalFormatting>
  <conditionalFormatting sqref="R148:R153">
    <cfRule type="cellIs" dxfId="743" priority="743" operator="greaterThan">
      <formula>1</formula>
    </cfRule>
    <cfRule type="cellIs" dxfId="742" priority="744" operator="lessThan">
      <formula>0.8</formula>
    </cfRule>
  </conditionalFormatting>
  <conditionalFormatting sqref="P148:P153">
    <cfRule type="cellIs" dxfId="741" priority="742" operator="greaterThan">
      <formula>0</formula>
    </cfRule>
  </conditionalFormatting>
  <conditionalFormatting sqref="Q148:Q153">
    <cfRule type="cellIs" dxfId="740" priority="741" operator="lessThan">
      <formula>0</formula>
    </cfRule>
  </conditionalFormatting>
  <conditionalFormatting sqref="R148:R153">
    <cfRule type="cellIs" dxfId="739" priority="739" operator="lessThan">
      <formula>0.8</formula>
    </cfRule>
    <cfRule type="cellIs" dxfId="738" priority="740" operator="greaterThan">
      <formula>1</formula>
    </cfRule>
  </conditionalFormatting>
  <conditionalFormatting sqref="R148:R153">
    <cfRule type="cellIs" dxfId="737" priority="737" operator="greaterThan">
      <formula>1</formula>
    </cfRule>
    <cfRule type="cellIs" dxfId="736" priority="738" operator="lessThan">
      <formula>0.8</formula>
    </cfRule>
  </conditionalFormatting>
  <conditionalFormatting sqref="P148:P153">
    <cfRule type="cellIs" dxfId="735" priority="736" operator="greaterThan">
      <formula>0</formula>
    </cfRule>
  </conditionalFormatting>
  <conditionalFormatting sqref="P148:P153">
    <cfRule type="cellIs" dxfId="734" priority="730" operator="greaterThan">
      <formula>0</formula>
    </cfRule>
  </conditionalFormatting>
  <conditionalFormatting sqref="Q148:Q153">
    <cfRule type="cellIs" dxfId="733" priority="735" operator="lessThan">
      <formula>0</formula>
    </cfRule>
  </conditionalFormatting>
  <conditionalFormatting sqref="R148:R153">
    <cfRule type="cellIs" dxfId="732" priority="733" operator="lessThan">
      <formula>0.8</formula>
    </cfRule>
    <cfRule type="cellIs" dxfId="731" priority="734" operator="greaterThan">
      <formula>1</formula>
    </cfRule>
  </conditionalFormatting>
  <conditionalFormatting sqref="R148:R153">
    <cfRule type="cellIs" dxfId="730" priority="731" operator="greaterThan">
      <formula>1</formula>
    </cfRule>
    <cfRule type="cellIs" dxfId="729" priority="732" operator="lessThan">
      <formula>0.8</formula>
    </cfRule>
  </conditionalFormatting>
  <conditionalFormatting sqref="P148:P153">
    <cfRule type="cellIs" dxfId="728" priority="724" operator="greaterThan">
      <formula>0</formula>
    </cfRule>
  </conditionalFormatting>
  <conditionalFormatting sqref="Q148:Q153">
    <cfRule type="cellIs" dxfId="727" priority="729" operator="lessThan">
      <formula>0</formula>
    </cfRule>
  </conditionalFormatting>
  <conditionalFormatting sqref="R148:R153">
    <cfRule type="cellIs" dxfId="726" priority="727" operator="lessThan">
      <formula>0.8</formula>
    </cfRule>
    <cfRule type="cellIs" dxfId="725" priority="728" operator="greaterThan">
      <formula>1</formula>
    </cfRule>
  </conditionalFormatting>
  <conditionalFormatting sqref="R148:R153">
    <cfRule type="cellIs" dxfId="724" priority="725" operator="greaterThan">
      <formula>1</formula>
    </cfRule>
    <cfRule type="cellIs" dxfId="723" priority="726" operator="lessThan">
      <formula>0.8</formula>
    </cfRule>
  </conditionalFormatting>
  <conditionalFormatting sqref="R148:R153">
    <cfRule type="cellIs" dxfId="722" priority="721" operator="lessThan">
      <formula>0.8</formula>
    </cfRule>
    <cfRule type="cellIs" dxfId="721" priority="722" operator="greaterThan">
      <formula>1</formula>
    </cfRule>
  </conditionalFormatting>
  <conditionalFormatting sqref="R148:R153">
    <cfRule type="cellIs" dxfId="720" priority="719" operator="greaterThan">
      <formula>1</formula>
    </cfRule>
    <cfRule type="cellIs" dxfId="719" priority="720" operator="lessThan">
      <formula>0.8</formula>
    </cfRule>
  </conditionalFormatting>
  <conditionalFormatting sqref="P148:P153">
    <cfRule type="cellIs" dxfId="718" priority="718" operator="greaterThan">
      <formula>0</formula>
    </cfRule>
  </conditionalFormatting>
  <conditionalFormatting sqref="Q148:Q153">
    <cfRule type="cellIs" dxfId="717" priority="723" operator="lessThan">
      <formula>0</formula>
    </cfRule>
  </conditionalFormatting>
  <conditionalFormatting sqref="P44:P51">
    <cfRule type="cellIs" dxfId="716" priority="712" operator="greaterThan">
      <formula>0</formula>
    </cfRule>
  </conditionalFormatting>
  <conditionalFormatting sqref="Q44:Q51">
    <cfRule type="cellIs" dxfId="715" priority="717" operator="lessThan">
      <formula>0</formula>
    </cfRule>
  </conditionalFormatting>
  <conditionalFormatting sqref="R44:R51">
    <cfRule type="cellIs" dxfId="714" priority="715" operator="lessThan">
      <formula>0.8</formula>
    </cfRule>
    <cfRule type="cellIs" dxfId="713" priority="716" operator="greaterThan">
      <formula>1</formula>
    </cfRule>
  </conditionalFormatting>
  <conditionalFormatting sqref="R44:R51">
    <cfRule type="cellIs" dxfId="712" priority="713" operator="greaterThan">
      <formula>1</formula>
    </cfRule>
    <cfRule type="cellIs" dxfId="711" priority="714" operator="lessThan">
      <formula>0.8</formula>
    </cfRule>
  </conditionalFormatting>
  <conditionalFormatting sqref="Q84:Q91">
    <cfRule type="cellIs" dxfId="710" priority="711" operator="lessThan">
      <formula>0</formula>
    </cfRule>
  </conditionalFormatting>
  <conditionalFormatting sqref="R84:R91">
    <cfRule type="cellIs" dxfId="709" priority="709" operator="lessThan">
      <formula>0.8</formula>
    </cfRule>
    <cfRule type="cellIs" dxfId="708" priority="710" operator="greaterThan">
      <formula>1</formula>
    </cfRule>
  </conditionalFormatting>
  <conditionalFormatting sqref="R84:R91">
    <cfRule type="cellIs" dxfId="707" priority="707" operator="greaterThan">
      <formula>1</formula>
    </cfRule>
    <cfRule type="cellIs" dxfId="706" priority="708" operator="lessThan">
      <formula>0.8</formula>
    </cfRule>
  </conditionalFormatting>
  <conditionalFormatting sqref="P84:P91">
    <cfRule type="cellIs" dxfId="705" priority="706" operator="greaterThan">
      <formula>0</formula>
    </cfRule>
  </conditionalFormatting>
  <conditionalFormatting sqref="Q84:Q91">
    <cfRule type="cellIs" dxfId="704" priority="705" operator="lessThan">
      <formula>0</formula>
    </cfRule>
  </conditionalFormatting>
  <conditionalFormatting sqref="R84:R91">
    <cfRule type="cellIs" dxfId="703" priority="703" operator="lessThan">
      <formula>0.8</formula>
    </cfRule>
    <cfRule type="cellIs" dxfId="702" priority="704" operator="greaterThan">
      <formula>1</formula>
    </cfRule>
  </conditionalFormatting>
  <conditionalFormatting sqref="R84:R91">
    <cfRule type="cellIs" dxfId="701" priority="701" operator="greaterThan">
      <formula>1</formula>
    </cfRule>
    <cfRule type="cellIs" dxfId="700" priority="702" operator="lessThan">
      <formula>0.8</formula>
    </cfRule>
  </conditionalFormatting>
  <conditionalFormatting sqref="P84:P91">
    <cfRule type="cellIs" dxfId="699" priority="700" operator="greaterThan">
      <formula>0</formula>
    </cfRule>
  </conditionalFormatting>
  <conditionalFormatting sqref="Q84:Q91">
    <cfRule type="cellIs" dxfId="698" priority="699" operator="lessThan">
      <formula>0</formula>
    </cfRule>
  </conditionalFormatting>
  <conditionalFormatting sqref="R84:R91">
    <cfRule type="cellIs" dxfId="697" priority="697" operator="lessThan">
      <formula>0.8</formula>
    </cfRule>
    <cfRule type="cellIs" dxfId="696" priority="698" operator="greaterThan">
      <formula>1</formula>
    </cfRule>
  </conditionalFormatting>
  <conditionalFormatting sqref="R84:R91">
    <cfRule type="cellIs" dxfId="695" priority="695" operator="greaterThan">
      <formula>1</formula>
    </cfRule>
    <cfRule type="cellIs" dxfId="694" priority="696" operator="lessThan">
      <formula>0.8</formula>
    </cfRule>
  </conditionalFormatting>
  <conditionalFormatting sqref="P84:P91">
    <cfRule type="cellIs" dxfId="693" priority="694" operator="greaterThan">
      <formula>0</formula>
    </cfRule>
  </conditionalFormatting>
  <conditionalFormatting sqref="Q84:Q91">
    <cfRule type="cellIs" dxfId="692" priority="693" operator="lessThan">
      <formula>0</formula>
    </cfRule>
  </conditionalFormatting>
  <conditionalFormatting sqref="R84:R91">
    <cfRule type="cellIs" dxfId="691" priority="691" operator="lessThan">
      <formula>0.8</formula>
    </cfRule>
    <cfRule type="cellIs" dxfId="690" priority="692" operator="greaterThan">
      <formula>1</formula>
    </cfRule>
  </conditionalFormatting>
  <conditionalFormatting sqref="R84:R91">
    <cfRule type="cellIs" dxfId="689" priority="689" operator="greaterThan">
      <formula>1</formula>
    </cfRule>
    <cfRule type="cellIs" dxfId="688" priority="690" operator="lessThan">
      <formula>0.8</formula>
    </cfRule>
  </conditionalFormatting>
  <conditionalFormatting sqref="P84:P91">
    <cfRule type="cellIs" dxfId="687" priority="688" operator="greaterThan">
      <formula>0</formula>
    </cfRule>
  </conditionalFormatting>
  <conditionalFormatting sqref="P84:P91">
    <cfRule type="cellIs" dxfId="686" priority="682" operator="greaterThan">
      <formula>0</formula>
    </cfRule>
  </conditionalFormatting>
  <conditionalFormatting sqref="Q84:Q91">
    <cfRule type="cellIs" dxfId="685" priority="687" operator="lessThan">
      <formula>0</formula>
    </cfRule>
  </conditionalFormatting>
  <conditionalFormatting sqref="R84:R91">
    <cfRule type="cellIs" dxfId="684" priority="685" operator="lessThan">
      <formula>0.8</formula>
    </cfRule>
    <cfRule type="cellIs" dxfId="683" priority="686" operator="greaterThan">
      <formula>1</formula>
    </cfRule>
  </conditionalFormatting>
  <conditionalFormatting sqref="R84:R91">
    <cfRule type="cellIs" dxfId="682" priority="683" operator="greaterThan">
      <formula>1</formula>
    </cfRule>
    <cfRule type="cellIs" dxfId="681" priority="684" operator="lessThan">
      <formula>0.8</formula>
    </cfRule>
  </conditionalFormatting>
  <conditionalFormatting sqref="P84:P91">
    <cfRule type="cellIs" dxfId="680" priority="676" operator="greaterThan">
      <formula>0</formula>
    </cfRule>
  </conditionalFormatting>
  <conditionalFormatting sqref="Q84:Q91">
    <cfRule type="cellIs" dxfId="679" priority="681" operator="lessThan">
      <formula>0</formula>
    </cfRule>
  </conditionalFormatting>
  <conditionalFormatting sqref="R84:R91">
    <cfRule type="cellIs" dxfId="678" priority="679" operator="lessThan">
      <formula>0.8</formula>
    </cfRule>
    <cfRule type="cellIs" dxfId="677" priority="680" operator="greaterThan">
      <formula>1</formula>
    </cfRule>
  </conditionalFormatting>
  <conditionalFormatting sqref="R84:R91">
    <cfRule type="cellIs" dxfId="676" priority="677" operator="greaterThan">
      <formula>1</formula>
    </cfRule>
    <cfRule type="cellIs" dxfId="675" priority="678" operator="lessThan">
      <formula>0.8</formula>
    </cfRule>
  </conditionalFormatting>
  <conditionalFormatting sqref="R84:R91">
    <cfRule type="cellIs" dxfId="674" priority="673" operator="lessThan">
      <formula>0.8</formula>
    </cfRule>
    <cfRule type="cellIs" dxfId="673" priority="674" operator="greaterThan">
      <formula>1</formula>
    </cfRule>
  </conditionalFormatting>
  <conditionalFormatting sqref="R84:R91">
    <cfRule type="cellIs" dxfId="672" priority="671" operator="greaterThan">
      <formula>1</formula>
    </cfRule>
    <cfRule type="cellIs" dxfId="671" priority="672" operator="lessThan">
      <formula>0.8</formula>
    </cfRule>
  </conditionalFormatting>
  <conditionalFormatting sqref="P84:P91">
    <cfRule type="cellIs" dxfId="670" priority="670" operator="greaterThan">
      <formula>0</formula>
    </cfRule>
  </conditionalFormatting>
  <conditionalFormatting sqref="Q84:Q91">
    <cfRule type="cellIs" dxfId="669" priority="675" operator="lessThan">
      <formula>0</formula>
    </cfRule>
  </conditionalFormatting>
  <conditionalFormatting sqref="Q84:Q91">
    <cfRule type="cellIs" dxfId="668" priority="669" operator="lessThan">
      <formula>0</formula>
    </cfRule>
  </conditionalFormatting>
  <conditionalFormatting sqref="R84:R91">
    <cfRule type="cellIs" dxfId="667" priority="667" operator="lessThan">
      <formula>0.8</formula>
    </cfRule>
    <cfRule type="cellIs" dxfId="666" priority="668" operator="greaterThan">
      <formula>1</formula>
    </cfRule>
  </conditionalFormatting>
  <conditionalFormatting sqref="R84:R91">
    <cfRule type="cellIs" dxfId="665" priority="665" operator="greaterThan">
      <formula>1</formula>
    </cfRule>
    <cfRule type="cellIs" dxfId="664" priority="666" operator="lessThan">
      <formula>0.8</formula>
    </cfRule>
  </conditionalFormatting>
  <conditionalFormatting sqref="P84:P91">
    <cfRule type="cellIs" dxfId="663" priority="664" operator="greaterThan">
      <formula>0</formula>
    </cfRule>
  </conditionalFormatting>
  <conditionalFormatting sqref="P84:P91">
    <cfRule type="cellIs" dxfId="662" priority="658" operator="greaterThan">
      <formula>0</formula>
    </cfRule>
  </conditionalFormatting>
  <conditionalFormatting sqref="Q84:Q91">
    <cfRule type="cellIs" dxfId="661" priority="663" operator="lessThan">
      <formula>0</formula>
    </cfRule>
  </conditionalFormatting>
  <conditionalFormatting sqref="R84:R91">
    <cfRule type="cellIs" dxfId="660" priority="661" operator="lessThan">
      <formula>0.8</formula>
    </cfRule>
    <cfRule type="cellIs" dxfId="659" priority="662" operator="greaterThan">
      <formula>1</formula>
    </cfRule>
  </conditionalFormatting>
  <conditionalFormatting sqref="R84:R91">
    <cfRule type="cellIs" dxfId="658" priority="659" operator="greaterThan">
      <formula>1</formula>
    </cfRule>
    <cfRule type="cellIs" dxfId="657" priority="660" operator="lessThan">
      <formula>0.8</formula>
    </cfRule>
  </conditionalFormatting>
  <conditionalFormatting sqref="P84:P91">
    <cfRule type="cellIs" dxfId="656" priority="652" operator="greaterThan">
      <formula>0</formula>
    </cfRule>
  </conditionalFormatting>
  <conditionalFormatting sqref="Q84:Q91">
    <cfRule type="cellIs" dxfId="655" priority="657" operator="lessThan">
      <formula>0</formula>
    </cfRule>
  </conditionalFormatting>
  <conditionalFormatting sqref="R84:R91">
    <cfRule type="cellIs" dxfId="654" priority="655" operator="lessThan">
      <formula>0.8</formula>
    </cfRule>
    <cfRule type="cellIs" dxfId="653" priority="656" operator="greaterThan">
      <formula>1</formula>
    </cfRule>
  </conditionalFormatting>
  <conditionalFormatting sqref="R84:R91">
    <cfRule type="cellIs" dxfId="652" priority="653" operator="greaterThan">
      <formula>1</formula>
    </cfRule>
    <cfRule type="cellIs" dxfId="651" priority="654" operator="lessThan">
      <formula>0.8</formula>
    </cfRule>
  </conditionalFormatting>
  <conditionalFormatting sqref="R84:R91">
    <cfRule type="cellIs" dxfId="650" priority="649" operator="lessThan">
      <formula>0.8</formula>
    </cfRule>
    <cfRule type="cellIs" dxfId="649" priority="650" operator="greaterThan">
      <formula>1</formula>
    </cfRule>
  </conditionalFormatting>
  <conditionalFormatting sqref="R84:R91">
    <cfRule type="cellIs" dxfId="648" priority="647" operator="greaterThan">
      <formula>1</formula>
    </cfRule>
    <cfRule type="cellIs" dxfId="647" priority="648" operator="lessThan">
      <formula>0.8</formula>
    </cfRule>
  </conditionalFormatting>
  <conditionalFormatting sqref="P84:P91">
    <cfRule type="cellIs" dxfId="646" priority="646" operator="greaterThan">
      <formula>0</formula>
    </cfRule>
  </conditionalFormatting>
  <conditionalFormatting sqref="Q84:Q91">
    <cfRule type="cellIs" dxfId="645" priority="651" operator="lessThan">
      <formula>0</formula>
    </cfRule>
  </conditionalFormatting>
  <conditionalFormatting sqref="P84:P91">
    <cfRule type="cellIs" dxfId="644" priority="640" operator="greaterThan">
      <formula>0</formula>
    </cfRule>
  </conditionalFormatting>
  <conditionalFormatting sqref="Q84:Q91">
    <cfRule type="cellIs" dxfId="643" priority="645" operator="lessThan">
      <formula>0</formula>
    </cfRule>
  </conditionalFormatting>
  <conditionalFormatting sqref="R84:R91">
    <cfRule type="cellIs" dxfId="642" priority="643" operator="lessThan">
      <formula>0.8</formula>
    </cfRule>
    <cfRule type="cellIs" dxfId="641" priority="644" operator="greaterThan">
      <formula>1</formula>
    </cfRule>
  </conditionalFormatting>
  <conditionalFormatting sqref="R84:R91">
    <cfRule type="cellIs" dxfId="640" priority="641" operator="greaterThan">
      <formula>1</formula>
    </cfRule>
    <cfRule type="cellIs" dxfId="639" priority="642" operator="lessThan">
      <formula>0.8</formula>
    </cfRule>
  </conditionalFormatting>
  <conditionalFormatting sqref="R84:R91">
    <cfRule type="cellIs" dxfId="638" priority="637" operator="lessThan">
      <formula>0.8</formula>
    </cfRule>
    <cfRule type="cellIs" dxfId="637" priority="638" operator="greaterThan">
      <formula>1</formula>
    </cfRule>
  </conditionalFormatting>
  <conditionalFormatting sqref="R84:R91">
    <cfRule type="cellIs" dxfId="636" priority="635" operator="greaterThan">
      <formula>1</formula>
    </cfRule>
    <cfRule type="cellIs" dxfId="635" priority="636" operator="lessThan">
      <formula>0.8</formula>
    </cfRule>
  </conditionalFormatting>
  <conditionalFormatting sqref="P84:P91">
    <cfRule type="cellIs" dxfId="634" priority="634" operator="greaterThan">
      <formula>0</formula>
    </cfRule>
  </conditionalFormatting>
  <conditionalFormatting sqref="Q84:Q91">
    <cfRule type="cellIs" dxfId="633" priority="639" operator="lessThan">
      <formula>0</formula>
    </cfRule>
  </conditionalFormatting>
  <conditionalFormatting sqref="R84:R91">
    <cfRule type="cellIs" dxfId="632" priority="631" operator="lessThan">
      <formula>0.8</formula>
    </cfRule>
    <cfRule type="cellIs" dxfId="631" priority="632" operator="greaterThan">
      <formula>1</formula>
    </cfRule>
  </conditionalFormatting>
  <conditionalFormatting sqref="R84:R91">
    <cfRule type="cellIs" dxfId="630" priority="629" operator="greaterThan">
      <formula>1</formula>
    </cfRule>
    <cfRule type="cellIs" dxfId="629" priority="630" operator="lessThan">
      <formula>0.8</formula>
    </cfRule>
  </conditionalFormatting>
  <conditionalFormatting sqref="P84:P91">
    <cfRule type="cellIs" dxfId="628" priority="628" operator="greaterThan">
      <formula>0</formula>
    </cfRule>
  </conditionalFormatting>
  <conditionalFormatting sqref="Q84:Q91">
    <cfRule type="cellIs" dxfId="627" priority="633" operator="lessThan">
      <formula>0</formula>
    </cfRule>
  </conditionalFormatting>
  <conditionalFormatting sqref="Q84:Q91">
    <cfRule type="cellIs" dxfId="626" priority="627" operator="lessThan">
      <formula>0</formula>
    </cfRule>
  </conditionalFormatting>
  <conditionalFormatting sqref="R84:R91">
    <cfRule type="cellIs" dxfId="625" priority="625" operator="lessThan">
      <formula>0.8</formula>
    </cfRule>
    <cfRule type="cellIs" dxfId="624" priority="626" operator="greaterThan">
      <formula>1</formula>
    </cfRule>
  </conditionalFormatting>
  <conditionalFormatting sqref="R84:R91">
    <cfRule type="cellIs" dxfId="623" priority="623" operator="greaterThan">
      <formula>1</formula>
    </cfRule>
    <cfRule type="cellIs" dxfId="622" priority="624" operator="lessThan">
      <formula>0.8</formula>
    </cfRule>
  </conditionalFormatting>
  <conditionalFormatting sqref="P84:P91">
    <cfRule type="cellIs" dxfId="621" priority="622" operator="greaterThan">
      <formula>0</formula>
    </cfRule>
  </conditionalFormatting>
  <conditionalFormatting sqref="Q84:Q91">
    <cfRule type="cellIs" dxfId="620" priority="616" operator="lessThan">
      <formula>0</formula>
    </cfRule>
  </conditionalFormatting>
  <conditionalFormatting sqref="R84:R91">
    <cfRule type="cellIs" dxfId="619" priority="620" operator="lessThan">
      <formula>0.8</formula>
    </cfRule>
    <cfRule type="cellIs" dxfId="618" priority="621" operator="greaterThan">
      <formula>1</formula>
    </cfRule>
  </conditionalFormatting>
  <conditionalFormatting sqref="R84:R91">
    <cfRule type="cellIs" dxfId="617" priority="618" operator="greaterThan">
      <formula>1</formula>
    </cfRule>
    <cfRule type="cellIs" dxfId="616" priority="619" operator="lessThan">
      <formula>0.8</formula>
    </cfRule>
  </conditionalFormatting>
  <conditionalFormatting sqref="P84:P91">
    <cfRule type="cellIs" dxfId="615" priority="617" operator="greaterThan">
      <formula>0</formula>
    </cfRule>
  </conditionalFormatting>
  <conditionalFormatting sqref="Q84:Q91">
    <cfRule type="cellIs" dxfId="614" priority="615" operator="lessThan">
      <formula>0</formula>
    </cfRule>
  </conditionalFormatting>
  <conditionalFormatting sqref="R84:R91">
    <cfRule type="cellIs" dxfId="613" priority="613" operator="lessThan">
      <formula>0.8</formula>
    </cfRule>
    <cfRule type="cellIs" dxfId="612" priority="614" operator="greaterThan">
      <formula>1</formula>
    </cfRule>
  </conditionalFormatting>
  <conditionalFormatting sqref="R84:R91">
    <cfRule type="cellIs" dxfId="611" priority="611" operator="greaterThan">
      <formula>1</formula>
    </cfRule>
    <cfRule type="cellIs" dxfId="610" priority="612" operator="lessThan">
      <formula>0.8</formula>
    </cfRule>
  </conditionalFormatting>
  <conditionalFormatting sqref="P84:P91">
    <cfRule type="cellIs" dxfId="609" priority="610" operator="greaterThan">
      <formula>0</formula>
    </cfRule>
  </conditionalFormatting>
  <conditionalFormatting sqref="Q84:Q91">
    <cfRule type="cellIs" dxfId="608" priority="609" operator="lessThan">
      <formula>0</formula>
    </cfRule>
  </conditionalFormatting>
  <conditionalFormatting sqref="R84:R91">
    <cfRule type="cellIs" dxfId="607" priority="607" operator="lessThan">
      <formula>0.8</formula>
    </cfRule>
    <cfRule type="cellIs" dxfId="606" priority="608" operator="greaterThan">
      <formula>1</formula>
    </cfRule>
  </conditionalFormatting>
  <conditionalFormatting sqref="R84:R91">
    <cfRule type="cellIs" dxfId="605" priority="605" operator="greaterThan">
      <formula>1</formula>
    </cfRule>
    <cfRule type="cellIs" dxfId="604" priority="606" operator="lessThan">
      <formula>0.8</formula>
    </cfRule>
  </conditionalFormatting>
  <conditionalFormatting sqref="P84:P91">
    <cfRule type="cellIs" dxfId="603" priority="604" operator="greaterThan">
      <formula>0</formula>
    </cfRule>
  </conditionalFormatting>
  <conditionalFormatting sqref="Q84:Q91">
    <cfRule type="cellIs" dxfId="602" priority="603" operator="lessThan">
      <formula>0</formula>
    </cfRule>
  </conditionalFormatting>
  <conditionalFormatting sqref="R84:R91">
    <cfRule type="cellIs" dxfId="601" priority="601" operator="lessThan">
      <formula>0.8</formula>
    </cfRule>
    <cfRule type="cellIs" dxfId="600" priority="602" operator="greaterThan">
      <formula>1</formula>
    </cfRule>
  </conditionalFormatting>
  <conditionalFormatting sqref="R84:R91">
    <cfRule type="cellIs" dxfId="599" priority="599" operator="greaterThan">
      <formula>1</formula>
    </cfRule>
    <cfRule type="cellIs" dxfId="598" priority="600" operator="lessThan">
      <formula>0.8</formula>
    </cfRule>
  </conditionalFormatting>
  <conditionalFormatting sqref="P84:P91">
    <cfRule type="cellIs" dxfId="597" priority="598" operator="greaterThan">
      <formula>0</formula>
    </cfRule>
  </conditionalFormatting>
  <conditionalFormatting sqref="Q84:Q91">
    <cfRule type="cellIs" dxfId="596" priority="597" operator="lessThan">
      <formula>0</formula>
    </cfRule>
  </conditionalFormatting>
  <conditionalFormatting sqref="R84:R91">
    <cfRule type="cellIs" dxfId="595" priority="595" operator="lessThan">
      <formula>0.8</formula>
    </cfRule>
    <cfRule type="cellIs" dxfId="594" priority="596" operator="greaterThan">
      <formula>1</formula>
    </cfRule>
  </conditionalFormatting>
  <conditionalFormatting sqref="R84:R91">
    <cfRule type="cellIs" dxfId="593" priority="593" operator="greaterThan">
      <formula>1</formula>
    </cfRule>
    <cfRule type="cellIs" dxfId="592" priority="594" operator="lessThan">
      <formula>0.8</formula>
    </cfRule>
  </conditionalFormatting>
  <conditionalFormatting sqref="P84:P91">
    <cfRule type="cellIs" dxfId="591" priority="592" operator="greaterThan">
      <formula>0</formula>
    </cfRule>
  </conditionalFormatting>
  <conditionalFormatting sqref="Q84:Q91">
    <cfRule type="cellIs" dxfId="590" priority="591" operator="lessThan">
      <formula>0</formula>
    </cfRule>
  </conditionalFormatting>
  <conditionalFormatting sqref="R84:R91">
    <cfRule type="cellIs" dxfId="589" priority="589" operator="lessThan">
      <formula>0.8</formula>
    </cfRule>
    <cfRule type="cellIs" dxfId="588" priority="590" operator="greaterThan">
      <formula>1</formula>
    </cfRule>
  </conditionalFormatting>
  <conditionalFormatting sqref="R84:R91">
    <cfRule type="cellIs" dxfId="587" priority="587" operator="greaterThan">
      <formula>1</formula>
    </cfRule>
    <cfRule type="cellIs" dxfId="586" priority="588" operator="lessThan">
      <formula>0.8</formula>
    </cfRule>
  </conditionalFormatting>
  <conditionalFormatting sqref="P84:P91">
    <cfRule type="cellIs" dxfId="585" priority="586" operator="greaterThan">
      <formula>0</formula>
    </cfRule>
  </conditionalFormatting>
  <conditionalFormatting sqref="P84:P91">
    <cfRule type="cellIs" dxfId="584" priority="580" operator="greaterThan">
      <formula>0</formula>
    </cfRule>
  </conditionalFormatting>
  <conditionalFormatting sqref="Q84:Q91">
    <cfRule type="cellIs" dxfId="583" priority="585" operator="lessThan">
      <formula>0</formula>
    </cfRule>
  </conditionalFormatting>
  <conditionalFormatting sqref="R84:R91">
    <cfRule type="cellIs" dxfId="582" priority="583" operator="lessThan">
      <formula>0.8</formula>
    </cfRule>
    <cfRule type="cellIs" dxfId="581" priority="584" operator="greaterThan">
      <formula>1</formula>
    </cfRule>
  </conditionalFormatting>
  <conditionalFormatting sqref="R84:R91">
    <cfRule type="cellIs" dxfId="580" priority="581" operator="greaterThan">
      <formula>1</formula>
    </cfRule>
    <cfRule type="cellIs" dxfId="579" priority="582" operator="lessThan">
      <formula>0.8</formula>
    </cfRule>
  </conditionalFormatting>
  <conditionalFormatting sqref="P84:P91">
    <cfRule type="cellIs" dxfId="578" priority="574" operator="greaterThan">
      <formula>0</formula>
    </cfRule>
  </conditionalFormatting>
  <conditionalFormatting sqref="Q84:Q91">
    <cfRule type="cellIs" dxfId="577" priority="579" operator="lessThan">
      <formula>0</formula>
    </cfRule>
  </conditionalFormatting>
  <conditionalFormatting sqref="R84:R91">
    <cfRule type="cellIs" dxfId="576" priority="577" operator="lessThan">
      <formula>0.8</formula>
    </cfRule>
    <cfRule type="cellIs" dxfId="575" priority="578" operator="greaterThan">
      <formula>1</formula>
    </cfRule>
  </conditionalFormatting>
  <conditionalFormatting sqref="R84:R91">
    <cfRule type="cellIs" dxfId="574" priority="575" operator="greaterThan">
      <formula>1</formula>
    </cfRule>
    <cfRule type="cellIs" dxfId="573" priority="576" operator="lessThan">
      <formula>0.8</formula>
    </cfRule>
  </conditionalFormatting>
  <conditionalFormatting sqref="R84:R91">
    <cfRule type="cellIs" dxfId="572" priority="571" operator="lessThan">
      <formula>0.8</formula>
    </cfRule>
    <cfRule type="cellIs" dxfId="571" priority="572" operator="greaterThan">
      <formula>1</formula>
    </cfRule>
  </conditionalFormatting>
  <conditionalFormatting sqref="R84:R91">
    <cfRule type="cellIs" dxfId="570" priority="569" operator="greaterThan">
      <formula>1</formula>
    </cfRule>
    <cfRule type="cellIs" dxfId="569" priority="570" operator="lessThan">
      <formula>0.8</formula>
    </cfRule>
  </conditionalFormatting>
  <conditionalFormatting sqref="P84:P91">
    <cfRule type="cellIs" dxfId="568" priority="568" operator="greaterThan">
      <formula>0</formula>
    </cfRule>
  </conditionalFormatting>
  <conditionalFormatting sqref="Q84:Q91">
    <cfRule type="cellIs" dxfId="567" priority="573" operator="lessThan">
      <formula>0</formula>
    </cfRule>
  </conditionalFormatting>
  <conditionalFormatting sqref="Q84:Q91">
    <cfRule type="cellIs" dxfId="566" priority="567" operator="lessThan">
      <formula>0</formula>
    </cfRule>
  </conditionalFormatting>
  <conditionalFormatting sqref="R84:R91">
    <cfRule type="cellIs" dxfId="565" priority="565" operator="lessThan">
      <formula>0.8</formula>
    </cfRule>
    <cfRule type="cellIs" dxfId="564" priority="566" operator="greaterThan">
      <formula>1</formula>
    </cfRule>
  </conditionalFormatting>
  <conditionalFormatting sqref="R84:R91">
    <cfRule type="cellIs" dxfId="563" priority="563" operator="greaterThan">
      <formula>1</formula>
    </cfRule>
    <cfRule type="cellIs" dxfId="562" priority="564" operator="lessThan">
      <formula>0.8</formula>
    </cfRule>
  </conditionalFormatting>
  <conditionalFormatting sqref="P84:P91">
    <cfRule type="cellIs" dxfId="561" priority="562" operator="greaterThan">
      <formula>0</formula>
    </cfRule>
  </conditionalFormatting>
  <conditionalFormatting sqref="Q84:Q91">
    <cfRule type="cellIs" dxfId="560" priority="561" operator="lessThan">
      <formula>0</formula>
    </cfRule>
  </conditionalFormatting>
  <conditionalFormatting sqref="R84:R91">
    <cfRule type="cellIs" dxfId="559" priority="559" operator="lessThan">
      <formula>0.8</formula>
    </cfRule>
    <cfRule type="cellIs" dxfId="558" priority="560" operator="greaterThan">
      <formula>1</formula>
    </cfRule>
  </conditionalFormatting>
  <conditionalFormatting sqref="R84:R91">
    <cfRule type="cellIs" dxfId="557" priority="557" operator="greaterThan">
      <formula>1</formula>
    </cfRule>
    <cfRule type="cellIs" dxfId="556" priority="558" operator="lessThan">
      <formula>0.8</formula>
    </cfRule>
  </conditionalFormatting>
  <conditionalFormatting sqref="P84:P91">
    <cfRule type="cellIs" dxfId="555" priority="556" operator="greaterThan">
      <formula>0</formula>
    </cfRule>
  </conditionalFormatting>
  <conditionalFormatting sqref="Q84:Q91">
    <cfRule type="cellIs" dxfId="554" priority="555" operator="lessThan">
      <formula>0</formula>
    </cfRule>
  </conditionalFormatting>
  <conditionalFormatting sqref="R84:R91">
    <cfRule type="cellIs" dxfId="553" priority="553" operator="lessThan">
      <formula>0.8</formula>
    </cfRule>
    <cfRule type="cellIs" dxfId="552" priority="554" operator="greaterThan">
      <formula>1</formula>
    </cfRule>
  </conditionalFormatting>
  <conditionalFormatting sqref="R84:R91">
    <cfRule type="cellIs" dxfId="551" priority="551" operator="greaterThan">
      <formula>1</formula>
    </cfRule>
    <cfRule type="cellIs" dxfId="550" priority="552" operator="lessThan">
      <formula>0.8</formula>
    </cfRule>
  </conditionalFormatting>
  <conditionalFormatting sqref="P84:P91">
    <cfRule type="cellIs" dxfId="549" priority="550" operator="greaterThan">
      <formula>0</formula>
    </cfRule>
  </conditionalFormatting>
  <conditionalFormatting sqref="Q84:Q91">
    <cfRule type="cellIs" dxfId="548" priority="549" operator="lessThan">
      <formula>0</formula>
    </cfRule>
  </conditionalFormatting>
  <conditionalFormatting sqref="R84:R91">
    <cfRule type="cellIs" dxfId="547" priority="547" operator="lessThan">
      <formula>0.8</formula>
    </cfRule>
    <cfRule type="cellIs" dxfId="546" priority="548" operator="greaterThan">
      <formula>1</formula>
    </cfRule>
  </conditionalFormatting>
  <conditionalFormatting sqref="R84:R91">
    <cfRule type="cellIs" dxfId="545" priority="545" operator="greaterThan">
      <formula>1</formula>
    </cfRule>
    <cfRule type="cellIs" dxfId="544" priority="546" operator="lessThan">
      <formula>0.8</formula>
    </cfRule>
  </conditionalFormatting>
  <conditionalFormatting sqref="P84:P91">
    <cfRule type="cellIs" dxfId="543" priority="544" operator="greaterThan">
      <formula>0</formula>
    </cfRule>
  </conditionalFormatting>
  <conditionalFormatting sqref="P84:P91">
    <cfRule type="cellIs" dxfId="542" priority="538" operator="greaterThan">
      <formula>0</formula>
    </cfRule>
  </conditionalFormatting>
  <conditionalFormatting sqref="Q84:Q91">
    <cfRule type="cellIs" dxfId="541" priority="543" operator="lessThan">
      <formula>0</formula>
    </cfRule>
  </conditionalFormatting>
  <conditionalFormatting sqref="R84:R91">
    <cfRule type="cellIs" dxfId="540" priority="541" operator="lessThan">
      <formula>0.8</formula>
    </cfRule>
    <cfRule type="cellIs" dxfId="539" priority="542" operator="greaterThan">
      <formula>1</formula>
    </cfRule>
  </conditionalFormatting>
  <conditionalFormatting sqref="R84:R91">
    <cfRule type="cellIs" dxfId="538" priority="539" operator="greaterThan">
      <formula>1</formula>
    </cfRule>
    <cfRule type="cellIs" dxfId="537" priority="540" operator="lessThan">
      <formula>0.8</formula>
    </cfRule>
  </conditionalFormatting>
  <conditionalFormatting sqref="P84:P91">
    <cfRule type="cellIs" dxfId="536" priority="532" operator="greaterThan">
      <formula>0</formula>
    </cfRule>
  </conditionalFormatting>
  <conditionalFormatting sqref="Q84:Q91">
    <cfRule type="cellIs" dxfId="535" priority="537" operator="lessThan">
      <formula>0</formula>
    </cfRule>
  </conditionalFormatting>
  <conditionalFormatting sqref="R84:R91">
    <cfRule type="cellIs" dxfId="534" priority="535" operator="lessThan">
      <formula>0.8</formula>
    </cfRule>
    <cfRule type="cellIs" dxfId="533" priority="536" operator="greaterThan">
      <formula>1</formula>
    </cfRule>
  </conditionalFormatting>
  <conditionalFormatting sqref="R84:R91">
    <cfRule type="cellIs" dxfId="532" priority="533" operator="greaterThan">
      <formula>1</formula>
    </cfRule>
    <cfRule type="cellIs" dxfId="531" priority="534" operator="lessThan">
      <formula>0.8</formula>
    </cfRule>
  </conditionalFormatting>
  <conditionalFormatting sqref="R84:R91">
    <cfRule type="cellIs" dxfId="530" priority="529" operator="lessThan">
      <formula>0.8</formula>
    </cfRule>
    <cfRule type="cellIs" dxfId="529" priority="530" operator="greaterThan">
      <formula>1</formula>
    </cfRule>
  </conditionalFormatting>
  <conditionalFormatting sqref="R84:R91">
    <cfRule type="cellIs" dxfId="528" priority="527" operator="greaterThan">
      <formula>1</formula>
    </cfRule>
    <cfRule type="cellIs" dxfId="527" priority="528" operator="lessThan">
      <formula>0.8</formula>
    </cfRule>
  </conditionalFormatting>
  <conditionalFormatting sqref="P84:P91">
    <cfRule type="cellIs" dxfId="526" priority="526" operator="greaterThan">
      <formula>0</formula>
    </cfRule>
  </conditionalFormatting>
  <conditionalFormatting sqref="Q84:Q91">
    <cfRule type="cellIs" dxfId="525" priority="531" operator="lessThan">
      <formula>0</formula>
    </cfRule>
  </conditionalFormatting>
  <conditionalFormatting sqref="Q84:Q91">
    <cfRule type="cellIs" dxfId="524" priority="525" operator="lessThan">
      <formula>0</formula>
    </cfRule>
  </conditionalFormatting>
  <conditionalFormatting sqref="R84:R91">
    <cfRule type="cellIs" dxfId="523" priority="523" operator="lessThan">
      <formula>0.8</formula>
    </cfRule>
    <cfRule type="cellIs" dxfId="522" priority="524" operator="greaterThan">
      <formula>1</formula>
    </cfRule>
  </conditionalFormatting>
  <conditionalFormatting sqref="R84:R91">
    <cfRule type="cellIs" dxfId="521" priority="521" operator="greaterThan">
      <formula>1</formula>
    </cfRule>
    <cfRule type="cellIs" dxfId="520" priority="522" operator="lessThan">
      <formula>0.8</formula>
    </cfRule>
  </conditionalFormatting>
  <conditionalFormatting sqref="P84:P91">
    <cfRule type="cellIs" dxfId="519" priority="520" operator="greaterThan">
      <formula>0</formula>
    </cfRule>
  </conditionalFormatting>
  <conditionalFormatting sqref="P84:P91">
    <cfRule type="cellIs" dxfId="518" priority="514" operator="greaterThan">
      <formula>0</formula>
    </cfRule>
  </conditionalFormatting>
  <conditionalFormatting sqref="Q84:Q91">
    <cfRule type="cellIs" dxfId="517" priority="519" operator="lessThan">
      <formula>0</formula>
    </cfRule>
  </conditionalFormatting>
  <conditionalFormatting sqref="R84:R91">
    <cfRule type="cellIs" dxfId="516" priority="517" operator="lessThan">
      <formula>0.8</formula>
    </cfRule>
    <cfRule type="cellIs" dxfId="515" priority="518" operator="greaterThan">
      <formula>1</formula>
    </cfRule>
  </conditionalFormatting>
  <conditionalFormatting sqref="R84:R91">
    <cfRule type="cellIs" dxfId="514" priority="515" operator="greaterThan">
      <formula>1</formula>
    </cfRule>
    <cfRule type="cellIs" dxfId="513" priority="516" operator="lessThan">
      <formula>0.8</formula>
    </cfRule>
  </conditionalFormatting>
  <conditionalFormatting sqref="P84:P91">
    <cfRule type="cellIs" dxfId="512" priority="508" operator="greaterThan">
      <formula>0</formula>
    </cfRule>
  </conditionalFormatting>
  <conditionalFormatting sqref="Q84:Q91">
    <cfRule type="cellIs" dxfId="511" priority="513" operator="lessThan">
      <formula>0</formula>
    </cfRule>
  </conditionalFormatting>
  <conditionalFormatting sqref="R84:R91">
    <cfRule type="cellIs" dxfId="510" priority="511" operator="lessThan">
      <formula>0.8</formula>
    </cfRule>
    <cfRule type="cellIs" dxfId="509" priority="512" operator="greaterThan">
      <formula>1</formula>
    </cfRule>
  </conditionalFormatting>
  <conditionalFormatting sqref="R84:R91">
    <cfRule type="cellIs" dxfId="508" priority="509" operator="greaterThan">
      <formula>1</formula>
    </cfRule>
    <cfRule type="cellIs" dxfId="507" priority="510" operator="lessThan">
      <formula>0.8</formula>
    </cfRule>
  </conditionalFormatting>
  <conditionalFormatting sqref="R84:R91">
    <cfRule type="cellIs" dxfId="506" priority="505" operator="lessThan">
      <formula>0.8</formula>
    </cfRule>
    <cfRule type="cellIs" dxfId="505" priority="506" operator="greaterThan">
      <formula>1</formula>
    </cfRule>
  </conditionalFormatting>
  <conditionalFormatting sqref="R84:R91">
    <cfRule type="cellIs" dxfId="504" priority="503" operator="greaterThan">
      <formula>1</formula>
    </cfRule>
    <cfRule type="cellIs" dxfId="503" priority="504" operator="lessThan">
      <formula>0.8</formula>
    </cfRule>
  </conditionalFormatting>
  <conditionalFormatting sqref="P84:P91">
    <cfRule type="cellIs" dxfId="502" priority="502" operator="greaterThan">
      <formula>0</formula>
    </cfRule>
  </conditionalFormatting>
  <conditionalFormatting sqref="Q84:Q91">
    <cfRule type="cellIs" dxfId="501" priority="507" operator="lessThan">
      <formula>0</formula>
    </cfRule>
  </conditionalFormatting>
  <conditionalFormatting sqref="P84:P91">
    <cfRule type="cellIs" dxfId="500" priority="496" operator="greaterThan">
      <formula>0</formula>
    </cfRule>
  </conditionalFormatting>
  <conditionalFormatting sqref="Q84:Q91">
    <cfRule type="cellIs" dxfId="499" priority="501" operator="lessThan">
      <formula>0</formula>
    </cfRule>
  </conditionalFormatting>
  <conditionalFormatting sqref="R84:R91">
    <cfRule type="cellIs" dxfId="498" priority="499" operator="lessThan">
      <formula>0.8</formula>
    </cfRule>
    <cfRule type="cellIs" dxfId="497" priority="500" operator="greaterThan">
      <formula>1</formula>
    </cfRule>
  </conditionalFormatting>
  <conditionalFormatting sqref="R84:R91">
    <cfRule type="cellIs" dxfId="496" priority="497" operator="greaterThan">
      <formula>1</formula>
    </cfRule>
    <cfRule type="cellIs" dxfId="495" priority="498" operator="lessThan">
      <formula>0.8</formula>
    </cfRule>
  </conditionalFormatting>
  <conditionalFormatting sqref="R84:R91">
    <cfRule type="cellIs" dxfId="494" priority="493" operator="lessThan">
      <formula>0.8</formula>
    </cfRule>
    <cfRule type="cellIs" dxfId="493" priority="494" operator="greaterThan">
      <formula>1</formula>
    </cfRule>
  </conditionalFormatting>
  <conditionalFormatting sqref="R84:R91">
    <cfRule type="cellIs" dxfId="492" priority="491" operator="greaterThan">
      <formula>1</formula>
    </cfRule>
    <cfRule type="cellIs" dxfId="491" priority="492" operator="lessThan">
      <formula>0.8</formula>
    </cfRule>
  </conditionalFormatting>
  <conditionalFormatting sqref="P84:P91">
    <cfRule type="cellIs" dxfId="490" priority="490" operator="greaterThan">
      <formula>0</formula>
    </cfRule>
  </conditionalFormatting>
  <conditionalFormatting sqref="Q84:Q91">
    <cfRule type="cellIs" dxfId="489" priority="495" operator="lessThan">
      <formula>0</formula>
    </cfRule>
  </conditionalFormatting>
  <conditionalFormatting sqref="R84:R91">
    <cfRule type="cellIs" dxfId="488" priority="487" operator="lessThan">
      <formula>0.8</formula>
    </cfRule>
    <cfRule type="cellIs" dxfId="487" priority="488" operator="greaterThan">
      <formula>1</formula>
    </cfRule>
  </conditionalFormatting>
  <conditionalFormatting sqref="R84:R91">
    <cfRule type="cellIs" dxfId="486" priority="485" operator="greaterThan">
      <formula>1</formula>
    </cfRule>
    <cfRule type="cellIs" dxfId="485" priority="486" operator="lessThan">
      <formula>0.8</formula>
    </cfRule>
  </conditionalFormatting>
  <conditionalFormatting sqref="P84:P91">
    <cfRule type="cellIs" dxfId="484" priority="484" operator="greaterThan">
      <formula>0</formula>
    </cfRule>
  </conditionalFormatting>
  <conditionalFormatting sqref="Q84:Q91">
    <cfRule type="cellIs" dxfId="483" priority="489" operator="lessThan">
      <formula>0</formula>
    </cfRule>
  </conditionalFormatting>
  <conditionalFormatting sqref="Q84:Q91">
    <cfRule type="cellIs" dxfId="482" priority="483" operator="lessThan">
      <formula>0</formula>
    </cfRule>
  </conditionalFormatting>
  <conditionalFormatting sqref="R84:R91">
    <cfRule type="cellIs" dxfId="481" priority="481" operator="lessThan">
      <formula>0.8</formula>
    </cfRule>
    <cfRule type="cellIs" dxfId="480" priority="482" operator="greaterThan">
      <formula>1</formula>
    </cfRule>
  </conditionalFormatting>
  <conditionalFormatting sqref="R84:R91">
    <cfRule type="cellIs" dxfId="479" priority="479" operator="greaterThan">
      <formula>1</formula>
    </cfRule>
    <cfRule type="cellIs" dxfId="478" priority="480" operator="lessThan">
      <formula>0.8</formula>
    </cfRule>
  </conditionalFormatting>
  <conditionalFormatting sqref="P84:P91">
    <cfRule type="cellIs" dxfId="477" priority="478" operator="greaterThan">
      <formula>0</formula>
    </cfRule>
  </conditionalFormatting>
  <conditionalFormatting sqref="Q84:Q91">
    <cfRule type="cellIs" dxfId="476" priority="472" operator="lessThan">
      <formula>0</formula>
    </cfRule>
  </conditionalFormatting>
  <conditionalFormatting sqref="R84:R91">
    <cfRule type="cellIs" dxfId="475" priority="476" operator="lessThan">
      <formula>0.8</formula>
    </cfRule>
    <cfRule type="cellIs" dxfId="474" priority="477" operator="greaterThan">
      <formula>1</formula>
    </cfRule>
  </conditionalFormatting>
  <conditionalFormatting sqref="R84:R91">
    <cfRule type="cellIs" dxfId="473" priority="474" operator="greaterThan">
      <formula>1</formula>
    </cfRule>
    <cfRule type="cellIs" dxfId="472" priority="475" operator="lessThan">
      <formula>0.8</formula>
    </cfRule>
  </conditionalFormatting>
  <conditionalFormatting sqref="P84:P91">
    <cfRule type="cellIs" dxfId="471" priority="473" operator="greaterThan">
      <formula>0</formula>
    </cfRule>
  </conditionalFormatting>
  <conditionalFormatting sqref="Q84:Q91">
    <cfRule type="cellIs" dxfId="470" priority="471" operator="lessThan">
      <formula>0</formula>
    </cfRule>
  </conditionalFormatting>
  <conditionalFormatting sqref="R84:R91">
    <cfRule type="cellIs" dxfId="469" priority="469" operator="lessThan">
      <formula>0.8</formula>
    </cfRule>
    <cfRule type="cellIs" dxfId="468" priority="470" operator="greaterThan">
      <formula>1</formula>
    </cfRule>
  </conditionalFormatting>
  <conditionalFormatting sqref="R84:R91">
    <cfRule type="cellIs" dxfId="467" priority="467" operator="greaterThan">
      <formula>1</formula>
    </cfRule>
    <cfRule type="cellIs" dxfId="466" priority="468" operator="lessThan">
      <formula>0.8</formula>
    </cfRule>
  </conditionalFormatting>
  <conditionalFormatting sqref="P84:P91">
    <cfRule type="cellIs" dxfId="465" priority="466" operator="greaterThan">
      <formula>0</formula>
    </cfRule>
  </conditionalFormatting>
  <conditionalFormatting sqref="Q84:Q91">
    <cfRule type="cellIs" dxfId="464" priority="465" operator="lessThan">
      <formula>0</formula>
    </cfRule>
  </conditionalFormatting>
  <conditionalFormatting sqref="R84:R91">
    <cfRule type="cellIs" dxfId="463" priority="463" operator="lessThan">
      <formula>0.8</formula>
    </cfRule>
    <cfRule type="cellIs" dxfId="462" priority="464" operator="greaterThan">
      <formula>1</formula>
    </cfRule>
  </conditionalFormatting>
  <conditionalFormatting sqref="R84:R91">
    <cfRule type="cellIs" dxfId="461" priority="461" operator="greaterThan">
      <formula>1</formula>
    </cfRule>
    <cfRule type="cellIs" dxfId="460" priority="462" operator="lessThan">
      <formula>0.8</formula>
    </cfRule>
  </conditionalFormatting>
  <conditionalFormatting sqref="P84:P91">
    <cfRule type="cellIs" dxfId="459" priority="460" operator="greaterThan">
      <formula>0</formula>
    </cfRule>
  </conditionalFormatting>
  <conditionalFormatting sqref="Q84:Q91">
    <cfRule type="cellIs" dxfId="458" priority="459" operator="lessThan">
      <formula>0</formula>
    </cfRule>
  </conditionalFormatting>
  <conditionalFormatting sqref="R84:R91">
    <cfRule type="cellIs" dxfId="457" priority="457" operator="lessThan">
      <formula>0.8</formula>
    </cfRule>
    <cfRule type="cellIs" dxfId="456" priority="458" operator="greaterThan">
      <formula>1</formula>
    </cfRule>
  </conditionalFormatting>
  <conditionalFormatting sqref="R84:R91">
    <cfRule type="cellIs" dxfId="455" priority="455" operator="greaterThan">
      <formula>1</formula>
    </cfRule>
    <cfRule type="cellIs" dxfId="454" priority="456" operator="lessThan">
      <formula>0.8</formula>
    </cfRule>
  </conditionalFormatting>
  <conditionalFormatting sqref="P84:P91">
    <cfRule type="cellIs" dxfId="453" priority="454" operator="greaterThan">
      <formula>0</formula>
    </cfRule>
  </conditionalFormatting>
  <conditionalFormatting sqref="Q84:Q91">
    <cfRule type="cellIs" dxfId="452" priority="453" operator="lessThan">
      <formula>0</formula>
    </cfRule>
  </conditionalFormatting>
  <conditionalFormatting sqref="R84:R91">
    <cfRule type="cellIs" dxfId="451" priority="451" operator="lessThan">
      <formula>0.8</formula>
    </cfRule>
    <cfRule type="cellIs" dxfId="450" priority="452" operator="greaterThan">
      <formula>1</formula>
    </cfRule>
  </conditionalFormatting>
  <conditionalFormatting sqref="R84:R91">
    <cfRule type="cellIs" dxfId="449" priority="449" operator="greaterThan">
      <formula>1</formula>
    </cfRule>
    <cfRule type="cellIs" dxfId="448" priority="450" operator="lessThan">
      <formula>0.8</formula>
    </cfRule>
  </conditionalFormatting>
  <conditionalFormatting sqref="P84:P91">
    <cfRule type="cellIs" dxfId="447" priority="448" operator="greaterThan">
      <formula>0</formula>
    </cfRule>
  </conditionalFormatting>
  <conditionalFormatting sqref="Q84:Q91">
    <cfRule type="cellIs" dxfId="446" priority="447" operator="lessThan">
      <formula>0</formula>
    </cfRule>
  </conditionalFormatting>
  <conditionalFormatting sqref="R84:R91">
    <cfRule type="cellIs" dxfId="445" priority="445" operator="lessThan">
      <formula>0.8</formula>
    </cfRule>
    <cfRule type="cellIs" dxfId="444" priority="446" operator="greaterThan">
      <formula>1</formula>
    </cfRule>
  </conditionalFormatting>
  <conditionalFormatting sqref="R84:R91">
    <cfRule type="cellIs" dxfId="443" priority="443" operator="greaterThan">
      <formula>1</formula>
    </cfRule>
    <cfRule type="cellIs" dxfId="442" priority="444" operator="lessThan">
      <formula>0.8</formula>
    </cfRule>
  </conditionalFormatting>
  <conditionalFormatting sqref="P84:P91">
    <cfRule type="cellIs" dxfId="441" priority="442" operator="greaterThan">
      <formula>0</formula>
    </cfRule>
  </conditionalFormatting>
  <conditionalFormatting sqref="P84:P91">
    <cfRule type="cellIs" dxfId="440" priority="436" operator="greaterThan">
      <formula>0</formula>
    </cfRule>
  </conditionalFormatting>
  <conditionalFormatting sqref="Q84:Q91">
    <cfRule type="cellIs" dxfId="439" priority="441" operator="lessThan">
      <formula>0</formula>
    </cfRule>
  </conditionalFormatting>
  <conditionalFormatting sqref="R84:R91">
    <cfRule type="cellIs" dxfId="438" priority="439" operator="lessThan">
      <formula>0.8</formula>
    </cfRule>
    <cfRule type="cellIs" dxfId="437" priority="440" operator="greaterThan">
      <formula>1</formula>
    </cfRule>
  </conditionalFormatting>
  <conditionalFormatting sqref="R84:R91">
    <cfRule type="cellIs" dxfId="436" priority="437" operator="greaterThan">
      <formula>1</formula>
    </cfRule>
    <cfRule type="cellIs" dxfId="435" priority="438" operator="lessThan">
      <formula>0.8</formula>
    </cfRule>
  </conditionalFormatting>
  <conditionalFormatting sqref="P84:P91">
    <cfRule type="cellIs" dxfId="434" priority="430" operator="greaterThan">
      <formula>0</formula>
    </cfRule>
  </conditionalFormatting>
  <conditionalFormatting sqref="Q84:Q91">
    <cfRule type="cellIs" dxfId="433" priority="435" operator="lessThan">
      <formula>0</formula>
    </cfRule>
  </conditionalFormatting>
  <conditionalFormatting sqref="R84:R91">
    <cfRule type="cellIs" dxfId="432" priority="433" operator="lessThan">
      <formula>0.8</formula>
    </cfRule>
    <cfRule type="cellIs" dxfId="431" priority="434" operator="greaterThan">
      <formula>1</formula>
    </cfRule>
  </conditionalFormatting>
  <conditionalFormatting sqref="R84:R91">
    <cfRule type="cellIs" dxfId="430" priority="431" operator="greaterThan">
      <formula>1</formula>
    </cfRule>
    <cfRule type="cellIs" dxfId="429" priority="432" operator="lessThan">
      <formula>0.8</formula>
    </cfRule>
  </conditionalFormatting>
  <conditionalFormatting sqref="R84:R91">
    <cfRule type="cellIs" dxfId="428" priority="427" operator="lessThan">
      <formula>0.8</formula>
    </cfRule>
    <cfRule type="cellIs" dxfId="427" priority="428" operator="greaterThan">
      <formula>1</formula>
    </cfRule>
  </conditionalFormatting>
  <conditionalFormatting sqref="R84:R91">
    <cfRule type="cellIs" dxfId="426" priority="425" operator="greaterThan">
      <formula>1</formula>
    </cfRule>
    <cfRule type="cellIs" dxfId="425" priority="426" operator="lessThan">
      <formula>0.8</formula>
    </cfRule>
  </conditionalFormatting>
  <conditionalFormatting sqref="P84:P91">
    <cfRule type="cellIs" dxfId="424" priority="424" operator="greaterThan">
      <formula>0</formula>
    </cfRule>
  </conditionalFormatting>
  <conditionalFormatting sqref="Q84:Q91">
    <cfRule type="cellIs" dxfId="423" priority="429" operator="lessThan">
      <formula>0</formula>
    </cfRule>
  </conditionalFormatting>
  <conditionalFormatting sqref="Q84:Q91">
    <cfRule type="cellIs" dxfId="422" priority="418" operator="lessThan">
      <formula>0</formula>
    </cfRule>
  </conditionalFormatting>
  <conditionalFormatting sqref="P84:P91">
    <cfRule type="cellIs" dxfId="421" priority="419" operator="greaterThan">
      <formula>0</formula>
    </cfRule>
  </conditionalFormatting>
  <conditionalFormatting sqref="R84:R91">
    <cfRule type="cellIs" dxfId="420" priority="422" operator="lessThan">
      <formula>0.8</formula>
    </cfRule>
    <cfRule type="cellIs" dxfId="419" priority="423" operator="greaterThan">
      <formula>1</formula>
    </cfRule>
  </conditionalFormatting>
  <conditionalFormatting sqref="R84:R91">
    <cfRule type="cellIs" dxfId="418" priority="420" operator="greaterThan">
      <formula>1</formula>
    </cfRule>
    <cfRule type="cellIs" dxfId="417" priority="421" operator="lessThan">
      <formula>0.8</formula>
    </cfRule>
  </conditionalFormatting>
  <conditionalFormatting sqref="Q84:Q91">
    <cfRule type="cellIs" dxfId="416" priority="412" operator="lessThan">
      <formula>0</formula>
    </cfRule>
  </conditionalFormatting>
  <conditionalFormatting sqref="R84:R91">
    <cfRule type="cellIs" dxfId="415" priority="416" operator="lessThan">
      <formula>0.8</formula>
    </cfRule>
    <cfRule type="cellIs" dxfId="414" priority="417" operator="greaterThan">
      <formula>1</formula>
    </cfRule>
  </conditionalFormatting>
  <conditionalFormatting sqref="R84:R91">
    <cfRule type="cellIs" dxfId="413" priority="414" operator="greaterThan">
      <formula>1</formula>
    </cfRule>
    <cfRule type="cellIs" dxfId="412" priority="415" operator="lessThan">
      <formula>0.8</formula>
    </cfRule>
  </conditionalFormatting>
  <conditionalFormatting sqref="P84:P91">
    <cfRule type="cellIs" dxfId="411" priority="413" operator="greaterThan">
      <formula>0</formula>
    </cfRule>
  </conditionalFormatting>
  <conditionalFormatting sqref="Q84:Q91">
    <cfRule type="cellIs" dxfId="410" priority="411" operator="lessThan">
      <formula>0</formula>
    </cfRule>
  </conditionalFormatting>
  <conditionalFormatting sqref="R84:R91">
    <cfRule type="cellIs" dxfId="409" priority="409" operator="lessThan">
      <formula>0.8</formula>
    </cfRule>
    <cfRule type="cellIs" dxfId="408" priority="410" operator="greaterThan">
      <formula>1</formula>
    </cfRule>
  </conditionalFormatting>
  <conditionalFormatting sqref="R84:R91">
    <cfRule type="cellIs" dxfId="407" priority="407" operator="greaterThan">
      <formula>1</formula>
    </cfRule>
    <cfRule type="cellIs" dxfId="406" priority="408" operator="lessThan">
      <formula>0.8</formula>
    </cfRule>
  </conditionalFormatting>
  <conditionalFormatting sqref="P84:P91">
    <cfRule type="cellIs" dxfId="405" priority="406" operator="greaterThan">
      <formula>0</formula>
    </cfRule>
  </conditionalFormatting>
  <conditionalFormatting sqref="Q84:Q91">
    <cfRule type="cellIs" dxfId="404" priority="405" operator="lessThan">
      <formula>0</formula>
    </cfRule>
  </conditionalFormatting>
  <conditionalFormatting sqref="R84:R91">
    <cfRule type="cellIs" dxfId="403" priority="403" operator="lessThan">
      <formula>0.8</formula>
    </cfRule>
    <cfRule type="cellIs" dxfId="402" priority="404" operator="greaterThan">
      <formula>1</formula>
    </cfRule>
  </conditionalFormatting>
  <conditionalFormatting sqref="R84:R91">
    <cfRule type="cellIs" dxfId="401" priority="401" operator="greaterThan">
      <formula>1</formula>
    </cfRule>
    <cfRule type="cellIs" dxfId="400" priority="402" operator="lessThan">
      <formula>0.8</formula>
    </cfRule>
  </conditionalFormatting>
  <conditionalFormatting sqref="P84:P91">
    <cfRule type="cellIs" dxfId="399" priority="400" operator="greaterThan">
      <formula>0</formula>
    </cfRule>
  </conditionalFormatting>
  <conditionalFormatting sqref="Q84:Q91">
    <cfRule type="cellIs" dxfId="398" priority="399" operator="lessThan">
      <formula>0</formula>
    </cfRule>
  </conditionalFormatting>
  <conditionalFormatting sqref="R84:R91">
    <cfRule type="cellIs" dxfId="397" priority="397" operator="lessThan">
      <formula>0.8</formula>
    </cfRule>
    <cfRule type="cellIs" dxfId="396" priority="398" operator="greaterThan">
      <formula>1</formula>
    </cfRule>
  </conditionalFormatting>
  <conditionalFormatting sqref="R84:R91">
    <cfRule type="cellIs" dxfId="395" priority="395" operator="greaterThan">
      <formula>1</formula>
    </cfRule>
    <cfRule type="cellIs" dxfId="394" priority="396" operator="lessThan">
      <formula>0.8</formula>
    </cfRule>
  </conditionalFormatting>
  <conditionalFormatting sqref="P84:P91">
    <cfRule type="cellIs" dxfId="393" priority="394" operator="greaterThan">
      <formula>0</formula>
    </cfRule>
  </conditionalFormatting>
  <conditionalFormatting sqref="Q84:Q91">
    <cfRule type="cellIs" dxfId="392" priority="393" operator="lessThan">
      <formula>0</formula>
    </cfRule>
  </conditionalFormatting>
  <conditionalFormatting sqref="R84:R91">
    <cfRule type="cellIs" dxfId="391" priority="391" operator="lessThan">
      <formula>0.8</formula>
    </cfRule>
    <cfRule type="cellIs" dxfId="390" priority="392" operator="greaterThan">
      <formula>1</formula>
    </cfRule>
  </conditionalFormatting>
  <conditionalFormatting sqref="R84:R91">
    <cfRule type="cellIs" dxfId="389" priority="389" operator="greaterThan">
      <formula>1</formula>
    </cfRule>
    <cfRule type="cellIs" dxfId="388" priority="390" operator="lessThan">
      <formula>0.8</formula>
    </cfRule>
  </conditionalFormatting>
  <conditionalFormatting sqref="P84:P91">
    <cfRule type="cellIs" dxfId="387" priority="388" operator="greaterThan">
      <formula>0</formula>
    </cfRule>
  </conditionalFormatting>
  <conditionalFormatting sqref="Q84:Q91">
    <cfRule type="cellIs" dxfId="386" priority="387" operator="lessThan">
      <formula>0</formula>
    </cfRule>
  </conditionalFormatting>
  <conditionalFormatting sqref="R84:R91">
    <cfRule type="cellIs" dxfId="385" priority="385" operator="lessThan">
      <formula>0.8</formula>
    </cfRule>
    <cfRule type="cellIs" dxfId="384" priority="386" operator="greaterThan">
      <formula>1</formula>
    </cfRule>
  </conditionalFormatting>
  <conditionalFormatting sqref="R84:R91">
    <cfRule type="cellIs" dxfId="383" priority="383" operator="greaterThan">
      <formula>1</formula>
    </cfRule>
    <cfRule type="cellIs" dxfId="382" priority="384" operator="lessThan">
      <formula>0.8</formula>
    </cfRule>
  </conditionalFormatting>
  <conditionalFormatting sqref="P84:P91">
    <cfRule type="cellIs" dxfId="381" priority="382" operator="greaterThan">
      <formula>0</formula>
    </cfRule>
  </conditionalFormatting>
  <conditionalFormatting sqref="Q84:Q91">
    <cfRule type="cellIs" dxfId="380" priority="381" operator="lessThan">
      <formula>0</formula>
    </cfRule>
  </conditionalFormatting>
  <conditionalFormatting sqref="R84:R91">
    <cfRule type="cellIs" dxfId="379" priority="379" operator="lessThan">
      <formula>0.8</formula>
    </cfRule>
    <cfRule type="cellIs" dxfId="378" priority="380" operator="greaterThan">
      <formula>1</formula>
    </cfRule>
  </conditionalFormatting>
  <conditionalFormatting sqref="R84:R91">
    <cfRule type="cellIs" dxfId="377" priority="377" operator="greaterThan">
      <formula>1</formula>
    </cfRule>
    <cfRule type="cellIs" dxfId="376" priority="378" operator="lessThan">
      <formula>0.8</formula>
    </cfRule>
  </conditionalFormatting>
  <conditionalFormatting sqref="P84:P91">
    <cfRule type="cellIs" dxfId="375" priority="376" operator="greaterThan">
      <formula>0</formula>
    </cfRule>
  </conditionalFormatting>
  <conditionalFormatting sqref="Q84:Q91">
    <cfRule type="cellIs" dxfId="374" priority="375" operator="lessThan">
      <formula>0</formula>
    </cfRule>
  </conditionalFormatting>
  <conditionalFormatting sqref="R84:R91">
    <cfRule type="cellIs" dxfId="373" priority="373" operator="lessThan">
      <formula>0.8</formula>
    </cfRule>
    <cfRule type="cellIs" dxfId="372" priority="374" operator="greaterThan">
      <formula>1</formula>
    </cfRule>
  </conditionalFormatting>
  <conditionalFormatting sqref="R84:R91">
    <cfRule type="cellIs" dxfId="371" priority="371" operator="greaterThan">
      <formula>1</formula>
    </cfRule>
    <cfRule type="cellIs" dxfId="370" priority="372" operator="lessThan">
      <formula>0.8</formula>
    </cfRule>
  </conditionalFormatting>
  <conditionalFormatting sqref="P84:P91">
    <cfRule type="cellIs" dxfId="369" priority="370" operator="greaterThan">
      <formula>0</formula>
    </cfRule>
  </conditionalFormatting>
  <conditionalFormatting sqref="P84:P91">
    <cfRule type="cellIs" dxfId="368" priority="364" operator="greaterThan">
      <formula>0</formula>
    </cfRule>
  </conditionalFormatting>
  <conditionalFormatting sqref="Q84:Q91">
    <cfRule type="cellIs" dxfId="367" priority="369" operator="lessThan">
      <formula>0</formula>
    </cfRule>
  </conditionalFormatting>
  <conditionalFormatting sqref="R84:R91">
    <cfRule type="cellIs" dxfId="366" priority="367" operator="lessThan">
      <formula>0.8</formula>
    </cfRule>
    <cfRule type="cellIs" dxfId="365" priority="368" operator="greaterThan">
      <formula>1</formula>
    </cfRule>
  </conditionalFormatting>
  <conditionalFormatting sqref="R84:R91">
    <cfRule type="cellIs" dxfId="364" priority="365" operator="greaterThan">
      <formula>1</formula>
    </cfRule>
    <cfRule type="cellIs" dxfId="363" priority="366" operator="lessThan">
      <formula>0.8</formula>
    </cfRule>
  </conditionalFormatting>
  <conditionalFormatting sqref="P84:P91">
    <cfRule type="cellIs" dxfId="362" priority="358" operator="greaterThan">
      <formula>0</formula>
    </cfRule>
  </conditionalFormatting>
  <conditionalFormatting sqref="Q84:Q91">
    <cfRule type="cellIs" dxfId="361" priority="363" operator="lessThan">
      <formula>0</formula>
    </cfRule>
  </conditionalFormatting>
  <conditionalFormatting sqref="R84:R91">
    <cfRule type="cellIs" dxfId="360" priority="361" operator="lessThan">
      <formula>0.8</formula>
    </cfRule>
    <cfRule type="cellIs" dxfId="359" priority="362" operator="greaterThan">
      <formula>1</formula>
    </cfRule>
  </conditionalFormatting>
  <conditionalFormatting sqref="R84:R91">
    <cfRule type="cellIs" dxfId="358" priority="359" operator="greaterThan">
      <formula>1</formula>
    </cfRule>
    <cfRule type="cellIs" dxfId="357" priority="360" operator="lessThan">
      <formula>0.8</formula>
    </cfRule>
  </conditionalFormatting>
  <conditionalFormatting sqref="R84:R91">
    <cfRule type="cellIs" dxfId="356" priority="355" operator="lessThan">
      <formula>0.8</formula>
    </cfRule>
    <cfRule type="cellIs" dxfId="355" priority="356" operator="greaterThan">
      <formula>1</formula>
    </cfRule>
  </conditionalFormatting>
  <conditionalFormatting sqref="R84:R91">
    <cfRule type="cellIs" dxfId="354" priority="353" operator="greaterThan">
      <formula>1</formula>
    </cfRule>
    <cfRule type="cellIs" dxfId="353" priority="354" operator="lessThan">
      <formula>0.8</formula>
    </cfRule>
  </conditionalFormatting>
  <conditionalFormatting sqref="P84:P91">
    <cfRule type="cellIs" dxfId="352" priority="352" operator="greaterThan">
      <formula>0</formula>
    </cfRule>
  </conditionalFormatting>
  <conditionalFormatting sqref="Q84:Q91">
    <cfRule type="cellIs" dxfId="351" priority="357" operator="lessThan">
      <formula>0</formula>
    </cfRule>
  </conditionalFormatting>
  <conditionalFormatting sqref="Q84:Q91">
    <cfRule type="cellIs" dxfId="350" priority="351" operator="lessThan">
      <formula>0</formula>
    </cfRule>
  </conditionalFormatting>
  <conditionalFormatting sqref="R84:R91">
    <cfRule type="cellIs" dxfId="349" priority="349" operator="lessThan">
      <formula>0.8</formula>
    </cfRule>
    <cfRule type="cellIs" dxfId="348" priority="350" operator="greaterThan">
      <formula>1</formula>
    </cfRule>
  </conditionalFormatting>
  <conditionalFormatting sqref="R84:R91">
    <cfRule type="cellIs" dxfId="347" priority="347" operator="greaterThan">
      <formula>1</formula>
    </cfRule>
    <cfRule type="cellIs" dxfId="346" priority="348" operator="lessThan">
      <formula>0.8</formula>
    </cfRule>
  </conditionalFormatting>
  <conditionalFormatting sqref="P84:P91">
    <cfRule type="cellIs" dxfId="345" priority="346" operator="greaterThan">
      <formula>0</formula>
    </cfRule>
  </conditionalFormatting>
  <conditionalFormatting sqref="P84:P91">
    <cfRule type="cellIs" dxfId="344" priority="340" operator="greaterThan">
      <formula>0</formula>
    </cfRule>
  </conditionalFormatting>
  <conditionalFormatting sqref="Q84:Q91">
    <cfRule type="cellIs" dxfId="343" priority="345" operator="lessThan">
      <formula>0</formula>
    </cfRule>
  </conditionalFormatting>
  <conditionalFormatting sqref="R84:R91">
    <cfRule type="cellIs" dxfId="342" priority="343" operator="lessThan">
      <formula>0.8</formula>
    </cfRule>
    <cfRule type="cellIs" dxfId="341" priority="344" operator="greaterThan">
      <formula>1</formula>
    </cfRule>
  </conditionalFormatting>
  <conditionalFormatting sqref="R84:R91">
    <cfRule type="cellIs" dxfId="340" priority="341" operator="greaterThan">
      <formula>1</formula>
    </cfRule>
    <cfRule type="cellIs" dxfId="339" priority="342" operator="lessThan">
      <formula>0.8</formula>
    </cfRule>
  </conditionalFormatting>
  <conditionalFormatting sqref="P84:P91">
    <cfRule type="cellIs" dxfId="338" priority="334" operator="greaterThan">
      <formula>0</formula>
    </cfRule>
  </conditionalFormatting>
  <conditionalFormatting sqref="Q84:Q91">
    <cfRule type="cellIs" dxfId="337" priority="339" operator="lessThan">
      <formula>0</formula>
    </cfRule>
  </conditionalFormatting>
  <conditionalFormatting sqref="R84:R91">
    <cfRule type="cellIs" dxfId="336" priority="337" operator="lessThan">
      <formula>0.8</formula>
    </cfRule>
    <cfRule type="cellIs" dxfId="335" priority="338" operator="greaterThan">
      <formula>1</formula>
    </cfRule>
  </conditionalFormatting>
  <conditionalFormatting sqref="R84:R91">
    <cfRule type="cellIs" dxfId="334" priority="335" operator="greaterThan">
      <formula>1</formula>
    </cfRule>
    <cfRule type="cellIs" dxfId="333" priority="336" operator="lessThan">
      <formula>0.8</formula>
    </cfRule>
  </conditionalFormatting>
  <conditionalFormatting sqref="R84:R91">
    <cfRule type="cellIs" dxfId="332" priority="331" operator="lessThan">
      <formula>0.8</formula>
    </cfRule>
    <cfRule type="cellIs" dxfId="331" priority="332" operator="greaterThan">
      <formula>1</formula>
    </cfRule>
  </conditionalFormatting>
  <conditionalFormatting sqref="R84:R91">
    <cfRule type="cellIs" dxfId="330" priority="329" operator="greaterThan">
      <formula>1</formula>
    </cfRule>
    <cfRule type="cellIs" dxfId="329" priority="330" operator="lessThan">
      <formula>0.8</formula>
    </cfRule>
  </conditionalFormatting>
  <conditionalFormatting sqref="P84:P91">
    <cfRule type="cellIs" dxfId="328" priority="328" operator="greaterThan">
      <formula>0</formula>
    </cfRule>
  </conditionalFormatting>
  <conditionalFormatting sqref="Q84:Q91">
    <cfRule type="cellIs" dxfId="327" priority="333" operator="lessThan">
      <formula>0</formula>
    </cfRule>
  </conditionalFormatting>
  <conditionalFormatting sqref="P84:P91">
    <cfRule type="cellIs" dxfId="326" priority="322" operator="greaterThan">
      <formula>0</formula>
    </cfRule>
  </conditionalFormatting>
  <conditionalFormatting sqref="Q84:Q91">
    <cfRule type="cellIs" dxfId="325" priority="327" operator="lessThan">
      <formula>0</formula>
    </cfRule>
  </conditionalFormatting>
  <conditionalFormatting sqref="R84:R91">
    <cfRule type="cellIs" dxfId="324" priority="325" operator="lessThan">
      <formula>0.8</formula>
    </cfRule>
    <cfRule type="cellIs" dxfId="323" priority="326" operator="greaterThan">
      <formula>1</formula>
    </cfRule>
  </conditionalFormatting>
  <conditionalFormatting sqref="R84:R91">
    <cfRule type="cellIs" dxfId="322" priority="323" operator="greaterThan">
      <formula>1</formula>
    </cfRule>
    <cfRule type="cellIs" dxfId="321" priority="324" operator="lessThan">
      <formula>0.8</formula>
    </cfRule>
  </conditionalFormatting>
  <conditionalFormatting sqref="R84:R91">
    <cfRule type="cellIs" dxfId="320" priority="319" operator="lessThan">
      <formula>0.8</formula>
    </cfRule>
    <cfRule type="cellIs" dxfId="319" priority="320" operator="greaterThan">
      <formula>1</formula>
    </cfRule>
  </conditionalFormatting>
  <conditionalFormatting sqref="R84:R91">
    <cfRule type="cellIs" dxfId="318" priority="317" operator="greaterThan">
      <formula>1</formula>
    </cfRule>
    <cfRule type="cellIs" dxfId="317" priority="318" operator="lessThan">
      <formula>0.8</formula>
    </cfRule>
  </conditionalFormatting>
  <conditionalFormatting sqref="P84:P91">
    <cfRule type="cellIs" dxfId="316" priority="316" operator="greaterThan">
      <formula>0</formula>
    </cfRule>
  </conditionalFormatting>
  <conditionalFormatting sqref="Q84:Q91">
    <cfRule type="cellIs" dxfId="315" priority="321" operator="lessThan">
      <formula>0</formula>
    </cfRule>
  </conditionalFormatting>
  <conditionalFormatting sqref="R84:R91">
    <cfRule type="cellIs" dxfId="314" priority="313" operator="lessThan">
      <formula>0.8</formula>
    </cfRule>
    <cfRule type="cellIs" dxfId="313" priority="314" operator="greaterThan">
      <formula>1</formula>
    </cfRule>
  </conditionalFormatting>
  <conditionalFormatting sqref="R84:R91">
    <cfRule type="cellIs" dxfId="312" priority="311" operator="greaterThan">
      <formula>1</formula>
    </cfRule>
    <cfRule type="cellIs" dxfId="311" priority="312" operator="lessThan">
      <formula>0.8</formula>
    </cfRule>
  </conditionalFormatting>
  <conditionalFormatting sqref="P84:P91">
    <cfRule type="cellIs" dxfId="310" priority="310" operator="greaterThan">
      <formula>0</formula>
    </cfRule>
  </conditionalFormatting>
  <conditionalFormatting sqref="Q84:Q91">
    <cfRule type="cellIs" dxfId="309" priority="315" operator="lessThan">
      <formula>0</formula>
    </cfRule>
  </conditionalFormatting>
  <conditionalFormatting sqref="Q84:Q91">
    <cfRule type="cellIs" dxfId="308" priority="309" operator="lessThan">
      <formula>0</formula>
    </cfRule>
  </conditionalFormatting>
  <conditionalFormatting sqref="R84:R91">
    <cfRule type="cellIs" dxfId="307" priority="307" operator="lessThan">
      <formula>0.8</formula>
    </cfRule>
    <cfRule type="cellIs" dxfId="306" priority="308" operator="greaterThan">
      <formula>1</formula>
    </cfRule>
  </conditionalFormatting>
  <conditionalFormatting sqref="R84:R91">
    <cfRule type="cellIs" dxfId="305" priority="305" operator="greaterThan">
      <formula>1</formula>
    </cfRule>
    <cfRule type="cellIs" dxfId="304" priority="306" operator="lessThan">
      <formula>0.8</formula>
    </cfRule>
  </conditionalFormatting>
  <conditionalFormatting sqref="P84:P91">
    <cfRule type="cellIs" dxfId="303" priority="304" operator="greaterThan">
      <formula>0</formula>
    </cfRule>
  </conditionalFormatting>
  <conditionalFormatting sqref="Q84:Q91">
    <cfRule type="cellIs" dxfId="302" priority="298" operator="lessThan">
      <formula>0</formula>
    </cfRule>
  </conditionalFormatting>
  <conditionalFormatting sqref="R84:R91">
    <cfRule type="cellIs" dxfId="301" priority="302" operator="lessThan">
      <formula>0.8</formula>
    </cfRule>
    <cfRule type="cellIs" dxfId="300" priority="303" operator="greaterThan">
      <formula>1</formula>
    </cfRule>
  </conditionalFormatting>
  <conditionalFormatting sqref="R84:R91">
    <cfRule type="cellIs" dxfId="299" priority="300" operator="greaterThan">
      <formula>1</formula>
    </cfRule>
    <cfRule type="cellIs" dxfId="298" priority="301" operator="lessThan">
      <formula>0.8</formula>
    </cfRule>
  </conditionalFormatting>
  <conditionalFormatting sqref="P84:P91">
    <cfRule type="cellIs" dxfId="297" priority="299" operator="greaterThan">
      <formula>0</formula>
    </cfRule>
  </conditionalFormatting>
  <conditionalFormatting sqref="Q84:Q91">
    <cfRule type="cellIs" dxfId="296" priority="297" operator="lessThan">
      <formula>0</formula>
    </cfRule>
  </conditionalFormatting>
  <conditionalFormatting sqref="R84:R91">
    <cfRule type="cellIs" dxfId="295" priority="295" operator="lessThan">
      <formula>0.8</formula>
    </cfRule>
    <cfRule type="cellIs" dxfId="294" priority="296" operator="greaterThan">
      <formula>1</formula>
    </cfRule>
  </conditionalFormatting>
  <conditionalFormatting sqref="R84:R91">
    <cfRule type="cellIs" dxfId="293" priority="293" operator="greaterThan">
      <formula>1</formula>
    </cfRule>
    <cfRule type="cellIs" dxfId="292" priority="294" operator="lessThan">
      <formula>0.8</formula>
    </cfRule>
  </conditionalFormatting>
  <conditionalFormatting sqref="P84:P91">
    <cfRule type="cellIs" dxfId="291" priority="292" operator="greaterThan">
      <formula>0</formula>
    </cfRule>
  </conditionalFormatting>
  <conditionalFormatting sqref="Q84:Q91">
    <cfRule type="cellIs" dxfId="290" priority="291" operator="lessThan">
      <formula>0</formula>
    </cfRule>
  </conditionalFormatting>
  <conditionalFormatting sqref="R84:R91">
    <cfRule type="cellIs" dxfId="289" priority="289" operator="lessThan">
      <formula>0.8</formula>
    </cfRule>
    <cfRule type="cellIs" dxfId="288" priority="290" operator="greaterThan">
      <formula>1</formula>
    </cfRule>
  </conditionalFormatting>
  <conditionalFormatting sqref="R84:R91">
    <cfRule type="cellIs" dxfId="287" priority="287" operator="greaterThan">
      <formula>1</formula>
    </cfRule>
    <cfRule type="cellIs" dxfId="286" priority="288" operator="lessThan">
      <formula>0.8</formula>
    </cfRule>
  </conditionalFormatting>
  <conditionalFormatting sqref="P84:P91">
    <cfRule type="cellIs" dxfId="285" priority="286" operator="greaterThan">
      <formula>0</formula>
    </cfRule>
  </conditionalFormatting>
  <conditionalFormatting sqref="Q84:Q91">
    <cfRule type="cellIs" dxfId="284" priority="285" operator="lessThan">
      <formula>0</formula>
    </cfRule>
  </conditionalFormatting>
  <conditionalFormatting sqref="R84:R91">
    <cfRule type="cellIs" dxfId="283" priority="283" operator="lessThan">
      <formula>0.8</formula>
    </cfRule>
    <cfRule type="cellIs" dxfId="282" priority="284" operator="greaterThan">
      <formula>1</formula>
    </cfRule>
  </conditionalFormatting>
  <conditionalFormatting sqref="R84:R91">
    <cfRule type="cellIs" dxfId="281" priority="281" operator="greaterThan">
      <formula>1</formula>
    </cfRule>
    <cfRule type="cellIs" dxfId="280" priority="282" operator="lessThan">
      <formula>0.8</formula>
    </cfRule>
  </conditionalFormatting>
  <conditionalFormatting sqref="P84:P91">
    <cfRule type="cellIs" dxfId="279" priority="280" operator="greaterThan">
      <formula>0</formula>
    </cfRule>
  </conditionalFormatting>
  <conditionalFormatting sqref="Q84:Q91">
    <cfRule type="cellIs" dxfId="278" priority="279" operator="lessThan">
      <formula>0</formula>
    </cfRule>
  </conditionalFormatting>
  <conditionalFormatting sqref="R84:R91">
    <cfRule type="cellIs" dxfId="277" priority="277" operator="lessThan">
      <formula>0.8</formula>
    </cfRule>
    <cfRule type="cellIs" dxfId="276" priority="278" operator="greaterThan">
      <formula>1</formula>
    </cfRule>
  </conditionalFormatting>
  <conditionalFormatting sqref="R84:R91">
    <cfRule type="cellIs" dxfId="275" priority="275" operator="greaterThan">
      <formula>1</formula>
    </cfRule>
    <cfRule type="cellIs" dxfId="274" priority="276" operator="lessThan">
      <formula>0.8</formula>
    </cfRule>
  </conditionalFormatting>
  <conditionalFormatting sqref="P84:P91">
    <cfRule type="cellIs" dxfId="273" priority="274" operator="greaterThan">
      <formula>0</formula>
    </cfRule>
  </conditionalFormatting>
  <conditionalFormatting sqref="Q84:Q91">
    <cfRule type="cellIs" dxfId="272" priority="273" operator="lessThan">
      <formula>0</formula>
    </cfRule>
  </conditionalFormatting>
  <conditionalFormatting sqref="R84:R91">
    <cfRule type="cellIs" dxfId="271" priority="271" operator="lessThan">
      <formula>0.8</formula>
    </cfRule>
    <cfRule type="cellIs" dxfId="270" priority="272" operator="greaterThan">
      <formula>1</formula>
    </cfRule>
  </conditionalFormatting>
  <conditionalFormatting sqref="R84:R91">
    <cfRule type="cellIs" dxfId="269" priority="269" operator="greaterThan">
      <formula>1</formula>
    </cfRule>
    <cfRule type="cellIs" dxfId="268" priority="270" operator="lessThan">
      <formula>0.8</formula>
    </cfRule>
  </conditionalFormatting>
  <conditionalFormatting sqref="P84:P91">
    <cfRule type="cellIs" dxfId="267" priority="268" operator="greaterThan">
      <formula>0</formula>
    </cfRule>
  </conditionalFormatting>
  <conditionalFormatting sqref="P84:P91">
    <cfRule type="cellIs" dxfId="266" priority="262" operator="greaterThan">
      <formula>0</formula>
    </cfRule>
  </conditionalFormatting>
  <conditionalFormatting sqref="Q84:Q91">
    <cfRule type="cellIs" dxfId="265" priority="267" operator="lessThan">
      <formula>0</formula>
    </cfRule>
  </conditionalFormatting>
  <conditionalFormatting sqref="R84:R91">
    <cfRule type="cellIs" dxfId="264" priority="265" operator="lessThan">
      <formula>0.8</formula>
    </cfRule>
    <cfRule type="cellIs" dxfId="263" priority="266" operator="greaterThan">
      <formula>1</formula>
    </cfRule>
  </conditionalFormatting>
  <conditionalFormatting sqref="R84:R91">
    <cfRule type="cellIs" dxfId="262" priority="263" operator="greaterThan">
      <formula>1</formula>
    </cfRule>
    <cfRule type="cellIs" dxfId="261" priority="264" operator="lessThan">
      <formula>0.8</formula>
    </cfRule>
  </conditionalFormatting>
  <conditionalFormatting sqref="P84:P91">
    <cfRule type="cellIs" dxfId="260" priority="256" operator="greaterThan">
      <formula>0</formula>
    </cfRule>
  </conditionalFormatting>
  <conditionalFormatting sqref="Q84:Q91">
    <cfRule type="cellIs" dxfId="259" priority="261" operator="lessThan">
      <formula>0</formula>
    </cfRule>
  </conditionalFormatting>
  <conditionalFormatting sqref="R84:R91">
    <cfRule type="cellIs" dxfId="258" priority="259" operator="lessThan">
      <formula>0.8</formula>
    </cfRule>
    <cfRule type="cellIs" dxfId="257" priority="260" operator="greaterThan">
      <formula>1</formula>
    </cfRule>
  </conditionalFormatting>
  <conditionalFormatting sqref="R84:R91">
    <cfRule type="cellIs" dxfId="256" priority="257" operator="greaterThan">
      <formula>1</formula>
    </cfRule>
    <cfRule type="cellIs" dxfId="255" priority="258" operator="lessThan">
      <formula>0.8</formula>
    </cfRule>
  </conditionalFormatting>
  <conditionalFormatting sqref="R84:R91">
    <cfRule type="cellIs" dxfId="254" priority="253" operator="lessThan">
      <formula>0.8</formula>
    </cfRule>
    <cfRule type="cellIs" dxfId="253" priority="254" operator="greaterThan">
      <formula>1</formula>
    </cfRule>
  </conditionalFormatting>
  <conditionalFormatting sqref="R84:R91">
    <cfRule type="cellIs" dxfId="252" priority="251" operator="greaterThan">
      <formula>1</formula>
    </cfRule>
    <cfRule type="cellIs" dxfId="251" priority="252" operator="lessThan">
      <formula>0.8</formula>
    </cfRule>
  </conditionalFormatting>
  <conditionalFormatting sqref="P84:P91">
    <cfRule type="cellIs" dxfId="250" priority="250" operator="greaterThan">
      <formula>0</formula>
    </cfRule>
  </conditionalFormatting>
  <conditionalFormatting sqref="Q84:Q91">
    <cfRule type="cellIs" dxfId="249" priority="255" operator="lessThan">
      <formula>0</formula>
    </cfRule>
  </conditionalFormatting>
  <conditionalFormatting sqref="Q84:Q91">
    <cfRule type="cellIs" dxfId="248" priority="249" operator="lessThan">
      <formula>0</formula>
    </cfRule>
  </conditionalFormatting>
  <conditionalFormatting sqref="R84:R91">
    <cfRule type="cellIs" dxfId="247" priority="247" operator="lessThan">
      <formula>0.8</formula>
    </cfRule>
    <cfRule type="cellIs" dxfId="246" priority="248" operator="greaterThan">
      <formula>1</formula>
    </cfRule>
  </conditionalFormatting>
  <conditionalFormatting sqref="R84:R91">
    <cfRule type="cellIs" dxfId="245" priority="245" operator="greaterThan">
      <formula>1</formula>
    </cfRule>
    <cfRule type="cellIs" dxfId="244" priority="246" operator="lessThan">
      <formula>0.8</formula>
    </cfRule>
  </conditionalFormatting>
  <conditionalFormatting sqref="P84:P91">
    <cfRule type="cellIs" dxfId="243" priority="244" operator="greaterThan">
      <formula>0</formula>
    </cfRule>
  </conditionalFormatting>
  <conditionalFormatting sqref="Q84:Q91">
    <cfRule type="cellIs" dxfId="242" priority="243" operator="lessThan">
      <formula>0</formula>
    </cfRule>
  </conditionalFormatting>
  <conditionalFormatting sqref="R84:R91">
    <cfRule type="cellIs" dxfId="241" priority="241" operator="lessThan">
      <formula>0.8</formula>
    </cfRule>
    <cfRule type="cellIs" dxfId="240" priority="242" operator="greaterThan">
      <formula>1</formula>
    </cfRule>
  </conditionalFormatting>
  <conditionalFormatting sqref="R84:R91">
    <cfRule type="cellIs" dxfId="239" priority="239" operator="greaterThan">
      <formula>1</formula>
    </cfRule>
    <cfRule type="cellIs" dxfId="238" priority="240" operator="lessThan">
      <formula>0.8</formula>
    </cfRule>
  </conditionalFormatting>
  <conditionalFormatting sqref="P84:P91">
    <cfRule type="cellIs" dxfId="237" priority="238" operator="greaterThan">
      <formula>0</formula>
    </cfRule>
  </conditionalFormatting>
  <conditionalFormatting sqref="Q84:Q91">
    <cfRule type="cellIs" dxfId="236" priority="237" operator="lessThan">
      <formula>0</formula>
    </cfRule>
  </conditionalFormatting>
  <conditionalFormatting sqref="R84:R91">
    <cfRule type="cellIs" dxfId="235" priority="235" operator="lessThan">
      <formula>0.8</formula>
    </cfRule>
    <cfRule type="cellIs" dxfId="234" priority="236" operator="greaterThan">
      <formula>1</formula>
    </cfRule>
  </conditionalFormatting>
  <conditionalFormatting sqref="R84:R91">
    <cfRule type="cellIs" dxfId="233" priority="233" operator="greaterThan">
      <formula>1</formula>
    </cfRule>
    <cfRule type="cellIs" dxfId="232" priority="234" operator="lessThan">
      <formula>0.8</formula>
    </cfRule>
  </conditionalFormatting>
  <conditionalFormatting sqref="P84:P91">
    <cfRule type="cellIs" dxfId="231" priority="232" operator="greaterThan">
      <formula>0</formula>
    </cfRule>
  </conditionalFormatting>
  <conditionalFormatting sqref="Q84:Q91">
    <cfRule type="cellIs" dxfId="230" priority="231" operator="lessThan">
      <formula>0</formula>
    </cfRule>
  </conditionalFormatting>
  <conditionalFormatting sqref="R84:R91">
    <cfRule type="cellIs" dxfId="229" priority="229" operator="lessThan">
      <formula>0.8</formula>
    </cfRule>
    <cfRule type="cellIs" dxfId="228" priority="230" operator="greaterThan">
      <formula>1</formula>
    </cfRule>
  </conditionalFormatting>
  <conditionalFormatting sqref="R84:R91">
    <cfRule type="cellIs" dxfId="227" priority="227" operator="greaterThan">
      <formula>1</formula>
    </cfRule>
    <cfRule type="cellIs" dxfId="226" priority="228" operator="lessThan">
      <formula>0.8</formula>
    </cfRule>
  </conditionalFormatting>
  <conditionalFormatting sqref="P84:P91">
    <cfRule type="cellIs" dxfId="225" priority="226" operator="greaterThan">
      <formula>0</formula>
    </cfRule>
  </conditionalFormatting>
  <conditionalFormatting sqref="P84:P91">
    <cfRule type="cellIs" dxfId="224" priority="220" operator="greaterThan">
      <formula>0</formula>
    </cfRule>
  </conditionalFormatting>
  <conditionalFormatting sqref="Q84:Q91">
    <cfRule type="cellIs" dxfId="223" priority="225" operator="lessThan">
      <formula>0</formula>
    </cfRule>
  </conditionalFormatting>
  <conditionalFormatting sqref="R84:R91">
    <cfRule type="cellIs" dxfId="222" priority="223" operator="lessThan">
      <formula>0.8</formula>
    </cfRule>
    <cfRule type="cellIs" dxfId="221" priority="224" operator="greaterThan">
      <formula>1</formula>
    </cfRule>
  </conditionalFormatting>
  <conditionalFormatting sqref="R84:R91">
    <cfRule type="cellIs" dxfId="220" priority="221" operator="greaterThan">
      <formula>1</formula>
    </cfRule>
    <cfRule type="cellIs" dxfId="219" priority="222" operator="lessThan">
      <formula>0.8</formula>
    </cfRule>
  </conditionalFormatting>
  <conditionalFormatting sqref="P84:P91">
    <cfRule type="cellIs" dxfId="218" priority="214" operator="greaterThan">
      <formula>0</formula>
    </cfRule>
  </conditionalFormatting>
  <conditionalFormatting sqref="Q84:Q91">
    <cfRule type="cellIs" dxfId="217" priority="219" operator="lessThan">
      <formula>0</formula>
    </cfRule>
  </conditionalFormatting>
  <conditionalFormatting sqref="R84:R91">
    <cfRule type="cellIs" dxfId="216" priority="217" operator="lessThan">
      <formula>0.8</formula>
    </cfRule>
    <cfRule type="cellIs" dxfId="215" priority="218" operator="greaterThan">
      <formula>1</formula>
    </cfRule>
  </conditionalFormatting>
  <conditionalFormatting sqref="R84:R91">
    <cfRule type="cellIs" dxfId="214" priority="215" operator="greaterThan">
      <formula>1</formula>
    </cfRule>
    <cfRule type="cellIs" dxfId="213" priority="216" operator="lessThan">
      <formula>0.8</formula>
    </cfRule>
  </conditionalFormatting>
  <conditionalFormatting sqref="R84:R91">
    <cfRule type="cellIs" dxfId="212" priority="211" operator="lessThan">
      <formula>0.8</formula>
    </cfRule>
    <cfRule type="cellIs" dxfId="211" priority="212" operator="greaterThan">
      <formula>1</formula>
    </cfRule>
  </conditionalFormatting>
  <conditionalFormatting sqref="R84:R91">
    <cfRule type="cellIs" dxfId="210" priority="209" operator="greaterThan">
      <formula>1</formula>
    </cfRule>
    <cfRule type="cellIs" dxfId="209" priority="210" operator="lessThan">
      <formula>0.8</formula>
    </cfRule>
  </conditionalFormatting>
  <conditionalFormatting sqref="P84:P91">
    <cfRule type="cellIs" dxfId="208" priority="208" operator="greaterThan">
      <formula>0</formula>
    </cfRule>
  </conditionalFormatting>
  <conditionalFormatting sqref="Q84:Q91">
    <cfRule type="cellIs" dxfId="207" priority="213" operator="lessThan">
      <formula>0</formula>
    </cfRule>
  </conditionalFormatting>
  <conditionalFormatting sqref="Q84:Q91">
    <cfRule type="cellIs" dxfId="206" priority="207" operator="lessThan">
      <formula>0</formula>
    </cfRule>
  </conditionalFormatting>
  <conditionalFormatting sqref="R84:R91">
    <cfRule type="cellIs" dxfId="205" priority="205" operator="lessThan">
      <formula>0.8</formula>
    </cfRule>
    <cfRule type="cellIs" dxfId="204" priority="206" operator="greaterThan">
      <formula>1</formula>
    </cfRule>
  </conditionalFormatting>
  <conditionalFormatting sqref="R84:R91">
    <cfRule type="cellIs" dxfId="203" priority="203" operator="greaterThan">
      <formula>1</formula>
    </cfRule>
    <cfRule type="cellIs" dxfId="202" priority="204" operator="lessThan">
      <formula>0.8</formula>
    </cfRule>
  </conditionalFormatting>
  <conditionalFormatting sqref="P84:P91">
    <cfRule type="cellIs" dxfId="201" priority="202" operator="greaterThan">
      <formula>0</formula>
    </cfRule>
  </conditionalFormatting>
  <conditionalFormatting sqref="P84:P91">
    <cfRule type="cellIs" dxfId="200" priority="196" operator="greaterThan">
      <formula>0</formula>
    </cfRule>
  </conditionalFormatting>
  <conditionalFormatting sqref="Q84:Q91">
    <cfRule type="cellIs" dxfId="199" priority="201" operator="lessThan">
      <formula>0</formula>
    </cfRule>
  </conditionalFormatting>
  <conditionalFormatting sqref="R84:R91">
    <cfRule type="cellIs" dxfId="198" priority="199" operator="lessThan">
      <formula>0.8</formula>
    </cfRule>
    <cfRule type="cellIs" dxfId="197" priority="200" operator="greaterThan">
      <formula>1</formula>
    </cfRule>
  </conditionalFormatting>
  <conditionalFormatting sqref="R84:R91">
    <cfRule type="cellIs" dxfId="196" priority="197" operator="greaterThan">
      <formula>1</formula>
    </cfRule>
    <cfRule type="cellIs" dxfId="195" priority="198" operator="lessThan">
      <formula>0.8</formula>
    </cfRule>
  </conditionalFormatting>
  <conditionalFormatting sqref="P84:P91">
    <cfRule type="cellIs" dxfId="194" priority="190" operator="greaterThan">
      <formula>0</formula>
    </cfRule>
  </conditionalFormatting>
  <conditionalFormatting sqref="Q84:Q91">
    <cfRule type="cellIs" dxfId="193" priority="195" operator="lessThan">
      <formula>0</formula>
    </cfRule>
  </conditionalFormatting>
  <conditionalFormatting sqref="R84:R91">
    <cfRule type="cellIs" dxfId="192" priority="193" operator="lessThan">
      <formula>0.8</formula>
    </cfRule>
    <cfRule type="cellIs" dxfId="191" priority="194" operator="greaterThan">
      <formula>1</formula>
    </cfRule>
  </conditionalFormatting>
  <conditionalFormatting sqref="R84:R91">
    <cfRule type="cellIs" dxfId="190" priority="191" operator="greaterThan">
      <formula>1</formula>
    </cfRule>
    <cfRule type="cellIs" dxfId="189" priority="192" operator="lessThan">
      <formula>0.8</formula>
    </cfRule>
  </conditionalFormatting>
  <conditionalFormatting sqref="R84:R91">
    <cfRule type="cellIs" dxfId="188" priority="187" operator="lessThan">
      <formula>0.8</formula>
    </cfRule>
    <cfRule type="cellIs" dxfId="187" priority="188" operator="greaterThan">
      <formula>1</formula>
    </cfRule>
  </conditionalFormatting>
  <conditionalFormatting sqref="R84:R91">
    <cfRule type="cellIs" dxfId="186" priority="185" operator="greaterThan">
      <formula>1</formula>
    </cfRule>
    <cfRule type="cellIs" dxfId="185" priority="186" operator="lessThan">
      <formula>0.8</formula>
    </cfRule>
  </conditionalFormatting>
  <conditionalFormatting sqref="P84:P91">
    <cfRule type="cellIs" dxfId="184" priority="184" operator="greaterThan">
      <formula>0</formula>
    </cfRule>
  </conditionalFormatting>
  <conditionalFormatting sqref="Q84:Q91">
    <cfRule type="cellIs" dxfId="183" priority="189" operator="lessThan">
      <formula>0</formula>
    </cfRule>
  </conditionalFormatting>
  <conditionalFormatting sqref="P84:P91">
    <cfRule type="cellIs" dxfId="182" priority="178" operator="greaterThan">
      <formula>0</formula>
    </cfRule>
  </conditionalFormatting>
  <conditionalFormatting sqref="Q84:Q91">
    <cfRule type="cellIs" dxfId="181" priority="183" operator="lessThan">
      <formula>0</formula>
    </cfRule>
  </conditionalFormatting>
  <conditionalFormatting sqref="R84:R91">
    <cfRule type="cellIs" dxfId="180" priority="181" operator="lessThan">
      <formula>0.8</formula>
    </cfRule>
    <cfRule type="cellIs" dxfId="179" priority="182" operator="greaterThan">
      <formula>1</formula>
    </cfRule>
  </conditionalFormatting>
  <conditionalFormatting sqref="R84:R91">
    <cfRule type="cellIs" dxfId="178" priority="179" operator="greaterThan">
      <formula>1</formula>
    </cfRule>
    <cfRule type="cellIs" dxfId="177" priority="180" operator="lessThan">
      <formula>0.8</formula>
    </cfRule>
  </conditionalFormatting>
  <conditionalFormatting sqref="R84:R91">
    <cfRule type="cellIs" dxfId="176" priority="175" operator="lessThan">
      <formula>0.8</formula>
    </cfRule>
    <cfRule type="cellIs" dxfId="175" priority="176" operator="greaterThan">
      <formula>1</formula>
    </cfRule>
  </conditionalFormatting>
  <conditionalFormatting sqref="R84:R91">
    <cfRule type="cellIs" dxfId="174" priority="173" operator="greaterThan">
      <formula>1</formula>
    </cfRule>
    <cfRule type="cellIs" dxfId="173" priority="174" operator="lessThan">
      <formula>0.8</formula>
    </cfRule>
  </conditionalFormatting>
  <conditionalFormatting sqref="P84:P91">
    <cfRule type="cellIs" dxfId="172" priority="172" operator="greaterThan">
      <formula>0</formula>
    </cfRule>
  </conditionalFormatting>
  <conditionalFormatting sqref="Q84:Q91">
    <cfRule type="cellIs" dxfId="171" priority="177" operator="lessThan">
      <formula>0</formula>
    </cfRule>
  </conditionalFormatting>
  <conditionalFormatting sqref="R84:R91">
    <cfRule type="cellIs" dxfId="170" priority="169" operator="lessThan">
      <formula>0.8</formula>
    </cfRule>
    <cfRule type="cellIs" dxfId="169" priority="170" operator="greaterThan">
      <formula>1</formula>
    </cfRule>
  </conditionalFormatting>
  <conditionalFormatting sqref="R84:R91">
    <cfRule type="cellIs" dxfId="168" priority="167" operator="greaterThan">
      <formula>1</formula>
    </cfRule>
    <cfRule type="cellIs" dxfId="167" priority="168" operator="lessThan">
      <formula>0.8</formula>
    </cfRule>
  </conditionalFormatting>
  <conditionalFormatting sqref="P84:P91">
    <cfRule type="cellIs" dxfId="166" priority="166" operator="greaterThan">
      <formula>0</formula>
    </cfRule>
  </conditionalFormatting>
  <conditionalFormatting sqref="Q84:Q91">
    <cfRule type="cellIs" dxfId="165" priority="171" operator="lessThan">
      <formula>0</formula>
    </cfRule>
  </conditionalFormatting>
  <conditionalFormatting sqref="Q84:Q91">
    <cfRule type="cellIs" dxfId="164" priority="165" operator="lessThan">
      <formula>0</formula>
    </cfRule>
  </conditionalFormatting>
  <conditionalFormatting sqref="R84:R91">
    <cfRule type="cellIs" dxfId="163" priority="163" operator="lessThan">
      <formula>0.8</formula>
    </cfRule>
    <cfRule type="cellIs" dxfId="162" priority="164" operator="greaterThan">
      <formula>1</formula>
    </cfRule>
  </conditionalFormatting>
  <conditionalFormatting sqref="R84:R91">
    <cfRule type="cellIs" dxfId="161" priority="161" operator="greaterThan">
      <formula>1</formula>
    </cfRule>
    <cfRule type="cellIs" dxfId="160" priority="162" operator="lessThan">
      <formula>0.8</formula>
    </cfRule>
  </conditionalFormatting>
  <conditionalFormatting sqref="P84:P91">
    <cfRule type="cellIs" dxfId="159" priority="160" operator="greaterThan">
      <formula>0</formula>
    </cfRule>
  </conditionalFormatting>
  <conditionalFormatting sqref="Q84:Q91">
    <cfRule type="cellIs" dxfId="158" priority="154" operator="lessThan">
      <formula>0</formula>
    </cfRule>
  </conditionalFormatting>
  <conditionalFormatting sqref="R84:R91">
    <cfRule type="cellIs" dxfId="157" priority="158" operator="lessThan">
      <formula>0.8</formula>
    </cfRule>
    <cfRule type="cellIs" dxfId="156" priority="159" operator="greaterThan">
      <formula>1</formula>
    </cfRule>
  </conditionalFormatting>
  <conditionalFormatting sqref="R84:R91">
    <cfRule type="cellIs" dxfId="155" priority="156" operator="greaterThan">
      <formula>1</formula>
    </cfRule>
    <cfRule type="cellIs" dxfId="154" priority="157" operator="lessThan">
      <formula>0.8</formula>
    </cfRule>
  </conditionalFormatting>
  <conditionalFormatting sqref="P84:P91">
    <cfRule type="cellIs" dxfId="153" priority="155" operator="greaterThan">
      <formula>0</formula>
    </cfRule>
  </conditionalFormatting>
  <conditionalFormatting sqref="Q84:Q91">
    <cfRule type="cellIs" dxfId="152" priority="153" operator="lessThan">
      <formula>0</formula>
    </cfRule>
  </conditionalFormatting>
  <conditionalFormatting sqref="R84:R91">
    <cfRule type="cellIs" dxfId="151" priority="151" operator="lessThan">
      <formula>0.8</formula>
    </cfRule>
    <cfRule type="cellIs" dxfId="150" priority="152" operator="greaterThan">
      <formula>1</formula>
    </cfRule>
  </conditionalFormatting>
  <conditionalFormatting sqref="R84:R91">
    <cfRule type="cellIs" dxfId="149" priority="149" operator="greaterThan">
      <formula>1</formula>
    </cfRule>
    <cfRule type="cellIs" dxfId="148" priority="150" operator="lessThan">
      <formula>0.8</formula>
    </cfRule>
  </conditionalFormatting>
  <conditionalFormatting sqref="P84:P91">
    <cfRule type="cellIs" dxfId="147" priority="148" operator="greaterThan">
      <formula>0</formula>
    </cfRule>
  </conditionalFormatting>
  <conditionalFormatting sqref="Q84:Q91">
    <cfRule type="cellIs" dxfId="146" priority="147" operator="lessThan">
      <formula>0</formula>
    </cfRule>
  </conditionalFormatting>
  <conditionalFormatting sqref="R84:R91">
    <cfRule type="cellIs" dxfId="145" priority="145" operator="lessThan">
      <formula>0.8</formula>
    </cfRule>
    <cfRule type="cellIs" dxfId="144" priority="146" operator="greaterThan">
      <formula>1</formula>
    </cfRule>
  </conditionalFormatting>
  <conditionalFormatting sqref="R84:R91">
    <cfRule type="cellIs" dxfId="143" priority="143" operator="greaterThan">
      <formula>1</formula>
    </cfRule>
    <cfRule type="cellIs" dxfId="142" priority="144" operator="lessThan">
      <formula>0.8</formula>
    </cfRule>
  </conditionalFormatting>
  <conditionalFormatting sqref="P84:P91">
    <cfRule type="cellIs" dxfId="141" priority="142" operator="greaterThan">
      <formula>0</formula>
    </cfRule>
  </conditionalFormatting>
  <conditionalFormatting sqref="Q84:Q91">
    <cfRule type="cellIs" dxfId="140" priority="141" operator="lessThan">
      <formula>0</formula>
    </cfRule>
  </conditionalFormatting>
  <conditionalFormatting sqref="R84:R91">
    <cfRule type="cellIs" dxfId="139" priority="139" operator="lessThan">
      <formula>0.8</formula>
    </cfRule>
    <cfRule type="cellIs" dxfId="138" priority="140" operator="greaterThan">
      <formula>1</formula>
    </cfRule>
  </conditionalFormatting>
  <conditionalFormatting sqref="R84:R91">
    <cfRule type="cellIs" dxfId="137" priority="137" operator="greaterThan">
      <formula>1</formula>
    </cfRule>
    <cfRule type="cellIs" dxfId="136" priority="138" operator="lessThan">
      <formula>0.8</formula>
    </cfRule>
  </conditionalFormatting>
  <conditionalFormatting sqref="P84:P91">
    <cfRule type="cellIs" dxfId="135" priority="136" operator="greaterThan">
      <formula>0</formula>
    </cfRule>
  </conditionalFormatting>
  <conditionalFormatting sqref="Q84:Q91">
    <cfRule type="cellIs" dxfId="134" priority="135" operator="lessThan">
      <formula>0</formula>
    </cfRule>
  </conditionalFormatting>
  <conditionalFormatting sqref="R84:R91">
    <cfRule type="cellIs" dxfId="133" priority="133" operator="lessThan">
      <formula>0.8</formula>
    </cfRule>
    <cfRule type="cellIs" dxfId="132" priority="134" operator="greaterThan">
      <formula>1</formula>
    </cfRule>
  </conditionalFormatting>
  <conditionalFormatting sqref="R84:R91">
    <cfRule type="cellIs" dxfId="131" priority="131" operator="greaterThan">
      <formula>1</formula>
    </cfRule>
    <cfRule type="cellIs" dxfId="130" priority="132" operator="lessThan">
      <formula>0.8</formula>
    </cfRule>
  </conditionalFormatting>
  <conditionalFormatting sqref="P84:P91">
    <cfRule type="cellIs" dxfId="129" priority="130" operator="greaterThan">
      <formula>0</formula>
    </cfRule>
  </conditionalFormatting>
  <conditionalFormatting sqref="Q84:Q91">
    <cfRule type="cellIs" dxfId="128" priority="129" operator="lessThan">
      <formula>0</formula>
    </cfRule>
  </conditionalFormatting>
  <conditionalFormatting sqref="R84:R91">
    <cfRule type="cellIs" dxfId="127" priority="127" operator="lessThan">
      <formula>0.8</formula>
    </cfRule>
    <cfRule type="cellIs" dxfId="126" priority="128" operator="greaterThan">
      <formula>1</formula>
    </cfRule>
  </conditionalFormatting>
  <conditionalFormatting sqref="R84:R91">
    <cfRule type="cellIs" dxfId="125" priority="125" operator="greaterThan">
      <formula>1</formula>
    </cfRule>
    <cfRule type="cellIs" dxfId="124" priority="126" operator="lessThan">
      <formula>0.8</formula>
    </cfRule>
  </conditionalFormatting>
  <conditionalFormatting sqref="P84:P91">
    <cfRule type="cellIs" dxfId="123" priority="124" operator="greaterThan">
      <formula>0</formula>
    </cfRule>
  </conditionalFormatting>
  <conditionalFormatting sqref="P84:P91">
    <cfRule type="cellIs" dxfId="122" priority="118" operator="greaterThan">
      <formula>0</formula>
    </cfRule>
  </conditionalFormatting>
  <conditionalFormatting sqref="Q84:Q91">
    <cfRule type="cellIs" dxfId="121" priority="123" operator="lessThan">
      <formula>0</formula>
    </cfRule>
  </conditionalFormatting>
  <conditionalFormatting sqref="R84:R91">
    <cfRule type="cellIs" dxfId="120" priority="121" operator="lessThan">
      <formula>0.8</formula>
    </cfRule>
    <cfRule type="cellIs" dxfId="119" priority="122" operator="greaterThan">
      <formula>1</formula>
    </cfRule>
  </conditionalFormatting>
  <conditionalFormatting sqref="R84:R91">
    <cfRule type="cellIs" dxfId="118" priority="119" operator="greaterThan">
      <formula>1</formula>
    </cfRule>
    <cfRule type="cellIs" dxfId="117" priority="120" operator="lessThan">
      <formula>0.8</formula>
    </cfRule>
  </conditionalFormatting>
  <conditionalFormatting sqref="P84:P91">
    <cfRule type="cellIs" dxfId="116" priority="112" operator="greaterThan">
      <formula>0</formula>
    </cfRule>
  </conditionalFormatting>
  <conditionalFormatting sqref="Q84:Q91">
    <cfRule type="cellIs" dxfId="115" priority="117" operator="lessThan">
      <formula>0</formula>
    </cfRule>
  </conditionalFormatting>
  <conditionalFormatting sqref="R84:R91">
    <cfRule type="cellIs" dxfId="114" priority="115" operator="lessThan">
      <formula>0.8</formula>
    </cfRule>
    <cfRule type="cellIs" dxfId="113" priority="116" operator="greaterThan">
      <formula>1</formula>
    </cfRule>
  </conditionalFormatting>
  <conditionalFormatting sqref="R84:R91">
    <cfRule type="cellIs" dxfId="112" priority="113" operator="greaterThan">
      <formula>1</formula>
    </cfRule>
    <cfRule type="cellIs" dxfId="111" priority="114" operator="lessThan">
      <formula>0.8</formula>
    </cfRule>
  </conditionalFormatting>
  <conditionalFormatting sqref="R84:R91">
    <cfRule type="cellIs" dxfId="110" priority="109" operator="lessThan">
      <formula>0.8</formula>
    </cfRule>
    <cfRule type="cellIs" dxfId="109" priority="110" operator="greaterThan">
      <formula>1</formula>
    </cfRule>
  </conditionalFormatting>
  <conditionalFormatting sqref="R84:R91">
    <cfRule type="cellIs" dxfId="108" priority="107" operator="greaterThan">
      <formula>1</formula>
    </cfRule>
    <cfRule type="cellIs" dxfId="107" priority="108" operator="lessThan">
      <formula>0.8</formula>
    </cfRule>
  </conditionalFormatting>
  <conditionalFormatting sqref="P84:P91">
    <cfRule type="cellIs" dxfId="106" priority="106" operator="greaterThan">
      <formula>0</formula>
    </cfRule>
  </conditionalFormatting>
  <conditionalFormatting sqref="Q84:Q91">
    <cfRule type="cellIs" dxfId="105" priority="111" operator="lessThan">
      <formula>0</formula>
    </cfRule>
  </conditionalFormatting>
  <conditionalFormatting sqref="Q84:Q91">
    <cfRule type="cellIs" dxfId="104" priority="100" operator="lessThan">
      <formula>0</formula>
    </cfRule>
  </conditionalFormatting>
  <conditionalFormatting sqref="P84:P91">
    <cfRule type="cellIs" dxfId="103" priority="101" operator="greaterThan">
      <formula>0</formula>
    </cfRule>
  </conditionalFormatting>
  <conditionalFormatting sqref="R84:R91">
    <cfRule type="cellIs" dxfId="102" priority="104" operator="lessThan">
      <formula>0.8</formula>
    </cfRule>
    <cfRule type="cellIs" dxfId="101" priority="105" operator="greaterThan">
      <formula>1</formula>
    </cfRule>
  </conditionalFormatting>
  <conditionalFormatting sqref="R84:R91">
    <cfRule type="cellIs" dxfId="100" priority="102" operator="greaterThan">
      <formula>1</formula>
    </cfRule>
    <cfRule type="cellIs" dxfId="99" priority="103" operator="lessThan">
      <formula>0.8</formula>
    </cfRule>
  </conditionalFormatting>
  <conditionalFormatting sqref="Q84:Q91">
    <cfRule type="cellIs" dxfId="98" priority="94" operator="lessThan">
      <formula>0</formula>
    </cfRule>
  </conditionalFormatting>
  <conditionalFormatting sqref="R84:R91">
    <cfRule type="cellIs" dxfId="97" priority="98" operator="lessThan">
      <formula>0.8</formula>
    </cfRule>
    <cfRule type="cellIs" dxfId="96" priority="99" operator="greaterThan">
      <formula>1</formula>
    </cfRule>
  </conditionalFormatting>
  <conditionalFormatting sqref="R84:R91">
    <cfRule type="cellIs" dxfId="95" priority="96" operator="greaterThan">
      <formula>1</formula>
    </cfRule>
    <cfRule type="cellIs" dxfId="94" priority="97" operator="lessThan">
      <formula>0.8</formula>
    </cfRule>
  </conditionalFormatting>
  <conditionalFormatting sqref="P84:P91">
    <cfRule type="cellIs" dxfId="93" priority="95" operator="greaterThan">
      <formula>0</formula>
    </cfRule>
  </conditionalFormatting>
  <conditionalFormatting sqref="Q84:Q91">
    <cfRule type="cellIs" dxfId="92" priority="93" operator="lessThan">
      <formula>0</formula>
    </cfRule>
  </conditionalFormatting>
  <conditionalFormatting sqref="R84:R91">
    <cfRule type="cellIs" dxfId="91" priority="91" operator="lessThan">
      <formula>0.8</formula>
    </cfRule>
    <cfRule type="cellIs" dxfId="90" priority="92" operator="greaterThan">
      <formula>1</formula>
    </cfRule>
  </conditionalFormatting>
  <conditionalFormatting sqref="R84:R91">
    <cfRule type="cellIs" dxfId="89" priority="89" operator="greaterThan">
      <formula>1</formula>
    </cfRule>
    <cfRule type="cellIs" dxfId="88" priority="90" operator="lessThan">
      <formula>0.8</formula>
    </cfRule>
  </conditionalFormatting>
  <conditionalFormatting sqref="P84:P91">
    <cfRule type="cellIs" dxfId="87" priority="88" operator="greaterThan">
      <formula>0</formula>
    </cfRule>
  </conditionalFormatting>
  <conditionalFormatting sqref="Q84:Q91">
    <cfRule type="cellIs" dxfId="86" priority="87" operator="lessThan">
      <formula>0</formula>
    </cfRule>
  </conditionalFormatting>
  <conditionalFormatting sqref="R84:R91">
    <cfRule type="cellIs" dxfId="85" priority="85" operator="lessThan">
      <formula>0.8</formula>
    </cfRule>
    <cfRule type="cellIs" dxfId="84" priority="86" operator="greaterThan">
      <formula>1</formula>
    </cfRule>
  </conditionalFormatting>
  <conditionalFormatting sqref="R84:R91">
    <cfRule type="cellIs" dxfId="83" priority="83" operator="greaterThan">
      <formula>1</formula>
    </cfRule>
    <cfRule type="cellIs" dxfId="82" priority="84" operator="lessThan">
      <formula>0.8</formula>
    </cfRule>
  </conditionalFormatting>
  <conditionalFormatting sqref="P84:P91">
    <cfRule type="cellIs" dxfId="81" priority="82" operator="greaterThan">
      <formula>0</formula>
    </cfRule>
  </conditionalFormatting>
  <conditionalFormatting sqref="Q84:Q91">
    <cfRule type="cellIs" dxfId="80" priority="81" operator="lessThan">
      <formula>0</formula>
    </cfRule>
  </conditionalFormatting>
  <conditionalFormatting sqref="R84:R91">
    <cfRule type="cellIs" dxfId="79" priority="79" operator="lessThan">
      <formula>0.8</formula>
    </cfRule>
    <cfRule type="cellIs" dxfId="78" priority="80" operator="greaterThan">
      <formula>1</formula>
    </cfRule>
  </conditionalFormatting>
  <conditionalFormatting sqref="R84:R91">
    <cfRule type="cellIs" dxfId="77" priority="77" operator="greaterThan">
      <formula>1</formula>
    </cfRule>
    <cfRule type="cellIs" dxfId="76" priority="78" operator="lessThan">
      <formula>0.8</formula>
    </cfRule>
  </conditionalFormatting>
  <conditionalFormatting sqref="P84:P91">
    <cfRule type="cellIs" dxfId="75" priority="76" operator="greaterThan">
      <formula>0</formula>
    </cfRule>
  </conditionalFormatting>
  <conditionalFormatting sqref="Q162:Q166">
    <cfRule type="cellIs" dxfId="74" priority="75" operator="lessThan">
      <formula>0</formula>
    </cfRule>
  </conditionalFormatting>
  <conditionalFormatting sqref="R162:R166">
    <cfRule type="cellIs" dxfId="73" priority="73" operator="lessThan">
      <formula>0.8</formula>
    </cfRule>
    <cfRule type="cellIs" dxfId="72" priority="74" operator="greaterThan">
      <formula>1</formula>
    </cfRule>
  </conditionalFormatting>
  <conditionalFormatting sqref="R162:R166">
    <cfRule type="cellIs" dxfId="71" priority="71" operator="greaterThan">
      <formula>1</formula>
    </cfRule>
    <cfRule type="cellIs" dxfId="70" priority="72" operator="lessThan">
      <formula>0.8</formula>
    </cfRule>
  </conditionalFormatting>
  <conditionalFormatting sqref="P162:P166">
    <cfRule type="cellIs" dxfId="69" priority="70" operator="greaterThan">
      <formula>0</formula>
    </cfRule>
  </conditionalFormatting>
  <conditionalFormatting sqref="P167:P168">
    <cfRule type="cellIs" dxfId="68" priority="64" operator="greaterThan">
      <formula>0</formula>
    </cfRule>
  </conditionalFormatting>
  <conditionalFormatting sqref="R167:R168">
    <cfRule type="cellIs" dxfId="67" priority="67" operator="lessThan">
      <formula>0.8</formula>
    </cfRule>
    <cfRule type="cellIs" dxfId="66" priority="68" operator="greaterThan">
      <formula>1</formula>
    </cfRule>
  </conditionalFormatting>
  <conditionalFormatting sqref="R167:R168">
    <cfRule type="cellIs" dxfId="65" priority="65" operator="greaterThan">
      <formula>1</formula>
    </cfRule>
    <cfRule type="cellIs" dxfId="64" priority="66" operator="lessThan">
      <formula>0.8</formula>
    </cfRule>
  </conditionalFormatting>
  <conditionalFormatting sqref="Q167:Q168">
    <cfRule type="cellIs" dxfId="63" priority="69" operator="lessThan">
      <formula>0</formula>
    </cfRule>
  </conditionalFormatting>
  <conditionalFormatting sqref="Q161">
    <cfRule type="cellIs" dxfId="62" priority="63" operator="lessThan">
      <formula>0</formula>
    </cfRule>
  </conditionalFormatting>
  <conditionalFormatting sqref="R161">
    <cfRule type="cellIs" dxfId="61" priority="61" operator="lessThan">
      <formula>0.8</formula>
    </cfRule>
    <cfRule type="cellIs" dxfId="60" priority="62" operator="greaterThan">
      <formula>1</formula>
    </cfRule>
  </conditionalFormatting>
  <conditionalFormatting sqref="R161">
    <cfRule type="cellIs" dxfId="59" priority="59" operator="greaterThan">
      <formula>1</formula>
    </cfRule>
    <cfRule type="cellIs" dxfId="58" priority="60" operator="lessThan">
      <formula>0.8</formula>
    </cfRule>
  </conditionalFormatting>
  <conditionalFormatting sqref="P161">
    <cfRule type="cellIs" dxfId="57" priority="58" operator="greaterThan">
      <formula>0</formula>
    </cfRule>
  </conditionalFormatting>
  <conditionalFormatting sqref="Q162:Q166">
    <cfRule type="cellIs" dxfId="56" priority="57" operator="lessThan">
      <formula>0</formula>
    </cfRule>
  </conditionalFormatting>
  <conditionalFormatting sqref="R162:R166">
    <cfRule type="cellIs" dxfId="55" priority="55" operator="lessThan">
      <formula>0.8</formula>
    </cfRule>
    <cfRule type="cellIs" dxfId="54" priority="56" operator="greaterThan">
      <formula>1</formula>
    </cfRule>
  </conditionalFormatting>
  <conditionalFormatting sqref="R162:R166">
    <cfRule type="cellIs" dxfId="53" priority="53" operator="greaterThan">
      <formula>1</formula>
    </cfRule>
    <cfRule type="cellIs" dxfId="52" priority="54" operator="lessThan">
      <formula>0.8</formula>
    </cfRule>
  </conditionalFormatting>
  <conditionalFormatting sqref="P162:P166">
    <cfRule type="cellIs" dxfId="51" priority="52" operator="greaterThan">
      <formula>0</formula>
    </cfRule>
  </conditionalFormatting>
  <conditionalFormatting sqref="Q162:Q166">
    <cfRule type="cellIs" dxfId="50" priority="51" operator="lessThan">
      <formula>0</formula>
    </cfRule>
  </conditionalFormatting>
  <conditionalFormatting sqref="R162:R166">
    <cfRule type="cellIs" dxfId="49" priority="49" operator="lessThan">
      <formula>0.8</formula>
    </cfRule>
    <cfRule type="cellIs" dxfId="48" priority="50" operator="greaterThan">
      <formula>1</formula>
    </cfRule>
  </conditionalFormatting>
  <conditionalFormatting sqref="R162:R166">
    <cfRule type="cellIs" dxfId="47" priority="47" operator="greaterThan">
      <formula>1</formula>
    </cfRule>
    <cfRule type="cellIs" dxfId="46" priority="48" operator="lessThan">
      <formula>0.8</formula>
    </cfRule>
  </conditionalFormatting>
  <conditionalFormatting sqref="P162:P166">
    <cfRule type="cellIs" dxfId="45" priority="46" operator="greaterThan">
      <formula>0</formula>
    </cfRule>
  </conditionalFormatting>
  <conditionalFormatting sqref="Q167:Q168">
    <cfRule type="cellIs" dxfId="44" priority="45" operator="lessThan">
      <formula>0</formula>
    </cfRule>
  </conditionalFormatting>
  <conditionalFormatting sqref="R167:R168">
    <cfRule type="cellIs" dxfId="43" priority="43" operator="lessThan">
      <formula>0.8</formula>
    </cfRule>
    <cfRule type="cellIs" dxfId="42" priority="44" operator="greaterThan">
      <formula>1</formula>
    </cfRule>
  </conditionalFormatting>
  <conditionalFormatting sqref="R167:R168">
    <cfRule type="cellIs" dxfId="41" priority="41" operator="greaterThan">
      <formula>1</formula>
    </cfRule>
    <cfRule type="cellIs" dxfId="40" priority="42" operator="lessThan">
      <formula>0.8</formula>
    </cfRule>
  </conditionalFormatting>
  <conditionalFormatting sqref="P167:P168">
    <cfRule type="cellIs" dxfId="39" priority="40" operator="greaterThan">
      <formula>0</formula>
    </cfRule>
  </conditionalFormatting>
  <conditionalFormatting sqref="Q161">
    <cfRule type="cellIs" dxfId="38" priority="39" operator="lessThan">
      <formula>0</formula>
    </cfRule>
  </conditionalFormatting>
  <conditionalFormatting sqref="R161">
    <cfRule type="cellIs" dxfId="37" priority="37" operator="lessThan">
      <formula>0.8</formula>
    </cfRule>
    <cfRule type="cellIs" dxfId="36" priority="38" operator="greaterThan">
      <formula>1</formula>
    </cfRule>
  </conditionalFormatting>
  <conditionalFormatting sqref="R161">
    <cfRule type="cellIs" dxfId="35" priority="35" operator="greaterThan">
      <formula>1</formula>
    </cfRule>
    <cfRule type="cellIs" dxfId="34" priority="36" operator="lessThan">
      <formula>0.8</formula>
    </cfRule>
  </conditionalFormatting>
  <conditionalFormatting sqref="P161">
    <cfRule type="cellIs" dxfId="33" priority="34" operator="greaterThan">
      <formula>0</formula>
    </cfRule>
  </conditionalFormatting>
  <conditionalFormatting sqref="Q162:Q166">
    <cfRule type="cellIs" dxfId="32" priority="33" operator="lessThan">
      <formula>0</formula>
    </cfRule>
  </conditionalFormatting>
  <conditionalFormatting sqref="R162:R166">
    <cfRule type="cellIs" dxfId="31" priority="31" operator="lessThan">
      <formula>0.8</formula>
    </cfRule>
    <cfRule type="cellIs" dxfId="30" priority="32" operator="greaterThan">
      <formula>1</formula>
    </cfRule>
  </conditionalFormatting>
  <conditionalFormatting sqref="R162:R166">
    <cfRule type="cellIs" dxfId="29" priority="29" operator="greaterThan">
      <formula>1</formula>
    </cfRule>
    <cfRule type="cellIs" dxfId="28" priority="30" operator="lessThan">
      <formula>0.8</formula>
    </cfRule>
  </conditionalFormatting>
  <conditionalFormatting sqref="P162:P166">
    <cfRule type="cellIs" dxfId="27" priority="28" operator="greaterThan">
      <formula>0</formula>
    </cfRule>
  </conditionalFormatting>
  <conditionalFormatting sqref="Q161">
    <cfRule type="cellIs" dxfId="26" priority="27" operator="lessThan">
      <formula>0</formula>
    </cfRule>
  </conditionalFormatting>
  <conditionalFormatting sqref="R161">
    <cfRule type="cellIs" dxfId="25" priority="25" operator="lessThan">
      <formula>0.8</formula>
    </cfRule>
    <cfRule type="cellIs" dxfId="24" priority="26" operator="greaterThan">
      <formula>1</formula>
    </cfRule>
  </conditionalFormatting>
  <conditionalFormatting sqref="R161">
    <cfRule type="cellIs" dxfId="23" priority="23" operator="greaterThan">
      <formula>1</formula>
    </cfRule>
    <cfRule type="cellIs" dxfId="22" priority="24" operator="lessThan">
      <formula>0.8</formula>
    </cfRule>
  </conditionalFormatting>
  <conditionalFormatting sqref="P161">
    <cfRule type="cellIs" dxfId="21" priority="22" operator="greaterThan">
      <formula>0</formula>
    </cfRule>
  </conditionalFormatting>
  <conditionalFormatting sqref="Q162:Q166">
    <cfRule type="cellIs" dxfId="20" priority="21" operator="lessThan">
      <formula>0</formula>
    </cfRule>
  </conditionalFormatting>
  <conditionalFormatting sqref="R162:R166">
    <cfRule type="cellIs" dxfId="19" priority="19" operator="lessThan">
      <formula>0.8</formula>
    </cfRule>
    <cfRule type="cellIs" dxfId="18" priority="20" operator="greaterThan">
      <formula>1</formula>
    </cfRule>
  </conditionalFormatting>
  <conditionalFormatting sqref="R162:R166">
    <cfRule type="cellIs" dxfId="17" priority="17" operator="greaterThan">
      <formula>1</formula>
    </cfRule>
    <cfRule type="cellIs" dxfId="16" priority="18" operator="lessThan">
      <formula>0.8</formula>
    </cfRule>
  </conditionalFormatting>
  <conditionalFormatting sqref="P162:P166">
    <cfRule type="cellIs" dxfId="15" priority="16" operator="greaterThan">
      <formula>0</formula>
    </cfRule>
  </conditionalFormatting>
  <conditionalFormatting sqref="Q161">
    <cfRule type="cellIs" dxfId="14" priority="15" operator="lessThan">
      <formula>0</formula>
    </cfRule>
  </conditionalFormatting>
  <conditionalFormatting sqref="R161">
    <cfRule type="cellIs" dxfId="13" priority="13" operator="lessThan">
      <formula>0.8</formula>
    </cfRule>
    <cfRule type="cellIs" dxfId="12" priority="14" operator="greaterThan">
      <formula>1</formula>
    </cfRule>
  </conditionalFormatting>
  <conditionalFormatting sqref="R161">
    <cfRule type="cellIs" dxfId="11" priority="11" operator="greaterThan">
      <formula>1</formula>
    </cfRule>
    <cfRule type="cellIs" dxfId="10" priority="12" operator="lessThan">
      <formula>0.8</formula>
    </cfRule>
  </conditionalFormatting>
  <conditionalFormatting sqref="P161">
    <cfRule type="cellIs" dxfId="9" priority="10" operator="greaterThan">
      <formula>0</formula>
    </cfRule>
  </conditionalFormatting>
  <conditionalFormatting sqref="P167:P168">
    <cfRule type="cellIs" dxfId="8" priority="4" operator="greaterThan">
      <formula>0</formula>
    </cfRule>
  </conditionalFormatting>
  <conditionalFormatting sqref="R167:R168">
    <cfRule type="cellIs" dxfId="7" priority="7" operator="lessThan">
      <formula>0.8</formula>
    </cfRule>
    <cfRule type="cellIs" dxfId="6" priority="8" operator="greaterThan">
      <formula>1</formula>
    </cfRule>
  </conditionalFormatting>
  <conditionalFormatting sqref="R167:R168">
    <cfRule type="cellIs" dxfId="5" priority="5" operator="greaterThan">
      <formula>1</formula>
    </cfRule>
    <cfRule type="cellIs" dxfId="4" priority="6" operator="lessThan">
      <formula>0.8</formula>
    </cfRule>
  </conditionalFormatting>
  <conditionalFormatting sqref="Q167:Q168">
    <cfRule type="cellIs" dxfId="3" priority="9" operator="lessThan">
      <formula>0</formula>
    </cfRule>
  </conditionalFormatting>
  <conditionalFormatting sqref="AF30">
    <cfRule type="cellIs" dxfId="2" priority="3" operator="lessThan">
      <formula>0</formula>
    </cfRule>
  </conditionalFormatting>
  <conditionalFormatting sqref="AG30">
    <cfRule type="cellIs" dxfId="1" priority="1" operator="greaterThan">
      <formula>1</formula>
    </cfRule>
    <cfRule type="cellIs" dxfId="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S44" sqref="S44"/>
    </sheetView>
  </sheetViews>
  <sheetFormatPr defaultColWidth="8.125" defaultRowHeight="15.75"/>
  <cols>
    <col min="1" max="1" width="8.125" style="2"/>
    <col min="2" max="2" width="7.125" style="2" customWidth="1"/>
    <col min="3" max="3" width="7.125" style="61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27" t="s">
        <v>0</v>
      </c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9"/>
      <c r="N1" s="1"/>
      <c r="O1" s="1"/>
    </row>
    <row r="2" spans="2:17" ht="27.75" customHeight="1">
      <c r="B2" s="527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9"/>
      <c r="N2" s="1"/>
      <c r="O2" s="1"/>
    </row>
    <row r="3" spans="2:17" ht="46.5" customHeight="1">
      <c r="B3" s="521" t="s">
        <v>1</v>
      </c>
      <c r="C3" s="522"/>
      <c r="D3" s="530" t="s">
        <v>80</v>
      </c>
      <c r="E3" s="531"/>
      <c r="F3" s="521" t="s">
        <v>2</v>
      </c>
      <c r="G3" s="522"/>
      <c r="H3" s="532">
        <v>219551.99999999997</v>
      </c>
      <c r="I3" s="533"/>
      <c r="J3" s="521" t="s">
        <v>3</v>
      </c>
      <c r="K3" s="522"/>
      <c r="L3" s="534">
        <v>7260994.4440729823</v>
      </c>
      <c r="M3" s="535"/>
      <c r="N3" s="3"/>
    </row>
    <row r="4" spans="2:17" ht="24" customHeight="1">
      <c r="B4" s="521" t="s">
        <v>4</v>
      </c>
      <c r="C4" s="522"/>
      <c r="D4" s="513" t="s">
        <v>5</v>
      </c>
      <c r="E4" s="514"/>
      <c r="F4" s="525" t="s">
        <v>6</v>
      </c>
      <c r="G4" s="526"/>
      <c r="H4" s="525" t="s">
        <v>7</v>
      </c>
      <c r="I4" s="526"/>
      <c r="J4" s="525" t="s">
        <v>8</v>
      </c>
      <c r="K4" s="526"/>
      <c r="L4" s="525" t="s">
        <v>9</v>
      </c>
      <c r="M4" s="526"/>
      <c r="N4" s="505" t="s">
        <v>10</v>
      </c>
      <c r="O4" s="506"/>
      <c r="P4" s="506" t="s">
        <v>11</v>
      </c>
      <c r="Q4" s="506"/>
    </row>
    <row r="5" spans="2:17" ht="24" customHeight="1">
      <c r="B5" s="507" t="s">
        <v>12</v>
      </c>
      <c r="C5" s="508"/>
      <c r="D5" s="513" t="s">
        <v>13</v>
      </c>
      <c r="E5" s="514"/>
      <c r="F5" s="513" t="s">
        <v>14</v>
      </c>
      <c r="G5" s="514"/>
      <c r="H5" s="515" t="s">
        <v>15</v>
      </c>
      <c r="I5" s="516"/>
      <c r="J5" s="517" t="s">
        <v>16</v>
      </c>
      <c r="K5" s="518"/>
      <c r="L5" s="519" t="s">
        <v>17</v>
      </c>
      <c r="M5" s="520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509"/>
      <c r="C6" s="510"/>
      <c r="D6" s="521" t="s">
        <v>21</v>
      </c>
      <c r="E6" s="522"/>
      <c r="F6" s="523">
        <f>AVERAGE(D13:O13,P13:Q13,D30:F30,H30,J30:L30)</f>
        <v>359.89501407063904</v>
      </c>
      <c r="G6" s="524"/>
      <c r="H6" s="499">
        <f>AVERAGE(D13:P13,Q13)</f>
        <v>147.34252110595858</v>
      </c>
      <c r="I6" s="500"/>
      <c r="J6" s="499">
        <f>AVERAGE(D30:F30,H30)</f>
        <v>717.5</v>
      </c>
      <c r="K6" s="500"/>
      <c r="L6" s="501">
        <f>AVERAGE(J30:L30)</f>
        <v>875</v>
      </c>
      <c r="M6" s="502"/>
      <c r="N6" s="503">
        <v>0</v>
      </c>
      <c r="O6" s="488">
        <v>0</v>
      </c>
      <c r="P6" s="504">
        <v>5</v>
      </c>
      <c r="Q6" s="488">
        <v>2</v>
      </c>
    </row>
    <row r="7" spans="2:17" s="6" customFormat="1" ht="39.6" customHeight="1">
      <c r="B7" s="509"/>
      <c r="C7" s="510"/>
      <c r="D7" s="489" t="s">
        <v>22</v>
      </c>
      <c r="E7" s="490"/>
      <c r="F7" s="491">
        <f>AVERAGE(D14:O14,P14:Q14,D31:F31,J31:L31,H31)</f>
        <v>333.80028367144752</v>
      </c>
      <c r="G7" s="492"/>
      <c r="H7" s="493">
        <f>AVERAGE(D14:P14,Q14)</f>
        <v>129.02918174948633</v>
      </c>
      <c r="I7" s="494"/>
      <c r="J7" s="493">
        <f>AVERAGE(D31:F31,H31)</f>
        <v>717.24269730656556</v>
      </c>
      <c r="K7" s="494"/>
      <c r="L7" s="495">
        <f>AVERAGE(J31:L31)</f>
        <v>778.14220779377592</v>
      </c>
      <c r="M7" s="496"/>
      <c r="N7" s="503"/>
      <c r="O7" s="488"/>
      <c r="P7" s="504"/>
      <c r="Q7" s="488"/>
    </row>
    <row r="8" spans="2:17" s="6" customFormat="1" ht="39.6" customHeight="1">
      <c r="B8" s="511"/>
      <c r="C8" s="512"/>
      <c r="D8" s="489" t="s">
        <v>23</v>
      </c>
      <c r="E8" s="490"/>
      <c r="F8" s="497">
        <f>AVERAGE(D15:O15,P15:Q15,D32:F32,H32,J32:K32,L32)</f>
        <v>0.89828551669615475</v>
      </c>
      <c r="G8" s="498"/>
      <c r="H8" s="497">
        <f>AVERAGE(D15:O15,P15:Q15)</f>
        <v>0.87665029714334719</v>
      </c>
      <c r="I8" s="498"/>
      <c r="J8" s="497">
        <f>AVERAGE(D32:F32,H32)</f>
        <v>0.97972481057867811</v>
      </c>
      <c r="K8" s="498"/>
      <c r="L8" s="497">
        <f>AVERAGE(J32:L32)</f>
        <v>0.89066414943255856</v>
      </c>
      <c r="M8" s="498"/>
      <c r="N8" s="503"/>
      <c r="O8" s="488"/>
      <c r="P8" s="504"/>
      <c r="Q8" s="48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462" t="s">
        <v>24</v>
      </c>
      <c r="C10" s="484"/>
      <c r="D10" s="485" t="s">
        <v>25</v>
      </c>
      <c r="E10" s="486"/>
      <c r="F10" s="486"/>
      <c r="G10" s="486"/>
      <c r="H10" s="486"/>
      <c r="I10" s="486"/>
      <c r="J10" s="486"/>
      <c r="K10" s="486"/>
      <c r="L10" s="486"/>
      <c r="M10" s="486"/>
      <c r="N10" s="486"/>
      <c r="O10" s="486"/>
      <c r="P10" s="486"/>
      <c r="Q10" s="487"/>
    </row>
    <row r="11" spans="2:17" ht="17.25" customHeight="1">
      <c r="B11" s="470" t="s">
        <v>26</v>
      </c>
      <c r="C11" s="47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50000000000003" customHeight="1">
      <c r="B12" s="472"/>
      <c r="C12" s="473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50000000000003" customHeight="1">
      <c r="B13" s="474" t="s">
        <v>41</v>
      </c>
      <c r="C13" s="14" t="s">
        <v>42</v>
      </c>
      <c r="D13" s="15">
        <v>109.07529239766082</v>
      </c>
      <c r="E13" s="15">
        <v>94.505135387488323</v>
      </c>
      <c r="F13" s="15">
        <v>138.53182636077375</v>
      </c>
      <c r="G13" s="15">
        <v>255.66666666666669</v>
      </c>
      <c r="H13" s="15">
        <v>250</v>
      </c>
      <c r="I13" s="15">
        <v>87.873015873015873</v>
      </c>
      <c r="J13" s="15">
        <v>101.04361598440546</v>
      </c>
      <c r="K13" s="15">
        <v>346.86197916666663</v>
      </c>
      <c r="L13" s="15">
        <v>83.029265873015873</v>
      </c>
      <c r="M13" s="15">
        <v>82.46974574917688</v>
      </c>
      <c r="N13" s="15">
        <v>84.656346749226003</v>
      </c>
      <c r="O13" s="15">
        <v>83.557929750847705</v>
      </c>
      <c r="P13" s="15">
        <v>195.52447552447552</v>
      </c>
      <c r="Q13" s="16">
        <v>150</v>
      </c>
    </row>
    <row r="14" spans="2:17" ht="39.950000000000003" customHeight="1">
      <c r="B14" s="475"/>
      <c r="C14" s="14" t="s">
        <v>43</v>
      </c>
      <c r="D14" s="15">
        <v>95.904478133447199</v>
      </c>
      <c r="E14" s="15">
        <v>80.238091956799579</v>
      </c>
      <c r="F14" s="15">
        <v>126.41783143248396</v>
      </c>
      <c r="G14" s="15">
        <v>225.27629464155663</v>
      </c>
      <c r="H14" s="15">
        <v>211.07016982618262</v>
      </c>
      <c r="I14" s="15">
        <v>75.755790965432041</v>
      </c>
      <c r="J14" s="15">
        <v>88.313253865894069</v>
      </c>
      <c r="K14" s="15">
        <v>282.86994532384824</v>
      </c>
      <c r="L14" s="15">
        <v>72.51988016641063</v>
      </c>
      <c r="M14" s="15">
        <v>66.868717943109658</v>
      </c>
      <c r="N14" s="15">
        <v>73.873356666716731</v>
      </c>
      <c r="O14" s="15">
        <v>71.806778989972216</v>
      </c>
      <c r="P14" s="15">
        <v>191.75596808379223</v>
      </c>
      <c r="Q14" s="16">
        <v>143.73798649716292</v>
      </c>
    </row>
    <row r="15" spans="2:17" ht="39.950000000000003" customHeight="1">
      <c r="B15" s="476"/>
      <c r="C15" s="10" t="s">
        <v>44</v>
      </c>
      <c r="D15" s="17">
        <f t="shared" ref="D15:P15" si="0">D14/D13</f>
        <v>0.8792502502198557</v>
      </c>
      <c r="E15" s="17">
        <f t="shared" si="0"/>
        <v>0.84903419933539848</v>
      </c>
      <c r="F15" s="17">
        <f t="shared" si="0"/>
        <v>0.91255442704738676</v>
      </c>
      <c r="G15" s="17">
        <f t="shared" si="0"/>
        <v>0.8811328343216035</v>
      </c>
      <c r="H15" s="17">
        <f t="shared" si="0"/>
        <v>0.8442806793047305</v>
      </c>
      <c r="I15" s="17">
        <f t="shared" si="0"/>
        <v>0.86210528013407128</v>
      </c>
      <c r="J15" s="17">
        <f t="shared" si="0"/>
        <v>0.87401121788361047</v>
      </c>
      <c r="K15" s="17">
        <f t="shared" si="0"/>
        <v>0.81551153575102475</v>
      </c>
      <c r="L15" s="17">
        <f t="shared" si="0"/>
        <v>0.87342552537224416</v>
      </c>
      <c r="M15" s="17">
        <f t="shared" si="0"/>
        <v>0.81082725956842261</v>
      </c>
      <c r="N15" s="17">
        <f t="shared" si="0"/>
        <v>0.8726263239961054</v>
      </c>
      <c r="O15" s="17">
        <f t="shared" si="0"/>
        <v>0.85936522367278645</v>
      </c>
      <c r="P15" s="17">
        <f t="shared" si="0"/>
        <v>0.98072616008520341</v>
      </c>
      <c r="Q15" s="18">
        <f>Q14/Q13</f>
        <v>0.95825324331441952</v>
      </c>
    </row>
    <row r="16" spans="2:17" ht="22.9" customHeight="1">
      <c r="B16" s="477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9" customHeight="1">
      <c r="B17" s="478"/>
      <c r="C17" s="10" t="s">
        <v>47</v>
      </c>
      <c r="D17" s="19">
        <v>0.6791666666666667</v>
      </c>
      <c r="E17" s="19">
        <v>0.5576388888888888</v>
      </c>
      <c r="F17" s="19">
        <v>0.50347222222222221</v>
      </c>
      <c r="G17" s="19">
        <v>0.68263888888888891</v>
      </c>
      <c r="H17" s="19">
        <v>0.6430555555555556</v>
      </c>
      <c r="I17" s="19">
        <v>0.72777777777777775</v>
      </c>
      <c r="J17" s="19">
        <v>0.80347222222222214</v>
      </c>
      <c r="K17" s="19">
        <v>0.57222222222222208</v>
      </c>
      <c r="L17" s="19">
        <v>0.8354166666666667</v>
      </c>
      <c r="M17" s="19">
        <v>0.97777777777777775</v>
      </c>
      <c r="N17" s="19">
        <v>1.0048611111111112</v>
      </c>
      <c r="O17" s="19">
        <v>0.86944444444444435</v>
      </c>
      <c r="P17" s="19">
        <v>0.59444444444444433</v>
      </c>
      <c r="Q17" s="20">
        <v>0.61458333333333337</v>
      </c>
    </row>
    <row r="18" spans="2:17" ht="22.9" customHeight="1">
      <c r="B18" s="479" t="s">
        <v>48</v>
      </c>
      <c r="C18" s="480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9" customHeight="1">
      <c r="B19" s="481"/>
      <c r="C19" s="482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9" customHeight="1">
      <c r="B20" s="479" t="s">
        <v>50</v>
      </c>
      <c r="C20" s="480"/>
      <c r="D20" s="21" t="s">
        <v>49</v>
      </c>
      <c r="E20" s="21" t="s">
        <v>49</v>
      </c>
      <c r="F20" s="21">
        <v>1</v>
      </c>
      <c r="G20" s="21">
        <v>1</v>
      </c>
      <c r="H20" s="21" t="s">
        <v>49</v>
      </c>
      <c r="I20" s="21">
        <v>2</v>
      </c>
      <c r="J20" s="21" t="s">
        <v>49</v>
      </c>
      <c r="K20" s="21" t="s">
        <v>49</v>
      </c>
      <c r="L20" s="21">
        <v>1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9" customHeight="1">
      <c r="B21" s="481"/>
      <c r="C21" s="482"/>
      <c r="D21" s="21">
        <v>1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>
        <v>1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 t="s">
        <v>49</v>
      </c>
      <c r="Q21" s="22"/>
    </row>
    <row r="22" spans="2:17" ht="22.9" customHeight="1">
      <c r="B22" s="458" t="s">
        <v>51</v>
      </c>
      <c r="C22" s="459"/>
      <c r="D22" s="23">
        <v>18.75</v>
      </c>
      <c r="E22" s="23">
        <v>17.571428571428573</v>
      </c>
      <c r="F22" s="23">
        <v>14.833333333333334</v>
      </c>
      <c r="G22" s="23">
        <v>6.25</v>
      </c>
      <c r="H22" s="23">
        <v>6.75</v>
      </c>
      <c r="I22" s="23">
        <v>16.399999999999999</v>
      </c>
      <c r="J22" s="23">
        <v>16.5</v>
      </c>
      <c r="K22" s="23">
        <v>8</v>
      </c>
      <c r="L22" s="23">
        <v>17.5</v>
      </c>
      <c r="M22" s="23">
        <v>18.399999999999999</v>
      </c>
      <c r="N22" s="23">
        <v>17.428571428571427</v>
      </c>
      <c r="O22" s="23">
        <v>17.8</v>
      </c>
      <c r="P22" s="23">
        <v>11.6</v>
      </c>
      <c r="Q22" s="24">
        <v>10.8</v>
      </c>
    </row>
    <row r="23" spans="2:17" ht="22.9" customHeight="1">
      <c r="B23" s="458" t="s">
        <v>52</v>
      </c>
      <c r="C23" s="459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9" customHeight="1">
      <c r="B24" s="458" t="s">
        <v>58</v>
      </c>
      <c r="C24" s="45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9" customHeight="1" thickBot="1">
      <c r="B25" s="460" t="s">
        <v>59</v>
      </c>
      <c r="C25" s="461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5" thickBot="1">
      <c r="B26" s="483"/>
      <c r="C26" s="483"/>
    </row>
    <row r="27" spans="2:17" ht="30" customHeight="1" thickBot="1">
      <c r="B27" s="462" t="s">
        <v>24</v>
      </c>
      <c r="C27" s="463"/>
      <c r="D27" s="464" t="s">
        <v>64</v>
      </c>
      <c r="E27" s="465"/>
      <c r="F27" s="465"/>
      <c r="G27" s="465"/>
      <c r="H27" s="466"/>
      <c r="I27" s="467" t="s">
        <v>65</v>
      </c>
      <c r="J27" s="468"/>
      <c r="K27" s="468"/>
      <c r="L27" s="468"/>
      <c r="M27" s="469"/>
    </row>
    <row r="28" spans="2:17" ht="17.25" customHeight="1">
      <c r="B28" s="470" t="s">
        <v>26</v>
      </c>
      <c r="C28" s="471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472"/>
      <c r="C29" s="473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50000000000003" customHeight="1">
      <c r="B30" s="474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50000000000003" customHeight="1">
      <c r="B31" s="475"/>
      <c r="C31" s="34" t="s">
        <v>43</v>
      </c>
      <c r="D31" s="15">
        <v>282.53571428571433</v>
      </c>
      <c r="E31" s="15">
        <v>771.37554541047189</v>
      </c>
      <c r="F31" s="15">
        <v>833.99246844486743</v>
      </c>
      <c r="G31" s="15">
        <v>0</v>
      </c>
      <c r="H31" s="41">
        <v>981.06706108520837</v>
      </c>
      <c r="I31" s="42">
        <v>0</v>
      </c>
      <c r="J31" s="15">
        <v>774.03238095238248</v>
      </c>
      <c r="K31" s="15">
        <v>619.4</v>
      </c>
      <c r="L31" s="15">
        <v>940.99424242894543</v>
      </c>
      <c r="M31" s="16">
        <v>895.87500000000034</v>
      </c>
    </row>
    <row r="32" spans="2:17" ht="39.950000000000003" customHeight="1">
      <c r="B32" s="476"/>
      <c r="C32" s="43" t="s">
        <v>44</v>
      </c>
      <c r="D32" s="17">
        <f t="shared" ref="D32:M32" si="1">D31/D30</f>
        <v>0.8829241071428573</v>
      </c>
      <c r="E32" s="17">
        <f t="shared" si="1"/>
        <v>0.93500066110360225</v>
      </c>
      <c r="F32" s="17">
        <f t="shared" si="1"/>
        <v>1.0108999617513545</v>
      </c>
      <c r="G32" s="17">
        <f t="shared" si="1"/>
        <v>0</v>
      </c>
      <c r="H32" s="44">
        <f t="shared" si="1"/>
        <v>1.0900745123168982</v>
      </c>
      <c r="I32" s="45">
        <f t="shared" si="1"/>
        <v>0</v>
      </c>
      <c r="J32" s="17">
        <f t="shared" si="1"/>
        <v>0.93822106782106962</v>
      </c>
      <c r="K32" s="17">
        <f t="shared" si="1"/>
        <v>0.68822222222222218</v>
      </c>
      <c r="L32" s="17">
        <f t="shared" si="1"/>
        <v>1.0455491582543839</v>
      </c>
      <c r="M32" s="18">
        <f t="shared" si="1"/>
        <v>0.99541666666666706</v>
      </c>
    </row>
    <row r="33" spans="2:13" ht="25.9" customHeight="1">
      <c r="B33" s="477" t="s">
        <v>45</v>
      </c>
      <c r="C33" s="43" t="s">
        <v>46</v>
      </c>
      <c r="D33" s="19">
        <v>0.17361111111111113</v>
      </c>
      <c r="E33" s="19">
        <v>0.17361111111111113</v>
      </c>
      <c r="F33" s="19">
        <v>0.18055555555555555</v>
      </c>
      <c r="G33" s="19">
        <v>0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9" customHeight="1">
      <c r="B34" s="478"/>
      <c r="C34" s="43" t="s">
        <v>47</v>
      </c>
      <c r="D34" s="19">
        <v>0.22083333333333333</v>
      </c>
      <c r="E34" s="19">
        <v>0.36388888888888887</v>
      </c>
      <c r="F34" s="19">
        <v>0.3666666666666667</v>
      </c>
      <c r="G34" s="19">
        <v>0</v>
      </c>
      <c r="H34" s="46">
        <v>0.45416666666666666</v>
      </c>
      <c r="I34" s="47">
        <v>0</v>
      </c>
      <c r="J34" s="19">
        <v>0.98263888888888884</v>
      </c>
      <c r="K34" s="19">
        <v>0.79513888888888884</v>
      </c>
      <c r="L34" s="19">
        <v>46057.072916666664</v>
      </c>
      <c r="M34" s="20">
        <v>0.76388888888888884</v>
      </c>
    </row>
    <row r="35" spans="2:13" ht="25.9" customHeight="1">
      <c r="B35" s="458" t="s">
        <v>51</v>
      </c>
      <c r="C35" s="459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9" customHeight="1">
      <c r="B36" s="458" t="s">
        <v>52</v>
      </c>
      <c r="C36" s="459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9" customHeight="1">
      <c r="B37" s="458" t="s">
        <v>58</v>
      </c>
      <c r="C37" s="459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9" customHeight="1" thickBot="1">
      <c r="B38" s="460" t="s">
        <v>59</v>
      </c>
      <c r="C38" s="461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4" type="noConversion"/>
  <conditionalFormatting sqref="D32 F32:J32 L32">
    <cfRule type="cellIs" dxfId="31042" priority="10" operator="lessThan">
      <formula>0.8</formula>
    </cfRule>
  </conditionalFormatting>
  <conditionalFormatting sqref="M32">
    <cfRule type="cellIs" dxfId="31041" priority="9" operator="lessThan">
      <formula>0.8</formula>
    </cfRule>
  </conditionalFormatting>
  <conditionalFormatting sqref="K32">
    <cfRule type="cellIs" dxfId="31040" priority="8" operator="lessThan">
      <formula>0.8</formula>
    </cfRule>
  </conditionalFormatting>
  <conditionalFormatting sqref="E32">
    <cfRule type="cellIs" dxfId="31039" priority="7" operator="lessThan">
      <formula>0.8</formula>
    </cfRule>
  </conditionalFormatting>
  <conditionalFormatting sqref="D15:P15">
    <cfRule type="cellIs" dxfId="31038" priority="6" operator="lessThan">
      <formula>0.8</formula>
    </cfRule>
  </conditionalFormatting>
  <conditionalFormatting sqref="Q15">
    <cfRule type="cellIs" dxfId="31037" priority="5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19" zoomScale="85" zoomScaleNormal="85" workbookViewId="0">
      <selection activeCell="D60" sqref="D60"/>
    </sheetView>
  </sheetViews>
  <sheetFormatPr defaultColWidth="7.875" defaultRowHeight="15.75"/>
  <cols>
    <col min="1" max="1" width="13.625" style="371" customWidth="1"/>
    <col min="2" max="2" width="12.75" style="371" customWidth="1"/>
    <col min="3" max="3" width="12.75" style="457" hidden="1" customWidth="1"/>
    <col min="4" max="5" width="18.375" style="371" customWidth="1"/>
    <col min="6" max="6" width="9.75" style="455" customWidth="1"/>
    <col min="7" max="7" width="21.125" style="371" bestFit="1" customWidth="1"/>
    <col min="8" max="8" width="15.625" style="371" customWidth="1"/>
    <col min="9" max="9" width="12.25" style="371" bestFit="1" customWidth="1"/>
    <col min="10" max="15" width="9.75" style="371" customWidth="1"/>
    <col min="16" max="16" width="9.75" style="456" customWidth="1"/>
    <col min="17" max="18" width="9.75" style="371" customWidth="1"/>
    <col min="19" max="16384" width="7.875" style="371"/>
  </cols>
  <sheetData>
    <row r="1" spans="1:18" ht="26.25" customHeight="1">
      <c r="A1" s="362" t="s">
        <v>293</v>
      </c>
      <c r="B1" s="363"/>
      <c r="C1" s="364"/>
      <c r="D1" s="365" t="s">
        <v>227</v>
      </c>
      <c r="E1" s="366">
        <f>SUM(G5:G124)</f>
        <v>75296</v>
      </c>
      <c r="F1" s="367" t="s">
        <v>3</v>
      </c>
      <c r="G1" s="368">
        <f>SUM(H5:H124)</f>
        <v>1494721.6536293994</v>
      </c>
      <c r="H1" s="369" t="s">
        <v>294</v>
      </c>
      <c r="I1" s="370">
        <f>+J16+J64+J24+J38+J51+J81+J100+J91+J57+J124+J111</f>
        <v>37.550000000000004</v>
      </c>
      <c r="J1" s="584" t="s">
        <v>295</v>
      </c>
      <c r="K1" s="585"/>
      <c r="L1" s="586"/>
      <c r="M1" s="584" t="s">
        <v>229</v>
      </c>
      <c r="N1" s="585"/>
      <c r="O1" s="585"/>
      <c r="P1" s="585"/>
      <c r="Q1" s="585"/>
      <c r="R1" s="586"/>
    </row>
    <row r="2" spans="1:18" ht="26.25" customHeight="1" thickBot="1">
      <c r="A2" s="590" t="s">
        <v>296</v>
      </c>
      <c r="B2" s="591"/>
      <c r="C2" s="372"/>
      <c r="D2" s="373" t="s">
        <v>236</v>
      </c>
      <c r="E2" s="374">
        <f>AVERAGE(L16,L24,L38,L51,L100,L111,L91)</f>
        <v>623.72404828850631</v>
      </c>
      <c r="F2" s="375" t="s">
        <v>94</v>
      </c>
      <c r="G2" s="376">
        <f>G1/E1</f>
        <v>19.851275680373451</v>
      </c>
      <c r="H2" s="377" t="s">
        <v>297</v>
      </c>
      <c r="I2" s="378">
        <f>COUNT(I5:I124)</f>
        <v>0</v>
      </c>
      <c r="J2" s="587"/>
      <c r="K2" s="588"/>
      <c r="L2" s="589"/>
      <c r="M2" s="587"/>
      <c r="N2" s="588"/>
      <c r="O2" s="588"/>
      <c r="P2" s="588"/>
      <c r="Q2" s="588"/>
      <c r="R2" s="589"/>
    </row>
    <row r="3" spans="1:18" ht="23.25" customHeight="1">
      <c r="A3" s="592" t="s">
        <v>237</v>
      </c>
      <c r="B3" s="594" t="s">
        <v>298</v>
      </c>
      <c r="C3" s="379"/>
      <c r="D3" s="595" t="s">
        <v>238</v>
      </c>
      <c r="E3" s="595"/>
      <c r="F3" s="596" t="s">
        <v>99</v>
      </c>
      <c r="G3" s="597" t="s">
        <v>299</v>
      </c>
      <c r="H3" s="598" t="s">
        <v>300</v>
      </c>
      <c r="I3" s="599" t="s">
        <v>239</v>
      </c>
      <c r="J3" s="567" t="s">
        <v>241</v>
      </c>
      <c r="K3" s="577" t="s">
        <v>240</v>
      </c>
      <c r="L3" s="579" t="s">
        <v>236</v>
      </c>
      <c r="M3" s="581" t="s">
        <v>109</v>
      </c>
      <c r="N3" s="581"/>
      <c r="O3" s="567" t="s">
        <v>301</v>
      </c>
      <c r="P3" s="582" t="s">
        <v>244</v>
      </c>
      <c r="Q3" s="567" t="s">
        <v>245</v>
      </c>
      <c r="R3" s="567"/>
    </row>
    <row r="4" spans="1:18" ht="15.75" customHeight="1">
      <c r="A4" s="593"/>
      <c r="B4" s="594"/>
      <c r="C4" s="379"/>
      <c r="D4" s="595"/>
      <c r="E4" s="595"/>
      <c r="F4" s="596"/>
      <c r="G4" s="597"/>
      <c r="H4" s="598"/>
      <c r="I4" s="600"/>
      <c r="J4" s="576"/>
      <c r="K4" s="578"/>
      <c r="L4" s="580"/>
      <c r="M4" s="381" t="s">
        <v>116</v>
      </c>
      <c r="N4" s="381" t="s">
        <v>117</v>
      </c>
      <c r="O4" s="576"/>
      <c r="P4" s="583"/>
      <c r="Q4" s="382" t="s">
        <v>249</v>
      </c>
      <c r="R4" s="382" t="s">
        <v>302</v>
      </c>
    </row>
    <row r="5" spans="1:18">
      <c r="A5" s="568" t="s">
        <v>303</v>
      </c>
      <c r="B5" s="383" t="s">
        <v>389</v>
      </c>
      <c r="C5" s="383"/>
      <c r="D5" s="384" t="s">
        <v>304</v>
      </c>
      <c r="E5" s="384"/>
      <c r="F5" s="385">
        <v>29.965493443754308</v>
      </c>
      <c r="G5" s="379">
        <v>1767</v>
      </c>
      <c r="H5" s="386">
        <f>F5*G5</f>
        <v>52949.026915113864</v>
      </c>
      <c r="I5" s="387"/>
      <c r="J5" s="388">
        <v>13</v>
      </c>
      <c r="K5" s="389">
        <f t="shared" ref="K5:K12" si="0">G5/P5*60</f>
        <v>1247.2941176470597</v>
      </c>
      <c r="L5" s="390">
        <f t="shared" ref="L5:L12" si="1">K5/J5</f>
        <v>95.945701357466135</v>
      </c>
      <c r="M5" s="391">
        <v>0.17361111111111113</v>
      </c>
      <c r="N5" s="391">
        <v>0.23263888888888887</v>
      </c>
      <c r="O5" s="382">
        <v>10</v>
      </c>
      <c r="P5" s="392">
        <f t="shared" ref="P5:P80" si="2">(N5-M5)*24*60</f>
        <v>84.999999999999943</v>
      </c>
      <c r="Q5" s="393"/>
      <c r="R5" s="393"/>
    </row>
    <row r="6" spans="1:18">
      <c r="A6" s="568"/>
      <c r="B6" s="383">
        <v>0</v>
      </c>
      <c r="C6" s="383"/>
      <c r="D6" s="384" t="s">
        <v>305</v>
      </c>
      <c r="E6" s="384"/>
      <c r="F6" s="385" t="s">
        <v>391</v>
      </c>
      <c r="G6" s="379">
        <v>1128</v>
      </c>
      <c r="H6" s="386">
        <f t="shared" ref="H6:H113" si="3">F6*G6</f>
        <v>0</v>
      </c>
      <c r="I6" s="387"/>
      <c r="J6" s="388">
        <v>9</v>
      </c>
      <c r="K6" s="389">
        <f t="shared" si="0"/>
        <v>1504.0000000000014</v>
      </c>
      <c r="L6" s="390">
        <f t="shared" si="1"/>
        <v>167.11111111111126</v>
      </c>
      <c r="M6" s="391">
        <v>0.23611111111111113</v>
      </c>
      <c r="N6" s="391">
        <v>0.2673611111111111</v>
      </c>
      <c r="O6" s="382">
        <v>5</v>
      </c>
      <c r="P6" s="392">
        <f t="shared" si="2"/>
        <v>44.999999999999957</v>
      </c>
      <c r="Q6" s="382"/>
      <c r="R6" s="382"/>
    </row>
    <row r="7" spans="1:18">
      <c r="A7" s="568"/>
      <c r="B7" s="383">
        <v>0</v>
      </c>
      <c r="C7" s="383"/>
      <c r="D7" s="384" t="s">
        <v>306</v>
      </c>
      <c r="E7" s="384"/>
      <c r="F7" s="385" t="s">
        <v>391</v>
      </c>
      <c r="G7" s="379">
        <v>1173</v>
      </c>
      <c r="H7" s="386">
        <f t="shared" si="3"/>
        <v>0</v>
      </c>
      <c r="I7" s="387"/>
      <c r="J7" s="388">
        <v>9</v>
      </c>
      <c r="K7" s="389">
        <f t="shared" si="0"/>
        <v>1564</v>
      </c>
      <c r="L7" s="390">
        <f t="shared" si="1"/>
        <v>173.77777777777777</v>
      </c>
      <c r="M7" s="391">
        <v>0.27083333333333331</v>
      </c>
      <c r="N7" s="391">
        <v>0.30208333333333331</v>
      </c>
      <c r="O7" s="382">
        <v>5</v>
      </c>
      <c r="P7" s="392">
        <f t="shared" si="2"/>
        <v>45</v>
      </c>
      <c r="Q7" s="393"/>
      <c r="R7" s="393"/>
    </row>
    <row r="8" spans="1:18">
      <c r="A8" s="568"/>
      <c r="B8" s="383" t="s">
        <v>392</v>
      </c>
      <c r="C8" s="383"/>
      <c r="D8" s="384" t="s">
        <v>307</v>
      </c>
      <c r="E8" s="384"/>
      <c r="F8" s="385">
        <v>19.7</v>
      </c>
      <c r="G8" s="379">
        <v>211</v>
      </c>
      <c r="H8" s="386">
        <f t="shared" si="3"/>
        <v>4156.7</v>
      </c>
      <c r="I8" s="387"/>
      <c r="J8" s="388">
        <v>12</v>
      </c>
      <c r="K8" s="389">
        <f t="shared" si="0"/>
        <v>1265.9999999999943</v>
      </c>
      <c r="L8" s="390">
        <f t="shared" si="1"/>
        <v>105.49999999999953</v>
      </c>
      <c r="M8" s="391">
        <v>0.30555555555555552</v>
      </c>
      <c r="N8" s="391">
        <v>0.3125</v>
      </c>
      <c r="O8" s="382">
        <v>5</v>
      </c>
      <c r="P8" s="392">
        <f t="shared" si="2"/>
        <v>10.000000000000044</v>
      </c>
      <c r="Q8" s="393"/>
      <c r="R8" s="393"/>
    </row>
    <row r="9" spans="1:18">
      <c r="A9" s="568"/>
      <c r="B9" s="383" t="s">
        <v>392</v>
      </c>
      <c r="C9" s="383"/>
      <c r="D9" s="384" t="s">
        <v>308</v>
      </c>
      <c r="E9" s="384"/>
      <c r="F9" s="385">
        <v>27.05</v>
      </c>
      <c r="G9" s="394">
        <v>870</v>
      </c>
      <c r="H9" s="386">
        <f t="shared" si="3"/>
        <v>23533.5</v>
      </c>
      <c r="I9" s="387"/>
      <c r="J9" s="388">
        <v>13</v>
      </c>
      <c r="K9" s="389">
        <f t="shared" si="0"/>
        <v>1491.4285714285732</v>
      </c>
      <c r="L9" s="390">
        <f t="shared" si="1"/>
        <v>114.72527472527486</v>
      </c>
      <c r="M9" s="391">
        <v>0.31597222222222221</v>
      </c>
      <c r="N9" s="391">
        <v>0.34027777777777773</v>
      </c>
      <c r="O9" s="382">
        <v>5</v>
      </c>
      <c r="P9" s="392">
        <f t="shared" si="2"/>
        <v>34.999999999999957</v>
      </c>
      <c r="Q9" s="393">
        <v>0.34027777777777773</v>
      </c>
      <c r="R9" s="393">
        <v>0.38194444444444442</v>
      </c>
    </row>
    <row r="10" spans="1:18">
      <c r="A10" s="568"/>
      <c r="B10" s="383" t="s">
        <v>392</v>
      </c>
      <c r="C10" s="383"/>
      <c r="D10" s="384" t="s">
        <v>309</v>
      </c>
      <c r="E10" s="384"/>
      <c r="F10" s="385">
        <v>36.450000000000003</v>
      </c>
      <c r="G10" s="394">
        <v>3680</v>
      </c>
      <c r="H10" s="386">
        <f t="shared" si="3"/>
        <v>134136</v>
      </c>
      <c r="I10" s="387"/>
      <c r="J10" s="388">
        <v>10</v>
      </c>
      <c r="K10" s="389">
        <f t="shared" si="0"/>
        <v>1471.9999999999998</v>
      </c>
      <c r="L10" s="390">
        <f t="shared" si="1"/>
        <v>147.19999999999999</v>
      </c>
      <c r="M10" s="391">
        <v>0.38194444444444442</v>
      </c>
      <c r="N10" s="391">
        <v>0.4861111111111111</v>
      </c>
      <c r="O10" s="382">
        <v>5</v>
      </c>
      <c r="P10" s="392">
        <f t="shared" si="2"/>
        <v>150.00000000000003</v>
      </c>
      <c r="Q10" s="393"/>
      <c r="R10" s="393"/>
    </row>
    <row r="11" spans="1:18">
      <c r="A11" s="568"/>
      <c r="B11" s="383" t="s">
        <v>392</v>
      </c>
      <c r="C11" s="383"/>
      <c r="D11" s="384" t="s">
        <v>310</v>
      </c>
      <c r="E11" s="384"/>
      <c r="F11" s="385">
        <v>25.64</v>
      </c>
      <c r="G11" s="394">
        <v>663</v>
      </c>
      <c r="H11" s="386">
        <f t="shared" si="3"/>
        <v>16999.32</v>
      </c>
      <c r="I11" s="387"/>
      <c r="J11" s="388">
        <v>10</v>
      </c>
      <c r="K11" s="389">
        <f t="shared" si="0"/>
        <v>1591.2000000000005</v>
      </c>
      <c r="L11" s="390">
        <f t="shared" si="1"/>
        <v>159.12000000000006</v>
      </c>
      <c r="M11" s="391">
        <v>0.48958333333333331</v>
      </c>
      <c r="N11" s="391">
        <v>0.50694444444444442</v>
      </c>
      <c r="O11" s="382">
        <v>5</v>
      </c>
      <c r="P11" s="392">
        <f t="shared" si="2"/>
        <v>24.999999999999993</v>
      </c>
      <c r="Q11" s="393"/>
      <c r="R11" s="393"/>
    </row>
    <row r="12" spans="1:18">
      <c r="A12" s="569"/>
      <c r="B12" s="383" t="s">
        <v>392</v>
      </c>
      <c r="C12" s="383"/>
      <c r="D12" s="384" t="s">
        <v>311</v>
      </c>
      <c r="E12" s="384"/>
      <c r="F12" s="385">
        <v>29.52</v>
      </c>
      <c r="G12" s="394">
        <v>1128</v>
      </c>
      <c r="H12" s="386">
        <f t="shared" si="3"/>
        <v>33298.559999999998</v>
      </c>
      <c r="I12" s="387"/>
      <c r="J12" s="388">
        <v>12</v>
      </c>
      <c r="K12" s="389">
        <f t="shared" si="0"/>
        <v>1691.9999999999993</v>
      </c>
      <c r="L12" s="390">
        <f t="shared" si="1"/>
        <v>140.99999999999994</v>
      </c>
      <c r="M12" s="391">
        <v>0.51041666666666663</v>
      </c>
      <c r="N12" s="391">
        <v>0.53819444444444442</v>
      </c>
      <c r="O12" s="382">
        <v>5</v>
      </c>
      <c r="P12" s="392">
        <f t="shared" si="2"/>
        <v>40.000000000000014</v>
      </c>
      <c r="Q12" s="393"/>
      <c r="R12" s="393"/>
    </row>
    <row r="13" spans="1:18">
      <c r="A13" s="569"/>
      <c r="B13" s="383" t="s">
        <v>392</v>
      </c>
      <c r="C13" s="395"/>
      <c r="D13" s="384" t="s">
        <v>312</v>
      </c>
      <c r="E13" s="384"/>
      <c r="F13" s="385">
        <v>29.856999999999999</v>
      </c>
      <c r="G13" s="396">
        <v>1173</v>
      </c>
      <c r="H13" s="386">
        <f t="shared" si="3"/>
        <v>35022.260999999999</v>
      </c>
      <c r="I13" s="387"/>
      <c r="J13" s="388">
        <v>12</v>
      </c>
      <c r="K13" s="389">
        <f>G13/P13*60</f>
        <v>1759.4999999999993</v>
      </c>
      <c r="L13" s="390">
        <f>K13/J13</f>
        <v>146.62499999999994</v>
      </c>
      <c r="M13" s="391">
        <v>0.54166666666666663</v>
      </c>
      <c r="N13" s="391">
        <v>0.56944444444444442</v>
      </c>
      <c r="O13" s="382">
        <v>5</v>
      </c>
      <c r="P13" s="392">
        <f t="shared" si="2"/>
        <v>40.000000000000014</v>
      </c>
      <c r="Q13" s="393"/>
      <c r="R13" s="382"/>
    </row>
    <row r="14" spans="1:18">
      <c r="A14" s="569"/>
      <c r="B14" s="383" t="s">
        <v>389</v>
      </c>
      <c r="C14" s="383"/>
      <c r="D14" s="397" t="s">
        <v>313</v>
      </c>
      <c r="E14" s="398"/>
      <c r="F14" s="385">
        <v>28.57</v>
      </c>
      <c r="G14" s="394">
        <v>1491</v>
      </c>
      <c r="H14" s="386">
        <f t="shared" si="3"/>
        <v>42597.87</v>
      </c>
      <c r="I14" s="387"/>
      <c r="J14" s="388">
        <v>8</v>
      </c>
      <c r="K14" s="389">
        <f>G14/P14*60</f>
        <v>1490.9999999999973</v>
      </c>
      <c r="L14" s="390">
        <f>K14/J14</f>
        <v>186.37499999999966</v>
      </c>
      <c r="M14" s="391">
        <v>0.57291666666666663</v>
      </c>
      <c r="N14" s="391">
        <v>0.61458333333333337</v>
      </c>
      <c r="O14" s="382">
        <v>5</v>
      </c>
      <c r="P14" s="392">
        <f t="shared" si="2"/>
        <v>60.000000000000107</v>
      </c>
      <c r="Q14" s="382"/>
      <c r="R14" s="382"/>
    </row>
    <row r="15" spans="1:18">
      <c r="A15" s="569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70"/>
      <c r="B16" s="383">
        <v>0</v>
      </c>
      <c r="C16" s="400" t="s">
        <v>79</v>
      </c>
      <c r="D16" s="552" t="s">
        <v>75</v>
      </c>
      <c r="E16" s="552"/>
      <c r="F16" s="401"/>
      <c r="G16" s="402"/>
      <c r="H16" s="403"/>
      <c r="I16" s="404"/>
      <c r="J16" s="405">
        <f>AVERAGE(J5:J15)</f>
        <v>10.8</v>
      </c>
      <c r="K16" s="405">
        <f>AVERAGE(K5:K15)</f>
        <v>1507.8422689075626</v>
      </c>
      <c r="L16" s="406">
        <f>AVERAGE(L5:L15)</f>
        <v>143.73798649716292</v>
      </c>
      <c r="M16" s="391"/>
      <c r="N16" s="391"/>
      <c r="O16" s="389"/>
      <c r="P16" s="389"/>
      <c r="Q16" s="390"/>
      <c r="R16" s="390"/>
    </row>
    <row r="17" spans="1:18" ht="15.75" customHeight="1">
      <c r="A17" s="571" t="s">
        <v>314</v>
      </c>
      <c r="B17" s="383" t="s">
        <v>392</v>
      </c>
      <c r="C17" s="395"/>
      <c r="D17" s="574" t="s">
        <v>315</v>
      </c>
      <c r="E17" s="575"/>
      <c r="F17" s="385">
        <v>14.03</v>
      </c>
      <c r="G17" s="379">
        <v>513</v>
      </c>
      <c r="H17" s="407">
        <f t="shared" ref="H17:H23" si="4">F17*G17</f>
        <v>7197.3899999999994</v>
      </c>
      <c r="I17" s="408"/>
      <c r="J17" s="388">
        <v>6</v>
      </c>
      <c r="K17" s="389">
        <f>G17/P17*60</f>
        <v>1539.0000000000025</v>
      </c>
      <c r="L17" s="390">
        <f>K17/J17</f>
        <v>256.5000000000004</v>
      </c>
      <c r="M17" s="391">
        <v>0.17361111111111113</v>
      </c>
      <c r="N17" s="391">
        <v>0.1875</v>
      </c>
      <c r="O17" s="382">
        <v>10</v>
      </c>
      <c r="P17" s="392">
        <f>(N17-M17)*24*60</f>
        <v>19.999999999999968</v>
      </c>
      <c r="Q17" s="382"/>
      <c r="R17" s="382"/>
    </row>
    <row r="18" spans="1:18" ht="15.75" customHeight="1">
      <c r="A18" s="571"/>
      <c r="B18" s="383" t="s">
        <v>389</v>
      </c>
      <c r="C18" s="395"/>
      <c r="D18" s="562" t="s">
        <v>316</v>
      </c>
      <c r="E18" s="563"/>
      <c r="F18" s="385">
        <v>14.49</v>
      </c>
      <c r="G18" s="396">
        <v>720</v>
      </c>
      <c r="H18" s="386">
        <f t="shared" si="4"/>
        <v>10432.799999999999</v>
      </c>
      <c r="I18" s="387"/>
      <c r="J18" s="388">
        <v>5</v>
      </c>
      <c r="K18" s="389">
        <f>G18/P18*60</f>
        <v>1542.8571428571418</v>
      </c>
      <c r="L18" s="390">
        <f>K18/J18</f>
        <v>308.57142857142833</v>
      </c>
      <c r="M18" s="391">
        <v>0.20138888888888887</v>
      </c>
      <c r="N18" s="391">
        <v>0.22083333333333333</v>
      </c>
      <c r="O18" s="382">
        <v>20</v>
      </c>
      <c r="P18" s="392">
        <f t="shared" ref="P18:P23" si="5">(N18-M18)*24*60</f>
        <v>28.000000000000021</v>
      </c>
      <c r="Q18" s="393"/>
      <c r="R18" s="393"/>
    </row>
    <row r="19" spans="1:18" ht="15.75" customHeight="1">
      <c r="A19" s="571"/>
      <c r="B19" s="383">
        <v>0</v>
      </c>
      <c r="C19" s="395"/>
      <c r="D19" s="562"/>
      <c r="E19" s="563"/>
      <c r="F19" s="385" t="s">
        <v>391</v>
      </c>
      <c r="G19" s="396"/>
      <c r="H19" s="386"/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72"/>
      <c r="B20" s="383">
        <v>0</v>
      </c>
      <c r="C20" s="395"/>
      <c r="D20" s="411"/>
      <c r="E20" s="398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72"/>
      <c r="B21" s="383">
        <v>0</v>
      </c>
      <c r="C21" s="395"/>
      <c r="D21" s="411"/>
      <c r="E21" s="398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72"/>
      <c r="B22" s="383">
        <v>0</v>
      </c>
      <c r="C22" s="395"/>
      <c r="D22" s="411"/>
      <c r="E22" s="398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72"/>
      <c r="B23" s="383">
        <v>0</v>
      </c>
      <c r="C23" s="395"/>
      <c r="D23" s="411"/>
      <c r="E23" s="398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45" customHeight="1">
      <c r="A24" s="573"/>
      <c r="B24" s="383">
        <v>0</v>
      </c>
      <c r="C24" s="12" t="s">
        <v>317</v>
      </c>
      <c r="D24" s="552" t="s">
        <v>75</v>
      </c>
      <c r="E24" s="552"/>
      <c r="F24" s="401"/>
      <c r="G24" s="412"/>
      <c r="H24" s="403"/>
      <c r="I24" s="404"/>
      <c r="J24" s="405">
        <f>AVERAGE(J17:J23)</f>
        <v>5.5</v>
      </c>
      <c r="K24" s="405">
        <f>AVERAGE(K17:K23)</f>
        <v>1540.928571428572</v>
      </c>
      <c r="L24" s="406">
        <f>AVERAGE(L17:L23)</f>
        <v>282.53571428571433</v>
      </c>
      <c r="M24" s="391"/>
      <c r="N24" s="391"/>
      <c r="O24" s="382"/>
      <c r="P24" s="382"/>
      <c r="Q24" s="382"/>
      <c r="R24" s="382"/>
    </row>
    <row r="25" spans="1:18">
      <c r="A25" s="556" t="s">
        <v>318</v>
      </c>
      <c r="B25" s="383" t="s">
        <v>389</v>
      </c>
      <c r="C25" s="413"/>
      <c r="D25" s="414" t="s">
        <v>319</v>
      </c>
      <c r="E25" s="415"/>
      <c r="F25" s="385">
        <v>22.281818181818181</v>
      </c>
      <c r="G25" s="379">
        <v>635</v>
      </c>
      <c r="H25" s="386">
        <f t="shared" ref="H25:H37" si="6">F25*G25</f>
        <v>14148.954545454546</v>
      </c>
      <c r="I25" s="387"/>
      <c r="J25" s="388">
        <v>4</v>
      </c>
      <c r="K25" s="389">
        <f t="shared" ref="K25:K28" si="7">G25/P25*60</f>
        <v>2930.7692307692323</v>
      </c>
      <c r="L25" s="390">
        <f t="shared" ref="L25:L28" si="8">K25/J25</f>
        <v>732.69230769230808</v>
      </c>
      <c r="M25" s="391">
        <v>0.17361111111111113</v>
      </c>
      <c r="N25" s="391">
        <v>0.18263888888888891</v>
      </c>
      <c r="O25" s="382">
        <v>10</v>
      </c>
      <c r="P25" s="392">
        <f t="shared" ref="P25:P37" si="9">(N25-M25)*24*60</f>
        <v>12.999999999999993</v>
      </c>
      <c r="Q25" s="393"/>
      <c r="R25" s="393"/>
    </row>
    <row r="26" spans="1:18">
      <c r="A26" s="556"/>
      <c r="B26" s="383" t="s">
        <v>389</v>
      </c>
      <c r="C26" s="413"/>
      <c r="D26" s="416" t="s">
        <v>320</v>
      </c>
      <c r="E26" s="414"/>
      <c r="F26" s="385">
        <v>16.66</v>
      </c>
      <c r="G26" s="379">
        <v>2410</v>
      </c>
      <c r="H26" s="386">
        <f t="shared" si="6"/>
        <v>40150.6</v>
      </c>
      <c r="I26" s="387"/>
      <c r="J26" s="388">
        <v>4</v>
      </c>
      <c r="K26" s="389">
        <f t="shared" si="7"/>
        <v>2835.2941176470599</v>
      </c>
      <c r="L26" s="390">
        <f t="shared" si="8"/>
        <v>708.82352941176498</v>
      </c>
      <c r="M26" s="391">
        <v>0.19652777777777777</v>
      </c>
      <c r="N26" s="391">
        <v>0.23194444444444443</v>
      </c>
      <c r="O26" s="382">
        <v>20</v>
      </c>
      <c r="P26" s="392">
        <f t="shared" si="9"/>
        <v>50.999999999999979</v>
      </c>
      <c r="Q26" s="393"/>
      <c r="R26" s="393"/>
    </row>
    <row r="27" spans="1:18">
      <c r="A27" s="556"/>
      <c r="B27" s="383" t="s">
        <v>389</v>
      </c>
      <c r="C27" s="413"/>
      <c r="D27" s="411" t="s">
        <v>321</v>
      </c>
      <c r="E27" s="414"/>
      <c r="F27" s="385">
        <v>18.18</v>
      </c>
      <c r="G27" s="379">
        <v>2637</v>
      </c>
      <c r="H27" s="386">
        <f t="shared" si="6"/>
        <v>47940.659999999996</v>
      </c>
      <c r="I27" s="387"/>
      <c r="J27" s="388">
        <v>4</v>
      </c>
      <c r="K27" s="389">
        <f t="shared" si="7"/>
        <v>2825.3571428571449</v>
      </c>
      <c r="L27" s="390">
        <f t="shared" si="8"/>
        <v>706.33928571428623</v>
      </c>
      <c r="M27" s="391">
        <v>0.24583333333333335</v>
      </c>
      <c r="N27" s="391">
        <v>0.28472222222222221</v>
      </c>
      <c r="O27" s="382">
        <v>20</v>
      </c>
      <c r="P27" s="392">
        <f t="shared" si="9"/>
        <v>55.999999999999957</v>
      </c>
      <c r="Q27" s="393">
        <v>0.28472222222222221</v>
      </c>
      <c r="R27" s="393">
        <v>0.3263888888888889</v>
      </c>
    </row>
    <row r="28" spans="1:18">
      <c r="A28" s="556"/>
      <c r="B28" s="383" t="s">
        <v>389</v>
      </c>
      <c r="C28" s="395"/>
      <c r="D28" s="416" t="s">
        <v>322</v>
      </c>
      <c r="E28" s="417"/>
      <c r="F28" s="385">
        <v>17.890909090909091</v>
      </c>
      <c r="G28" s="379">
        <v>1594</v>
      </c>
      <c r="H28" s="386">
        <f t="shared" si="6"/>
        <v>28518.109090909089</v>
      </c>
      <c r="I28" s="387"/>
      <c r="J28" s="388">
        <v>3</v>
      </c>
      <c r="K28" s="389">
        <f t="shared" si="7"/>
        <v>2812.9411764705847</v>
      </c>
      <c r="L28" s="390">
        <f t="shared" si="8"/>
        <v>937.64705882352825</v>
      </c>
      <c r="M28" s="391">
        <v>0.34027777777777773</v>
      </c>
      <c r="N28" s="391">
        <v>0.36388888888888887</v>
      </c>
      <c r="O28" s="382">
        <v>20</v>
      </c>
      <c r="P28" s="392">
        <f t="shared" si="9"/>
        <v>34.000000000000043</v>
      </c>
      <c r="Q28" s="393"/>
      <c r="R28" s="393"/>
    </row>
    <row r="29" spans="1:18">
      <c r="A29" s="556"/>
      <c r="B29" s="383">
        <v>0</v>
      </c>
      <c r="C29" s="379"/>
      <c r="D29" s="416"/>
      <c r="E29" s="417"/>
      <c r="F29" s="385" t="s">
        <v>391</v>
      </c>
      <c r="G29" s="379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56"/>
      <c r="B30" s="383">
        <v>0</v>
      </c>
      <c r="C30" s="379"/>
      <c r="D30" s="418"/>
      <c r="E30" s="417"/>
      <c r="F30" s="385" t="s">
        <v>391</v>
      </c>
      <c r="G30" s="379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56"/>
      <c r="B31" s="383">
        <v>0</v>
      </c>
      <c r="C31" s="395"/>
      <c r="D31" s="414"/>
      <c r="E31" s="417"/>
      <c r="F31" s="385" t="s">
        <v>391</v>
      </c>
      <c r="G31" s="379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56"/>
      <c r="B32" s="383">
        <v>0</v>
      </c>
      <c r="C32" s="395"/>
      <c r="D32" s="416"/>
      <c r="E32" s="398"/>
      <c r="F32" s="385" t="s">
        <v>391</v>
      </c>
      <c r="G32" s="379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56"/>
      <c r="B33" s="383">
        <v>0</v>
      </c>
      <c r="C33" s="379"/>
      <c r="D33" s="416"/>
      <c r="E33" s="417"/>
      <c r="F33" s="385" t="s">
        <v>391</v>
      </c>
      <c r="G33" s="379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56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56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56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56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45" customHeight="1">
      <c r="A38" s="557"/>
      <c r="B38" s="383">
        <v>0</v>
      </c>
      <c r="C38" s="12" t="s">
        <v>67</v>
      </c>
      <c r="D38" s="547" t="s">
        <v>323</v>
      </c>
      <c r="E38" s="547"/>
      <c r="F38" s="401"/>
      <c r="G38" s="420"/>
      <c r="H38" s="403"/>
      <c r="I38" s="404"/>
      <c r="J38" s="405">
        <f>AVERAGE(J25:J37)</f>
        <v>3.75</v>
      </c>
      <c r="K38" s="405">
        <f>AVERAGE(K25:K37)</f>
        <v>2851.0904169360056</v>
      </c>
      <c r="L38" s="406">
        <f>AVERAGE(L25:L37)</f>
        <v>771.37554541047189</v>
      </c>
      <c r="M38" s="391"/>
      <c r="N38" s="391"/>
      <c r="O38" s="389"/>
      <c r="P38" s="389"/>
      <c r="Q38" s="390"/>
      <c r="R38" s="390"/>
    </row>
    <row r="39" spans="1:18" ht="16.149999999999999" customHeight="1">
      <c r="A39" s="558" t="s">
        <v>324</v>
      </c>
      <c r="B39" s="383" t="s">
        <v>389</v>
      </c>
      <c r="C39" s="395"/>
      <c r="D39" s="416" t="s">
        <v>325</v>
      </c>
      <c r="E39" s="398"/>
      <c r="F39" s="385">
        <v>21.45</v>
      </c>
      <c r="G39" s="379">
        <v>926</v>
      </c>
      <c r="H39" s="386">
        <f t="shared" ref="H39:H47" si="10">F39*G39</f>
        <v>19862.7</v>
      </c>
      <c r="I39" s="387"/>
      <c r="J39" s="388">
        <v>3</v>
      </c>
      <c r="K39" s="389">
        <f>G39/P39*60</f>
        <v>2924.2105263157873</v>
      </c>
      <c r="L39" s="390">
        <f>K39/J39</f>
        <v>974.73684210526244</v>
      </c>
      <c r="M39" s="391">
        <v>0.18055555555555555</v>
      </c>
      <c r="N39" s="391">
        <v>0.19375000000000001</v>
      </c>
      <c r="O39" s="382">
        <v>20</v>
      </c>
      <c r="P39" s="421">
        <f t="shared" ref="P39:P50" si="11">(N39-M39)*24*60</f>
        <v>19.000000000000014</v>
      </c>
      <c r="Q39" s="393"/>
      <c r="R39" s="393"/>
    </row>
    <row r="40" spans="1:18">
      <c r="A40" s="559"/>
      <c r="B40" s="383" t="s">
        <v>389</v>
      </c>
      <c r="C40" s="395"/>
      <c r="D40" s="411" t="s">
        <v>326</v>
      </c>
      <c r="E40" s="398"/>
      <c r="F40" s="385">
        <v>15.15</v>
      </c>
      <c r="G40" s="379">
        <v>1239</v>
      </c>
      <c r="H40" s="386">
        <f t="shared" si="10"/>
        <v>18770.850000000002</v>
      </c>
      <c r="I40" s="387"/>
      <c r="J40" s="388">
        <v>4</v>
      </c>
      <c r="K40" s="389">
        <f>G40/P40*60</f>
        <v>2859.2307692307709</v>
      </c>
      <c r="L40" s="390">
        <f>K40/J40</f>
        <v>714.80769230769272</v>
      </c>
      <c r="M40" s="391">
        <v>0.2076388888888889</v>
      </c>
      <c r="N40" s="391">
        <v>0.22569444444444445</v>
      </c>
      <c r="O40" s="382">
        <v>20</v>
      </c>
      <c r="P40" s="421">
        <f t="shared" si="11"/>
        <v>25.999999999999986</v>
      </c>
      <c r="Q40" s="393">
        <v>0.22569444444444445</v>
      </c>
      <c r="R40" s="393">
        <v>0.2673611111111111</v>
      </c>
    </row>
    <row r="41" spans="1:18">
      <c r="A41" s="559"/>
      <c r="B41" s="383" t="s">
        <v>389</v>
      </c>
      <c r="C41" s="395"/>
      <c r="D41" s="416" t="s">
        <v>327</v>
      </c>
      <c r="E41" s="398"/>
      <c r="F41" s="385">
        <v>18.53</v>
      </c>
      <c r="G41" s="379">
        <v>2437</v>
      </c>
      <c r="H41" s="386">
        <f t="shared" si="10"/>
        <v>45157.61</v>
      </c>
      <c r="I41" s="387"/>
      <c r="J41" s="388">
        <v>3</v>
      </c>
      <c r="K41" s="389">
        <f t="shared" ref="K41:K42" si="12">G41/P41*60</f>
        <v>2811.9230769230739</v>
      </c>
      <c r="L41" s="390">
        <f t="shared" ref="L41:L42" si="13">K41/J41</f>
        <v>937.30769230769135</v>
      </c>
      <c r="M41" s="391">
        <v>0.28125</v>
      </c>
      <c r="N41" s="391">
        <v>0.31736111111111115</v>
      </c>
      <c r="O41" s="382">
        <v>20</v>
      </c>
      <c r="P41" s="421">
        <f t="shared" si="11"/>
        <v>52.000000000000057</v>
      </c>
      <c r="Q41" s="393"/>
      <c r="R41" s="393"/>
    </row>
    <row r="42" spans="1:18">
      <c r="A42" s="559"/>
      <c r="B42" s="383" t="s">
        <v>389</v>
      </c>
      <c r="C42" s="395"/>
      <c r="D42" s="411" t="s">
        <v>328</v>
      </c>
      <c r="E42" s="398"/>
      <c r="F42" s="385">
        <v>27.27</v>
      </c>
      <c r="G42" s="379">
        <v>2411</v>
      </c>
      <c r="H42" s="386">
        <f t="shared" si="10"/>
        <v>65747.97</v>
      </c>
      <c r="I42" s="387"/>
      <c r="J42" s="388">
        <v>4</v>
      </c>
      <c r="K42" s="389">
        <f t="shared" si="12"/>
        <v>2836.470588235291</v>
      </c>
      <c r="L42" s="390">
        <f t="shared" si="13"/>
        <v>709.11764705882274</v>
      </c>
      <c r="M42" s="391">
        <v>0.33124999999999999</v>
      </c>
      <c r="N42" s="391">
        <v>0.3666666666666667</v>
      </c>
      <c r="O42" s="382">
        <v>20</v>
      </c>
      <c r="P42" s="421">
        <f t="shared" si="11"/>
        <v>51.000000000000057</v>
      </c>
      <c r="Q42" s="393"/>
      <c r="R42" s="393"/>
    </row>
    <row r="43" spans="1:18" ht="15.75" customHeight="1">
      <c r="A43" s="559"/>
      <c r="B43" s="383">
        <v>0</v>
      </c>
      <c r="C43" s="395"/>
      <c r="D43" s="418"/>
      <c r="E43" s="398"/>
      <c r="F43" s="385" t="s">
        <v>391</v>
      </c>
      <c r="G43" s="379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59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59"/>
      <c r="B45" s="383">
        <v>0</v>
      </c>
      <c r="C45" s="395"/>
      <c r="D45" s="416"/>
      <c r="E45" s="417"/>
      <c r="F45" s="385" t="s">
        <v>391</v>
      </c>
      <c r="G45" s="379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59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59"/>
      <c r="B47" s="383">
        <v>0</v>
      </c>
      <c r="C47" s="395"/>
      <c r="D47" s="416"/>
      <c r="E47" s="417"/>
      <c r="F47" s="385" t="s">
        <v>391</v>
      </c>
      <c r="G47" s="379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60"/>
      <c r="B48" s="383">
        <v>0</v>
      </c>
      <c r="C48" s="379"/>
      <c r="D48" s="562"/>
      <c r="E48" s="563"/>
      <c r="F48" s="385" t="s">
        <v>391</v>
      </c>
      <c r="G48" s="379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60"/>
      <c r="B49" s="383">
        <v>0</v>
      </c>
      <c r="C49" s="379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60"/>
      <c r="B50" s="383">
        <v>0</v>
      </c>
      <c r="C50" s="379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61"/>
      <c r="B51" s="383">
        <v>0</v>
      </c>
      <c r="C51" s="12" t="s">
        <v>68</v>
      </c>
      <c r="D51" s="552" t="s">
        <v>75</v>
      </c>
      <c r="E51" s="552"/>
      <c r="F51" s="401"/>
      <c r="G51" s="406"/>
      <c r="H51" s="428"/>
      <c r="I51" s="429"/>
      <c r="J51" s="405">
        <f>AVERAGE(J39:J50)</f>
        <v>3.5</v>
      </c>
      <c r="K51" s="405">
        <f>AVERAGE(K39:K50)</f>
        <v>2857.958740176231</v>
      </c>
      <c r="L51" s="406">
        <f>AVERAGE(L39:L50)</f>
        <v>833.99246844486743</v>
      </c>
      <c r="M51" s="430"/>
      <c r="N51" s="391"/>
      <c r="O51" s="389"/>
      <c r="P51" s="389"/>
      <c r="Q51" s="390"/>
      <c r="R51" s="390"/>
    </row>
    <row r="52" spans="1:18" ht="15.6" customHeight="1">
      <c r="A52" s="564" t="s">
        <v>329</v>
      </c>
      <c r="B52" s="383">
        <v>0</v>
      </c>
      <c r="C52" s="395"/>
      <c r="D52" s="414"/>
      <c r="E52" s="431"/>
      <c r="F52" s="385" t="s">
        <v>391</v>
      </c>
      <c r="G52" s="379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6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65"/>
      <c r="B54" s="383">
        <v>0</v>
      </c>
      <c r="C54" s="395"/>
      <c r="D54" s="414"/>
      <c r="E54" s="398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6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6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6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6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6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6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6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6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6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66"/>
      <c r="B64" s="383">
        <v>0</v>
      </c>
      <c r="C64" s="12" t="s">
        <v>330</v>
      </c>
      <c r="D64" s="552" t="s">
        <v>75</v>
      </c>
      <c r="E64" s="552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49" t="s">
        <v>331</v>
      </c>
      <c r="B65" s="383" t="s">
        <v>389</v>
      </c>
      <c r="C65" s="395"/>
      <c r="D65" s="414" t="s">
        <v>332</v>
      </c>
      <c r="E65" s="431"/>
      <c r="F65" s="385">
        <v>25.03</v>
      </c>
      <c r="G65" s="379">
        <v>749</v>
      </c>
      <c r="H65" s="386">
        <f>F65*G65</f>
        <v>18747.47</v>
      </c>
      <c r="I65" s="387"/>
      <c r="J65" s="388">
        <v>4</v>
      </c>
      <c r="K65" s="389">
        <f t="shared" ref="K65:K71" si="16">G65/P65*60</f>
        <v>3456.923076923079</v>
      </c>
      <c r="L65" s="390">
        <f t="shared" ref="L65:L71" si="17">K65/J65</f>
        <v>864.23076923076974</v>
      </c>
      <c r="M65" s="391">
        <v>0.18055555555555555</v>
      </c>
      <c r="N65" s="391">
        <v>0.18958333333333333</v>
      </c>
      <c r="O65" s="389">
        <v>20</v>
      </c>
      <c r="P65" s="392">
        <f>(N65-M65)*24*60</f>
        <v>12.999999999999993</v>
      </c>
      <c r="Q65" s="393"/>
      <c r="R65" s="393"/>
    </row>
    <row r="66" spans="1:18" ht="15.6" customHeight="1">
      <c r="A66" s="550"/>
      <c r="B66" s="383" t="s">
        <v>389</v>
      </c>
      <c r="C66" s="395"/>
      <c r="D66" s="414" t="s">
        <v>333</v>
      </c>
      <c r="E66" s="432"/>
      <c r="F66" s="385">
        <v>24.82</v>
      </c>
      <c r="G66" s="394">
        <v>981</v>
      </c>
      <c r="H66" s="386">
        <f t="shared" ref="H66:H74" si="18">F66*G66</f>
        <v>24348.420000000002</v>
      </c>
      <c r="I66" s="387"/>
      <c r="J66" s="388">
        <v>4</v>
      </c>
      <c r="K66" s="389">
        <f t="shared" si="16"/>
        <v>3269.99999999999</v>
      </c>
      <c r="L66" s="390">
        <f t="shared" si="17"/>
        <v>817.4999999999975</v>
      </c>
      <c r="M66" s="391">
        <v>0.20347222222222219</v>
      </c>
      <c r="N66" s="391">
        <v>0.21597222222222223</v>
      </c>
      <c r="O66" s="389">
        <v>20</v>
      </c>
      <c r="P66" s="392">
        <f t="shared" ref="P66:P74" si="19">(N66-M66)*24*60</f>
        <v>18.000000000000057</v>
      </c>
      <c r="Q66" s="393"/>
      <c r="R66" s="393"/>
    </row>
    <row r="67" spans="1:18" ht="15.6" customHeight="1">
      <c r="A67" s="550"/>
      <c r="B67" s="383" t="s">
        <v>389</v>
      </c>
      <c r="C67" s="395"/>
      <c r="D67" s="414" t="s">
        <v>334</v>
      </c>
      <c r="E67" s="417"/>
      <c r="F67" s="385">
        <v>30</v>
      </c>
      <c r="G67" s="394">
        <v>1469</v>
      </c>
      <c r="H67" s="386">
        <f t="shared" si="18"/>
        <v>44070</v>
      </c>
      <c r="I67" s="387"/>
      <c r="J67" s="388">
        <v>4</v>
      </c>
      <c r="K67" s="389">
        <f t="shared" si="16"/>
        <v>3264.4444444444412</v>
      </c>
      <c r="L67" s="390">
        <f t="shared" si="17"/>
        <v>816.11111111111029</v>
      </c>
      <c r="M67" s="391">
        <v>0.2298611111111111</v>
      </c>
      <c r="N67" s="391">
        <v>0.24861111111111112</v>
      </c>
      <c r="O67" s="389">
        <v>20</v>
      </c>
      <c r="P67" s="392">
        <f t="shared" si="19"/>
        <v>27.000000000000025</v>
      </c>
      <c r="Q67" s="393"/>
      <c r="R67" s="393"/>
    </row>
    <row r="68" spans="1:18" ht="15.6" customHeight="1">
      <c r="A68" s="550"/>
      <c r="B68" s="383" t="s">
        <v>389</v>
      </c>
      <c r="C68" s="395"/>
      <c r="D68" s="434" t="s">
        <v>335</v>
      </c>
      <c r="E68" s="417"/>
      <c r="F68" s="385">
        <v>14.03</v>
      </c>
      <c r="G68" s="394">
        <v>2562</v>
      </c>
      <c r="H68" s="386">
        <f t="shared" si="18"/>
        <v>35944.86</v>
      </c>
      <c r="I68" s="387"/>
      <c r="J68" s="388">
        <v>3</v>
      </c>
      <c r="K68" s="389">
        <f t="shared" si="16"/>
        <v>3270.6382978723409</v>
      </c>
      <c r="L68" s="390">
        <f t="shared" si="17"/>
        <v>1090.2127659574469</v>
      </c>
      <c r="M68" s="391">
        <v>0.26250000000000001</v>
      </c>
      <c r="N68" s="391">
        <v>0.2951388888888889</v>
      </c>
      <c r="O68" s="389">
        <v>25</v>
      </c>
      <c r="P68" s="392">
        <f t="shared" si="19"/>
        <v>46.999999999999993</v>
      </c>
      <c r="Q68" s="393">
        <v>0.2951388888888889</v>
      </c>
      <c r="R68" s="393">
        <v>0.33680555555555558</v>
      </c>
    </row>
    <row r="69" spans="1:18" ht="15.6" customHeight="1">
      <c r="A69" s="550"/>
      <c r="B69" s="383" t="s">
        <v>389</v>
      </c>
      <c r="C69" s="395"/>
      <c r="D69" s="414" t="s">
        <v>336</v>
      </c>
      <c r="E69" s="417"/>
      <c r="F69" s="385">
        <v>18.18</v>
      </c>
      <c r="G69" s="394">
        <v>838</v>
      </c>
      <c r="H69" s="386">
        <f t="shared" si="18"/>
        <v>15234.84</v>
      </c>
      <c r="I69" s="387"/>
      <c r="J69" s="388">
        <v>3</v>
      </c>
      <c r="K69" s="389">
        <f t="shared" si="16"/>
        <v>3351.9999999999941</v>
      </c>
      <c r="L69" s="390">
        <f t="shared" si="17"/>
        <v>1117.3333333333314</v>
      </c>
      <c r="M69" s="391">
        <v>0.35069444444444442</v>
      </c>
      <c r="N69" s="391">
        <v>0.3611111111111111</v>
      </c>
      <c r="O69" s="389">
        <v>20</v>
      </c>
      <c r="P69" s="392">
        <f t="shared" si="19"/>
        <v>15.000000000000027</v>
      </c>
      <c r="Q69" s="393"/>
      <c r="R69" s="393"/>
    </row>
    <row r="70" spans="1:18" ht="15.75" customHeight="1">
      <c r="A70" s="550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1409</v>
      </c>
      <c r="H70" s="386">
        <f t="shared" si="18"/>
        <v>25615.62</v>
      </c>
      <c r="I70" s="387"/>
      <c r="J70" s="388">
        <v>3</v>
      </c>
      <c r="K70" s="389">
        <f t="shared" si="16"/>
        <v>3251.5384615384633</v>
      </c>
      <c r="L70" s="390">
        <f t="shared" si="17"/>
        <v>1083.8461538461545</v>
      </c>
      <c r="M70" s="391">
        <v>0.375</v>
      </c>
      <c r="N70" s="391">
        <v>0.39305555555555555</v>
      </c>
      <c r="O70" s="389">
        <v>20</v>
      </c>
      <c r="P70" s="392">
        <f t="shared" si="19"/>
        <v>25.999999999999986</v>
      </c>
      <c r="Q70" s="393"/>
      <c r="R70" s="393"/>
    </row>
    <row r="71" spans="1:18" ht="15.6" customHeight="1">
      <c r="A71" s="550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3666</v>
      </c>
      <c r="H71" s="386">
        <f t="shared" si="18"/>
        <v>52371.428571428558</v>
      </c>
      <c r="I71" s="387"/>
      <c r="J71" s="388">
        <v>3</v>
      </c>
      <c r="K71" s="389">
        <f t="shared" si="16"/>
        <v>3234.7058823529451</v>
      </c>
      <c r="L71" s="390">
        <f t="shared" si="17"/>
        <v>1078.2352941176484</v>
      </c>
      <c r="M71" s="391">
        <v>0.4069444444444445</v>
      </c>
      <c r="N71" s="391">
        <v>0.45416666666666666</v>
      </c>
      <c r="O71" s="389">
        <v>20</v>
      </c>
      <c r="P71" s="392">
        <f t="shared" si="19"/>
        <v>67.999999999999915</v>
      </c>
      <c r="Q71" s="393"/>
      <c r="R71" s="393"/>
    </row>
    <row r="72" spans="1:18" ht="15.6" customHeight="1">
      <c r="A72" s="550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50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50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51"/>
      <c r="B75" s="383">
        <v>0</v>
      </c>
      <c r="C75" s="12" t="s">
        <v>339</v>
      </c>
      <c r="D75" s="552" t="s">
        <v>75</v>
      </c>
      <c r="E75" s="552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3300.0357375901795</v>
      </c>
      <c r="L75" s="406">
        <f>AVERAGE(L65:L74)</f>
        <v>981.06706108520837</v>
      </c>
      <c r="M75" s="391"/>
      <c r="N75" s="391"/>
      <c r="O75" s="382"/>
      <c r="P75" s="382"/>
      <c r="Q75" s="382"/>
      <c r="R75" s="382"/>
    </row>
    <row r="76" spans="1:18" ht="16.149999999999999" customHeight="1">
      <c r="A76" s="553" t="s">
        <v>340</v>
      </c>
      <c r="B76" s="383">
        <v>0</v>
      </c>
      <c r="C76" s="400"/>
      <c r="D76" s="554"/>
      <c r="E76" s="555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53"/>
      <c r="B77" s="383">
        <v>0</v>
      </c>
      <c r="C77" s="400"/>
      <c r="D77" s="554"/>
      <c r="E77" s="555"/>
      <c r="F77" s="385" t="s">
        <v>391</v>
      </c>
      <c r="G77" s="379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53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53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53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53"/>
      <c r="B81" s="383">
        <v>0</v>
      </c>
      <c r="C81" s="12" t="s">
        <v>71</v>
      </c>
      <c r="D81" s="547" t="s">
        <v>75</v>
      </c>
      <c r="E81" s="547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38" t="s">
        <v>341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4973</v>
      </c>
      <c r="H82" s="444">
        <f t="shared" ref="H82:H87" si="20">F82*G82</f>
        <v>82850.180000000008</v>
      </c>
      <c r="I82" s="387"/>
      <c r="J82" s="388">
        <v>4</v>
      </c>
      <c r="K82" s="389">
        <f t="shared" ref="K82:K86" si="21">G82/P82*60</f>
        <v>2841.7142857142871</v>
      </c>
      <c r="L82" s="390">
        <f t="shared" ref="L82:L86" si="22">K82/J82</f>
        <v>710.42857142857179</v>
      </c>
      <c r="M82" s="391">
        <v>0.72222222222222221</v>
      </c>
      <c r="N82" s="391">
        <v>0.79513888888888884</v>
      </c>
      <c r="O82" s="389">
        <v>20</v>
      </c>
      <c r="P82" s="392">
        <f>(N82-M82)*24*60</f>
        <v>104.99999999999994</v>
      </c>
      <c r="Q82" s="393"/>
      <c r="R82" s="393"/>
    </row>
    <row r="83" spans="1:18">
      <c r="A83" s="539"/>
      <c r="B83" s="383" t="s">
        <v>389</v>
      </c>
      <c r="C83" s="413"/>
      <c r="D83" s="414" t="s">
        <v>343</v>
      </c>
      <c r="E83" s="443"/>
      <c r="F83" s="385">
        <v>18.18</v>
      </c>
      <c r="G83" s="419">
        <v>401</v>
      </c>
      <c r="H83" s="444">
        <f t="shared" si="20"/>
        <v>7290.18</v>
      </c>
      <c r="I83" s="387"/>
      <c r="J83" s="388">
        <v>4</v>
      </c>
      <c r="K83" s="389">
        <f t="shared" si="21"/>
        <v>2406.0000000000086</v>
      </c>
      <c r="L83" s="390">
        <f t="shared" si="22"/>
        <v>601.50000000000216</v>
      </c>
      <c r="M83" s="391">
        <v>0.80902777777777779</v>
      </c>
      <c r="N83" s="391">
        <v>0.81597222222222221</v>
      </c>
      <c r="O83" s="389">
        <v>20</v>
      </c>
      <c r="P83" s="392">
        <f>(N83-M83)*24*60</f>
        <v>9.9999999999999645</v>
      </c>
      <c r="Q83" s="393"/>
      <c r="R83" s="393"/>
    </row>
    <row r="84" spans="1:18">
      <c r="A84" s="539"/>
      <c r="B84" s="383" t="s">
        <v>389</v>
      </c>
      <c r="C84" s="413"/>
      <c r="D84" s="433" t="s">
        <v>344</v>
      </c>
      <c r="E84" s="443"/>
      <c r="F84" s="385">
        <v>16.7</v>
      </c>
      <c r="G84" s="419">
        <v>1102</v>
      </c>
      <c r="H84" s="445">
        <f t="shared" si="20"/>
        <v>18403.399999999998</v>
      </c>
      <c r="I84" s="387"/>
      <c r="J84" s="388">
        <v>3</v>
      </c>
      <c r="K84" s="389">
        <f t="shared" si="21"/>
        <v>2644.8000000000093</v>
      </c>
      <c r="L84" s="390">
        <f t="shared" si="22"/>
        <v>881.60000000000309</v>
      </c>
      <c r="M84" s="391">
        <v>0.82986111111111116</v>
      </c>
      <c r="N84" s="391">
        <v>0.84722222222222221</v>
      </c>
      <c r="O84" s="389">
        <v>20</v>
      </c>
      <c r="P84" s="421">
        <f t="shared" ref="P84:P85" si="23">(N84-M84)*24*60</f>
        <v>24.999999999999911</v>
      </c>
      <c r="Q84" s="393">
        <v>0.84722222222222221</v>
      </c>
      <c r="R84" s="393">
        <v>0.88888888888888884</v>
      </c>
    </row>
    <row r="85" spans="1:18">
      <c r="A85" s="539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974</v>
      </c>
      <c r="H85" s="445">
        <f t="shared" si="20"/>
        <v>21702.49090909091</v>
      </c>
      <c r="I85" s="387"/>
      <c r="J85" s="388">
        <v>4</v>
      </c>
      <c r="K85" s="389">
        <f t="shared" si="21"/>
        <v>2922.0000000000105</v>
      </c>
      <c r="L85" s="390">
        <f t="shared" si="22"/>
        <v>730.50000000000261</v>
      </c>
      <c r="M85" s="391">
        <v>0.90277777777777779</v>
      </c>
      <c r="N85" s="391">
        <v>0.91666666666666663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39"/>
      <c r="B86" s="383" t="s">
        <v>389</v>
      </c>
      <c r="C86" s="413"/>
      <c r="D86" s="414" t="s">
        <v>346</v>
      </c>
      <c r="E86" s="443"/>
      <c r="F86" s="385">
        <v>17.890909090909091</v>
      </c>
      <c r="G86" s="379">
        <v>3548</v>
      </c>
      <c r="H86" s="445">
        <f t="shared" si="20"/>
        <v>63476.94545454545</v>
      </c>
      <c r="I86" s="387"/>
      <c r="J86" s="388">
        <v>3</v>
      </c>
      <c r="K86" s="389">
        <f t="shared" si="21"/>
        <v>2838.3999999999978</v>
      </c>
      <c r="L86" s="390">
        <f t="shared" si="22"/>
        <v>946.13333333333264</v>
      </c>
      <c r="M86" s="391">
        <v>0.93055555555555547</v>
      </c>
      <c r="N86" s="446">
        <v>0.98263888888888884</v>
      </c>
      <c r="O86" s="382">
        <v>20</v>
      </c>
      <c r="P86" s="421">
        <f>(N86-M86)*24*60</f>
        <v>75.000000000000057</v>
      </c>
      <c r="Q86" s="382"/>
      <c r="R86" s="382"/>
    </row>
    <row r="87" spans="1:18">
      <c r="A87" s="539"/>
      <c r="B87" s="383"/>
      <c r="C87" s="413"/>
      <c r="D87" s="414"/>
      <c r="E87" s="443"/>
      <c r="F87" s="385" t="s">
        <v>391</v>
      </c>
      <c r="G87" s="379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39"/>
      <c r="B88" s="383">
        <v>0</v>
      </c>
      <c r="C88" s="413"/>
      <c r="D88" s="414"/>
      <c r="E88" s="443"/>
      <c r="F88" s="385" t="s">
        <v>391</v>
      </c>
      <c r="G88" s="379"/>
      <c r="H88" s="445"/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39"/>
      <c r="B89" s="383">
        <v>0</v>
      </c>
      <c r="C89" s="413"/>
      <c r="D89" s="414"/>
      <c r="E89" s="443"/>
      <c r="F89" s="385" t="s">
        <v>391</v>
      </c>
      <c r="G89" s="379"/>
      <c r="H89" s="445">
        <f t="shared" ref="H89:H90" si="24">F89*G89</f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5">(N89-M89)*24*60</f>
        <v>0</v>
      </c>
      <c r="Q89" s="382"/>
      <c r="R89" s="382"/>
    </row>
    <row r="90" spans="1:18">
      <c r="A90" s="539"/>
      <c r="B90" s="383">
        <v>0</v>
      </c>
      <c r="C90" s="413"/>
      <c r="D90" s="414"/>
      <c r="E90" s="443"/>
      <c r="F90" s="385" t="s">
        <v>391</v>
      </c>
      <c r="G90" s="379"/>
      <c r="H90" s="445">
        <f t="shared" si="24"/>
        <v>0</v>
      </c>
      <c r="I90" s="387"/>
      <c r="J90" s="388"/>
      <c r="K90" s="389"/>
      <c r="L90" s="390"/>
      <c r="M90" s="391"/>
      <c r="N90" s="446"/>
      <c r="O90" s="382"/>
      <c r="P90" s="421">
        <f t="shared" si="25"/>
        <v>0</v>
      </c>
      <c r="Q90" s="382"/>
      <c r="R90" s="382"/>
    </row>
    <row r="91" spans="1:18" ht="17.45" customHeight="1">
      <c r="A91" s="539"/>
      <c r="B91" s="383">
        <v>0</v>
      </c>
      <c r="C91" s="12" t="s">
        <v>318</v>
      </c>
      <c r="D91" s="540" t="s">
        <v>75</v>
      </c>
      <c r="E91" s="540"/>
      <c r="F91" s="401"/>
      <c r="G91" s="447"/>
      <c r="H91" s="448"/>
      <c r="I91" s="404"/>
      <c r="J91" s="405">
        <f>AVERAGE(J82:J90)</f>
        <v>3.6</v>
      </c>
      <c r="K91" s="405">
        <f>AVERAGE(K82:K90)</f>
        <v>2730.5828571428624</v>
      </c>
      <c r="L91" s="406">
        <f>AVERAGE(L82:L90)</f>
        <v>774.03238095238248</v>
      </c>
      <c r="M91" s="391"/>
      <c r="N91" s="391"/>
      <c r="O91" s="389"/>
      <c r="P91" s="389"/>
      <c r="Q91" s="390"/>
      <c r="R91" s="390"/>
    </row>
    <row r="92" spans="1:18" ht="16.149999999999999" customHeight="1">
      <c r="A92" s="541" t="s">
        <v>347</v>
      </c>
      <c r="B92" s="383" t="s">
        <v>389</v>
      </c>
      <c r="C92" s="400"/>
      <c r="D92" s="449" t="s">
        <v>348</v>
      </c>
      <c r="E92" s="443"/>
      <c r="F92" s="385">
        <v>24.54</v>
      </c>
      <c r="G92" s="379">
        <v>1762</v>
      </c>
      <c r="H92" s="386">
        <f t="shared" ref="H92:H97" si="26">F92*G92</f>
        <v>43239.479999999996</v>
      </c>
      <c r="I92" s="387"/>
      <c r="J92" s="388">
        <v>3</v>
      </c>
      <c r="K92" s="389">
        <f>G92/P92*60</f>
        <v>2114.3999999999942</v>
      </c>
      <c r="L92" s="390">
        <f t="shared" ref="L92:L93" si="27">K92/J92</f>
        <v>704.79999999999802</v>
      </c>
      <c r="M92" s="391">
        <v>0.72222222222222221</v>
      </c>
      <c r="N92" s="391">
        <v>0.75694444444444453</v>
      </c>
      <c r="O92" s="382">
        <v>20</v>
      </c>
      <c r="P92" s="392">
        <f>(N92-M92)*24*60</f>
        <v>50.000000000000142</v>
      </c>
      <c r="Q92" s="393"/>
      <c r="R92" s="393"/>
    </row>
    <row r="93" spans="1:18">
      <c r="A93" s="542"/>
      <c r="B93" s="383" t="s">
        <v>389</v>
      </c>
      <c r="C93" s="400"/>
      <c r="D93" s="414" t="s">
        <v>349</v>
      </c>
      <c r="E93" s="443"/>
      <c r="F93" s="385">
        <v>22.48</v>
      </c>
      <c r="G93" s="379">
        <v>1246</v>
      </c>
      <c r="H93" s="386">
        <f t="shared" si="26"/>
        <v>28010.080000000002</v>
      </c>
      <c r="I93" s="387"/>
      <c r="J93" s="388">
        <v>4</v>
      </c>
      <c r="K93" s="389">
        <f t="shared" ref="K93" si="28">G93/P93*60</f>
        <v>2136.0000000000077</v>
      </c>
      <c r="L93" s="390">
        <f t="shared" si="27"/>
        <v>534.00000000000193</v>
      </c>
      <c r="M93" s="391">
        <v>0.77083333333333337</v>
      </c>
      <c r="N93" s="391">
        <v>0.79513888888888884</v>
      </c>
      <c r="O93" s="382">
        <v>20</v>
      </c>
      <c r="P93" s="392">
        <f>(N93-M93)*24*60</f>
        <v>34.999999999999872</v>
      </c>
      <c r="Q93" s="393"/>
      <c r="R93" s="393"/>
    </row>
    <row r="94" spans="1:18">
      <c r="A94" s="542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6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43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6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43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6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43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6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43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43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43"/>
      <c r="B100" s="383">
        <v>0</v>
      </c>
      <c r="C100" s="12" t="s">
        <v>350</v>
      </c>
      <c r="D100" s="544" t="s">
        <v>75</v>
      </c>
      <c r="E100" s="545"/>
      <c r="F100" s="401"/>
      <c r="G100" s="402"/>
      <c r="H100" s="450"/>
      <c r="I100" s="404"/>
      <c r="J100" s="405">
        <f>AVERAGE(J92:J99)</f>
        <v>3.5</v>
      </c>
      <c r="K100" s="405">
        <f>AVERAGE(K92:K99)</f>
        <v>2125.2000000000007</v>
      </c>
      <c r="L100" s="406">
        <f>AVERAGE(L92:L99)</f>
        <v>619.4</v>
      </c>
      <c r="M100" s="391"/>
      <c r="N100" s="391"/>
      <c r="O100" s="389"/>
      <c r="P100" s="389"/>
      <c r="Q100" s="390"/>
      <c r="R100" s="390"/>
    </row>
    <row r="101" spans="1:18" ht="16.149999999999999" customHeight="1">
      <c r="A101" s="546" t="s">
        <v>351</v>
      </c>
      <c r="B101" s="383" t="s">
        <v>389</v>
      </c>
      <c r="C101" s="12"/>
      <c r="D101" s="437" t="s">
        <v>352</v>
      </c>
      <c r="E101" s="451"/>
      <c r="F101" s="385">
        <v>25.03</v>
      </c>
      <c r="G101" s="379">
        <v>1099</v>
      </c>
      <c r="H101" s="386">
        <f t="shared" ref="H101:H110" si="29">F101*G101</f>
        <v>27507.97</v>
      </c>
      <c r="I101" s="387"/>
      <c r="J101" s="388">
        <v>4</v>
      </c>
      <c r="K101" s="389">
        <f>G101/P101*60</f>
        <v>3296.9999999999854</v>
      </c>
      <c r="L101" s="390">
        <f t="shared" ref="L101:L105" si="30">K101/J101</f>
        <v>824.24999999999636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1">(N101-M101)*24*60</f>
        <v>20.000000000000089</v>
      </c>
      <c r="Q101" s="390"/>
      <c r="R101" s="393"/>
    </row>
    <row r="102" spans="1:18">
      <c r="A102" s="546"/>
      <c r="B102" s="383" t="s">
        <v>389</v>
      </c>
      <c r="C102" s="12"/>
      <c r="D102" s="414" t="s">
        <v>353</v>
      </c>
      <c r="E102" s="451"/>
      <c r="F102" s="385">
        <v>24.82</v>
      </c>
      <c r="G102" s="379">
        <v>1654</v>
      </c>
      <c r="H102" s="386">
        <f t="shared" si="29"/>
        <v>41052.28</v>
      </c>
      <c r="I102" s="387"/>
      <c r="J102" s="388">
        <v>4</v>
      </c>
      <c r="K102" s="389">
        <f t="shared" ref="K102:K105" si="32">G102/P102*60</f>
        <v>3307.9999999999941</v>
      </c>
      <c r="L102" s="390">
        <f t="shared" si="30"/>
        <v>826.99999999999852</v>
      </c>
      <c r="M102" s="391">
        <v>0.75</v>
      </c>
      <c r="N102" s="391">
        <v>0.77083333333333337</v>
      </c>
      <c r="O102" s="382">
        <v>20</v>
      </c>
      <c r="P102" s="389">
        <f t="shared" si="31"/>
        <v>30.000000000000053</v>
      </c>
      <c r="Q102" s="393"/>
      <c r="R102" s="393"/>
    </row>
    <row r="103" spans="1:18">
      <c r="A103" s="546"/>
      <c r="B103" s="383" t="s">
        <v>389</v>
      </c>
      <c r="C103" s="12"/>
      <c r="D103" s="433" t="s">
        <v>354</v>
      </c>
      <c r="E103" s="414"/>
      <c r="F103" s="385">
        <v>28.57</v>
      </c>
      <c r="G103" s="379">
        <v>2788</v>
      </c>
      <c r="H103" s="386">
        <f t="shared" si="29"/>
        <v>79653.16</v>
      </c>
      <c r="I103" s="387"/>
      <c r="J103" s="388">
        <v>3</v>
      </c>
      <c r="K103" s="389">
        <f t="shared" si="32"/>
        <v>3041.4545454545473</v>
      </c>
      <c r="L103" s="390">
        <f t="shared" si="30"/>
        <v>1013.8181818181824</v>
      </c>
      <c r="M103" s="391">
        <v>0.78472222222222221</v>
      </c>
      <c r="N103" s="391">
        <v>0.82291666666666663</v>
      </c>
      <c r="O103" s="382">
        <v>20</v>
      </c>
      <c r="P103" s="389">
        <f t="shared" si="31"/>
        <v>54.999999999999964</v>
      </c>
      <c r="Q103" s="393"/>
      <c r="R103" s="393"/>
    </row>
    <row r="104" spans="1:18">
      <c r="A104" s="546"/>
      <c r="B104" s="383" t="s">
        <v>389</v>
      </c>
      <c r="C104" s="12"/>
      <c r="D104" s="414" t="s">
        <v>355</v>
      </c>
      <c r="E104" s="437"/>
      <c r="F104" s="385">
        <v>14.03</v>
      </c>
      <c r="G104" s="379">
        <v>5663</v>
      </c>
      <c r="H104" s="386">
        <f t="shared" si="29"/>
        <v>79451.89</v>
      </c>
      <c r="I104" s="387"/>
      <c r="J104" s="388">
        <v>3</v>
      </c>
      <c r="K104" s="389">
        <f t="shared" si="32"/>
        <v>3088.9090909090837</v>
      </c>
      <c r="L104" s="390">
        <f t="shared" si="30"/>
        <v>1029.6363636363612</v>
      </c>
      <c r="M104" s="391">
        <v>0.83680555555555547</v>
      </c>
      <c r="N104" s="391">
        <v>0.91319444444444453</v>
      </c>
      <c r="O104" s="382">
        <v>20</v>
      </c>
      <c r="P104" s="389">
        <f>(N104-M104)*24*60</f>
        <v>110.00000000000026</v>
      </c>
      <c r="Q104" s="393">
        <v>0.91319444444444453</v>
      </c>
      <c r="R104" s="393">
        <v>0.95486111111111116</v>
      </c>
    </row>
    <row r="105" spans="1:18">
      <c r="A105" s="546"/>
      <c r="B105" s="383" t="s">
        <v>389</v>
      </c>
      <c r="C105" s="12"/>
      <c r="D105" s="414" t="s">
        <v>356</v>
      </c>
      <c r="E105" s="433"/>
      <c r="F105" s="385">
        <v>14.285714285714283</v>
      </c>
      <c r="G105" s="379">
        <v>7577</v>
      </c>
      <c r="H105" s="386">
        <f t="shared" si="29"/>
        <v>108242.85714285712</v>
      </c>
      <c r="I105" s="387"/>
      <c r="J105" s="388">
        <v>3</v>
      </c>
      <c r="K105" s="389">
        <f t="shared" si="32"/>
        <v>3030.8000000705665</v>
      </c>
      <c r="L105" s="390">
        <f t="shared" si="30"/>
        <v>1010.2666666901888</v>
      </c>
      <c r="M105" s="391">
        <v>46056.96875</v>
      </c>
      <c r="N105" s="446">
        <v>46057.072916666664</v>
      </c>
      <c r="O105" s="382">
        <v>20</v>
      </c>
      <c r="P105" s="389">
        <f>(N105-M105)*24*60</f>
        <v>149.99999999650754</v>
      </c>
      <c r="Q105" s="390"/>
      <c r="R105" s="393"/>
    </row>
    <row r="106" spans="1:18">
      <c r="A106" s="546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9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1"/>
        <v>0</v>
      </c>
      <c r="Q106" s="390"/>
      <c r="R106" s="393"/>
    </row>
    <row r="107" spans="1:18">
      <c r="A107" s="546"/>
      <c r="B107" s="383">
        <v>0</v>
      </c>
      <c r="C107" s="12"/>
      <c r="D107" s="414"/>
      <c r="E107" s="433"/>
      <c r="F107" s="385" t="s">
        <v>391</v>
      </c>
      <c r="G107" s="379"/>
      <c r="H107" s="386">
        <f t="shared" si="29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1"/>
        <v>0</v>
      </c>
      <c r="Q107" s="390"/>
      <c r="R107" s="393"/>
    </row>
    <row r="108" spans="1:18">
      <c r="A108" s="546"/>
      <c r="B108" s="383">
        <v>0</v>
      </c>
      <c r="C108" s="12"/>
      <c r="D108" s="414"/>
      <c r="E108" s="433"/>
      <c r="F108" s="385" t="s">
        <v>391</v>
      </c>
      <c r="G108" s="379"/>
      <c r="H108" s="386">
        <f t="shared" si="29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1"/>
        <v>0</v>
      </c>
      <c r="Q108" s="390"/>
      <c r="R108" s="393"/>
    </row>
    <row r="109" spans="1:18">
      <c r="A109" s="546"/>
      <c r="B109" s="383">
        <v>0</v>
      </c>
      <c r="C109" s="400"/>
      <c r="D109" s="414"/>
      <c r="E109" s="433"/>
      <c r="F109" s="385" t="s">
        <v>391</v>
      </c>
      <c r="G109" s="379"/>
      <c r="H109" s="386">
        <f t="shared" si="29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1"/>
        <v>0</v>
      </c>
      <c r="Q109" s="390"/>
      <c r="R109" s="393"/>
    </row>
    <row r="110" spans="1:18">
      <c r="A110" s="546"/>
      <c r="B110" s="383">
        <v>0</v>
      </c>
      <c r="C110" s="400"/>
      <c r="D110" s="414"/>
      <c r="E110" s="433"/>
      <c r="F110" s="385" t="s">
        <v>391</v>
      </c>
      <c r="G110" s="379"/>
      <c r="H110" s="386">
        <f t="shared" si="29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1"/>
        <v>0</v>
      </c>
      <c r="Q110" s="390"/>
      <c r="R110" s="393"/>
    </row>
    <row r="111" spans="1:18" ht="15.75" customHeight="1">
      <c r="A111" s="546"/>
      <c r="B111" s="383">
        <v>0</v>
      </c>
      <c r="C111" s="12" t="s">
        <v>330</v>
      </c>
      <c r="D111" s="547" t="s">
        <v>75</v>
      </c>
      <c r="E111" s="548"/>
      <c r="F111" s="452"/>
      <c r="G111" s="453"/>
      <c r="H111" s="403"/>
      <c r="I111" s="404"/>
      <c r="J111" s="405">
        <f>AVERAGE(J101:J110)</f>
        <v>3.4</v>
      </c>
      <c r="K111" s="405">
        <f>AVERAGE(K101:K110)</f>
        <v>3153.2327272868356</v>
      </c>
      <c r="L111" s="406">
        <f>AVERAGE(L101:L110)</f>
        <v>940.99424242894543</v>
      </c>
      <c r="M111" s="391"/>
      <c r="N111" s="391"/>
      <c r="O111" s="389"/>
      <c r="P111" s="389"/>
      <c r="Q111" s="390"/>
      <c r="R111" s="382"/>
    </row>
    <row r="112" spans="1:18" ht="16.149999999999999" customHeight="1">
      <c r="A112" s="536" t="s">
        <v>357</v>
      </c>
      <c r="B112" s="383" t="s">
        <v>389</v>
      </c>
      <c r="C112" s="12"/>
      <c r="D112" s="441" t="s">
        <v>358</v>
      </c>
      <c r="E112" s="454"/>
      <c r="F112" s="385">
        <v>18.18</v>
      </c>
      <c r="G112" s="379">
        <v>949</v>
      </c>
      <c r="H112" s="444">
        <f t="shared" si="3"/>
        <v>17252.82</v>
      </c>
      <c r="I112" s="387"/>
      <c r="J112" s="388">
        <v>4</v>
      </c>
      <c r="K112" s="389">
        <f t="shared" ref="K112:K113" si="33">G112/P112*60</f>
        <v>2846.9999999999873</v>
      </c>
      <c r="L112" s="390">
        <f t="shared" ref="L112:L113" si="34">K112/J112</f>
        <v>711.74999999999682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5">(N112-M112)*24*60</f>
        <v>20.000000000000089</v>
      </c>
      <c r="Q112" s="382"/>
      <c r="R112" s="382"/>
    </row>
    <row r="113" spans="1:18">
      <c r="A113" s="536"/>
      <c r="B113" s="383" t="s">
        <v>389</v>
      </c>
      <c r="C113" s="413"/>
      <c r="D113" s="441" t="s">
        <v>359</v>
      </c>
      <c r="E113" s="441"/>
      <c r="F113" s="385">
        <v>18.18</v>
      </c>
      <c r="G113" s="379">
        <v>1080</v>
      </c>
      <c r="H113" s="444">
        <f t="shared" si="3"/>
        <v>19634.400000000001</v>
      </c>
      <c r="I113" s="387"/>
      <c r="J113" s="388">
        <v>3</v>
      </c>
      <c r="K113" s="389">
        <f t="shared" si="33"/>
        <v>3240.0000000000114</v>
      </c>
      <c r="L113" s="390">
        <f t="shared" si="34"/>
        <v>1080.0000000000039</v>
      </c>
      <c r="M113" s="391">
        <v>0.75</v>
      </c>
      <c r="N113" s="391">
        <v>0.76388888888888884</v>
      </c>
      <c r="O113" s="382">
        <v>20</v>
      </c>
      <c r="P113" s="392">
        <f t="shared" si="35"/>
        <v>19.999999999999929</v>
      </c>
      <c r="Q113" s="393"/>
      <c r="R113" s="393"/>
    </row>
    <row r="114" spans="1:18">
      <c r="A114" s="536"/>
      <c r="B114" s="383">
        <v>0</v>
      </c>
      <c r="C114" s="413"/>
      <c r="D114" s="437"/>
      <c r="E114" s="414"/>
      <c r="F114" s="385" t="s">
        <v>391</v>
      </c>
      <c r="G114" s="379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5"/>
        <v>0</v>
      </c>
      <c r="Q114" s="393"/>
      <c r="R114" s="393"/>
    </row>
    <row r="115" spans="1:18">
      <c r="A115" s="536"/>
      <c r="B115" s="383">
        <v>0</v>
      </c>
      <c r="C115" s="413"/>
      <c r="D115" s="414"/>
      <c r="E115" s="437"/>
      <c r="F115" s="385" t="s">
        <v>391</v>
      </c>
      <c r="G115" s="379"/>
      <c r="H115" s="444">
        <f t="shared" ref="H115:H123" si="36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5"/>
        <v>0</v>
      </c>
      <c r="Q115" s="393"/>
      <c r="R115" s="393"/>
    </row>
    <row r="116" spans="1:18">
      <c r="A116" s="536"/>
      <c r="B116" s="383">
        <v>0</v>
      </c>
      <c r="C116" s="413"/>
      <c r="D116" s="414"/>
      <c r="E116" s="433"/>
      <c r="F116" s="385" t="s">
        <v>391</v>
      </c>
      <c r="G116" s="379"/>
      <c r="H116" s="444">
        <f t="shared" si="36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5"/>
        <v>0</v>
      </c>
      <c r="Q116" s="393"/>
      <c r="R116" s="393"/>
    </row>
    <row r="117" spans="1:18">
      <c r="A117" s="536"/>
      <c r="B117" s="383">
        <v>0</v>
      </c>
      <c r="C117" s="413"/>
      <c r="D117" s="433"/>
      <c r="E117" s="432"/>
      <c r="F117" s="385" t="s">
        <v>391</v>
      </c>
      <c r="G117" s="379"/>
      <c r="H117" s="444">
        <f t="shared" si="36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5"/>
        <v>0</v>
      </c>
      <c r="Q117" s="393"/>
      <c r="R117" s="393"/>
    </row>
    <row r="118" spans="1:18">
      <c r="A118" s="536"/>
      <c r="B118" s="383">
        <v>0</v>
      </c>
      <c r="C118" s="413"/>
      <c r="D118" s="433"/>
      <c r="E118" s="432"/>
      <c r="F118" s="385" t="s">
        <v>391</v>
      </c>
      <c r="G118" s="379"/>
      <c r="H118" s="444">
        <f t="shared" si="36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5"/>
        <v>0</v>
      </c>
      <c r="Q118" s="393"/>
      <c r="R118" s="393"/>
    </row>
    <row r="119" spans="1:18">
      <c r="A119" s="536"/>
      <c r="B119" s="383">
        <v>0</v>
      </c>
      <c r="C119" s="413"/>
      <c r="D119" s="433"/>
      <c r="E119" s="432"/>
      <c r="F119" s="385" t="s">
        <v>391</v>
      </c>
      <c r="G119" s="379"/>
      <c r="H119" s="444">
        <f t="shared" si="36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5"/>
        <v>0</v>
      </c>
      <c r="Q119" s="393"/>
      <c r="R119" s="393"/>
    </row>
    <row r="120" spans="1:18">
      <c r="A120" s="536"/>
      <c r="B120" s="383">
        <v>0</v>
      </c>
      <c r="C120" s="413"/>
      <c r="D120" s="433"/>
      <c r="E120" s="432"/>
      <c r="F120" s="385" t="s">
        <v>391</v>
      </c>
      <c r="G120" s="379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36"/>
      <c r="B121" s="383">
        <v>0</v>
      </c>
      <c r="C121" s="413"/>
      <c r="D121" s="433"/>
      <c r="E121" s="432"/>
      <c r="F121" s="385" t="s">
        <v>391</v>
      </c>
      <c r="G121" s="379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36"/>
      <c r="B122" s="383">
        <v>0</v>
      </c>
      <c r="C122" s="413"/>
      <c r="D122" s="433"/>
      <c r="E122" s="432"/>
      <c r="F122" s="385" t="s">
        <v>391</v>
      </c>
      <c r="G122" s="379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5"/>
        <v>0</v>
      </c>
      <c r="Q122" s="393"/>
      <c r="R122" s="393"/>
    </row>
    <row r="123" spans="1:18">
      <c r="A123" s="536"/>
      <c r="B123" s="383">
        <v>0</v>
      </c>
      <c r="C123" s="413"/>
      <c r="D123" s="433"/>
      <c r="E123" s="432"/>
      <c r="F123" s="385" t="s">
        <v>391</v>
      </c>
      <c r="G123" s="379"/>
      <c r="H123" s="444">
        <f t="shared" si="36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5"/>
        <v>0</v>
      </c>
      <c r="Q123" s="393"/>
      <c r="R123" s="393"/>
    </row>
    <row r="124" spans="1:18" ht="17.45" customHeight="1">
      <c r="A124" s="536"/>
      <c r="B124" s="400">
        <v>0</v>
      </c>
      <c r="C124" s="12" t="s">
        <v>339</v>
      </c>
      <c r="D124" s="537" t="s">
        <v>75</v>
      </c>
      <c r="E124" s="537"/>
      <c r="F124" s="401"/>
      <c r="G124" s="447"/>
      <c r="H124" s="448"/>
      <c r="I124" s="404"/>
      <c r="J124" s="405">
        <f>AVERAGE(J112:J123)</f>
        <v>3.5</v>
      </c>
      <c r="K124" s="405">
        <f>AVERAGE(K112:K123)</f>
        <v>3043.4999999999991</v>
      </c>
      <c r="L124" s="406">
        <f>AVERAGE(L112:L123)</f>
        <v>895.87500000000034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4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L8" sqref="L8"/>
      <selection pane="bottomLeft" activeCell="F11" sqref="F11"/>
    </sheetView>
  </sheetViews>
  <sheetFormatPr defaultColWidth="7.875" defaultRowHeight="15.75"/>
  <cols>
    <col min="1" max="1" width="14.25" style="71" customWidth="1"/>
    <col min="2" max="2" width="12.75" style="71" customWidth="1"/>
    <col min="3" max="3" width="12.75" style="71" hidden="1" customWidth="1"/>
    <col min="4" max="4" width="14.25" style="71" customWidth="1"/>
    <col min="5" max="5" width="16.5" style="71" customWidth="1"/>
    <col min="6" max="6" width="8.875" style="71" customWidth="1"/>
    <col min="7" max="7" width="20.25" style="71" bestFit="1" customWidth="1"/>
    <col min="8" max="8" width="16.375" style="71" customWidth="1"/>
    <col min="9" max="9" width="6.375" style="71" customWidth="1"/>
    <col min="10" max="10" width="10.125" style="71" customWidth="1"/>
    <col min="11" max="11" width="10.625" style="71" customWidth="1"/>
    <col min="12" max="12" width="14.5" style="71" customWidth="1"/>
    <col min="13" max="13" width="10.125" style="71" customWidth="1"/>
    <col min="14" max="14" width="9.25" style="71" customWidth="1"/>
    <col min="15" max="15" width="11.875" style="71" customWidth="1"/>
    <col min="16" max="16" width="6" style="71" customWidth="1"/>
    <col min="17" max="18" width="9.25" style="71" customWidth="1"/>
    <col min="19" max="19" width="8.625" style="71" customWidth="1"/>
    <col min="20" max="21" width="7.625" style="71" bestFit="1" customWidth="1"/>
    <col min="22" max="22" width="10.625" style="71" customWidth="1"/>
    <col min="23" max="23" width="8.625" style="360" customWidth="1"/>
    <col min="24" max="25" width="7.125" style="71" customWidth="1"/>
    <col min="26" max="27" width="9.5" style="71" customWidth="1"/>
    <col min="28" max="28" width="12.625" style="71" customWidth="1"/>
    <col min="29" max="29" width="12.5" style="71" customWidth="1"/>
    <col min="30" max="31" width="9.5" style="71" customWidth="1"/>
    <col min="32" max="32" width="13.125" style="71" customWidth="1"/>
    <col min="33" max="33" width="10.375" style="71" customWidth="1"/>
    <col min="34" max="34" width="9.25" style="71" customWidth="1"/>
    <col min="35" max="35" width="7.875" style="71" customWidth="1"/>
    <col min="36" max="36" width="24.5" style="71" bestFit="1" customWidth="1"/>
    <col min="37" max="16384" width="7.875" style="71"/>
  </cols>
  <sheetData>
    <row r="1" spans="1:34" ht="26.25" customHeight="1">
      <c r="A1" s="62" t="s">
        <v>81</v>
      </c>
      <c r="B1" s="62"/>
      <c r="C1" s="62"/>
      <c r="D1" s="63" t="s">
        <v>82</v>
      </c>
      <c r="E1" s="64">
        <f>SUM(G5:G173)</f>
        <v>144255.99999999997</v>
      </c>
      <c r="F1" s="65" t="s">
        <v>3</v>
      </c>
      <c r="G1" s="66">
        <f>SUM(H5:H173)</f>
        <v>5766272.7904435834</v>
      </c>
      <c r="H1" s="67" t="s">
        <v>83</v>
      </c>
      <c r="I1" s="68">
        <f>M17+M30+M43+M56+M69+M82+M95+M108+M121+M134+M147+M160+M173</f>
        <v>187.78333333333333</v>
      </c>
      <c r="J1" s="668" t="s">
        <v>84</v>
      </c>
      <c r="K1" s="668"/>
      <c r="L1" s="668"/>
      <c r="M1" s="668" t="s">
        <v>85</v>
      </c>
      <c r="N1" s="668"/>
      <c r="O1" s="668"/>
      <c r="P1" s="668" t="s">
        <v>86</v>
      </c>
      <c r="Q1" s="668"/>
      <c r="R1" s="668"/>
      <c r="S1" s="668"/>
      <c r="T1" s="668" t="s">
        <v>87</v>
      </c>
      <c r="U1" s="668"/>
      <c r="V1" s="668"/>
      <c r="W1" s="668"/>
      <c r="X1" s="668"/>
      <c r="Y1" s="668"/>
      <c r="Z1" s="69" t="s">
        <v>88</v>
      </c>
      <c r="AA1" s="69" t="s">
        <v>89</v>
      </c>
      <c r="AB1" s="669" t="s">
        <v>90</v>
      </c>
      <c r="AC1" s="670"/>
      <c r="AD1" s="69" t="s">
        <v>88</v>
      </c>
      <c r="AE1" s="69" t="s">
        <v>91</v>
      </c>
      <c r="AF1" s="668" t="s">
        <v>92</v>
      </c>
      <c r="AG1" s="673"/>
      <c r="AH1" s="673"/>
    </row>
    <row r="2" spans="1:34" ht="26.25" customHeight="1">
      <c r="A2" s="667" t="s">
        <v>93</v>
      </c>
      <c r="B2" s="667"/>
      <c r="C2" s="63"/>
      <c r="D2" s="63" t="s">
        <v>41</v>
      </c>
      <c r="E2" s="73">
        <f>AVERAGE(O17,O30,O43,O56,O69,O82,O95,O108,O121,O134,O147,O160,O173)</f>
        <v>127.89773523043428</v>
      </c>
      <c r="F2" s="74" t="s">
        <v>94</v>
      </c>
      <c r="G2" s="75">
        <f>G1/E1</f>
        <v>39.972498824614469</v>
      </c>
      <c r="H2" s="67" t="s">
        <v>95</v>
      </c>
      <c r="I2" s="67">
        <f>COUNT(I5:I173)</f>
        <v>7</v>
      </c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8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71"/>
      <c r="AC2" s="672"/>
      <c r="AD2" s="77">
        <f>AD17+AD30+AD43+AD56+AD69+AD82+AD95+AD108+AD121+AD134+AD147+AD160+AD173</f>
        <v>5</v>
      </c>
      <c r="AE2" s="77">
        <f>AE17+AE30+AE43+AE56+AE69+AE82+AE95+AE108+AE121+AE134+AE147+AE160+AE173</f>
        <v>2</v>
      </c>
      <c r="AF2" s="673"/>
      <c r="AG2" s="673"/>
      <c r="AH2" s="673"/>
    </row>
    <row r="3" spans="1:34" ht="30.6" customHeight="1">
      <c r="A3" s="601" t="s">
        <v>96</v>
      </c>
      <c r="B3" s="601" t="s">
        <v>97</v>
      </c>
      <c r="C3" s="665"/>
      <c r="D3" s="601" t="s">
        <v>98</v>
      </c>
      <c r="E3" s="601"/>
      <c r="F3" s="665" t="s">
        <v>99</v>
      </c>
      <c r="G3" s="659" t="s">
        <v>100</v>
      </c>
      <c r="H3" s="665" t="s">
        <v>101</v>
      </c>
      <c r="I3" s="661" t="s">
        <v>102</v>
      </c>
      <c r="J3" s="664" t="s">
        <v>103</v>
      </c>
      <c r="K3" s="654" t="s">
        <v>104</v>
      </c>
      <c r="L3" s="635" t="s">
        <v>76</v>
      </c>
      <c r="M3" s="659" t="s">
        <v>103</v>
      </c>
      <c r="N3" s="654" t="s">
        <v>105</v>
      </c>
      <c r="O3" s="635" t="s">
        <v>41</v>
      </c>
      <c r="P3" s="664" t="s">
        <v>106</v>
      </c>
      <c r="Q3" s="635" t="s">
        <v>41</v>
      </c>
      <c r="R3" s="655" t="s">
        <v>107</v>
      </c>
      <c r="S3" s="632" t="s">
        <v>108</v>
      </c>
      <c r="T3" s="659" t="s">
        <v>109</v>
      </c>
      <c r="U3" s="659"/>
      <c r="V3" s="660" t="s">
        <v>110</v>
      </c>
      <c r="W3" s="661" t="s">
        <v>111</v>
      </c>
      <c r="X3" s="659" t="s">
        <v>112</v>
      </c>
      <c r="Y3" s="659"/>
      <c r="Z3" s="662" t="s">
        <v>113</v>
      </c>
      <c r="AA3" s="663"/>
      <c r="AB3" s="650" t="s">
        <v>114</v>
      </c>
      <c r="AC3" s="651"/>
      <c r="AD3" s="652" t="s">
        <v>115</v>
      </c>
      <c r="AE3" s="653"/>
      <c r="AF3" s="654" t="s">
        <v>105</v>
      </c>
      <c r="AG3" s="655" t="s">
        <v>107</v>
      </c>
      <c r="AH3" s="632" t="s">
        <v>108</v>
      </c>
    </row>
    <row r="4" spans="1:34" ht="30.6" customHeight="1">
      <c r="A4" s="665"/>
      <c r="B4" s="601"/>
      <c r="C4" s="666"/>
      <c r="D4" s="601"/>
      <c r="E4" s="601"/>
      <c r="F4" s="666"/>
      <c r="G4" s="659"/>
      <c r="H4" s="666"/>
      <c r="I4" s="661"/>
      <c r="J4" s="664"/>
      <c r="K4" s="654"/>
      <c r="L4" s="635"/>
      <c r="M4" s="659"/>
      <c r="N4" s="654"/>
      <c r="O4" s="635"/>
      <c r="P4" s="664"/>
      <c r="Q4" s="635"/>
      <c r="R4" s="655"/>
      <c r="S4" s="632"/>
      <c r="T4" s="79" t="s">
        <v>116</v>
      </c>
      <c r="U4" s="79" t="s">
        <v>117</v>
      </c>
      <c r="V4" s="659"/>
      <c r="W4" s="661"/>
      <c r="X4" s="65" t="s">
        <v>118</v>
      </c>
      <c r="Y4" s="65" t="s">
        <v>78</v>
      </c>
      <c r="Z4" s="79" t="s">
        <v>119</v>
      </c>
      <c r="AA4" s="79" t="s">
        <v>120</v>
      </c>
      <c r="AB4" s="651"/>
      <c r="AC4" s="651"/>
      <c r="AD4" s="79" t="s">
        <v>121</v>
      </c>
      <c r="AE4" s="80" t="s">
        <v>122</v>
      </c>
      <c r="AF4" s="654"/>
      <c r="AG4" s="655"/>
      <c r="AH4" s="632"/>
    </row>
    <row r="5" spans="1:34" ht="19.5" customHeight="1">
      <c r="A5" s="656" t="s">
        <v>123</v>
      </c>
      <c r="B5" s="81" t="s">
        <v>385</v>
      </c>
      <c r="C5" s="82"/>
      <c r="D5" s="83" t="s">
        <v>124</v>
      </c>
      <c r="E5" s="84"/>
      <c r="F5" s="85">
        <v>37.94</v>
      </c>
      <c r="G5" s="86">
        <v>2690</v>
      </c>
      <c r="H5" s="87">
        <f t="shared" ref="H5:H16" si="0">F5*G5</f>
        <v>102058.59999999999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2" si="1">G5/W5*60</f>
        <v>2096.1038961038971</v>
      </c>
      <c r="O5" s="90">
        <f t="shared" ref="O5:O12" si="2">N5/M5</f>
        <v>104.80519480519486</v>
      </c>
      <c r="P5" s="92">
        <f t="shared" ref="P5:P12" si="3">M5-J5</f>
        <v>0</v>
      </c>
      <c r="Q5" s="93">
        <f t="shared" ref="Q5:Q12" si="4">O5-L5</f>
        <v>-5.1948051948051415</v>
      </c>
      <c r="R5" s="94">
        <f t="shared" ref="R5:R12" si="5">O5/L5</f>
        <v>0.95277449822904414</v>
      </c>
      <c r="S5" s="620">
        <f>R17</f>
        <v>0.8792502502198557</v>
      </c>
      <c r="T5" s="96">
        <v>0.29166666666666669</v>
      </c>
      <c r="U5" s="96">
        <v>0.34513888888888888</v>
      </c>
      <c r="V5" s="65">
        <v>5</v>
      </c>
      <c r="W5" s="88">
        <f>(U5-T5)*24*60</f>
        <v>76.999999999999972</v>
      </c>
      <c r="X5" s="65"/>
      <c r="Y5" s="65"/>
      <c r="Z5" s="97"/>
      <c r="AA5" s="97"/>
      <c r="AB5" s="601"/>
      <c r="AC5" s="601"/>
      <c r="AD5" s="98"/>
      <c r="AE5" s="98"/>
      <c r="AF5" s="92">
        <f t="shared" ref="AF5:AF70" si="6">N5-K5</f>
        <v>-103.89610389610289</v>
      </c>
      <c r="AG5" s="94">
        <f t="shared" ref="AG5:AG70" si="7">N5/K5</f>
        <v>0.95277449822904414</v>
      </c>
      <c r="AH5" s="620">
        <f>AG17</f>
        <v>0.89645631772259371</v>
      </c>
    </row>
    <row r="6" spans="1:34" ht="19.149999999999999" customHeight="1">
      <c r="A6" s="657"/>
      <c r="B6" s="81" t="s">
        <v>385</v>
      </c>
      <c r="C6" s="82"/>
      <c r="D6" s="83" t="s">
        <v>125</v>
      </c>
      <c r="E6" s="84"/>
      <c r="F6" s="85">
        <v>31.266131815044861</v>
      </c>
      <c r="G6" s="86">
        <v>1346</v>
      </c>
      <c r="H6" s="87">
        <f t="shared" si="0"/>
        <v>42084.213423050387</v>
      </c>
      <c r="I6" s="88"/>
      <c r="J6" s="89">
        <v>18</v>
      </c>
      <c r="K6" s="86">
        <v>2700</v>
      </c>
      <c r="L6" s="90">
        <v>150</v>
      </c>
      <c r="M6" s="91">
        <v>19</v>
      </c>
      <c r="N6" s="86">
        <f t="shared" si="1"/>
        <v>2447.2727272727298</v>
      </c>
      <c r="O6" s="90">
        <f t="shared" si="2"/>
        <v>128.80382775119631</v>
      </c>
      <c r="P6" s="92">
        <f t="shared" si="3"/>
        <v>1</v>
      </c>
      <c r="Q6" s="93">
        <f t="shared" si="4"/>
        <v>-21.196172248803691</v>
      </c>
      <c r="R6" s="94">
        <f t="shared" si="5"/>
        <v>0.85869218500797539</v>
      </c>
      <c r="S6" s="620"/>
      <c r="T6" s="96">
        <v>0.35</v>
      </c>
      <c r="U6" s="96">
        <v>0.37291666666666662</v>
      </c>
      <c r="V6" s="65">
        <v>7</v>
      </c>
      <c r="W6" s="88">
        <f t="shared" ref="W6:W17" si="8">(U6-T6)*24*60</f>
        <v>32.999999999999964</v>
      </c>
      <c r="X6" s="99"/>
      <c r="Y6" s="99"/>
      <c r="Z6" s="100"/>
      <c r="AA6" s="100"/>
      <c r="AB6" s="601"/>
      <c r="AC6" s="601"/>
      <c r="AD6" s="101"/>
      <c r="AE6" s="101"/>
      <c r="AF6" s="92">
        <f t="shared" si="6"/>
        <v>-252.72727272727025</v>
      </c>
      <c r="AG6" s="94">
        <f t="shared" si="7"/>
        <v>0.90639730639730731</v>
      </c>
      <c r="AH6" s="620"/>
    </row>
    <row r="7" spans="1:34" ht="19.149999999999999" customHeight="1">
      <c r="A7" s="657"/>
      <c r="B7" s="81" t="s">
        <v>385</v>
      </c>
      <c r="C7" s="82"/>
      <c r="D7" s="83" t="s">
        <v>126</v>
      </c>
      <c r="E7" s="84"/>
      <c r="F7" s="85">
        <v>38.630952380952372</v>
      </c>
      <c r="G7" s="86">
        <v>2223</v>
      </c>
      <c r="H7" s="87">
        <f t="shared" si="0"/>
        <v>85876.60714285713</v>
      </c>
      <c r="I7" s="88"/>
      <c r="J7" s="89">
        <v>18</v>
      </c>
      <c r="K7" s="86">
        <v>2800</v>
      </c>
      <c r="L7" s="90">
        <v>155.55555555555554</v>
      </c>
      <c r="M7" s="91">
        <v>19</v>
      </c>
      <c r="N7" s="86">
        <f t="shared" si="1"/>
        <v>2516.6037735849072</v>
      </c>
      <c r="O7" s="90">
        <f t="shared" si="2"/>
        <v>132.45283018867931</v>
      </c>
      <c r="P7" s="92">
        <f t="shared" si="3"/>
        <v>1</v>
      </c>
      <c r="Q7" s="93">
        <f t="shared" si="4"/>
        <v>-23.102725366876228</v>
      </c>
      <c r="R7" s="94">
        <f t="shared" si="5"/>
        <v>0.85148247978436709</v>
      </c>
      <c r="S7" s="620"/>
      <c r="T7" s="96">
        <v>0.3881944444444444</v>
      </c>
      <c r="U7" s="96">
        <v>0.42499999999999993</v>
      </c>
      <c r="V7" s="65">
        <v>22</v>
      </c>
      <c r="W7" s="88">
        <f t="shared" si="8"/>
        <v>52.999999999999972</v>
      </c>
      <c r="X7" s="99">
        <v>0.37638888888888888</v>
      </c>
      <c r="Y7" s="99">
        <v>0.38541666666666669</v>
      </c>
      <c r="Z7" s="100"/>
      <c r="AA7" s="100"/>
      <c r="AB7" s="601"/>
      <c r="AC7" s="601"/>
      <c r="AD7" s="101"/>
      <c r="AE7" s="101"/>
      <c r="AF7" s="92">
        <f t="shared" si="6"/>
        <v>-283.39622641509277</v>
      </c>
      <c r="AG7" s="94">
        <f t="shared" si="7"/>
        <v>0.89878706199460967</v>
      </c>
      <c r="AH7" s="620"/>
    </row>
    <row r="8" spans="1:34" ht="19.149999999999999" customHeight="1">
      <c r="A8" s="657"/>
      <c r="B8" s="81" t="s">
        <v>385</v>
      </c>
      <c r="C8" s="82"/>
      <c r="D8" s="83" t="s">
        <v>127</v>
      </c>
      <c r="E8" s="84"/>
      <c r="F8" s="85">
        <v>38</v>
      </c>
      <c r="G8" s="86">
        <v>3608</v>
      </c>
      <c r="H8" s="87">
        <f t="shared" si="0"/>
        <v>137104</v>
      </c>
      <c r="I8" s="88"/>
      <c r="J8" s="89">
        <v>19</v>
      </c>
      <c r="K8" s="86">
        <v>2800</v>
      </c>
      <c r="L8" s="90">
        <v>147.36842105263159</v>
      </c>
      <c r="M8" s="91">
        <v>19</v>
      </c>
      <c r="N8" s="86">
        <f t="shared" si="1"/>
        <v>2517.2093023255811</v>
      </c>
      <c r="O8" s="90">
        <f t="shared" si="2"/>
        <v>132.484700122399</v>
      </c>
      <c r="P8" s="92">
        <f t="shared" si="3"/>
        <v>0</v>
      </c>
      <c r="Q8" s="93">
        <f t="shared" si="4"/>
        <v>-14.883720930232585</v>
      </c>
      <c r="R8" s="94">
        <f t="shared" si="5"/>
        <v>0.89900332225913604</v>
      </c>
      <c r="S8" s="620"/>
      <c r="T8" s="96">
        <v>0.42916666666666659</v>
      </c>
      <c r="U8" s="96">
        <v>0.48888888888888882</v>
      </c>
      <c r="V8" s="65">
        <v>6</v>
      </c>
      <c r="W8" s="88">
        <f t="shared" si="8"/>
        <v>86.000000000000014</v>
      </c>
      <c r="X8" s="99"/>
      <c r="Y8" s="99"/>
      <c r="Z8" s="100"/>
      <c r="AA8" s="100"/>
      <c r="AB8" s="601"/>
      <c r="AC8" s="601"/>
      <c r="AD8" s="101"/>
      <c r="AE8" s="101">
        <v>1</v>
      </c>
      <c r="AF8" s="92">
        <f t="shared" si="6"/>
        <v>-282.79069767441888</v>
      </c>
      <c r="AG8" s="94">
        <f t="shared" si="7"/>
        <v>0.89900332225913615</v>
      </c>
      <c r="AH8" s="620"/>
    </row>
    <row r="9" spans="1:34" ht="19.149999999999999" customHeight="1">
      <c r="A9" s="657"/>
      <c r="B9" s="81" t="s">
        <v>386</v>
      </c>
      <c r="C9" s="102"/>
      <c r="D9" s="83" t="s">
        <v>128</v>
      </c>
      <c r="E9" s="103"/>
      <c r="F9" s="85">
        <v>59.34</v>
      </c>
      <c r="G9" s="104">
        <v>569</v>
      </c>
      <c r="H9" s="87">
        <f t="shared" si="0"/>
        <v>33764.46</v>
      </c>
      <c r="I9" s="101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1219.2857142857115</v>
      </c>
      <c r="O9" s="90">
        <f t="shared" si="2"/>
        <v>64.172932330826924</v>
      </c>
      <c r="P9" s="92">
        <f t="shared" si="3"/>
        <v>0</v>
      </c>
      <c r="Q9" s="93">
        <f t="shared" si="4"/>
        <v>-11.616541353383596</v>
      </c>
      <c r="R9" s="94">
        <f t="shared" si="5"/>
        <v>0.84672619047618869</v>
      </c>
      <c r="S9" s="620"/>
      <c r="T9" s="96">
        <v>0.52916666666666656</v>
      </c>
      <c r="U9" s="96">
        <v>0.54861111111111105</v>
      </c>
      <c r="V9" s="65">
        <v>5</v>
      </c>
      <c r="W9" s="88">
        <f t="shared" si="8"/>
        <v>28.00000000000006</v>
      </c>
      <c r="X9" s="99"/>
      <c r="Y9" s="99"/>
      <c r="Z9" s="100"/>
      <c r="AA9" s="100"/>
      <c r="AB9" s="601"/>
      <c r="AC9" s="601"/>
      <c r="AD9" s="101"/>
      <c r="AE9" s="101"/>
      <c r="AF9" s="92">
        <f t="shared" si="6"/>
        <v>-220.71428571428851</v>
      </c>
      <c r="AG9" s="94">
        <f t="shared" si="7"/>
        <v>0.84672619047618858</v>
      </c>
      <c r="AH9" s="620"/>
    </row>
    <row r="10" spans="1:34" ht="19.149999999999999" customHeight="1">
      <c r="A10" s="658"/>
      <c r="B10" s="81" t="s">
        <v>386</v>
      </c>
      <c r="C10" s="82"/>
      <c r="D10" s="83" t="s">
        <v>129</v>
      </c>
      <c r="E10" s="84"/>
      <c r="F10" s="85">
        <v>71.55</v>
      </c>
      <c r="G10" s="86">
        <v>738</v>
      </c>
      <c r="H10" s="87">
        <f t="shared" si="0"/>
        <v>52803.9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1230.0000000000043</v>
      </c>
      <c r="O10" s="90">
        <f t="shared" si="2"/>
        <v>68.33333333333357</v>
      </c>
      <c r="P10" s="92">
        <f t="shared" si="3"/>
        <v>0</v>
      </c>
      <c r="Q10" s="93">
        <f t="shared" si="4"/>
        <v>-8.6111111111108727</v>
      </c>
      <c r="R10" s="94">
        <f t="shared" si="5"/>
        <v>0.88808664259928105</v>
      </c>
      <c r="S10" s="623"/>
      <c r="T10" s="96">
        <v>0.55347222222222225</v>
      </c>
      <c r="U10" s="96">
        <v>0.57847222222222217</v>
      </c>
      <c r="V10" s="65">
        <v>7</v>
      </c>
      <c r="W10" s="88">
        <f t="shared" si="8"/>
        <v>35.999999999999872</v>
      </c>
      <c r="X10" s="99"/>
      <c r="Y10" s="99"/>
      <c r="Z10" s="100"/>
      <c r="AA10" s="100"/>
      <c r="AB10" s="601"/>
      <c r="AC10" s="601"/>
      <c r="AD10" s="101"/>
      <c r="AE10" s="101"/>
      <c r="AF10" s="92">
        <f t="shared" si="6"/>
        <v>-154.99999999999568</v>
      </c>
      <c r="AG10" s="94">
        <f t="shared" si="7"/>
        <v>0.88808664259928105</v>
      </c>
      <c r="AH10" s="623"/>
    </row>
    <row r="11" spans="1:34" ht="19.149999999999999" customHeight="1">
      <c r="A11" s="658"/>
      <c r="B11" s="81" t="s">
        <v>386</v>
      </c>
      <c r="C11" s="82"/>
      <c r="D11" s="83" t="s">
        <v>130</v>
      </c>
      <c r="E11" s="84"/>
      <c r="F11" s="85">
        <v>77.34</v>
      </c>
      <c r="G11" s="86">
        <v>626</v>
      </c>
      <c r="H11" s="87">
        <f t="shared" si="0"/>
        <v>48414.840000000004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1251.9999999999977</v>
      </c>
      <c r="O11" s="90">
        <f t="shared" si="2"/>
        <v>69.555555555555429</v>
      </c>
      <c r="P11" s="92">
        <f t="shared" si="3"/>
        <v>0</v>
      </c>
      <c r="Q11" s="93">
        <f t="shared" si="4"/>
        <v>-10.444444444444571</v>
      </c>
      <c r="R11" s="94">
        <f t="shared" si="5"/>
        <v>0.86944444444444291</v>
      </c>
      <c r="S11" s="623"/>
      <c r="T11" s="96">
        <v>0.58402777777777781</v>
      </c>
      <c r="U11" s="96">
        <v>0.60486111111111118</v>
      </c>
      <c r="V11" s="65">
        <v>8</v>
      </c>
      <c r="W11" s="88">
        <f t="shared" si="8"/>
        <v>30.000000000000053</v>
      </c>
      <c r="X11" s="99"/>
      <c r="Y11" s="99"/>
      <c r="Z11" s="100"/>
      <c r="AA11" s="100"/>
      <c r="AB11" s="601"/>
      <c r="AC11" s="601"/>
      <c r="AD11" s="101"/>
      <c r="AE11" s="101"/>
      <c r="AF11" s="92">
        <f t="shared" si="6"/>
        <v>-188.00000000000227</v>
      </c>
      <c r="AG11" s="94">
        <f t="shared" si="7"/>
        <v>0.86944444444444291</v>
      </c>
      <c r="AH11" s="623"/>
    </row>
    <row r="12" spans="1:34" ht="19.149999999999999" customHeight="1">
      <c r="A12" s="658"/>
      <c r="B12" s="81" t="s">
        <v>386</v>
      </c>
      <c r="C12" s="82"/>
      <c r="D12" s="83" t="s">
        <v>131</v>
      </c>
      <c r="E12" s="84"/>
      <c r="F12" s="85">
        <v>59.54</v>
      </c>
      <c r="G12" s="86">
        <v>1699</v>
      </c>
      <c r="H12" s="87">
        <f t="shared" si="0"/>
        <v>101158.45999999999</v>
      </c>
      <c r="I12" s="88"/>
      <c r="J12" s="89">
        <v>18</v>
      </c>
      <c r="K12" s="86">
        <v>1385</v>
      </c>
      <c r="L12" s="90">
        <v>76.944444444444443</v>
      </c>
      <c r="M12" s="91">
        <v>18</v>
      </c>
      <c r="N12" s="86">
        <f t="shared" si="1"/>
        <v>1199.2941176470586</v>
      </c>
      <c r="O12" s="90">
        <f t="shared" si="2"/>
        <v>66.62745098039214</v>
      </c>
      <c r="P12" s="92">
        <f t="shared" si="3"/>
        <v>0</v>
      </c>
      <c r="Q12" s="93">
        <f t="shared" si="4"/>
        <v>-10.316993464052302</v>
      </c>
      <c r="R12" s="94">
        <f t="shared" si="5"/>
        <v>0.86591633043108918</v>
      </c>
      <c r="S12" s="623"/>
      <c r="T12" s="96">
        <v>0.62013888888888891</v>
      </c>
      <c r="U12" s="96">
        <v>0.6791666666666667</v>
      </c>
      <c r="V12" s="65">
        <v>22</v>
      </c>
      <c r="W12" s="88">
        <f t="shared" si="8"/>
        <v>85.000000000000014</v>
      </c>
      <c r="X12" s="99">
        <v>0.60833333333333328</v>
      </c>
      <c r="Y12" s="99">
        <v>0.61736111111111114</v>
      </c>
      <c r="Z12" s="100"/>
      <c r="AA12" s="100"/>
      <c r="AB12" s="601"/>
      <c r="AC12" s="601"/>
      <c r="AD12" s="101"/>
      <c r="AE12" s="101"/>
      <c r="AF12" s="92"/>
      <c r="AG12" s="94"/>
      <c r="AH12" s="623"/>
    </row>
    <row r="13" spans="1:34" ht="19.149999999999999" customHeight="1">
      <c r="A13" s="658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4"/>
      <c r="S13" s="623"/>
      <c r="T13" s="111"/>
      <c r="U13" s="111"/>
      <c r="V13" s="109"/>
      <c r="W13" s="88"/>
      <c r="X13" s="112"/>
      <c r="Y13" s="112"/>
      <c r="Z13" s="100"/>
      <c r="AA13" s="100"/>
      <c r="AB13" s="601"/>
      <c r="AC13" s="601"/>
      <c r="AD13" s="101"/>
      <c r="AE13" s="101"/>
      <c r="AF13" s="113"/>
      <c r="AG13" s="114"/>
      <c r="AH13" s="623"/>
    </row>
    <row r="14" spans="1:34" ht="19.149999999999999" customHeight="1">
      <c r="A14" s="658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4"/>
      <c r="S14" s="623"/>
      <c r="T14" s="111"/>
      <c r="U14" s="111"/>
      <c r="V14" s="109"/>
      <c r="W14" s="88"/>
      <c r="X14" s="112"/>
      <c r="Y14" s="112"/>
      <c r="Z14" s="100"/>
      <c r="AA14" s="100"/>
      <c r="AB14" s="601"/>
      <c r="AC14" s="601"/>
      <c r="AD14" s="101"/>
      <c r="AE14" s="101"/>
      <c r="AF14" s="113"/>
      <c r="AG14" s="114"/>
      <c r="AH14" s="623"/>
    </row>
    <row r="15" spans="1:34" ht="19.149999999999999" customHeight="1">
      <c r="A15" s="658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4"/>
      <c r="S15" s="623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01"/>
      <c r="AC15" s="601"/>
      <c r="AD15" s="101"/>
      <c r="AE15" s="101"/>
      <c r="AF15" s="113"/>
      <c r="AG15" s="114"/>
      <c r="AH15" s="623"/>
    </row>
    <row r="16" spans="1:34" ht="19.149999999999999" customHeight="1">
      <c r="A16" s="658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4"/>
      <c r="S16" s="623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01"/>
      <c r="AC16" s="601"/>
      <c r="AD16" s="101"/>
      <c r="AE16" s="101"/>
      <c r="AF16" s="113"/>
      <c r="AG16" s="114"/>
      <c r="AH16" s="623"/>
    </row>
    <row r="17" spans="1:34" ht="19.149999999999999" customHeight="1">
      <c r="A17" s="658"/>
      <c r="B17" s="118">
        <v>0</v>
      </c>
      <c r="C17" s="118" t="s">
        <v>27</v>
      </c>
      <c r="D17" s="607" t="s">
        <v>75</v>
      </c>
      <c r="E17" s="607"/>
      <c r="F17" s="119"/>
      <c r="G17" s="120"/>
      <c r="H17" s="121"/>
      <c r="I17" s="122"/>
      <c r="J17" s="120">
        <v>18.5</v>
      </c>
      <c r="K17" s="120">
        <v>2018.75</v>
      </c>
      <c r="L17" s="123">
        <v>109.07529239766082</v>
      </c>
      <c r="M17" s="120">
        <f t="shared" ref="M17:O17" si="9">AVERAGE(M5:M16)</f>
        <v>18.75</v>
      </c>
      <c r="N17" s="120">
        <f t="shared" si="9"/>
        <v>1809.7211914024861</v>
      </c>
      <c r="O17" s="123">
        <f t="shared" si="9"/>
        <v>95.904478133447199</v>
      </c>
      <c r="P17" s="113">
        <f t="shared" ref="P17:P24" si="10">M17-J17</f>
        <v>0.25</v>
      </c>
      <c r="Q17" s="124">
        <f t="shared" ref="Q17:Q24" si="11">O17-L17</f>
        <v>-13.170814264213618</v>
      </c>
      <c r="R17" s="125">
        <f>O17/L17</f>
        <v>0.8792502502198557</v>
      </c>
      <c r="S17" s="623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01"/>
      <c r="AC17" s="601"/>
      <c r="AD17" s="129">
        <f>SUM(AD5:AD16)</f>
        <v>0</v>
      </c>
      <c r="AE17" s="129">
        <f>SUM(AE5:AE16)</f>
        <v>1</v>
      </c>
      <c r="AF17" s="113">
        <f t="shared" si="6"/>
        <v>-209.02880859751394</v>
      </c>
      <c r="AG17" s="114">
        <f t="shared" si="7"/>
        <v>0.89645631772259371</v>
      </c>
      <c r="AH17" s="623"/>
    </row>
    <row r="18" spans="1:34" ht="19.149999999999999" customHeight="1">
      <c r="A18" s="604" t="s">
        <v>132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1286</v>
      </c>
      <c r="H18" s="135">
        <f t="shared" ref="H18:H29" si="12">F18*G18</f>
        <v>47401.96</v>
      </c>
      <c r="I18" s="101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1978.4615384615395</v>
      </c>
      <c r="O18" s="137">
        <f t="shared" ref="O18:O24" si="14">N18/M18</f>
        <v>104.12955465587049</v>
      </c>
      <c r="P18" s="100">
        <f t="shared" si="10"/>
        <v>1</v>
      </c>
      <c r="Q18" s="139">
        <f t="shared" si="11"/>
        <v>-20.870445344129507</v>
      </c>
      <c r="R18" s="140">
        <f t="shared" ref="R18:R24" si="15">O18/L18</f>
        <v>0.83303643724696397</v>
      </c>
      <c r="S18" s="605">
        <f>R30</f>
        <v>0.84903419933539848</v>
      </c>
      <c r="T18" s="142">
        <v>0.16666666666666666</v>
      </c>
      <c r="U18" s="142">
        <v>0.19374999999999998</v>
      </c>
      <c r="V18" s="101">
        <v>5</v>
      </c>
      <c r="W18" s="143">
        <f>(U18-T18)*24*60</f>
        <v>38.999999999999979</v>
      </c>
      <c r="X18" s="137"/>
      <c r="Y18" s="137"/>
      <c r="Z18" s="100"/>
      <c r="AA18" s="100"/>
      <c r="AB18" s="601"/>
      <c r="AC18" s="601"/>
      <c r="AD18" s="101"/>
      <c r="AE18" s="101"/>
      <c r="AF18" s="144">
        <f t="shared" si="6"/>
        <v>-271.53846153846052</v>
      </c>
      <c r="AG18" s="145">
        <f t="shared" si="7"/>
        <v>0.87931623931623981</v>
      </c>
      <c r="AH18" s="646">
        <f>AG30</f>
        <v>0.86268638261846464</v>
      </c>
    </row>
    <row r="19" spans="1:34" ht="19.149999999999999" customHeight="1">
      <c r="A19" s="604"/>
      <c r="B19" s="146" t="s">
        <v>387</v>
      </c>
      <c r="C19" s="147"/>
      <c r="D19" s="132" t="s">
        <v>134</v>
      </c>
      <c r="E19" s="133"/>
      <c r="F19" s="85">
        <v>56.43</v>
      </c>
      <c r="G19" s="104">
        <v>1059.5999999999999</v>
      </c>
      <c r="H19" s="135">
        <f t="shared" si="12"/>
        <v>59793.227999999996</v>
      </c>
      <c r="I19" s="101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1324.5000000000005</v>
      </c>
      <c r="O19" s="150">
        <f t="shared" si="14"/>
        <v>73.583333333333357</v>
      </c>
      <c r="P19" s="100">
        <f t="shared" si="10"/>
        <v>1</v>
      </c>
      <c r="Q19" s="139">
        <f t="shared" si="11"/>
        <v>-14.651960784313701</v>
      </c>
      <c r="R19" s="140">
        <f t="shared" si="15"/>
        <v>0.83394444444444471</v>
      </c>
      <c r="S19" s="605"/>
      <c r="T19" s="142">
        <v>0.1986111111111111</v>
      </c>
      <c r="U19" s="142">
        <v>0.23194444444444443</v>
      </c>
      <c r="V19" s="101">
        <v>7</v>
      </c>
      <c r="W19" s="143">
        <f>(U19-T19)*24*60</f>
        <v>47.999999999999986</v>
      </c>
      <c r="X19" s="151"/>
      <c r="Y19" s="151"/>
      <c r="Z19" s="100"/>
      <c r="AA19" s="100"/>
      <c r="AB19" s="601"/>
      <c r="AC19" s="601"/>
      <c r="AD19" s="101"/>
      <c r="AE19" s="101"/>
      <c r="AF19" s="92">
        <f t="shared" si="6"/>
        <v>-175.49999999999955</v>
      </c>
      <c r="AG19" s="94">
        <f t="shared" si="7"/>
        <v>0.88300000000000034</v>
      </c>
      <c r="AH19" s="647"/>
    </row>
    <row r="20" spans="1:34" ht="19.149999999999999" customHeight="1">
      <c r="A20" s="604"/>
      <c r="B20" s="146" t="s">
        <v>387</v>
      </c>
      <c r="C20" s="102"/>
      <c r="D20" s="83" t="s">
        <v>135</v>
      </c>
      <c r="E20" s="133"/>
      <c r="F20" s="85">
        <v>49.9</v>
      </c>
      <c r="G20" s="104">
        <v>1150</v>
      </c>
      <c r="H20" s="135">
        <f t="shared" si="12"/>
        <v>57385</v>
      </c>
      <c r="I20" s="101"/>
      <c r="J20" s="148">
        <v>17</v>
      </c>
      <c r="K20" s="86">
        <v>1500</v>
      </c>
      <c r="L20" s="90">
        <v>88.235294117647058</v>
      </c>
      <c r="M20" s="138">
        <v>16</v>
      </c>
      <c r="N20" s="149">
        <f t="shared" si="13"/>
        <v>1326.9230769230767</v>
      </c>
      <c r="O20" s="150">
        <f t="shared" si="14"/>
        <v>82.932692307692292</v>
      </c>
      <c r="P20" s="100">
        <f t="shared" si="10"/>
        <v>-1</v>
      </c>
      <c r="Q20" s="139">
        <f t="shared" si="11"/>
        <v>-5.3026018099547656</v>
      </c>
      <c r="R20" s="140">
        <f t="shared" si="15"/>
        <v>0.93990384615384603</v>
      </c>
      <c r="S20" s="605"/>
      <c r="T20" s="142">
        <v>0.24791666666666665</v>
      </c>
      <c r="U20" s="142">
        <v>0.28402777777777777</v>
      </c>
      <c r="V20" s="101">
        <v>23</v>
      </c>
      <c r="W20" s="143">
        <f t="shared" ref="W20:W29" si="16">(U20-T20)*24*60</f>
        <v>52.000000000000014</v>
      </c>
      <c r="X20" s="151">
        <v>0.23541666666666669</v>
      </c>
      <c r="Y20" s="151">
        <v>0.24513888888888888</v>
      </c>
      <c r="Z20" s="100"/>
      <c r="AA20" s="100"/>
      <c r="AB20" s="601"/>
      <c r="AC20" s="601"/>
      <c r="AD20" s="101"/>
      <c r="AE20" s="101"/>
      <c r="AF20" s="92">
        <f t="shared" si="6"/>
        <v>-173.07692307692332</v>
      </c>
      <c r="AG20" s="94">
        <f t="shared" si="7"/>
        <v>0.88461538461538447</v>
      </c>
      <c r="AH20" s="647"/>
    </row>
    <row r="21" spans="1:34" ht="19.149999999999999" customHeight="1">
      <c r="A21" s="604"/>
      <c r="B21" s="146" t="s">
        <v>387</v>
      </c>
      <c r="C21" s="152"/>
      <c r="D21" s="153" t="s">
        <v>136</v>
      </c>
      <c r="E21" s="84"/>
      <c r="F21" s="85">
        <v>56.43</v>
      </c>
      <c r="G21" s="86">
        <v>887</v>
      </c>
      <c r="H21" s="135">
        <f t="shared" si="12"/>
        <v>50053.409999999996</v>
      </c>
      <c r="I21" s="65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1364.6153846153838</v>
      </c>
      <c r="O21" s="150">
        <f t="shared" si="14"/>
        <v>75.811965811965763</v>
      </c>
      <c r="P21" s="100">
        <f t="shared" si="10"/>
        <v>0</v>
      </c>
      <c r="Q21" s="139">
        <f t="shared" si="11"/>
        <v>-15.076923076923123</v>
      </c>
      <c r="R21" s="140">
        <f t="shared" si="15"/>
        <v>0.83411698326123707</v>
      </c>
      <c r="S21" s="605"/>
      <c r="T21" s="142">
        <v>0.28888888888888886</v>
      </c>
      <c r="U21" s="142">
        <v>0.31597222222222221</v>
      </c>
      <c r="V21" s="101">
        <v>7</v>
      </c>
      <c r="W21" s="143">
        <f t="shared" si="16"/>
        <v>39.000000000000021</v>
      </c>
      <c r="X21" s="151"/>
      <c r="Y21" s="151"/>
      <c r="Z21" s="100"/>
      <c r="AA21" s="100"/>
      <c r="AB21" s="601"/>
      <c r="AC21" s="601"/>
      <c r="AD21" s="101"/>
      <c r="AE21" s="101"/>
      <c r="AF21" s="92">
        <f t="shared" si="6"/>
        <v>-271.38461538461615</v>
      </c>
      <c r="AG21" s="94">
        <f t="shared" si="7"/>
        <v>0.83411698326123707</v>
      </c>
      <c r="AH21" s="648"/>
    </row>
    <row r="22" spans="1:34" ht="19.149999999999999" customHeight="1">
      <c r="A22" s="604"/>
      <c r="B22" s="146" t="s">
        <v>388</v>
      </c>
      <c r="C22" s="152"/>
      <c r="D22" s="83" t="s">
        <v>137</v>
      </c>
      <c r="E22" s="84"/>
      <c r="F22" s="85">
        <v>43.14</v>
      </c>
      <c r="G22" s="86">
        <v>1751</v>
      </c>
      <c r="H22" s="135">
        <f t="shared" si="12"/>
        <v>75538.14</v>
      </c>
      <c r="I22" s="65"/>
      <c r="J22" s="148">
        <v>17</v>
      </c>
      <c r="K22" s="86">
        <v>1440</v>
      </c>
      <c r="L22" s="90">
        <v>84.705882352941174</v>
      </c>
      <c r="M22" s="138">
        <v>16</v>
      </c>
      <c r="N22" s="149">
        <f t="shared" si="13"/>
        <v>1281.2195121951213</v>
      </c>
      <c r="O22" s="150">
        <f t="shared" si="14"/>
        <v>80.076219512195081</v>
      </c>
      <c r="P22" s="100">
        <f t="shared" si="10"/>
        <v>-1</v>
      </c>
      <c r="Q22" s="139">
        <f t="shared" si="11"/>
        <v>-4.6296628407460929</v>
      </c>
      <c r="R22" s="140">
        <f t="shared" si="15"/>
        <v>0.94534425813008083</v>
      </c>
      <c r="S22" s="605"/>
      <c r="T22" s="142">
        <v>0.32152777777777775</v>
      </c>
      <c r="U22" s="142">
        <v>0.37847222222222221</v>
      </c>
      <c r="V22" s="101">
        <v>8</v>
      </c>
      <c r="W22" s="143">
        <f t="shared" si="16"/>
        <v>82.000000000000028</v>
      </c>
      <c r="X22" s="151"/>
      <c r="Y22" s="151"/>
      <c r="Z22" s="100"/>
      <c r="AA22" s="100"/>
      <c r="AB22" s="601"/>
      <c r="AC22" s="601"/>
      <c r="AD22" s="101"/>
      <c r="AE22" s="101"/>
      <c r="AF22" s="92">
        <f t="shared" si="6"/>
        <v>-158.7804878048787</v>
      </c>
      <c r="AG22" s="94">
        <f t="shared" si="7"/>
        <v>0.88973577235772316</v>
      </c>
      <c r="AH22" s="648"/>
    </row>
    <row r="23" spans="1:34" ht="19.149999999999999" customHeight="1">
      <c r="A23" s="604"/>
      <c r="B23" s="146" t="s">
        <v>387</v>
      </c>
      <c r="C23" s="152"/>
      <c r="D23" s="83" t="s">
        <v>138</v>
      </c>
      <c r="E23" s="84"/>
      <c r="F23" s="85">
        <v>38.39</v>
      </c>
      <c r="G23" s="86">
        <v>3143</v>
      </c>
      <c r="H23" s="135">
        <f t="shared" si="12"/>
        <v>120659.77</v>
      </c>
      <c r="I23" s="65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1328.0281690140846</v>
      </c>
      <c r="O23" s="150">
        <f t="shared" si="14"/>
        <v>73.779342723004703</v>
      </c>
      <c r="P23" s="100">
        <f t="shared" si="10"/>
        <v>1</v>
      </c>
      <c r="Q23" s="139">
        <f t="shared" si="11"/>
        <v>-22.455951394642355</v>
      </c>
      <c r="R23" s="140">
        <f t="shared" si="15"/>
        <v>0.76665576179161365</v>
      </c>
      <c r="S23" s="605"/>
      <c r="T23" s="142">
        <v>0.39374999999999999</v>
      </c>
      <c r="U23" s="142">
        <v>0.49236111111111108</v>
      </c>
      <c r="V23" s="101">
        <v>22</v>
      </c>
      <c r="W23" s="143">
        <f t="shared" si="16"/>
        <v>141.99999999999997</v>
      </c>
      <c r="X23" s="151">
        <v>0.38194444444444442</v>
      </c>
      <c r="Y23" s="151">
        <v>0.39097222222222222</v>
      </c>
      <c r="Z23" s="100"/>
      <c r="AA23" s="100"/>
      <c r="AB23" s="601"/>
      <c r="AC23" s="601"/>
      <c r="AD23" s="101"/>
      <c r="AE23" s="101"/>
      <c r="AF23" s="92"/>
      <c r="AG23" s="94"/>
      <c r="AH23" s="648"/>
    </row>
    <row r="24" spans="1:34" ht="19.149999999999999" customHeight="1">
      <c r="A24" s="604"/>
      <c r="B24" s="146" t="s">
        <v>387</v>
      </c>
      <c r="C24" s="131"/>
      <c r="D24" s="132" t="s">
        <v>134</v>
      </c>
      <c r="E24" s="133"/>
      <c r="F24" s="85">
        <v>56.43</v>
      </c>
      <c r="G24" s="104">
        <v>706.40000000000009</v>
      </c>
      <c r="H24" s="135">
        <f t="shared" si="12"/>
        <v>39862.152000000002</v>
      </c>
      <c r="I24" s="143"/>
      <c r="J24" s="148">
        <v>17</v>
      </c>
      <c r="K24" s="86">
        <v>1500</v>
      </c>
      <c r="L24" s="90">
        <v>88.235294117647058</v>
      </c>
      <c r="M24" s="138">
        <v>18</v>
      </c>
      <c r="N24" s="149">
        <f t="shared" si="13"/>
        <v>1284.3636363636349</v>
      </c>
      <c r="O24" s="150">
        <f t="shared" si="14"/>
        <v>71.353535353535278</v>
      </c>
      <c r="P24" s="100">
        <f t="shared" si="10"/>
        <v>1</v>
      </c>
      <c r="Q24" s="139">
        <f t="shared" si="11"/>
        <v>-16.88175876411178</v>
      </c>
      <c r="R24" s="140">
        <f t="shared" si="15"/>
        <v>0.80867340067339988</v>
      </c>
      <c r="S24" s="605"/>
      <c r="T24" s="142">
        <v>0.5347222222222221</v>
      </c>
      <c r="U24" s="142">
        <v>0.5576388888888888</v>
      </c>
      <c r="V24" s="101">
        <v>8</v>
      </c>
      <c r="W24" s="143">
        <f t="shared" si="16"/>
        <v>33.000000000000043</v>
      </c>
      <c r="X24" s="101"/>
      <c r="Y24" s="101"/>
      <c r="Z24" s="100"/>
      <c r="AA24" s="100"/>
      <c r="AB24" s="601"/>
      <c r="AC24" s="601"/>
      <c r="AD24" s="101"/>
      <c r="AE24" s="101"/>
      <c r="AF24" s="92">
        <f t="shared" si="6"/>
        <v>-215.6363636363651</v>
      </c>
      <c r="AG24" s="94"/>
      <c r="AH24" s="648"/>
    </row>
    <row r="25" spans="1:34" ht="19.149999999999999" customHeight="1">
      <c r="A25" s="604"/>
      <c r="B25" s="146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0"/>
      <c r="S25" s="605"/>
      <c r="T25" s="142"/>
      <c r="U25" s="142"/>
      <c r="V25" s="101"/>
      <c r="W25" s="143">
        <f t="shared" si="16"/>
        <v>0</v>
      </c>
      <c r="X25" s="101"/>
      <c r="Y25" s="101"/>
      <c r="Z25" s="100"/>
      <c r="AA25" s="100"/>
      <c r="AB25" s="601"/>
      <c r="AC25" s="601"/>
      <c r="AD25" s="101"/>
      <c r="AE25" s="101"/>
      <c r="AF25" s="92">
        <f t="shared" si="6"/>
        <v>0</v>
      </c>
      <c r="AG25" s="94"/>
      <c r="AH25" s="648"/>
    </row>
    <row r="26" spans="1:34" ht="19.149999999999999" customHeight="1">
      <c r="A26" s="604"/>
      <c r="B26" s="146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0"/>
      <c r="S26" s="605"/>
      <c r="T26" s="142"/>
      <c r="U26" s="142"/>
      <c r="V26" s="101"/>
      <c r="W26" s="143">
        <f t="shared" si="16"/>
        <v>0</v>
      </c>
      <c r="X26" s="101"/>
      <c r="Y26" s="101"/>
      <c r="Z26" s="100"/>
      <c r="AA26" s="100"/>
      <c r="AB26" s="601"/>
      <c r="AC26" s="601"/>
      <c r="AD26" s="101"/>
      <c r="AE26" s="101"/>
      <c r="AF26" s="92">
        <f t="shared" si="6"/>
        <v>0</v>
      </c>
      <c r="AG26" s="94"/>
      <c r="AH26" s="648"/>
    </row>
    <row r="27" spans="1:34" ht="19.149999999999999" customHeight="1">
      <c r="A27" s="604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0"/>
      <c r="S27" s="605"/>
      <c r="T27" s="142"/>
      <c r="U27" s="142"/>
      <c r="V27" s="101"/>
      <c r="W27" s="143">
        <f t="shared" si="16"/>
        <v>0</v>
      </c>
      <c r="X27" s="101"/>
      <c r="Y27" s="101"/>
      <c r="Z27" s="100"/>
      <c r="AA27" s="100"/>
      <c r="AB27" s="601"/>
      <c r="AC27" s="601"/>
      <c r="AD27" s="101"/>
      <c r="AE27" s="101"/>
      <c r="AF27" s="92">
        <f t="shared" si="6"/>
        <v>0</v>
      </c>
      <c r="AG27" s="94"/>
      <c r="AH27" s="648"/>
    </row>
    <row r="28" spans="1:34" ht="19.149999999999999" customHeight="1">
      <c r="A28" s="604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0"/>
      <c r="S28" s="605"/>
      <c r="T28" s="142"/>
      <c r="U28" s="142"/>
      <c r="V28" s="101"/>
      <c r="W28" s="143">
        <f t="shared" si="16"/>
        <v>0</v>
      </c>
      <c r="X28" s="101"/>
      <c r="Y28" s="101"/>
      <c r="Z28" s="100"/>
      <c r="AA28" s="100"/>
      <c r="AB28" s="601"/>
      <c r="AC28" s="601"/>
      <c r="AD28" s="101"/>
      <c r="AE28" s="101"/>
      <c r="AF28" s="92">
        <f t="shared" si="6"/>
        <v>0</v>
      </c>
      <c r="AG28" s="94"/>
      <c r="AH28" s="648"/>
    </row>
    <row r="29" spans="1:34" ht="19.149999999999999" customHeight="1">
      <c r="A29" s="604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0"/>
      <c r="S29" s="605"/>
      <c r="T29" s="142"/>
      <c r="U29" s="142"/>
      <c r="V29" s="101"/>
      <c r="W29" s="143">
        <f t="shared" si="16"/>
        <v>0</v>
      </c>
      <c r="X29" s="101"/>
      <c r="Y29" s="101"/>
      <c r="Z29" s="100"/>
      <c r="AA29" s="100"/>
      <c r="AB29" s="601"/>
      <c r="AC29" s="601"/>
      <c r="AD29" s="101"/>
      <c r="AE29" s="101"/>
      <c r="AF29" s="92">
        <f t="shared" si="6"/>
        <v>0</v>
      </c>
      <c r="AG29" s="94"/>
      <c r="AH29" s="648"/>
    </row>
    <row r="30" spans="1:34" ht="19.149999999999999" customHeight="1">
      <c r="A30" s="604"/>
      <c r="B30" s="155">
        <v>0</v>
      </c>
      <c r="C30" s="156" t="s">
        <v>77</v>
      </c>
      <c r="D30" s="645" t="s">
        <v>75</v>
      </c>
      <c r="E30" s="645"/>
      <c r="F30" s="157"/>
      <c r="G30" s="158"/>
      <c r="H30" s="159"/>
      <c r="I30" s="160"/>
      <c r="J30" s="158">
        <v>17.285714285714285</v>
      </c>
      <c r="K30" s="158">
        <v>1637.4285714285713</v>
      </c>
      <c r="L30" s="161">
        <v>94.505135387488323</v>
      </c>
      <c r="M30" s="158">
        <f t="shared" ref="M30:O30" si="17">AVERAGE(M18:M29)</f>
        <v>17.571428571428573</v>
      </c>
      <c r="N30" s="158">
        <f t="shared" si="17"/>
        <v>1412.5873310818345</v>
      </c>
      <c r="O30" s="161">
        <f t="shared" si="17"/>
        <v>80.238091956799579</v>
      </c>
      <c r="P30" s="100">
        <f t="shared" ref="P30:P36" si="18">M30-J30</f>
        <v>0.28571428571428825</v>
      </c>
      <c r="Q30" s="139">
        <f t="shared" ref="Q30:Q36" si="19">O30-L30</f>
        <v>-14.267043430688744</v>
      </c>
      <c r="R30" s="162">
        <f t="shared" ref="R30:R36" si="20">O30/L30</f>
        <v>0.84903419933539848</v>
      </c>
      <c r="S30" s="605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01"/>
      <c r="AC30" s="601"/>
      <c r="AD30" s="164">
        <f>SUM(AD18:AD29)</f>
        <v>0</v>
      </c>
      <c r="AE30" s="164">
        <f>SUM(AE18:AE29)</f>
        <v>0</v>
      </c>
      <c r="AF30" s="165">
        <f t="shared" si="6"/>
        <v>-224.84124034673687</v>
      </c>
      <c r="AG30" s="166">
        <f t="shared" ref="AG30" si="21">N30/K30</f>
        <v>0.86268638261846464</v>
      </c>
      <c r="AH30" s="649"/>
    </row>
    <row r="31" spans="1:34" ht="19.149999999999999" customHeight="1">
      <c r="A31" s="642" t="s">
        <v>139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1949</v>
      </c>
      <c r="H31" s="171">
        <f t="shared" ref="H31:H40" si="22">F31*G31</f>
        <v>66714.26999999999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2126.181818181818</v>
      </c>
      <c r="O31" s="174">
        <f t="shared" ref="O31:O36" si="24">N31/M31</f>
        <v>163.55244755244755</v>
      </c>
      <c r="P31" s="175">
        <f t="shared" si="18"/>
        <v>0</v>
      </c>
      <c r="Q31" s="176">
        <f t="shared" si="19"/>
        <v>-9.5244755244755197</v>
      </c>
      <c r="R31" s="177">
        <f t="shared" si="20"/>
        <v>0.94496969696969702</v>
      </c>
      <c r="S31" s="644">
        <f>R43</f>
        <v>0.91255442704738676</v>
      </c>
      <c r="T31" s="178">
        <v>0.16666666666666666</v>
      </c>
      <c r="U31" s="178">
        <v>0.2048611111111111</v>
      </c>
      <c r="V31" s="98">
        <v>5</v>
      </c>
      <c r="W31" s="179">
        <f t="shared" ref="W31:W42" si="25">(U31-T31)*24*60</f>
        <v>55.000000000000007</v>
      </c>
      <c r="X31" s="98"/>
      <c r="Y31" s="98"/>
      <c r="Z31" s="97"/>
      <c r="AA31" s="97"/>
      <c r="AB31" s="601"/>
      <c r="AC31" s="601"/>
      <c r="AD31" s="98"/>
      <c r="AE31" s="98"/>
      <c r="AF31" s="175">
        <f t="shared" si="6"/>
        <v>-123.81818181818198</v>
      </c>
      <c r="AG31" s="180">
        <f t="shared" si="7"/>
        <v>0.9449696969696969</v>
      </c>
      <c r="AH31" s="622">
        <f>AG43</f>
        <v>0.90144967067033488</v>
      </c>
    </row>
    <row r="32" spans="1:34" ht="19.149999999999999" customHeight="1">
      <c r="A32" s="643"/>
      <c r="B32" s="182" t="s">
        <v>389</v>
      </c>
      <c r="C32" s="183"/>
      <c r="D32" s="153" t="s">
        <v>141</v>
      </c>
      <c r="E32" s="84"/>
      <c r="F32" s="85">
        <v>35.33</v>
      </c>
      <c r="G32" s="86">
        <v>2167</v>
      </c>
      <c r="H32" s="135">
        <f t="shared" si="22"/>
        <v>76560.11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2063.8095238095243</v>
      </c>
      <c r="O32" s="90">
        <f t="shared" si="24"/>
        <v>171.98412698412702</v>
      </c>
      <c r="P32" s="92">
        <f t="shared" si="18"/>
        <v>0</v>
      </c>
      <c r="Q32" s="93">
        <f t="shared" si="19"/>
        <v>-15.515873015872984</v>
      </c>
      <c r="R32" s="94">
        <f t="shared" si="20"/>
        <v>0.91724867724867742</v>
      </c>
      <c r="S32" s="605"/>
      <c r="T32" s="142">
        <v>0.21041666666666667</v>
      </c>
      <c r="U32" s="142">
        <v>0.25416666666666665</v>
      </c>
      <c r="V32" s="101">
        <v>8</v>
      </c>
      <c r="W32" s="143">
        <f t="shared" si="25"/>
        <v>62.999999999999979</v>
      </c>
      <c r="X32" s="184"/>
      <c r="Y32" s="184"/>
      <c r="Z32" s="185"/>
      <c r="AA32" s="185"/>
      <c r="AB32" s="601"/>
      <c r="AC32" s="601"/>
      <c r="AD32" s="101"/>
      <c r="AE32" s="101"/>
      <c r="AF32" s="92">
        <f t="shared" si="6"/>
        <v>-186.19047619047569</v>
      </c>
      <c r="AG32" s="94">
        <f t="shared" si="7"/>
        <v>0.91724867724867742</v>
      </c>
      <c r="AH32" s="620"/>
    </row>
    <row r="33" spans="1:34" ht="19.149999999999999" customHeight="1">
      <c r="A33" s="643"/>
      <c r="B33" s="182" t="s">
        <v>389</v>
      </c>
      <c r="C33" s="101"/>
      <c r="D33" s="132" t="s">
        <v>142</v>
      </c>
      <c r="E33" s="133"/>
      <c r="F33" s="85">
        <v>36.409999999999997</v>
      </c>
      <c r="G33" s="104">
        <v>2216.1999999999998</v>
      </c>
      <c r="H33" s="135">
        <f t="shared" si="22"/>
        <v>80691.84199999999</v>
      </c>
      <c r="I33" s="101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2077.6874999999995</v>
      </c>
      <c r="O33" s="90">
        <f t="shared" si="24"/>
        <v>207.76874999999995</v>
      </c>
      <c r="P33" s="92">
        <f t="shared" si="18"/>
        <v>0</v>
      </c>
      <c r="Q33" s="93">
        <f t="shared" si="19"/>
        <v>-17.231250000000045</v>
      </c>
      <c r="R33" s="94">
        <f t="shared" si="20"/>
        <v>0.92341666666666644</v>
      </c>
      <c r="S33" s="605"/>
      <c r="T33" s="142">
        <v>0.25972222222222219</v>
      </c>
      <c r="U33" s="142">
        <v>0.30416666666666664</v>
      </c>
      <c r="V33" s="101">
        <v>8</v>
      </c>
      <c r="W33" s="143">
        <f t="shared" si="25"/>
        <v>64.000000000000014</v>
      </c>
      <c r="X33" s="184"/>
      <c r="Y33" s="184"/>
      <c r="Z33" s="185"/>
      <c r="AA33" s="185"/>
      <c r="AB33" s="601"/>
      <c r="AC33" s="601"/>
      <c r="AD33" s="101"/>
      <c r="AE33" s="101"/>
      <c r="AF33" s="92">
        <f t="shared" si="6"/>
        <v>-172.31250000000045</v>
      </c>
      <c r="AG33" s="186">
        <f t="shared" si="7"/>
        <v>0.92341666666666644</v>
      </c>
      <c r="AH33" s="620"/>
    </row>
    <row r="34" spans="1:34" ht="19.149999999999999" customHeight="1">
      <c r="A34" s="643"/>
      <c r="B34" s="182" t="s">
        <v>390</v>
      </c>
      <c r="C34" s="187"/>
      <c r="D34" s="132" t="s">
        <v>143</v>
      </c>
      <c r="E34" s="133"/>
      <c r="F34" s="85">
        <v>49.91</v>
      </c>
      <c r="G34" s="104">
        <v>819</v>
      </c>
      <c r="H34" s="135">
        <f t="shared" si="22"/>
        <v>40876.289999999994</v>
      </c>
      <c r="I34" s="101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1293.1578947368412</v>
      </c>
      <c r="O34" s="90">
        <f t="shared" si="24"/>
        <v>71.842105263157848</v>
      </c>
      <c r="P34" s="92">
        <f t="shared" si="18"/>
        <v>0</v>
      </c>
      <c r="Q34" s="93">
        <f t="shared" si="19"/>
        <v>-11.491228070175481</v>
      </c>
      <c r="R34" s="94">
        <f t="shared" si="20"/>
        <v>0.86210526315789426</v>
      </c>
      <c r="S34" s="605"/>
      <c r="T34" s="142">
        <v>0.31944444444444442</v>
      </c>
      <c r="U34" s="142">
        <v>0.34583333333333333</v>
      </c>
      <c r="V34" s="101">
        <v>22</v>
      </c>
      <c r="W34" s="143">
        <f t="shared" si="25"/>
        <v>38.000000000000028</v>
      </c>
      <c r="X34" s="184">
        <v>0.30763888888888891</v>
      </c>
      <c r="Y34" s="184">
        <v>0.31666666666666665</v>
      </c>
      <c r="Z34" s="185"/>
      <c r="AA34" s="185"/>
      <c r="AB34" s="601"/>
      <c r="AC34" s="601"/>
      <c r="AD34" s="101">
        <v>1</v>
      </c>
      <c r="AE34" s="101"/>
      <c r="AF34" s="92">
        <f t="shared" si="6"/>
        <v>-206.84210526315883</v>
      </c>
      <c r="AG34" s="186">
        <f t="shared" si="7"/>
        <v>0.86210526315789415</v>
      </c>
      <c r="AH34" s="620"/>
    </row>
    <row r="35" spans="1:34" ht="19.149999999999999" customHeight="1">
      <c r="A35" s="643"/>
      <c r="B35" s="182" t="s">
        <v>390</v>
      </c>
      <c r="C35" s="82"/>
      <c r="D35" s="83" t="s">
        <v>144</v>
      </c>
      <c r="E35" s="84"/>
      <c r="F35" s="85">
        <v>53.27</v>
      </c>
      <c r="G35" s="188">
        <v>1447</v>
      </c>
      <c r="H35" s="135">
        <f t="shared" si="22"/>
        <v>77081.69</v>
      </c>
      <c r="I35" s="65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1295.8208955223881</v>
      </c>
      <c r="O35" s="90">
        <f t="shared" si="24"/>
        <v>71.990049751243788</v>
      </c>
      <c r="P35" s="92">
        <f t="shared" si="18"/>
        <v>0</v>
      </c>
      <c r="Q35" s="93">
        <f t="shared" si="19"/>
        <v>-11.343283582089541</v>
      </c>
      <c r="R35" s="94">
        <f t="shared" si="20"/>
        <v>0.86388059701492548</v>
      </c>
      <c r="S35" s="605"/>
      <c r="T35" s="142">
        <v>0.35138888888888886</v>
      </c>
      <c r="U35" s="142">
        <v>0.39791666666666664</v>
      </c>
      <c r="V35" s="101">
        <v>8</v>
      </c>
      <c r="W35" s="143">
        <f t="shared" si="25"/>
        <v>67</v>
      </c>
      <c r="X35" s="184"/>
      <c r="Y35" s="184"/>
      <c r="Z35" s="185"/>
      <c r="AA35" s="185"/>
      <c r="AB35" s="601"/>
      <c r="AC35" s="601"/>
      <c r="AD35" s="101"/>
      <c r="AE35" s="101"/>
      <c r="AF35" s="92">
        <f t="shared" si="6"/>
        <v>-204.17910447761187</v>
      </c>
      <c r="AG35" s="186">
        <f t="shared" si="7"/>
        <v>0.86388059701492537</v>
      </c>
      <c r="AH35" s="623"/>
    </row>
    <row r="36" spans="1:34" ht="19.149999999999999" customHeight="1">
      <c r="A36" s="643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2762</v>
      </c>
      <c r="H36" s="135">
        <f t="shared" si="22"/>
        <v>80410.519877675833</v>
      </c>
      <c r="I36" s="101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1284.6511627906973</v>
      </c>
      <c r="O36" s="90">
        <f t="shared" si="24"/>
        <v>71.369509043927621</v>
      </c>
      <c r="P36" s="92">
        <f t="shared" si="18"/>
        <v>-1</v>
      </c>
      <c r="Q36" s="93">
        <f t="shared" si="19"/>
        <v>-7.5778593771250087</v>
      </c>
      <c r="R36" s="94">
        <f t="shared" si="20"/>
        <v>0.90401378122308318</v>
      </c>
      <c r="S36" s="605"/>
      <c r="T36" s="142">
        <v>0.41388888888888886</v>
      </c>
      <c r="U36" s="142">
        <v>0.50347222222222221</v>
      </c>
      <c r="V36" s="101">
        <v>23</v>
      </c>
      <c r="W36" s="143">
        <f t="shared" si="25"/>
        <v>129.00000000000003</v>
      </c>
      <c r="X36" s="184">
        <v>0.40138888888888885</v>
      </c>
      <c r="Y36" s="184">
        <v>0.41111111111111115</v>
      </c>
      <c r="Z36" s="185"/>
      <c r="AA36" s="185"/>
      <c r="AB36" s="601"/>
      <c r="AC36" s="601"/>
      <c r="AD36" s="101"/>
      <c r="AE36" s="101"/>
      <c r="AF36" s="92">
        <f t="shared" si="6"/>
        <v>-215.3488372093027</v>
      </c>
      <c r="AG36" s="186">
        <f t="shared" si="7"/>
        <v>0.85643410852713153</v>
      </c>
      <c r="AH36" s="623"/>
    </row>
    <row r="37" spans="1:34" ht="19.149999999999999" customHeight="1">
      <c r="A37" s="643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101"/>
      <c r="J37" s="89"/>
      <c r="K37" s="86"/>
      <c r="L37" s="90"/>
      <c r="M37" s="189"/>
      <c r="N37" s="86"/>
      <c r="O37" s="90"/>
      <c r="P37" s="92"/>
      <c r="Q37" s="93"/>
      <c r="R37" s="94"/>
      <c r="S37" s="605"/>
      <c r="T37" s="142"/>
      <c r="U37" s="142"/>
      <c r="V37" s="101"/>
      <c r="W37" s="143"/>
      <c r="X37" s="184"/>
      <c r="Y37" s="184"/>
      <c r="Z37" s="185"/>
      <c r="AA37" s="185"/>
      <c r="AB37" s="601"/>
      <c r="AC37" s="601"/>
      <c r="AD37" s="101"/>
      <c r="AE37" s="101"/>
      <c r="AF37" s="92">
        <f t="shared" si="6"/>
        <v>0</v>
      </c>
      <c r="AG37" s="186" t="e">
        <f t="shared" si="7"/>
        <v>#DIV/0!</v>
      </c>
      <c r="AH37" s="623"/>
    </row>
    <row r="38" spans="1:34" ht="19.149999999999999" customHeight="1">
      <c r="A38" s="643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101"/>
      <c r="J38" s="89"/>
      <c r="K38" s="86"/>
      <c r="L38" s="90"/>
      <c r="M38" s="189"/>
      <c r="N38" s="86"/>
      <c r="O38" s="90"/>
      <c r="P38" s="92"/>
      <c r="Q38" s="93"/>
      <c r="R38" s="94"/>
      <c r="S38" s="605"/>
      <c r="T38" s="142"/>
      <c r="U38" s="142"/>
      <c r="V38" s="101"/>
      <c r="W38" s="143"/>
      <c r="X38" s="184"/>
      <c r="Y38" s="184"/>
      <c r="Z38" s="185"/>
      <c r="AA38" s="185"/>
      <c r="AB38" s="601"/>
      <c r="AC38" s="601"/>
      <c r="AD38" s="101"/>
      <c r="AE38" s="101"/>
      <c r="AF38" s="92">
        <f t="shared" si="6"/>
        <v>0</v>
      </c>
      <c r="AG38" s="186" t="e">
        <f t="shared" si="7"/>
        <v>#DIV/0!</v>
      </c>
      <c r="AH38" s="623"/>
    </row>
    <row r="39" spans="1:34" ht="19.149999999999999" customHeight="1">
      <c r="A39" s="643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101"/>
      <c r="J39" s="89"/>
      <c r="K39" s="86"/>
      <c r="L39" s="90"/>
      <c r="M39" s="189"/>
      <c r="N39" s="86"/>
      <c r="O39" s="90"/>
      <c r="P39" s="92"/>
      <c r="Q39" s="93"/>
      <c r="R39" s="94"/>
      <c r="S39" s="605"/>
      <c r="T39" s="142"/>
      <c r="U39" s="142"/>
      <c r="V39" s="101"/>
      <c r="W39" s="143"/>
      <c r="X39" s="184"/>
      <c r="Y39" s="184"/>
      <c r="Z39" s="185"/>
      <c r="AA39" s="185"/>
      <c r="AB39" s="601"/>
      <c r="AC39" s="601"/>
      <c r="AD39" s="101"/>
      <c r="AE39" s="101"/>
      <c r="AF39" s="92"/>
      <c r="AG39" s="191"/>
      <c r="AH39" s="623"/>
    </row>
    <row r="40" spans="1:34" ht="19.149999999999999" customHeight="1">
      <c r="A40" s="643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65"/>
      <c r="J40" s="193"/>
      <c r="K40" s="194"/>
      <c r="L40" s="195"/>
      <c r="M40" s="91"/>
      <c r="N40" s="86"/>
      <c r="O40" s="90"/>
      <c r="P40" s="92"/>
      <c r="Q40" s="93"/>
      <c r="R40" s="94"/>
      <c r="S40" s="605"/>
      <c r="T40" s="142"/>
      <c r="U40" s="142"/>
      <c r="V40" s="101"/>
      <c r="W40" s="143">
        <f t="shared" si="25"/>
        <v>0</v>
      </c>
      <c r="X40" s="184"/>
      <c r="Y40" s="184"/>
      <c r="Z40" s="185"/>
      <c r="AA40" s="185"/>
      <c r="AB40" s="601"/>
      <c r="AC40" s="601"/>
      <c r="AD40" s="101"/>
      <c r="AE40" s="101"/>
      <c r="AF40" s="92"/>
      <c r="AG40" s="191"/>
      <c r="AH40" s="623"/>
    </row>
    <row r="41" spans="1:34" ht="19.149999999999999" customHeight="1">
      <c r="A41" s="643"/>
      <c r="B41" s="101">
        <v>0</v>
      </c>
      <c r="C41" s="102"/>
      <c r="D41" s="132"/>
      <c r="E41" s="133"/>
      <c r="F41" s="85" t="s">
        <v>391</v>
      </c>
      <c r="G41" s="104"/>
      <c r="H41" s="135"/>
      <c r="I41" s="101"/>
      <c r="J41" s="138"/>
      <c r="K41" s="104"/>
      <c r="L41" s="137"/>
      <c r="M41" s="189"/>
      <c r="N41" s="104"/>
      <c r="O41" s="137"/>
      <c r="P41" s="100"/>
      <c r="Q41" s="139"/>
      <c r="R41" s="140"/>
      <c r="S41" s="605"/>
      <c r="T41" s="142"/>
      <c r="U41" s="142"/>
      <c r="V41" s="101"/>
      <c r="W41" s="143">
        <f t="shared" si="25"/>
        <v>0</v>
      </c>
      <c r="X41" s="184"/>
      <c r="Y41" s="184"/>
      <c r="Z41" s="185"/>
      <c r="AA41" s="185"/>
      <c r="AB41" s="601"/>
      <c r="AC41" s="601"/>
      <c r="AD41" s="101"/>
      <c r="AE41" s="101"/>
      <c r="AF41" s="92"/>
      <c r="AG41" s="191"/>
      <c r="AH41" s="623"/>
    </row>
    <row r="42" spans="1:34" ht="19.149999999999999" customHeight="1">
      <c r="A42" s="643"/>
      <c r="B42" s="101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101"/>
      <c r="J42" s="138"/>
      <c r="K42" s="104"/>
      <c r="L42" s="137"/>
      <c r="M42" s="189"/>
      <c r="N42" s="104"/>
      <c r="O42" s="137"/>
      <c r="P42" s="100"/>
      <c r="Q42" s="139"/>
      <c r="R42" s="140"/>
      <c r="S42" s="605"/>
      <c r="T42" s="142"/>
      <c r="U42" s="142"/>
      <c r="V42" s="101"/>
      <c r="W42" s="143">
        <f t="shared" si="25"/>
        <v>0</v>
      </c>
      <c r="X42" s="184"/>
      <c r="Y42" s="184"/>
      <c r="Z42" s="185"/>
      <c r="AA42" s="185"/>
      <c r="AB42" s="601"/>
      <c r="AC42" s="601"/>
      <c r="AD42" s="101"/>
      <c r="AE42" s="101"/>
      <c r="AF42" s="92"/>
      <c r="AG42" s="191"/>
      <c r="AH42" s="623"/>
    </row>
    <row r="43" spans="1:34" ht="19.149999999999999" customHeight="1">
      <c r="A43" s="643"/>
      <c r="B43" s="182">
        <v>0</v>
      </c>
      <c r="C43" s="156" t="s">
        <v>29</v>
      </c>
      <c r="D43" s="602" t="s">
        <v>75</v>
      </c>
      <c r="E43" s="602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1690.218132506878</v>
      </c>
      <c r="O43" s="161">
        <f t="shared" si="26"/>
        <v>126.41783143248396</v>
      </c>
      <c r="P43" s="100">
        <f>M43-J43</f>
        <v>-0.16666666666666607</v>
      </c>
      <c r="Q43" s="139">
        <f>N43-K43</f>
        <v>-184.78186749312204</v>
      </c>
      <c r="R43" s="162">
        <f t="shared" ref="R43:R47" si="27">O43/L43</f>
        <v>0.91255442704738676</v>
      </c>
      <c r="S43" s="605"/>
      <c r="T43" s="142"/>
      <c r="U43" s="142"/>
      <c r="V43" s="101"/>
      <c r="W43" s="101"/>
      <c r="X43" s="184"/>
      <c r="Y43" s="184"/>
      <c r="Z43" s="197">
        <f>SUM(Z31:Z42)</f>
        <v>0</v>
      </c>
      <c r="AA43" s="197">
        <f>SUM(AA31:AA42)</f>
        <v>0</v>
      </c>
      <c r="AB43" s="601"/>
      <c r="AC43" s="601"/>
      <c r="AD43" s="164">
        <f>SUM(AD31:AD42)</f>
        <v>1</v>
      </c>
      <c r="AE43" s="164">
        <f>SUM(AE31:AE42)</f>
        <v>0</v>
      </c>
      <c r="AF43" s="92">
        <f t="shared" ref="AF43:AF52" si="28">N43-K43</f>
        <v>-184.78186749312204</v>
      </c>
      <c r="AG43" s="114">
        <f t="shared" si="7"/>
        <v>0.90144967067033488</v>
      </c>
      <c r="AH43" s="623"/>
    </row>
    <row r="44" spans="1:34" s="213" customFormat="1" ht="19.149999999999999" customHeight="1">
      <c r="A44" s="638" t="s">
        <v>146</v>
      </c>
      <c r="B44" s="152" t="s">
        <v>388</v>
      </c>
      <c r="C44" s="198"/>
      <c r="D44" s="83" t="s">
        <v>147</v>
      </c>
      <c r="E44" s="84"/>
      <c r="F44" s="199">
        <v>31.43</v>
      </c>
      <c r="G44" s="200">
        <v>5820.5999999999995</v>
      </c>
      <c r="H44" s="87">
        <f>F44*G44</f>
        <v>182941.45799999998</v>
      </c>
      <c r="I44" s="201"/>
      <c r="J44" s="202">
        <v>6</v>
      </c>
      <c r="K44" s="203">
        <v>1500</v>
      </c>
      <c r="L44" s="204">
        <v>250</v>
      </c>
      <c r="M44" s="110">
        <v>7</v>
      </c>
      <c r="N44" s="203">
        <f>G44/W44*60</f>
        <v>1364.2031249999998</v>
      </c>
      <c r="O44" s="204">
        <f>N44/M44</f>
        <v>194.88616071428569</v>
      </c>
      <c r="P44" s="97">
        <f>M44-J44</f>
        <v>1</v>
      </c>
      <c r="Q44" s="205">
        <f>O44-L44</f>
        <v>-55.113839285714306</v>
      </c>
      <c r="R44" s="206">
        <f t="shared" si="27"/>
        <v>0.77954464285714276</v>
      </c>
      <c r="S44" s="620">
        <f>R56</f>
        <v>0.8811328343216035</v>
      </c>
      <c r="T44" s="207">
        <v>0.16666666666666666</v>
      </c>
      <c r="U44" s="207">
        <v>0.34444444444444444</v>
      </c>
      <c r="V44" s="208">
        <v>5</v>
      </c>
      <c r="W44" s="209">
        <f t="shared" ref="W44:W56" si="29">(U44-T44)*24*60</f>
        <v>256</v>
      </c>
      <c r="X44" s="184"/>
      <c r="Y44" s="184"/>
      <c r="Z44" s="185"/>
      <c r="AA44" s="185"/>
      <c r="AB44" s="601"/>
      <c r="AC44" s="601"/>
      <c r="AD44" s="101">
        <v>1</v>
      </c>
      <c r="AE44" s="101"/>
      <c r="AF44" s="210">
        <f t="shared" si="28"/>
        <v>-135.79687500000023</v>
      </c>
      <c r="AG44" s="211">
        <f t="shared" si="7"/>
        <v>0.90946874999999983</v>
      </c>
      <c r="AH44" s="641">
        <f>AG56</f>
        <v>0.91289394265183266</v>
      </c>
    </row>
    <row r="45" spans="1:34" s="213" customFormat="1" ht="19.149999999999999" customHeight="1">
      <c r="A45" s="639"/>
      <c r="B45" s="152" t="s">
        <v>388</v>
      </c>
      <c r="C45" s="198"/>
      <c r="D45" s="83" t="s">
        <v>148</v>
      </c>
      <c r="E45" s="84"/>
      <c r="F45" s="199">
        <v>11.6</v>
      </c>
      <c r="G45" s="200">
        <v>2468</v>
      </c>
      <c r="H45" s="87">
        <f>F45*G45</f>
        <v>28628.799999999999</v>
      </c>
      <c r="I45" s="214"/>
      <c r="J45" s="202">
        <v>6</v>
      </c>
      <c r="K45" s="203">
        <v>1636</v>
      </c>
      <c r="L45" s="204">
        <v>272.66666666666669</v>
      </c>
      <c r="M45" s="110">
        <v>6</v>
      </c>
      <c r="N45" s="203">
        <f>G45/W45*60</f>
        <v>1466.1386138613855</v>
      </c>
      <c r="O45" s="204">
        <f>N45/M45</f>
        <v>244.35643564356425</v>
      </c>
      <c r="P45" s="97">
        <f>M45-J45</f>
        <v>0</v>
      </c>
      <c r="Q45" s="205">
        <f>O45-L45</f>
        <v>-28.310231023102432</v>
      </c>
      <c r="R45" s="206">
        <f t="shared" si="27"/>
        <v>0.89617274685903758</v>
      </c>
      <c r="S45" s="620"/>
      <c r="T45" s="207">
        <v>0.36527777777777776</v>
      </c>
      <c r="U45" s="207">
        <v>0.43541666666666667</v>
      </c>
      <c r="V45" s="208">
        <v>30</v>
      </c>
      <c r="W45" s="209">
        <f t="shared" si="29"/>
        <v>101.00000000000004</v>
      </c>
      <c r="X45" s="184">
        <v>0.34791666666666665</v>
      </c>
      <c r="Y45" s="184">
        <v>0.36249999999999999</v>
      </c>
      <c r="Z45" s="185"/>
      <c r="AA45" s="185"/>
      <c r="AB45" s="601"/>
      <c r="AC45" s="601"/>
      <c r="AD45" s="101"/>
      <c r="AE45" s="101"/>
      <c r="AF45" s="210">
        <f t="shared" si="28"/>
        <v>-169.86138613861453</v>
      </c>
      <c r="AG45" s="211">
        <f t="shared" si="7"/>
        <v>0.89617274685903758</v>
      </c>
      <c r="AH45" s="641"/>
    </row>
    <row r="46" spans="1:34" s="213" customFormat="1" ht="19.149999999999999" customHeight="1">
      <c r="A46" s="639"/>
      <c r="B46" s="152" t="s">
        <v>390</v>
      </c>
      <c r="C46" s="198"/>
      <c r="D46" s="83" t="s">
        <v>149</v>
      </c>
      <c r="E46" s="84"/>
      <c r="F46" s="199">
        <v>10.09</v>
      </c>
      <c r="G46" s="200">
        <v>4445.3499999999995</v>
      </c>
      <c r="H46" s="87">
        <f t="shared" ref="H46:H51" si="30">F46*G46</f>
        <v>44853.581499999993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1411.2222222222217</v>
      </c>
      <c r="O46" s="204">
        <f>N46/M46</f>
        <v>235.20370370370361</v>
      </c>
      <c r="P46" s="97">
        <f>M46-J46</f>
        <v>0</v>
      </c>
      <c r="Q46" s="205">
        <f>O46-L46</f>
        <v>-14.79629629629639</v>
      </c>
      <c r="R46" s="206">
        <f t="shared" si="27"/>
        <v>0.94081481481481444</v>
      </c>
      <c r="S46" s="620"/>
      <c r="T46" s="207">
        <v>0.45624999999999999</v>
      </c>
      <c r="U46" s="207">
        <v>0.58750000000000002</v>
      </c>
      <c r="V46" s="208">
        <v>30</v>
      </c>
      <c r="W46" s="209">
        <f t="shared" si="29"/>
        <v>189.00000000000006</v>
      </c>
      <c r="X46" s="184">
        <v>0.43888888888888888</v>
      </c>
      <c r="Y46" s="184">
        <v>0.45347222222222222</v>
      </c>
      <c r="Z46" s="185"/>
      <c r="AA46" s="185"/>
      <c r="AB46" s="601"/>
      <c r="AC46" s="601"/>
      <c r="AD46" s="101"/>
      <c r="AE46" s="101"/>
      <c r="AF46" s="210">
        <f t="shared" si="28"/>
        <v>-88.777777777778283</v>
      </c>
      <c r="AG46" s="211">
        <f t="shared" si="7"/>
        <v>0.94081481481481444</v>
      </c>
      <c r="AH46" s="641"/>
    </row>
    <row r="47" spans="1:34" s="213" customFormat="1" ht="19.149999999999999" customHeight="1">
      <c r="A47" s="639"/>
      <c r="B47" s="152" t="s">
        <v>388</v>
      </c>
      <c r="C47" s="198"/>
      <c r="D47" s="215" t="s">
        <v>150</v>
      </c>
      <c r="E47" s="216"/>
      <c r="F47" s="199">
        <v>31.43</v>
      </c>
      <c r="G47" s="203">
        <v>2425.25</v>
      </c>
      <c r="H47" s="87">
        <f t="shared" si="30"/>
        <v>76225.607499999998</v>
      </c>
      <c r="I47" s="214">
        <v>2</v>
      </c>
      <c r="J47" s="202">
        <v>6</v>
      </c>
      <c r="K47" s="203">
        <v>1500</v>
      </c>
      <c r="L47" s="204">
        <v>250</v>
      </c>
      <c r="M47" s="217">
        <v>6</v>
      </c>
      <c r="N47" s="203">
        <f t="shared" ref="N47" si="31">G47/W47*60</f>
        <v>1359.9532710280382</v>
      </c>
      <c r="O47" s="204">
        <f t="shared" ref="O47" si="32">N47/M47</f>
        <v>226.65887850467303</v>
      </c>
      <c r="P47" s="97">
        <f t="shared" ref="P47" si="33">M47-J47</f>
        <v>0</v>
      </c>
      <c r="Q47" s="205">
        <f t="shared" ref="Q47" si="34">O47-L47</f>
        <v>-23.341121495326973</v>
      </c>
      <c r="R47" s="206">
        <f t="shared" si="27"/>
        <v>0.90663551401869213</v>
      </c>
      <c r="S47" s="620"/>
      <c r="T47" s="207">
        <v>0.60833333333333339</v>
      </c>
      <c r="U47" s="207">
        <v>0.68263888888888891</v>
      </c>
      <c r="V47" s="203">
        <v>30</v>
      </c>
      <c r="W47" s="209">
        <f t="shared" si="29"/>
        <v>106.99999999999994</v>
      </c>
      <c r="X47" s="184">
        <v>0.59097222222222223</v>
      </c>
      <c r="Y47" s="184">
        <v>0.60555555555555551</v>
      </c>
      <c r="Z47" s="185"/>
      <c r="AA47" s="185"/>
      <c r="AB47" s="601"/>
      <c r="AC47" s="601"/>
      <c r="AD47" s="101"/>
      <c r="AE47" s="101"/>
      <c r="AF47" s="210">
        <f t="shared" si="28"/>
        <v>-140.04672897196178</v>
      </c>
      <c r="AG47" s="211">
        <f t="shared" si="7"/>
        <v>0.90663551401869213</v>
      </c>
      <c r="AH47" s="641"/>
    </row>
    <row r="48" spans="1:34" s="213" customFormat="1" ht="19.149999999999999" customHeight="1">
      <c r="A48" s="639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0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0"/>
      <c r="T48" s="219"/>
      <c r="U48" s="219"/>
      <c r="V48" s="200"/>
      <c r="W48" s="209"/>
      <c r="X48" s="184"/>
      <c r="Y48" s="184"/>
      <c r="Z48" s="185"/>
      <c r="AA48" s="185"/>
      <c r="AB48" s="601"/>
      <c r="AC48" s="601"/>
      <c r="AD48" s="101"/>
      <c r="AE48" s="101"/>
      <c r="AF48" s="210">
        <f t="shared" si="28"/>
        <v>0</v>
      </c>
      <c r="AG48" s="211" t="e">
        <f t="shared" si="7"/>
        <v>#DIV/0!</v>
      </c>
      <c r="AH48" s="641"/>
    </row>
    <row r="49" spans="1:34" s="213" customFormat="1" ht="19.149999999999999" customHeight="1">
      <c r="A49" s="639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0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0"/>
      <c r="T49" s="219"/>
      <c r="U49" s="219"/>
      <c r="V49" s="200"/>
      <c r="W49" s="209"/>
      <c r="X49" s="220"/>
      <c r="Y49" s="220"/>
      <c r="Z49" s="221"/>
      <c r="AA49" s="185"/>
      <c r="AB49" s="601"/>
      <c r="AC49" s="601"/>
      <c r="AD49" s="101"/>
      <c r="AE49" s="101"/>
      <c r="AF49" s="210">
        <f t="shared" si="28"/>
        <v>0</v>
      </c>
      <c r="AG49" s="211" t="e">
        <f t="shared" si="7"/>
        <v>#DIV/0!</v>
      </c>
      <c r="AH49" s="641"/>
    </row>
    <row r="50" spans="1:34" s="213" customFormat="1" ht="19.149999999999999" customHeight="1">
      <c r="A50" s="639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0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0"/>
      <c r="T50" s="219"/>
      <c r="U50" s="219"/>
      <c r="V50" s="200"/>
      <c r="W50" s="209"/>
      <c r="X50" s="220"/>
      <c r="Y50" s="220"/>
      <c r="Z50" s="221"/>
      <c r="AA50" s="221"/>
      <c r="AB50" s="601"/>
      <c r="AC50" s="601"/>
      <c r="AD50" s="101"/>
      <c r="AE50" s="101"/>
      <c r="AF50" s="210">
        <f t="shared" si="28"/>
        <v>0</v>
      </c>
      <c r="AG50" s="211" t="e">
        <f t="shared" si="7"/>
        <v>#DIV/0!</v>
      </c>
      <c r="AH50" s="641"/>
    </row>
    <row r="51" spans="1:34" s="213" customFormat="1" ht="19.149999999999999" customHeight="1">
      <c r="A51" s="639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0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0"/>
      <c r="T51" s="219"/>
      <c r="U51" s="219"/>
      <c r="V51" s="200"/>
      <c r="W51" s="209"/>
      <c r="X51" s="220"/>
      <c r="Y51" s="220"/>
      <c r="Z51" s="221"/>
      <c r="AA51" s="221"/>
      <c r="AB51" s="601"/>
      <c r="AC51" s="601"/>
      <c r="AD51" s="101"/>
      <c r="AE51" s="101"/>
      <c r="AF51" s="210">
        <f t="shared" si="28"/>
        <v>0</v>
      </c>
      <c r="AG51" s="211" t="e">
        <f t="shared" si="7"/>
        <v>#DIV/0!</v>
      </c>
      <c r="AH51" s="641"/>
    </row>
    <row r="52" spans="1:34" s="213" customFormat="1" ht="19.149999999999999" customHeight="1">
      <c r="A52" s="639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0"/>
      <c r="S52" s="620"/>
      <c r="T52" s="219"/>
      <c r="U52" s="219"/>
      <c r="V52" s="200" t="s">
        <v>49</v>
      </c>
      <c r="W52" s="209">
        <f t="shared" si="29"/>
        <v>0</v>
      </c>
      <c r="X52" s="220"/>
      <c r="Y52" s="220"/>
      <c r="Z52" s="221"/>
      <c r="AA52" s="221"/>
      <c r="AB52" s="601"/>
      <c r="AC52" s="601"/>
      <c r="AD52" s="101"/>
      <c r="AE52" s="101"/>
      <c r="AF52" s="210">
        <f t="shared" si="28"/>
        <v>0</v>
      </c>
      <c r="AG52" s="211" t="e">
        <f t="shared" si="7"/>
        <v>#DIV/0!</v>
      </c>
      <c r="AH52" s="641"/>
    </row>
    <row r="53" spans="1:34" s="213" customFormat="1" ht="19.149999999999999" customHeight="1">
      <c r="A53" s="639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0"/>
      <c r="S53" s="620"/>
      <c r="T53" s="219"/>
      <c r="U53" s="219"/>
      <c r="V53" s="200"/>
      <c r="W53" s="209">
        <f t="shared" si="29"/>
        <v>0</v>
      </c>
      <c r="X53" s="220"/>
      <c r="Y53" s="220"/>
      <c r="Z53" s="221"/>
      <c r="AA53" s="221"/>
      <c r="AB53" s="601"/>
      <c r="AC53" s="601"/>
      <c r="AD53" s="101"/>
      <c r="AE53" s="101"/>
      <c r="AF53" s="210"/>
      <c r="AG53" s="211"/>
      <c r="AH53" s="641"/>
    </row>
    <row r="54" spans="1:34" s="213" customFormat="1" ht="19.149999999999999" customHeight="1">
      <c r="A54" s="639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0"/>
      <c r="S54" s="620"/>
      <c r="T54" s="219"/>
      <c r="U54" s="219"/>
      <c r="V54" s="200"/>
      <c r="W54" s="209">
        <f t="shared" si="29"/>
        <v>0</v>
      </c>
      <c r="X54" s="220"/>
      <c r="Y54" s="220"/>
      <c r="Z54" s="221"/>
      <c r="AA54" s="221"/>
      <c r="AB54" s="601"/>
      <c r="AC54" s="601"/>
      <c r="AD54" s="101"/>
      <c r="AE54" s="101"/>
      <c r="AF54" s="210"/>
      <c r="AG54" s="211"/>
      <c r="AH54" s="641"/>
    </row>
    <row r="55" spans="1:34" s="213" customFormat="1" ht="19.149999999999999" customHeight="1">
      <c r="A55" s="639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0"/>
      <c r="S55" s="620"/>
      <c r="T55" s="219"/>
      <c r="U55" s="219"/>
      <c r="V55" s="200"/>
      <c r="W55" s="209">
        <f t="shared" si="29"/>
        <v>0</v>
      </c>
      <c r="X55" s="220"/>
      <c r="Y55" s="220"/>
      <c r="Z55" s="221"/>
      <c r="AA55" s="221"/>
      <c r="AB55" s="601"/>
      <c r="AC55" s="601"/>
      <c r="AD55" s="101"/>
      <c r="AE55" s="101"/>
      <c r="AF55" s="210"/>
      <c r="AG55" s="211"/>
      <c r="AH55" s="641"/>
    </row>
    <row r="56" spans="1:34" ht="19.149999999999999" customHeight="1">
      <c r="A56" s="640"/>
      <c r="B56" s="226">
        <v>0</v>
      </c>
      <c r="C56" s="156" t="s">
        <v>30</v>
      </c>
      <c r="D56" s="602" t="s">
        <v>75</v>
      </c>
      <c r="E56" s="602"/>
      <c r="F56" s="157"/>
      <c r="G56" s="158"/>
      <c r="H56" s="159"/>
      <c r="I56" s="160"/>
      <c r="J56" s="158">
        <v>6</v>
      </c>
      <c r="K56" s="158">
        <v>1534</v>
      </c>
      <c r="L56" s="161">
        <v>255.66666666666669</v>
      </c>
      <c r="M56" s="158">
        <f t="shared" ref="M56:O56" si="35">AVERAGE(M44:M55)</f>
        <v>6.25</v>
      </c>
      <c r="N56" s="158">
        <f t="shared" si="35"/>
        <v>1400.3793080279113</v>
      </c>
      <c r="O56" s="161">
        <f t="shared" si="35"/>
        <v>225.27629464155663</v>
      </c>
      <c r="P56" s="227">
        <f>M56-J56</f>
        <v>0.25</v>
      </c>
      <c r="Q56" s="176">
        <f>N56-K56</f>
        <v>-133.62069197208871</v>
      </c>
      <c r="R56" s="228">
        <f t="shared" ref="R56:R60" si="36">O56/L56</f>
        <v>0.8811328343216035</v>
      </c>
      <c r="S56" s="620"/>
      <c r="T56" s="229"/>
      <c r="U56" s="229"/>
      <c r="V56" s="230"/>
      <c r="W56" s="209">
        <f t="shared" si="29"/>
        <v>0</v>
      </c>
      <c r="X56" s="231"/>
      <c r="Y56" s="231"/>
      <c r="Z56" s="163">
        <f>SUM(Z44:Z55)</f>
        <v>0</v>
      </c>
      <c r="AA56" s="163">
        <f>SUM(AA44:AA55)</f>
        <v>0</v>
      </c>
      <c r="AB56" s="601"/>
      <c r="AC56" s="601"/>
      <c r="AD56" s="164">
        <f>SUM(AD44:AD55)</f>
        <v>1</v>
      </c>
      <c r="AE56" s="164">
        <f>SUM(AE44:AE55)</f>
        <v>0</v>
      </c>
      <c r="AF56" s="232">
        <f>N56-K56</f>
        <v>-133.62069197208871</v>
      </c>
      <c r="AG56" s="140">
        <f>N56/K56</f>
        <v>0.91289394265183266</v>
      </c>
      <c r="AH56" s="641"/>
    </row>
    <row r="57" spans="1:34" ht="19.149999999999999" customHeight="1">
      <c r="A57" s="634" t="s">
        <v>151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1657</v>
      </c>
      <c r="H57" s="135">
        <f t="shared" ref="H57:H66" si="37">F57*G57</f>
        <v>46826.82</v>
      </c>
      <c r="I57" s="101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8">G57/W57*60</f>
        <v>1308.1578947368419</v>
      </c>
      <c r="O57" s="137">
        <f t="shared" ref="O57:O60" si="39">N57/M57</f>
        <v>186.87969924812026</v>
      </c>
      <c r="P57" s="235">
        <f t="shared" ref="P57:P60" si="40">M57-J57</f>
        <v>1</v>
      </c>
      <c r="Q57" s="93">
        <f t="shared" ref="Q57:Q60" si="41">O57-L57</f>
        <v>-63.120300751879739</v>
      </c>
      <c r="R57" s="94">
        <f t="shared" si="36"/>
        <v>0.74751879699248103</v>
      </c>
      <c r="S57" s="620">
        <f>R69</f>
        <v>0.8442806793047305</v>
      </c>
      <c r="T57" s="207">
        <v>0.16666666666666666</v>
      </c>
      <c r="U57" s="207">
        <v>0.21944444444444444</v>
      </c>
      <c r="V57" s="65">
        <v>5</v>
      </c>
      <c r="W57" s="88">
        <f>(U57-T57)*24*60</f>
        <v>76.000000000000014</v>
      </c>
      <c r="X57" s="99"/>
      <c r="Y57" s="99"/>
      <c r="Z57" s="100"/>
      <c r="AA57" s="100"/>
      <c r="AB57" s="601"/>
      <c r="AC57" s="601"/>
      <c r="AD57" s="101"/>
      <c r="AE57" s="101"/>
      <c r="AF57" s="92">
        <f t="shared" si="6"/>
        <v>-191.84210526315815</v>
      </c>
      <c r="AG57" s="177">
        <f t="shared" si="7"/>
        <v>0.87210526315789461</v>
      </c>
      <c r="AH57" s="622">
        <f>AG69</f>
        <v>0.94656000108829375</v>
      </c>
    </row>
    <row r="58" spans="1:34" ht="19.149999999999999" customHeight="1">
      <c r="A58" s="635"/>
      <c r="B58" s="152" t="s">
        <v>388</v>
      </c>
      <c r="C58" s="147"/>
      <c r="D58" s="83" t="s">
        <v>153</v>
      </c>
      <c r="E58" s="84"/>
      <c r="F58" s="85">
        <v>27.88</v>
      </c>
      <c r="G58" s="200">
        <v>2633</v>
      </c>
      <c r="H58" s="87">
        <f t="shared" si="37"/>
        <v>73408.039999999994</v>
      </c>
      <c r="I58" s="65"/>
      <c r="J58" s="89">
        <v>6</v>
      </c>
      <c r="K58" s="86">
        <v>1500</v>
      </c>
      <c r="L58" s="137">
        <v>250</v>
      </c>
      <c r="M58" s="91">
        <v>7</v>
      </c>
      <c r="N58" s="86">
        <f t="shared" si="38"/>
        <v>1490.3773584905662</v>
      </c>
      <c r="O58" s="90">
        <f t="shared" si="39"/>
        <v>212.91105121293802</v>
      </c>
      <c r="P58" s="235">
        <f t="shared" si="40"/>
        <v>1</v>
      </c>
      <c r="Q58" s="93">
        <f t="shared" si="41"/>
        <v>-37.08894878706198</v>
      </c>
      <c r="R58" s="94">
        <f t="shared" si="36"/>
        <v>0.85164420485175207</v>
      </c>
      <c r="S58" s="620"/>
      <c r="T58" s="236">
        <v>0.22500000000000001</v>
      </c>
      <c r="U58" s="236">
        <v>0.2986111111111111</v>
      </c>
      <c r="V58" s="65">
        <v>8</v>
      </c>
      <c r="W58" s="88">
        <f>(U58-T58)*24*60</f>
        <v>105.99999999999999</v>
      </c>
      <c r="X58" s="99"/>
      <c r="Y58" s="99"/>
      <c r="Z58" s="100"/>
      <c r="AA58" s="100"/>
      <c r="AB58" s="636"/>
      <c r="AC58" s="637"/>
      <c r="AD58" s="101"/>
      <c r="AE58" s="101"/>
      <c r="AF58" s="92">
        <f t="shared" si="6"/>
        <v>-9.6226415094338336</v>
      </c>
      <c r="AG58" s="94">
        <f t="shared" si="7"/>
        <v>0.99358490566037749</v>
      </c>
      <c r="AH58" s="620"/>
    </row>
    <row r="59" spans="1:34" ht="19.149999999999999" customHeight="1">
      <c r="A59" s="635"/>
      <c r="B59" s="152" t="s">
        <v>388</v>
      </c>
      <c r="C59" s="147"/>
      <c r="D59" s="83" t="s">
        <v>154</v>
      </c>
      <c r="E59" s="84"/>
      <c r="F59" s="85">
        <v>28</v>
      </c>
      <c r="G59" s="200">
        <v>2670</v>
      </c>
      <c r="H59" s="87">
        <f t="shared" si="37"/>
        <v>74760</v>
      </c>
      <c r="I59" s="65"/>
      <c r="J59" s="89">
        <v>6</v>
      </c>
      <c r="K59" s="86">
        <v>1500</v>
      </c>
      <c r="L59" s="137">
        <v>250</v>
      </c>
      <c r="M59" s="91">
        <v>7</v>
      </c>
      <c r="N59" s="86">
        <f t="shared" si="38"/>
        <v>1497.1962616822429</v>
      </c>
      <c r="O59" s="90">
        <f t="shared" si="39"/>
        <v>213.88518024032041</v>
      </c>
      <c r="P59" s="235">
        <f t="shared" si="40"/>
        <v>1</v>
      </c>
      <c r="Q59" s="93">
        <f t="shared" si="41"/>
        <v>-36.114819759679591</v>
      </c>
      <c r="R59" s="94">
        <f t="shared" si="36"/>
        <v>0.85554072096128164</v>
      </c>
      <c r="S59" s="620"/>
      <c r="T59" s="236">
        <v>0.31458333333333333</v>
      </c>
      <c r="U59" s="236">
        <v>0.3888888888888889</v>
      </c>
      <c r="V59" s="208">
        <v>23</v>
      </c>
      <c r="W59" s="88">
        <f>(U59-T59)*24*60</f>
        <v>107.00000000000001</v>
      </c>
      <c r="X59" s="99">
        <v>0.30208333333333331</v>
      </c>
      <c r="Y59" s="99">
        <v>0.31180555555555556</v>
      </c>
      <c r="Z59" s="100"/>
      <c r="AA59" s="100"/>
      <c r="AB59" s="601"/>
      <c r="AC59" s="601"/>
      <c r="AD59" s="101"/>
      <c r="AE59" s="101"/>
      <c r="AF59" s="92">
        <f t="shared" si="6"/>
        <v>-2.8037383177570518</v>
      </c>
      <c r="AG59" s="94">
        <f t="shared" si="7"/>
        <v>0.9981308411214953</v>
      </c>
      <c r="AH59" s="620"/>
    </row>
    <row r="60" spans="1:34" ht="19.149999999999999" customHeight="1">
      <c r="A60" s="635"/>
      <c r="B60" s="152" t="s">
        <v>390</v>
      </c>
      <c r="C60" s="147"/>
      <c r="D60" s="83" t="s">
        <v>149</v>
      </c>
      <c r="E60" s="84"/>
      <c r="F60" s="85">
        <v>10.09</v>
      </c>
      <c r="G60" s="200">
        <v>8255.65</v>
      </c>
      <c r="H60" s="87">
        <f t="shared" si="37"/>
        <v>83299.508499999996</v>
      </c>
      <c r="I60" s="65"/>
      <c r="J60" s="239">
        <v>6</v>
      </c>
      <c r="K60" s="108">
        <v>1500</v>
      </c>
      <c r="L60" s="137">
        <v>250</v>
      </c>
      <c r="M60" s="110">
        <v>6</v>
      </c>
      <c r="N60" s="86">
        <f t="shared" si="38"/>
        <v>1383.6284916201112</v>
      </c>
      <c r="O60" s="90">
        <f t="shared" si="39"/>
        <v>230.60474860335185</v>
      </c>
      <c r="P60" s="235">
        <f t="shared" si="40"/>
        <v>0</v>
      </c>
      <c r="Q60" s="93">
        <f t="shared" si="41"/>
        <v>-19.395251396648149</v>
      </c>
      <c r="R60" s="94">
        <f t="shared" si="36"/>
        <v>0.92241899441340736</v>
      </c>
      <c r="S60" s="620"/>
      <c r="T60" s="236">
        <v>0.39444444444444443</v>
      </c>
      <c r="U60" s="236">
        <v>0.6430555555555556</v>
      </c>
      <c r="V60" s="208">
        <v>8</v>
      </c>
      <c r="W60" s="88">
        <f>(U60-T60)*24*60</f>
        <v>358.00000000000011</v>
      </c>
      <c r="X60" s="99"/>
      <c r="Y60" s="99"/>
      <c r="Z60" s="100"/>
      <c r="AA60" s="100"/>
      <c r="AB60" s="601"/>
      <c r="AC60" s="601"/>
      <c r="AD60" s="101"/>
      <c r="AE60" s="101"/>
      <c r="AF60" s="92">
        <f t="shared" si="6"/>
        <v>-116.37150837988884</v>
      </c>
      <c r="AG60" s="177">
        <f t="shared" si="7"/>
        <v>0.92241899441340747</v>
      </c>
      <c r="AH60" s="620"/>
    </row>
    <row r="61" spans="1:34" ht="19.149999999999999" customHeight="1">
      <c r="A61" s="635"/>
      <c r="B61" s="152">
        <v>0</v>
      </c>
      <c r="C61" s="147"/>
      <c r="D61" s="83"/>
      <c r="E61" s="84"/>
      <c r="F61" s="85"/>
      <c r="G61" s="200"/>
      <c r="H61" s="87"/>
      <c r="I61" s="65"/>
      <c r="J61" s="89"/>
      <c r="K61" s="86"/>
      <c r="L61" s="137"/>
      <c r="M61" s="110"/>
      <c r="N61" s="86"/>
      <c r="O61" s="90"/>
      <c r="P61" s="235"/>
      <c r="Q61" s="93"/>
      <c r="R61" s="94"/>
      <c r="S61" s="620"/>
      <c r="T61" s="236"/>
      <c r="U61" s="236"/>
      <c r="V61" s="208"/>
      <c r="W61" s="88"/>
      <c r="X61" s="99"/>
      <c r="Y61" s="99"/>
      <c r="Z61" s="100"/>
      <c r="AA61" s="100"/>
      <c r="AB61" s="601"/>
      <c r="AC61" s="601"/>
      <c r="AD61" s="101"/>
      <c r="AE61" s="101"/>
      <c r="AF61" s="92">
        <f t="shared" si="6"/>
        <v>0</v>
      </c>
      <c r="AG61" s="177" t="e">
        <f t="shared" si="7"/>
        <v>#DIV/0!</v>
      </c>
      <c r="AH61" s="620"/>
    </row>
    <row r="62" spans="1:34" ht="19.149999999999999" customHeight="1">
      <c r="A62" s="635"/>
      <c r="B62" s="152">
        <v>0</v>
      </c>
      <c r="C62" s="147"/>
      <c r="D62" s="83"/>
      <c r="E62" s="84"/>
      <c r="F62" s="85" t="s">
        <v>391</v>
      </c>
      <c r="G62" s="200"/>
      <c r="H62" s="87">
        <f t="shared" si="37"/>
        <v>0</v>
      </c>
      <c r="I62" s="65"/>
      <c r="J62" s="239"/>
      <c r="K62" s="108"/>
      <c r="L62" s="137"/>
      <c r="M62" s="110"/>
      <c r="N62" s="86"/>
      <c r="O62" s="90"/>
      <c r="P62" s="235"/>
      <c r="Q62" s="93"/>
      <c r="R62" s="94"/>
      <c r="S62" s="620"/>
      <c r="T62" s="236"/>
      <c r="U62" s="236"/>
      <c r="V62" s="208"/>
      <c r="W62" s="88"/>
      <c r="X62" s="99"/>
      <c r="Y62" s="99"/>
      <c r="Z62" s="100"/>
      <c r="AA62" s="100"/>
      <c r="AB62" s="601"/>
      <c r="AC62" s="601"/>
      <c r="AD62" s="101"/>
      <c r="AE62" s="101"/>
      <c r="AF62" s="92">
        <f t="shared" si="6"/>
        <v>0</v>
      </c>
      <c r="AG62" s="177" t="e">
        <f t="shared" si="7"/>
        <v>#DIV/0!</v>
      </c>
      <c r="AH62" s="620"/>
    </row>
    <row r="63" spans="1:34" ht="19.149999999999999" customHeight="1">
      <c r="A63" s="635"/>
      <c r="B63" s="152">
        <v>0</v>
      </c>
      <c r="C63" s="147"/>
      <c r="D63" s="83"/>
      <c r="E63" s="84"/>
      <c r="F63" s="85" t="s">
        <v>391</v>
      </c>
      <c r="G63" s="200"/>
      <c r="H63" s="87">
        <f t="shared" si="37"/>
        <v>0</v>
      </c>
      <c r="I63" s="65"/>
      <c r="J63" s="89"/>
      <c r="K63" s="86"/>
      <c r="L63" s="137"/>
      <c r="M63" s="110"/>
      <c r="N63" s="86"/>
      <c r="O63" s="90"/>
      <c r="P63" s="235"/>
      <c r="Q63" s="93"/>
      <c r="R63" s="94"/>
      <c r="S63" s="620"/>
      <c r="T63" s="236"/>
      <c r="U63" s="236"/>
      <c r="V63" s="208"/>
      <c r="W63" s="88"/>
      <c r="X63" s="99"/>
      <c r="Y63" s="99"/>
      <c r="Z63" s="100"/>
      <c r="AA63" s="100"/>
      <c r="AB63" s="601"/>
      <c r="AC63" s="601"/>
      <c r="AD63" s="101"/>
      <c r="AE63" s="101"/>
      <c r="AF63" s="92">
        <f t="shared" si="6"/>
        <v>0</v>
      </c>
      <c r="AG63" s="177" t="e">
        <f t="shared" si="7"/>
        <v>#DIV/0!</v>
      </c>
      <c r="AH63" s="620"/>
    </row>
    <row r="64" spans="1:34" ht="19.149999999999999" customHeight="1">
      <c r="A64" s="635"/>
      <c r="B64" s="152">
        <v>0</v>
      </c>
      <c r="C64" s="147"/>
      <c r="D64" s="83"/>
      <c r="E64" s="84"/>
      <c r="F64" s="85" t="s">
        <v>391</v>
      </c>
      <c r="G64" s="200"/>
      <c r="H64" s="87">
        <f t="shared" si="37"/>
        <v>0</v>
      </c>
      <c r="I64" s="65"/>
      <c r="J64" s="239"/>
      <c r="K64" s="108"/>
      <c r="L64" s="137"/>
      <c r="M64" s="110"/>
      <c r="N64" s="86"/>
      <c r="O64" s="90"/>
      <c r="P64" s="235"/>
      <c r="Q64" s="93"/>
      <c r="R64" s="94"/>
      <c r="S64" s="620"/>
      <c r="T64" s="236"/>
      <c r="U64" s="236"/>
      <c r="V64" s="208"/>
      <c r="W64" s="88"/>
      <c r="X64" s="65"/>
      <c r="Y64" s="65"/>
      <c r="Z64" s="100"/>
      <c r="AA64" s="100"/>
      <c r="AB64" s="601"/>
      <c r="AC64" s="601"/>
      <c r="AD64" s="101"/>
      <c r="AE64" s="101"/>
      <c r="AF64" s="92">
        <f t="shared" si="6"/>
        <v>0</v>
      </c>
      <c r="AG64" s="177" t="e">
        <f t="shared" si="7"/>
        <v>#DIV/0!</v>
      </c>
      <c r="AH64" s="620"/>
    </row>
    <row r="65" spans="1:34" ht="19.149999999999999" customHeight="1">
      <c r="A65" s="635"/>
      <c r="B65" s="152">
        <v>0</v>
      </c>
      <c r="C65" s="147"/>
      <c r="D65" s="83"/>
      <c r="E65" s="84"/>
      <c r="F65" s="85" t="s">
        <v>391</v>
      </c>
      <c r="G65" s="200"/>
      <c r="H65" s="87">
        <f t="shared" si="37"/>
        <v>0</v>
      </c>
      <c r="I65" s="65"/>
      <c r="J65" s="239"/>
      <c r="K65" s="108"/>
      <c r="L65" s="137"/>
      <c r="M65" s="110"/>
      <c r="N65" s="108"/>
      <c r="O65" s="127"/>
      <c r="P65" s="92"/>
      <c r="Q65" s="93"/>
      <c r="R65" s="94"/>
      <c r="S65" s="620"/>
      <c r="T65" s="236"/>
      <c r="U65" s="236"/>
      <c r="V65" s="208"/>
      <c r="W65" s="88">
        <f t="shared" ref="W65:W69" si="42">(U65-T65)*24*60</f>
        <v>0</v>
      </c>
      <c r="X65" s="65"/>
      <c r="Y65" s="65"/>
      <c r="Z65" s="100"/>
      <c r="AA65" s="100"/>
      <c r="AB65" s="601"/>
      <c r="AC65" s="601"/>
      <c r="AD65" s="101"/>
      <c r="AE65" s="101"/>
      <c r="AF65" s="92">
        <f t="shared" si="6"/>
        <v>0</v>
      </c>
      <c r="AG65" s="177" t="e">
        <f t="shared" si="7"/>
        <v>#DIV/0!</v>
      </c>
      <c r="AH65" s="620"/>
    </row>
    <row r="66" spans="1:34" ht="19.149999999999999" customHeight="1">
      <c r="A66" s="635"/>
      <c r="B66" s="152">
        <v>0</v>
      </c>
      <c r="C66" s="147"/>
      <c r="D66" s="83"/>
      <c r="E66" s="84"/>
      <c r="F66" s="85" t="s">
        <v>391</v>
      </c>
      <c r="G66" s="200"/>
      <c r="H66" s="87">
        <f t="shared" si="37"/>
        <v>0</v>
      </c>
      <c r="I66" s="65"/>
      <c r="J66" s="239"/>
      <c r="K66" s="108"/>
      <c r="L66" s="137"/>
      <c r="M66" s="110"/>
      <c r="N66" s="108"/>
      <c r="O66" s="127"/>
      <c r="P66" s="92"/>
      <c r="Q66" s="93"/>
      <c r="R66" s="94"/>
      <c r="S66" s="620"/>
      <c r="T66" s="236"/>
      <c r="U66" s="236"/>
      <c r="V66" s="208"/>
      <c r="W66" s="88">
        <f t="shared" si="42"/>
        <v>0</v>
      </c>
      <c r="X66" s="65"/>
      <c r="Y66" s="65"/>
      <c r="Z66" s="100"/>
      <c r="AA66" s="100"/>
      <c r="AB66" s="601"/>
      <c r="AC66" s="601"/>
      <c r="AD66" s="101"/>
      <c r="AE66" s="101"/>
      <c r="AF66" s="92">
        <f t="shared" si="6"/>
        <v>0</v>
      </c>
      <c r="AG66" s="177" t="e">
        <f t="shared" si="7"/>
        <v>#DIV/0!</v>
      </c>
      <c r="AH66" s="620"/>
    </row>
    <row r="67" spans="1:34" ht="19.149999999999999" customHeight="1">
      <c r="A67" s="635"/>
      <c r="B67" s="152">
        <v>0</v>
      </c>
      <c r="C67" s="147"/>
      <c r="D67" s="83"/>
      <c r="E67" s="84"/>
      <c r="F67" s="85" t="s">
        <v>391</v>
      </c>
      <c r="G67" s="200"/>
      <c r="H67" s="87">
        <f>F67*G67</f>
        <v>0</v>
      </c>
      <c r="I67" s="65"/>
      <c r="J67" s="239"/>
      <c r="K67" s="108"/>
      <c r="L67" s="137"/>
      <c r="M67" s="110"/>
      <c r="N67" s="108"/>
      <c r="O67" s="127"/>
      <c r="P67" s="92"/>
      <c r="Q67" s="93"/>
      <c r="R67" s="94"/>
      <c r="S67" s="620"/>
      <c r="T67" s="236"/>
      <c r="U67" s="236"/>
      <c r="V67" s="208"/>
      <c r="W67" s="88">
        <f t="shared" si="42"/>
        <v>0</v>
      </c>
      <c r="X67" s="65"/>
      <c r="Y67" s="65"/>
      <c r="Z67" s="100"/>
      <c r="AA67" s="100"/>
      <c r="AB67" s="601"/>
      <c r="AC67" s="601"/>
      <c r="AD67" s="101"/>
      <c r="AE67" s="101"/>
      <c r="AF67" s="92">
        <f t="shared" si="6"/>
        <v>0</v>
      </c>
      <c r="AG67" s="177" t="e">
        <f t="shared" si="7"/>
        <v>#DIV/0!</v>
      </c>
      <c r="AH67" s="620"/>
    </row>
    <row r="68" spans="1:34" ht="19.149999999999999" customHeight="1">
      <c r="A68" s="635"/>
      <c r="B68" s="65">
        <v>0</v>
      </c>
      <c r="C68" s="147"/>
      <c r="D68" s="83"/>
      <c r="E68" s="84"/>
      <c r="F68" s="199" t="s">
        <v>391</v>
      </c>
      <c r="G68" s="200"/>
      <c r="H68" s="87">
        <f>F68*G68</f>
        <v>0</v>
      </c>
      <c r="I68" s="65"/>
      <c r="J68" s="239"/>
      <c r="K68" s="108"/>
      <c r="L68" s="137"/>
      <c r="M68" s="110"/>
      <c r="N68" s="108"/>
      <c r="O68" s="127"/>
      <c r="P68" s="92"/>
      <c r="Q68" s="93"/>
      <c r="R68" s="94"/>
      <c r="S68" s="620"/>
      <c r="T68" s="236"/>
      <c r="U68" s="236"/>
      <c r="V68" s="208"/>
      <c r="W68" s="88">
        <f t="shared" si="42"/>
        <v>0</v>
      </c>
      <c r="X68" s="65"/>
      <c r="Y68" s="65"/>
      <c r="Z68" s="100"/>
      <c r="AA68" s="100"/>
      <c r="AB68" s="601"/>
      <c r="AC68" s="601"/>
      <c r="AD68" s="101"/>
      <c r="AE68" s="101"/>
      <c r="AF68" s="92"/>
      <c r="AG68" s="94"/>
      <c r="AH68" s="620"/>
    </row>
    <row r="69" spans="1:34" ht="19.149999999999999" customHeight="1">
      <c r="A69" s="635"/>
      <c r="B69" s="240">
        <v>0</v>
      </c>
      <c r="C69" s="12" t="s">
        <v>155</v>
      </c>
      <c r="D69" s="602" t="s">
        <v>75</v>
      </c>
      <c r="E69" s="602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3">AVERAGE(M57:M68)</f>
        <v>6.75</v>
      </c>
      <c r="N69" s="120">
        <f t="shared" si="43"/>
        <v>1419.8400016324406</v>
      </c>
      <c r="O69" s="123">
        <f t="shared" si="43"/>
        <v>211.07016982618262</v>
      </c>
      <c r="P69" s="92">
        <f>M69-J69</f>
        <v>0.75</v>
      </c>
      <c r="Q69" s="93">
        <f>N69-K69</f>
        <v>-80.15999836755941</v>
      </c>
      <c r="R69" s="245">
        <f t="shared" ref="R69:R70" si="44">O69/L69</f>
        <v>0.8442806793047305</v>
      </c>
      <c r="S69" s="620"/>
      <c r="T69" s="207"/>
      <c r="U69" s="207"/>
      <c r="V69" s="86"/>
      <c r="W69" s="88">
        <f t="shared" si="42"/>
        <v>0</v>
      </c>
      <c r="X69" s="90"/>
      <c r="Y69" s="90"/>
      <c r="Z69" s="163">
        <f>SUM(Z57:Z68)</f>
        <v>0</v>
      </c>
      <c r="AA69" s="163">
        <f>SUM(AA57:AA68)</f>
        <v>0</v>
      </c>
      <c r="AB69" s="601"/>
      <c r="AC69" s="601"/>
      <c r="AD69" s="164">
        <f>SUM(AD57:AD68)</f>
        <v>0</v>
      </c>
      <c r="AE69" s="164">
        <f>SUM(AE57:AE68)</f>
        <v>0</v>
      </c>
      <c r="AF69" s="92">
        <f t="shared" si="6"/>
        <v>-80.15999836755941</v>
      </c>
      <c r="AG69" s="94">
        <f t="shared" si="7"/>
        <v>0.94656000108829375</v>
      </c>
      <c r="AH69" s="620"/>
    </row>
    <row r="70" spans="1:34" ht="19.149999999999999" customHeight="1">
      <c r="A70" s="632" t="s">
        <v>156</v>
      </c>
      <c r="B70" s="65" t="s">
        <v>387</v>
      </c>
      <c r="C70" s="152"/>
      <c r="D70" s="83" t="s">
        <v>157</v>
      </c>
      <c r="E70" s="84"/>
      <c r="F70" s="85">
        <v>62.13</v>
      </c>
      <c r="G70" s="86">
        <v>514</v>
      </c>
      <c r="H70" s="87">
        <f>F70*G70</f>
        <v>31934.82</v>
      </c>
      <c r="I70" s="65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4" si="45">G70/W70*60</f>
        <v>1101.4285714285722</v>
      </c>
      <c r="O70" s="90">
        <f t="shared" ref="O70:O74" si="46">N70/M70</f>
        <v>84.725274725274787</v>
      </c>
      <c r="P70" s="92">
        <f t="shared" ref="P70:P74" si="47">M70-J70</f>
        <v>-1</v>
      </c>
      <c r="Q70" s="93">
        <f t="shared" ref="Q70" si="48">O70-L70</f>
        <v>-22.417582417582352</v>
      </c>
      <c r="R70" s="94">
        <f t="shared" si="44"/>
        <v>0.79076923076923133</v>
      </c>
      <c r="S70" s="620">
        <f>R82</f>
        <v>0.86210528013407128</v>
      </c>
      <c r="T70" s="96">
        <v>0.29166666666666669</v>
      </c>
      <c r="U70" s="96">
        <v>0.31111111111111112</v>
      </c>
      <c r="V70" s="65">
        <v>5</v>
      </c>
      <c r="W70" s="88">
        <f>(U70-T70)*24*60</f>
        <v>27.999999999999979</v>
      </c>
      <c r="X70" s="65"/>
      <c r="Y70" s="65"/>
      <c r="Z70" s="100"/>
      <c r="AA70" s="100"/>
      <c r="AB70" s="601"/>
      <c r="AC70" s="601"/>
      <c r="AD70" s="101"/>
      <c r="AE70" s="101"/>
      <c r="AF70" s="92">
        <f t="shared" si="6"/>
        <v>-398.57142857142776</v>
      </c>
      <c r="AG70" s="94">
        <f t="shared" si="7"/>
        <v>0.73428571428571487</v>
      </c>
      <c r="AH70" s="620">
        <f>AG82</f>
        <v>0.86532353239980342</v>
      </c>
    </row>
    <row r="71" spans="1:34" ht="19.149999999999999" customHeight="1">
      <c r="A71" s="632"/>
      <c r="B71" s="65" t="s">
        <v>386</v>
      </c>
      <c r="C71" s="82"/>
      <c r="D71" s="246" t="s">
        <v>158</v>
      </c>
      <c r="E71" s="84"/>
      <c r="F71" s="85">
        <v>47.65</v>
      </c>
      <c r="G71" s="86">
        <v>2287</v>
      </c>
      <c r="H71" s="87">
        <f>F71*G71</f>
        <v>108975.55</v>
      </c>
      <c r="I71" s="65"/>
      <c r="J71" s="89">
        <v>18</v>
      </c>
      <c r="K71" s="247">
        <v>1440</v>
      </c>
      <c r="L71" s="90">
        <v>80</v>
      </c>
      <c r="M71" s="189">
        <v>18</v>
      </c>
      <c r="N71" s="86">
        <f t="shared" si="45"/>
        <v>1247.4545454545453</v>
      </c>
      <c r="O71" s="90">
        <f t="shared" si="46"/>
        <v>69.303030303030297</v>
      </c>
      <c r="P71" s="92">
        <f t="shared" si="47"/>
        <v>0</v>
      </c>
      <c r="Q71" s="93">
        <f>O71-L71</f>
        <v>-10.696969696969703</v>
      </c>
      <c r="R71" s="94">
        <f>O71/L71</f>
        <v>0.86628787878787872</v>
      </c>
      <c r="S71" s="620"/>
      <c r="T71" s="96">
        <v>0.31597222222222221</v>
      </c>
      <c r="U71" s="96">
        <v>0.3923611111111111</v>
      </c>
      <c r="V71" s="65">
        <v>7</v>
      </c>
      <c r="W71" s="88">
        <f t="shared" ref="W71:W81" si="49">(U71-T71)*24*60</f>
        <v>110.00000000000001</v>
      </c>
      <c r="X71" s="99"/>
      <c r="Y71" s="99"/>
      <c r="Z71" s="100"/>
      <c r="AA71" s="100"/>
      <c r="AB71" s="601"/>
      <c r="AC71" s="601"/>
      <c r="AD71" s="101"/>
      <c r="AE71" s="101"/>
      <c r="AF71" s="92">
        <f>N71-K71</f>
        <v>-192.54545454545473</v>
      </c>
      <c r="AG71" s="94">
        <f>N71/K71</f>
        <v>0.86628787878787861</v>
      </c>
      <c r="AH71" s="620"/>
    </row>
    <row r="72" spans="1:34" ht="19.149999999999999" customHeight="1">
      <c r="A72" s="632"/>
      <c r="B72" s="65" t="s">
        <v>386</v>
      </c>
      <c r="C72" s="115"/>
      <c r="D72" s="246" t="s">
        <v>159</v>
      </c>
      <c r="E72" s="84"/>
      <c r="F72" s="85">
        <v>53.36</v>
      </c>
      <c r="G72" s="104">
        <v>2792.7</v>
      </c>
      <c r="H72" s="87">
        <f t="shared" ref="H72:H80" si="50">F72*G72</f>
        <v>149018.47199999998</v>
      </c>
      <c r="I72" s="65">
        <v>2</v>
      </c>
      <c r="J72" s="138">
        <v>18</v>
      </c>
      <c r="K72" s="104">
        <v>1300</v>
      </c>
      <c r="L72" s="137">
        <v>72.222222222222229</v>
      </c>
      <c r="M72" s="91">
        <v>18</v>
      </c>
      <c r="N72" s="86">
        <f t="shared" si="45"/>
        <v>1288.9384615384611</v>
      </c>
      <c r="O72" s="90">
        <f t="shared" si="46"/>
        <v>71.607692307692275</v>
      </c>
      <c r="P72" s="92">
        <f t="shared" si="47"/>
        <v>0</v>
      </c>
      <c r="Q72" s="93">
        <f>O72-L72</f>
        <v>-0.6145299145299532</v>
      </c>
      <c r="R72" s="94">
        <f>O72/L72</f>
        <v>0.99149112426035446</v>
      </c>
      <c r="S72" s="620"/>
      <c r="T72" s="96">
        <v>0.40833333333333333</v>
      </c>
      <c r="U72" s="96">
        <v>0.49861111111111112</v>
      </c>
      <c r="V72" s="65">
        <v>23</v>
      </c>
      <c r="W72" s="88">
        <f t="shared" si="49"/>
        <v>130.00000000000003</v>
      </c>
      <c r="X72" s="99">
        <v>0.39583333333333331</v>
      </c>
      <c r="Y72" s="99">
        <v>0.4055555555555555</v>
      </c>
      <c r="Z72" s="100"/>
      <c r="AA72" s="100"/>
      <c r="AB72" s="601"/>
      <c r="AC72" s="601"/>
      <c r="AD72" s="101">
        <v>2</v>
      </c>
      <c r="AE72" s="101"/>
      <c r="AF72" s="92">
        <f>N72-K72</f>
        <v>-11.06153846153893</v>
      </c>
      <c r="AG72" s="94">
        <f>N72/K72</f>
        <v>0.99149112426035468</v>
      </c>
      <c r="AH72" s="620"/>
    </row>
    <row r="73" spans="1:34" ht="19.149999999999999" customHeight="1">
      <c r="A73" s="632"/>
      <c r="B73" s="65" t="s">
        <v>386</v>
      </c>
      <c r="C73" s="248"/>
      <c r="D73" s="249" t="s">
        <v>160</v>
      </c>
      <c r="E73" s="250"/>
      <c r="F73" s="85">
        <v>53.76</v>
      </c>
      <c r="G73" s="104">
        <v>2522</v>
      </c>
      <c r="H73" s="87">
        <f t="shared" si="50"/>
        <v>135582.72</v>
      </c>
      <c r="I73" s="101"/>
      <c r="J73" s="251">
        <v>16</v>
      </c>
      <c r="K73" s="252">
        <v>1440</v>
      </c>
      <c r="L73" s="137">
        <v>90</v>
      </c>
      <c r="M73" s="189">
        <v>16</v>
      </c>
      <c r="N73" s="86">
        <f t="shared" si="45"/>
        <v>1282.3728813559317</v>
      </c>
      <c r="O73" s="90">
        <f t="shared" si="46"/>
        <v>80.148305084745729</v>
      </c>
      <c r="P73" s="92">
        <f t="shared" si="47"/>
        <v>0</v>
      </c>
      <c r="Q73" s="93">
        <f>O73-L73</f>
        <v>-9.8516949152542708</v>
      </c>
      <c r="R73" s="94">
        <f>O73/L73</f>
        <v>0.89053672316384147</v>
      </c>
      <c r="S73" s="620"/>
      <c r="T73" s="96">
        <v>0.53888888888888886</v>
      </c>
      <c r="U73" s="96">
        <v>0.62083333333333335</v>
      </c>
      <c r="V73" s="65">
        <v>5</v>
      </c>
      <c r="W73" s="88">
        <f t="shared" si="49"/>
        <v>118.00000000000006</v>
      </c>
      <c r="X73" s="253"/>
      <c r="Y73" s="253"/>
      <c r="Z73" s="185"/>
      <c r="AA73" s="185"/>
      <c r="AB73" s="601"/>
      <c r="AC73" s="601"/>
      <c r="AD73" s="101"/>
      <c r="AE73" s="101"/>
      <c r="AF73" s="92">
        <f>N73-K73</f>
        <v>-157.62711864406833</v>
      </c>
      <c r="AG73" s="94">
        <f>N73/K73</f>
        <v>0.89053672316384147</v>
      </c>
      <c r="AH73" s="620"/>
    </row>
    <row r="74" spans="1:34" ht="19.149999999999999" customHeight="1">
      <c r="A74" s="632"/>
      <c r="B74" s="65" t="s">
        <v>386</v>
      </c>
      <c r="C74" s="248"/>
      <c r="D74" s="249" t="s">
        <v>161</v>
      </c>
      <c r="E74" s="250"/>
      <c r="F74" s="85">
        <v>47.51</v>
      </c>
      <c r="G74" s="247">
        <v>2730</v>
      </c>
      <c r="H74" s="87">
        <f t="shared" si="50"/>
        <v>129702.29999999999</v>
      </c>
      <c r="I74" s="65"/>
      <c r="J74" s="89">
        <v>16</v>
      </c>
      <c r="K74" s="247">
        <v>1440</v>
      </c>
      <c r="L74" s="90">
        <v>90</v>
      </c>
      <c r="M74" s="91">
        <v>17</v>
      </c>
      <c r="N74" s="86">
        <f t="shared" si="45"/>
        <v>1240.909090909091</v>
      </c>
      <c r="O74" s="90">
        <f t="shared" si="46"/>
        <v>72.994652406417117</v>
      </c>
      <c r="P74" s="92">
        <f t="shared" si="47"/>
        <v>1</v>
      </c>
      <c r="Q74" s="93">
        <f>O74-L74</f>
        <v>-17.005347593582883</v>
      </c>
      <c r="R74" s="94">
        <f>O74/L74</f>
        <v>0.81105169340463468</v>
      </c>
      <c r="S74" s="620"/>
      <c r="T74" s="96">
        <v>0.63611111111111107</v>
      </c>
      <c r="U74" s="96">
        <v>0.72777777777777775</v>
      </c>
      <c r="V74" s="65">
        <v>22</v>
      </c>
      <c r="W74" s="88">
        <f t="shared" si="49"/>
        <v>132</v>
      </c>
      <c r="X74" s="253">
        <v>0.62430555555555556</v>
      </c>
      <c r="Y74" s="253">
        <v>0.6333333333333333</v>
      </c>
      <c r="Z74" s="185"/>
      <c r="AA74" s="185"/>
      <c r="AB74" s="601"/>
      <c r="AC74" s="601"/>
      <c r="AD74" s="101"/>
      <c r="AE74" s="101"/>
      <c r="AF74" s="92">
        <f>N74-K74</f>
        <v>-199.09090909090901</v>
      </c>
      <c r="AG74" s="94">
        <f>N74/K74</f>
        <v>0.86174242424242431</v>
      </c>
      <c r="AH74" s="620"/>
    </row>
    <row r="75" spans="1:34" ht="19.149999999999999" customHeight="1">
      <c r="A75" s="632"/>
      <c r="B75" s="65">
        <v>0</v>
      </c>
      <c r="C75" s="115"/>
      <c r="D75" s="246"/>
      <c r="E75" s="84"/>
      <c r="F75" s="85" t="s">
        <v>391</v>
      </c>
      <c r="G75" s="104"/>
      <c r="H75" s="87">
        <f t="shared" si="50"/>
        <v>0</v>
      </c>
      <c r="I75" s="65"/>
      <c r="J75" s="138"/>
      <c r="K75" s="104"/>
      <c r="L75" s="137"/>
      <c r="M75" s="91"/>
      <c r="N75" s="86"/>
      <c r="O75" s="90"/>
      <c r="P75" s="92"/>
      <c r="Q75" s="93"/>
      <c r="R75" s="94"/>
      <c r="S75" s="620"/>
      <c r="T75" s="96"/>
      <c r="U75" s="96"/>
      <c r="V75" s="65"/>
      <c r="W75" s="88">
        <f t="shared" si="49"/>
        <v>0</v>
      </c>
      <c r="X75" s="253"/>
      <c r="Y75" s="253"/>
      <c r="Z75" s="185"/>
      <c r="AA75" s="185"/>
      <c r="AB75" s="601"/>
      <c r="AC75" s="601"/>
      <c r="AD75" s="101"/>
      <c r="AE75" s="101"/>
      <c r="AF75" s="92">
        <f>N75-K75</f>
        <v>0</v>
      </c>
      <c r="AG75" s="94" t="e">
        <f>N75/K75</f>
        <v>#DIV/0!</v>
      </c>
      <c r="AH75" s="620"/>
    </row>
    <row r="76" spans="1:34" ht="19.149999999999999" customHeight="1">
      <c r="A76" s="632"/>
      <c r="B76" s="65">
        <v>0</v>
      </c>
      <c r="C76" s="248"/>
      <c r="D76" s="249"/>
      <c r="E76" s="250"/>
      <c r="F76" s="85" t="s">
        <v>391</v>
      </c>
      <c r="G76" s="247"/>
      <c r="H76" s="87">
        <f t="shared" si="50"/>
        <v>0</v>
      </c>
      <c r="I76" s="65"/>
      <c r="J76" s="251"/>
      <c r="K76" s="252"/>
      <c r="L76" s="137"/>
      <c r="M76" s="189" t="s">
        <v>49</v>
      </c>
      <c r="N76" s="86"/>
      <c r="O76" s="90"/>
      <c r="P76" s="92"/>
      <c r="Q76" s="93"/>
      <c r="R76" s="94"/>
      <c r="S76" s="620"/>
      <c r="T76" s="96"/>
      <c r="U76" s="96"/>
      <c r="V76" s="65"/>
      <c r="W76" s="88"/>
      <c r="X76" s="253"/>
      <c r="Y76" s="253"/>
      <c r="Z76" s="185"/>
      <c r="AA76" s="185"/>
      <c r="AB76" s="601"/>
      <c r="AC76" s="601"/>
      <c r="AD76" s="101"/>
      <c r="AE76" s="101"/>
      <c r="AF76" s="92">
        <f t="shared" ref="AF76:AF80" si="51">N76-K76</f>
        <v>0</v>
      </c>
      <c r="AG76" s="94" t="e">
        <f t="shared" ref="AG76:AG80" si="52">N76/K76</f>
        <v>#DIV/0!</v>
      </c>
      <c r="AH76" s="620"/>
    </row>
    <row r="77" spans="1:34" ht="19.149999999999999" customHeight="1">
      <c r="A77" s="632"/>
      <c r="B77" s="65">
        <v>0</v>
      </c>
      <c r="C77" s="147"/>
      <c r="D77" s="249"/>
      <c r="E77" s="84"/>
      <c r="F77" s="85" t="s">
        <v>391</v>
      </c>
      <c r="G77" s="247"/>
      <c r="H77" s="87">
        <f t="shared" si="50"/>
        <v>0</v>
      </c>
      <c r="I77" s="101"/>
      <c r="J77" s="89"/>
      <c r="K77" s="247"/>
      <c r="L77" s="90"/>
      <c r="M77" s="189"/>
      <c r="N77" s="86"/>
      <c r="O77" s="90"/>
      <c r="P77" s="92"/>
      <c r="Q77" s="93"/>
      <c r="R77" s="94"/>
      <c r="S77" s="620"/>
      <c r="T77" s="96"/>
      <c r="U77" s="96"/>
      <c r="V77" s="65"/>
      <c r="W77" s="88"/>
      <c r="X77" s="253"/>
      <c r="Y77" s="253"/>
      <c r="Z77" s="185"/>
      <c r="AA77" s="185"/>
      <c r="AB77" s="601"/>
      <c r="AC77" s="601"/>
      <c r="AD77" s="101"/>
      <c r="AE77" s="101"/>
      <c r="AF77" s="92">
        <f t="shared" si="51"/>
        <v>0</v>
      </c>
      <c r="AG77" s="94" t="e">
        <f t="shared" si="52"/>
        <v>#DIV/0!</v>
      </c>
      <c r="AH77" s="620"/>
    </row>
    <row r="78" spans="1:34" ht="19.149999999999999" customHeight="1">
      <c r="A78" s="632"/>
      <c r="B78" s="65">
        <v>0</v>
      </c>
      <c r="C78" s="147"/>
      <c r="D78" s="83"/>
      <c r="E78" s="84"/>
      <c r="F78" s="85" t="s">
        <v>391</v>
      </c>
      <c r="G78" s="104"/>
      <c r="H78" s="87">
        <f t="shared" si="50"/>
        <v>0</v>
      </c>
      <c r="I78" s="101"/>
      <c r="J78" s="138"/>
      <c r="K78" s="104"/>
      <c r="L78" s="137"/>
      <c r="M78" s="189"/>
      <c r="N78" s="86"/>
      <c r="O78" s="90"/>
      <c r="P78" s="92"/>
      <c r="Q78" s="93"/>
      <c r="R78" s="94"/>
      <c r="S78" s="620"/>
      <c r="T78" s="96"/>
      <c r="U78" s="96"/>
      <c r="V78" s="65"/>
      <c r="W78" s="88"/>
      <c r="X78" s="253"/>
      <c r="Y78" s="253"/>
      <c r="Z78" s="185"/>
      <c r="AA78" s="185"/>
      <c r="AB78" s="601"/>
      <c r="AC78" s="601"/>
      <c r="AD78" s="101"/>
      <c r="AE78" s="101"/>
      <c r="AF78" s="92">
        <f t="shared" si="51"/>
        <v>0</v>
      </c>
      <c r="AG78" s="94" t="e">
        <f t="shared" si="52"/>
        <v>#DIV/0!</v>
      </c>
      <c r="AH78" s="620"/>
    </row>
    <row r="79" spans="1:34" ht="19.149999999999999" customHeight="1">
      <c r="A79" s="632"/>
      <c r="B79" s="65">
        <v>0</v>
      </c>
      <c r="C79" s="248"/>
      <c r="D79" s="249"/>
      <c r="E79" s="250"/>
      <c r="F79" s="85" t="s">
        <v>391</v>
      </c>
      <c r="G79" s="104"/>
      <c r="H79" s="87">
        <f t="shared" si="50"/>
        <v>0</v>
      </c>
      <c r="I79" s="101"/>
      <c r="J79" s="138"/>
      <c r="K79" s="104"/>
      <c r="L79" s="137"/>
      <c r="M79" s="189"/>
      <c r="N79" s="104"/>
      <c r="O79" s="254"/>
      <c r="P79" s="165"/>
      <c r="Q79" s="255"/>
      <c r="R79" s="166"/>
      <c r="S79" s="620"/>
      <c r="T79" s="96"/>
      <c r="U79" s="96"/>
      <c r="V79" s="65"/>
      <c r="W79" s="88">
        <f t="shared" si="49"/>
        <v>0</v>
      </c>
      <c r="X79" s="253"/>
      <c r="Y79" s="253"/>
      <c r="Z79" s="185"/>
      <c r="AA79" s="185"/>
      <c r="AB79" s="601"/>
      <c r="AC79" s="601"/>
      <c r="AD79" s="101"/>
      <c r="AE79" s="101"/>
      <c r="AF79" s="92">
        <f t="shared" si="51"/>
        <v>0</v>
      </c>
      <c r="AG79" s="94" t="e">
        <f t="shared" si="52"/>
        <v>#DIV/0!</v>
      </c>
      <c r="AH79" s="620"/>
    </row>
    <row r="80" spans="1:34" ht="19.149999999999999" customHeight="1">
      <c r="A80" s="632"/>
      <c r="B80" s="65">
        <v>0</v>
      </c>
      <c r="C80" s="147"/>
      <c r="D80" s="83"/>
      <c r="E80" s="84"/>
      <c r="F80" s="85"/>
      <c r="G80" s="104"/>
      <c r="H80" s="87">
        <f t="shared" si="50"/>
        <v>0</v>
      </c>
      <c r="I80" s="101"/>
      <c r="J80" s="138"/>
      <c r="K80" s="104"/>
      <c r="L80" s="137"/>
      <c r="M80" s="189"/>
      <c r="N80" s="104"/>
      <c r="O80" s="256"/>
      <c r="P80" s="100"/>
      <c r="Q80" s="139"/>
      <c r="R80" s="257"/>
      <c r="S80" s="620"/>
      <c r="T80" s="96"/>
      <c r="U80" s="96"/>
      <c r="V80" s="65"/>
      <c r="W80" s="88">
        <f t="shared" si="49"/>
        <v>0</v>
      </c>
      <c r="X80" s="253"/>
      <c r="Y80" s="253"/>
      <c r="Z80" s="185"/>
      <c r="AA80" s="185"/>
      <c r="AB80" s="601"/>
      <c r="AC80" s="601"/>
      <c r="AD80" s="101"/>
      <c r="AE80" s="101"/>
      <c r="AF80" s="92">
        <f t="shared" si="51"/>
        <v>0</v>
      </c>
      <c r="AG80" s="94" t="e">
        <f t="shared" si="52"/>
        <v>#DIV/0!</v>
      </c>
      <c r="AH80" s="620"/>
    </row>
    <row r="81" spans="1:34" ht="19.149999999999999" customHeight="1">
      <c r="A81" s="632"/>
      <c r="B81" s="65">
        <v>0</v>
      </c>
      <c r="C81" s="147"/>
      <c r="D81" s="83"/>
      <c r="E81" s="84"/>
      <c r="F81" s="199"/>
      <c r="G81" s="104"/>
      <c r="H81" s="135"/>
      <c r="I81" s="101"/>
      <c r="J81" s="138"/>
      <c r="K81" s="104"/>
      <c r="L81" s="137"/>
      <c r="M81" s="189"/>
      <c r="N81" s="104"/>
      <c r="O81" s="256"/>
      <c r="P81" s="100"/>
      <c r="Q81" s="139"/>
      <c r="R81" s="257"/>
      <c r="S81" s="620"/>
      <c r="T81" s="96"/>
      <c r="U81" s="96"/>
      <c r="V81" s="65"/>
      <c r="W81" s="88">
        <f t="shared" si="49"/>
        <v>0</v>
      </c>
      <c r="X81" s="253"/>
      <c r="Y81" s="253"/>
      <c r="Z81" s="185"/>
      <c r="AA81" s="185"/>
      <c r="AB81" s="601"/>
      <c r="AC81" s="601"/>
      <c r="AD81" s="101"/>
      <c r="AE81" s="101"/>
      <c r="AF81" s="92"/>
      <c r="AG81" s="186"/>
      <c r="AH81" s="620"/>
    </row>
    <row r="82" spans="1:34" ht="19.149999999999999" customHeight="1">
      <c r="A82" s="633"/>
      <c r="B82" s="240">
        <v>0</v>
      </c>
      <c r="C82" s="156" t="s">
        <v>32</v>
      </c>
      <c r="D82" s="602" t="s">
        <v>75</v>
      </c>
      <c r="E82" s="602"/>
      <c r="F82" s="258"/>
      <c r="G82" s="158"/>
      <c r="H82" s="159"/>
      <c r="I82" s="160"/>
      <c r="J82" s="158">
        <v>16.399999999999999</v>
      </c>
      <c r="K82" s="158">
        <v>1424</v>
      </c>
      <c r="L82" s="161">
        <v>87.873015873015873</v>
      </c>
      <c r="M82" s="158">
        <f t="shared" ref="M82:O82" si="53">AVERAGE(M70:M81)</f>
        <v>16.399999999999999</v>
      </c>
      <c r="N82" s="158">
        <f t="shared" si="53"/>
        <v>1232.2207101373201</v>
      </c>
      <c r="O82" s="259">
        <f t="shared" si="53"/>
        <v>75.755790965432041</v>
      </c>
      <c r="P82" s="175">
        <f>M82-J82</f>
        <v>0</v>
      </c>
      <c r="Q82" s="176">
        <f>N82-K82</f>
        <v>-191.77928986267989</v>
      </c>
      <c r="R82" s="245">
        <f>O82/L82</f>
        <v>0.86210528013407128</v>
      </c>
      <c r="S82" s="620"/>
      <c r="T82" s="96"/>
      <c r="U82" s="96"/>
      <c r="V82" s="65"/>
      <c r="W82" s="86"/>
      <c r="X82" s="90"/>
      <c r="Y82" s="90"/>
      <c r="Z82" s="163">
        <f>SUM(Z70:Z81)</f>
        <v>0</v>
      </c>
      <c r="AA82" s="163">
        <f>SUM(AA70:AA81)</f>
        <v>0</v>
      </c>
      <c r="AB82" s="601"/>
      <c r="AC82" s="601"/>
      <c r="AD82" s="164">
        <f>SUM(AD70:AD81)</f>
        <v>2</v>
      </c>
      <c r="AE82" s="164">
        <f>SUM(AE70:AE81)</f>
        <v>0</v>
      </c>
      <c r="AF82" s="92">
        <f>N82-K82</f>
        <v>-191.77928986267989</v>
      </c>
      <c r="AG82" s="94">
        <f>N82/K82</f>
        <v>0.86532353239980342</v>
      </c>
      <c r="AH82" s="620"/>
    </row>
    <row r="83" spans="1:34" ht="19.149999999999999" customHeight="1">
      <c r="A83" s="630" t="s">
        <v>162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5119.9500000000007</v>
      </c>
      <c r="H83" s="135">
        <f t="shared" ref="H83:H94" si="54">F83*G83</f>
        <v>273200.53200000006</v>
      </c>
      <c r="I83" s="101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8" si="55">G83/W83*60</f>
        <v>1264.1851851851852</v>
      </c>
      <c r="O83" s="256">
        <f t="shared" ref="O83:O88" si="56">N83/M83</f>
        <v>70.232510288065839</v>
      </c>
      <c r="P83" s="100">
        <f t="shared" ref="P83:P88" si="57">M83-J83</f>
        <v>0</v>
      </c>
      <c r="Q83" s="139">
        <f t="shared" ref="Q83:Q88" si="58">O83-L83</f>
        <v>-1.9897119341563894</v>
      </c>
      <c r="R83" s="261">
        <f t="shared" ref="R83:R88" si="59">O83/L83</f>
        <v>0.97245014245014227</v>
      </c>
      <c r="S83" s="620">
        <f>R95</f>
        <v>0.87401121788361047</v>
      </c>
      <c r="T83" s="96">
        <v>0.33333333333333331</v>
      </c>
      <c r="U83" s="96">
        <v>0.50208333333333333</v>
      </c>
      <c r="V83" s="65">
        <v>5</v>
      </c>
      <c r="W83" s="88">
        <f t="shared" ref="W83:W93" si="60">(U83-T83)*24*60</f>
        <v>243.00000000000006</v>
      </c>
      <c r="X83" s="99"/>
      <c r="Y83" s="99"/>
      <c r="Z83" s="100"/>
      <c r="AA83" s="100"/>
      <c r="AB83" s="601"/>
      <c r="AC83" s="601"/>
      <c r="AD83" s="101"/>
      <c r="AE83" s="101"/>
      <c r="AF83" s="92">
        <f t="shared" ref="AF83:AF173" si="61">N83-K83</f>
        <v>-35.814814814814781</v>
      </c>
      <c r="AG83" s="94">
        <f t="shared" ref="AG83:AG173" si="62">N83/K83</f>
        <v>0.9724501424501425</v>
      </c>
      <c r="AH83" s="620">
        <f>AG95</f>
        <v>0.83766106693747522</v>
      </c>
    </row>
    <row r="84" spans="1:34" ht="19.149999999999999" customHeight="1">
      <c r="A84" s="631"/>
      <c r="B84" s="167" t="s">
        <v>388</v>
      </c>
      <c r="C84" s="147"/>
      <c r="D84" s="262" t="s">
        <v>163</v>
      </c>
      <c r="E84" s="84"/>
      <c r="F84" s="199">
        <v>57.73</v>
      </c>
      <c r="G84" s="86">
        <v>640</v>
      </c>
      <c r="H84" s="135">
        <f t="shared" si="54"/>
        <v>36947.199999999997</v>
      </c>
      <c r="I84" s="65"/>
      <c r="J84" s="138">
        <v>20</v>
      </c>
      <c r="K84" s="104">
        <v>1385</v>
      </c>
      <c r="L84" s="137">
        <v>69.25</v>
      </c>
      <c r="M84" s="189">
        <v>19</v>
      </c>
      <c r="N84" s="104">
        <f t="shared" si="55"/>
        <v>1129.4117647058808</v>
      </c>
      <c r="O84" s="256">
        <f t="shared" si="56"/>
        <v>59.442724458204253</v>
      </c>
      <c r="P84" s="100">
        <f t="shared" si="57"/>
        <v>-1</v>
      </c>
      <c r="Q84" s="139">
        <f t="shared" si="58"/>
        <v>-9.8072755417957467</v>
      </c>
      <c r="R84" s="261">
        <f t="shared" si="59"/>
        <v>0.85837869253724552</v>
      </c>
      <c r="S84" s="620"/>
      <c r="T84" s="96">
        <v>0.54374999999999996</v>
      </c>
      <c r="U84" s="96">
        <v>0.56736111111111109</v>
      </c>
      <c r="V84" s="65">
        <v>7</v>
      </c>
      <c r="W84" s="88">
        <f t="shared" si="60"/>
        <v>34.000000000000043</v>
      </c>
      <c r="X84" s="99"/>
      <c r="Y84" s="99"/>
      <c r="Z84" s="100"/>
      <c r="AA84" s="100"/>
      <c r="AB84" s="601"/>
      <c r="AC84" s="601"/>
      <c r="AD84" s="101"/>
      <c r="AE84" s="101"/>
      <c r="AF84" s="92">
        <f t="shared" si="61"/>
        <v>-255.58823529411916</v>
      </c>
      <c r="AG84" s="94">
        <f t="shared" si="62"/>
        <v>0.81545975791038328</v>
      </c>
      <c r="AH84" s="620"/>
    </row>
    <row r="85" spans="1:34" ht="19.149999999999999" customHeight="1">
      <c r="A85" s="631"/>
      <c r="B85" s="167" t="s">
        <v>387</v>
      </c>
      <c r="C85" s="183"/>
      <c r="D85" s="262" t="s">
        <v>164</v>
      </c>
      <c r="E85" s="84"/>
      <c r="F85" s="199">
        <v>56.43</v>
      </c>
      <c r="G85" s="86">
        <v>897</v>
      </c>
      <c r="H85" s="135">
        <f t="shared" si="54"/>
        <v>50617.71</v>
      </c>
      <c r="I85" s="65"/>
      <c r="J85" s="138">
        <v>19</v>
      </c>
      <c r="K85" s="104">
        <v>1385</v>
      </c>
      <c r="L85" s="137">
        <v>72.89473684210526</v>
      </c>
      <c r="M85" s="189">
        <v>18</v>
      </c>
      <c r="N85" s="104">
        <f t="shared" si="55"/>
        <v>1076.4000000000003</v>
      </c>
      <c r="O85" s="256">
        <f t="shared" si="56"/>
        <v>59.800000000000018</v>
      </c>
      <c r="P85" s="100">
        <f t="shared" si="57"/>
        <v>-1</v>
      </c>
      <c r="Q85" s="139">
        <f t="shared" si="58"/>
        <v>-13.094736842105242</v>
      </c>
      <c r="R85" s="261">
        <f t="shared" si="59"/>
        <v>0.8203610108303252</v>
      </c>
      <c r="S85" s="620"/>
      <c r="T85" s="96">
        <v>0.57291666666666663</v>
      </c>
      <c r="U85" s="96">
        <v>0.60763888888888884</v>
      </c>
      <c r="V85" s="65">
        <v>8</v>
      </c>
      <c r="W85" s="88">
        <f t="shared" si="60"/>
        <v>49.999999999999986</v>
      </c>
      <c r="X85" s="99"/>
      <c r="Y85" s="99"/>
      <c r="Z85" s="100"/>
      <c r="AA85" s="100"/>
      <c r="AB85" s="601"/>
      <c r="AC85" s="601"/>
      <c r="AD85" s="101"/>
      <c r="AE85" s="101">
        <v>1</v>
      </c>
      <c r="AF85" s="92">
        <f t="shared" si="61"/>
        <v>-308.59999999999968</v>
      </c>
      <c r="AG85" s="94">
        <f t="shared" si="62"/>
        <v>0.77718411552346589</v>
      </c>
      <c r="AH85" s="620"/>
    </row>
    <row r="86" spans="1:34" ht="19.149999999999999" customHeight="1">
      <c r="A86" s="631"/>
      <c r="B86" s="167" t="s">
        <v>388</v>
      </c>
      <c r="C86" s="152"/>
      <c r="D86" s="262" t="s">
        <v>150</v>
      </c>
      <c r="E86" s="84"/>
      <c r="F86" s="199">
        <v>31.43</v>
      </c>
      <c r="G86" s="86">
        <v>1455.1499999999999</v>
      </c>
      <c r="H86" s="135">
        <f t="shared" si="54"/>
        <v>45735.364499999996</v>
      </c>
      <c r="I86" s="65">
        <v>2</v>
      </c>
      <c r="J86" s="138">
        <v>6</v>
      </c>
      <c r="K86" s="104">
        <v>1500</v>
      </c>
      <c r="L86" s="137">
        <v>250</v>
      </c>
      <c r="M86" s="189">
        <v>6</v>
      </c>
      <c r="N86" s="104">
        <f t="shared" si="55"/>
        <v>1364.2031250000014</v>
      </c>
      <c r="O86" s="256">
        <f t="shared" si="56"/>
        <v>227.36718750000023</v>
      </c>
      <c r="P86" s="100">
        <f t="shared" si="57"/>
        <v>0</v>
      </c>
      <c r="Q86" s="139">
        <f t="shared" si="58"/>
        <v>-22.632812499999773</v>
      </c>
      <c r="R86" s="261">
        <f t="shared" si="59"/>
        <v>0.90946875000000094</v>
      </c>
      <c r="S86" s="620"/>
      <c r="T86" s="96">
        <v>0.62291666666666656</v>
      </c>
      <c r="U86" s="96">
        <v>0.66736111111111096</v>
      </c>
      <c r="V86" s="65">
        <v>22</v>
      </c>
      <c r="W86" s="88">
        <f t="shared" si="60"/>
        <v>63.999999999999929</v>
      </c>
      <c r="X86" s="99">
        <v>0.61111111111111105</v>
      </c>
      <c r="Y86" s="99">
        <v>0.62013888888888891</v>
      </c>
      <c r="Z86" s="100"/>
      <c r="AA86" s="100"/>
      <c r="AB86" s="601"/>
      <c r="AC86" s="601"/>
      <c r="AD86" s="101"/>
      <c r="AE86" s="101"/>
      <c r="AF86" s="92">
        <f t="shared" si="61"/>
        <v>-135.79687499999864</v>
      </c>
      <c r="AG86" s="94">
        <f t="shared" si="62"/>
        <v>0.90946875000000094</v>
      </c>
      <c r="AH86" s="620"/>
    </row>
    <row r="87" spans="1:34" ht="19.149999999999999" customHeight="1">
      <c r="A87" s="631"/>
      <c r="B87" s="167" t="s">
        <v>390</v>
      </c>
      <c r="C87" s="152"/>
      <c r="D87" s="262" t="s">
        <v>165</v>
      </c>
      <c r="E87" s="84"/>
      <c r="F87" s="199">
        <v>58.17</v>
      </c>
      <c r="G87" s="86">
        <v>1116</v>
      </c>
      <c r="H87" s="135">
        <f t="shared" si="54"/>
        <v>64917.72</v>
      </c>
      <c r="I87" s="65"/>
      <c r="J87" s="138">
        <v>19</v>
      </c>
      <c r="K87" s="104">
        <v>1385</v>
      </c>
      <c r="L87" s="137">
        <v>72.89473684210526</v>
      </c>
      <c r="M87" s="189">
        <v>19</v>
      </c>
      <c r="N87" s="104">
        <f t="shared" si="55"/>
        <v>1097.7049180327879</v>
      </c>
      <c r="O87" s="256">
        <f t="shared" si="56"/>
        <v>57.773943054357254</v>
      </c>
      <c r="P87" s="100">
        <f t="shared" si="57"/>
        <v>0</v>
      </c>
      <c r="Q87" s="139">
        <f t="shared" si="58"/>
        <v>-15.120793787748006</v>
      </c>
      <c r="R87" s="261">
        <f t="shared" si="59"/>
        <v>0.7925667278215075</v>
      </c>
      <c r="S87" s="620"/>
      <c r="T87" s="96">
        <v>0.70833333333333337</v>
      </c>
      <c r="U87" s="96">
        <v>0.75069444444444444</v>
      </c>
      <c r="V87" s="65">
        <v>5</v>
      </c>
      <c r="W87" s="88">
        <f t="shared" si="60"/>
        <v>60.999999999999943</v>
      </c>
      <c r="X87" s="99"/>
      <c r="Y87" s="99"/>
      <c r="Z87" s="100"/>
      <c r="AA87" s="100"/>
      <c r="AB87" s="601"/>
      <c r="AC87" s="601"/>
      <c r="AD87" s="101"/>
      <c r="AE87" s="101"/>
      <c r="AF87" s="92">
        <f t="shared" si="61"/>
        <v>-287.29508196721213</v>
      </c>
      <c r="AG87" s="94">
        <f t="shared" si="62"/>
        <v>0.7925667278215075</v>
      </c>
      <c r="AH87" s="620"/>
    </row>
    <row r="88" spans="1:34" ht="19.149999999999999" customHeight="1">
      <c r="A88" s="631"/>
      <c r="B88" s="167" t="s">
        <v>390</v>
      </c>
      <c r="C88" s="147"/>
      <c r="D88" s="262" t="s">
        <v>166</v>
      </c>
      <c r="E88" s="84"/>
      <c r="F88" s="199">
        <v>53.68</v>
      </c>
      <c r="G88" s="104">
        <v>1190</v>
      </c>
      <c r="H88" s="135">
        <f t="shared" si="54"/>
        <v>63879.199999999997</v>
      </c>
      <c r="I88" s="65"/>
      <c r="J88" s="138">
        <v>20</v>
      </c>
      <c r="K88" s="104">
        <v>1380</v>
      </c>
      <c r="L88" s="137">
        <v>69</v>
      </c>
      <c r="M88" s="189">
        <v>19</v>
      </c>
      <c r="N88" s="104">
        <f t="shared" si="55"/>
        <v>1050.0000000000014</v>
      </c>
      <c r="O88" s="256">
        <f t="shared" si="56"/>
        <v>55.263157894736914</v>
      </c>
      <c r="P88" s="100">
        <f t="shared" si="57"/>
        <v>-1</v>
      </c>
      <c r="Q88" s="139">
        <f t="shared" si="58"/>
        <v>-13.736842105263086</v>
      </c>
      <c r="R88" s="261">
        <f t="shared" si="59"/>
        <v>0.80091533180778141</v>
      </c>
      <c r="S88" s="620"/>
      <c r="T88" s="96">
        <v>0.75624999999999998</v>
      </c>
      <c r="U88" s="96">
        <v>0.80347222222222214</v>
      </c>
      <c r="V88" s="65">
        <v>8</v>
      </c>
      <c r="W88" s="88">
        <f t="shared" si="60"/>
        <v>67.999999999999915</v>
      </c>
      <c r="X88" s="99"/>
      <c r="Y88" s="99"/>
      <c r="Z88" s="100"/>
      <c r="AA88" s="100"/>
      <c r="AB88" s="601"/>
      <c r="AC88" s="601"/>
      <c r="AD88" s="101"/>
      <c r="AE88" s="101"/>
      <c r="AF88" s="92">
        <f t="shared" si="61"/>
        <v>-329.99999999999864</v>
      </c>
      <c r="AG88" s="94">
        <f t="shared" si="62"/>
        <v>0.76086956521739224</v>
      </c>
      <c r="AH88" s="620"/>
    </row>
    <row r="89" spans="1:34" ht="19.149999999999999" customHeight="1">
      <c r="A89" s="631"/>
      <c r="B89" s="167">
        <v>0</v>
      </c>
      <c r="C89" s="147"/>
      <c r="D89" s="83"/>
      <c r="E89" s="84"/>
      <c r="F89" s="199" t="s">
        <v>391</v>
      </c>
      <c r="G89" s="173"/>
      <c r="H89" s="135">
        <f t="shared" si="54"/>
        <v>0</v>
      </c>
      <c r="I89" s="65"/>
      <c r="J89" s="138"/>
      <c r="K89" s="104"/>
      <c r="L89" s="137"/>
      <c r="M89" s="189"/>
      <c r="N89" s="104"/>
      <c r="O89" s="256"/>
      <c r="P89" s="100"/>
      <c r="Q89" s="139"/>
      <c r="R89" s="261"/>
      <c r="S89" s="620"/>
      <c r="T89" s="96"/>
      <c r="U89" s="96"/>
      <c r="V89" s="65"/>
      <c r="W89" s="88"/>
      <c r="X89" s="99"/>
      <c r="Y89" s="99"/>
      <c r="Z89" s="100"/>
      <c r="AA89" s="100"/>
      <c r="AB89" s="601"/>
      <c r="AC89" s="601"/>
      <c r="AD89" s="101"/>
      <c r="AE89" s="101"/>
      <c r="AF89" s="92">
        <f t="shared" si="61"/>
        <v>0</v>
      </c>
      <c r="AG89" s="94" t="e">
        <f t="shared" si="62"/>
        <v>#DIV/0!</v>
      </c>
      <c r="AH89" s="620"/>
    </row>
    <row r="90" spans="1:34" ht="19.149999999999999" customHeight="1">
      <c r="A90" s="631"/>
      <c r="B90" s="167">
        <v>0</v>
      </c>
      <c r="C90" s="147"/>
      <c r="D90" s="83"/>
      <c r="E90" s="84"/>
      <c r="F90" s="199" t="s">
        <v>391</v>
      </c>
      <c r="G90" s="188"/>
      <c r="H90" s="135">
        <f t="shared" si="54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0"/>
      <c r="T90" s="96"/>
      <c r="U90" s="96"/>
      <c r="V90" s="65"/>
      <c r="W90" s="88"/>
      <c r="X90" s="264"/>
      <c r="Y90" s="264"/>
      <c r="Z90" s="100"/>
      <c r="AA90" s="100"/>
      <c r="AB90" s="601"/>
      <c r="AC90" s="601"/>
      <c r="AD90" s="101"/>
      <c r="AE90" s="101"/>
      <c r="AF90" s="92">
        <f t="shared" si="61"/>
        <v>0</v>
      </c>
      <c r="AG90" s="94" t="e">
        <f t="shared" si="62"/>
        <v>#DIV/0!</v>
      </c>
      <c r="AH90" s="620"/>
    </row>
    <row r="91" spans="1:34" ht="19.149999999999999" customHeight="1">
      <c r="A91" s="631"/>
      <c r="B91" s="167">
        <v>0</v>
      </c>
      <c r="C91" s="147"/>
      <c r="D91" s="83"/>
      <c r="E91" s="84"/>
      <c r="F91" s="199" t="s">
        <v>391</v>
      </c>
      <c r="G91" s="86"/>
      <c r="H91" s="135">
        <f t="shared" si="54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3"/>
      <c r="T91" s="96"/>
      <c r="U91" s="96"/>
      <c r="V91" s="65"/>
      <c r="W91" s="88"/>
      <c r="X91" s="174"/>
      <c r="Y91" s="174"/>
      <c r="Z91" s="100"/>
      <c r="AA91" s="100"/>
      <c r="AB91" s="601"/>
      <c r="AC91" s="601"/>
      <c r="AD91" s="101"/>
      <c r="AE91" s="101"/>
      <c r="AF91" s="92">
        <f t="shared" si="61"/>
        <v>0</v>
      </c>
      <c r="AG91" s="94" t="e">
        <f t="shared" si="62"/>
        <v>#DIV/0!</v>
      </c>
      <c r="AH91" s="623"/>
    </row>
    <row r="92" spans="1:34" ht="19.149999999999999" customHeight="1">
      <c r="A92" s="631"/>
      <c r="B92" s="167">
        <v>0</v>
      </c>
      <c r="C92" s="147"/>
      <c r="D92" s="83"/>
      <c r="E92" s="84"/>
      <c r="F92" s="199" t="s">
        <v>391</v>
      </c>
      <c r="G92" s="86"/>
      <c r="H92" s="135">
        <f t="shared" si="54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1"/>
      <c r="S92" s="623"/>
      <c r="T92" s="96"/>
      <c r="U92" s="96"/>
      <c r="V92" s="65"/>
      <c r="W92" s="88"/>
      <c r="X92" s="253"/>
      <c r="Y92" s="253"/>
      <c r="Z92" s="185"/>
      <c r="AA92" s="185"/>
      <c r="AB92" s="601"/>
      <c r="AC92" s="601"/>
      <c r="AD92" s="101"/>
      <c r="AE92" s="101"/>
      <c r="AF92" s="92">
        <f t="shared" si="61"/>
        <v>0</v>
      </c>
      <c r="AG92" s="94" t="e">
        <f t="shared" si="62"/>
        <v>#DIV/0!</v>
      </c>
      <c r="AH92" s="623"/>
    </row>
    <row r="93" spans="1:34" ht="19.149999999999999" customHeight="1">
      <c r="A93" s="631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4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0"/>
      <c r="S93" s="629"/>
      <c r="T93" s="111"/>
      <c r="U93" s="111"/>
      <c r="V93" s="109"/>
      <c r="W93" s="88">
        <f t="shared" si="60"/>
        <v>0</v>
      </c>
      <c r="X93" s="275"/>
      <c r="Y93" s="275"/>
      <c r="Z93" s="185"/>
      <c r="AA93" s="185"/>
      <c r="AB93" s="601"/>
      <c r="AC93" s="601"/>
      <c r="AD93" s="101"/>
      <c r="AE93" s="101"/>
      <c r="AF93" s="92">
        <f t="shared" si="61"/>
        <v>0</v>
      </c>
      <c r="AG93" s="94" t="e">
        <f t="shared" si="62"/>
        <v>#DIV/0!</v>
      </c>
      <c r="AH93" s="623"/>
    </row>
    <row r="94" spans="1:34" ht="19.149999999999999" customHeight="1">
      <c r="A94" s="631"/>
      <c r="B94" s="109">
        <v>0</v>
      </c>
      <c r="C94" s="272"/>
      <c r="D94" s="83"/>
      <c r="E94" s="84"/>
      <c r="F94" s="199" t="s">
        <v>391</v>
      </c>
      <c r="G94" s="86"/>
      <c r="H94" s="135">
        <f t="shared" si="54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0"/>
      <c r="S94" s="629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01"/>
      <c r="AC94" s="601"/>
      <c r="AD94" s="101"/>
      <c r="AE94" s="101"/>
      <c r="AF94" s="92">
        <f t="shared" si="61"/>
        <v>0</v>
      </c>
      <c r="AG94" s="94" t="e">
        <f t="shared" si="62"/>
        <v>#DIV/0!</v>
      </c>
      <c r="AH94" s="623"/>
    </row>
    <row r="95" spans="1:34" ht="19.149999999999999" customHeight="1">
      <c r="A95" s="631"/>
      <c r="B95" s="278">
        <v>0</v>
      </c>
      <c r="C95" s="156" t="s">
        <v>33</v>
      </c>
      <c r="D95" s="602" t="s">
        <v>75</v>
      </c>
      <c r="E95" s="602"/>
      <c r="F95" s="119"/>
      <c r="G95" s="120"/>
      <c r="H95" s="279"/>
      <c r="I95" s="160"/>
      <c r="J95" s="280">
        <v>17</v>
      </c>
      <c r="K95" s="280">
        <v>1389.1666666666667</v>
      </c>
      <c r="L95" s="281">
        <v>101.04361598440546</v>
      </c>
      <c r="M95" s="280">
        <f t="shared" ref="M95:O95" si="63">AVERAGE(M83:M94)</f>
        <v>16.5</v>
      </c>
      <c r="N95" s="280">
        <f t="shared" si="63"/>
        <v>1163.6508321539761</v>
      </c>
      <c r="O95" s="281">
        <f t="shared" si="63"/>
        <v>88.313253865894069</v>
      </c>
      <c r="P95" s="282">
        <f>M95-J95</f>
        <v>-0.5</v>
      </c>
      <c r="Q95" s="283">
        <f t="shared" ref="Q95:Q103" si="64">O95-L95</f>
        <v>-12.730362118511394</v>
      </c>
      <c r="R95" s="284">
        <f>O95/L95</f>
        <v>0.87401121788361047</v>
      </c>
      <c r="S95" s="623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01"/>
      <c r="AC95" s="601"/>
      <c r="AD95" s="164">
        <f>SUM(AD83:AD94)</f>
        <v>0</v>
      </c>
      <c r="AE95" s="164">
        <f>SUM(AE83:AE94)</f>
        <v>1</v>
      </c>
      <c r="AF95" s="113">
        <f t="shared" si="61"/>
        <v>-225.51583451269062</v>
      </c>
      <c r="AG95" s="114">
        <f t="shared" si="62"/>
        <v>0.83766106693747522</v>
      </c>
      <c r="AH95" s="623"/>
    </row>
    <row r="96" spans="1:34" ht="19.149999999999999" customHeight="1">
      <c r="A96" s="628" t="s">
        <v>167</v>
      </c>
      <c r="B96" s="65" t="s">
        <v>388</v>
      </c>
      <c r="C96" s="152"/>
      <c r="D96" s="83" t="s">
        <v>168</v>
      </c>
      <c r="E96" s="84"/>
      <c r="F96" s="85">
        <v>36.92</v>
      </c>
      <c r="G96" s="86">
        <v>381</v>
      </c>
      <c r="H96" s="87">
        <f t="shared" ref="H96:H106" si="65">F96*G96</f>
        <v>14066.52</v>
      </c>
      <c r="I96" s="65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3" si="66">G96/W96*60</f>
        <v>1142.9999999999995</v>
      </c>
      <c r="O96" s="90">
        <f t="shared" ref="O96:O103" si="67">N96/M96</f>
        <v>228.59999999999991</v>
      </c>
      <c r="P96" s="92">
        <f t="shared" ref="P96:P103" si="68">M96-J96</f>
        <v>-1</v>
      </c>
      <c r="Q96" s="93">
        <f t="shared" si="64"/>
        <v>-21.400000000000091</v>
      </c>
      <c r="R96" s="94">
        <f t="shared" ref="R96:R103" si="69">O96/L96</f>
        <v>0.91439999999999966</v>
      </c>
      <c r="S96" s="620">
        <f>R108</f>
        <v>0.81551153575102475</v>
      </c>
      <c r="T96" s="142">
        <v>0.29166666666666669</v>
      </c>
      <c r="U96" s="142">
        <v>0.30555555555555558</v>
      </c>
      <c r="V96" s="101">
        <v>5</v>
      </c>
      <c r="W96" s="143">
        <f t="shared" ref="W96:W122" si="70">(U96-T96)*24*60</f>
        <v>20.000000000000007</v>
      </c>
      <c r="X96" s="151"/>
      <c r="Y96" s="151"/>
      <c r="Z96" s="100"/>
      <c r="AA96" s="100"/>
      <c r="AB96" s="601"/>
      <c r="AC96" s="601"/>
      <c r="AD96" s="101"/>
      <c r="AE96" s="101"/>
      <c r="AF96" s="100">
        <f t="shared" si="61"/>
        <v>-357.00000000000045</v>
      </c>
      <c r="AG96" s="140">
        <f t="shared" si="62"/>
        <v>0.76199999999999968</v>
      </c>
      <c r="AH96" s="605">
        <f>AG108</f>
        <v>0.93901287575468129</v>
      </c>
    </row>
    <row r="97" spans="1:34" s="294" customFormat="1" ht="19.149999999999999" customHeight="1">
      <c r="A97" s="628"/>
      <c r="B97" s="65" t="s">
        <v>389</v>
      </c>
      <c r="C97" s="285"/>
      <c r="D97" s="286" t="s">
        <v>169</v>
      </c>
      <c r="E97" s="103"/>
      <c r="F97" s="287">
        <v>24.73</v>
      </c>
      <c r="G97" s="288">
        <v>2267</v>
      </c>
      <c r="H97" s="289">
        <f t="shared" si="65"/>
        <v>56062.91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6"/>
        <v>2092.6153846153843</v>
      </c>
      <c r="O97" s="90">
        <f t="shared" si="67"/>
        <v>418.52307692307687</v>
      </c>
      <c r="P97" s="92">
        <f t="shared" si="68"/>
        <v>1</v>
      </c>
      <c r="Q97" s="93">
        <f t="shared" si="64"/>
        <v>-81.476923076923129</v>
      </c>
      <c r="R97" s="94">
        <f t="shared" si="69"/>
        <v>0.83704615384615377</v>
      </c>
      <c r="S97" s="620"/>
      <c r="T97" s="290">
        <v>0.31111111111111112</v>
      </c>
      <c r="U97" s="290">
        <v>0.35625000000000001</v>
      </c>
      <c r="V97" s="291">
        <v>8</v>
      </c>
      <c r="W97" s="143">
        <f t="shared" si="70"/>
        <v>65.000000000000014</v>
      </c>
      <c r="X97" s="99"/>
      <c r="Y97" s="99"/>
      <c r="Z97" s="100"/>
      <c r="AA97" s="100"/>
      <c r="AB97" s="601"/>
      <c r="AC97" s="601"/>
      <c r="AD97" s="291"/>
      <c r="AE97" s="291"/>
      <c r="AF97" s="292">
        <f t="shared" si="61"/>
        <v>92.615384615384301</v>
      </c>
      <c r="AG97" s="293">
        <f t="shared" si="62"/>
        <v>1.0463076923076922</v>
      </c>
      <c r="AH97" s="605"/>
    </row>
    <row r="98" spans="1:34" s="298" customFormat="1" ht="19.149999999999999" customHeight="1">
      <c r="A98" s="628"/>
      <c r="B98" s="65" t="s">
        <v>389</v>
      </c>
      <c r="C98" s="102"/>
      <c r="D98" s="83" t="s">
        <v>170</v>
      </c>
      <c r="E98" s="133"/>
      <c r="F98" s="287">
        <v>24.73</v>
      </c>
      <c r="G98" s="104">
        <v>2051</v>
      </c>
      <c r="H98" s="289">
        <f t="shared" si="65"/>
        <v>50721.23</v>
      </c>
      <c r="I98" s="101"/>
      <c r="J98" s="89">
        <v>4</v>
      </c>
      <c r="K98" s="86">
        <v>2000</v>
      </c>
      <c r="L98" s="90">
        <v>500</v>
      </c>
      <c r="M98" s="138">
        <v>5</v>
      </c>
      <c r="N98" s="86">
        <f t="shared" si="66"/>
        <v>2121.7241379310331</v>
      </c>
      <c r="O98" s="90">
        <f t="shared" si="67"/>
        <v>424.34482758620663</v>
      </c>
      <c r="P98" s="92">
        <f t="shared" si="68"/>
        <v>1</v>
      </c>
      <c r="Q98" s="93">
        <f t="shared" si="64"/>
        <v>-75.655172413793366</v>
      </c>
      <c r="R98" s="94">
        <f t="shared" si="69"/>
        <v>0.84868965517241324</v>
      </c>
      <c r="S98" s="620"/>
      <c r="T98" s="142">
        <v>0.35972222222222222</v>
      </c>
      <c r="U98" s="142">
        <v>0.4</v>
      </c>
      <c r="V98" s="101">
        <v>5</v>
      </c>
      <c r="W98" s="143">
        <f t="shared" si="70"/>
        <v>58.000000000000036</v>
      </c>
      <c r="X98" s="295"/>
      <c r="Y98" s="295"/>
      <c r="Z98" s="296"/>
      <c r="AA98" s="296"/>
      <c r="AB98" s="601"/>
      <c r="AC98" s="601"/>
      <c r="AD98" s="101"/>
      <c r="AE98" s="101"/>
      <c r="AF98" s="297">
        <f t="shared" si="61"/>
        <v>121.72413793103306</v>
      </c>
      <c r="AG98" s="94">
        <f t="shared" si="62"/>
        <v>1.0608620689655166</v>
      </c>
      <c r="AH98" s="605"/>
    </row>
    <row r="99" spans="1:34" ht="19.149999999999999" customHeight="1">
      <c r="A99" s="628"/>
      <c r="B99" s="65" t="s">
        <v>389</v>
      </c>
      <c r="C99" s="131"/>
      <c r="D99" s="132" t="s">
        <v>171</v>
      </c>
      <c r="E99" s="133"/>
      <c r="F99" s="287">
        <v>22.83</v>
      </c>
      <c r="G99" s="104">
        <v>387</v>
      </c>
      <c r="H99" s="289">
        <f t="shared" si="65"/>
        <v>8835.2099999999991</v>
      </c>
      <c r="I99" s="101"/>
      <c r="J99" s="89">
        <v>6</v>
      </c>
      <c r="K99" s="86">
        <v>2000</v>
      </c>
      <c r="L99" s="90">
        <v>333.33333333333331</v>
      </c>
      <c r="M99" s="91">
        <v>7</v>
      </c>
      <c r="N99" s="86">
        <f t="shared" si="66"/>
        <v>1786.1538461538414</v>
      </c>
      <c r="O99" s="90">
        <f t="shared" si="67"/>
        <v>255.1648351648345</v>
      </c>
      <c r="P99" s="92">
        <f t="shared" si="68"/>
        <v>1</v>
      </c>
      <c r="Q99" s="93">
        <f t="shared" si="64"/>
        <v>-78.168498168498814</v>
      </c>
      <c r="R99" s="94">
        <f t="shared" si="69"/>
        <v>0.7654945054945036</v>
      </c>
      <c r="S99" s="620"/>
      <c r="T99" s="142">
        <v>0.40347222222222223</v>
      </c>
      <c r="U99" s="142">
        <v>0.41250000000000003</v>
      </c>
      <c r="V99" s="101">
        <v>5</v>
      </c>
      <c r="W99" s="143">
        <f t="shared" si="70"/>
        <v>13.000000000000034</v>
      </c>
      <c r="X99" s="253"/>
      <c r="Y99" s="253"/>
      <c r="Z99" s="185"/>
      <c r="AA99" s="185"/>
      <c r="AB99" s="601"/>
      <c r="AC99" s="601"/>
      <c r="AD99" s="101"/>
      <c r="AE99" s="101"/>
      <c r="AF99" s="92">
        <f t="shared" si="61"/>
        <v>-213.84615384615859</v>
      </c>
      <c r="AG99" s="186">
        <f t="shared" si="62"/>
        <v>0.89307692307692066</v>
      </c>
      <c r="AH99" s="605"/>
    </row>
    <row r="100" spans="1:34" s="298" customFormat="1" ht="19.149999999999999" customHeight="1">
      <c r="A100" s="628"/>
      <c r="B100" s="65" t="s">
        <v>389</v>
      </c>
      <c r="C100" s="102"/>
      <c r="D100" s="83" t="s">
        <v>172</v>
      </c>
      <c r="E100" s="133"/>
      <c r="F100" s="287">
        <v>22.27</v>
      </c>
      <c r="G100" s="104">
        <v>1252</v>
      </c>
      <c r="H100" s="289">
        <f t="shared" si="65"/>
        <v>27882.04</v>
      </c>
      <c r="I100" s="101"/>
      <c r="J100" s="89">
        <v>4</v>
      </c>
      <c r="K100" s="86">
        <v>2000</v>
      </c>
      <c r="L100" s="90">
        <v>500</v>
      </c>
      <c r="M100" s="138">
        <v>5</v>
      </c>
      <c r="N100" s="86">
        <f t="shared" si="66"/>
        <v>2086.6666666666652</v>
      </c>
      <c r="O100" s="90">
        <f t="shared" si="67"/>
        <v>417.33333333333303</v>
      </c>
      <c r="P100" s="92">
        <f t="shared" si="68"/>
        <v>1</v>
      </c>
      <c r="Q100" s="93">
        <f t="shared" si="64"/>
        <v>-82.66666666666697</v>
      </c>
      <c r="R100" s="94">
        <f t="shared" si="69"/>
        <v>0.83466666666666611</v>
      </c>
      <c r="S100" s="620"/>
      <c r="T100" s="290">
        <v>0.41597222222222224</v>
      </c>
      <c r="U100" s="290">
        <v>0.44097222222222227</v>
      </c>
      <c r="V100" s="291">
        <v>5</v>
      </c>
      <c r="W100" s="143">
        <f t="shared" si="70"/>
        <v>36.000000000000028</v>
      </c>
      <c r="X100" s="299"/>
      <c r="Y100" s="299"/>
      <c r="Z100" s="296"/>
      <c r="AA100" s="296"/>
      <c r="AB100" s="601"/>
      <c r="AC100" s="601"/>
      <c r="AD100" s="101"/>
      <c r="AE100" s="101"/>
      <c r="AF100" s="297">
        <f t="shared" si="61"/>
        <v>86.666666666665151</v>
      </c>
      <c r="AG100" s="94">
        <f t="shared" si="62"/>
        <v>1.0433333333333326</v>
      </c>
      <c r="AH100" s="605"/>
    </row>
    <row r="101" spans="1:34" s="298" customFormat="1" ht="19.149999999999999" customHeight="1">
      <c r="A101" s="628"/>
      <c r="B101" s="65" t="s">
        <v>389</v>
      </c>
      <c r="C101" s="102"/>
      <c r="D101" s="132" t="s">
        <v>173</v>
      </c>
      <c r="E101" s="133"/>
      <c r="F101" s="287">
        <v>21.74</v>
      </c>
      <c r="G101" s="104">
        <v>263</v>
      </c>
      <c r="H101" s="289">
        <f t="shared" si="65"/>
        <v>5717.62</v>
      </c>
      <c r="I101" s="101"/>
      <c r="J101" s="89">
        <v>4</v>
      </c>
      <c r="K101" s="86">
        <v>2000</v>
      </c>
      <c r="L101" s="90">
        <v>500</v>
      </c>
      <c r="M101" s="138">
        <v>5</v>
      </c>
      <c r="N101" s="86">
        <f t="shared" si="66"/>
        <v>1753.3333333333394</v>
      </c>
      <c r="O101" s="90">
        <f t="shared" si="67"/>
        <v>350.66666666666788</v>
      </c>
      <c r="P101" s="92">
        <f t="shared" si="68"/>
        <v>1</v>
      </c>
      <c r="Q101" s="93">
        <f t="shared" si="64"/>
        <v>-149.33333333333212</v>
      </c>
      <c r="R101" s="94">
        <f t="shared" si="69"/>
        <v>0.70133333333333581</v>
      </c>
      <c r="S101" s="620"/>
      <c r="T101" s="290">
        <v>0.44444444444444448</v>
      </c>
      <c r="U101" s="142">
        <v>0.45069444444444445</v>
      </c>
      <c r="V101" s="291">
        <v>5</v>
      </c>
      <c r="W101" s="143">
        <f t="shared" si="70"/>
        <v>8.999999999999968</v>
      </c>
      <c r="X101" s="300"/>
      <c r="Y101" s="300"/>
      <c r="Z101" s="296"/>
      <c r="AA101" s="296"/>
      <c r="AB101" s="601"/>
      <c r="AC101" s="601"/>
      <c r="AD101" s="101"/>
      <c r="AE101" s="101"/>
      <c r="AF101" s="92">
        <f t="shared" si="61"/>
        <v>-246.6666666666606</v>
      </c>
      <c r="AG101" s="186">
        <f t="shared" si="62"/>
        <v>0.8766666666666697</v>
      </c>
      <c r="AH101" s="605"/>
    </row>
    <row r="102" spans="1:34" s="298" customFormat="1" ht="19.149999999999999" customHeight="1">
      <c r="A102" s="628"/>
      <c r="B102" s="65" t="s">
        <v>390</v>
      </c>
      <c r="C102" s="248"/>
      <c r="D102" s="249" t="s">
        <v>174</v>
      </c>
      <c r="E102" s="250"/>
      <c r="F102" s="287">
        <v>53.68</v>
      </c>
      <c r="G102" s="104">
        <v>980</v>
      </c>
      <c r="H102" s="289">
        <f t="shared" si="65"/>
        <v>52606.400000000001</v>
      </c>
      <c r="I102" s="65"/>
      <c r="J102" s="89">
        <v>16</v>
      </c>
      <c r="K102" s="86">
        <v>1500</v>
      </c>
      <c r="L102" s="90">
        <v>93.75</v>
      </c>
      <c r="M102" s="138">
        <v>16</v>
      </c>
      <c r="N102" s="86">
        <f t="shared" si="66"/>
        <v>1306.6666666666688</v>
      </c>
      <c r="O102" s="90">
        <f t="shared" si="67"/>
        <v>81.666666666666799</v>
      </c>
      <c r="P102" s="92">
        <f t="shared" si="68"/>
        <v>0</v>
      </c>
      <c r="Q102" s="93">
        <f t="shared" si="64"/>
        <v>-12.083333333333201</v>
      </c>
      <c r="R102" s="94">
        <f t="shared" si="69"/>
        <v>0.8711111111111125</v>
      </c>
      <c r="S102" s="620"/>
      <c r="T102" s="290">
        <v>0.4909722222222222</v>
      </c>
      <c r="U102" s="290">
        <v>0.52222222222222214</v>
      </c>
      <c r="V102" s="291">
        <v>5</v>
      </c>
      <c r="W102" s="143">
        <f t="shared" si="70"/>
        <v>44.999999999999922</v>
      </c>
      <c r="X102" s="300"/>
      <c r="Y102" s="300"/>
      <c r="Z102" s="296"/>
      <c r="AA102" s="296"/>
      <c r="AB102" s="601"/>
      <c r="AC102" s="601"/>
      <c r="AD102" s="101"/>
      <c r="AE102" s="101"/>
      <c r="AF102" s="297">
        <f t="shared" si="61"/>
        <v>-193.33333333333121</v>
      </c>
      <c r="AG102" s="94">
        <f t="shared" si="62"/>
        <v>0.8711111111111125</v>
      </c>
      <c r="AH102" s="605"/>
    </row>
    <row r="103" spans="1:34" s="298" customFormat="1" ht="19.149999999999999" customHeight="1">
      <c r="A103" s="628"/>
      <c r="B103" s="65" t="s">
        <v>390</v>
      </c>
      <c r="C103" s="301"/>
      <c r="D103" s="132" t="s">
        <v>175</v>
      </c>
      <c r="E103" s="133"/>
      <c r="F103" s="287">
        <v>57.734999999999999</v>
      </c>
      <c r="G103" s="104">
        <v>1479</v>
      </c>
      <c r="H103" s="289">
        <f t="shared" si="65"/>
        <v>85390.065000000002</v>
      </c>
      <c r="I103" s="302"/>
      <c r="J103" s="89">
        <v>16</v>
      </c>
      <c r="K103" s="86">
        <v>1565</v>
      </c>
      <c r="L103" s="90">
        <v>97.8125</v>
      </c>
      <c r="M103" s="138">
        <v>16</v>
      </c>
      <c r="N103" s="86">
        <f t="shared" si="66"/>
        <v>1386.5625000000016</v>
      </c>
      <c r="O103" s="90">
        <f t="shared" si="67"/>
        <v>86.660156250000099</v>
      </c>
      <c r="P103" s="92">
        <f t="shared" si="68"/>
        <v>0</v>
      </c>
      <c r="Q103" s="93">
        <f t="shared" si="64"/>
        <v>-11.152343749999901</v>
      </c>
      <c r="R103" s="94">
        <f t="shared" si="69"/>
        <v>0.88598242811501704</v>
      </c>
      <c r="S103" s="620"/>
      <c r="T103" s="290">
        <v>0.52777777777777768</v>
      </c>
      <c r="U103" s="290">
        <v>0.57222222222222208</v>
      </c>
      <c r="V103" s="291">
        <v>8</v>
      </c>
      <c r="W103" s="143">
        <f t="shared" si="70"/>
        <v>63.999999999999929</v>
      </c>
      <c r="X103" s="300"/>
      <c r="Y103" s="300"/>
      <c r="Z103" s="296"/>
      <c r="AA103" s="296"/>
      <c r="AB103" s="601"/>
      <c r="AC103" s="601"/>
      <c r="AD103" s="101"/>
      <c r="AE103" s="101"/>
      <c r="AF103" s="92">
        <f t="shared" si="61"/>
        <v>-178.43749999999841</v>
      </c>
      <c r="AG103" s="186">
        <f t="shared" si="62"/>
        <v>0.88598242811501704</v>
      </c>
      <c r="AH103" s="605"/>
    </row>
    <row r="104" spans="1:34" s="298" customFormat="1" ht="19.149999999999999" customHeight="1">
      <c r="A104" s="628"/>
      <c r="B104" s="65">
        <v>0</v>
      </c>
      <c r="C104" s="303"/>
      <c r="D104" s="132"/>
      <c r="E104" s="133"/>
      <c r="F104" s="287" t="s">
        <v>391</v>
      </c>
      <c r="G104" s="288"/>
      <c r="H104" s="289">
        <f t="shared" si="65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4"/>
      <c r="S104" s="623"/>
      <c r="T104" s="290"/>
      <c r="U104" s="290"/>
      <c r="V104" s="291"/>
      <c r="W104" s="143"/>
      <c r="X104" s="300"/>
      <c r="Y104" s="300"/>
      <c r="Z104" s="296"/>
      <c r="AA104" s="296"/>
      <c r="AB104" s="601"/>
      <c r="AC104" s="601"/>
      <c r="AD104" s="101"/>
      <c r="AE104" s="101"/>
      <c r="AF104" s="297">
        <f t="shared" si="61"/>
        <v>0</v>
      </c>
      <c r="AG104" s="94" t="e">
        <f t="shared" si="62"/>
        <v>#DIV/0!</v>
      </c>
      <c r="AH104" s="605"/>
    </row>
    <row r="105" spans="1:34" s="298" customFormat="1" ht="19.149999999999999" customHeight="1">
      <c r="A105" s="628"/>
      <c r="B105" s="65">
        <v>0</v>
      </c>
      <c r="C105" s="303"/>
      <c r="D105" s="132"/>
      <c r="E105" s="133"/>
      <c r="F105" s="287" t="s">
        <v>391</v>
      </c>
      <c r="G105" s="288"/>
      <c r="H105" s="289">
        <f t="shared" si="65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4"/>
      <c r="S105" s="623"/>
      <c r="T105" s="290"/>
      <c r="U105" s="290"/>
      <c r="V105" s="291"/>
      <c r="W105" s="143">
        <f t="shared" si="70"/>
        <v>0</v>
      </c>
      <c r="X105" s="300"/>
      <c r="Y105" s="300"/>
      <c r="Z105" s="296"/>
      <c r="AA105" s="296"/>
      <c r="AB105" s="601"/>
      <c r="AC105" s="601"/>
      <c r="AD105" s="101"/>
      <c r="AE105" s="101"/>
      <c r="AF105" s="296"/>
      <c r="AG105" s="140"/>
      <c r="AH105" s="605"/>
    </row>
    <row r="106" spans="1:34" s="298" customFormat="1" ht="19.149999999999999" customHeight="1">
      <c r="A106" s="628"/>
      <c r="B106" s="65">
        <v>0</v>
      </c>
      <c r="C106" s="303"/>
      <c r="D106" s="132"/>
      <c r="E106" s="133"/>
      <c r="F106" s="85" t="s">
        <v>391</v>
      </c>
      <c r="G106" s="288"/>
      <c r="H106" s="289">
        <f t="shared" si="65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0"/>
      <c r="S106" s="629"/>
      <c r="T106" s="290"/>
      <c r="U106" s="290"/>
      <c r="V106" s="291"/>
      <c r="W106" s="143">
        <f t="shared" si="70"/>
        <v>0</v>
      </c>
      <c r="X106" s="300"/>
      <c r="Y106" s="300"/>
      <c r="Z106" s="296"/>
      <c r="AA106" s="296"/>
      <c r="AB106" s="601"/>
      <c r="AC106" s="601"/>
      <c r="AD106" s="101"/>
      <c r="AE106" s="101"/>
      <c r="AF106" s="296"/>
      <c r="AG106" s="140"/>
      <c r="AH106" s="605"/>
    </row>
    <row r="107" spans="1:34" s="298" customFormat="1" ht="19.149999999999999" customHeight="1">
      <c r="A107" s="628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0"/>
      <c r="S107" s="629"/>
      <c r="T107" s="290"/>
      <c r="U107" s="290"/>
      <c r="V107" s="291"/>
      <c r="W107" s="143">
        <f t="shared" si="70"/>
        <v>0</v>
      </c>
      <c r="X107" s="300"/>
      <c r="Y107" s="300"/>
      <c r="Z107" s="296"/>
      <c r="AA107" s="296"/>
      <c r="AB107" s="601"/>
      <c r="AC107" s="601"/>
      <c r="AD107" s="101"/>
      <c r="AE107" s="101"/>
      <c r="AF107" s="296"/>
      <c r="AG107" s="140"/>
      <c r="AH107" s="605"/>
    </row>
    <row r="108" spans="1:34" ht="19.149999999999999" customHeight="1">
      <c r="A108" s="628"/>
      <c r="B108" s="167">
        <v>0</v>
      </c>
      <c r="C108" s="156" t="s">
        <v>34</v>
      </c>
      <c r="D108" s="602" t="s">
        <v>75</v>
      </c>
      <c r="E108" s="602"/>
      <c r="F108" s="307"/>
      <c r="G108" s="158"/>
      <c r="H108" s="159"/>
      <c r="I108" s="160"/>
      <c r="J108" s="158">
        <v>7.5</v>
      </c>
      <c r="K108" s="158">
        <v>1820.625</v>
      </c>
      <c r="L108" s="161">
        <v>346.86197916666663</v>
      </c>
      <c r="M108" s="158">
        <f t="shared" ref="M108:O108" si="71">AVERAGE(M96:M107)</f>
        <v>8</v>
      </c>
      <c r="N108" s="158">
        <f t="shared" si="71"/>
        <v>1709.5903169208666</v>
      </c>
      <c r="O108" s="161">
        <f t="shared" si="71"/>
        <v>282.86994532384824</v>
      </c>
      <c r="P108" s="100">
        <f t="shared" ref="P108:P116" si="72">M108-J108</f>
        <v>0.5</v>
      </c>
      <c r="Q108" s="139">
        <f t="shared" ref="Q108:Q116" si="73">O108-L108</f>
        <v>-63.992033842818387</v>
      </c>
      <c r="R108" s="162">
        <f t="shared" ref="R108:R116" si="74">O108/L108</f>
        <v>0.81551153575102475</v>
      </c>
      <c r="S108" s="623"/>
      <c r="T108" s="142"/>
      <c r="U108" s="142"/>
      <c r="V108" s="104"/>
      <c r="W108" s="143">
        <f t="shared" si="70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01"/>
      <c r="AC108" s="601"/>
      <c r="AD108" s="164">
        <f>SUM(AD96:AD107)</f>
        <v>0</v>
      </c>
      <c r="AE108" s="164">
        <f>SUM(AE96:AE107)</f>
        <v>0</v>
      </c>
      <c r="AF108" s="100">
        <f t="shared" si="61"/>
        <v>-111.0346830791334</v>
      </c>
      <c r="AG108" s="140">
        <f t="shared" si="62"/>
        <v>0.93901287575468129</v>
      </c>
      <c r="AH108" s="605"/>
    </row>
    <row r="109" spans="1:34" ht="19.149999999999999" customHeight="1">
      <c r="A109" s="624" t="s">
        <v>176</v>
      </c>
      <c r="B109" s="65" t="s">
        <v>390</v>
      </c>
      <c r="C109" s="147"/>
      <c r="D109" s="249" t="s">
        <v>177</v>
      </c>
      <c r="E109" s="84"/>
      <c r="F109" s="85">
        <v>56.43</v>
      </c>
      <c r="G109" s="86">
        <v>1004</v>
      </c>
      <c r="H109" s="87">
        <f t="shared" ref="H109:H118" si="75">F109*G109</f>
        <v>56655.72</v>
      </c>
      <c r="I109" s="65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6" si="76">G109/W109*60</f>
        <v>1400.9302325581393</v>
      </c>
      <c r="O109" s="90">
        <f t="shared" ref="O109:O116" si="77">N109/M109</f>
        <v>77.829457364341067</v>
      </c>
      <c r="P109" s="92">
        <f t="shared" si="72"/>
        <v>0</v>
      </c>
      <c r="Q109" s="93">
        <f t="shared" si="73"/>
        <v>-5.5038759689922614</v>
      </c>
      <c r="R109" s="94">
        <f t="shared" si="74"/>
        <v>0.93395348837209291</v>
      </c>
      <c r="S109" s="627">
        <f>R121</f>
        <v>0.87342552537224416</v>
      </c>
      <c r="T109" s="308">
        <v>0.5</v>
      </c>
      <c r="U109" s="308">
        <v>0.52986111111111112</v>
      </c>
      <c r="V109" s="309">
        <v>5</v>
      </c>
      <c r="W109" s="88">
        <f t="shared" si="70"/>
        <v>43.000000000000007</v>
      </c>
      <c r="X109" s="99"/>
      <c r="Y109" s="99"/>
      <c r="Z109" s="100"/>
      <c r="AA109" s="100"/>
      <c r="AB109" s="601"/>
      <c r="AC109" s="601"/>
      <c r="AD109" s="101"/>
      <c r="AE109" s="101"/>
      <c r="AF109" s="92">
        <f t="shared" si="61"/>
        <v>-99.069767441860677</v>
      </c>
      <c r="AG109" s="186">
        <f t="shared" si="62"/>
        <v>0.93395348837209291</v>
      </c>
      <c r="AH109" s="605">
        <f>AG121</f>
        <v>0.87145180416157397</v>
      </c>
    </row>
    <row r="110" spans="1:34" ht="19.149999999999999" customHeight="1">
      <c r="A110" s="625"/>
      <c r="B110" s="65" t="s">
        <v>390</v>
      </c>
      <c r="C110" s="248"/>
      <c r="D110" s="83" t="s">
        <v>178</v>
      </c>
      <c r="E110" s="250"/>
      <c r="F110" s="85">
        <v>54.09</v>
      </c>
      <c r="G110" s="247">
        <v>965</v>
      </c>
      <c r="H110" s="87">
        <f t="shared" si="75"/>
        <v>52196.850000000006</v>
      </c>
      <c r="I110" s="65"/>
      <c r="J110" s="89">
        <v>20</v>
      </c>
      <c r="K110" s="86">
        <v>1500</v>
      </c>
      <c r="L110" s="90">
        <v>75</v>
      </c>
      <c r="M110" s="91">
        <v>20</v>
      </c>
      <c r="N110" s="86">
        <f t="shared" si="76"/>
        <v>1258.695652173913</v>
      </c>
      <c r="O110" s="90">
        <f t="shared" si="77"/>
        <v>62.934782608695649</v>
      </c>
      <c r="P110" s="92">
        <f t="shared" si="72"/>
        <v>0</v>
      </c>
      <c r="Q110" s="93">
        <f t="shared" si="73"/>
        <v>-12.065217391304351</v>
      </c>
      <c r="R110" s="94">
        <f t="shared" si="74"/>
        <v>0.83913043478260863</v>
      </c>
      <c r="S110" s="616"/>
      <c r="T110" s="308">
        <v>0.53541666666666665</v>
      </c>
      <c r="U110" s="308">
        <v>0.56736111111111109</v>
      </c>
      <c r="V110" s="309">
        <v>8</v>
      </c>
      <c r="W110" s="88">
        <f t="shared" si="70"/>
        <v>46</v>
      </c>
      <c r="X110" s="264"/>
      <c r="Y110" s="264"/>
      <c r="Z110" s="100"/>
      <c r="AA110" s="100"/>
      <c r="AB110" s="601"/>
      <c r="AC110" s="601"/>
      <c r="AD110" s="101"/>
      <c r="AE110" s="101"/>
      <c r="AF110" s="165">
        <f t="shared" si="61"/>
        <v>-241.304347826087</v>
      </c>
      <c r="AG110" s="186">
        <f t="shared" si="62"/>
        <v>0.83913043478260863</v>
      </c>
      <c r="AH110" s="605"/>
    </row>
    <row r="111" spans="1:34" ht="19.149999999999999" customHeight="1">
      <c r="A111" s="625"/>
      <c r="B111" s="65" t="s">
        <v>390</v>
      </c>
      <c r="C111" s="248"/>
      <c r="D111" s="83" t="s">
        <v>179</v>
      </c>
      <c r="E111" s="250"/>
      <c r="F111" s="85">
        <v>51.75</v>
      </c>
      <c r="G111" s="104">
        <v>1255</v>
      </c>
      <c r="H111" s="87">
        <f t="shared" si="75"/>
        <v>64946.25</v>
      </c>
      <c r="I111" s="65"/>
      <c r="J111" s="89">
        <v>21</v>
      </c>
      <c r="K111" s="86">
        <v>1500</v>
      </c>
      <c r="L111" s="90">
        <v>71.428571428571431</v>
      </c>
      <c r="M111" s="310">
        <v>21</v>
      </c>
      <c r="N111" s="86">
        <f t="shared" si="76"/>
        <v>1176.5625000000014</v>
      </c>
      <c r="O111" s="90">
        <f t="shared" si="77"/>
        <v>56.026785714285779</v>
      </c>
      <c r="P111" s="92">
        <f t="shared" si="72"/>
        <v>0</v>
      </c>
      <c r="Q111" s="93">
        <f t="shared" si="73"/>
        <v>-15.401785714285651</v>
      </c>
      <c r="R111" s="94">
        <f t="shared" si="74"/>
        <v>0.78437500000000093</v>
      </c>
      <c r="S111" s="616"/>
      <c r="T111" s="308">
        <v>0.58263888888888882</v>
      </c>
      <c r="U111" s="308">
        <v>0.62708333333333321</v>
      </c>
      <c r="V111" s="309">
        <v>22</v>
      </c>
      <c r="W111" s="88">
        <f t="shared" si="70"/>
        <v>63.999999999999929</v>
      </c>
      <c r="X111" s="99">
        <v>0.5708333333333333</v>
      </c>
      <c r="Y111" s="99">
        <v>0.57986111111111105</v>
      </c>
      <c r="Z111" s="100"/>
      <c r="AA111" s="100"/>
      <c r="AB111" s="601"/>
      <c r="AC111" s="601"/>
      <c r="AD111" s="101"/>
      <c r="AE111" s="101"/>
      <c r="AF111" s="92">
        <f t="shared" si="61"/>
        <v>-323.43749999999864</v>
      </c>
      <c r="AG111" s="186">
        <f t="shared" si="62"/>
        <v>0.78437500000000093</v>
      </c>
      <c r="AH111" s="605"/>
    </row>
    <row r="112" spans="1:34" ht="19.149999999999999" customHeight="1">
      <c r="A112" s="625"/>
      <c r="B112" s="65" t="s">
        <v>386</v>
      </c>
      <c r="C112" s="248"/>
      <c r="D112" s="249" t="s">
        <v>159</v>
      </c>
      <c r="E112" s="250"/>
      <c r="F112" s="85">
        <v>53.36</v>
      </c>
      <c r="G112" s="104">
        <v>1396.35</v>
      </c>
      <c r="H112" s="87">
        <f t="shared" si="75"/>
        <v>74509.23599999999</v>
      </c>
      <c r="I112" s="101">
        <v>2</v>
      </c>
      <c r="J112" s="89">
        <v>18</v>
      </c>
      <c r="K112" s="86">
        <v>1300</v>
      </c>
      <c r="L112" s="90">
        <v>72.222222222222229</v>
      </c>
      <c r="M112" s="310">
        <v>18</v>
      </c>
      <c r="N112" s="86">
        <f t="shared" si="76"/>
        <v>1269.4090909090921</v>
      </c>
      <c r="O112" s="90">
        <f t="shared" si="77"/>
        <v>70.522727272727337</v>
      </c>
      <c r="P112" s="92">
        <f t="shared" si="72"/>
        <v>0</v>
      </c>
      <c r="Q112" s="93">
        <f t="shared" si="73"/>
        <v>-1.6994949494948912</v>
      </c>
      <c r="R112" s="94">
        <f t="shared" si="74"/>
        <v>0.9764685314685323</v>
      </c>
      <c r="S112" s="616"/>
      <c r="T112" s="308">
        <v>0.63194444444444431</v>
      </c>
      <c r="U112" s="308">
        <v>0.67777777777777759</v>
      </c>
      <c r="V112" s="309">
        <v>7</v>
      </c>
      <c r="W112" s="88">
        <f t="shared" si="70"/>
        <v>65.999999999999929</v>
      </c>
      <c r="X112" s="99"/>
      <c r="Y112" s="99"/>
      <c r="Z112" s="100"/>
      <c r="AA112" s="100"/>
      <c r="AB112" s="601"/>
      <c r="AC112" s="601"/>
      <c r="AD112" s="101">
        <v>1</v>
      </c>
      <c r="AE112" s="101"/>
      <c r="AF112" s="92">
        <f t="shared" si="61"/>
        <v>-30.590909090907871</v>
      </c>
      <c r="AG112" s="186">
        <f t="shared" si="62"/>
        <v>0.97646853146853241</v>
      </c>
      <c r="AH112" s="605"/>
    </row>
    <row r="113" spans="1:34" s="298" customFormat="1" ht="19.149999999999999" customHeight="1">
      <c r="A113" s="625"/>
      <c r="B113" s="65" t="s">
        <v>390</v>
      </c>
      <c r="C113" s="248"/>
      <c r="D113" s="249" t="s">
        <v>180</v>
      </c>
      <c r="E113" s="250"/>
      <c r="F113" s="85">
        <v>54.29</v>
      </c>
      <c r="G113" s="104">
        <v>1206</v>
      </c>
      <c r="H113" s="87">
        <f t="shared" si="75"/>
        <v>65473.74</v>
      </c>
      <c r="I113" s="101"/>
      <c r="J113" s="89">
        <v>16</v>
      </c>
      <c r="K113" s="86">
        <v>1440</v>
      </c>
      <c r="L113" s="90">
        <v>90</v>
      </c>
      <c r="M113" s="310">
        <v>15</v>
      </c>
      <c r="N113" s="86">
        <f t="shared" si="76"/>
        <v>1315.6363636363644</v>
      </c>
      <c r="O113" s="90">
        <f t="shared" si="77"/>
        <v>87.709090909090961</v>
      </c>
      <c r="P113" s="92">
        <f t="shared" si="72"/>
        <v>-1</v>
      </c>
      <c r="Q113" s="93">
        <f t="shared" si="73"/>
        <v>-2.2909090909090395</v>
      </c>
      <c r="R113" s="94">
        <f t="shared" si="74"/>
        <v>0.97454545454545516</v>
      </c>
      <c r="S113" s="616"/>
      <c r="T113" s="308">
        <v>0.70833333333333337</v>
      </c>
      <c r="U113" s="308">
        <v>0.74652777777777779</v>
      </c>
      <c r="V113" s="309">
        <v>5</v>
      </c>
      <c r="W113" s="88">
        <f t="shared" si="70"/>
        <v>54.999999999999964</v>
      </c>
      <c r="X113" s="295"/>
      <c r="Y113" s="295"/>
      <c r="Z113" s="296"/>
      <c r="AA113" s="296"/>
      <c r="AB113" s="601"/>
      <c r="AC113" s="601"/>
      <c r="AD113" s="301"/>
      <c r="AE113" s="301"/>
      <c r="AF113" s="165">
        <f t="shared" si="61"/>
        <v>-124.36363636363558</v>
      </c>
      <c r="AG113" s="186">
        <f t="shared" si="62"/>
        <v>0.91363636363636413</v>
      </c>
      <c r="AH113" s="605"/>
    </row>
    <row r="114" spans="1:34" s="298" customFormat="1" ht="19.149999999999999" customHeight="1">
      <c r="A114" s="625"/>
      <c r="B114" s="65" t="s">
        <v>390</v>
      </c>
      <c r="C114" s="248"/>
      <c r="D114" s="249" t="s">
        <v>181</v>
      </c>
      <c r="E114" s="250"/>
      <c r="F114" s="85">
        <v>55.32</v>
      </c>
      <c r="G114" s="104">
        <v>526</v>
      </c>
      <c r="H114" s="87">
        <f t="shared" si="75"/>
        <v>29098.32</v>
      </c>
      <c r="I114" s="101"/>
      <c r="J114" s="89">
        <v>15</v>
      </c>
      <c r="K114" s="86">
        <v>1440</v>
      </c>
      <c r="L114" s="90">
        <v>96</v>
      </c>
      <c r="M114" s="310">
        <v>15</v>
      </c>
      <c r="N114" s="86">
        <f t="shared" si="76"/>
        <v>1088.2758620689633</v>
      </c>
      <c r="O114" s="90">
        <f t="shared" si="77"/>
        <v>72.55172413793089</v>
      </c>
      <c r="P114" s="92">
        <f t="shared" si="72"/>
        <v>0</v>
      </c>
      <c r="Q114" s="93">
        <f t="shared" si="73"/>
        <v>-23.44827586206911</v>
      </c>
      <c r="R114" s="94">
        <f t="shared" si="74"/>
        <v>0.7557471264367801</v>
      </c>
      <c r="S114" s="616"/>
      <c r="T114" s="308">
        <v>0.75138888888888888</v>
      </c>
      <c r="U114" s="308">
        <v>0.77152777777777781</v>
      </c>
      <c r="V114" s="309">
        <v>7</v>
      </c>
      <c r="W114" s="88">
        <f t="shared" si="70"/>
        <v>29.000000000000057</v>
      </c>
      <c r="X114" s="295"/>
      <c r="Y114" s="295"/>
      <c r="Z114" s="296"/>
      <c r="AA114" s="296"/>
      <c r="AB114" s="601"/>
      <c r="AC114" s="601"/>
      <c r="AD114" s="301"/>
      <c r="AE114" s="301"/>
      <c r="AF114" s="92">
        <f t="shared" si="61"/>
        <v>-351.72413793103669</v>
      </c>
      <c r="AG114" s="186">
        <f t="shared" si="62"/>
        <v>0.7557471264367801</v>
      </c>
      <c r="AH114" s="605"/>
    </row>
    <row r="115" spans="1:34" s="298" customFormat="1" ht="19.149999999999999" customHeight="1">
      <c r="A115" s="625"/>
      <c r="B115" s="65" t="s">
        <v>390</v>
      </c>
      <c r="C115" s="248"/>
      <c r="D115" s="249" t="s">
        <v>182</v>
      </c>
      <c r="E115" s="250"/>
      <c r="F115" s="85">
        <v>55.56</v>
      </c>
      <c r="G115" s="247">
        <v>763</v>
      </c>
      <c r="H115" s="87">
        <f t="shared" si="75"/>
        <v>42392.28</v>
      </c>
      <c r="I115" s="101"/>
      <c r="J115" s="89">
        <v>16</v>
      </c>
      <c r="K115" s="86">
        <v>1440</v>
      </c>
      <c r="L115" s="90">
        <v>90</v>
      </c>
      <c r="M115" s="91">
        <v>16</v>
      </c>
      <c r="N115" s="86">
        <f t="shared" si="76"/>
        <v>1307.9999999999989</v>
      </c>
      <c r="O115" s="90">
        <f t="shared" si="77"/>
        <v>81.749999999999929</v>
      </c>
      <c r="P115" s="92">
        <f t="shared" si="72"/>
        <v>0</v>
      </c>
      <c r="Q115" s="93">
        <f t="shared" si="73"/>
        <v>-8.2500000000000711</v>
      </c>
      <c r="R115" s="94">
        <f t="shared" si="74"/>
        <v>0.90833333333333255</v>
      </c>
      <c r="S115" s="616"/>
      <c r="T115" s="308">
        <v>0.77569444444444446</v>
      </c>
      <c r="U115" s="308">
        <v>0.8</v>
      </c>
      <c r="V115" s="309">
        <v>6</v>
      </c>
      <c r="W115" s="88">
        <f t="shared" si="70"/>
        <v>35.000000000000036</v>
      </c>
      <c r="X115" s="295"/>
      <c r="Y115" s="295"/>
      <c r="Z115" s="296"/>
      <c r="AA115" s="296"/>
      <c r="AB115" s="601"/>
      <c r="AC115" s="601"/>
      <c r="AD115" s="301"/>
      <c r="AE115" s="301"/>
      <c r="AF115" s="92">
        <f t="shared" si="61"/>
        <v>-132.00000000000114</v>
      </c>
      <c r="AG115" s="186">
        <f t="shared" si="62"/>
        <v>0.90833333333333255</v>
      </c>
      <c r="AH115" s="605"/>
    </row>
    <row r="116" spans="1:34" s="298" customFormat="1" ht="19.149999999999999" customHeight="1">
      <c r="A116" s="625"/>
      <c r="B116" s="65" t="s">
        <v>390</v>
      </c>
      <c r="C116" s="102"/>
      <c r="D116" s="132" t="s">
        <v>183</v>
      </c>
      <c r="E116" s="133"/>
      <c r="F116" s="85">
        <v>57.73</v>
      </c>
      <c r="G116" s="104">
        <v>863</v>
      </c>
      <c r="H116" s="87">
        <f t="shared" si="75"/>
        <v>49820.99</v>
      </c>
      <c r="I116" s="101"/>
      <c r="J116" s="89">
        <v>16</v>
      </c>
      <c r="K116" s="86">
        <v>1380</v>
      </c>
      <c r="L116" s="90">
        <v>86.25</v>
      </c>
      <c r="M116" s="189">
        <v>17</v>
      </c>
      <c r="N116" s="86">
        <f t="shared" si="76"/>
        <v>1204.1860465116279</v>
      </c>
      <c r="O116" s="90">
        <f t="shared" si="77"/>
        <v>70.834473324213405</v>
      </c>
      <c r="P116" s="92">
        <f t="shared" si="72"/>
        <v>1</v>
      </c>
      <c r="Q116" s="93">
        <f t="shared" si="73"/>
        <v>-15.415526675786595</v>
      </c>
      <c r="R116" s="94">
        <f t="shared" si="74"/>
        <v>0.821269255932909</v>
      </c>
      <c r="S116" s="616"/>
      <c r="T116" s="308">
        <v>0.80555555555555558</v>
      </c>
      <c r="U116" s="308">
        <v>0.8354166666666667</v>
      </c>
      <c r="V116" s="309">
        <v>8</v>
      </c>
      <c r="W116" s="88">
        <f t="shared" si="70"/>
        <v>43.000000000000007</v>
      </c>
      <c r="X116" s="295"/>
      <c r="Y116" s="295"/>
      <c r="Z116" s="296"/>
      <c r="AA116" s="296"/>
      <c r="AB116" s="601"/>
      <c r="AC116" s="601"/>
      <c r="AD116" s="301"/>
      <c r="AE116" s="301"/>
      <c r="AF116" s="165">
        <f t="shared" si="61"/>
        <v>-175.81395348837214</v>
      </c>
      <c r="AG116" s="186">
        <f t="shared" si="62"/>
        <v>0.87259858442871585</v>
      </c>
      <c r="AH116" s="605"/>
    </row>
    <row r="117" spans="1:34" s="298" customFormat="1" ht="19.149999999999999" customHeight="1">
      <c r="A117" s="625"/>
      <c r="B117" s="65">
        <v>0</v>
      </c>
      <c r="C117" s="102"/>
      <c r="D117" s="249"/>
      <c r="E117" s="133"/>
      <c r="F117" s="85" t="s">
        <v>391</v>
      </c>
      <c r="G117" s="104"/>
      <c r="H117" s="87">
        <f t="shared" si="75"/>
        <v>0</v>
      </c>
      <c r="I117" s="101"/>
      <c r="J117" s="89"/>
      <c r="K117" s="86"/>
      <c r="L117" s="137"/>
      <c r="M117" s="189"/>
      <c r="N117" s="104"/>
      <c r="O117" s="137"/>
      <c r="P117" s="100"/>
      <c r="Q117" s="139"/>
      <c r="R117" s="140"/>
      <c r="S117" s="616"/>
      <c r="T117" s="308"/>
      <c r="U117" s="308"/>
      <c r="V117" s="309"/>
      <c r="W117" s="88">
        <f t="shared" si="70"/>
        <v>0</v>
      </c>
      <c r="X117" s="295"/>
      <c r="Y117" s="295"/>
      <c r="Z117" s="296"/>
      <c r="AA117" s="296"/>
      <c r="AB117" s="601"/>
      <c r="AC117" s="601"/>
      <c r="AD117" s="301"/>
      <c r="AE117" s="301"/>
      <c r="AF117" s="92">
        <f t="shared" si="61"/>
        <v>0</v>
      </c>
      <c r="AG117" s="186" t="e">
        <f t="shared" si="62"/>
        <v>#DIV/0!</v>
      </c>
      <c r="AH117" s="605"/>
    </row>
    <row r="118" spans="1:34" s="298" customFormat="1" ht="19.149999999999999" customHeight="1">
      <c r="A118" s="625"/>
      <c r="B118" s="65">
        <v>0</v>
      </c>
      <c r="C118" s="233"/>
      <c r="D118" s="249"/>
      <c r="E118" s="84"/>
      <c r="F118" s="85" t="s">
        <v>391</v>
      </c>
      <c r="G118" s="86"/>
      <c r="H118" s="87">
        <f t="shared" si="75"/>
        <v>0</v>
      </c>
      <c r="I118" s="101"/>
      <c r="J118" s="89"/>
      <c r="K118" s="86"/>
      <c r="L118" s="90"/>
      <c r="M118" s="189"/>
      <c r="N118" s="86"/>
      <c r="O118" s="90"/>
      <c r="P118" s="92"/>
      <c r="Q118" s="93"/>
      <c r="R118" s="94"/>
      <c r="S118" s="616"/>
      <c r="T118" s="308"/>
      <c r="U118" s="308"/>
      <c r="V118" s="309"/>
      <c r="W118" s="88">
        <f t="shared" si="70"/>
        <v>0</v>
      </c>
      <c r="X118" s="295"/>
      <c r="Y118" s="295"/>
      <c r="Z118" s="296"/>
      <c r="AA118" s="296"/>
      <c r="AB118" s="601"/>
      <c r="AC118" s="601"/>
      <c r="AD118" s="301"/>
      <c r="AE118" s="301"/>
      <c r="AF118" s="297"/>
      <c r="AG118" s="186"/>
      <c r="AH118" s="605"/>
    </row>
    <row r="119" spans="1:34" s="298" customFormat="1" ht="19.149999999999999" customHeight="1">
      <c r="A119" s="625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101"/>
      <c r="J119" s="251"/>
      <c r="K119" s="313"/>
      <c r="L119" s="90"/>
      <c r="M119" s="189"/>
      <c r="N119" s="252"/>
      <c r="O119" s="305"/>
      <c r="P119" s="235"/>
      <c r="Q119" s="93"/>
      <c r="R119" s="94"/>
      <c r="S119" s="616"/>
      <c r="T119" s="308"/>
      <c r="U119" s="308"/>
      <c r="V119" s="309"/>
      <c r="W119" s="88">
        <f t="shared" si="70"/>
        <v>0</v>
      </c>
      <c r="X119" s="295"/>
      <c r="Y119" s="295"/>
      <c r="Z119" s="296"/>
      <c r="AA119" s="296"/>
      <c r="AB119" s="601"/>
      <c r="AC119" s="601"/>
      <c r="AD119" s="301"/>
      <c r="AE119" s="301"/>
      <c r="AF119" s="297"/>
      <c r="AG119" s="186"/>
      <c r="AH119" s="605"/>
    </row>
    <row r="120" spans="1:34" s="298" customFormat="1" ht="19.149999999999999" customHeight="1">
      <c r="A120" s="625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101"/>
      <c r="J120" s="251"/>
      <c r="K120" s="313"/>
      <c r="L120" s="90"/>
      <c r="M120" s="189"/>
      <c r="N120" s="252"/>
      <c r="O120" s="305"/>
      <c r="P120" s="235"/>
      <c r="Q120" s="93"/>
      <c r="R120" s="94"/>
      <c r="S120" s="616"/>
      <c r="T120" s="308"/>
      <c r="U120" s="308"/>
      <c r="V120" s="309"/>
      <c r="W120" s="88">
        <f t="shared" si="70"/>
        <v>0</v>
      </c>
      <c r="X120" s="295"/>
      <c r="Y120" s="295"/>
      <c r="Z120" s="296"/>
      <c r="AA120" s="296"/>
      <c r="AB120" s="601"/>
      <c r="AC120" s="601"/>
      <c r="AD120" s="301"/>
      <c r="AE120" s="301"/>
      <c r="AF120" s="297"/>
      <c r="AG120" s="186"/>
      <c r="AH120" s="605"/>
    </row>
    <row r="121" spans="1:34" ht="19.149999999999999" customHeight="1">
      <c r="A121" s="626"/>
      <c r="B121" s="182">
        <v>0</v>
      </c>
      <c r="C121" s="156" t="s">
        <v>35</v>
      </c>
      <c r="D121" s="314" t="s">
        <v>75</v>
      </c>
      <c r="E121" s="315"/>
      <c r="F121" s="241"/>
      <c r="G121" s="316"/>
      <c r="H121" s="317"/>
      <c r="I121" s="318"/>
      <c r="J121" s="280">
        <v>17.5</v>
      </c>
      <c r="K121" s="280">
        <v>1437.5</v>
      </c>
      <c r="L121" s="281">
        <v>83.029265873015873</v>
      </c>
      <c r="M121" s="280">
        <f t="shared" ref="M121:O121" si="78">AVERAGE(M109:M120)</f>
        <v>17.5</v>
      </c>
      <c r="N121" s="280">
        <f t="shared" si="78"/>
        <v>1252.7119684822626</v>
      </c>
      <c r="O121" s="281">
        <f t="shared" si="78"/>
        <v>72.51988016641063</v>
      </c>
      <c r="P121" s="92">
        <f t="shared" ref="P121:P131" si="79">M121-J121</f>
        <v>0</v>
      </c>
      <c r="Q121" s="93">
        <f t="shared" ref="Q121:Q131" si="80">O121-L121</f>
        <v>-10.509385706605244</v>
      </c>
      <c r="R121" s="245">
        <f t="shared" ref="R121:R131" si="81">O121/L121</f>
        <v>0.87342552537224416</v>
      </c>
      <c r="S121" s="622"/>
      <c r="T121" s="96"/>
      <c r="U121" s="96"/>
      <c r="V121" s="86"/>
      <c r="W121" s="88">
        <f t="shared" si="70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01"/>
      <c r="AC121" s="601"/>
      <c r="AD121" s="164">
        <f>SUM(AD109:AD120)</f>
        <v>1</v>
      </c>
      <c r="AE121" s="164">
        <f>SUM(AE109:AE120)</f>
        <v>0</v>
      </c>
      <c r="AF121" s="92">
        <f>N121-K121</f>
        <v>-184.78803151773741</v>
      </c>
      <c r="AG121" s="186">
        <f>N121/K121</f>
        <v>0.87145180416157397</v>
      </c>
      <c r="AH121" s="605"/>
    </row>
    <row r="122" spans="1:34" ht="19.149999999999999" customHeight="1">
      <c r="A122" s="619" t="s">
        <v>184</v>
      </c>
      <c r="B122" s="192" t="s">
        <v>386</v>
      </c>
      <c r="C122" s="233"/>
      <c r="D122" s="249" t="s">
        <v>185</v>
      </c>
      <c r="E122" s="84"/>
      <c r="F122" s="85">
        <v>65.400000000000006</v>
      </c>
      <c r="G122" s="86">
        <v>222</v>
      </c>
      <c r="H122" s="87">
        <f t="shared" ref="H122:H132" si="82">F122*G122</f>
        <v>14518.800000000001</v>
      </c>
      <c r="I122" s="65"/>
      <c r="J122" s="89">
        <v>18</v>
      </c>
      <c r="K122" s="86">
        <v>1440</v>
      </c>
      <c r="L122" s="90">
        <v>80</v>
      </c>
      <c r="M122" s="91">
        <v>19</v>
      </c>
      <c r="N122" s="247">
        <f t="shared" ref="N122:N131" si="83">G122/W122*60</f>
        <v>1110.0000000000039</v>
      </c>
      <c r="O122" s="319">
        <f t="shared" ref="O122:O131" si="84">N122/M122</f>
        <v>58.421052631579151</v>
      </c>
      <c r="P122" s="165">
        <f t="shared" si="79"/>
        <v>1</v>
      </c>
      <c r="Q122" s="255">
        <f t="shared" si="80"/>
        <v>-21.578947368420849</v>
      </c>
      <c r="R122" s="166">
        <f t="shared" si="81"/>
        <v>0.73026315789473939</v>
      </c>
      <c r="S122" s="620">
        <f>R134</f>
        <v>0.81082725956842261</v>
      </c>
      <c r="T122" s="96">
        <v>0.5</v>
      </c>
      <c r="U122" s="96">
        <v>0.5083333333333333</v>
      </c>
      <c r="V122" s="309">
        <v>5</v>
      </c>
      <c r="W122" s="88">
        <f t="shared" si="70"/>
        <v>11.999999999999957</v>
      </c>
      <c r="X122" s="99"/>
      <c r="Y122" s="99"/>
      <c r="Z122" s="100"/>
      <c r="AA122" s="100"/>
      <c r="AB122" s="601"/>
      <c r="AC122" s="601"/>
      <c r="AD122" s="101"/>
      <c r="AE122" s="101"/>
      <c r="AF122" s="92">
        <f t="shared" si="61"/>
        <v>-329.99999999999613</v>
      </c>
      <c r="AG122" s="94">
        <f t="shared" si="62"/>
        <v>0.77083333333333603</v>
      </c>
      <c r="AH122" s="622">
        <f>AG134</f>
        <v>0.81776352984341416</v>
      </c>
    </row>
    <row r="123" spans="1:34" ht="19.149999999999999" customHeight="1">
      <c r="A123" s="619"/>
      <c r="B123" s="192" t="s">
        <v>386</v>
      </c>
      <c r="C123" s="152"/>
      <c r="D123" s="83" t="s">
        <v>186</v>
      </c>
      <c r="E123" s="250"/>
      <c r="F123" s="85">
        <v>59.52</v>
      </c>
      <c r="G123" s="86">
        <v>1764.6</v>
      </c>
      <c r="H123" s="87">
        <f t="shared" si="82"/>
        <v>105028.992</v>
      </c>
      <c r="I123" s="101"/>
      <c r="J123" s="138">
        <v>21</v>
      </c>
      <c r="K123" s="104">
        <v>1385</v>
      </c>
      <c r="L123" s="137">
        <v>65.952380952380949</v>
      </c>
      <c r="M123" s="189">
        <v>20</v>
      </c>
      <c r="N123" s="104">
        <f t="shared" si="83"/>
        <v>1216.9655172413791</v>
      </c>
      <c r="O123" s="137">
        <f t="shared" si="84"/>
        <v>60.848275862068952</v>
      </c>
      <c r="P123" s="100">
        <f t="shared" si="79"/>
        <v>-1</v>
      </c>
      <c r="Q123" s="139">
        <f t="shared" si="80"/>
        <v>-5.1041050903119967</v>
      </c>
      <c r="R123" s="140">
        <f t="shared" si="81"/>
        <v>0.92260923689779639</v>
      </c>
      <c r="S123" s="620"/>
      <c r="T123" s="96">
        <v>0.5131944444444444</v>
      </c>
      <c r="U123" s="96">
        <v>0.57361111111111107</v>
      </c>
      <c r="V123" s="309">
        <v>7</v>
      </c>
      <c r="W123" s="88">
        <f>(U123-T123)*24*60</f>
        <v>87.000000000000014</v>
      </c>
      <c r="X123" s="99"/>
      <c r="Y123" s="99"/>
      <c r="Z123" s="100"/>
      <c r="AA123" s="100"/>
      <c r="AB123" s="601"/>
      <c r="AC123" s="601"/>
      <c r="AD123" s="101"/>
      <c r="AE123" s="101"/>
      <c r="AF123" s="92">
        <f t="shared" si="61"/>
        <v>-168.03448275862092</v>
      </c>
      <c r="AG123" s="94">
        <f t="shared" si="62"/>
        <v>0.87867546371218708</v>
      </c>
      <c r="AH123" s="620"/>
    </row>
    <row r="124" spans="1:34" ht="19.149999999999999" customHeight="1">
      <c r="A124" s="619"/>
      <c r="B124" s="192" t="s">
        <v>386</v>
      </c>
      <c r="C124" s="248"/>
      <c r="D124" s="249" t="s">
        <v>187</v>
      </c>
      <c r="E124" s="250"/>
      <c r="F124" s="85">
        <v>58.67</v>
      </c>
      <c r="G124" s="247">
        <v>1403</v>
      </c>
      <c r="H124" s="87">
        <f t="shared" si="82"/>
        <v>82314.010000000009</v>
      </c>
      <c r="I124" s="320"/>
      <c r="J124" s="138">
        <v>19</v>
      </c>
      <c r="K124" s="104">
        <v>1440</v>
      </c>
      <c r="L124" s="137">
        <v>75.78947368421052</v>
      </c>
      <c r="M124" s="91">
        <v>20</v>
      </c>
      <c r="N124" s="247">
        <f t="shared" si="83"/>
        <v>1275.4545454545469</v>
      </c>
      <c r="O124" s="319">
        <f t="shared" si="84"/>
        <v>63.772727272727344</v>
      </c>
      <c r="P124" s="165">
        <f t="shared" si="79"/>
        <v>1</v>
      </c>
      <c r="Q124" s="255">
        <f t="shared" si="80"/>
        <v>-12.016746411483176</v>
      </c>
      <c r="R124" s="166">
        <f t="shared" si="81"/>
        <v>0.84144570707070809</v>
      </c>
      <c r="S124" s="621"/>
      <c r="T124" s="96">
        <v>0.57916666666666661</v>
      </c>
      <c r="U124" s="96">
        <v>0.62499999999999989</v>
      </c>
      <c r="V124" s="309">
        <v>8</v>
      </c>
      <c r="W124" s="322">
        <f>(U124-T124)*24*60</f>
        <v>65.999999999999929</v>
      </c>
      <c r="X124" s="264"/>
      <c r="Y124" s="264"/>
      <c r="Z124" s="100"/>
      <c r="AA124" s="100"/>
      <c r="AB124" s="601"/>
      <c r="AC124" s="601"/>
      <c r="AD124" s="101"/>
      <c r="AE124" s="101"/>
      <c r="AF124" s="165">
        <f t="shared" si="61"/>
        <v>-164.54545454545314</v>
      </c>
      <c r="AG124" s="166">
        <f t="shared" si="62"/>
        <v>0.8857323232323242</v>
      </c>
      <c r="AH124" s="620"/>
    </row>
    <row r="125" spans="1:34" ht="19.149999999999999" customHeight="1">
      <c r="A125" s="619"/>
      <c r="B125" s="192" t="s">
        <v>390</v>
      </c>
      <c r="C125" s="152"/>
      <c r="D125" s="83" t="s">
        <v>188</v>
      </c>
      <c r="E125" s="84"/>
      <c r="F125" s="85">
        <v>56.79</v>
      </c>
      <c r="G125" s="86">
        <v>1116</v>
      </c>
      <c r="H125" s="87">
        <f t="shared" si="82"/>
        <v>63377.64</v>
      </c>
      <c r="I125" s="65"/>
      <c r="J125" s="138">
        <v>18</v>
      </c>
      <c r="K125" s="104">
        <v>1636</v>
      </c>
      <c r="L125" s="137">
        <v>90.888888888888886</v>
      </c>
      <c r="M125" s="91">
        <v>18</v>
      </c>
      <c r="N125" s="104">
        <f t="shared" si="83"/>
        <v>1287.6923076923085</v>
      </c>
      <c r="O125" s="137">
        <f t="shared" si="84"/>
        <v>71.53846153846159</v>
      </c>
      <c r="P125" s="100">
        <f t="shared" si="79"/>
        <v>0</v>
      </c>
      <c r="Q125" s="139">
        <f t="shared" si="80"/>
        <v>-19.350427350427296</v>
      </c>
      <c r="R125" s="140">
        <f t="shared" si="81"/>
        <v>0.78709798758698568</v>
      </c>
      <c r="S125" s="621"/>
      <c r="T125" s="96">
        <v>0.70833333333333337</v>
      </c>
      <c r="U125" s="96">
        <v>0.74444444444444446</v>
      </c>
      <c r="V125" s="309">
        <v>5</v>
      </c>
      <c r="W125" s="322">
        <f t="shared" ref="W125:W133" si="85">(U125-T125)*24*60</f>
        <v>51.999999999999972</v>
      </c>
      <c r="X125" s="112"/>
      <c r="Y125" s="112"/>
      <c r="Z125" s="100"/>
      <c r="AA125" s="100"/>
      <c r="AB125" s="601"/>
      <c r="AC125" s="601"/>
      <c r="AD125" s="101"/>
      <c r="AE125" s="101"/>
      <c r="AF125" s="92">
        <f t="shared" si="61"/>
        <v>-348.30769230769147</v>
      </c>
      <c r="AG125" s="94">
        <f t="shared" si="62"/>
        <v>0.78709798758698568</v>
      </c>
      <c r="AH125" s="623"/>
    </row>
    <row r="126" spans="1:34" ht="19.149999999999999" customHeight="1">
      <c r="A126" s="619"/>
      <c r="B126" s="192" t="s">
        <v>390</v>
      </c>
      <c r="C126" s="101"/>
      <c r="D126" s="83" t="s">
        <v>189</v>
      </c>
      <c r="E126" s="250"/>
      <c r="F126" s="85">
        <v>56.87</v>
      </c>
      <c r="G126" s="104">
        <v>851</v>
      </c>
      <c r="H126" s="87">
        <f t="shared" si="82"/>
        <v>48396.369999999995</v>
      </c>
      <c r="I126" s="101"/>
      <c r="J126" s="138">
        <v>18</v>
      </c>
      <c r="K126" s="104">
        <v>1636</v>
      </c>
      <c r="L126" s="137">
        <v>90.888888888888886</v>
      </c>
      <c r="M126" s="189">
        <v>18</v>
      </c>
      <c r="N126" s="104">
        <f t="shared" si="83"/>
        <v>1245.3658536585363</v>
      </c>
      <c r="O126" s="137">
        <f t="shared" si="84"/>
        <v>69.186991869918685</v>
      </c>
      <c r="P126" s="100">
        <f t="shared" si="79"/>
        <v>0</v>
      </c>
      <c r="Q126" s="139">
        <f t="shared" si="80"/>
        <v>-21.7018970189702</v>
      </c>
      <c r="R126" s="140">
        <f t="shared" si="81"/>
        <v>0.76122607191842073</v>
      </c>
      <c r="S126" s="621"/>
      <c r="T126" s="96">
        <v>0.75</v>
      </c>
      <c r="U126" s="96">
        <v>0.77847222222222223</v>
      </c>
      <c r="V126" s="309">
        <v>8</v>
      </c>
      <c r="W126" s="322">
        <f t="shared" si="85"/>
        <v>41.000000000000014</v>
      </c>
      <c r="X126" s="112"/>
      <c r="Y126" s="112"/>
      <c r="Z126" s="100"/>
      <c r="AA126" s="100"/>
      <c r="AB126" s="601"/>
      <c r="AC126" s="601"/>
      <c r="AD126" s="101"/>
      <c r="AE126" s="101"/>
      <c r="AF126" s="165">
        <f t="shared" si="61"/>
        <v>-390.63414634146375</v>
      </c>
      <c r="AG126" s="166">
        <f t="shared" si="62"/>
        <v>0.76122607191842073</v>
      </c>
      <c r="AH126" s="623"/>
    </row>
    <row r="127" spans="1:34" ht="19.149999999999999" customHeight="1">
      <c r="A127" s="619"/>
      <c r="B127" s="192" t="s">
        <v>390</v>
      </c>
      <c r="C127" s="303"/>
      <c r="D127" s="132" t="s">
        <v>190</v>
      </c>
      <c r="E127" s="133"/>
      <c r="F127" s="85">
        <v>54.09</v>
      </c>
      <c r="G127" s="288">
        <v>1490</v>
      </c>
      <c r="H127" s="87">
        <f t="shared" si="82"/>
        <v>80594.100000000006</v>
      </c>
      <c r="I127" s="301"/>
      <c r="J127" s="138">
        <v>16</v>
      </c>
      <c r="K127" s="104">
        <v>1565</v>
      </c>
      <c r="L127" s="137">
        <v>97.8125</v>
      </c>
      <c r="M127" s="91">
        <v>17</v>
      </c>
      <c r="N127" s="247">
        <f t="shared" si="83"/>
        <v>1277.1428571428557</v>
      </c>
      <c r="O127" s="319">
        <f t="shared" si="84"/>
        <v>75.126050420167985</v>
      </c>
      <c r="P127" s="165">
        <f t="shared" si="79"/>
        <v>1</v>
      </c>
      <c r="Q127" s="255">
        <f t="shared" si="80"/>
        <v>-22.686449579832015</v>
      </c>
      <c r="R127" s="166">
        <f t="shared" si="81"/>
        <v>0.76806185733079091</v>
      </c>
      <c r="S127" s="621"/>
      <c r="T127" s="96">
        <v>0.78333333333333333</v>
      </c>
      <c r="U127" s="96">
        <v>0.83194444444444449</v>
      </c>
      <c r="V127" s="65">
        <v>7</v>
      </c>
      <c r="W127" s="322">
        <f t="shared" si="85"/>
        <v>70.000000000000071</v>
      </c>
      <c r="X127" s="112"/>
      <c r="Y127" s="112"/>
      <c r="Z127" s="100"/>
      <c r="AA127" s="100"/>
      <c r="AB127" s="601"/>
      <c r="AC127" s="601"/>
      <c r="AD127" s="101"/>
      <c r="AE127" s="101"/>
      <c r="AF127" s="165">
        <f t="shared" si="61"/>
        <v>-287.85714285714425</v>
      </c>
      <c r="AG127" s="166">
        <f t="shared" si="62"/>
        <v>0.81606572341396533</v>
      </c>
      <c r="AH127" s="623"/>
    </row>
    <row r="128" spans="1:34" ht="19.149999999999999" customHeight="1">
      <c r="A128" s="619"/>
      <c r="B128" s="192" t="s">
        <v>390</v>
      </c>
      <c r="C128" s="226"/>
      <c r="D128" s="106" t="s">
        <v>191</v>
      </c>
      <c r="E128" s="133"/>
      <c r="F128" s="85">
        <v>50.67</v>
      </c>
      <c r="G128" s="104">
        <v>476</v>
      </c>
      <c r="H128" s="87">
        <f t="shared" si="82"/>
        <v>24118.920000000002</v>
      </c>
      <c r="I128" s="101"/>
      <c r="J128" s="138">
        <v>18</v>
      </c>
      <c r="K128" s="104">
        <v>1440</v>
      </c>
      <c r="L128" s="137">
        <v>80</v>
      </c>
      <c r="M128" s="138">
        <v>18</v>
      </c>
      <c r="N128" s="104">
        <f t="shared" si="83"/>
        <v>1098.4615384615356</v>
      </c>
      <c r="O128" s="137">
        <f t="shared" si="84"/>
        <v>61.025641025640866</v>
      </c>
      <c r="P128" s="100">
        <f t="shared" si="79"/>
        <v>0</v>
      </c>
      <c r="Q128" s="139">
        <f t="shared" si="80"/>
        <v>-18.974358974359134</v>
      </c>
      <c r="R128" s="140">
        <f t="shared" si="81"/>
        <v>0.76282051282051078</v>
      </c>
      <c r="S128" s="621"/>
      <c r="T128" s="96">
        <v>0.84791666666666665</v>
      </c>
      <c r="U128" s="96">
        <v>0.86597222222222225</v>
      </c>
      <c r="V128" s="65">
        <v>23</v>
      </c>
      <c r="W128" s="322">
        <f t="shared" si="85"/>
        <v>26.000000000000068</v>
      </c>
      <c r="X128" s="112">
        <v>0.8354166666666667</v>
      </c>
      <c r="Y128" s="112">
        <v>0.84513888888888899</v>
      </c>
      <c r="Z128" s="100"/>
      <c r="AA128" s="100"/>
      <c r="AB128" s="601"/>
      <c r="AC128" s="601"/>
      <c r="AD128" s="101"/>
      <c r="AE128" s="101"/>
      <c r="AF128" s="165">
        <f t="shared" si="61"/>
        <v>-341.53846153846439</v>
      </c>
      <c r="AG128" s="166">
        <f t="shared" si="62"/>
        <v>0.76282051282051089</v>
      </c>
      <c r="AH128" s="623"/>
    </row>
    <row r="129" spans="1:34" ht="19.149999999999999" customHeight="1">
      <c r="A129" s="619"/>
      <c r="B129" s="192" t="s">
        <v>390</v>
      </c>
      <c r="C129" s="226"/>
      <c r="D129" s="106" t="s">
        <v>192</v>
      </c>
      <c r="E129" s="107"/>
      <c r="F129" s="85">
        <v>47.6</v>
      </c>
      <c r="G129" s="104">
        <v>1191</v>
      </c>
      <c r="H129" s="87">
        <f t="shared" si="82"/>
        <v>56691.6</v>
      </c>
      <c r="I129" s="101"/>
      <c r="J129" s="138">
        <v>19</v>
      </c>
      <c r="K129" s="104">
        <v>1440</v>
      </c>
      <c r="L129" s="137">
        <v>75.78947368421052</v>
      </c>
      <c r="M129" s="189">
        <v>18</v>
      </c>
      <c r="N129" s="247">
        <f t="shared" si="83"/>
        <v>1299.2727272727282</v>
      </c>
      <c r="O129" s="319">
        <f t="shared" si="84"/>
        <v>72.18181818181823</v>
      </c>
      <c r="P129" s="165">
        <f t="shared" si="79"/>
        <v>-1</v>
      </c>
      <c r="Q129" s="255">
        <f t="shared" si="80"/>
        <v>-3.6076555023922907</v>
      </c>
      <c r="R129" s="166">
        <f t="shared" si="81"/>
        <v>0.95239898989899063</v>
      </c>
      <c r="S129" s="621"/>
      <c r="T129" s="96">
        <v>0.87083333333333335</v>
      </c>
      <c r="U129" s="96">
        <v>0.90902777777777777</v>
      </c>
      <c r="V129" s="65">
        <v>7</v>
      </c>
      <c r="W129" s="322">
        <f t="shared" si="85"/>
        <v>54.999999999999964</v>
      </c>
      <c r="X129" s="112"/>
      <c r="Y129" s="112"/>
      <c r="Z129" s="100"/>
      <c r="AA129" s="100"/>
      <c r="AB129" s="601"/>
      <c r="AC129" s="601"/>
      <c r="AD129" s="101"/>
      <c r="AE129" s="101"/>
      <c r="AF129" s="165"/>
      <c r="AG129" s="166"/>
      <c r="AH129" s="623"/>
    </row>
    <row r="130" spans="1:34" ht="19.149999999999999" customHeight="1">
      <c r="A130" s="619"/>
      <c r="B130" s="278" t="s">
        <v>390</v>
      </c>
      <c r="C130" s="226"/>
      <c r="D130" s="106" t="s">
        <v>193</v>
      </c>
      <c r="E130" s="107"/>
      <c r="F130" s="85">
        <v>57.3</v>
      </c>
      <c r="G130" s="104">
        <v>916</v>
      </c>
      <c r="H130" s="87">
        <f t="shared" si="82"/>
        <v>52486.799999999996</v>
      </c>
      <c r="I130" s="101"/>
      <c r="J130" s="138">
        <v>17</v>
      </c>
      <c r="K130" s="104">
        <v>1385</v>
      </c>
      <c r="L130" s="137">
        <v>81.470588235294116</v>
      </c>
      <c r="M130" s="189">
        <v>18</v>
      </c>
      <c r="N130" s="104">
        <f t="shared" si="83"/>
        <v>1169.3617021276598</v>
      </c>
      <c r="O130" s="137">
        <f t="shared" si="84"/>
        <v>64.964539007092213</v>
      </c>
      <c r="P130" s="100">
        <f t="shared" si="79"/>
        <v>1</v>
      </c>
      <c r="Q130" s="139">
        <f t="shared" si="80"/>
        <v>-16.506049228201903</v>
      </c>
      <c r="R130" s="140">
        <f t="shared" si="81"/>
        <v>0.79739867373326179</v>
      </c>
      <c r="S130" s="621"/>
      <c r="T130" s="96">
        <v>0.9145833333333333</v>
      </c>
      <c r="U130" s="96">
        <v>0.94722222222222219</v>
      </c>
      <c r="V130" s="65">
        <v>8</v>
      </c>
      <c r="W130" s="322">
        <f t="shared" si="85"/>
        <v>46.999999999999993</v>
      </c>
      <c r="X130" s="112"/>
      <c r="Y130" s="112"/>
      <c r="Z130" s="100"/>
      <c r="AA130" s="100"/>
      <c r="AB130" s="601"/>
      <c r="AC130" s="601"/>
      <c r="AD130" s="101"/>
      <c r="AE130" s="101"/>
      <c r="AF130" s="113"/>
      <c r="AG130" s="114"/>
      <c r="AH130" s="623"/>
    </row>
    <row r="131" spans="1:34" ht="19.149999999999999" customHeight="1">
      <c r="A131" s="619"/>
      <c r="B131" s="278" t="s">
        <v>390</v>
      </c>
      <c r="C131" s="226"/>
      <c r="D131" s="106" t="s">
        <v>194</v>
      </c>
      <c r="E131" s="133"/>
      <c r="F131" s="85">
        <v>50.67</v>
      </c>
      <c r="G131" s="288">
        <v>795</v>
      </c>
      <c r="H131" s="87">
        <f t="shared" si="82"/>
        <v>40282.65</v>
      </c>
      <c r="I131" s="301"/>
      <c r="J131" s="138">
        <v>19</v>
      </c>
      <c r="K131" s="104">
        <v>1636</v>
      </c>
      <c r="L131" s="137">
        <v>86.10526315789474</v>
      </c>
      <c r="M131" s="138">
        <v>18</v>
      </c>
      <c r="N131" s="247">
        <f t="shared" si="83"/>
        <v>1289.1891891891883</v>
      </c>
      <c r="O131" s="319">
        <f t="shared" si="84"/>
        <v>71.621621621621571</v>
      </c>
      <c r="P131" s="165">
        <f t="shared" si="79"/>
        <v>-1</v>
      </c>
      <c r="Q131" s="255">
        <f t="shared" si="80"/>
        <v>-14.483641536273169</v>
      </c>
      <c r="R131" s="166">
        <f t="shared" si="81"/>
        <v>0.83179144915086178</v>
      </c>
      <c r="S131" s="621"/>
      <c r="T131" s="96">
        <v>0.95208333333333328</v>
      </c>
      <c r="U131" s="96">
        <v>0.97777777777777775</v>
      </c>
      <c r="V131" s="65">
        <v>7</v>
      </c>
      <c r="W131" s="322">
        <f t="shared" si="85"/>
        <v>37.000000000000028</v>
      </c>
      <c r="X131" s="112"/>
      <c r="Y131" s="112"/>
      <c r="Z131" s="100"/>
      <c r="AA131" s="100"/>
      <c r="AB131" s="601"/>
      <c r="AC131" s="601"/>
      <c r="AD131" s="101"/>
      <c r="AE131" s="101"/>
      <c r="AF131" s="113"/>
      <c r="AG131" s="114"/>
      <c r="AH131" s="623"/>
    </row>
    <row r="132" spans="1:34" ht="19.149999999999999" customHeight="1">
      <c r="A132" s="619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2"/>
        <v>0</v>
      </c>
      <c r="I132" s="101"/>
      <c r="J132" s="138"/>
      <c r="K132" s="104"/>
      <c r="L132" s="137"/>
      <c r="M132" s="189"/>
      <c r="N132" s="104"/>
      <c r="O132" s="137"/>
      <c r="P132" s="100"/>
      <c r="Q132" s="139"/>
      <c r="R132" s="140"/>
      <c r="S132" s="621"/>
      <c r="T132" s="96"/>
      <c r="U132" s="96"/>
      <c r="V132" s="65"/>
      <c r="W132" s="322">
        <f t="shared" si="85"/>
        <v>0</v>
      </c>
      <c r="X132" s="112"/>
      <c r="Y132" s="112"/>
      <c r="Z132" s="100"/>
      <c r="AA132" s="100"/>
      <c r="AB132" s="601"/>
      <c r="AC132" s="601"/>
      <c r="AD132" s="101"/>
      <c r="AE132" s="101"/>
      <c r="AF132" s="113"/>
      <c r="AG132" s="114"/>
      <c r="AH132" s="623"/>
    </row>
    <row r="133" spans="1:34" ht="19.149999999999999" customHeight="1">
      <c r="A133" s="619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101"/>
      <c r="J133" s="138"/>
      <c r="K133" s="104"/>
      <c r="L133" s="137"/>
      <c r="M133" s="189"/>
      <c r="N133" s="104"/>
      <c r="O133" s="137"/>
      <c r="P133" s="100"/>
      <c r="Q133" s="139"/>
      <c r="R133" s="140"/>
      <c r="S133" s="621"/>
      <c r="T133" s="96"/>
      <c r="U133" s="96"/>
      <c r="V133" s="65"/>
      <c r="W133" s="322">
        <f t="shared" si="85"/>
        <v>0</v>
      </c>
      <c r="X133" s="112"/>
      <c r="Y133" s="112"/>
      <c r="Z133" s="100"/>
      <c r="AA133" s="100"/>
      <c r="AB133" s="601"/>
      <c r="AC133" s="601"/>
      <c r="AD133" s="101"/>
      <c r="AE133" s="101"/>
      <c r="AF133" s="113"/>
      <c r="AG133" s="114"/>
      <c r="AH133" s="623"/>
    </row>
    <row r="134" spans="1:34" ht="19.149999999999999" customHeight="1">
      <c r="A134" s="619"/>
      <c r="B134" s="240">
        <v>0</v>
      </c>
      <c r="C134" s="156" t="s">
        <v>36</v>
      </c>
      <c r="D134" s="602" t="s">
        <v>75</v>
      </c>
      <c r="E134" s="602"/>
      <c r="F134" s="258"/>
      <c r="G134" s="158"/>
      <c r="H134" s="159"/>
      <c r="I134" s="325"/>
      <c r="J134" s="326">
        <v>18.3</v>
      </c>
      <c r="K134" s="326">
        <v>1500.3</v>
      </c>
      <c r="L134" s="327">
        <v>82.46974574917688</v>
      </c>
      <c r="M134" s="326">
        <f t="shared" ref="M134:O134" si="86">AVERAGE(M122:M133)</f>
        <v>18.399999999999999</v>
      </c>
      <c r="N134" s="326">
        <f t="shared" si="86"/>
        <v>1226.8906238240743</v>
      </c>
      <c r="O134" s="327">
        <f t="shared" si="86"/>
        <v>66.868717943109658</v>
      </c>
      <c r="P134" s="97">
        <f t="shared" ref="P134:P141" si="87">M134-J134</f>
        <v>9.9999999999997868E-2</v>
      </c>
      <c r="Q134" s="205">
        <f t="shared" ref="Q134:Q141" si="88">O134-L134</f>
        <v>-15.601027806067222</v>
      </c>
      <c r="R134" s="328">
        <f t="shared" ref="R134:R141" si="89">O134/L134</f>
        <v>0.81082725956842261</v>
      </c>
      <c r="S134" s="620"/>
      <c r="T134" s="96"/>
      <c r="U134" s="96"/>
      <c r="V134" s="65"/>
      <c r="W134" s="65"/>
      <c r="X134" s="99"/>
      <c r="Y134" s="99"/>
      <c r="Z134" s="163">
        <f>SUM(Z122:Z133)</f>
        <v>0</v>
      </c>
      <c r="AA134" s="163">
        <f>SUM(AA122:AA133)</f>
        <v>0</v>
      </c>
      <c r="AB134" s="601"/>
      <c r="AC134" s="601"/>
      <c r="AD134" s="164">
        <f>SUM(AD122:AD133)</f>
        <v>0</v>
      </c>
      <c r="AE134" s="164">
        <f>SUM(AE122:AE133)</f>
        <v>0</v>
      </c>
      <c r="AF134" s="92">
        <f t="shared" si="61"/>
        <v>-273.40937617592567</v>
      </c>
      <c r="AG134" s="94">
        <f t="shared" si="62"/>
        <v>0.81776352984341416</v>
      </c>
      <c r="AH134" s="623"/>
    </row>
    <row r="135" spans="1:34" ht="19.149999999999999" customHeight="1">
      <c r="A135" s="612" t="s">
        <v>195</v>
      </c>
      <c r="B135" s="65" t="s">
        <v>390</v>
      </c>
      <c r="C135" s="101"/>
      <c r="D135" s="132" t="s">
        <v>196</v>
      </c>
      <c r="E135" s="133"/>
      <c r="F135" s="85">
        <v>50.67</v>
      </c>
      <c r="G135" s="104">
        <v>776</v>
      </c>
      <c r="H135" s="329">
        <f t="shared" ref="H135:H146" si="90">F135*G135</f>
        <v>39319.919999999998</v>
      </c>
      <c r="I135" s="101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91">G135/W135*60</f>
        <v>1258.3783783783774</v>
      </c>
      <c r="O135" s="174">
        <f t="shared" ref="O135:O141" si="92">N135/M135</f>
        <v>74.022257551669256</v>
      </c>
      <c r="P135" s="100">
        <f t="shared" si="87"/>
        <v>0</v>
      </c>
      <c r="Q135" s="139">
        <f t="shared" si="88"/>
        <v>-14.213036565977802</v>
      </c>
      <c r="R135" s="140">
        <f t="shared" si="89"/>
        <v>0.83891891891891823</v>
      </c>
      <c r="S135" s="616">
        <f>R147</f>
        <v>0.8726263239961054</v>
      </c>
      <c r="T135" s="330">
        <v>0.70833333333333337</v>
      </c>
      <c r="U135" s="96">
        <v>0.73402777777777783</v>
      </c>
      <c r="V135" s="208">
        <v>5</v>
      </c>
      <c r="W135" s="331">
        <f t="shared" ref="W135:W147" si="93">(U135-T135)*24*60</f>
        <v>37.000000000000028</v>
      </c>
      <c r="X135" s="230"/>
      <c r="Y135" s="230"/>
      <c r="Z135" s="100"/>
      <c r="AA135" s="100"/>
      <c r="AB135" s="601"/>
      <c r="AC135" s="601"/>
      <c r="AD135" s="101"/>
      <c r="AE135" s="101"/>
      <c r="AF135" s="175">
        <f t="shared" si="61"/>
        <v>-241.62162162162258</v>
      </c>
      <c r="AG135" s="180">
        <f t="shared" si="62"/>
        <v>0.83891891891891823</v>
      </c>
      <c r="AH135" s="605">
        <f>AG147</f>
        <v>0.87722967063963109</v>
      </c>
    </row>
    <row r="136" spans="1:34" ht="19.149999999999999" customHeight="1">
      <c r="A136" s="613"/>
      <c r="B136" s="65" t="s">
        <v>390</v>
      </c>
      <c r="C136" s="101"/>
      <c r="D136" s="132" t="s">
        <v>197</v>
      </c>
      <c r="E136" s="332"/>
      <c r="F136" s="85">
        <v>50.98</v>
      </c>
      <c r="G136" s="104">
        <v>1557</v>
      </c>
      <c r="H136" s="135">
        <f t="shared" si="90"/>
        <v>79375.86</v>
      </c>
      <c r="I136" s="101"/>
      <c r="J136" s="89">
        <v>18</v>
      </c>
      <c r="K136" s="104">
        <v>1440</v>
      </c>
      <c r="L136" s="137">
        <v>80</v>
      </c>
      <c r="M136" s="189">
        <v>19</v>
      </c>
      <c r="N136" s="104">
        <f t="shared" si="91"/>
        <v>1297.4999999999989</v>
      </c>
      <c r="O136" s="137">
        <f t="shared" si="92"/>
        <v>68.289473684210463</v>
      </c>
      <c r="P136" s="100">
        <f t="shared" si="87"/>
        <v>1</v>
      </c>
      <c r="Q136" s="139">
        <f t="shared" si="88"/>
        <v>-11.710526315789537</v>
      </c>
      <c r="R136" s="140">
        <f t="shared" si="89"/>
        <v>0.85361842105263075</v>
      </c>
      <c r="S136" s="616"/>
      <c r="T136" s="330">
        <v>0.73888888888888893</v>
      </c>
      <c r="U136" s="96">
        <v>0.78888888888888897</v>
      </c>
      <c r="V136" s="208">
        <v>7</v>
      </c>
      <c r="W136" s="88">
        <f t="shared" si="93"/>
        <v>72.000000000000057</v>
      </c>
      <c r="X136" s="99"/>
      <c r="Y136" s="99"/>
      <c r="Z136" s="100"/>
      <c r="AA136" s="100"/>
      <c r="AB136" s="601"/>
      <c r="AC136" s="601"/>
      <c r="AD136" s="101"/>
      <c r="AE136" s="101"/>
      <c r="AF136" s="92">
        <f t="shared" si="61"/>
        <v>-142.50000000000114</v>
      </c>
      <c r="AG136" s="186">
        <f t="shared" si="62"/>
        <v>0.90104166666666585</v>
      </c>
      <c r="AH136" s="605"/>
    </row>
    <row r="137" spans="1:34" ht="19.149999999999999" customHeight="1">
      <c r="A137" s="613"/>
      <c r="B137" s="65" t="s">
        <v>390</v>
      </c>
      <c r="C137" s="101"/>
      <c r="D137" s="132" t="s">
        <v>198</v>
      </c>
      <c r="E137" s="133"/>
      <c r="F137" s="85">
        <v>54.09</v>
      </c>
      <c r="G137" s="288">
        <v>866</v>
      </c>
      <c r="H137" s="135">
        <f t="shared" si="90"/>
        <v>46841.94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91"/>
        <v>1298.9999999999995</v>
      </c>
      <c r="O137" s="137">
        <f t="shared" si="92"/>
        <v>72.166666666666643</v>
      </c>
      <c r="P137" s="100">
        <f t="shared" si="87"/>
        <v>-1</v>
      </c>
      <c r="Q137" s="139">
        <f t="shared" si="88"/>
        <v>-6.7807017543859871</v>
      </c>
      <c r="R137" s="140">
        <f t="shared" si="89"/>
        <v>0.91411111111111087</v>
      </c>
      <c r="S137" s="616"/>
      <c r="T137" s="96">
        <v>0.79375000000000007</v>
      </c>
      <c r="U137" s="96">
        <v>0.82152777777777786</v>
      </c>
      <c r="V137" s="333">
        <v>7</v>
      </c>
      <c r="W137" s="88">
        <f t="shared" si="93"/>
        <v>40.000000000000014</v>
      </c>
      <c r="X137" s="99"/>
      <c r="Y137" s="99"/>
      <c r="Z137" s="100"/>
      <c r="AA137" s="100"/>
      <c r="AB137" s="601"/>
      <c r="AC137" s="601"/>
      <c r="AD137" s="101"/>
      <c r="AE137" s="101"/>
      <c r="AF137" s="92">
        <f t="shared" si="61"/>
        <v>-201.00000000000045</v>
      </c>
      <c r="AG137" s="186">
        <f t="shared" si="62"/>
        <v>0.86599999999999966</v>
      </c>
      <c r="AH137" s="605"/>
    </row>
    <row r="138" spans="1:34" ht="19.149999999999999" customHeight="1">
      <c r="A138" s="613"/>
      <c r="B138" s="65" t="s">
        <v>390</v>
      </c>
      <c r="C138" s="303"/>
      <c r="D138" s="132" t="s">
        <v>199</v>
      </c>
      <c r="E138" s="133"/>
      <c r="F138" s="85">
        <v>50.92</v>
      </c>
      <c r="G138" s="104">
        <v>1856</v>
      </c>
      <c r="H138" s="135">
        <f t="shared" si="90"/>
        <v>94507.520000000004</v>
      </c>
      <c r="I138" s="101"/>
      <c r="J138" s="138">
        <v>17</v>
      </c>
      <c r="K138" s="104">
        <v>1440</v>
      </c>
      <c r="L138" s="137">
        <v>84.705882352941174</v>
      </c>
      <c r="M138" s="310">
        <v>16</v>
      </c>
      <c r="N138" s="104">
        <f t="shared" si="91"/>
        <v>1310.1176470588234</v>
      </c>
      <c r="O138" s="137">
        <f t="shared" si="92"/>
        <v>81.882352941176464</v>
      </c>
      <c r="P138" s="100">
        <f t="shared" si="87"/>
        <v>-1</v>
      </c>
      <c r="Q138" s="139">
        <f t="shared" si="88"/>
        <v>-2.8235294117647101</v>
      </c>
      <c r="R138" s="257">
        <f t="shared" si="89"/>
        <v>0.96666666666666656</v>
      </c>
      <c r="S138" s="616"/>
      <c r="T138" s="96">
        <v>0.83680555555555558</v>
      </c>
      <c r="U138" s="96">
        <v>0.89583333333333337</v>
      </c>
      <c r="V138" s="333">
        <v>22</v>
      </c>
      <c r="W138" s="88">
        <f t="shared" si="93"/>
        <v>85.000000000000014</v>
      </c>
      <c r="X138" s="99">
        <v>0.82500000000000007</v>
      </c>
      <c r="Y138" s="99">
        <v>0.8340277777777777</v>
      </c>
      <c r="Z138" s="100"/>
      <c r="AA138" s="100"/>
      <c r="AB138" s="601"/>
      <c r="AC138" s="601"/>
      <c r="AD138" s="101"/>
      <c r="AE138" s="101"/>
      <c r="AF138" s="92">
        <f t="shared" si="61"/>
        <v>-129.88235294117658</v>
      </c>
      <c r="AG138" s="186">
        <f t="shared" si="62"/>
        <v>0.90980392156862733</v>
      </c>
      <c r="AH138" s="605"/>
    </row>
    <row r="139" spans="1:34" ht="19.149999999999999" customHeight="1">
      <c r="A139" s="613"/>
      <c r="B139" s="65" t="s">
        <v>390</v>
      </c>
      <c r="C139" s="147"/>
      <c r="D139" s="83" t="s">
        <v>200</v>
      </c>
      <c r="E139" s="84"/>
      <c r="F139" s="85">
        <v>50.29</v>
      </c>
      <c r="G139" s="104">
        <v>676</v>
      </c>
      <c r="H139" s="135">
        <f t="shared" si="90"/>
        <v>33996.04</v>
      </c>
      <c r="I139" s="101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91"/>
        <v>1229.0909090909076</v>
      </c>
      <c r="O139" s="137">
        <f t="shared" si="92"/>
        <v>68.282828282828206</v>
      </c>
      <c r="P139" s="100">
        <f t="shared" si="87"/>
        <v>0</v>
      </c>
      <c r="Q139" s="139">
        <f t="shared" si="88"/>
        <v>-11.717171717171794</v>
      </c>
      <c r="R139" s="140">
        <f t="shared" si="89"/>
        <v>0.85353535353535259</v>
      </c>
      <c r="S139" s="616"/>
      <c r="T139" s="96">
        <v>0.90069444444444446</v>
      </c>
      <c r="U139" s="96">
        <v>0.92361111111111116</v>
      </c>
      <c r="V139" s="334">
        <v>7</v>
      </c>
      <c r="W139" s="88">
        <f t="shared" si="93"/>
        <v>33.000000000000043</v>
      </c>
      <c r="X139" s="99"/>
      <c r="Y139" s="99"/>
      <c r="Z139" s="100"/>
      <c r="AA139" s="100"/>
      <c r="AB139" s="601"/>
      <c r="AC139" s="601"/>
      <c r="AD139" s="101"/>
      <c r="AE139" s="101"/>
      <c r="AF139" s="92">
        <f t="shared" si="61"/>
        <v>-210.90909090909236</v>
      </c>
      <c r="AG139" s="186">
        <f t="shared" si="62"/>
        <v>0.85353535353535248</v>
      </c>
      <c r="AH139" s="605"/>
    </row>
    <row r="140" spans="1:34" ht="19.149999999999999" customHeight="1">
      <c r="A140" s="614"/>
      <c r="B140" s="65" t="s">
        <v>390</v>
      </c>
      <c r="C140" s="147"/>
      <c r="D140" s="335" t="s">
        <v>201</v>
      </c>
      <c r="E140" s="133"/>
      <c r="F140" s="85">
        <v>50.67</v>
      </c>
      <c r="G140" s="104">
        <v>992</v>
      </c>
      <c r="H140" s="135">
        <f t="shared" si="90"/>
        <v>50264.639999999999</v>
      </c>
      <c r="I140" s="101"/>
      <c r="J140" s="89">
        <v>17</v>
      </c>
      <c r="K140" s="104">
        <v>1440</v>
      </c>
      <c r="L140" s="137">
        <v>84.705882352941174</v>
      </c>
      <c r="M140" s="310">
        <v>19</v>
      </c>
      <c r="N140" s="104">
        <f t="shared" si="91"/>
        <v>1266.3829787234044</v>
      </c>
      <c r="O140" s="137">
        <f t="shared" si="92"/>
        <v>66.651735722284442</v>
      </c>
      <c r="P140" s="100">
        <f t="shared" si="87"/>
        <v>2</v>
      </c>
      <c r="Q140" s="139">
        <f t="shared" si="88"/>
        <v>-18.054146630656732</v>
      </c>
      <c r="R140" s="140">
        <f t="shared" si="89"/>
        <v>0.78686076894363577</v>
      </c>
      <c r="S140" s="617"/>
      <c r="T140" s="111">
        <v>0.9291666666666667</v>
      </c>
      <c r="U140" s="336">
        <v>0.96180555555555558</v>
      </c>
      <c r="V140" s="337">
        <v>8</v>
      </c>
      <c r="W140" s="88">
        <f t="shared" si="93"/>
        <v>46.999999999999993</v>
      </c>
      <c r="X140" s="99"/>
      <c r="Y140" s="99"/>
      <c r="Z140" s="100"/>
      <c r="AA140" s="100"/>
      <c r="AB140" s="601"/>
      <c r="AC140" s="601"/>
      <c r="AD140" s="101"/>
      <c r="AE140" s="101"/>
      <c r="AF140" s="92">
        <f t="shared" si="61"/>
        <v>-173.61702127659555</v>
      </c>
      <c r="AG140" s="186">
        <f t="shared" si="62"/>
        <v>0.87943262411347534</v>
      </c>
      <c r="AH140" s="605"/>
    </row>
    <row r="141" spans="1:34" ht="19.149999999999999" customHeight="1">
      <c r="A141" s="614"/>
      <c r="B141" s="65" t="s">
        <v>390</v>
      </c>
      <c r="C141" s="147"/>
      <c r="D141" s="83" t="s">
        <v>202</v>
      </c>
      <c r="E141" s="338"/>
      <c r="F141" s="85">
        <v>50.49</v>
      </c>
      <c r="G141" s="104">
        <v>1180</v>
      </c>
      <c r="H141" s="135">
        <f t="shared" si="90"/>
        <v>59578.200000000004</v>
      </c>
      <c r="I141" s="101"/>
      <c r="J141" s="89">
        <v>15</v>
      </c>
      <c r="K141" s="86">
        <v>1440</v>
      </c>
      <c r="L141" s="90">
        <v>96</v>
      </c>
      <c r="M141" s="310">
        <v>15</v>
      </c>
      <c r="N141" s="104">
        <f t="shared" si="91"/>
        <v>1287.2727272727243</v>
      </c>
      <c r="O141" s="137">
        <f t="shared" si="92"/>
        <v>85.818181818181614</v>
      </c>
      <c r="P141" s="100">
        <f t="shared" si="87"/>
        <v>0</v>
      </c>
      <c r="Q141" s="139">
        <f t="shared" si="88"/>
        <v>-10.181818181818386</v>
      </c>
      <c r="R141" s="257">
        <f t="shared" si="89"/>
        <v>0.89393939393939181</v>
      </c>
      <c r="S141" s="617"/>
      <c r="T141" s="111">
        <v>0.96666666666666667</v>
      </c>
      <c r="U141" s="336">
        <v>1.0048611111111112</v>
      </c>
      <c r="V141" s="102">
        <v>7</v>
      </c>
      <c r="W141" s="88">
        <f t="shared" si="93"/>
        <v>55.000000000000128</v>
      </c>
      <c r="X141" s="99"/>
      <c r="Y141" s="99"/>
      <c r="Z141" s="100"/>
      <c r="AA141" s="100"/>
      <c r="AB141" s="601"/>
      <c r="AC141" s="601"/>
      <c r="AD141" s="101"/>
      <c r="AE141" s="101"/>
      <c r="AF141" s="92">
        <f t="shared" si="61"/>
        <v>-152.7272727272757</v>
      </c>
      <c r="AG141" s="186">
        <f t="shared" si="62"/>
        <v>0.89393939393939192</v>
      </c>
      <c r="AH141" s="605"/>
    </row>
    <row r="142" spans="1:34" ht="19.149999999999999" customHeight="1">
      <c r="A142" s="614"/>
      <c r="B142" s="65">
        <v>0</v>
      </c>
      <c r="C142" s="147"/>
      <c r="D142" s="83"/>
      <c r="E142" s="338"/>
      <c r="F142" s="85" t="s">
        <v>391</v>
      </c>
      <c r="G142" s="104"/>
      <c r="H142" s="135">
        <f t="shared" si="90"/>
        <v>0</v>
      </c>
      <c r="I142" s="101"/>
      <c r="J142" s="138"/>
      <c r="K142" s="104"/>
      <c r="L142" s="137"/>
      <c r="M142" s="310"/>
      <c r="N142" s="104"/>
      <c r="O142" s="137"/>
      <c r="P142" s="100"/>
      <c r="Q142" s="139"/>
      <c r="R142" s="140"/>
      <c r="S142" s="617"/>
      <c r="T142" s="111"/>
      <c r="U142" s="336"/>
      <c r="V142" s="102"/>
      <c r="W142" s="88"/>
      <c r="X142" s="99"/>
      <c r="Y142" s="99"/>
      <c r="Z142" s="100"/>
      <c r="AA142" s="100"/>
      <c r="AB142" s="601"/>
      <c r="AC142" s="601"/>
      <c r="AD142" s="101"/>
      <c r="AE142" s="101"/>
      <c r="AF142" s="92">
        <f t="shared" si="61"/>
        <v>0</v>
      </c>
      <c r="AG142" s="186" t="e">
        <f t="shared" si="62"/>
        <v>#DIV/0!</v>
      </c>
      <c r="AH142" s="605"/>
    </row>
    <row r="143" spans="1:34" ht="19.149999999999999" customHeight="1">
      <c r="A143" s="614"/>
      <c r="B143" s="65">
        <v>0</v>
      </c>
      <c r="C143" s="339"/>
      <c r="D143" s="132"/>
      <c r="E143" s="133"/>
      <c r="F143" s="85" t="s">
        <v>391</v>
      </c>
      <c r="G143" s="104"/>
      <c r="H143" s="135">
        <f t="shared" si="90"/>
        <v>0</v>
      </c>
      <c r="I143" s="101"/>
      <c r="J143" s="89"/>
      <c r="K143" s="86"/>
      <c r="L143" s="90"/>
      <c r="M143" s="310"/>
      <c r="N143" s="104"/>
      <c r="O143" s="137"/>
      <c r="P143" s="100"/>
      <c r="Q143" s="139"/>
      <c r="R143" s="140"/>
      <c r="S143" s="617"/>
      <c r="T143" s="111"/>
      <c r="U143" s="336"/>
      <c r="V143" s="102"/>
      <c r="W143" s="88"/>
      <c r="X143" s="99"/>
      <c r="Y143" s="99"/>
      <c r="Z143" s="100"/>
      <c r="AA143" s="100"/>
      <c r="AB143" s="601"/>
      <c r="AC143" s="601"/>
      <c r="AD143" s="101"/>
      <c r="AE143" s="101"/>
      <c r="AF143" s="92">
        <f t="shared" si="61"/>
        <v>0</v>
      </c>
      <c r="AG143" s="186" t="e">
        <f t="shared" si="62"/>
        <v>#DIV/0!</v>
      </c>
      <c r="AH143" s="605"/>
    </row>
    <row r="144" spans="1:34" ht="19.149999999999999" customHeight="1">
      <c r="A144" s="614"/>
      <c r="B144" s="65">
        <v>0</v>
      </c>
      <c r="C144" s="147"/>
      <c r="D144" s="83"/>
      <c r="E144" s="338"/>
      <c r="F144" s="85" t="s">
        <v>391</v>
      </c>
      <c r="G144" s="104"/>
      <c r="H144" s="135">
        <f t="shared" si="90"/>
        <v>0</v>
      </c>
      <c r="I144" s="101"/>
      <c r="J144" s="89"/>
      <c r="K144" s="104"/>
      <c r="L144" s="137"/>
      <c r="M144" s="189"/>
      <c r="N144" s="104"/>
      <c r="O144" s="137"/>
      <c r="P144" s="100"/>
      <c r="Q144" s="139"/>
      <c r="R144" s="257"/>
      <c r="S144" s="617"/>
      <c r="T144" s="111"/>
      <c r="U144" s="336"/>
      <c r="V144" s="102"/>
      <c r="W144" s="88"/>
      <c r="X144" s="99"/>
      <c r="Y144" s="99"/>
      <c r="Z144" s="100"/>
      <c r="AA144" s="100"/>
      <c r="AB144" s="601"/>
      <c r="AC144" s="601"/>
      <c r="AD144" s="101"/>
      <c r="AE144" s="101"/>
      <c r="AF144" s="92">
        <f t="shared" si="61"/>
        <v>0</v>
      </c>
      <c r="AG144" s="186" t="e">
        <f t="shared" si="62"/>
        <v>#DIV/0!</v>
      </c>
      <c r="AH144" s="605"/>
    </row>
    <row r="145" spans="1:34" ht="19.149999999999999" customHeight="1">
      <c r="A145" s="614"/>
      <c r="B145" s="65">
        <v>0</v>
      </c>
      <c r="C145" s="147"/>
      <c r="D145" s="83"/>
      <c r="E145" s="338"/>
      <c r="F145" s="85" t="s">
        <v>391</v>
      </c>
      <c r="G145" s="104"/>
      <c r="H145" s="135">
        <f t="shared" si="90"/>
        <v>0</v>
      </c>
      <c r="I145" s="101"/>
      <c r="J145" s="138"/>
      <c r="K145" s="104"/>
      <c r="L145" s="137"/>
      <c r="M145" s="189"/>
      <c r="N145" s="104"/>
      <c r="O145" s="137"/>
      <c r="P145" s="100"/>
      <c r="Q145" s="139"/>
      <c r="R145" s="140"/>
      <c r="S145" s="617"/>
      <c r="T145" s="111"/>
      <c r="U145" s="336"/>
      <c r="V145" s="102"/>
      <c r="W145" s="88">
        <f t="shared" si="93"/>
        <v>0</v>
      </c>
      <c r="X145" s="99"/>
      <c r="Y145" s="99"/>
      <c r="Z145" s="100"/>
      <c r="AA145" s="100"/>
      <c r="AB145" s="601"/>
      <c r="AC145" s="601"/>
      <c r="AD145" s="101"/>
      <c r="AE145" s="101"/>
      <c r="AF145" s="92">
        <f t="shared" si="61"/>
        <v>0</v>
      </c>
      <c r="AG145" s="186" t="e">
        <f t="shared" si="62"/>
        <v>#DIV/0!</v>
      </c>
      <c r="AH145" s="605"/>
    </row>
    <row r="146" spans="1:34" ht="19.149999999999999" customHeight="1">
      <c r="A146" s="614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90"/>
        <v>0</v>
      </c>
      <c r="I146" s="101"/>
      <c r="J146" s="138"/>
      <c r="K146" s="104"/>
      <c r="L146" s="137"/>
      <c r="M146" s="189"/>
      <c r="N146" s="104"/>
      <c r="O146" s="137"/>
      <c r="P146" s="100"/>
      <c r="Q146" s="139"/>
      <c r="R146" s="140"/>
      <c r="S146" s="617"/>
      <c r="T146" s="111"/>
      <c r="U146" s="336"/>
      <c r="V146" s="102"/>
      <c r="W146" s="88">
        <f t="shared" si="93"/>
        <v>0</v>
      </c>
      <c r="X146" s="99"/>
      <c r="Y146" s="99"/>
      <c r="Z146" s="100"/>
      <c r="AA146" s="100"/>
      <c r="AB146" s="601"/>
      <c r="AC146" s="601"/>
      <c r="AD146" s="101"/>
      <c r="AE146" s="101"/>
      <c r="AF146" s="100"/>
      <c r="AG146" s="140"/>
      <c r="AH146" s="605"/>
    </row>
    <row r="147" spans="1:34" ht="19.149999999999999" customHeight="1">
      <c r="A147" s="615"/>
      <c r="B147" s="341">
        <v>0</v>
      </c>
      <c r="C147" s="156" t="s">
        <v>37</v>
      </c>
      <c r="D147" s="602" t="s">
        <v>75</v>
      </c>
      <c r="E147" s="602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4">AVERAGE(M135:M146)</f>
        <v>17.428571428571427</v>
      </c>
      <c r="N147" s="326">
        <f t="shared" si="94"/>
        <v>1278.2489486463196</v>
      </c>
      <c r="O147" s="327">
        <f t="shared" si="94"/>
        <v>73.873356666716731</v>
      </c>
      <c r="P147" s="97">
        <f t="shared" ref="P147:P152" si="95">M147-J147</f>
        <v>0.14285714285714235</v>
      </c>
      <c r="Q147" s="205">
        <f t="shared" ref="Q147:Q152" si="96">O147-L147</f>
        <v>-10.782990082509272</v>
      </c>
      <c r="R147" s="343">
        <f t="shared" ref="R147:R152" si="97">O147/L147</f>
        <v>0.8726263239961054</v>
      </c>
      <c r="S147" s="618"/>
      <c r="T147" s="111"/>
      <c r="U147" s="111"/>
      <c r="V147" s="102"/>
      <c r="W147" s="88">
        <f t="shared" si="93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01"/>
      <c r="AC147" s="601"/>
      <c r="AD147" s="164">
        <f>SUM(AD135:AD146)</f>
        <v>0</v>
      </c>
      <c r="AE147" s="164">
        <f>SUM(AE135:AE146)</f>
        <v>0</v>
      </c>
      <c r="AF147" s="282">
        <f t="shared" si="61"/>
        <v>-178.89390849653751</v>
      </c>
      <c r="AG147" s="344">
        <f t="shared" si="62"/>
        <v>0.87722967063963109</v>
      </c>
      <c r="AH147" s="605"/>
    </row>
    <row r="148" spans="1:34" ht="19.149999999999999" customHeight="1">
      <c r="A148" s="608" t="s">
        <v>203</v>
      </c>
      <c r="B148" s="101" t="s">
        <v>390</v>
      </c>
      <c r="C148" s="182"/>
      <c r="D148" s="246" t="s">
        <v>204</v>
      </c>
      <c r="E148" s="84"/>
      <c r="F148" s="199">
        <v>57.3</v>
      </c>
      <c r="G148" s="104">
        <v>1207</v>
      </c>
      <c r="H148" s="135">
        <f t="shared" ref="H148:H172" si="98">F148*G148</f>
        <v>69161.099999999991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1293.2142857142867</v>
      </c>
      <c r="O148" s="90">
        <f>N148/M148</f>
        <v>71.845238095238145</v>
      </c>
      <c r="P148" s="92">
        <f t="shared" si="95"/>
        <v>-1</v>
      </c>
      <c r="Q148" s="93">
        <f t="shared" si="96"/>
        <v>-3.9442355889723757</v>
      </c>
      <c r="R148" s="94">
        <f t="shared" si="97"/>
        <v>0.94795800264550334</v>
      </c>
      <c r="S148" s="609">
        <f>R160</f>
        <v>0.85936522367278645</v>
      </c>
      <c r="T148" s="330">
        <v>0.70833333333333337</v>
      </c>
      <c r="U148" s="96">
        <v>0.74722222222222223</v>
      </c>
      <c r="V148" s="65">
        <v>5</v>
      </c>
      <c r="W148" s="88">
        <f>(U148-T148)*24*60</f>
        <v>55.999999999999957</v>
      </c>
      <c r="X148" s="99"/>
      <c r="Y148" s="99"/>
      <c r="Z148" s="100"/>
      <c r="AA148" s="100"/>
      <c r="AB148" s="601"/>
      <c r="AC148" s="601"/>
      <c r="AD148" s="101"/>
      <c r="AE148" s="101"/>
      <c r="AF148" s="92">
        <f t="shared" si="61"/>
        <v>-146.78571428571331</v>
      </c>
      <c r="AG148" s="186">
        <f t="shared" si="62"/>
        <v>0.89806547619047683</v>
      </c>
      <c r="AH148" s="605">
        <f>AG160</f>
        <v>0.86513176240655643</v>
      </c>
    </row>
    <row r="149" spans="1:34" ht="19.149999999999999" customHeight="1">
      <c r="A149" s="608"/>
      <c r="B149" s="101" t="s">
        <v>390</v>
      </c>
      <c r="C149" s="301"/>
      <c r="D149" s="335" t="s">
        <v>205</v>
      </c>
      <c r="E149" s="107"/>
      <c r="F149" s="199">
        <v>50.67</v>
      </c>
      <c r="G149" s="104">
        <v>721</v>
      </c>
      <c r="H149" s="135">
        <f t="shared" si="98"/>
        <v>36533.07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1272.3529411764689</v>
      </c>
      <c r="O149" s="90">
        <f>N149/M149</f>
        <v>74.844290657439345</v>
      </c>
      <c r="P149" s="92">
        <f t="shared" si="95"/>
        <v>1</v>
      </c>
      <c r="Q149" s="93">
        <f t="shared" si="96"/>
        <v>-15.155709342560655</v>
      </c>
      <c r="R149" s="94">
        <f t="shared" si="97"/>
        <v>0.83160322952710386</v>
      </c>
      <c r="S149" s="610"/>
      <c r="T149" s="330">
        <v>0.75208333333333333</v>
      </c>
      <c r="U149" s="96">
        <v>0.77569444444444446</v>
      </c>
      <c r="V149" s="65">
        <v>7</v>
      </c>
      <c r="W149" s="88">
        <f t="shared" ref="W149:W159" si="99">(U149-T149)*24*60</f>
        <v>34.000000000000043</v>
      </c>
      <c r="X149" s="99"/>
      <c r="Y149" s="99"/>
      <c r="Z149" s="100"/>
      <c r="AA149" s="100"/>
      <c r="AB149" s="601"/>
      <c r="AC149" s="601"/>
      <c r="AD149" s="101"/>
      <c r="AE149" s="101"/>
      <c r="AF149" s="92">
        <f t="shared" si="61"/>
        <v>-167.6470588235311</v>
      </c>
      <c r="AG149" s="186">
        <f t="shared" si="62"/>
        <v>0.88357843137254788</v>
      </c>
      <c r="AH149" s="611"/>
    </row>
    <row r="150" spans="1:34" ht="19.149999999999999" customHeight="1">
      <c r="A150" s="608"/>
      <c r="B150" s="101" t="s">
        <v>390</v>
      </c>
      <c r="C150" s="301"/>
      <c r="D150" s="249" t="s">
        <v>175</v>
      </c>
      <c r="E150" s="107"/>
      <c r="F150" s="199">
        <v>57.734999999999999</v>
      </c>
      <c r="G150" s="104">
        <v>261</v>
      </c>
      <c r="H150" s="135">
        <f t="shared" si="98"/>
        <v>15068.834999999999</v>
      </c>
      <c r="I150" s="345">
        <v>2</v>
      </c>
      <c r="J150" s="138">
        <v>16</v>
      </c>
      <c r="K150" s="104">
        <v>1565</v>
      </c>
      <c r="L150" s="137">
        <v>97.8125</v>
      </c>
      <c r="M150" s="310">
        <v>16</v>
      </c>
      <c r="N150" s="86">
        <f>G150/W150*60</f>
        <v>1305.0000000000048</v>
      </c>
      <c r="O150" s="90">
        <f>N150/M150</f>
        <v>81.562500000000298</v>
      </c>
      <c r="P150" s="92">
        <f t="shared" si="95"/>
        <v>0</v>
      </c>
      <c r="Q150" s="93">
        <f t="shared" si="96"/>
        <v>-16.249999999999702</v>
      </c>
      <c r="R150" s="94">
        <f t="shared" si="97"/>
        <v>0.83386581469648868</v>
      </c>
      <c r="S150" s="610"/>
      <c r="T150" s="330">
        <v>0.78055555555555556</v>
      </c>
      <c r="U150" s="96">
        <v>0.78888888888888886</v>
      </c>
      <c r="V150" s="65">
        <v>7</v>
      </c>
      <c r="W150" s="88">
        <f t="shared" si="99"/>
        <v>11.999999999999957</v>
      </c>
      <c r="X150" s="295"/>
      <c r="Y150" s="295"/>
      <c r="Z150" s="296"/>
      <c r="AA150" s="296"/>
      <c r="AB150" s="601"/>
      <c r="AC150" s="601"/>
      <c r="AD150" s="101"/>
      <c r="AE150" s="101"/>
      <c r="AF150" s="92">
        <f t="shared" si="61"/>
        <v>-259.99999999999523</v>
      </c>
      <c r="AG150" s="186">
        <f t="shared" si="62"/>
        <v>0.83386581469648868</v>
      </c>
      <c r="AH150" s="611"/>
    </row>
    <row r="151" spans="1:34" s="298" customFormat="1" ht="19.149999999999999" customHeight="1">
      <c r="A151" s="608"/>
      <c r="B151" s="101" t="s">
        <v>386</v>
      </c>
      <c r="C151" s="301"/>
      <c r="D151" s="106" t="s">
        <v>186</v>
      </c>
      <c r="E151" s="107"/>
      <c r="F151" s="199">
        <v>59.52</v>
      </c>
      <c r="G151" s="104">
        <v>311.39999999999998</v>
      </c>
      <c r="H151" s="135">
        <f t="shared" si="98"/>
        <v>18534.527999999998</v>
      </c>
      <c r="I151" s="345">
        <v>2</v>
      </c>
      <c r="J151" s="138">
        <v>21</v>
      </c>
      <c r="K151" s="104">
        <v>1385</v>
      </c>
      <c r="L151" s="137">
        <v>65.952380952380949</v>
      </c>
      <c r="M151" s="310">
        <v>20</v>
      </c>
      <c r="N151" s="86">
        <f>G151/W151*60</f>
        <v>1167.7500000000039</v>
      </c>
      <c r="O151" s="90">
        <f>N151/M151</f>
        <v>58.387500000000195</v>
      </c>
      <c r="P151" s="92">
        <f t="shared" si="95"/>
        <v>-1</v>
      </c>
      <c r="Q151" s="93">
        <f t="shared" si="96"/>
        <v>-7.5648809523807543</v>
      </c>
      <c r="R151" s="94">
        <f t="shared" si="97"/>
        <v>0.88529783393502104</v>
      </c>
      <c r="S151" s="610"/>
      <c r="T151" s="330">
        <v>0.79305555555555551</v>
      </c>
      <c r="U151" s="96">
        <v>0.80416666666666659</v>
      </c>
      <c r="V151" s="65">
        <v>6</v>
      </c>
      <c r="W151" s="88">
        <f t="shared" si="99"/>
        <v>15.999999999999943</v>
      </c>
      <c r="X151" s="295"/>
      <c r="Y151" s="295"/>
      <c r="Z151" s="296"/>
      <c r="AA151" s="296"/>
      <c r="AB151" s="601"/>
      <c r="AC151" s="601"/>
      <c r="AD151" s="301"/>
      <c r="AE151" s="301"/>
      <c r="AF151" s="92">
        <f t="shared" si="61"/>
        <v>-217.24999999999613</v>
      </c>
      <c r="AG151" s="186">
        <f t="shared" si="62"/>
        <v>0.84314079422382948</v>
      </c>
      <c r="AH151" s="611"/>
    </row>
    <row r="152" spans="1:34" s="298" customFormat="1" ht="19.149999999999999" customHeight="1">
      <c r="A152" s="608"/>
      <c r="B152" s="101" t="s">
        <v>390</v>
      </c>
      <c r="C152" s="301"/>
      <c r="D152" s="335" t="s">
        <v>206</v>
      </c>
      <c r="E152" s="107"/>
      <c r="F152" s="199">
        <v>57.3</v>
      </c>
      <c r="G152" s="104">
        <v>1542</v>
      </c>
      <c r="H152" s="135">
        <f t="shared" si="98"/>
        <v>88356.599999999991</v>
      </c>
      <c r="I152" s="345"/>
      <c r="J152" s="138">
        <v>17</v>
      </c>
      <c r="K152" s="104">
        <v>1500</v>
      </c>
      <c r="L152" s="137">
        <v>88.235294117647058</v>
      </c>
      <c r="M152" s="310">
        <v>18</v>
      </c>
      <c r="N152" s="86">
        <f>G152/W152*60</f>
        <v>1303.0985915492945</v>
      </c>
      <c r="O152" s="90">
        <f>N152/M152</f>
        <v>72.394366197183032</v>
      </c>
      <c r="P152" s="92">
        <f t="shared" si="95"/>
        <v>1</v>
      </c>
      <c r="Q152" s="93">
        <f t="shared" si="96"/>
        <v>-15.840927920464026</v>
      </c>
      <c r="R152" s="94">
        <f t="shared" si="97"/>
        <v>0.82046948356807436</v>
      </c>
      <c r="S152" s="610"/>
      <c r="T152" s="346">
        <v>0.82013888888888875</v>
      </c>
      <c r="U152" s="111">
        <v>0.86944444444444435</v>
      </c>
      <c r="V152" s="109">
        <v>23</v>
      </c>
      <c r="W152" s="88">
        <f t="shared" si="99"/>
        <v>71.000000000000071</v>
      </c>
      <c r="X152" s="299">
        <v>0.80763888888888891</v>
      </c>
      <c r="Y152" s="299">
        <v>0.81736111111111109</v>
      </c>
      <c r="Z152" s="296"/>
      <c r="AA152" s="296"/>
      <c r="AB152" s="601"/>
      <c r="AC152" s="601"/>
      <c r="AD152" s="301"/>
      <c r="AE152" s="301"/>
      <c r="AF152" s="92">
        <f t="shared" si="61"/>
        <v>-196.9014084507055</v>
      </c>
      <c r="AG152" s="186">
        <f t="shared" si="62"/>
        <v>0.86873239436619631</v>
      </c>
      <c r="AH152" s="611"/>
    </row>
    <row r="153" spans="1:34" s="298" customFormat="1" ht="19.149999999999999" customHeight="1">
      <c r="A153" s="608"/>
      <c r="B153" s="101">
        <v>0</v>
      </c>
      <c r="C153" s="301"/>
      <c r="D153" s="335"/>
      <c r="E153" s="107"/>
      <c r="F153" s="199" t="s">
        <v>391</v>
      </c>
      <c r="G153" s="104"/>
      <c r="H153" s="135">
        <f t="shared" si="98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4"/>
      <c r="S153" s="610"/>
      <c r="T153" s="346"/>
      <c r="U153" s="111"/>
      <c r="V153" s="109"/>
      <c r="W153" s="88">
        <f t="shared" si="99"/>
        <v>0</v>
      </c>
      <c r="X153" s="299"/>
      <c r="Y153" s="299"/>
      <c r="Z153" s="296"/>
      <c r="AA153" s="296"/>
      <c r="AB153" s="601"/>
      <c r="AC153" s="601"/>
      <c r="AD153" s="301"/>
      <c r="AE153" s="301"/>
      <c r="AF153" s="92">
        <f t="shared" si="61"/>
        <v>0</v>
      </c>
      <c r="AG153" s="186" t="e">
        <f t="shared" si="62"/>
        <v>#DIV/0!</v>
      </c>
      <c r="AH153" s="611"/>
    </row>
    <row r="154" spans="1:34" s="298" customFormat="1" ht="19.149999999999999" customHeight="1">
      <c r="A154" s="608"/>
      <c r="B154" s="101">
        <v>0</v>
      </c>
      <c r="C154" s="301"/>
      <c r="D154" s="335"/>
      <c r="E154" s="107"/>
      <c r="F154" s="199" t="s">
        <v>391</v>
      </c>
      <c r="G154" s="104"/>
      <c r="H154" s="135">
        <f t="shared" si="98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10"/>
      <c r="T154" s="346"/>
      <c r="U154" s="111"/>
      <c r="V154" s="109"/>
      <c r="W154" s="88">
        <f t="shared" si="99"/>
        <v>0</v>
      </c>
      <c r="X154" s="299"/>
      <c r="Y154" s="299"/>
      <c r="Z154" s="296"/>
      <c r="AA154" s="296"/>
      <c r="AB154" s="601"/>
      <c r="AC154" s="601"/>
      <c r="AD154" s="301"/>
      <c r="AE154" s="301"/>
      <c r="AF154" s="92">
        <f t="shared" si="61"/>
        <v>0</v>
      </c>
      <c r="AG154" s="186" t="e">
        <f t="shared" si="62"/>
        <v>#DIV/0!</v>
      </c>
      <c r="AH154" s="611"/>
    </row>
    <row r="155" spans="1:34" s="298" customFormat="1" ht="19.149999999999999" customHeight="1">
      <c r="A155" s="608"/>
      <c r="B155" s="101">
        <v>0</v>
      </c>
      <c r="C155" s="301"/>
      <c r="D155" s="335"/>
      <c r="E155" s="107"/>
      <c r="F155" s="199" t="s">
        <v>391</v>
      </c>
      <c r="G155" s="104"/>
      <c r="H155" s="135">
        <f t="shared" si="98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10"/>
      <c r="T155" s="346"/>
      <c r="U155" s="111"/>
      <c r="V155" s="109"/>
      <c r="W155" s="88">
        <f t="shared" si="99"/>
        <v>0</v>
      </c>
      <c r="X155" s="299"/>
      <c r="Y155" s="299"/>
      <c r="Z155" s="296"/>
      <c r="AA155" s="296"/>
      <c r="AB155" s="601"/>
      <c r="AC155" s="601"/>
      <c r="AD155" s="301"/>
      <c r="AE155" s="301"/>
      <c r="AF155" s="349"/>
      <c r="AG155" s="191"/>
      <c r="AH155" s="611"/>
    </row>
    <row r="156" spans="1:34" s="298" customFormat="1" ht="19.149999999999999" customHeight="1">
      <c r="A156" s="608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8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10"/>
      <c r="T156" s="346"/>
      <c r="U156" s="111"/>
      <c r="V156" s="109"/>
      <c r="W156" s="350">
        <f t="shared" si="99"/>
        <v>0</v>
      </c>
      <c r="X156" s="299"/>
      <c r="Y156" s="299"/>
      <c r="Z156" s="296"/>
      <c r="AA156" s="296"/>
      <c r="AB156" s="601"/>
      <c r="AC156" s="601"/>
      <c r="AD156" s="301"/>
      <c r="AE156" s="301"/>
      <c r="AF156" s="349"/>
      <c r="AG156" s="191"/>
      <c r="AH156" s="611"/>
    </row>
    <row r="157" spans="1:34" s="298" customFormat="1" ht="19.149999999999999" customHeight="1">
      <c r="A157" s="608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8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10"/>
      <c r="T157" s="346"/>
      <c r="U157" s="111"/>
      <c r="V157" s="109"/>
      <c r="W157" s="350">
        <f t="shared" si="99"/>
        <v>0</v>
      </c>
      <c r="X157" s="299"/>
      <c r="Y157" s="299"/>
      <c r="Z157" s="296"/>
      <c r="AA157" s="296"/>
      <c r="AB157" s="601"/>
      <c r="AC157" s="601"/>
      <c r="AD157" s="301"/>
      <c r="AE157" s="301"/>
      <c r="AF157" s="349"/>
      <c r="AG157" s="191"/>
      <c r="AH157" s="611"/>
    </row>
    <row r="158" spans="1:34" s="298" customFormat="1" ht="19.149999999999999" customHeight="1">
      <c r="A158" s="608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8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10"/>
      <c r="T158" s="346"/>
      <c r="U158" s="111"/>
      <c r="V158" s="109"/>
      <c r="W158" s="350">
        <f t="shared" si="99"/>
        <v>0</v>
      </c>
      <c r="X158" s="299"/>
      <c r="Y158" s="299"/>
      <c r="Z158" s="296"/>
      <c r="AA158" s="296"/>
      <c r="AB158" s="601"/>
      <c r="AC158" s="601"/>
      <c r="AD158" s="301"/>
      <c r="AE158" s="301"/>
      <c r="AF158" s="349"/>
      <c r="AG158" s="191"/>
      <c r="AH158" s="611"/>
    </row>
    <row r="159" spans="1:34" s="298" customFormat="1" ht="19.149999999999999" customHeight="1">
      <c r="A159" s="608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8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10"/>
      <c r="T159" s="346"/>
      <c r="U159" s="111"/>
      <c r="V159" s="109"/>
      <c r="W159" s="351">
        <f t="shared" si="99"/>
        <v>0</v>
      </c>
      <c r="X159" s="299"/>
      <c r="Y159" s="299"/>
      <c r="Z159" s="296"/>
      <c r="AA159" s="296"/>
      <c r="AB159" s="601"/>
      <c r="AC159" s="601"/>
      <c r="AD159" s="301"/>
      <c r="AE159" s="301"/>
      <c r="AF159" s="349"/>
      <c r="AG159" s="191"/>
      <c r="AH159" s="611"/>
    </row>
    <row r="160" spans="1:34" ht="19.149999999999999" customHeight="1">
      <c r="A160" s="608"/>
      <c r="B160" s="352">
        <v>0</v>
      </c>
      <c r="C160" s="353" t="s">
        <v>38</v>
      </c>
      <c r="D160" s="606" t="s">
        <v>75</v>
      </c>
      <c r="E160" s="607"/>
      <c r="F160" s="119"/>
      <c r="G160" s="280"/>
      <c r="H160" s="279"/>
      <c r="I160" s="122"/>
      <c r="J160" s="354">
        <v>17.8</v>
      </c>
      <c r="K160" s="354">
        <v>1466</v>
      </c>
      <c r="L160" s="355">
        <v>83.557929750847705</v>
      </c>
      <c r="M160" s="354">
        <f t="shared" ref="M160:O160" si="100">AVERAGE(M148:M159)</f>
        <v>17.8</v>
      </c>
      <c r="N160" s="354">
        <f t="shared" si="100"/>
        <v>1268.2831636880117</v>
      </c>
      <c r="O160" s="355">
        <f t="shared" si="100"/>
        <v>71.806778989972216</v>
      </c>
      <c r="P160" s="113">
        <f t="shared" ref="P160:P165" si="101">M160-J160</f>
        <v>0</v>
      </c>
      <c r="Q160" s="124">
        <f t="shared" ref="Q160:Q165" si="102">O160-L160</f>
        <v>-11.75115076087549</v>
      </c>
      <c r="R160" s="356">
        <f>O160/L160</f>
        <v>0.85936522367278645</v>
      </c>
      <c r="S160" s="610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01"/>
      <c r="AC160" s="601"/>
      <c r="AD160" s="129">
        <f>SUM(AD148:AD159)</f>
        <v>0</v>
      </c>
      <c r="AE160" s="129">
        <f>SUM(AE148:AE159)</f>
        <v>0</v>
      </c>
      <c r="AF160" s="113">
        <f t="shared" si="61"/>
        <v>-197.71683631198835</v>
      </c>
      <c r="AG160" s="191">
        <f t="shared" si="62"/>
        <v>0.86513176240655643</v>
      </c>
      <c r="AH160" s="611"/>
    </row>
    <row r="161" spans="1:36" ht="19.149999999999999" customHeight="1">
      <c r="A161" s="604" t="s">
        <v>207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2579</v>
      </c>
      <c r="H161" s="135">
        <f t="shared" ref="H161:H170" si="103">F161*G161</f>
        <v>88279.17</v>
      </c>
      <c r="I161" s="101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4">G161/W161*60</f>
        <v>2242.608695652174</v>
      </c>
      <c r="O161" s="137">
        <f t="shared" ref="O161:O165" si="105">N161/M161</f>
        <v>186.8840579710145</v>
      </c>
      <c r="P161" s="100">
        <f t="shared" si="101"/>
        <v>0</v>
      </c>
      <c r="Q161" s="139">
        <f t="shared" si="102"/>
        <v>-0.61594202898550066</v>
      </c>
      <c r="R161" s="140">
        <f t="shared" ref="R161:R165" si="106">O161/L161</f>
        <v>0.99671497584541069</v>
      </c>
      <c r="S161" s="605">
        <f>R173</f>
        <v>0.98072616008520341</v>
      </c>
      <c r="T161" s="142">
        <v>0.16666666666666666</v>
      </c>
      <c r="U161" s="142">
        <v>0.21458333333333332</v>
      </c>
      <c r="V161" s="101">
        <v>5</v>
      </c>
      <c r="W161" s="143">
        <f t="shared" ref="W161:W165" si="107">(U161-T161)*24*60</f>
        <v>69</v>
      </c>
      <c r="X161" s="151"/>
      <c r="Y161" s="151"/>
      <c r="Z161" s="100"/>
      <c r="AA161" s="100"/>
      <c r="AB161" s="601"/>
      <c r="AC161" s="601"/>
      <c r="AD161" s="101"/>
      <c r="AE161" s="101"/>
      <c r="AF161" s="100">
        <f t="shared" si="61"/>
        <v>-7.3913043478260079</v>
      </c>
      <c r="AG161" s="140">
        <f t="shared" si="62"/>
        <v>0.99671497584541069</v>
      </c>
      <c r="AH161" s="605">
        <f>AG173</f>
        <v>0.97994521600477957</v>
      </c>
    </row>
    <row r="162" spans="1:36" ht="19.149999999999999" customHeight="1">
      <c r="A162" s="604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3774</v>
      </c>
      <c r="H162" s="135">
        <f t="shared" si="103"/>
        <v>129184.01999999999</v>
      </c>
      <c r="I162" s="101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4"/>
        <v>2136.2264150943392</v>
      </c>
      <c r="O162" s="137">
        <f t="shared" si="105"/>
        <v>164.32510885341071</v>
      </c>
      <c r="P162" s="100">
        <f t="shared" si="101"/>
        <v>0</v>
      </c>
      <c r="Q162" s="139">
        <f t="shared" si="102"/>
        <v>-8.7518142235123548</v>
      </c>
      <c r="R162" s="140">
        <f t="shared" si="106"/>
        <v>0.94943396226415089</v>
      </c>
      <c r="S162" s="605"/>
      <c r="T162" s="142">
        <v>0.21944444444444444</v>
      </c>
      <c r="U162" s="142">
        <v>0.29305555555555557</v>
      </c>
      <c r="V162" s="101">
        <v>7</v>
      </c>
      <c r="W162" s="143">
        <f t="shared" si="107"/>
        <v>106.00000000000003</v>
      </c>
      <c r="X162" s="151"/>
      <c r="Y162" s="151"/>
      <c r="Z162" s="100"/>
      <c r="AA162" s="100"/>
      <c r="AB162" s="601"/>
      <c r="AC162" s="601"/>
      <c r="AD162" s="101"/>
      <c r="AE162" s="101"/>
      <c r="AF162" s="100">
        <f t="shared" si="61"/>
        <v>-113.77358490566075</v>
      </c>
      <c r="AG162" s="140">
        <f t="shared" si="62"/>
        <v>0.94943396226415078</v>
      </c>
      <c r="AH162" s="605"/>
    </row>
    <row r="163" spans="1:36" ht="19.149999999999999" customHeight="1">
      <c r="A163" s="604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2919</v>
      </c>
      <c r="H163" s="135">
        <f t="shared" si="103"/>
        <v>99917.37</v>
      </c>
      <c r="I163" s="101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4"/>
        <v>2216.9620253164571</v>
      </c>
      <c r="O163" s="137">
        <f t="shared" si="105"/>
        <v>184.74683544303809</v>
      </c>
      <c r="P163" s="100">
        <f t="shared" si="101"/>
        <v>0</v>
      </c>
      <c r="Q163" s="139">
        <f t="shared" si="102"/>
        <v>-2.7531645569619059</v>
      </c>
      <c r="R163" s="140">
        <f t="shared" si="106"/>
        <v>0.98531645569620319</v>
      </c>
      <c r="S163" s="605"/>
      <c r="T163" s="142">
        <v>0.33333333333333331</v>
      </c>
      <c r="U163" s="142">
        <v>0.3881944444444444</v>
      </c>
      <c r="V163" s="101">
        <v>5</v>
      </c>
      <c r="W163" s="143">
        <f t="shared" si="107"/>
        <v>78.999999999999957</v>
      </c>
      <c r="X163" s="151"/>
      <c r="Y163" s="151"/>
      <c r="Z163" s="100"/>
      <c r="AA163" s="100"/>
      <c r="AB163" s="601"/>
      <c r="AC163" s="601"/>
      <c r="AD163" s="101"/>
      <c r="AE163" s="101"/>
      <c r="AF163" s="100">
        <f t="shared" si="61"/>
        <v>-33.03797468354287</v>
      </c>
      <c r="AG163" s="140">
        <f t="shared" si="62"/>
        <v>0.98531645569620319</v>
      </c>
      <c r="AH163" s="605"/>
    </row>
    <row r="164" spans="1:36" ht="19.149999999999999" customHeight="1">
      <c r="A164" s="604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5179</v>
      </c>
      <c r="H164" s="135">
        <f t="shared" si="103"/>
        <v>185563.56999999998</v>
      </c>
      <c r="I164" s="101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4"/>
        <v>2203.8297872340413</v>
      </c>
      <c r="O164" s="137">
        <f t="shared" si="105"/>
        <v>200.34816247582194</v>
      </c>
      <c r="P164" s="100">
        <f t="shared" si="101"/>
        <v>0</v>
      </c>
      <c r="Q164" s="139">
        <f t="shared" si="102"/>
        <v>-4.1972920696325957</v>
      </c>
      <c r="R164" s="140">
        <f t="shared" si="106"/>
        <v>0.97947990543735175</v>
      </c>
      <c r="S164" s="605"/>
      <c r="T164" s="142">
        <v>0.40416666666666662</v>
      </c>
      <c r="U164" s="142">
        <v>0.50208333333333333</v>
      </c>
      <c r="V164" s="101">
        <v>23</v>
      </c>
      <c r="W164" s="143">
        <f t="shared" si="107"/>
        <v>141.00000000000006</v>
      </c>
      <c r="X164" s="151">
        <v>0.39166666666666666</v>
      </c>
      <c r="Y164" s="151">
        <v>0.40138888888888885</v>
      </c>
      <c r="Z164" s="100"/>
      <c r="AA164" s="100"/>
      <c r="AB164" s="601"/>
      <c r="AC164" s="601"/>
      <c r="AD164" s="101"/>
      <c r="AE164" s="101"/>
      <c r="AF164" s="100">
        <f t="shared" si="61"/>
        <v>-46.170212765958695</v>
      </c>
      <c r="AG164" s="140">
        <f t="shared" si="62"/>
        <v>0.97947990543735164</v>
      </c>
      <c r="AH164" s="605"/>
    </row>
    <row r="165" spans="1:36" ht="19.149999999999999" customHeight="1">
      <c r="A165" s="604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4115.8</v>
      </c>
      <c r="H165" s="135">
        <f t="shared" si="103"/>
        <v>149856.27799999999</v>
      </c>
      <c r="I165" s="101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4"/>
        <v>2224.7567567567585</v>
      </c>
      <c r="O165" s="137">
        <f t="shared" si="105"/>
        <v>222.47567567567586</v>
      </c>
      <c r="P165" s="100">
        <f t="shared" si="101"/>
        <v>0</v>
      </c>
      <c r="Q165" s="139">
        <f t="shared" si="102"/>
        <v>-2.5243243243241409</v>
      </c>
      <c r="R165" s="140">
        <f t="shared" si="106"/>
        <v>0.98878078078078158</v>
      </c>
      <c r="S165" s="605"/>
      <c r="T165" s="142">
        <v>0.51736111111111105</v>
      </c>
      <c r="U165" s="142">
        <v>0.59444444444444433</v>
      </c>
      <c r="V165" s="101">
        <v>22</v>
      </c>
      <c r="W165" s="143">
        <f t="shared" si="107"/>
        <v>110.99999999999993</v>
      </c>
      <c r="X165" s="151">
        <v>0.50555555555555554</v>
      </c>
      <c r="Y165" s="151">
        <v>0.51458333333333328</v>
      </c>
      <c r="Z165" s="100"/>
      <c r="AA165" s="100"/>
      <c r="AB165" s="601"/>
      <c r="AC165" s="601"/>
      <c r="AD165" s="101"/>
      <c r="AE165" s="101"/>
      <c r="AF165" s="100">
        <f t="shared" si="61"/>
        <v>-25.243243243241523</v>
      </c>
      <c r="AG165" s="140">
        <f t="shared" si="62"/>
        <v>0.98878078078078158</v>
      </c>
      <c r="AH165" s="605"/>
    </row>
    <row r="166" spans="1:36" ht="19.149999999999999" customHeight="1">
      <c r="A166" s="604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3"/>
        <v>0</v>
      </c>
      <c r="I166" s="101"/>
      <c r="J166" s="138"/>
      <c r="K166" s="104"/>
      <c r="L166" s="137"/>
      <c r="M166" s="138"/>
      <c r="N166" s="104"/>
      <c r="O166" s="137"/>
      <c r="P166" s="100"/>
      <c r="Q166" s="139"/>
      <c r="R166" s="140"/>
      <c r="S166" s="605"/>
      <c r="T166" s="142"/>
      <c r="U166" s="142"/>
      <c r="V166" s="101"/>
      <c r="W166" s="143"/>
      <c r="X166" s="151"/>
      <c r="Y166" s="151"/>
      <c r="Z166" s="100"/>
      <c r="AA166" s="100"/>
      <c r="AB166" s="601"/>
      <c r="AC166" s="601"/>
      <c r="AD166" s="101"/>
      <c r="AE166" s="101"/>
      <c r="AF166" s="100">
        <f t="shared" si="61"/>
        <v>0</v>
      </c>
      <c r="AG166" s="140" t="e">
        <f t="shared" si="62"/>
        <v>#DIV/0!</v>
      </c>
      <c r="AH166" s="605"/>
    </row>
    <row r="167" spans="1:36" ht="19.149999999999999" customHeight="1">
      <c r="A167" s="604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3"/>
        <v>0</v>
      </c>
      <c r="I167" s="101"/>
      <c r="J167" s="138"/>
      <c r="K167" s="104"/>
      <c r="L167" s="137"/>
      <c r="M167" s="138"/>
      <c r="N167" s="104"/>
      <c r="O167" s="137"/>
      <c r="P167" s="100"/>
      <c r="Q167" s="139"/>
      <c r="R167" s="140"/>
      <c r="S167" s="605"/>
      <c r="T167" s="142"/>
      <c r="U167" s="142"/>
      <c r="V167" s="101"/>
      <c r="W167" s="143"/>
      <c r="X167" s="151"/>
      <c r="Y167" s="151"/>
      <c r="Z167" s="100"/>
      <c r="AA167" s="100"/>
      <c r="AB167" s="601"/>
      <c r="AC167" s="601"/>
      <c r="AD167" s="101"/>
      <c r="AE167" s="101"/>
      <c r="AF167" s="100">
        <f t="shared" si="61"/>
        <v>0</v>
      </c>
      <c r="AG167" s="140" t="e">
        <f t="shared" si="62"/>
        <v>#DIV/0!</v>
      </c>
      <c r="AH167" s="605"/>
    </row>
    <row r="168" spans="1:36" ht="19.149999999999999" customHeight="1">
      <c r="A168" s="604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3"/>
        <v>0</v>
      </c>
      <c r="I168" s="101"/>
      <c r="J168" s="138"/>
      <c r="K168" s="104"/>
      <c r="L168" s="137"/>
      <c r="M168" s="138"/>
      <c r="N168" s="104"/>
      <c r="O168" s="137"/>
      <c r="P168" s="100"/>
      <c r="Q168" s="139"/>
      <c r="R168" s="140"/>
      <c r="S168" s="605"/>
      <c r="T168" s="142"/>
      <c r="U168" s="142"/>
      <c r="V168" s="101"/>
      <c r="W168" s="143"/>
      <c r="X168" s="151"/>
      <c r="Y168" s="151"/>
      <c r="Z168" s="100"/>
      <c r="AA168" s="100"/>
      <c r="AB168" s="601"/>
      <c r="AC168" s="601"/>
      <c r="AD168" s="101"/>
      <c r="AE168" s="101"/>
      <c r="AF168" s="100">
        <f t="shared" si="61"/>
        <v>0</v>
      </c>
      <c r="AG168" s="140" t="e">
        <f t="shared" si="62"/>
        <v>#DIV/0!</v>
      </c>
      <c r="AH168" s="605"/>
    </row>
    <row r="169" spans="1:36" ht="19.149999999999999" customHeight="1">
      <c r="A169" s="604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3"/>
        <v>0</v>
      </c>
      <c r="I169" s="101"/>
      <c r="J169" s="138"/>
      <c r="K169" s="104"/>
      <c r="L169" s="137"/>
      <c r="M169" s="138"/>
      <c r="N169" s="104"/>
      <c r="O169" s="137"/>
      <c r="P169" s="100"/>
      <c r="Q169" s="139"/>
      <c r="R169" s="140"/>
      <c r="S169" s="605"/>
      <c r="T169" s="142"/>
      <c r="U169" s="142"/>
      <c r="V169" s="101" t="s">
        <v>49</v>
      </c>
      <c r="W169" s="143">
        <f>(U169-T169)*24*60</f>
        <v>0</v>
      </c>
      <c r="X169" s="151"/>
      <c r="Y169" s="151"/>
      <c r="Z169" s="100"/>
      <c r="AA169" s="100"/>
      <c r="AB169" s="601"/>
      <c r="AC169" s="601"/>
      <c r="AD169" s="101"/>
      <c r="AE169" s="101"/>
      <c r="AF169" s="100">
        <f t="shared" si="61"/>
        <v>0</v>
      </c>
      <c r="AG169" s="140" t="e">
        <f t="shared" si="62"/>
        <v>#DIV/0!</v>
      </c>
      <c r="AH169" s="605"/>
    </row>
    <row r="170" spans="1:36" ht="19.149999999999999" customHeight="1">
      <c r="A170" s="604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3"/>
        <v>0</v>
      </c>
      <c r="I170" s="101"/>
      <c r="J170" s="138"/>
      <c r="K170" s="104"/>
      <c r="L170" s="137"/>
      <c r="M170" s="138"/>
      <c r="N170" s="104"/>
      <c r="O170" s="137"/>
      <c r="P170" s="100"/>
      <c r="Q170" s="139"/>
      <c r="R170" s="140"/>
      <c r="S170" s="605"/>
      <c r="T170" s="142"/>
      <c r="U170" s="142"/>
      <c r="V170" s="101"/>
      <c r="W170" s="143">
        <f>(U170-T170)*24*60</f>
        <v>0</v>
      </c>
      <c r="X170" s="151"/>
      <c r="Y170" s="151"/>
      <c r="Z170" s="100"/>
      <c r="AA170" s="100"/>
      <c r="AB170" s="601"/>
      <c r="AC170" s="601"/>
      <c r="AD170" s="101"/>
      <c r="AE170" s="101"/>
      <c r="AF170" s="100">
        <f t="shared" si="61"/>
        <v>0</v>
      </c>
      <c r="AG170" s="140" t="e">
        <f t="shared" si="62"/>
        <v>#DIV/0!</v>
      </c>
      <c r="AH170" s="605"/>
    </row>
    <row r="171" spans="1:36" ht="19.149999999999999" customHeight="1">
      <c r="A171" s="604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8"/>
        <v>0</v>
      </c>
      <c r="I171" s="101"/>
      <c r="J171" s="138"/>
      <c r="K171" s="104"/>
      <c r="L171" s="137"/>
      <c r="M171" s="138"/>
      <c r="N171" s="104"/>
      <c r="O171" s="137"/>
      <c r="P171" s="100"/>
      <c r="Q171" s="139"/>
      <c r="R171" s="140"/>
      <c r="S171" s="605"/>
      <c r="T171" s="142"/>
      <c r="U171" s="142"/>
      <c r="V171" s="101"/>
      <c r="W171" s="143">
        <f>(U171-T171)*24*60</f>
        <v>0</v>
      </c>
      <c r="X171" s="151"/>
      <c r="Y171" s="151"/>
      <c r="Z171" s="100"/>
      <c r="AA171" s="100"/>
      <c r="AB171" s="601"/>
      <c r="AC171" s="601"/>
      <c r="AD171" s="101"/>
      <c r="AE171" s="101"/>
      <c r="AF171" s="100"/>
      <c r="AG171" s="140"/>
      <c r="AH171" s="605"/>
    </row>
    <row r="172" spans="1:36" ht="19.149999999999999" customHeight="1">
      <c r="A172" s="604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8"/>
        <v>0</v>
      </c>
      <c r="I172" s="101"/>
      <c r="J172" s="138"/>
      <c r="K172" s="104"/>
      <c r="L172" s="137"/>
      <c r="M172" s="138"/>
      <c r="N172" s="104"/>
      <c r="O172" s="137"/>
      <c r="P172" s="100"/>
      <c r="Q172" s="139"/>
      <c r="R172" s="140"/>
      <c r="S172" s="605"/>
      <c r="T172" s="142"/>
      <c r="U172" s="142"/>
      <c r="V172" s="101"/>
      <c r="W172" s="143">
        <f>(U172-T172)*24*60</f>
        <v>0</v>
      </c>
      <c r="X172" s="151"/>
      <c r="Y172" s="151"/>
      <c r="Z172" s="100"/>
      <c r="AA172" s="100"/>
      <c r="AB172" s="601"/>
      <c r="AC172" s="601"/>
      <c r="AD172" s="101"/>
      <c r="AE172" s="101"/>
      <c r="AF172" s="100"/>
      <c r="AG172" s="140"/>
      <c r="AH172" s="605"/>
    </row>
    <row r="173" spans="1:36" ht="19.149999999999999" customHeight="1">
      <c r="A173" s="604"/>
      <c r="B173" s="182">
        <v>0</v>
      </c>
      <c r="C173" s="156" t="s">
        <v>39</v>
      </c>
      <c r="D173" s="602" t="s">
        <v>75</v>
      </c>
      <c r="E173" s="602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8">AVERAGE(M161:M172)</f>
        <v>11.6</v>
      </c>
      <c r="N173" s="158">
        <f t="shared" si="108"/>
        <v>2204.876736010754</v>
      </c>
      <c r="O173" s="161">
        <f t="shared" si="108"/>
        <v>191.75596808379223</v>
      </c>
      <c r="P173" s="100">
        <f>M173-J173</f>
        <v>0</v>
      </c>
      <c r="Q173" s="139">
        <f>O173-L173</f>
        <v>-3.7685074406832939</v>
      </c>
      <c r="R173" s="162">
        <f>O173/L173</f>
        <v>0.98072616008520341</v>
      </c>
      <c r="S173" s="605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03"/>
      <c r="AC173" s="603"/>
      <c r="AD173" s="164">
        <f>SUM(AD161:AD172)</f>
        <v>0</v>
      </c>
      <c r="AE173" s="164">
        <f>SUM(AE161:AE172)</f>
        <v>0</v>
      </c>
      <c r="AF173" s="100">
        <f t="shared" si="61"/>
        <v>-45.12326398924597</v>
      </c>
      <c r="AG173" s="140">
        <f t="shared" si="62"/>
        <v>0.97994521600477957</v>
      </c>
      <c r="AH173" s="605"/>
    </row>
    <row r="174" spans="1:36" ht="19.149999999999999" customHeight="1">
      <c r="AJ174" s="361" t="s">
        <v>212</v>
      </c>
    </row>
    <row r="175" spans="1:36" ht="19.149999999999999" customHeight="1">
      <c r="X175" s="71" t="s">
        <v>213</v>
      </c>
      <c r="AJ175" s="361" t="s">
        <v>214</v>
      </c>
    </row>
    <row r="176" spans="1:36" ht="19.149999999999999" customHeight="1">
      <c r="AJ176" s="361" t="s">
        <v>215</v>
      </c>
    </row>
    <row r="177" spans="23:36" ht="19.149999999999999" customHeight="1">
      <c r="W177" s="71"/>
      <c r="AJ177" s="361" t="s">
        <v>216</v>
      </c>
    </row>
    <row r="178" spans="23:36" ht="19.149999999999999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224</v>
      </c>
    </row>
    <row r="186" spans="23:36">
      <c r="W186" s="71"/>
      <c r="AJ186" s="361" t="s">
        <v>225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4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31036" priority="3391" operator="lessThan">
      <formula>0</formula>
    </cfRule>
  </conditionalFormatting>
  <conditionalFormatting sqref="AH57 AH70 S43 S123 S95 AH95 S5:S9 AH5:AH9 S134 AH17:AH18 S17:S18 S32 S82 AH82 S57:S70">
    <cfRule type="cellIs" dxfId="31035" priority="3390" operator="lessThan">
      <formula>0.8</formula>
    </cfRule>
  </conditionalFormatting>
  <conditionalFormatting sqref="R147 R173 R30 R121 R95 R43 R134 R82 R154:R159 R17:R18 R57:R70">
    <cfRule type="cellIs" dxfId="31034" priority="3388" operator="lessThan">
      <formula>0.8</formula>
    </cfRule>
    <cfRule type="cellIs" dxfId="31033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31032" priority="3386" operator="greaterThan">
      <formula>1</formula>
    </cfRule>
    <cfRule type="cellIs" dxfId="31031" priority="3387" operator="lessThan">
      <formula>0.8</formula>
    </cfRule>
  </conditionalFormatting>
  <conditionalFormatting sqref="P147 P30 P121 P95 P43 P134 P82 P154:P159 P17:P18 P57:P70">
    <cfRule type="cellIs" dxfId="31030" priority="3385" operator="greaterThan">
      <formula>0</formula>
    </cfRule>
  </conditionalFormatting>
  <conditionalFormatting sqref="S161">
    <cfRule type="cellIs" dxfId="31029" priority="3384" operator="lessThan">
      <formula>0.8</formula>
    </cfRule>
  </conditionalFormatting>
  <conditionalFormatting sqref="Q161:Q166">
    <cfRule type="cellIs" dxfId="31028" priority="3383" operator="lessThan">
      <formula>0</formula>
    </cfRule>
  </conditionalFormatting>
  <conditionalFormatting sqref="R161:R166">
    <cfRule type="cellIs" dxfId="31027" priority="3381" operator="lessThan">
      <formula>0.8</formula>
    </cfRule>
    <cfRule type="cellIs" dxfId="31026" priority="3382" operator="greaterThan">
      <formula>1</formula>
    </cfRule>
  </conditionalFormatting>
  <conditionalFormatting sqref="R161:R166">
    <cfRule type="cellIs" dxfId="31025" priority="3379" operator="greaterThan">
      <formula>1</formula>
    </cfRule>
    <cfRule type="cellIs" dxfId="31024" priority="3380" operator="lessThan">
      <formula>0.8</formula>
    </cfRule>
  </conditionalFormatting>
  <conditionalFormatting sqref="P161:P166">
    <cfRule type="cellIs" dxfId="31023" priority="3378" operator="greaterThan">
      <formula>0</formula>
    </cfRule>
  </conditionalFormatting>
  <conditionalFormatting sqref="Q169:Q172 AF161:AF172">
    <cfRule type="cellIs" dxfId="31022" priority="3377" operator="lessThan">
      <formula>0</formula>
    </cfRule>
  </conditionalFormatting>
  <conditionalFormatting sqref="R169:R172">
    <cfRule type="cellIs" dxfId="31021" priority="3375" operator="lessThan">
      <formula>0.8</formula>
    </cfRule>
    <cfRule type="cellIs" dxfId="31020" priority="3376" operator="greaterThan">
      <formula>1</formula>
    </cfRule>
  </conditionalFormatting>
  <conditionalFormatting sqref="R169:R172 AG161:AG172">
    <cfRule type="cellIs" dxfId="31019" priority="3373" operator="greaterThan">
      <formula>1</formula>
    </cfRule>
    <cfRule type="cellIs" dxfId="31018" priority="3374" operator="lessThan">
      <formula>0.8</formula>
    </cfRule>
  </conditionalFormatting>
  <conditionalFormatting sqref="P169:P172">
    <cfRule type="cellIs" dxfId="31017" priority="3372" operator="greaterThan">
      <formula>0</formula>
    </cfRule>
  </conditionalFormatting>
  <conditionalFormatting sqref="AF145">
    <cfRule type="cellIs" dxfId="31016" priority="3371" operator="lessThan">
      <formula>0</formula>
    </cfRule>
  </conditionalFormatting>
  <conditionalFormatting sqref="AG145">
    <cfRule type="cellIs" dxfId="31015" priority="3369" operator="greaterThan">
      <formula>1</formula>
    </cfRule>
    <cfRule type="cellIs" dxfId="31014" priority="3370" operator="lessThan">
      <formula>0.8</formula>
    </cfRule>
  </conditionalFormatting>
  <conditionalFormatting sqref="AF44:AF52">
    <cfRule type="cellIs" dxfId="31013" priority="3368" operator="lessThan">
      <formula>0</formula>
    </cfRule>
  </conditionalFormatting>
  <conditionalFormatting sqref="AG44:AG52">
    <cfRule type="cellIs" dxfId="31012" priority="3366" operator="greaterThan">
      <formula>1</formula>
    </cfRule>
    <cfRule type="cellIs" dxfId="31011" priority="3367" operator="lessThan">
      <formula>0.8</formula>
    </cfRule>
  </conditionalFormatting>
  <conditionalFormatting sqref="AF83:AF94">
    <cfRule type="cellIs" dxfId="31010" priority="3365" operator="lessThan">
      <formula>0</formula>
    </cfRule>
  </conditionalFormatting>
  <conditionalFormatting sqref="AH83">
    <cfRule type="cellIs" dxfId="31009" priority="3364" operator="lessThan">
      <formula>0.8</formula>
    </cfRule>
  </conditionalFormatting>
  <conditionalFormatting sqref="AG83:AG94">
    <cfRule type="cellIs" dxfId="31008" priority="3362" operator="greaterThan">
      <formula>1</formula>
    </cfRule>
    <cfRule type="cellIs" dxfId="31007" priority="3363" operator="lessThan">
      <formula>0.8</formula>
    </cfRule>
  </conditionalFormatting>
  <conditionalFormatting sqref="S83">
    <cfRule type="cellIs" dxfId="31006" priority="3361" operator="lessThan">
      <formula>0.8</formula>
    </cfRule>
  </conditionalFormatting>
  <conditionalFormatting sqref="AH84">
    <cfRule type="cellIs" dxfId="31005" priority="3360" operator="lessThan">
      <formula>0.8</formula>
    </cfRule>
  </conditionalFormatting>
  <conditionalFormatting sqref="S84">
    <cfRule type="cellIs" dxfId="31004" priority="3359" operator="lessThan">
      <formula>0.8</formula>
    </cfRule>
  </conditionalFormatting>
  <conditionalFormatting sqref="S90">
    <cfRule type="cellIs" dxfId="31003" priority="3358" operator="lessThan">
      <formula>0.8</formula>
    </cfRule>
  </conditionalFormatting>
  <conditionalFormatting sqref="AH90">
    <cfRule type="cellIs" dxfId="31002" priority="3357" operator="lessThan">
      <formula>0.8</formula>
    </cfRule>
  </conditionalFormatting>
  <conditionalFormatting sqref="AF122">
    <cfRule type="cellIs" dxfId="31001" priority="3356" operator="lessThan">
      <formula>0</formula>
    </cfRule>
  </conditionalFormatting>
  <conditionalFormatting sqref="S122">
    <cfRule type="cellIs" dxfId="31000" priority="3355" operator="lessThan">
      <formula>0.8</formula>
    </cfRule>
  </conditionalFormatting>
  <conditionalFormatting sqref="AG122">
    <cfRule type="cellIs" dxfId="30999" priority="3353" operator="greaterThan">
      <formula>1</formula>
    </cfRule>
    <cfRule type="cellIs" dxfId="30998" priority="3354" operator="lessThan">
      <formula>0.8</formula>
    </cfRule>
  </conditionalFormatting>
  <conditionalFormatting sqref="P162:P168">
    <cfRule type="cellIs" dxfId="30997" priority="3347" operator="greaterThan">
      <formula>0</formula>
    </cfRule>
  </conditionalFormatting>
  <conditionalFormatting sqref="R162:R168">
    <cfRule type="cellIs" dxfId="30996" priority="3350" operator="lessThan">
      <formula>0.8</formula>
    </cfRule>
    <cfRule type="cellIs" dxfId="30995" priority="3351" operator="greaterThan">
      <formula>1</formula>
    </cfRule>
  </conditionalFormatting>
  <conditionalFormatting sqref="R162:R168">
    <cfRule type="cellIs" dxfId="30994" priority="3348" operator="greaterThan">
      <formula>1</formula>
    </cfRule>
    <cfRule type="cellIs" dxfId="30993" priority="3349" operator="lessThan">
      <formula>0.8</formula>
    </cfRule>
  </conditionalFormatting>
  <conditionalFormatting sqref="Q162:Q168">
    <cfRule type="cellIs" dxfId="30992" priority="3352" operator="lessThan">
      <formula>0</formula>
    </cfRule>
  </conditionalFormatting>
  <conditionalFormatting sqref="P132:P133">
    <cfRule type="cellIs" dxfId="30991" priority="3340" operator="greaterThan">
      <formula>0</formula>
    </cfRule>
  </conditionalFormatting>
  <conditionalFormatting sqref="AF124 Q132:Q133 AF126:AF133">
    <cfRule type="cellIs" dxfId="30990" priority="3346" operator="lessThan">
      <formula>0</formula>
    </cfRule>
  </conditionalFormatting>
  <conditionalFormatting sqref="S124:S133">
    <cfRule type="cellIs" dxfId="30989" priority="3345" operator="lessThan">
      <formula>0.8</formula>
    </cfRule>
  </conditionalFormatting>
  <conditionalFormatting sqref="R132:R133">
    <cfRule type="cellIs" dxfId="30988" priority="3343" operator="lessThan">
      <formula>0.8</formula>
    </cfRule>
    <cfRule type="cellIs" dxfId="30987" priority="3344" operator="greaterThan">
      <formula>1</formula>
    </cfRule>
  </conditionalFormatting>
  <conditionalFormatting sqref="AG124 R132:R133 AG126:AG133">
    <cfRule type="cellIs" dxfId="30986" priority="3341" operator="greaterThan">
      <formula>1</formula>
    </cfRule>
    <cfRule type="cellIs" dxfId="30985" priority="3342" operator="lessThan">
      <formula>0.8</formula>
    </cfRule>
  </conditionalFormatting>
  <conditionalFormatting sqref="AF112 AF115">
    <cfRule type="cellIs" dxfId="30984" priority="3339" operator="lessThan">
      <formula>0</formula>
    </cfRule>
  </conditionalFormatting>
  <conditionalFormatting sqref="AG112 AG115">
    <cfRule type="cellIs" dxfId="30983" priority="3337" operator="greaterThan">
      <formula>1</formula>
    </cfRule>
    <cfRule type="cellIs" dxfId="30982" priority="3338" operator="lessThan">
      <formula>0.8</formula>
    </cfRule>
  </conditionalFormatting>
  <conditionalFormatting sqref="AF111 AF114 AF117">
    <cfRule type="cellIs" dxfId="30981" priority="3336" operator="lessThan">
      <formula>0</formula>
    </cfRule>
  </conditionalFormatting>
  <conditionalFormatting sqref="AH109">
    <cfRule type="cellIs" dxfId="30980" priority="3335" operator="lessThan">
      <formula>0.8</formula>
    </cfRule>
  </conditionalFormatting>
  <conditionalFormatting sqref="AG111 AG114 AG117">
    <cfRule type="cellIs" dxfId="30979" priority="3333" operator="greaterThan">
      <formula>1</formula>
    </cfRule>
    <cfRule type="cellIs" dxfId="30978" priority="3334" operator="lessThan">
      <formula>0.8</formula>
    </cfRule>
  </conditionalFormatting>
  <conditionalFormatting sqref="R160 AG160">
    <cfRule type="cellIs" dxfId="30977" priority="3328" operator="greaterThan">
      <formula>1</formula>
    </cfRule>
    <cfRule type="cellIs" dxfId="30976" priority="3329" operator="lessThan">
      <formula>0.8</formula>
    </cfRule>
  </conditionalFormatting>
  <conditionalFormatting sqref="R160">
    <cfRule type="cellIs" dxfId="30975" priority="3330" operator="lessThan">
      <formula>0.8</formula>
    </cfRule>
    <cfRule type="cellIs" dxfId="30974" priority="3331" operator="greaterThan">
      <formula>1</formula>
    </cfRule>
  </conditionalFormatting>
  <conditionalFormatting sqref="P160">
    <cfRule type="cellIs" dxfId="30973" priority="3327" operator="greaterThan">
      <formula>0</formula>
    </cfRule>
  </conditionalFormatting>
  <conditionalFormatting sqref="AH148">
    <cfRule type="cellIs" dxfId="30972" priority="3326" operator="lessThan">
      <formula>0.8</formula>
    </cfRule>
  </conditionalFormatting>
  <conditionalFormatting sqref="Q160 AF160">
    <cfRule type="cellIs" dxfId="30971" priority="3332" operator="lessThan">
      <formula>0</formula>
    </cfRule>
  </conditionalFormatting>
  <conditionalFormatting sqref="AF148:AF154">
    <cfRule type="cellIs" dxfId="30970" priority="3325" operator="lessThan">
      <formula>0</formula>
    </cfRule>
  </conditionalFormatting>
  <conditionalFormatting sqref="S148">
    <cfRule type="cellIs" dxfId="30969" priority="3324" operator="lessThan">
      <formula>0.8</formula>
    </cfRule>
  </conditionalFormatting>
  <conditionalFormatting sqref="AG148:AG154">
    <cfRule type="cellIs" dxfId="30968" priority="3322" operator="greaterThan">
      <formula>1</formula>
    </cfRule>
    <cfRule type="cellIs" dxfId="30967" priority="3323" operator="lessThan">
      <formula>0.8</formula>
    </cfRule>
  </conditionalFormatting>
  <conditionalFormatting sqref="S86">
    <cfRule type="cellIs" dxfId="30966" priority="3321" operator="lessThan">
      <formula>0.8</formula>
    </cfRule>
  </conditionalFormatting>
  <conditionalFormatting sqref="S88 AH88">
    <cfRule type="cellIs" dxfId="30965" priority="3316" operator="lessThan">
      <formula>0.8</formula>
    </cfRule>
  </conditionalFormatting>
  <conditionalFormatting sqref="AH86">
    <cfRule type="cellIs" dxfId="30964" priority="3320" operator="lessThan">
      <formula>0.8</formula>
    </cfRule>
  </conditionalFormatting>
  <conditionalFormatting sqref="S87">
    <cfRule type="cellIs" dxfId="30963" priority="3319" operator="lessThan">
      <formula>0.8</formula>
    </cfRule>
  </conditionalFormatting>
  <conditionalFormatting sqref="AH87">
    <cfRule type="cellIs" dxfId="30962" priority="3318" operator="lessThan">
      <formula>0.8</formula>
    </cfRule>
  </conditionalFormatting>
  <conditionalFormatting sqref="S89 AH89">
    <cfRule type="cellIs" dxfId="30961" priority="3317" operator="lessThan">
      <formula>0.8</formula>
    </cfRule>
  </conditionalFormatting>
  <conditionalFormatting sqref="AF31">
    <cfRule type="cellIs" dxfId="30960" priority="3315" operator="lessThan">
      <formula>0</formula>
    </cfRule>
  </conditionalFormatting>
  <conditionalFormatting sqref="AH31 S31">
    <cfRule type="cellIs" dxfId="30959" priority="3314" operator="lessThan">
      <formula>0.8</formula>
    </cfRule>
  </conditionalFormatting>
  <conditionalFormatting sqref="AG31">
    <cfRule type="cellIs" dxfId="30958" priority="3312" operator="greaterThan">
      <formula>1</formula>
    </cfRule>
    <cfRule type="cellIs" dxfId="30957" priority="3313" operator="lessThan">
      <formula>0.8</formula>
    </cfRule>
  </conditionalFormatting>
  <conditionalFormatting sqref="AF135">
    <cfRule type="cellIs" dxfId="30956" priority="3311" operator="lessThan">
      <formula>0</formula>
    </cfRule>
  </conditionalFormatting>
  <conditionalFormatting sqref="AH135 S135">
    <cfRule type="cellIs" dxfId="30955" priority="3310" operator="lessThan">
      <formula>0.8</formula>
    </cfRule>
  </conditionalFormatting>
  <conditionalFormatting sqref="AG135">
    <cfRule type="cellIs" dxfId="30954" priority="3308" operator="greaterThan">
      <formula>1</formula>
    </cfRule>
    <cfRule type="cellIs" dxfId="30953" priority="3309" operator="lessThan">
      <formula>0.8</formula>
    </cfRule>
  </conditionalFormatting>
  <conditionalFormatting sqref="AF110 AF113 AF116">
    <cfRule type="cellIs" dxfId="30952" priority="3307" operator="lessThan">
      <formula>0</formula>
    </cfRule>
  </conditionalFormatting>
  <conditionalFormatting sqref="AG110 AG113 AG116">
    <cfRule type="cellIs" dxfId="30951" priority="3305" operator="greaterThan">
      <formula>1</formula>
    </cfRule>
    <cfRule type="cellIs" dxfId="30950" priority="3306" operator="lessThan">
      <formula>0.8</formula>
    </cfRule>
  </conditionalFormatting>
  <conditionalFormatting sqref="AF108 Q108">
    <cfRule type="cellIs" dxfId="30949" priority="3304" operator="lessThan">
      <formula>0</formula>
    </cfRule>
  </conditionalFormatting>
  <conditionalFormatting sqref="R108">
    <cfRule type="cellIs" dxfId="30948" priority="3302" operator="lessThan">
      <formula>0.8</formula>
    </cfRule>
    <cfRule type="cellIs" dxfId="30947" priority="3303" operator="greaterThan">
      <formula>1</formula>
    </cfRule>
  </conditionalFormatting>
  <conditionalFormatting sqref="AG108 R108">
    <cfRule type="cellIs" dxfId="30946" priority="3300" operator="greaterThan">
      <formula>1</formula>
    </cfRule>
    <cfRule type="cellIs" dxfId="30945" priority="3301" operator="lessThan">
      <formula>0.8</formula>
    </cfRule>
  </conditionalFormatting>
  <conditionalFormatting sqref="P108">
    <cfRule type="cellIs" dxfId="30944" priority="3299" operator="greaterThan">
      <formula>0</formula>
    </cfRule>
  </conditionalFormatting>
  <conditionalFormatting sqref="AH97">
    <cfRule type="cellIs" dxfId="30943" priority="3294" operator="lessThan">
      <formula>0.8</formula>
    </cfRule>
  </conditionalFormatting>
  <conditionalFormatting sqref="AG96">
    <cfRule type="cellIs" dxfId="30942" priority="3296" operator="greaterThan">
      <formula>1</formula>
    </cfRule>
    <cfRule type="cellIs" dxfId="30941" priority="3297" operator="lessThan">
      <formula>0.8</formula>
    </cfRule>
  </conditionalFormatting>
  <conditionalFormatting sqref="AF96">
    <cfRule type="cellIs" dxfId="30940" priority="3298" operator="lessThan">
      <formula>0</formula>
    </cfRule>
  </conditionalFormatting>
  <conditionalFormatting sqref="AG97">
    <cfRule type="cellIs" dxfId="30939" priority="3292" operator="greaterThan">
      <formula>1</formula>
    </cfRule>
    <cfRule type="cellIs" dxfId="30938" priority="3293" operator="lessThan">
      <formula>0.8</formula>
    </cfRule>
  </conditionalFormatting>
  <conditionalFormatting sqref="AF97">
    <cfRule type="cellIs" dxfId="30937" priority="3295" operator="lessThan">
      <formula>0</formula>
    </cfRule>
  </conditionalFormatting>
  <conditionalFormatting sqref="AF71 AF73 AF75 AF77 AF79">
    <cfRule type="cellIs" dxfId="30936" priority="3289" operator="lessThan">
      <formula>0</formula>
    </cfRule>
  </conditionalFormatting>
  <conditionalFormatting sqref="S71 AH71">
    <cfRule type="cellIs" dxfId="30935" priority="3288" operator="lessThan">
      <formula>0.8</formula>
    </cfRule>
  </conditionalFormatting>
  <conditionalFormatting sqref="AG71 AG73 AG75 AG77 AG79">
    <cfRule type="cellIs" dxfId="30934" priority="3286" operator="greaterThan">
      <formula>1</formula>
    </cfRule>
    <cfRule type="cellIs" dxfId="30933" priority="3287" operator="lessThan">
      <formula>0.8</formula>
    </cfRule>
  </conditionalFormatting>
  <conditionalFormatting sqref="AF72 AF74 AF76 AF78 AF80">
    <cfRule type="cellIs" dxfId="30932" priority="3285" operator="lessThan">
      <formula>0</formula>
    </cfRule>
  </conditionalFormatting>
  <conditionalFormatting sqref="S72 AH72">
    <cfRule type="cellIs" dxfId="30931" priority="3284" operator="lessThan">
      <formula>0.8</formula>
    </cfRule>
  </conditionalFormatting>
  <conditionalFormatting sqref="S11">
    <cfRule type="cellIs" dxfId="30930" priority="3291" operator="lessThan">
      <formula>0.8</formula>
    </cfRule>
  </conditionalFormatting>
  <conditionalFormatting sqref="S10">
    <cfRule type="cellIs" dxfId="30929" priority="3290" operator="lessThan">
      <formula>0.8</formula>
    </cfRule>
  </conditionalFormatting>
  <conditionalFormatting sqref="AG72 AG74 AG76 AG78 AG80">
    <cfRule type="cellIs" dxfId="30928" priority="3282" operator="greaterThan">
      <formula>1</formula>
    </cfRule>
    <cfRule type="cellIs" dxfId="30927" priority="3283" operator="lessThan">
      <formula>0.8</formula>
    </cfRule>
  </conditionalFormatting>
  <conditionalFormatting sqref="AF13:AF16 Q15:Q16">
    <cfRule type="cellIs" dxfId="30926" priority="3281" operator="lessThan">
      <formula>0</formula>
    </cfRule>
  </conditionalFormatting>
  <conditionalFormatting sqref="R15:R16">
    <cfRule type="cellIs" dxfId="30925" priority="3279" operator="lessThan">
      <formula>0.8</formula>
    </cfRule>
    <cfRule type="cellIs" dxfId="30924" priority="3280" operator="greaterThan">
      <formula>1</formula>
    </cfRule>
  </conditionalFormatting>
  <conditionalFormatting sqref="AG12:AG16 R15:R16">
    <cfRule type="cellIs" dxfId="30923" priority="3277" operator="greaterThan">
      <formula>1</formula>
    </cfRule>
    <cfRule type="cellIs" dxfId="30922" priority="3278" operator="lessThan">
      <formula>0.8</formula>
    </cfRule>
  </conditionalFormatting>
  <conditionalFormatting sqref="P15:P16">
    <cfRule type="cellIs" dxfId="30921" priority="3276" operator="greaterThan">
      <formula>0</formula>
    </cfRule>
  </conditionalFormatting>
  <conditionalFormatting sqref="AF98 AF100 AF102 AF104">
    <cfRule type="cellIs" dxfId="30920" priority="3275" operator="lessThan">
      <formula>0</formula>
    </cfRule>
  </conditionalFormatting>
  <conditionalFormatting sqref="AH98">
    <cfRule type="cellIs" dxfId="30919" priority="3274" operator="lessThan">
      <formula>0.8</formula>
    </cfRule>
  </conditionalFormatting>
  <conditionalFormatting sqref="AG98 AG100 AG102 AG104">
    <cfRule type="cellIs" dxfId="30918" priority="3272" operator="greaterThan">
      <formula>1</formula>
    </cfRule>
    <cfRule type="cellIs" dxfId="30917" priority="3273" operator="lessThan">
      <formula>0.8</formula>
    </cfRule>
  </conditionalFormatting>
  <conditionalFormatting sqref="AF20 AF22 AF24 AF26 AF28">
    <cfRule type="cellIs" dxfId="30916" priority="3271" operator="lessThan">
      <formula>0</formula>
    </cfRule>
  </conditionalFormatting>
  <conditionalFormatting sqref="AG20 AG22 AG24 AG26 AG28">
    <cfRule type="cellIs" dxfId="30915" priority="3269" operator="greaterThan">
      <formula>1</formula>
    </cfRule>
    <cfRule type="cellIs" dxfId="30914" priority="3270" operator="lessThan">
      <formula>0.8</formula>
    </cfRule>
  </conditionalFormatting>
  <conditionalFormatting sqref="AF33">
    <cfRule type="cellIs" dxfId="30913" priority="3268" operator="lessThan">
      <formula>0</formula>
    </cfRule>
  </conditionalFormatting>
  <conditionalFormatting sqref="AG33">
    <cfRule type="cellIs" dxfId="30912" priority="3266" operator="greaterThan">
      <formula>1</formula>
    </cfRule>
    <cfRule type="cellIs" dxfId="30911" priority="3267" operator="lessThan">
      <formula>0.8</formula>
    </cfRule>
  </conditionalFormatting>
  <conditionalFormatting sqref="P41:P42">
    <cfRule type="cellIs" dxfId="30910" priority="3260" operator="greaterThan">
      <formula>0</formula>
    </cfRule>
  </conditionalFormatting>
  <conditionalFormatting sqref="Q41:Q42 AF34:AF42">
    <cfRule type="cellIs" dxfId="30909" priority="3265" operator="lessThan">
      <formula>0</formula>
    </cfRule>
  </conditionalFormatting>
  <conditionalFormatting sqref="R41:R42">
    <cfRule type="cellIs" dxfId="30908" priority="3263" operator="lessThan">
      <formula>0.8</formula>
    </cfRule>
    <cfRule type="cellIs" dxfId="30907" priority="3264" operator="greaterThan">
      <formula>1</formula>
    </cfRule>
  </conditionalFormatting>
  <conditionalFormatting sqref="R41:R42 AG34:AG42">
    <cfRule type="cellIs" dxfId="30906" priority="3261" operator="greaterThan">
      <formula>1</formula>
    </cfRule>
    <cfRule type="cellIs" dxfId="30905" priority="3262" operator="lessThan">
      <formula>0.8</formula>
    </cfRule>
  </conditionalFormatting>
  <conditionalFormatting sqref="AF137:AF144">
    <cfRule type="cellIs" dxfId="30904" priority="3259" operator="lessThan">
      <formula>0</formula>
    </cfRule>
  </conditionalFormatting>
  <conditionalFormatting sqref="AH137 S137">
    <cfRule type="cellIs" dxfId="30903" priority="3258" operator="lessThan">
      <formula>0.8</formula>
    </cfRule>
  </conditionalFormatting>
  <conditionalFormatting sqref="AG137:AG144">
    <cfRule type="cellIs" dxfId="30902" priority="3256" operator="greaterThan">
      <formula>1</formula>
    </cfRule>
    <cfRule type="cellIs" dxfId="30901" priority="3257" operator="lessThan">
      <formula>0.8</formula>
    </cfRule>
  </conditionalFormatting>
  <conditionalFormatting sqref="AF53:AF55">
    <cfRule type="cellIs" dxfId="30900" priority="3255" operator="lessThan">
      <formula>0</formula>
    </cfRule>
  </conditionalFormatting>
  <conditionalFormatting sqref="AG53:AG55">
    <cfRule type="cellIs" dxfId="30899" priority="3253" operator="greaterThan">
      <formula>1</formula>
    </cfRule>
    <cfRule type="cellIs" dxfId="30898" priority="3254" operator="lessThan">
      <formula>0.8</formula>
    </cfRule>
  </conditionalFormatting>
  <conditionalFormatting sqref="AF56 Q56">
    <cfRule type="cellIs" dxfId="30897" priority="3252" operator="lessThan">
      <formula>0</formula>
    </cfRule>
  </conditionalFormatting>
  <conditionalFormatting sqref="R56">
    <cfRule type="cellIs" dxfId="30896" priority="3250" operator="lessThan">
      <formula>0.8</formula>
    </cfRule>
    <cfRule type="cellIs" dxfId="30895" priority="3251" operator="greaterThan">
      <formula>1</formula>
    </cfRule>
  </conditionalFormatting>
  <conditionalFormatting sqref="AG56 R56">
    <cfRule type="cellIs" dxfId="30894" priority="3248" operator="greaterThan">
      <formula>1</formula>
    </cfRule>
    <cfRule type="cellIs" dxfId="30893" priority="3249" operator="lessThan">
      <formula>0.8</formula>
    </cfRule>
  </conditionalFormatting>
  <conditionalFormatting sqref="P56">
    <cfRule type="cellIs" dxfId="30892" priority="3247" operator="greaterThan">
      <formula>0</formula>
    </cfRule>
  </conditionalFormatting>
  <conditionalFormatting sqref="P52:P55">
    <cfRule type="cellIs" dxfId="30891" priority="3241" operator="greaterThan">
      <formula>0</formula>
    </cfRule>
  </conditionalFormatting>
  <conditionalFormatting sqref="Q52:Q55">
    <cfRule type="cellIs" dxfId="30890" priority="3246" operator="lessThan">
      <formula>0</formula>
    </cfRule>
  </conditionalFormatting>
  <conditionalFormatting sqref="R52:R55">
    <cfRule type="cellIs" dxfId="30889" priority="3244" operator="lessThan">
      <formula>0.8</formula>
    </cfRule>
    <cfRule type="cellIs" dxfId="30888" priority="3245" operator="greaterThan">
      <formula>1</formula>
    </cfRule>
  </conditionalFormatting>
  <conditionalFormatting sqref="R52:R55">
    <cfRule type="cellIs" dxfId="30887" priority="3242" operator="greaterThan">
      <formula>1</formula>
    </cfRule>
    <cfRule type="cellIs" dxfId="30886" priority="3243" operator="lessThan">
      <formula>0.8</formula>
    </cfRule>
  </conditionalFormatting>
  <conditionalFormatting sqref="P80:P81">
    <cfRule type="cellIs" dxfId="30885" priority="3235" operator="greaterThan">
      <formula>0</formula>
    </cfRule>
  </conditionalFormatting>
  <conditionalFormatting sqref="AF81 Q80:Q81">
    <cfRule type="cellIs" dxfId="30884" priority="3240" operator="lessThan">
      <formula>0</formula>
    </cfRule>
  </conditionalFormatting>
  <conditionalFormatting sqref="R80:R81">
    <cfRule type="cellIs" dxfId="30883" priority="3238" operator="lessThan">
      <formula>0.8</formula>
    </cfRule>
    <cfRule type="cellIs" dxfId="30882" priority="3239" operator="greaterThan">
      <formula>1</formula>
    </cfRule>
  </conditionalFormatting>
  <conditionalFormatting sqref="AG81 R80:R81">
    <cfRule type="cellIs" dxfId="30881" priority="3236" operator="greaterThan">
      <formula>1</formula>
    </cfRule>
    <cfRule type="cellIs" dxfId="30880" priority="3237" operator="lessThan">
      <formula>0.8</formula>
    </cfRule>
  </conditionalFormatting>
  <conditionalFormatting sqref="AH85">
    <cfRule type="cellIs" dxfId="30879" priority="3234" operator="lessThan">
      <formula>0.8</formula>
    </cfRule>
  </conditionalFormatting>
  <conditionalFormatting sqref="S85">
    <cfRule type="cellIs" dxfId="30878" priority="3233" operator="lessThan">
      <formula>0.8</formula>
    </cfRule>
  </conditionalFormatting>
  <conditionalFormatting sqref="AF99 AF101 AF103">
    <cfRule type="cellIs" dxfId="30877" priority="3232" operator="lessThan">
      <formula>0</formula>
    </cfRule>
  </conditionalFormatting>
  <conditionalFormatting sqref="AG99 AG101 AG103">
    <cfRule type="cellIs" dxfId="30876" priority="3230" operator="greaterThan">
      <formula>1</formula>
    </cfRule>
    <cfRule type="cellIs" dxfId="30875" priority="3231" operator="lessThan">
      <formula>0.8</formula>
    </cfRule>
  </conditionalFormatting>
  <conditionalFormatting sqref="AF105:AF107">
    <cfRule type="cellIs" dxfId="30874" priority="3229" operator="lessThan">
      <formula>0</formula>
    </cfRule>
  </conditionalFormatting>
  <conditionalFormatting sqref="AH100:AH107">
    <cfRule type="cellIs" dxfId="30873" priority="3228" operator="lessThan">
      <formula>0.8</formula>
    </cfRule>
  </conditionalFormatting>
  <conditionalFormatting sqref="AG105:AG107">
    <cfRule type="cellIs" dxfId="30872" priority="3226" operator="greaterThan">
      <formula>1</formula>
    </cfRule>
    <cfRule type="cellIs" dxfId="30871" priority="3227" operator="lessThan">
      <formula>0.8</formula>
    </cfRule>
  </conditionalFormatting>
  <conditionalFormatting sqref="P106:P107">
    <cfRule type="cellIs" dxfId="30870" priority="3220" operator="greaterThan">
      <formula>0</formula>
    </cfRule>
  </conditionalFormatting>
  <conditionalFormatting sqref="Q106:Q107">
    <cfRule type="cellIs" dxfId="30869" priority="3225" operator="lessThan">
      <formula>0</formula>
    </cfRule>
  </conditionalFormatting>
  <conditionalFormatting sqref="R106:R107">
    <cfRule type="cellIs" dxfId="30868" priority="3223" operator="lessThan">
      <formula>0.8</formula>
    </cfRule>
    <cfRule type="cellIs" dxfId="30867" priority="3224" operator="greaterThan">
      <formula>1</formula>
    </cfRule>
  </conditionalFormatting>
  <conditionalFormatting sqref="R106:R107">
    <cfRule type="cellIs" dxfId="30866" priority="3221" operator="greaterThan">
      <formula>1</formula>
    </cfRule>
    <cfRule type="cellIs" dxfId="30865" priority="3222" operator="lessThan">
      <formula>0.8</formula>
    </cfRule>
  </conditionalFormatting>
  <conditionalFormatting sqref="AF109">
    <cfRule type="cellIs" dxfId="30864" priority="3219" operator="lessThan">
      <formula>0</formula>
    </cfRule>
  </conditionalFormatting>
  <conditionalFormatting sqref="S109">
    <cfRule type="cellIs" dxfId="30863" priority="3218" operator="lessThan">
      <formula>0.8</formula>
    </cfRule>
  </conditionalFormatting>
  <conditionalFormatting sqref="AG109">
    <cfRule type="cellIs" dxfId="30862" priority="3216" operator="greaterThan">
      <formula>1</formula>
    </cfRule>
    <cfRule type="cellIs" dxfId="30861" priority="3217" operator="lessThan">
      <formula>0.8</formula>
    </cfRule>
  </conditionalFormatting>
  <conditionalFormatting sqref="S150">
    <cfRule type="cellIs" dxfId="30860" priority="3215" operator="lessThan">
      <formula>0.8</formula>
    </cfRule>
  </conditionalFormatting>
  <conditionalFormatting sqref="AH150">
    <cfRule type="cellIs" dxfId="30859" priority="3214" operator="lessThan">
      <formula>0.8</formula>
    </cfRule>
  </conditionalFormatting>
  <conditionalFormatting sqref="S149">
    <cfRule type="cellIs" dxfId="30858" priority="3213" operator="lessThan">
      <formula>0.8</formula>
    </cfRule>
  </conditionalFormatting>
  <conditionalFormatting sqref="Q26:Q29">
    <cfRule type="cellIs" dxfId="30857" priority="3212" operator="lessThan">
      <formula>0</formula>
    </cfRule>
  </conditionalFormatting>
  <conditionalFormatting sqref="S21:S29 AH21:AH29">
    <cfRule type="cellIs" dxfId="30856" priority="3211" operator="lessThan">
      <formula>0.8</formula>
    </cfRule>
  </conditionalFormatting>
  <conditionalFormatting sqref="R26:R29">
    <cfRule type="cellIs" dxfId="30855" priority="3209" operator="lessThan">
      <formula>0.8</formula>
    </cfRule>
    <cfRule type="cellIs" dxfId="30854" priority="3210" operator="greaterThan">
      <formula>1</formula>
    </cfRule>
  </conditionalFormatting>
  <conditionalFormatting sqref="R26:R29">
    <cfRule type="cellIs" dxfId="30853" priority="3207" operator="greaterThan">
      <formula>1</formula>
    </cfRule>
    <cfRule type="cellIs" dxfId="30852" priority="3208" operator="lessThan">
      <formula>0.8</formula>
    </cfRule>
  </conditionalFormatting>
  <conditionalFormatting sqref="P26:P29">
    <cfRule type="cellIs" dxfId="30851" priority="3206" operator="greaterThan">
      <formula>0</formula>
    </cfRule>
  </conditionalFormatting>
  <conditionalFormatting sqref="AH91 S91">
    <cfRule type="cellIs" dxfId="30850" priority="3205" operator="lessThan">
      <formula>0.8</formula>
    </cfRule>
  </conditionalFormatting>
  <conditionalFormatting sqref="P92:P94">
    <cfRule type="cellIs" dxfId="30849" priority="3199" operator="greaterThan">
      <formula>0</formula>
    </cfRule>
  </conditionalFormatting>
  <conditionalFormatting sqref="Q92:Q94">
    <cfRule type="cellIs" dxfId="30848" priority="3204" operator="lessThan">
      <formula>0</formula>
    </cfRule>
  </conditionalFormatting>
  <conditionalFormatting sqref="R92:R94">
    <cfRule type="cellIs" dxfId="30847" priority="3202" operator="lessThan">
      <formula>0.8</formula>
    </cfRule>
    <cfRule type="cellIs" dxfId="30846" priority="3203" operator="greaterThan">
      <formula>1</formula>
    </cfRule>
  </conditionalFormatting>
  <conditionalFormatting sqref="R92:R94">
    <cfRule type="cellIs" dxfId="30845" priority="3200" operator="greaterThan">
      <formula>1</formula>
    </cfRule>
    <cfRule type="cellIs" dxfId="30844" priority="3201" operator="lessThan">
      <formula>0.8</formula>
    </cfRule>
  </conditionalFormatting>
  <conditionalFormatting sqref="AF146 Q145:Q146">
    <cfRule type="cellIs" dxfId="30843" priority="3198" operator="lessThan">
      <formula>0</formula>
    </cfRule>
  </conditionalFormatting>
  <conditionalFormatting sqref="AH139:AH146 S139:S146">
    <cfRule type="cellIs" dxfId="30842" priority="3197" operator="lessThan">
      <formula>0.8</formula>
    </cfRule>
  </conditionalFormatting>
  <conditionalFormatting sqref="R145:R146">
    <cfRule type="cellIs" dxfId="30841" priority="3195" operator="lessThan">
      <formula>0.8</formula>
    </cfRule>
    <cfRule type="cellIs" dxfId="30840" priority="3196" operator="greaterThan">
      <formula>1</formula>
    </cfRule>
  </conditionalFormatting>
  <conditionalFormatting sqref="AG146 R145:R146">
    <cfRule type="cellIs" dxfId="30839" priority="3193" operator="greaterThan">
      <formula>1</formula>
    </cfRule>
    <cfRule type="cellIs" dxfId="30838" priority="3194" operator="lessThan">
      <formula>0.8</formula>
    </cfRule>
  </conditionalFormatting>
  <conditionalFormatting sqref="P145:P146">
    <cfRule type="cellIs" dxfId="30837" priority="3192" operator="greaterThan">
      <formula>0</formula>
    </cfRule>
  </conditionalFormatting>
  <conditionalFormatting sqref="Q119:Q120">
    <cfRule type="cellIs" dxfId="30836" priority="3191" operator="lessThan">
      <formula>0</formula>
    </cfRule>
  </conditionalFormatting>
  <conditionalFormatting sqref="R119:R120">
    <cfRule type="cellIs" dxfId="30835" priority="3189" operator="lessThan">
      <formula>0.8</formula>
    </cfRule>
    <cfRule type="cellIs" dxfId="30834" priority="3190" operator="greaterThan">
      <formula>1</formula>
    </cfRule>
  </conditionalFormatting>
  <conditionalFormatting sqref="R119:R120">
    <cfRule type="cellIs" dxfId="30833" priority="3187" operator="greaterThan">
      <formula>1</formula>
    </cfRule>
    <cfRule type="cellIs" dxfId="30832" priority="3188" operator="lessThan">
      <formula>0.8</formula>
    </cfRule>
  </conditionalFormatting>
  <conditionalFormatting sqref="P119:P120">
    <cfRule type="cellIs" dxfId="30831" priority="3186" operator="greaterThan">
      <formula>0</formula>
    </cfRule>
  </conditionalFormatting>
  <conditionalFormatting sqref="AF118:AF120">
    <cfRule type="cellIs" dxfId="30830" priority="3185" operator="lessThan">
      <formula>0</formula>
    </cfRule>
  </conditionalFormatting>
  <conditionalFormatting sqref="AG118:AG120">
    <cfRule type="cellIs" dxfId="30829" priority="3183" operator="greaterThan">
      <formula>1</formula>
    </cfRule>
    <cfRule type="cellIs" dxfId="30828" priority="3184" operator="lessThan">
      <formula>0.8</formula>
    </cfRule>
  </conditionalFormatting>
  <conditionalFormatting sqref="S44:S56">
    <cfRule type="cellIs" dxfId="30827" priority="3182" operator="lessThan">
      <formula>0.8</formula>
    </cfRule>
  </conditionalFormatting>
  <conditionalFormatting sqref="S108">
    <cfRule type="cellIs" dxfId="30826" priority="3181" operator="lessThan">
      <formula>0.8</formula>
    </cfRule>
  </conditionalFormatting>
  <conditionalFormatting sqref="S96">
    <cfRule type="cellIs" dxfId="30825" priority="3180" operator="lessThan">
      <formula>0.8</formula>
    </cfRule>
  </conditionalFormatting>
  <conditionalFormatting sqref="S97">
    <cfRule type="cellIs" dxfId="30824" priority="3179" operator="lessThan">
      <formula>0.8</formula>
    </cfRule>
  </conditionalFormatting>
  <conditionalFormatting sqref="S103">
    <cfRule type="cellIs" dxfId="30823" priority="3178" operator="lessThan">
      <formula>0.8</formula>
    </cfRule>
  </conditionalFormatting>
  <conditionalFormatting sqref="S99">
    <cfRule type="cellIs" dxfId="30822" priority="3177" operator="lessThan">
      <formula>0.8</formula>
    </cfRule>
  </conditionalFormatting>
  <conditionalFormatting sqref="S101">
    <cfRule type="cellIs" dxfId="30821" priority="3174" operator="lessThan">
      <formula>0.8</formula>
    </cfRule>
  </conditionalFormatting>
  <conditionalFormatting sqref="S100">
    <cfRule type="cellIs" dxfId="30820" priority="3176" operator="lessThan">
      <formula>0.8</formula>
    </cfRule>
  </conditionalFormatting>
  <conditionalFormatting sqref="S102">
    <cfRule type="cellIs" dxfId="30819" priority="3175" operator="lessThan">
      <formula>0.8</formula>
    </cfRule>
  </conditionalFormatting>
  <conditionalFormatting sqref="S98">
    <cfRule type="cellIs" dxfId="30818" priority="3173" operator="lessThan">
      <formula>0.8</formula>
    </cfRule>
  </conditionalFormatting>
  <conditionalFormatting sqref="S104">
    <cfRule type="cellIs" dxfId="30817" priority="3172" operator="lessThan">
      <formula>0.8</formula>
    </cfRule>
  </conditionalFormatting>
  <conditionalFormatting sqref="P118">
    <cfRule type="cellIs" dxfId="30816" priority="3166" operator="greaterThan">
      <formula>0</formula>
    </cfRule>
  </conditionalFormatting>
  <conditionalFormatting sqref="Q118">
    <cfRule type="cellIs" dxfId="30815" priority="3171" operator="lessThan">
      <formula>0</formula>
    </cfRule>
  </conditionalFormatting>
  <conditionalFormatting sqref="R118">
    <cfRule type="cellIs" dxfId="30814" priority="3169" operator="lessThan">
      <formula>0.8</formula>
    </cfRule>
    <cfRule type="cellIs" dxfId="30813" priority="3170" operator="greaterThan">
      <formula>1</formula>
    </cfRule>
  </conditionalFormatting>
  <conditionalFormatting sqref="R118">
    <cfRule type="cellIs" dxfId="30812" priority="3167" operator="greaterThan">
      <formula>1</formula>
    </cfRule>
    <cfRule type="cellIs" dxfId="30811" priority="3168" operator="lessThan">
      <formula>0.8</formula>
    </cfRule>
  </conditionalFormatting>
  <conditionalFormatting sqref="Q162:Q166">
    <cfRule type="cellIs" dxfId="30810" priority="3165" operator="lessThan">
      <formula>0</formula>
    </cfRule>
  </conditionalFormatting>
  <conditionalFormatting sqref="R162:R166">
    <cfRule type="cellIs" dxfId="30809" priority="3163" operator="lessThan">
      <formula>0.8</formula>
    </cfRule>
    <cfRule type="cellIs" dxfId="30808" priority="3164" operator="greaterThan">
      <formula>1</formula>
    </cfRule>
  </conditionalFormatting>
  <conditionalFormatting sqref="R162:R166">
    <cfRule type="cellIs" dxfId="30807" priority="3161" operator="greaterThan">
      <formula>1</formula>
    </cfRule>
    <cfRule type="cellIs" dxfId="30806" priority="3162" operator="lessThan">
      <formula>0.8</formula>
    </cfRule>
  </conditionalFormatting>
  <conditionalFormatting sqref="P162:P166">
    <cfRule type="cellIs" dxfId="30805" priority="3160" operator="greaterThan">
      <formula>0</formula>
    </cfRule>
  </conditionalFormatting>
  <conditionalFormatting sqref="P167:P168">
    <cfRule type="cellIs" dxfId="30804" priority="3154" operator="greaterThan">
      <formula>0</formula>
    </cfRule>
  </conditionalFormatting>
  <conditionalFormatting sqref="R167:R168">
    <cfRule type="cellIs" dxfId="30803" priority="3157" operator="lessThan">
      <formula>0.8</formula>
    </cfRule>
    <cfRule type="cellIs" dxfId="30802" priority="3158" operator="greaterThan">
      <formula>1</formula>
    </cfRule>
  </conditionalFormatting>
  <conditionalFormatting sqref="R167:R168">
    <cfRule type="cellIs" dxfId="30801" priority="3155" operator="greaterThan">
      <formula>1</formula>
    </cfRule>
    <cfRule type="cellIs" dxfId="30800" priority="3156" operator="lessThan">
      <formula>0.8</formula>
    </cfRule>
  </conditionalFormatting>
  <conditionalFormatting sqref="Q167:Q168">
    <cfRule type="cellIs" dxfId="30799" priority="3159" operator="lessThan">
      <formula>0</formula>
    </cfRule>
  </conditionalFormatting>
  <conditionalFormatting sqref="Q117">
    <cfRule type="cellIs" dxfId="30798" priority="3153" operator="lessThan">
      <formula>0</formula>
    </cfRule>
  </conditionalFormatting>
  <conditionalFormatting sqref="R117">
    <cfRule type="cellIs" dxfId="30797" priority="3151" operator="lessThan">
      <formula>0.8</formula>
    </cfRule>
    <cfRule type="cellIs" dxfId="30796" priority="3152" operator="greaterThan">
      <formula>1</formula>
    </cfRule>
  </conditionalFormatting>
  <conditionalFormatting sqref="R117">
    <cfRule type="cellIs" dxfId="30795" priority="3149" operator="greaterThan">
      <formula>1</formula>
    </cfRule>
    <cfRule type="cellIs" dxfId="30794" priority="3150" operator="lessThan">
      <formula>0.8</formula>
    </cfRule>
  </conditionalFormatting>
  <conditionalFormatting sqref="P117">
    <cfRule type="cellIs" dxfId="30793" priority="3148" operator="greaterThan">
      <formula>0</formula>
    </cfRule>
  </conditionalFormatting>
  <conditionalFormatting sqref="Q117">
    <cfRule type="cellIs" dxfId="30792" priority="3147" operator="lessThan">
      <formula>0</formula>
    </cfRule>
  </conditionalFormatting>
  <conditionalFormatting sqref="R117">
    <cfRule type="cellIs" dxfId="30791" priority="3145" operator="lessThan">
      <formula>0.8</formula>
    </cfRule>
    <cfRule type="cellIs" dxfId="30790" priority="3146" operator="greaterThan">
      <formula>1</formula>
    </cfRule>
  </conditionalFormatting>
  <conditionalFormatting sqref="R117">
    <cfRule type="cellIs" dxfId="30789" priority="3143" operator="greaterThan">
      <formula>1</formula>
    </cfRule>
    <cfRule type="cellIs" dxfId="30788" priority="3144" operator="lessThan">
      <formula>0.8</formula>
    </cfRule>
  </conditionalFormatting>
  <conditionalFormatting sqref="P117">
    <cfRule type="cellIs" dxfId="30787" priority="3142" operator="greaterThan">
      <formula>0</formula>
    </cfRule>
  </conditionalFormatting>
  <conditionalFormatting sqref="P117">
    <cfRule type="cellIs" dxfId="30786" priority="3136" operator="greaterThan">
      <formula>0</formula>
    </cfRule>
  </conditionalFormatting>
  <conditionalFormatting sqref="Q117">
    <cfRule type="cellIs" dxfId="30785" priority="3141" operator="lessThan">
      <formula>0</formula>
    </cfRule>
  </conditionalFormatting>
  <conditionalFormatting sqref="R117">
    <cfRule type="cellIs" dxfId="30784" priority="3139" operator="lessThan">
      <formula>0.8</formula>
    </cfRule>
    <cfRule type="cellIs" dxfId="30783" priority="3140" operator="greaterThan">
      <formula>1</formula>
    </cfRule>
  </conditionalFormatting>
  <conditionalFormatting sqref="R117">
    <cfRule type="cellIs" dxfId="30782" priority="3137" operator="greaterThan">
      <formula>1</formula>
    </cfRule>
    <cfRule type="cellIs" dxfId="30781" priority="3138" operator="lessThan">
      <formula>0.8</formula>
    </cfRule>
  </conditionalFormatting>
  <conditionalFormatting sqref="P117">
    <cfRule type="cellIs" dxfId="30780" priority="3130" operator="greaterThan">
      <formula>0</formula>
    </cfRule>
  </conditionalFormatting>
  <conditionalFormatting sqref="Q117">
    <cfRule type="cellIs" dxfId="30779" priority="3135" operator="lessThan">
      <formula>0</formula>
    </cfRule>
  </conditionalFormatting>
  <conditionalFormatting sqref="R117">
    <cfRule type="cellIs" dxfId="30778" priority="3133" operator="lessThan">
      <formula>0.8</formula>
    </cfRule>
    <cfRule type="cellIs" dxfId="30777" priority="3134" operator="greaterThan">
      <formula>1</formula>
    </cfRule>
  </conditionalFormatting>
  <conditionalFormatting sqref="R117">
    <cfRule type="cellIs" dxfId="30776" priority="3131" operator="greaterThan">
      <formula>1</formula>
    </cfRule>
    <cfRule type="cellIs" dxfId="30775" priority="3132" operator="lessThan">
      <formula>0.8</formula>
    </cfRule>
  </conditionalFormatting>
  <conditionalFormatting sqref="P117">
    <cfRule type="cellIs" dxfId="30774" priority="3124" operator="greaterThan">
      <formula>0</formula>
    </cfRule>
  </conditionalFormatting>
  <conditionalFormatting sqref="Q117">
    <cfRule type="cellIs" dxfId="30773" priority="3129" operator="lessThan">
      <formula>0</formula>
    </cfRule>
  </conditionalFormatting>
  <conditionalFormatting sqref="R117">
    <cfRule type="cellIs" dxfId="30772" priority="3127" operator="lessThan">
      <formula>0.8</formula>
    </cfRule>
    <cfRule type="cellIs" dxfId="30771" priority="3128" operator="greaterThan">
      <formula>1</formula>
    </cfRule>
  </conditionalFormatting>
  <conditionalFormatting sqref="R117">
    <cfRule type="cellIs" dxfId="30770" priority="3125" operator="greaterThan">
      <formula>1</formula>
    </cfRule>
    <cfRule type="cellIs" dxfId="30769" priority="3126" operator="lessThan">
      <formula>0.8</formula>
    </cfRule>
  </conditionalFormatting>
  <conditionalFormatting sqref="Q117">
    <cfRule type="cellIs" dxfId="30768" priority="3123" operator="lessThan">
      <formula>0</formula>
    </cfRule>
  </conditionalFormatting>
  <conditionalFormatting sqref="R117">
    <cfRule type="cellIs" dxfId="30767" priority="3121" operator="lessThan">
      <formula>0.8</formula>
    </cfRule>
    <cfRule type="cellIs" dxfId="30766" priority="3122" operator="greaterThan">
      <formula>1</formula>
    </cfRule>
  </conditionalFormatting>
  <conditionalFormatting sqref="R117">
    <cfRule type="cellIs" dxfId="30765" priority="3119" operator="greaterThan">
      <formula>1</formula>
    </cfRule>
    <cfRule type="cellIs" dxfId="30764" priority="3120" operator="lessThan">
      <formula>0.8</formula>
    </cfRule>
  </conditionalFormatting>
  <conditionalFormatting sqref="P117">
    <cfRule type="cellIs" dxfId="30763" priority="3118" operator="greaterThan">
      <formula>0</formula>
    </cfRule>
  </conditionalFormatting>
  <conditionalFormatting sqref="P117">
    <cfRule type="cellIs" dxfId="30762" priority="3112" operator="greaterThan">
      <formula>0</formula>
    </cfRule>
  </conditionalFormatting>
  <conditionalFormatting sqref="Q117">
    <cfRule type="cellIs" dxfId="30761" priority="3117" operator="lessThan">
      <formula>0</formula>
    </cfRule>
  </conditionalFormatting>
  <conditionalFormatting sqref="R117">
    <cfRule type="cellIs" dxfId="30760" priority="3115" operator="lessThan">
      <formula>0.8</formula>
    </cfRule>
    <cfRule type="cellIs" dxfId="30759" priority="3116" operator="greaterThan">
      <formula>1</formula>
    </cfRule>
  </conditionalFormatting>
  <conditionalFormatting sqref="R117">
    <cfRule type="cellIs" dxfId="30758" priority="3113" operator="greaterThan">
      <formula>1</formula>
    </cfRule>
    <cfRule type="cellIs" dxfId="30757" priority="3114" operator="lessThan">
      <formula>0.8</formula>
    </cfRule>
  </conditionalFormatting>
  <conditionalFormatting sqref="P117">
    <cfRule type="cellIs" dxfId="30756" priority="3106" operator="greaterThan">
      <formula>0</formula>
    </cfRule>
  </conditionalFormatting>
  <conditionalFormatting sqref="Q117">
    <cfRule type="cellIs" dxfId="30755" priority="3111" operator="lessThan">
      <formula>0</formula>
    </cfRule>
  </conditionalFormatting>
  <conditionalFormatting sqref="R117">
    <cfRule type="cellIs" dxfId="30754" priority="3109" operator="lessThan">
      <formula>0.8</formula>
    </cfRule>
    <cfRule type="cellIs" dxfId="30753" priority="3110" operator="greaterThan">
      <formula>1</formula>
    </cfRule>
  </conditionalFormatting>
  <conditionalFormatting sqref="R117">
    <cfRule type="cellIs" dxfId="30752" priority="3107" operator="greaterThan">
      <formula>1</formula>
    </cfRule>
    <cfRule type="cellIs" dxfId="30751" priority="3108" operator="lessThan">
      <formula>0.8</formula>
    </cfRule>
  </conditionalFormatting>
  <conditionalFormatting sqref="Q117">
    <cfRule type="cellIs" dxfId="30750" priority="3105" operator="lessThan">
      <formula>0</formula>
    </cfRule>
  </conditionalFormatting>
  <conditionalFormatting sqref="R117">
    <cfRule type="cellIs" dxfId="30749" priority="3103" operator="lessThan">
      <formula>0.8</formula>
    </cfRule>
    <cfRule type="cellIs" dxfId="30748" priority="3104" operator="greaterThan">
      <formula>1</formula>
    </cfRule>
  </conditionalFormatting>
  <conditionalFormatting sqref="R117">
    <cfRule type="cellIs" dxfId="30747" priority="3101" operator="greaterThan">
      <formula>1</formula>
    </cfRule>
    <cfRule type="cellIs" dxfId="30746" priority="3102" operator="lessThan">
      <formula>0.8</formula>
    </cfRule>
  </conditionalFormatting>
  <conditionalFormatting sqref="P117">
    <cfRule type="cellIs" dxfId="30745" priority="3100" operator="greaterThan">
      <formula>0</formula>
    </cfRule>
  </conditionalFormatting>
  <conditionalFormatting sqref="P117">
    <cfRule type="cellIs" dxfId="30744" priority="3094" operator="greaterThan">
      <formula>0</formula>
    </cfRule>
  </conditionalFormatting>
  <conditionalFormatting sqref="Q117">
    <cfRule type="cellIs" dxfId="30743" priority="3099" operator="lessThan">
      <formula>0</formula>
    </cfRule>
  </conditionalFormatting>
  <conditionalFormatting sqref="R117">
    <cfRule type="cellIs" dxfId="30742" priority="3097" operator="lessThan">
      <formula>0.8</formula>
    </cfRule>
    <cfRule type="cellIs" dxfId="30741" priority="3098" operator="greaterThan">
      <formula>1</formula>
    </cfRule>
  </conditionalFormatting>
  <conditionalFormatting sqref="R117">
    <cfRule type="cellIs" dxfId="30740" priority="3095" operator="greaterThan">
      <formula>1</formula>
    </cfRule>
    <cfRule type="cellIs" dxfId="30739" priority="3096" operator="lessThan">
      <formula>0.8</formula>
    </cfRule>
  </conditionalFormatting>
  <conditionalFormatting sqref="Q117">
    <cfRule type="cellIs" dxfId="30738" priority="3093" operator="lessThan">
      <formula>0</formula>
    </cfRule>
  </conditionalFormatting>
  <conditionalFormatting sqref="R117">
    <cfRule type="cellIs" dxfId="30737" priority="3091" operator="lessThan">
      <formula>0.8</formula>
    </cfRule>
    <cfRule type="cellIs" dxfId="30736" priority="3092" operator="greaterThan">
      <formula>1</formula>
    </cfRule>
  </conditionalFormatting>
  <conditionalFormatting sqref="R117">
    <cfRule type="cellIs" dxfId="30735" priority="3089" operator="greaterThan">
      <formula>1</formula>
    </cfRule>
    <cfRule type="cellIs" dxfId="30734" priority="3090" operator="lessThan">
      <formula>0.8</formula>
    </cfRule>
  </conditionalFormatting>
  <conditionalFormatting sqref="P117">
    <cfRule type="cellIs" dxfId="30733" priority="3088" operator="greaterThan">
      <formula>0</formula>
    </cfRule>
  </conditionalFormatting>
  <conditionalFormatting sqref="Q117">
    <cfRule type="cellIs" dxfId="30732" priority="3087" operator="lessThan">
      <formula>0</formula>
    </cfRule>
  </conditionalFormatting>
  <conditionalFormatting sqref="R117">
    <cfRule type="cellIs" dxfId="30731" priority="3085" operator="lessThan">
      <formula>0.8</formula>
    </cfRule>
    <cfRule type="cellIs" dxfId="30730" priority="3086" operator="greaterThan">
      <formula>1</formula>
    </cfRule>
  </conditionalFormatting>
  <conditionalFormatting sqref="R117">
    <cfRule type="cellIs" dxfId="30729" priority="3083" operator="greaterThan">
      <formula>1</formula>
    </cfRule>
    <cfRule type="cellIs" dxfId="30728" priority="3084" operator="lessThan">
      <formula>0.8</formula>
    </cfRule>
  </conditionalFormatting>
  <conditionalFormatting sqref="P117">
    <cfRule type="cellIs" dxfId="30727" priority="3082" operator="greaterThan">
      <formula>0</formula>
    </cfRule>
  </conditionalFormatting>
  <conditionalFormatting sqref="Q83">
    <cfRule type="cellIs" dxfId="30726" priority="3081" operator="lessThan">
      <formula>0</formula>
    </cfRule>
  </conditionalFormatting>
  <conditionalFormatting sqref="R83">
    <cfRule type="cellIs" dxfId="30725" priority="3079" operator="lessThan">
      <formula>0.8</formula>
    </cfRule>
    <cfRule type="cellIs" dxfId="30724" priority="3080" operator="greaterThan">
      <formula>1</formula>
    </cfRule>
  </conditionalFormatting>
  <conditionalFormatting sqref="R83">
    <cfRule type="cellIs" dxfId="30723" priority="3077" operator="greaterThan">
      <formula>1</formula>
    </cfRule>
    <cfRule type="cellIs" dxfId="30722" priority="3078" operator="lessThan">
      <formula>0.8</formula>
    </cfRule>
  </conditionalFormatting>
  <conditionalFormatting sqref="P83">
    <cfRule type="cellIs" dxfId="30721" priority="3076" operator="greaterThan">
      <formula>0</formula>
    </cfRule>
  </conditionalFormatting>
  <conditionalFormatting sqref="Q83">
    <cfRule type="cellIs" dxfId="30720" priority="3075" operator="lessThan">
      <formula>0</formula>
    </cfRule>
  </conditionalFormatting>
  <conditionalFormatting sqref="R83">
    <cfRule type="cellIs" dxfId="30719" priority="3073" operator="lessThan">
      <formula>0.8</formula>
    </cfRule>
    <cfRule type="cellIs" dxfId="30718" priority="3074" operator="greaterThan">
      <formula>1</formula>
    </cfRule>
  </conditionalFormatting>
  <conditionalFormatting sqref="R83">
    <cfRule type="cellIs" dxfId="30717" priority="3071" operator="greaterThan">
      <formula>1</formula>
    </cfRule>
    <cfRule type="cellIs" dxfId="30716" priority="3072" operator="lessThan">
      <formula>0.8</formula>
    </cfRule>
  </conditionalFormatting>
  <conditionalFormatting sqref="P83">
    <cfRule type="cellIs" dxfId="30715" priority="3070" operator="greaterThan">
      <formula>0</formula>
    </cfRule>
  </conditionalFormatting>
  <conditionalFormatting sqref="Q83">
    <cfRule type="cellIs" dxfId="30714" priority="3069" operator="lessThan">
      <formula>0</formula>
    </cfRule>
  </conditionalFormatting>
  <conditionalFormatting sqref="R83">
    <cfRule type="cellIs" dxfId="30713" priority="3067" operator="lessThan">
      <formula>0.8</formula>
    </cfRule>
    <cfRule type="cellIs" dxfId="30712" priority="3068" operator="greaterThan">
      <formula>1</formula>
    </cfRule>
  </conditionalFormatting>
  <conditionalFormatting sqref="R83">
    <cfRule type="cellIs" dxfId="30711" priority="3065" operator="greaterThan">
      <formula>1</formula>
    </cfRule>
    <cfRule type="cellIs" dxfId="30710" priority="3066" operator="lessThan">
      <formula>0.8</formula>
    </cfRule>
  </conditionalFormatting>
  <conditionalFormatting sqref="P83">
    <cfRule type="cellIs" dxfId="30709" priority="3064" operator="greaterThan">
      <formula>0</formula>
    </cfRule>
  </conditionalFormatting>
  <conditionalFormatting sqref="Q83">
    <cfRule type="cellIs" dxfId="30708" priority="3063" operator="lessThan">
      <formula>0</formula>
    </cfRule>
  </conditionalFormatting>
  <conditionalFormatting sqref="R83">
    <cfRule type="cellIs" dxfId="30707" priority="3061" operator="lessThan">
      <formula>0.8</formula>
    </cfRule>
    <cfRule type="cellIs" dxfId="30706" priority="3062" operator="greaterThan">
      <formula>1</formula>
    </cfRule>
  </conditionalFormatting>
  <conditionalFormatting sqref="R83">
    <cfRule type="cellIs" dxfId="30705" priority="3059" operator="greaterThan">
      <formula>1</formula>
    </cfRule>
    <cfRule type="cellIs" dxfId="30704" priority="3060" operator="lessThan">
      <formula>0.8</formula>
    </cfRule>
  </conditionalFormatting>
  <conditionalFormatting sqref="P83">
    <cfRule type="cellIs" dxfId="30703" priority="3058" operator="greaterThan">
      <formula>0</formula>
    </cfRule>
  </conditionalFormatting>
  <conditionalFormatting sqref="P83">
    <cfRule type="cellIs" dxfId="30702" priority="3052" operator="greaterThan">
      <formula>0</formula>
    </cfRule>
  </conditionalFormatting>
  <conditionalFormatting sqref="Q83">
    <cfRule type="cellIs" dxfId="30701" priority="3057" operator="lessThan">
      <formula>0</formula>
    </cfRule>
  </conditionalFormatting>
  <conditionalFormatting sqref="R83">
    <cfRule type="cellIs" dxfId="30700" priority="3055" operator="lessThan">
      <formula>0.8</formula>
    </cfRule>
    <cfRule type="cellIs" dxfId="30699" priority="3056" operator="greaterThan">
      <formula>1</formula>
    </cfRule>
  </conditionalFormatting>
  <conditionalFormatting sqref="R83">
    <cfRule type="cellIs" dxfId="30698" priority="3053" operator="greaterThan">
      <formula>1</formula>
    </cfRule>
    <cfRule type="cellIs" dxfId="30697" priority="3054" operator="lessThan">
      <formula>0.8</formula>
    </cfRule>
  </conditionalFormatting>
  <conditionalFormatting sqref="P83">
    <cfRule type="cellIs" dxfId="30696" priority="3046" operator="greaterThan">
      <formula>0</formula>
    </cfRule>
  </conditionalFormatting>
  <conditionalFormatting sqref="Q83">
    <cfRule type="cellIs" dxfId="30695" priority="3051" operator="lessThan">
      <formula>0</formula>
    </cfRule>
  </conditionalFormatting>
  <conditionalFormatting sqref="R83">
    <cfRule type="cellIs" dxfId="30694" priority="3049" operator="lessThan">
      <formula>0.8</formula>
    </cfRule>
    <cfRule type="cellIs" dxfId="30693" priority="3050" operator="greaterThan">
      <formula>1</formula>
    </cfRule>
  </conditionalFormatting>
  <conditionalFormatting sqref="R83">
    <cfRule type="cellIs" dxfId="30692" priority="3047" operator="greaterThan">
      <formula>1</formula>
    </cfRule>
    <cfRule type="cellIs" dxfId="30691" priority="3048" operator="lessThan">
      <formula>0.8</formula>
    </cfRule>
  </conditionalFormatting>
  <conditionalFormatting sqref="R83">
    <cfRule type="cellIs" dxfId="30690" priority="3043" operator="lessThan">
      <formula>0.8</formula>
    </cfRule>
    <cfRule type="cellIs" dxfId="30689" priority="3044" operator="greaterThan">
      <formula>1</formula>
    </cfRule>
  </conditionalFormatting>
  <conditionalFormatting sqref="R83">
    <cfRule type="cellIs" dxfId="30688" priority="3041" operator="greaterThan">
      <formula>1</formula>
    </cfRule>
    <cfRule type="cellIs" dxfId="30687" priority="3042" operator="lessThan">
      <formula>0.8</formula>
    </cfRule>
  </conditionalFormatting>
  <conditionalFormatting sqref="P83">
    <cfRule type="cellIs" dxfId="30686" priority="3040" operator="greaterThan">
      <formula>0</formula>
    </cfRule>
  </conditionalFormatting>
  <conditionalFormatting sqref="Q83">
    <cfRule type="cellIs" dxfId="30685" priority="3045" operator="lessThan">
      <formula>0</formula>
    </cfRule>
  </conditionalFormatting>
  <conditionalFormatting sqref="Q83">
    <cfRule type="cellIs" dxfId="30684" priority="3039" operator="lessThan">
      <formula>0</formula>
    </cfRule>
  </conditionalFormatting>
  <conditionalFormatting sqref="R83">
    <cfRule type="cellIs" dxfId="30683" priority="3037" operator="lessThan">
      <formula>0.8</formula>
    </cfRule>
    <cfRule type="cellIs" dxfId="30682" priority="3038" operator="greaterThan">
      <formula>1</formula>
    </cfRule>
  </conditionalFormatting>
  <conditionalFormatting sqref="R83">
    <cfRule type="cellIs" dxfId="30681" priority="3035" operator="greaterThan">
      <formula>1</formula>
    </cfRule>
    <cfRule type="cellIs" dxfId="30680" priority="3036" operator="lessThan">
      <formula>0.8</formula>
    </cfRule>
  </conditionalFormatting>
  <conditionalFormatting sqref="P83">
    <cfRule type="cellIs" dxfId="30679" priority="3034" operator="greaterThan">
      <formula>0</formula>
    </cfRule>
  </conditionalFormatting>
  <conditionalFormatting sqref="P83">
    <cfRule type="cellIs" dxfId="30678" priority="3028" operator="greaterThan">
      <formula>0</formula>
    </cfRule>
  </conditionalFormatting>
  <conditionalFormatting sqref="Q83">
    <cfRule type="cellIs" dxfId="30677" priority="3033" operator="lessThan">
      <formula>0</formula>
    </cfRule>
  </conditionalFormatting>
  <conditionalFormatting sqref="R83">
    <cfRule type="cellIs" dxfId="30676" priority="3031" operator="lessThan">
      <formula>0.8</formula>
    </cfRule>
    <cfRule type="cellIs" dxfId="30675" priority="3032" operator="greaterThan">
      <formula>1</formula>
    </cfRule>
  </conditionalFormatting>
  <conditionalFormatting sqref="R83">
    <cfRule type="cellIs" dxfId="30674" priority="3029" operator="greaterThan">
      <formula>1</formula>
    </cfRule>
    <cfRule type="cellIs" dxfId="30673" priority="3030" operator="lessThan">
      <formula>0.8</formula>
    </cfRule>
  </conditionalFormatting>
  <conditionalFormatting sqref="P83">
    <cfRule type="cellIs" dxfId="30672" priority="3022" operator="greaterThan">
      <formula>0</formula>
    </cfRule>
  </conditionalFormatting>
  <conditionalFormatting sqref="Q83">
    <cfRule type="cellIs" dxfId="30671" priority="3027" operator="lessThan">
      <formula>0</formula>
    </cfRule>
  </conditionalFormatting>
  <conditionalFormatting sqref="R83">
    <cfRule type="cellIs" dxfId="30670" priority="3025" operator="lessThan">
      <formula>0.8</formula>
    </cfRule>
    <cfRule type="cellIs" dxfId="30669" priority="3026" operator="greaterThan">
      <formula>1</formula>
    </cfRule>
  </conditionalFormatting>
  <conditionalFormatting sqref="R83">
    <cfRule type="cellIs" dxfId="30668" priority="3023" operator="greaterThan">
      <formula>1</formula>
    </cfRule>
    <cfRule type="cellIs" dxfId="30667" priority="3024" operator="lessThan">
      <formula>0.8</formula>
    </cfRule>
  </conditionalFormatting>
  <conditionalFormatting sqref="R83">
    <cfRule type="cellIs" dxfId="30666" priority="3019" operator="lessThan">
      <formula>0.8</formula>
    </cfRule>
    <cfRule type="cellIs" dxfId="30665" priority="3020" operator="greaterThan">
      <formula>1</formula>
    </cfRule>
  </conditionalFormatting>
  <conditionalFormatting sqref="R83">
    <cfRule type="cellIs" dxfId="30664" priority="3017" operator="greaterThan">
      <formula>1</formula>
    </cfRule>
    <cfRule type="cellIs" dxfId="30663" priority="3018" operator="lessThan">
      <formula>0.8</formula>
    </cfRule>
  </conditionalFormatting>
  <conditionalFormatting sqref="P83">
    <cfRule type="cellIs" dxfId="30662" priority="3016" operator="greaterThan">
      <formula>0</formula>
    </cfRule>
  </conditionalFormatting>
  <conditionalFormatting sqref="Q83">
    <cfRule type="cellIs" dxfId="30661" priority="3021" operator="lessThan">
      <formula>0</formula>
    </cfRule>
  </conditionalFormatting>
  <conditionalFormatting sqref="P83">
    <cfRule type="cellIs" dxfId="30660" priority="3010" operator="greaterThan">
      <formula>0</formula>
    </cfRule>
  </conditionalFormatting>
  <conditionalFormatting sqref="Q83">
    <cfRule type="cellIs" dxfId="30659" priority="3015" operator="lessThan">
      <formula>0</formula>
    </cfRule>
  </conditionalFormatting>
  <conditionalFormatting sqref="R83">
    <cfRule type="cellIs" dxfId="30658" priority="3013" operator="lessThan">
      <formula>0.8</formula>
    </cfRule>
    <cfRule type="cellIs" dxfId="30657" priority="3014" operator="greaterThan">
      <formula>1</formula>
    </cfRule>
  </conditionalFormatting>
  <conditionalFormatting sqref="R83">
    <cfRule type="cellIs" dxfId="30656" priority="3011" operator="greaterThan">
      <formula>1</formula>
    </cfRule>
    <cfRule type="cellIs" dxfId="30655" priority="3012" operator="lessThan">
      <formula>0.8</formula>
    </cfRule>
  </conditionalFormatting>
  <conditionalFormatting sqref="R83">
    <cfRule type="cellIs" dxfId="30654" priority="3007" operator="lessThan">
      <formula>0.8</formula>
    </cfRule>
    <cfRule type="cellIs" dxfId="30653" priority="3008" operator="greaterThan">
      <formula>1</formula>
    </cfRule>
  </conditionalFormatting>
  <conditionalFormatting sqref="R83">
    <cfRule type="cellIs" dxfId="30652" priority="3005" operator="greaterThan">
      <formula>1</formula>
    </cfRule>
    <cfRule type="cellIs" dxfId="30651" priority="3006" operator="lessThan">
      <formula>0.8</formula>
    </cfRule>
  </conditionalFormatting>
  <conditionalFormatting sqref="P83">
    <cfRule type="cellIs" dxfId="30650" priority="3004" operator="greaterThan">
      <formula>0</formula>
    </cfRule>
  </conditionalFormatting>
  <conditionalFormatting sqref="Q83">
    <cfRule type="cellIs" dxfId="30649" priority="3009" operator="lessThan">
      <formula>0</formula>
    </cfRule>
  </conditionalFormatting>
  <conditionalFormatting sqref="R83">
    <cfRule type="cellIs" dxfId="30648" priority="3001" operator="lessThan">
      <formula>0.8</formula>
    </cfRule>
    <cfRule type="cellIs" dxfId="30647" priority="3002" operator="greaterThan">
      <formula>1</formula>
    </cfRule>
  </conditionalFormatting>
  <conditionalFormatting sqref="R83">
    <cfRule type="cellIs" dxfId="30646" priority="2999" operator="greaterThan">
      <formula>1</formula>
    </cfRule>
    <cfRule type="cellIs" dxfId="30645" priority="3000" operator="lessThan">
      <formula>0.8</formula>
    </cfRule>
  </conditionalFormatting>
  <conditionalFormatting sqref="P83">
    <cfRule type="cellIs" dxfId="30644" priority="2998" operator="greaterThan">
      <formula>0</formula>
    </cfRule>
  </conditionalFormatting>
  <conditionalFormatting sqref="Q83">
    <cfRule type="cellIs" dxfId="30643" priority="3003" operator="lessThan">
      <formula>0</formula>
    </cfRule>
  </conditionalFormatting>
  <conditionalFormatting sqref="Q83">
    <cfRule type="cellIs" dxfId="30642" priority="2997" operator="lessThan">
      <formula>0</formula>
    </cfRule>
  </conditionalFormatting>
  <conditionalFormatting sqref="R83">
    <cfRule type="cellIs" dxfId="30641" priority="2995" operator="lessThan">
      <formula>0.8</formula>
    </cfRule>
    <cfRule type="cellIs" dxfId="30640" priority="2996" operator="greaterThan">
      <formula>1</formula>
    </cfRule>
  </conditionalFormatting>
  <conditionalFormatting sqref="R83">
    <cfRule type="cellIs" dxfId="30639" priority="2993" operator="greaterThan">
      <formula>1</formula>
    </cfRule>
    <cfRule type="cellIs" dxfId="30638" priority="2994" operator="lessThan">
      <formula>0.8</formula>
    </cfRule>
  </conditionalFormatting>
  <conditionalFormatting sqref="P83">
    <cfRule type="cellIs" dxfId="30637" priority="2992" operator="greaterThan">
      <formula>0</formula>
    </cfRule>
  </conditionalFormatting>
  <conditionalFormatting sqref="Q83">
    <cfRule type="cellIs" dxfId="30636" priority="2986" operator="lessThan">
      <formula>0</formula>
    </cfRule>
  </conditionalFormatting>
  <conditionalFormatting sqref="R83">
    <cfRule type="cellIs" dxfId="30635" priority="2990" operator="lessThan">
      <formula>0.8</formula>
    </cfRule>
    <cfRule type="cellIs" dxfId="30634" priority="2991" operator="greaterThan">
      <formula>1</formula>
    </cfRule>
  </conditionalFormatting>
  <conditionalFormatting sqref="R83">
    <cfRule type="cellIs" dxfId="30633" priority="2988" operator="greaterThan">
      <formula>1</formula>
    </cfRule>
    <cfRule type="cellIs" dxfId="30632" priority="2989" operator="lessThan">
      <formula>0.8</formula>
    </cfRule>
  </conditionalFormatting>
  <conditionalFormatting sqref="P83">
    <cfRule type="cellIs" dxfId="30631" priority="2987" operator="greaterThan">
      <formula>0</formula>
    </cfRule>
  </conditionalFormatting>
  <conditionalFormatting sqref="Q83">
    <cfRule type="cellIs" dxfId="30630" priority="2985" operator="lessThan">
      <formula>0</formula>
    </cfRule>
  </conditionalFormatting>
  <conditionalFormatting sqref="R83">
    <cfRule type="cellIs" dxfId="30629" priority="2983" operator="lessThan">
      <formula>0.8</formula>
    </cfRule>
    <cfRule type="cellIs" dxfId="30628" priority="2984" operator="greaterThan">
      <formula>1</formula>
    </cfRule>
  </conditionalFormatting>
  <conditionalFormatting sqref="R83">
    <cfRule type="cellIs" dxfId="30627" priority="2981" operator="greaterThan">
      <formula>1</formula>
    </cfRule>
    <cfRule type="cellIs" dxfId="30626" priority="2982" operator="lessThan">
      <formula>0.8</formula>
    </cfRule>
  </conditionalFormatting>
  <conditionalFormatting sqref="P83">
    <cfRule type="cellIs" dxfId="30625" priority="2980" operator="greaterThan">
      <formula>0</formula>
    </cfRule>
  </conditionalFormatting>
  <conditionalFormatting sqref="Q83">
    <cfRule type="cellIs" dxfId="30624" priority="2979" operator="lessThan">
      <formula>0</formula>
    </cfRule>
  </conditionalFormatting>
  <conditionalFormatting sqref="R83">
    <cfRule type="cellIs" dxfId="30623" priority="2977" operator="lessThan">
      <formula>0.8</formula>
    </cfRule>
    <cfRule type="cellIs" dxfId="30622" priority="2978" operator="greaterThan">
      <formula>1</formula>
    </cfRule>
  </conditionalFormatting>
  <conditionalFormatting sqref="R83">
    <cfRule type="cellIs" dxfId="30621" priority="2975" operator="greaterThan">
      <formula>1</formula>
    </cfRule>
    <cfRule type="cellIs" dxfId="30620" priority="2976" operator="lessThan">
      <formula>0.8</formula>
    </cfRule>
  </conditionalFormatting>
  <conditionalFormatting sqref="P83">
    <cfRule type="cellIs" dxfId="30619" priority="2974" operator="greaterThan">
      <formula>0</formula>
    </cfRule>
  </conditionalFormatting>
  <conditionalFormatting sqref="Q83">
    <cfRule type="cellIs" dxfId="30618" priority="2973" operator="lessThan">
      <formula>0</formula>
    </cfRule>
  </conditionalFormatting>
  <conditionalFormatting sqref="R83">
    <cfRule type="cellIs" dxfId="30617" priority="2971" operator="lessThan">
      <formula>0.8</formula>
    </cfRule>
    <cfRule type="cellIs" dxfId="30616" priority="2972" operator="greaterThan">
      <formula>1</formula>
    </cfRule>
  </conditionalFormatting>
  <conditionalFormatting sqref="R83">
    <cfRule type="cellIs" dxfId="30615" priority="2969" operator="greaterThan">
      <formula>1</formula>
    </cfRule>
    <cfRule type="cellIs" dxfId="30614" priority="2970" operator="lessThan">
      <formula>0.8</formula>
    </cfRule>
  </conditionalFormatting>
  <conditionalFormatting sqref="P83">
    <cfRule type="cellIs" dxfId="30613" priority="2968" operator="greaterThan">
      <formula>0</formula>
    </cfRule>
  </conditionalFormatting>
  <conditionalFormatting sqref="Q83">
    <cfRule type="cellIs" dxfId="30612" priority="2967" operator="lessThan">
      <formula>0</formula>
    </cfRule>
  </conditionalFormatting>
  <conditionalFormatting sqref="R83">
    <cfRule type="cellIs" dxfId="30611" priority="2965" operator="lessThan">
      <formula>0.8</formula>
    </cfRule>
    <cfRule type="cellIs" dxfId="30610" priority="2966" operator="greaterThan">
      <formula>1</formula>
    </cfRule>
  </conditionalFormatting>
  <conditionalFormatting sqref="R83">
    <cfRule type="cellIs" dxfId="30609" priority="2963" operator="greaterThan">
      <formula>1</formula>
    </cfRule>
    <cfRule type="cellIs" dxfId="30608" priority="2964" operator="lessThan">
      <formula>0.8</formula>
    </cfRule>
  </conditionalFormatting>
  <conditionalFormatting sqref="P83">
    <cfRule type="cellIs" dxfId="30607" priority="2962" operator="greaterThan">
      <formula>0</formula>
    </cfRule>
  </conditionalFormatting>
  <conditionalFormatting sqref="Q83">
    <cfRule type="cellIs" dxfId="30606" priority="2961" operator="lessThan">
      <formula>0</formula>
    </cfRule>
  </conditionalFormatting>
  <conditionalFormatting sqref="R83">
    <cfRule type="cellIs" dxfId="30605" priority="2959" operator="lessThan">
      <formula>0.8</formula>
    </cfRule>
    <cfRule type="cellIs" dxfId="30604" priority="2960" operator="greaterThan">
      <formula>1</formula>
    </cfRule>
  </conditionalFormatting>
  <conditionalFormatting sqref="R83">
    <cfRule type="cellIs" dxfId="30603" priority="2957" operator="greaterThan">
      <formula>1</formula>
    </cfRule>
    <cfRule type="cellIs" dxfId="30602" priority="2958" operator="lessThan">
      <formula>0.8</formula>
    </cfRule>
  </conditionalFormatting>
  <conditionalFormatting sqref="P83">
    <cfRule type="cellIs" dxfId="30601" priority="2956" operator="greaterThan">
      <formula>0</formula>
    </cfRule>
  </conditionalFormatting>
  <conditionalFormatting sqref="P83">
    <cfRule type="cellIs" dxfId="30600" priority="2950" operator="greaterThan">
      <formula>0</formula>
    </cfRule>
  </conditionalFormatting>
  <conditionalFormatting sqref="Q83">
    <cfRule type="cellIs" dxfId="30599" priority="2955" operator="lessThan">
      <formula>0</formula>
    </cfRule>
  </conditionalFormatting>
  <conditionalFormatting sqref="R83">
    <cfRule type="cellIs" dxfId="30598" priority="2953" operator="lessThan">
      <formula>0.8</formula>
    </cfRule>
    <cfRule type="cellIs" dxfId="30597" priority="2954" operator="greaterThan">
      <formula>1</formula>
    </cfRule>
  </conditionalFormatting>
  <conditionalFormatting sqref="R83">
    <cfRule type="cellIs" dxfId="30596" priority="2951" operator="greaterThan">
      <formula>1</formula>
    </cfRule>
    <cfRule type="cellIs" dxfId="30595" priority="2952" operator="lessThan">
      <formula>0.8</formula>
    </cfRule>
  </conditionalFormatting>
  <conditionalFormatting sqref="P83">
    <cfRule type="cellIs" dxfId="30594" priority="2944" operator="greaterThan">
      <formula>0</formula>
    </cfRule>
  </conditionalFormatting>
  <conditionalFormatting sqref="Q83">
    <cfRule type="cellIs" dxfId="30593" priority="2949" operator="lessThan">
      <formula>0</formula>
    </cfRule>
  </conditionalFormatting>
  <conditionalFormatting sqref="R83">
    <cfRule type="cellIs" dxfId="30592" priority="2947" operator="lessThan">
      <formula>0.8</formula>
    </cfRule>
    <cfRule type="cellIs" dxfId="30591" priority="2948" operator="greaterThan">
      <formula>1</formula>
    </cfRule>
  </conditionalFormatting>
  <conditionalFormatting sqref="R83">
    <cfRule type="cellIs" dxfId="30590" priority="2945" operator="greaterThan">
      <formula>1</formula>
    </cfRule>
    <cfRule type="cellIs" dxfId="30589" priority="2946" operator="lessThan">
      <formula>0.8</formula>
    </cfRule>
  </conditionalFormatting>
  <conditionalFormatting sqref="R83">
    <cfRule type="cellIs" dxfId="30588" priority="2941" operator="lessThan">
      <formula>0.8</formula>
    </cfRule>
    <cfRule type="cellIs" dxfId="30587" priority="2942" operator="greaterThan">
      <formula>1</formula>
    </cfRule>
  </conditionalFormatting>
  <conditionalFormatting sqref="R83">
    <cfRule type="cellIs" dxfId="30586" priority="2939" operator="greaterThan">
      <formula>1</formula>
    </cfRule>
    <cfRule type="cellIs" dxfId="30585" priority="2940" operator="lessThan">
      <formula>0.8</formula>
    </cfRule>
  </conditionalFormatting>
  <conditionalFormatting sqref="P83">
    <cfRule type="cellIs" dxfId="30584" priority="2938" operator="greaterThan">
      <formula>0</formula>
    </cfRule>
  </conditionalFormatting>
  <conditionalFormatting sqref="Q83">
    <cfRule type="cellIs" dxfId="30583" priority="2943" operator="lessThan">
      <formula>0</formula>
    </cfRule>
  </conditionalFormatting>
  <conditionalFormatting sqref="Q83">
    <cfRule type="cellIs" dxfId="30582" priority="2937" operator="lessThan">
      <formula>0</formula>
    </cfRule>
  </conditionalFormatting>
  <conditionalFormatting sqref="R83">
    <cfRule type="cellIs" dxfId="30581" priority="2935" operator="lessThan">
      <formula>0.8</formula>
    </cfRule>
    <cfRule type="cellIs" dxfId="30580" priority="2936" operator="greaterThan">
      <formula>1</formula>
    </cfRule>
  </conditionalFormatting>
  <conditionalFormatting sqref="R83">
    <cfRule type="cellIs" dxfId="30579" priority="2933" operator="greaterThan">
      <formula>1</formula>
    </cfRule>
    <cfRule type="cellIs" dxfId="30578" priority="2934" operator="lessThan">
      <formula>0.8</formula>
    </cfRule>
  </conditionalFormatting>
  <conditionalFormatting sqref="P83">
    <cfRule type="cellIs" dxfId="30577" priority="2932" operator="greaterThan">
      <formula>0</formula>
    </cfRule>
  </conditionalFormatting>
  <conditionalFormatting sqref="Q83">
    <cfRule type="cellIs" dxfId="30576" priority="2931" operator="lessThan">
      <formula>0</formula>
    </cfRule>
  </conditionalFormatting>
  <conditionalFormatting sqref="R83">
    <cfRule type="cellIs" dxfId="30575" priority="2929" operator="lessThan">
      <formula>0.8</formula>
    </cfRule>
    <cfRule type="cellIs" dxfId="30574" priority="2930" operator="greaterThan">
      <formula>1</formula>
    </cfRule>
  </conditionalFormatting>
  <conditionalFormatting sqref="R83">
    <cfRule type="cellIs" dxfId="30573" priority="2927" operator="greaterThan">
      <formula>1</formula>
    </cfRule>
    <cfRule type="cellIs" dxfId="30572" priority="2928" operator="lessThan">
      <formula>0.8</formula>
    </cfRule>
  </conditionalFormatting>
  <conditionalFormatting sqref="P83">
    <cfRule type="cellIs" dxfId="30571" priority="2926" operator="greaterThan">
      <formula>0</formula>
    </cfRule>
  </conditionalFormatting>
  <conditionalFormatting sqref="Q83">
    <cfRule type="cellIs" dxfId="30570" priority="2925" operator="lessThan">
      <formula>0</formula>
    </cfRule>
  </conditionalFormatting>
  <conditionalFormatting sqref="R83">
    <cfRule type="cellIs" dxfId="30569" priority="2923" operator="lessThan">
      <formula>0.8</formula>
    </cfRule>
    <cfRule type="cellIs" dxfId="30568" priority="2924" operator="greaterThan">
      <formula>1</formula>
    </cfRule>
  </conditionalFormatting>
  <conditionalFormatting sqref="R83">
    <cfRule type="cellIs" dxfId="30567" priority="2921" operator="greaterThan">
      <formula>1</formula>
    </cfRule>
    <cfRule type="cellIs" dxfId="30566" priority="2922" operator="lessThan">
      <formula>0.8</formula>
    </cfRule>
  </conditionalFormatting>
  <conditionalFormatting sqref="P83">
    <cfRule type="cellIs" dxfId="30565" priority="2920" operator="greaterThan">
      <formula>0</formula>
    </cfRule>
  </conditionalFormatting>
  <conditionalFormatting sqref="Q83">
    <cfRule type="cellIs" dxfId="30564" priority="2919" operator="lessThan">
      <formula>0</formula>
    </cfRule>
  </conditionalFormatting>
  <conditionalFormatting sqref="R83">
    <cfRule type="cellIs" dxfId="30563" priority="2917" operator="lessThan">
      <formula>0.8</formula>
    </cfRule>
    <cfRule type="cellIs" dxfId="30562" priority="2918" operator="greaterThan">
      <formula>1</formula>
    </cfRule>
  </conditionalFormatting>
  <conditionalFormatting sqref="R83">
    <cfRule type="cellIs" dxfId="30561" priority="2915" operator="greaterThan">
      <formula>1</formula>
    </cfRule>
    <cfRule type="cellIs" dxfId="30560" priority="2916" operator="lessThan">
      <formula>0.8</formula>
    </cfRule>
  </conditionalFormatting>
  <conditionalFormatting sqref="P83">
    <cfRule type="cellIs" dxfId="30559" priority="2914" operator="greaterThan">
      <formula>0</formula>
    </cfRule>
  </conditionalFormatting>
  <conditionalFormatting sqref="P83">
    <cfRule type="cellIs" dxfId="30558" priority="2908" operator="greaterThan">
      <formula>0</formula>
    </cfRule>
  </conditionalFormatting>
  <conditionalFormatting sqref="Q83">
    <cfRule type="cellIs" dxfId="30557" priority="2913" operator="lessThan">
      <formula>0</formula>
    </cfRule>
  </conditionalFormatting>
  <conditionalFormatting sqref="R83">
    <cfRule type="cellIs" dxfId="30556" priority="2911" operator="lessThan">
      <formula>0.8</formula>
    </cfRule>
    <cfRule type="cellIs" dxfId="30555" priority="2912" operator="greaterThan">
      <formula>1</formula>
    </cfRule>
  </conditionalFormatting>
  <conditionalFormatting sqref="R83">
    <cfRule type="cellIs" dxfId="30554" priority="2909" operator="greaterThan">
      <formula>1</formula>
    </cfRule>
    <cfRule type="cellIs" dxfId="30553" priority="2910" operator="lessThan">
      <formula>0.8</formula>
    </cfRule>
  </conditionalFormatting>
  <conditionalFormatting sqref="P83">
    <cfRule type="cellIs" dxfId="30552" priority="2902" operator="greaterThan">
      <formula>0</formula>
    </cfRule>
  </conditionalFormatting>
  <conditionalFormatting sqref="Q83">
    <cfRule type="cellIs" dxfId="30551" priority="2907" operator="lessThan">
      <formula>0</formula>
    </cfRule>
  </conditionalFormatting>
  <conditionalFormatting sqref="R83">
    <cfRule type="cellIs" dxfId="30550" priority="2905" operator="lessThan">
      <formula>0.8</formula>
    </cfRule>
    <cfRule type="cellIs" dxfId="30549" priority="2906" operator="greaterThan">
      <formula>1</formula>
    </cfRule>
  </conditionalFormatting>
  <conditionalFormatting sqref="R83">
    <cfRule type="cellIs" dxfId="30548" priority="2903" operator="greaterThan">
      <formula>1</formula>
    </cfRule>
    <cfRule type="cellIs" dxfId="30547" priority="2904" operator="lessThan">
      <formula>0.8</formula>
    </cfRule>
  </conditionalFormatting>
  <conditionalFormatting sqref="R83">
    <cfRule type="cellIs" dxfId="30546" priority="2899" operator="lessThan">
      <formula>0.8</formula>
    </cfRule>
    <cfRule type="cellIs" dxfId="30545" priority="2900" operator="greaterThan">
      <formula>1</formula>
    </cfRule>
  </conditionalFormatting>
  <conditionalFormatting sqref="R83">
    <cfRule type="cellIs" dxfId="30544" priority="2897" operator="greaterThan">
      <formula>1</formula>
    </cfRule>
    <cfRule type="cellIs" dxfId="30543" priority="2898" operator="lessThan">
      <formula>0.8</formula>
    </cfRule>
  </conditionalFormatting>
  <conditionalFormatting sqref="P83">
    <cfRule type="cellIs" dxfId="30542" priority="2896" operator="greaterThan">
      <formula>0</formula>
    </cfRule>
  </conditionalFormatting>
  <conditionalFormatting sqref="Q83">
    <cfRule type="cellIs" dxfId="30541" priority="2901" operator="lessThan">
      <formula>0</formula>
    </cfRule>
  </conditionalFormatting>
  <conditionalFormatting sqref="Q83">
    <cfRule type="cellIs" dxfId="30540" priority="2895" operator="lessThan">
      <formula>0</formula>
    </cfRule>
  </conditionalFormatting>
  <conditionalFormatting sqref="R83">
    <cfRule type="cellIs" dxfId="30539" priority="2893" operator="lessThan">
      <formula>0.8</formula>
    </cfRule>
    <cfRule type="cellIs" dxfId="30538" priority="2894" operator="greaterThan">
      <formula>1</formula>
    </cfRule>
  </conditionalFormatting>
  <conditionalFormatting sqref="R83">
    <cfRule type="cellIs" dxfId="30537" priority="2891" operator="greaterThan">
      <formula>1</formula>
    </cfRule>
    <cfRule type="cellIs" dxfId="30536" priority="2892" operator="lessThan">
      <formula>0.8</formula>
    </cfRule>
  </conditionalFormatting>
  <conditionalFormatting sqref="P83">
    <cfRule type="cellIs" dxfId="30535" priority="2890" operator="greaterThan">
      <formula>0</formula>
    </cfRule>
  </conditionalFormatting>
  <conditionalFormatting sqref="P83">
    <cfRule type="cellIs" dxfId="30534" priority="2884" operator="greaterThan">
      <formula>0</formula>
    </cfRule>
  </conditionalFormatting>
  <conditionalFormatting sqref="Q83">
    <cfRule type="cellIs" dxfId="30533" priority="2889" operator="lessThan">
      <formula>0</formula>
    </cfRule>
  </conditionalFormatting>
  <conditionalFormatting sqref="R83">
    <cfRule type="cellIs" dxfId="30532" priority="2887" operator="lessThan">
      <formula>0.8</formula>
    </cfRule>
    <cfRule type="cellIs" dxfId="30531" priority="2888" operator="greaterThan">
      <formula>1</formula>
    </cfRule>
  </conditionalFormatting>
  <conditionalFormatting sqref="R83">
    <cfRule type="cellIs" dxfId="30530" priority="2885" operator="greaterThan">
      <formula>1</formula>
    </cfRule>
    <cfRule type="cellIs" dxfId="30529" priority="2886" operator="lessThan">
      <formula>0.8</formula>
    </cfRule>
  </conditionalFormatting>
  <conditionalFormatting sqref="P83">
    <cfRule type="cellIs" dxfId="30528" priority="2878" operator="greaterThan">
      <formula>0</formula>
    </cfRule>
  </conditionalFormatting>
  <conditionalFormatting sqref="Q83">
    <cfRule type="cellIs" dxfId="30527" priority="2883" operator="lessThan">
      <formula>0</formula>
    </cfRule>
  </conditionalFormatting>
  <conditionalFormatting sqref="R83">
    <cfRule type="cellIs" dxfId="30526" priority="2881" operator="lessThan">
      <formula>0.8</formula>
    </cfRule>
    <cfRule type="cellIs" dxfId="30525" priority="2882" operator="greaterThan">
      <formula>1</formula>
    </cfRule>
  </conditionalFormatting>
  <conditionalFormatting sqref="R83">
    <cfRule type="cellIs" dxfId="30524" priority="2879" operator="greaterThan">
      <formula>1</formula>
    </cfRule>
    <cfRule type="cellIs" dxfId="30523" priority="2880" operator="lessThan">
      <formula>0.8</formula>
    </cfRule>
  </conditionalFormatting>
  <conditionalFormatting sqref="R83">
    <cfRule type="cellIs" dxfId="30522" priority="2875" operator="lessThan">
      <formula>0.8</formula>
    </cfRule>
    <cfRule type="cellIs" dxfId="30521" priority="2876" operator="greaterThan">
      <formula>1</formula>
    </cfRule>
  </conditionalFormatting>
  <conditionalFormatting sqref="R83">
    <cfRule type="cellIs" dxfId="30520" priority="2873" operator="greaterThan">
      <formula>1</formula>
    </cfRule>
    <cfRule type="cellIs" dxfId="30519" priority="2874" operator="lessThan">
      <formula>0.8</formula>
    </cfRule>
  </conditionalFormatting>
  <conditionalFormatting sqref="P83">
    <cfRule type="cellIs" dxfId="30518" priority="2872" operator="greaterThan">
      <formula>0</formula>
    </cfRule>
  </conditionalFormatting>
  <conditionalFormatting sqref="Q83">
    <cfRule type="cellIs" dxfId="30517" priority="2877" operator="lessThan">
      <formula>0</formula>
    </cfRule>
  </conditionalFormatting>
  <conditionalFormatting sqref="P83">
    <cfRule type="cellIs" dxfId="30516" priority="2866" operator="greaterThan">
      <formula>0</formula>
    </cfRule>
  </conditionalFormatting>
  <conditionalFormatting sqref="Q83">
    <cfRule type="cellIs" dxfId="30515" priority="2871" operator="lessThan">
      <formula>0</formula>
    </cfRule>
  </conditionalFormatting>
  <conditionalFormatting sqref="R83">
    <cfRule type="cellIs" dxfId="30514" priority="2869" operator="lessThan">
      <formula>0.8</formula>
    </cfRule>
    <cfRule type="cellIs" dxfId="30513" priority="2870" operator="greaterThan">
      <formula>1</formula>
    </cfRule>
  </conditionalFormatting>
  <conditionalFormatting sqref="R83">
    <cfRule type="cellIs" dxfId="30512" priority="2867" operator="greaterThan">
      <formula>1</formula>
    </cfRule>
    <cfRule type="cellIs" dxfId="30511" priority="2868" operator="lessThan">
      <formula>0.8</formula>
    </cfRule>
  </conditionalFormatting>
  <conditionalFormatting sqref="R83">
    <cfRule type="cellIs" dxfId="30510" priority="2863" operator="lessThan">
      <formula>0.8</formula>
    </cfRule>
    <cfRule type="cellIs" dxfId="30509" priority="2864" operator="greaterThan">
      <formula>1</formula>
    </cfRule>
  </conditionalFormatting>
  <conditionalFormatting sqref="R83">
    <cfRule type="cellIs" dxfId="30508" priority="2861" operator="greaterThan">
      <formula>1</formula>
    </cfRule>
    <cfRule type="cellIs" dxfId="30507" priority="2862" operator="lessThan">
      <formula>0.8</formula>
    </cfRule>
  </conditionalFormatting>
  <conditionalFormatting sqref="P83">
    <cfRule type="cellIs" dxfId="30506" priority="2860" operator="greaterThan">
      <formula>0</formula>
    </cfRule>
  </conditionalFormatting>
  <conditionalFormatting sqref="Q83">
    <cfRule type="cellIs" dxfId="30505" priority="2865" operator="lessThan">
      <formula>0</formula>
    </cfRule>
  </conditionalFormatting>
  <conditionalFormatting sqref="R83">
    <cfRule type="cellIs" dxfId="30504" priority="2857" operator="lessThan">
      <formula>0.8</formula>
    </cfRule>
    <cfRule type="cellIs" dxfId="30503" priority="2858" operator="greaterThan">
      <formula>1</formula>
    </cfRule>
  </conditionalFormatting>
  <conditionalFormatting sqref="R83">
    <cfRule type="cellIs" dxfId="30502" priority="2855" operator="greaterThan">
      <formula>1</formula>
    </cfRule>
    <cfRule type="cellIs" dxfId="30501" priority="2856" operator="lessThan">
      <formula>0.8</formula>
    </cfRule>
  </conditionalFormatting>
  <conditionalFormatting sqref="P83">
    <cfRule type="cellIs" dxfId="30500" priority="2854" operator="greaterThan">
      <formula>0</formula>
    </cfRule>
  </conditionalFormatting>
  <conditionalFormatting sqref="Q83">
    <cfRule type="cellIs" dxfId="30499" priority="2859" operator="lessThan">
      <formula>0</formula>
    </cfRule>
  </conditionalFormatting>
  <conditionalFormatting sqref="Q83">
    <cfRule type="cellIs" dxfId="30498" priority="2853" operator="lessThan">
      <formula>0</formula>
    </cfRule>
  </conditionalFormatting>
  <conditionalFormatting sqref="R83">
    <cfRule type="cellIs" dxfId="30497" priority="2851" operator="lessThan">
      <formula>0.8</formula>
    </cfRule>
    <cfRule type="cellIs" dxfId="30496" priority="2852" operator="greaterThan">
      <formula>1</formula>
    </cfRule>
  </conditionalFormatting>
  <conditionalFormatting sqref="R83">
    <cfRule type="cellIs" dxfId="30495" priority="2849" operator="greaterThan">
      <formula>1</formula>
    </cfRule>
    <cfRule type="cellIs" dxfId="30494" priority="2850" operator="lessThan">
      <formula>0.8</formula>
    </cfRule>
  </conditionalFormatting>
  <conditionalFormatting sqref="P83">
    <cfRule type="cellIs" dxfId="30493" priority="2848" operator="greaterThan">
      <formula>0</formula>
    </cfRule>
  </conditionalFormatting>
  <conditionalFormatting sqref="Q83">
    <cfRule type="cellIs" dxfId="30492" priority="2842" operator="lessThan">
      <formula>0</formula>
    </cfRule>
  </conditionalFormatting>
  <conditionalFormatting sqref="R83">
    <cfRule type="cellIs" dxfId="30491" priority="2846" operator="lessThan">
      <formula>0.8</formula>
    </cfRule>
    <cfRule type="cellIs" dxfId="30490" priority="2847" operator="greaterThan">
      <formula>1</formula>
    </cfRule>
  </conditionalFormatting>
  <conditionalFormatting sqref="R83">
    <cfRule type="cellIs" dxfId="30489" priority="2844" operator="greaterThan">
      <formula>1</formula>
    </cfRule>
    <cfRule type="cellIs" dxfId="30488" priority="2845" operator="lessThan">
      <formula>0.8</formula>
    </cfRule>
  </conditionalFormatting>
  <conditionalFormatting sqref="P83">
    <cfRule type="cellIs" dxfId="30487" priority="2843" operator="greaterThan">
      <formula>0</formula>
    </cfRule>
  </conditionalFormatting>
  <conditionalFormatting sqref="Q83">
    <cfRule type="cellIs" dxfId="30486" priority="2841" operator="lessThan">
      <formula>0</formula>
    </cfRule>
  </conditionalFormatting>
  <conditionalFormatting sqref="R83">
    <cfRule type="cellIs" dxfId="30485" priority="2839" operator="lessThan">
      <formula>0.8</formula>
    </cfRule>
    <cfRule type="cellIs" dxfId="30484" priority="2840" operator="greaterThan">
      <formula>1</formula>
    </cfRule>
  </conditionalFormatting>
  <conditionalFormatting sqref="R83">
    <cfRule type="cellIs" dxfId="30483" priority="2837" operator="greaterThan">
      <formula>1</formula>
    </cfRule>
    <cfRule type="cellIs" dxfId="30482" priority="2838" operator="lessThan">
      <formula>0.8</formula>
    </cfRule>
  </conditionalFormatting>
  <conditionalFormatting sqref="P83">
    <cfRule type="cellIs" dxfId="30481" priority="2836" operator="greaterThan">
      <formula>0</formula>
    </cfRule>
  </conditionalFormatting>
  <conditionalFormatting sqref="Q83">
    <cfRule type="cellIs" dxfId="30480" priority="2835" operator="lessThan">
      <formula>0</formula>
    </cfRule>
  </conditionalFormatting>
  <conditionalFormatting sqref="R83">
    <cfRule type="cellIs" dxfId="30479" priority="2833" operator="lessThan">
      <formula>0.8</formula>
    </cfRule>
    <cfRule type="cellIs" dxfId="30478" priority="2834" operator="greaterThan">
      <formula>1</formula>
    </cfRule>
  </conditionalFormatting>
  <conditionalFormatting sqref="R83">
    <cfRule type="cellIs" dxfId="30477" priority="2831" operator="greaterThan">
      <formula>1</formula>
    </cfRule>
    <cfRule type="cellIs" dxfId="30476" priority="2832" operator="lessThan">
      <formula>0.8</formula>
    </cfRule>
  </conditionalFormatting>
  <conditionalFormatting sqref="P83">
    <cfRule type="cellIs" dxfId="30475" priority="2830" operator="greaterThan">
      <formula>0</formula>
    </cfRule>
  </conditionalFormatting>
  <conditionalFormatting sqref="Q83">
    <cfRule type="cellIs" dxfId="30474" priority="2829" operator="lessThan">
      <formula>0</formula>
    </cfRule>
  </conditionalFormatting>
  <conditionalFormatting sqref="R83">
    <cfRule type="cellIs" dxfId="30473" priority="2827" operator="lessThan">
      <formula>0.8</formula>
    </cfRule>
    <cfRule type="cellIs" dxfId="30472" priority="2828" operator="greaterThan">
      <formula>1</formula>
    </cfRule>
  </conditionalFormatting>
  <conditionalFormatting sqref="R83">
    <cfRule type="cellIs" dxfId="30471" priority="2825" operator="greaterThan">
      <formula>1</formula>
    </cfRule>
    <cfRule type="cellIs" dxfId="30470" priority="2826" operator="lessThan">
      <formula>0.8</formula>
    </cfRule>
  </conditionalFormatting>
  <conditionalFormatting sqref="P83">
    <cfRule type="cellIs" dxfId="30469" priority="2824" operator="greaterThan">
      <formula>0</formula>
    </cfRule>
  </conditionalFormatting>
  <conditionalFormatting sqref="Q83">
    <cfRule type="cellIs" dxfId="30468" priority="2823" operator="lessThan">
      <formula>0</formula>
    </cfRule>
  </conditionalFormatting>
  <conditionalFormatting sqref="R83">
    <cfRule type="cellIs" dxfId="30467" priority="2821" operator="lessThan">
      <formula>0.8</formula>
    </cfRule>
    <cfRule type="cellIs" dxfId="30466" priority="2822" operator="greaterThan">
      <formula>1</formula>
    </cfRule>
  </conditionalFormatting>
  <conditionalFormatting sqref="R83">
    <cfRule type="cellIs" dxfId="30465" priority="2819" operator="greaterThan">
      <formula>1</formula>
    </cfRule>
    <cfRule type="cellIs" dxfId="30464" priority="2820" operator="lessThan">
      <formula>0.8</formula>
    </cfRule>
  </conditionalFormatting>
  <conditionalFormatting sqref="P83">
    <cfRule type="cellIs" dxfId="30463" priority="2818" operator="greaterThan">
      <formula>0</formula>
    </cfRule>
  </conditionalFormatting>
  <conditionalFormatting sqref="Q83">
    <cfRule type="cellIs" dxfId="30462" priority="2817" operator="lessThan">
      <formula>0</formula>
    </cfRule>
  </conditionalFormatting>
  <conditionalFormatting sqref="R83">
    <cfRule type="cellIs" dxfId="30461" priority="2815" operator="lessThan">
      <formula>0.8</formula>
    </cfRule>
    <cfRule type="cellIs" dxfId="30460" priority="2816" operator="greaterThan">
      <formula>1</formula>
    </cfRule>
  </conditionalFormatting>
  <conditionalFormatting sqref="R83">
    <cfRule type="cellIs" dxfId="30459" priority="2813" operator="greaterThan">
      <formula>1</formula>
    </cfRule>
    <cfRule type="cellIs" dxfId="30458" priority="2814" operator="lessThan">
      <formula>0.8</formula>
    </cfRule>
  </conditionalFormatting>
  <conditionalFormatting sqref="P83">
    <cfRule type="cellIs" dxfId="30457" priority="2812" operator="greaterThan">
      <formula>0</formula>
    </cfRule>
  </conditionalFormatting>
  <conditionalFormatting sqref="P83">
    <cfRule type="cellIs" dxfId="30456" priority="2806" operator="greaterThan">
      <formula>0</formula>
    </cfRule>
  </conditionalFormatting>
  <conditionalFormatting sqref="Q83">
    <cfRule type="cellIs" dxfId="30455" priority="2811" operator="lessThan">
      <formula>0</formula>
    </cfRule>
  </conditionalFormatting>
  <conditionalFormatting sqref="R83">
    <cfRule type="cellIs" dxfId="30454" priority="2809" operator="lessThan">
      <formula>0.8</formula>
    </cfRule>
    <cfRule type="cellIs" dxfId="30453" priority="2810" operator="greaterThan">
      <formula>1</formula>
    </cfRule>
  </conditionalFormatting>
  <conditionalFormatting sqref="R83">
    <cfRule type="cellIs" dxfId="30452" priority="2807" operator="greaterThan">
      <formula>1</formula>
    </cfRule>
    <cfRule type="cellIs" dxfId="30451" priority="2808" operator="lessThan">
      <formula>0.8</formula>
    </cfRule>
  </conditionalFormatting>
  <conditionalFormatting sqref="P83">
    <cfRule type="cellIs" dxfId="30450" priority="2800" operator="greaterThan">
      <formula>0</formula>
    </cfRule>
  </conditionalFormatting>
  <conditionalFormatting sqref="Q83">
    <cfRule type="cellIs" dxfId="30449" priority="2805" operator="lessThan">
      <formula>0</formula>
    </cfRule>
  </conditionalFormatting>
  <conditionalFormatting sqref="R83">
    <cfRule type="cellIs" dxfId="30448" priority="2803" operator="lessThan">
      <formula>0.8</formula>
    </cfRule>
    <cfRule type="cellIs" dxfId="30447" priority="2804" operator="greaterThan">
      <formula>1</formula>
    </cfRule>
  </conditionalFormatting>
  <conditionalFormatting sqref="R83">
    <cfRule type="cellIs" dxfId="30446" priority="2801" operator="greaterThan">
      <formula>1</formula>
    </cfRule>
    <cfRule type="cellIs" dxfId="30445" priority="2802" operator="lessThan">
      <formula>0.8</formula>
    </cfRule>
  </conditionalFormatting>
  <conditionalFormatting sqref="R83">
    <cfRule type="cellIs" dxfId="30444" priority="2797" operator="lessThan">
      <formula>0.8</formula>
    </cfRule>
    <cfRule type="cellIs" dxfId="30443" priority="2798" operator="greaterThan">
      <formula>1</formula>
    </cfRule>
  </conditionalFormatting>
  <conditionalFormatting sqref="R83">
    <cfRule type="cellIs" dxfId="30442" priority="2795" operator="greaterThan">
      <formula>1</formula>
    </cfRule>
    <cfRule type="cellIs" dxfId="30441" priority="2796" operator="lessThan">
      <formula>0.8</formula>
    </cfRule>
  </conditionalFormatting>
  <conditionalFormatting sqref="P83">
    <cfRule type="cellIs" dxfId="30440" priority="2794" operator="greaterThan">
      <formula>0</formula>
    </cfRule>
  </conditionalFormatting>
  <conditionalFormatting sqref="Q83">
    <cfRule type="cellIs" dxfId="30439" priority="2799" operator="lessThan">
      <formula>0</formula>
    </cfRule>
  </conditionalFormatting>
  <conditionalFormatting sqref="Q83">
    <cfRule type="cellIs" dxfId="30438" priority="2788" operator="lessThan">
      <formula>0</formula>
    </cfRule>
  </conditionalFormatting>
  <conditionalFormatting sqref="P83">
    <cfRule type="cellIs" dxfId="30437" priority="2789" operator="greaterThan">
      <formula>0</formula>
    </cfRule>
  </conditionalFormatting>
  <conditionalFormatting sqref="R83">
    <cfRule type="cellIs" dxfId="30436" priority="2792" operator="lessThan">
      <formula>0.8</formula>
    </cfRule>
    <cfRule type="cellIs" dxfId="30435" priority="2793" operator="greaterThan">
      <formula>1</formula>
    </cfRule>
  </conditionalFormatting>
  <conditionalFormatting sqref="R83">
    <cfRule type="cellIs" dxfId="30434" priority="2790" operator="greaterThan">
      <formula>1</formula>
    </cfRule>
    <cfRule type="cellIs" dxfId="30433" priority="2791" operator="lessThan">
      <formula>0.8</formula>
    </cfRule>
  </conditionalFormatting>
  <conditionalFormatting sqref="Q83">
    <cfRule type="cellIs" dxfId="30432" priority="2782" operator="lessThan">
      <formula>0</formula>
    </cfRule>
  </conditionalFormatting>
  <conditionalFormatting sqref="R83">
    <cfRule type="cellIs" dxfId="30431" priority="2786" operator="lessThan">
      <formula>0.8</formula>
    </cfRule>
    <cfRule type="cellIs" dxfId="30430" priority="2787" operator="greaterThan">
      <formula>1</formula>
    </cfRule>
  </conditionalFormatting>
  <conditionalFormatting sqref="R83">
    <cfRule type="cellIs" dxfId="30429" priority="2784" operator="greaterThan">
      <formula>1</formula>
    </cfRule>
    <cfRule type="cellIs" dxfId="30428" priority="2785" operator="lessThan">
      <formula>0.8</formula>
    </cfRule>
  </conditionalFormatting>
  <conditionalFormatting sqref="P83">
    <cfRule type="cellIs" dxfId="30427" priority="2783" operator="greaterThan">
      <formula>0</formula>
    </cfRule>
  </conditionalFormatting>
  <conditionalFormatting sqref="Q83">
    <cfRule type="cellIs" dxfId="30426" priority="2781" operator="lessThan">
      <formula>0</formula>
    </cfRule>
  </conditionalFormatting>
  <conditionalFormatting sqref="R83">
    <cfRule type="cellIs" dxfId="30425" priority="2779" operator="lessThan">
      <formula>0.8</formula>
    </cfRule>
    <cfRule type="cellIs" dxfId="30424" priority="2780" operator="greaterThan">
      <formula>1</formula>
    </cfRule>
  </conditionalFormatting>
  <conditionalFormatting sqref="R83">
    <cfRule type="cellIs" dxfId="30423" priority="2777" operator="greaterThan">
      <formula>1</formula>
    </cfRule>
    <cfRule type="cellIs" dxfId="30422" priority="2778" operator="lessThan">
      <formula>0.8</formula>
    </cfRule>
  </conditionalFormatting>
  <conditionalFormatting sqref="P83">
    <cfRule type="cellIs" dxfId="30421" priority="2776" operator="greaterThan">
      <formula>0</formula>
    </cfRule>
  </conditionalFormatting>
  <conditionalFormatting sqref="Q83">
    <cfRule type="cellIs" dxfId="30420" priority="2775" operator="lessThan">
      <formula>0</formula>
    </cfRule>
  </conditionalFormatting>
  <conditionalFormatting sqref="R83">
    <cfRule type="cellIs" dxfId="30419" priority="2773" operator="lessThan">
      <formula>0.8</formula>
    </cfRule>
    <cfRule type="cellIs" dxfId="30418" priority="2774" operator="greaterThan">
      <formula>1</formula>
    </cfRule>
  </conditionalFormatting>
  <conditionalFormatting sqref="R83">
    <cfRule type="cellIs" dxfId="30417" priority="2771" operator="greaterThan">
      <formula>1</formula>
    </cfRule>
    <cfRule type="cellIs" dxfId="30416" priority="2772" operator="lessThan">
      <formula>0.8</formula>
    </cfRule>
  </conditionalFormatting>
  <conditionalFormatting sqref="P83">
    <cfRule type="cellIs" dxfId="30415" priority="2770" operator="greaterThan">
      <formula>0</formula>
    </cfRule>
  </conditionalFormatting>
  <conditionalFormatting sqref="Q83">
    <cfRule type="cellIs" dxfId="30414" priority="2769" operator="lessThan">
      <formula>0</formula>
    </cfRule>
  </conditionalFormatting>
  <conditionalFormatting sqref="R83">
    <cfRule type="cellIs" dxfId="30413" priority="2767" operator="lessThan">
      <formula>0.8</formula>
    </cfRule>
    <cfRule type="cellIs" dxfId="30412" priority="2768" operator="greaterThan">
      <formula>1</formula>
    </cfRule>
  </conditionalFormatting>
  <conditionalFormatting sqref="R83">
    <cfRule type="cellIs" dxfId="30411" priority="2765" operator="greaterThan">
      <formula>1</formula>
    </cfRule>
    <cfRule type="cellIs" dxfId="30410" priority="2766" operator="lessThan">
      <formula>0.8</formula>
    </cfRule>
  </conditionalFormatting>
  <conditionalFormatting sqref="P83">
    <cfRule type="cellIs" dxfId="30409" priority="2764" operator="greaterThan">
      <formula>0</formula>
    </cfRule>
  </conditionalFormatting>
  <conditionalFormatting sqref="Q83">
    <cfRule type="cellIs" dxfId="30408" priority="2763" operator="lessThan">
      <formula>0</formula>
    </cfRule>
  </conditionalFormatting>
  <conditionalFormatting sqref="R83">
    <cfRule type="cellIs" dxfId="30407" priority="2761" operator="lessThan">
      <formula>0.8</formula>
    </cfRule>
    <cfRule type="cellIs" dxfId="30406" priority="2762" operator="greaterThan">
      <formula>1</formula>
    </cfRule>
  </conditionalFormatting>
  <conditionalFormatting sqref="R83">
    <cfRule type="cellIs" dxfId="30405" priority="2759" operator="greaterThan">
      <formula>1</formula>
    </cfRule>
    <cfRule type="cellIs" dxfId="30404" priority="2760" operator="lessThan">
      <formula>0.8</formula>
    </cfRule>
  </conditionalFormatting>
  <conditionalFormatting sqref="P83">
    <cfRule type="cellIs" dxfId="30403" priority="2758" operator="greaterThan">
      <formula>0</formula>
    </cfRule>
  </conditionalFormatting>
  <conditionalFormatting sqref="Q83">
    <cfRule type="cellIs" dxfId="30402" priority="2757" operator="lessThan">
      <formula>0</formula>
    </cfRule>
  </conditionalFormatting>
  <conditionalFormatting sqref="R83">
    <cfRule type="cellIs" dxfId="30401" priority="2755" operator="lessThan">
      <formula>0.8</formula>
    </cfRule>
    <cfRule type="cellIs" dxfId="30400" priority="2756" operator="greaterThan">
      <formula>1</formula>
    </cfRule>
  </conditionalFormatting>
  <conditionalFormatting sqref="R83">
    <cfRule type="cellIs" dxfId="30399" priority="2753" operator="greaterThan">
      <formula>1</formula>
    </cfRule>
    <cfRule type="cellIs" dxfId="30398" priority="2754" operator="lessThan">
      <formula>0.8</formula>
    </cfRule>
  </conditionalFormatting>
  <conditionalFormatting sqref="P83">
    <cfRule type="cellIs" dxfId="30397" priority="2752" operator="greaterThan">
      <formula>0</formula>
    </cfRule>
  </conditionalFormatting>
  <conditionalFormatting sqref="Q83">
    <cfRule type="cellIs" dxfId="30396" priority="2751" operator="lessThan">
      <formula>0</formula>
    </cfRule>
  </conditionalFormatting>
  <conditionalFormatting sqref="R83">
    <cfRule type="cellIs" dxfId="30395" priority="2749" operator="lessThan">
      <formula>0.8</formula>
    </cfRule>
    <cfRule type="cellIs" dxfId="30394" priority="2750" operator="greaterThan">
      <formula>1</formula>
    </cfRule>
  </conditionalFormatting>
  <conditionalFormatting sqref="R83">
    <cfRule type="cellIs" dxfId="30393" priority="2747" operator="greaterThan">
      <formula>1</formula>
    </cfRule>
    <cfRule type="cellIs" dxfId="30392" priority="2748" operator="lessThan">
      <formula>0.8</formula>
    </cfRule>
  </conditionalFormatting>
  <conditionalFormatting sqref="P83">
    <cfRule type="cellIs" dxfId="30391" priority="2746" operator="greaterThan">
      <formula>0</formula>
    </cfRule>
  </conditionalFormatting>
  <conditionalFormatting sqref="Q83">
    <cfRule type="cellIs" dxfId="30390" priority="2745" operator="lessThan">
      <formula>0</formula>
    </cfRule>
  </conditionalFormatting>
  <conditionalFormatting sqref="R83">
    <cfRule type="cellIs" dxfId="30389" priority="2743" operator="lessThan">
      <formula>0.8</formula>
    </cfRule>
    <cfRule type="cellIs" dxfId="30388" priority="2744" operator="greaterThan">
      <formula>1</formula>
    </cfRule>
  </conditionalFormatting>
  <conditionalFormatting sqref="R83">
    <cfRule type="cellIs" dxfId="30387" priority="2741" operator="greaterThan">
      <formula>1</formula>
    </cfRule>
    <cfRule type="cellIs" dxfId="30386" priority="2742" operator="lessThan">
      <formula>0.8</formula>
    </cfRule>
  </conditionalFormatting>
  <conditionalFormatting sqref="P83">
    <cfRule type="cellIs" dxfId="30385" priority="2740" operator="greaterThan">
      <formula>0</formula>
    </cfRule>
  </conditionalFormatting>
  <conditionalFormatting sqref="P83">
    <cfRule type="cellIs" dxfId="30384" priority="2734" operator="greaterThan">
      <formula>0</formula>
    </cfRule>
  </conditionalFormatting>
  <conditionalFormatting sqref="Q83">
    <cfRule type="cellIs" dxfId="30383" priority="2739" operator="lessThan">
      <formula>0</formula>
    </cfRule>
  </conditionalFormatting>
  <conditionalFormatting sqref="R83">
    <cfRule type="cellIs" dxfId="30382" priority="2737" operator="lessThan">
      <formula>0.8</formula>
    </cfRule>
    <cfRule type="cellIs" dxfId="30381" priority="2738" operator="greaterThan">
      <formula>1</formula>
    </cfRule>
  </conditionalFormatting>
  <conditionalFormatting sqref="R83">
    <cfRule type="cellIs" dxfId="30380" priority="2735" operator="greaterThan">
      <formula>1</formula>
    </cfRule>
    <cfRule type="cellIs" dxfId="30379" priority="2736" operator="lessThan">
      <formula>0.8</formula>
    </cfRule>
  </conditionalFormatting>
  <conditionalFormatting sqref="P83">
    <cfRule type="cellIs" dxfId="30378" priority="2728" operator="greaterThan">
      <formula>0</formula>
    </cfRule>
  </conditionalFormatting>
  <conditionalFormatting sqref="Q83">
    <cfRule type="cellIs" dxfId="30377" priority="2733" operator="lessThan">
      <formula>0</formula>
    </cfRule>
  </conditionalFormatting>
  <conditionalFormatting sqref="R83">
    <cfRule type="cellIs" dxfId="30376" priority="2731" operator="lessThan">
      <formula>0.8</formula>
    </cfRule>
    <cfRule type="cellIs" dxfId="30375" priority="2732" operator="greaterThan">
      <formula>1</formula>
    </cfRule>
  </conditionalFormatting>
  <conditionalFormatting sqref="R83">
    <cfRule type="cellIs" dxfId="30374" priority="2729" operator="greaterThan">
      <formula>1</formula>
    </cfRule>
    <cfRule type="cellIs" dxfId="30373" priority="2730" operator="lessThan">
      <formula>0.8</formula>
    </cfRule>
  </conditionalFormatting>
  <conditionalFormatting sqref="R83">
    <cfRule type="cellIs" dxfId="30372" priority="2725" operator="lessThan">
      <formula>0.8</formula>
    </cfRule>
    <cfRule type="cellIs" dxfId="30371" priority="2726" operator="greaterThan">
      <formula>1</formula>
    </cfRule>
  </conditionalFormatting>
  <conditionalFormatting sqref="R83">
    <cfRule type="cellIs" dxfId="30370" priority="2723" operator="greaterThan">
      <formula>1</formula>
    </cfRule>
    <cfRule type="cellIs" dxfId="30369" priority="2724" operator="lessThan">
      <formula>0.8</formula>
    </cfRule>
  </conditionalFormatting>
  <conditionalFormatting sqref="P83">
    <cfRule type="cellIs" dxfId="30368" priority="2722" operator="greaterThan">
      <formula>0</formula>
    </cfRule>
  </conditionalFormatting>
  <conditionalFormatting sqref="Q83">
    <cfRule type="cellIs" dxfId="30367" priority="2727" operator="lessThan">
      <formula>0</formula>
    </cfRule>
  </conditionalFormatting>
  <conditionalFormatting sqref="Q83">
    <cfRule type="cellIs" dxfId="30366" priority="2721" operator="lessThan">
      <formula>0</formula>
    </cfRule>
  </conditionalFormatting>
  <conditionalFormatting sqref="R83">
    <cfRule type="cellIs" dxfId="30365" priority="2719" operator="lessThan">
      <formula>0.8</formula>
    </cfRule>
    <cfRule type="cellIs" dxfId="30364" priority="2720" operator="greaterThan">
      <formula>1</formula>
    </cfRule>
  </conditionalFormatting>
  <conditionalFormatting sqref="R83">
    <cfRule type="cellIs" dxfId="30363" priority="2717" operator="greaterThan">
      <formula>1</formula>
    </cfRule>
    <cfRule type="cellIs" dxfId="30362" priority="2718" operator="lessThan">
      <formula>0.8</formula>
    </cfRule>
  </conditionalFormatting>
  <conditionalFormatting sqref="P83">
    <cfRule type="cellIs" dxfId="30361" priority="2716" operator="greaterThan">
      <formula>0</formula>
    </cfRule>
  </conditionalFormatting>
  <conditionalFormatting sqref="P83">
    <cfRule type="cellIs" dxfId="30360" priority="2710" operator="greaterThan">
      <formula>0</formula>
    </cfRule>
  </conditionalFormatting>
  <conditionalFormatting sqref="Q83">
    <cfRule type="cellIs" dxfId="30359" priority="2715" operator="lessThan">
      <formula>0</formula>
    </cfRule>
  </conditionalFormatting>
  <conditionalFormatting sqref="R83">
    <cfRule type="cellIs" dxfId="30358" priority="2713" operator="lessThan">
      <formula>0.8</formula>
    </cfRule>
    <cfRule type="cellIs" dxfId="30357" priority="2714" operator="greaterThan">
      <formula>1</formula>
    </cfRule>
  </conditionalFormatting>
  <conditionalFormatting sqref="R83">
    <cfRule type="cellIs" dxfId="30356" priority="2711" operator="greaterThan">
      <formula>1</formula>
    </cfRule>
    <cfRule type="cellIs" dxfId="30355" priority="2712" operator="lessThan">
      <formula>0.8</formula>
    </cfRule>
  </conditionalFormatting>
  <conditionalFormatting sqref="P83">
    <cfRule type="cellIs" dxfId="30354" priority="2704" operator="greaterThan">
      <formula>0</formula>
    </cfRule>
  </conditionalFormatting>
  <conditionalFormatting sqref="Q83">
    <cfRule type="cellIs" dxfId="30353" priority="2709" operator="lessThan">
      <formula>0</formula>
    </cfRule>
  </conditionalFormatting>
  <conditionalFormatting sqref="R83">
    <cfRule type="cellIs" dxfId="30352" priority="2707" operator="lessThan">
      <formula>0.8</formula>
    </cfRule>
    <cfRule type="cellIs" dxfId="30351" priority="2708" operator="greaterThan">
      <formula>1</formula>
    </cfRule>
  </conditionalFormatting>
  <conditionalFormatting sqref="R83">
    <cfRule type="cellIs" dxfId="30350" priority="2705" operator="greaterThan">
      <formula>1</formula>
    </cfRule>
    <cfRule type="cellIs" dxfId="30349" priority="2706" operator="lessThan">
      <formula>0.8</formula>
    </cfRule>
  </conditionalFormatting>
  <conditionalFormatting sqref="R83">
    <cfRule type="cellIs" dxfId="30348" priority="2701" operator="lessThan">
      <formula>0.8</formula>
    </cfRule>
    <cfRule type="cellIs" dxfId="30347" priority="2702" operator="greaterThan">
      <formula>1</formula>
    </cfRule>
  </conditionalFormatting>
  <conditionalFormatting sqref="R83">
    <cfRule type="cellIs" dxfId="30346" priority="2699" operator="greaterThan">
      <formula>1</formula>
    </cfRule>
    <cfRule type="cellIs" dxfId="30345" priority="2700" operator="lessThan">
      <formula>0.8</formula>
    </cfRule>
  </conditionalFormatting>
  <conditionalFormatting sqref="P83">
    <cfRule type="cellIs" dxfId="30344" priority="2698" operator="greaterThan">
      <formula>0</formula>
    </cfRule>
  </conditionalFormatting>
  <conditionalFormatting sqref="Q83">
    <cfRule type="cellIs" dxfId="30343" priority="2703" operator="lessThan">
      <formula>0</formula>
    </cfRule>
  </conditionalFormatting>
  <conditionalFormatting sqref="P83">
    <cfRule type="cellIs" dxfId="30342" priority="2692" operator="greaterThan">
      <formula>0</formula>
    </cfRule>
  </conditionalFormatting>
  <conditionalFormatting sqref="Q83">
    <cfRule type="cellIs" dxfId="30341" priority="2697" operator="lessThan">
      <formula>0</formula>
    </cfRule>
  </conditionalFormatting>
  <conditionalFormatting sqref="R83">
    <cfRule type="cellIs" dxfId="30340" priority="2695" operator="lessThan">
      <formula>0.8</formula>
    </cfRule>
    <cfRule type="cellIs" dxfId="30339" priority="2696" operator="greaterThan">
      <formula>1</formula>
    </cfRule>
  </conditionalFormatting>
  <conditionalFormatting sqref="R83">
    <cfRule type="cellIs" dxfId="30338" priority="2693" operator="greaterThan">
      <formula>1</formula>
    </cfRule>
    <cfRule type="cellIs" dxfId="30337" priority="2694" operator="lessThan">
      <formula>0.8</formula>
    </cfRule>
  </conditionalFormatting>
  <conditionalFormatting sqref="R83">
    <cfRule type="cellIs" dxfId="30336" priority="2689" operator="lessThan">
      <formula>0.8</formula>
    </cfRule>
    <cfRule type="cellIs" dxfId="30335" priority="2690" operator="greaterThan">
      <formula>1</formula>
    </cfRule>
  </conditionalFormatting>
  <conditionalFormatting sqref="R83">
    <cfRule type="cellIs" dxfId="30334" priority="2687" operator="greaterThan">
      <formula>1</formula>
    </cfRule>
    <cfRule type="cellIs" dxfId="30333" priority="2688" operator="lessThan">
      <formula>0.8</formula>
    </cfRule>
  </conditionalFormatting>
  <conditionalFormatting sqref="P83">
    <cfRule type="cellIs" dxfId="30332" priority="2686" operator="greaterThan">
      <formula>0</formula>
    </cfRule>
  </conditionalFormatting>
  <conditionalFormatting sqref="Q83">
    <cfRule type="cellIs" dxfId="30331" priority="2691" operator="lessThan">
      <formula>0</formula>
    </cfRule>
  </conditionalFormatting>
  <conditionalFormatting sqref="R83">
    <cfRule type="cellIs" dxfId="30330" priority="2683" operator="lessThan">
      <formula>0.8</formula>
    </cfRule>
    <cfRule type="cellIs" dxfId="30329" priority="2684" operator="greaterThan">
      <formula>1</formula>
    </cfRule>
  </conditionalFormatting>
  <conditionalFormatting sqref="R83">
    <cfRule type="cellIs" dxfId="30328" priority="2681" operator="greaterThan">
      <formula>1</formula>
    </cfRule>
    <cfRule type="cellIs" dxfId="30327" priority="2682" operator="lessThan">
      <formula>0.8</formula>
    </cfRule>
  </conditionalFormatting>
  <conditionalFormatting sqref="P83">
    <cfRule type="cellIs" dxfId="30326" priority="2680" operator="greaterThan">
      <formula>0</formula>
    </cfRule>
  </conditionalFormatting>
  <conditionalFormatting sqref="Q83">
    <cfRule type="cellIs" dxfId="30325" priority="2685" operator="lessThan">
      <formula>0</formula>
    </cfRule>
  </conditionalFormatting>
  <conditionalFormatting sqref="Q83">
    <cfRule type="cellIs" dxfId="30324" priority="2679" operator="lessThan">
      <formula>0</formula>
    </cfRule>
  </conditionalFormatting>
  <conditionalFormatting sqref="R83">
    <cfRule type="cellIs" dxfId="30323" priority="2677" operator="lessThan">
      <formula>0.8</formula>
    </cfRule>
    <cfRule type="cellIs" dxfId="30322" priority="2678" operator="greaterThan">
      <formula>1</formula>
    </cfRule>
  </conditionalFormatting>
  <conditionalFormatting sqref="R83">
    <cfRule type="cellIs" dxfId="30321" priority="2675" operator="greaterThan">
      <formula>1</formula>
    </cfRule>
    <cfRule type="cellIs" dxfId="30320" priority="2676" operator="lessThan">
      <formula>0.8</formula>
    </cfRule>
  </conditionalFormatting>
  <conditionalFormatting sqref="P83">
    <cfRule type="cellIs" dxfId="30319" priority="2674" operator="greaterThan">
      <formula>0</formula>
    </cfRule>
  </conditionalFormatting>
  <conditionalFormatting sqref="Q83">
    <cfRule type="cellIs" dxfId="30318" priority="2668" operator="lessThan">
      <formula>0</formula>
    </cfRule>
  </conditionalFormatting>
  <conditionalFormatting sqref="R83">
    <cfRule type="cellIs" dxfId="30317" priority="2672" operator="lessThan">
      <formula>0.8</formula>
    </cfRule>
    <cfRule type="cellIs" dxfId="30316" priority="2673" operator="greaterThan">
      <formula>1</formula>
    </cfRule>
  </conditionalFormatting>
  <conditionalFormatting sqref="R83">
    <cfRule type="cellIs" dxfId="30315" priority="2670" operator="greaterThan">
      <formula>1</formula>
    </cfRule>
    <cfRule type="cellIs" dxfId="30314" priority="2671" operator="lessThan">
      <formula>0.8</formula>
    </cfRule>
  </conditionalFormatting>
  <conditionalFormatting sqref="P83">
    <cfRule type="cellIs" dxfId="30313" priority="2669" operator="greaterThan">
      <formula>0</formula>
    </cfRule>
  </conditionalFormatting>
  <conditionalFormatting sqref="Q83">
    <cfRule type="cellIs" dxfId="30312" priority="2667" operator="lessThan">
      <formula>0</formula>
    </cfRule>
  </conditionalFormatting>
  <conditionalFormatting sqref="R83">
    <cfRule type="cellIs" dxfId="30311" priority="2665" operator="lessThan">
      <formula>0.8</formula>
    </cfRule>
    <cfRule type="cellIs" dxfId="30310" priority="2666" operator="greaterThan">
      <formula>1</formula>
    </cfRule>
  </conditionalFormatting>
  <conditionalFormatting sqref="R83">
    <cfRule type="cellIs" dxfId="30309" priority="2663" operator="greaterThan">
      <formula>1</formula>
    </cfRule>
    <cfRule type="cellIs" dxfId="30308" priority="2664" operator="lessThan">
      <formula>0.8</formula>
    </cfRule>
  </conditionalFormatting>
  <conditionalFormatting sqref="P83">
    <cfRule type="cellIs" dxfId="30307" priority="2662" operator="greaterThan">
      <formula>0</formula>
    </cfRule>
  </conditionalFormatting>
  <conditionalFormatting sqref="Q83">
    <cfRule type="cellIs" dxfId="30306" priority="2661" operator="lessThan">
      <formula>0</formula>
    </cfRule>
  </conditionalFormatting>
  <conditionalFormatting sqref="R83">
    <cfRule type="cellIs" dxfId="30305" priority="2659" operator="lessThan">
      <formula>0.8</formula>
    </cfRule>
    <cfRule type="cellIs" dxfId="30304" priority="2660" operator="greaterThan">
      <formula>1</formula>
    </cfRule>
  </conditionalFormatting>
  <conditionalFormatting sqref="R83">
    <cfRule type="cellIs" dxfId="30303" priority="2657" operator="greaterThan">
      <formula>1</formula>
    </cfRule>
    <cfRule type="cellIs" dxfId="30302" priority="2658" operator="lessThan">
      <formula>0.8</formula>
    </cfRule>
  </conditionalFormatting>
  <conditionalFormatting sqref="P83">
    <cfRule type="cellIs" dxfId="30301" priority="2656" operator="greaterThan">
      <formula>0</formula>
    </cfRule>
  </conditionalFormatting>
  <conditionalFormatting sqref="Q83">
    <cfRule type="cellIs" dxfId="30300" priority="2655" operator="lessThan">
      <formula>0</formula>
    </cfRule>
  </conditionalFormatting>
  <conditionalFormatting sqref="R83">
    <cfRule type="cellIs" dxfId="30299" priority="2653" operator="lessThan">
      <formula>0.8</formula>
    </cfRule>
    <cfRule type="cellIs" dxfId="30298" priority="2654" operator="greaterThan">
      <formula>1</formula>
    </cfRule>
  </conditionalFormatting>
  <conditionalFormatting sqref="R83">
    <cfRule type="cellIs" dxfId="30297" priority="2651" operator="greaterThan">
      <formula>1</formula>
    </cfRule>
    <cfRule type="cellIs" dxfId="30296" priority="2652" operator="lessThan">
      <formula>0.8</formula>
    </cfRule>
  </conditionalFormatting>
  <conditionalFormatting sqref="P83">
    <cfRule type="cellIs" dxfId="30295" priority="2650" operator="greaterThan">
      <formula>0</formula>
    </cfRule>
  </conditionalFormatting>
  <conditionalFormatting sqref="Q83">
    <cfRule type="cellIs" dxfId="30294" priority="2649" operator="lessThan">
      <formula>0</formula>
    </cfRule>
  </conditionalFormatting>
  <conditionalFormatting sqref="R83">
    <cfRule type="cellIs" dxfId="30293" priority="2647" operator="lessThan">
      <formula>0.8</formula>
    </cfRule>
    <cfRule type="cellIs" dxfId="30292" priority="2648" operator="greaterThan">
      <formula>1</formula>
    </cfRule>
  </conditionalFormatting>
  <conditionalFormatting sqref="R83">
    <cfRule type="cellIs" dxfId="30291" priority="2645" operator="greaterThan">
      <formula>1</formula>
    </cfRule>
    <cfRule type="cellIs" dxfId="30290" priority="2646" operator="lessThan">
      <formula>0.8</formula>
    </cfRule>
  </conditionalFormatting>
  <conditionalFormatting sqref="P83">
    <cfRule type="cellIs" dxfId="30289" priority="2644" operator="greaterThan">
      <formula>0</formula>
    </cfRule>
  </conditionalFormatting>
  <conditionalFormatting sqref="Q83">
    <cfRule type="cellIs" dxfId="30288" priority="2643" operator="lessThan">
      <formula>0</formula>
    </cfRule>
  </conditionalFormatting>
  <conditionalFormatting sqref="R83">
    <cfRule type="cellIs" dxfId="30287" priority="2641" operator="lessThan">
      <formula>0.8</formula>
    </cfRule>
    <cfRule type="cellIs" dxfId="30286" priority="2642" operator="greaterThan">
      <formula>1</formula>
    </cfRule>
  </conditionalFormatting>
  <conditionalFormatting sqref="R83">
    <cfRule type="cellIs" dxfId="30285" priority="2639" operator="greaterThan">
      <formula>1</formula>
    </cfRule>
    <cfRule type="cellIs" dxfId="30284" priority="2640" operator="lessThan">
      <formula>0.8</formula>
    </cfRule>
  </conditionalFormatting>
  <conditionalFormatting sqref="P83">
    <cfRule type="cellIs" dxfId="30283" priority="2638" operator="greaterThan">
      <formula>0</formula>
    </cfRule>
  </conditionalFormatting>
  <conditionalFormatting sqref="P83">
    <cfRule type="cellIs" dxfId="30282" priority="2632" operator="greaterThan">
      <formula>0</formula>
    </cfRule>
  </conditionalFormatting>
  <conditionalFormatting sqref="Q83">
    <cfRule type="cellIs" dxfId="30281" priority="2637" operator="lessThan">
      <formula>0</formula>
    </cfRule>
  </conditionalFormatting>
  <conditionalFormatting sqref="R83">
    <cfRule type="cellIs" dxfId="30280" priority="2635" operator="lessThan">
      <formula>0.8</formula>
    </cfRule>
    <cfRule type="cellIs" dxfId="30279" priority="2636" operator="greaterThan">
      <formula>1</formula>
    </cfRule>
  </conditionalFormatting>
  <conditionalFormatting sqref="R83">
    <cfRule type="cellIs" dxfId="30278" priority="2633" operator="greaterThan">
      <formula>1</formula>
    </cfRule>
    <cfRule type="cellIs" dxfId="30277" priority="2634" operator="lessThan">
      <formula>0.8</formula>
    </cfRule>
  </conditionalFormatting>
  <conditionalFormatting sqref="P83">
    <cfRule type="cellIs" dxfId="30276" priority="2626" operator="greaterThan">
      <formula>0</formula>
    </cfRule>
  </conditionalFormatting>
  <conditionalFormatting sqref="Q83">
    <cfRule type="cellIs" dxfId="30275" priority="2631" operator="lessThan">
      <formula>0</formula>
    </cfRule>
  </conditionalFormatting>
  <conditionalFormatting sqref="R83">
    <cfRule type="cellIs" dxfId="30274" priority="2629" operator="lessThan">
      <formula>0.8</formula>
    </cfRule>
    <cfRule type="cellIs" dxfId="30273" priority="2630" operator="greaterThan">
      <formula>1</formula>
    </cfRule>
  </conditionalFormatting>
  <conditionalFormatting sqref="R83">
    <cfRule type="cellIs" dxfId="30272" priority="2627" operator="greaterThan">
      <formula>1</formula>
    </cfRule>
    <cfRule type="cellIs" dxfId="30271" priority="2628" operator="lessThan">
      <formula>0.8</formula>
    </cfRule>
  </conditionalFormatting>
  <conditionalFormatting sqref="R83">
    <cfRule type="cellIs" dxfId="30270" priority="2623" operator="lessThan">
      <formula>0.8</formula>
    </cfRule>
    <cfRule type="cellIs" dxfId="30269" priority="2624" operator="greaterThan">
      <formula>1</formula>
    </cfRule>
  </conditionalFormatting>
  <conditionalFormatting sqref="R83">
    <cfRule type="cellIs" dxfId="30268" priority="2621" operator="greaterThan">
      <formula>1</formula>
    </cfRule>
    <cfRule type="cellIs" dxfId="30267" priority="2622" operator="lessThan">
      <formula>0.8</formula>
    </cfRule>
  </conditionalFormatting>
  <conditionalFormatting sqref="P83">
    <cfRule type="cellIs" dxfId="30266" priority="2620" operator="greaterThan">
      <formula>0</formula>
    </cfRule>
  </conditionalFormatting>
  <conditionalFormatting sqref="Q83">
    <cfRule type="cellIs" dxfId="30265" priority="2625" operator="lessThan">
      <formula>0</formula>
    </cfRule>
  </conditionalFormatting>
  <conditionalFormatting sqref="P123 P125:P126 P128 P130">
    <cfRule type="cellIs" dxfId="30264" priority="2614" operator="greaterThan">
      <formula>0</formula>
    </cfRule>
  </conditionalFormatting>
  <conditionalFormatting sqref="Q123 Q125:Q126 Q128 Q130">
    <cfRule type="cellIs" dxfId="30263" priority="2619" operator="lessThan">
      <formula>0</formula>
    </cfRule>
  </conditionalFormatting>
  <conditionalFormatting sqref="R123 R125:R126 R128 R130">
    <cfRule type="cellIs" dxfId="30262" priority="2617" operator="lessThan">
      <formula>0.8</formula>
    </cfRule>
    <cfRule type="cellIs" dxfId="30261" priority="2618" operator="greaterThan">
      <formula>1</formula>
    </cfRule>
  </conditionalFormatting>
  <conditionalFormatting sqref="R123 R125:R126 R128 R130">
    <cfRule type="cellIs" dxfId="30260" priority="2615" operator="greaterThan">
      <formula>1</formula>
    </cfRule>
    <cfRule type="cellIs" dxfId="30259" priority="2616" operator="lessThan">
      <formula>0.8</formula>
    </cfRule>
  </conditionalFormatting>
  <conditionalFormatting sqref="Q123 Q125:Q126 Q128 Q130">
    <cfRule type="cellIs" dxfId="30258" priority="2613" operator="lessThan">
      <formula>0</formula>
    </cfRule>
  </conditionalFormatting>
  <conditionalFormatting sqref="R123 R125:R126 R128 R130">
    <cfRule type="cellIs" dxfId="30257" priority="2611" operator="lessThan">
      <formula>0.8</formula>
    </cfRule>
    <cfRule type="cellIs" dxfId="30256" priority="2612" operator="greaterThan">
      <formula>1</formula>
    </cfRule>
  </conditionalFormatting>
  <conditionalFormatting sqref="R123 R125:R126 R128 R130">
    <cfRule type="cellIs" dxfId="30255" priority="2609" operator="greaterThan">
      <formula>1</formula>
    </cfRule>
    <cfRule type="cellIs" dxfId="30254" priority="2610" operator="lessThan">
      <formula>0.8</formula>
    </cfRule>
  </conditionalFormatting>
  <conditionalFormatting sqref="P123 P125:P126 P128 P130">
    <cfRule type="cellIs" dxfId="30253" priority="2608" operator="greaterThan">
      <formula>0</formula>
    </cfRule>
  </conditionalFormatting>
  <conditionalFormatting sqref="Q31">
    <cfRule type="cellIs" dxfId="30252" priority="2607" operator="lessThan">
      <formula>0</formula>
    </cfRule>
  </conditionalFormatting>
  <conditionalFormatting sqref="R31">
    <cfRule type="cellIs" dxfId="30251" priority="2605" operator="lessThan">
      <formula>0.8</formula>
    </cfRule>
    <cfRule type="cellIs" dxfId="30250" priority="2606" operator="greaterThan">
      <formula>1</formula>
    </cfRule>
  </conditionalFormatting>
  <conditionalFormatting sqref="R31">
    <cfRule type="cellIs" dxfId="30249" priority="2603" operator="greaterThan">
      <formula>1</formula>
    </cfRule>
    <cfRule type="cellIs" dxfId="30248" priority="2604" operator="lessThan">
      <formula>0.8</formula>
    </cfRule>
  </conditionalFormatting>
  <conditionalFormatting sqref="P31">
    <cfRule type="cellIs" dxfId="30247" priority="2602" operator="greaterThan">
      <formula>0</formula>
    </cfRule>
  </conditionalFormatting>
  <conditionalFormatting sqref="Q31">
    <cfRule type="cellIs" dxfId="30246" priority="2601" operator="lessThan">
      <formula>0</formula>
    </cfRule>
  </conditionalFormatting>
  <conditionalFormatting sqref="R31">
    <cfRule type="cellIs" dxfId="30245" priority="2599" operator="lessThan">
      <formula>0.8</formula>
    </cfRule>
    <cfRule type="cellIs" dxfId="30244" priority="2600" operator="greaterThan">
      <formula>1</formula>
    </cfRule>
  </conditionalFormatting>
  <conditionalFormatting sqref="R31">
    <cfRule type="cellIs" dxfId="30243" priority="2597" operator="greaterThan">
      <formula>1</formula>
    </cfRule>
    <cfRule type="cellIs" dxfId="30242" priority="2598" operator="lessThan">
      <formula>0.8</formula>
    </cfRule>
  </conditionalFormatting>
  <conditionalFormatting sqref="P31">
    <cfRule type="cellIs" dxfId="30241" priority="2596" operator="greaterThan">
      <formula>0</formula>
    </cfRule>
  </conditionalFormatting>
  <conditionalFormatting sqref="Q31">
    <cfRule type="cellIs" dxfId="30240" priority="2595" operator="lessThan">
      <formula>0</formula>
    </cfRule>
  </conditionalFormatting>
  <conditionalFormatting sqref="R31">
    <cfRule type="cellIs" dxfId="30239" priority="2593" operator="lessThan">
      <formula>0.8</formula>
    </cfRule>
    <cfRule type="cellIs" dxfId="30238" priority="2594" operator="greaterThan">
      <formula>1</formula>
    </cfRule>
  </conditionalFormatting>
  <conditionalFormatting sqref="R31">
    <cfRule type="cellIs" dxfId="30237" priority="2591" operator="greaterThan">
      <formula>1</formula>
    </cfRule>
    <cfRule type="cellIs" dxfId="30236" priority="2592" operator="lessThan">
      <formula>0.8</formula>
    </cfRule>
  </conditionalFormatting>
  <conditionalFormatting sqref="P31">
    <cfRule type="cellIs" dxfId="30235" priority="2590" operator="greaterThan">
      <formula>0</formula>
    </cfRule>
  </conditionalFormatting>
  <conditionalFormatting sqref="Q31">
    <cfRule type="cellIs" dxfId="30234" priority="2589" operator="lessThan">
      <formula>0</formula>
    </cfRule>
  </conditionalFormatting>
  <conditionalFormatting sqref="R31">
    <cfRule type="cellIs" dxfId="30233" priority="2587" operator="lessThan">
      <formula>0.8</formula>
    </cfRule>
    <cfRule type="cellIs" dxfId="30232" priority="2588" operator="greaterThan">
      <formula>1</formula>
    </cfRule>
  </conditionalFormatting>
  <conditionalFormatting sqref="R31">
    <cfRule type="cellIs" dxfId="30231" priority="2585" operator="greaterThan">
      <formula>1</formula>
    </cfRule>
    <cfRule type="cellIs" dxfId="30230" priority="2586" operator="lessThan">
      <formula>0.8</formula>
    </cfRule>
  </conditionalFormatting>
  <conditionalFormatting sqref="P31">
    <cfRule type="cellIs" dxfId="30229" priority="2584" operator="greaterThan">
      <formula>0</formula>
    </cfRule>
  </conditionalFormatting>
  <conditionalFormatting sqref="P31">
    <cfRule type="cellIs" dxfId="30228" priority="2578" operator="greaterThan">
      <formula>0</formula>
    </cfRule>
  </conditionalFormatting>
  <conditionalFormatting sqref="Q31">
    <cfRule type="cellIs" dxfId="30227" priority="2583" operator="lessThan">
      <formula>0</formula>
    </cfRule>
  </conditionalFormatting>
  <conditionalFormatting sqref="R31">
    <cfRule type="cellIs" dxfId="30226" priority="2581" operator="lessThan">
      <formula>0.8</formula>
    </cfRule>
    <cfRule type="cellIs" dxfId="30225" priority="2582" operator="greaterThan">
      <formula>1</formula>
    </cfRule>
  </conditionalFormatting>
  <conditionalFormatting sqref="R31">
    <cfRule type="cellIs" dxfId="30224" priority="2579" operator="greaterThan">
      <formula>1</formula>
    </cfRule>
    <cfRule type="cellIs" dxfId="30223" priority="2580" operator="lessThan">
      <formula>0.8</formula>
    </cfRule>
  </conditionalFormatting>
  <conditionalFormatting sqref="P31">
    <cfRule type="cellIs" dxfId="30222" priority="2572" operator="greaterThan">
      <formula>0</formula>
    </cfRule>
  </conditionalFormatting>
  <conditionalFormatting sqref="Q31">
    <cfRule type="cellIs" dxfId="30221" priority="2577" operator="lessThan">
      <formula>0</formula>
    </cfRule>
  </conditionalFormatting>
  <conditionalFormatting sqref="R31">
    <cfRule type="cellIs" dxfId="30220" priority="2575" operator="lessThan">
      <formula>0.8</formula>
    </cfRule>
    <cfRule type="cellIs" dxfId="30219" priority="2576" operator="greaterThan">
      <formula>1</formula>
    </cfRule>
  </conditionalFormatting>
  <conditionalFormatting sqref="R31">
    <cfRule type="cellIs" dxfId="30218" priority="2573" operator="greaterThan">
      <formula>1</formula>
    </cfRule>
    <cfRule type="cellIs" dxfId="30217" priority="2574" operator="lessThan">
      <formula>0.8</formula>
    </cfRule>
  </conditionalFormatting>
  <conditionalFormatting sqref="R31">
    <cfRule type="cellIs" dxfId="30216" priority="2569" operator="lessThan">
      <formula>0.8</formula>
    </cfRule>
    <cfRule type="cellIs" dxfId="30215" priority="2570" operator="greaterThan">
      <formula>1</formula>
    </cfRule>
  </conditionalFormatting>
  <conditionalFormatting sqref="R31">
    <cfRule type="cellIs" dxfId="30214" priority="2567" operator="greaterThan">
      <formula>1</formula>
    </cfRule>
    <cfRule type="cellIs" dxfId="30213" priority="2568" operator="lessThan">
      <formula>0.8</formula>
    </cfRule>
  </conditionalFormatting>
  <conditionalFormatting sqref="P31">
    <cfRule type="cellIs" dxfId="30212" priority="2566" operator="greaterThan">
      <formula>0</formula>
    </cfRule>
  </conditionalFormatting>
  <conditionalFormatting sqref="Q31">
    <cfRule type="cellIs" dxfId="30211" priority="2571" operator="lessThan">
      <formula>0</formula>
    </cfRule>
  </conditionalFormatting>
  <conditionalFormatting sqref="Q31">
    <cfRule type="cellIs" dxfId="30210" priority="2565" operator="lessThan">
      <formula>0</formula>
    </cfRule>
  </conditionalFormatting>
  <conditionalFormatting sqref="R31">
    <cfRule type="cellIs" dxfId="30209" priority="2563" operator="lessThan">
      <formula>0.8</formula>
    </cfRule>
    <cfRule type="cellIs" dxfId="30208" priority="2564" operator="greaterThan">
      <formula>1</formula>
    </cfRule>
  </conditionalFormatting>
  <conditionalFormatting sqref="R31">
    <cfRule type="cellIs" dxfId="30207" priority="2561" operator="greaterThan">
      <formula>1</formula>
    </cfRule>
    <cfRule type="cellIs" dxfId="30206" priority="2562" operator="lessThan">
      <formula>0.8</formula>
    </cfRule>
  </conditionalFormatting>
  <conditionalFormatting sqref="P31">
    <cfRule type="cellIs" dxfId="30205" priority="2560" operator="greaterThan">
      <formula>0</formula>
    </cfRule>
  </conditionalFormatting>
  <conditionalFormatting sqref="P31">
    <cfRule type="cellIs" dxfId="30204" priority="2554" operator="greaterThan">
      <formula>0</formula>
    </cfRule>
  </conditionalFormatting>
  <conditionalFormatting sqref="Q31">
    <cfRule type="cellIs" dxfId="30203" priority="2559" operator="lessThan">
      <formula>0</formula>
    </cfRule>
  </conditionalFormatting>
  <conditionalFormatting sqref="R31">
    <cfRule type="cellIs" dxfId="30202" priority="2557" operator="lessThan">
      <formula>0.8</formula>
    </cfRule>
    <cfRule type="cellIs" dxfId="30201" priority="2558" operator="greaterThan">
      <formula>1</formula>
    </cfRule>
  </conditionalFormatting>
  <conditionalFormatting sqref="R31">
    <cfRule type="cellIs" dxfId="30200" priority="2555" operator="greaterThan">
      <formula>1</formula>
    </cfRule>
    <cfRule type="cellIs" dxfId="30199" priority="2556" operator="lessThan">
      <formula>0.8</formula>
    </cfRule>
  </conditionalFormatting>
  <conditionalFormatting sqref="P31">
    <cfRule type="cellIs" dxfId="30198" priority="2548" operator="greaterThan">
      <formula>0</formula>
    </cfRule>
  </conditionalFormatting>
  <conditionalFormatting sqref="Q31">
    <cfRule type="cellIs" dxfId="30197" priority="2553" operator="lessThan">
      <formula>0</formula>
    </cfRule>
  </conditionalFormatting>
  <conditionalFormatting sqref="R31">
    <cfRule type="cellIs" dxfId="30196" priority="2551" operator="lessThan">
      <formula>0.8</formula>
    </cfRule>
    <cfRule type="cellIs" dxfId="30195" priority="2552" operator="greaterThan">
      <formula>1</formula>
    </cfRule>
  </conditionalFormatting>
  <conditionalFormatting sqref="R31">
    <cfRule type="cellIs" dxfId="30194" priority="2549" operator="greaterThan">
      <formula>1</formula>
    </cfRule>
    <cfRule type="cellIs" dxfId="30193" priority="2550" operator="lessThan">
      <formula>0.8</formula>
    </cfRule>
  </conditionalFormatting>
  <conditionalFormatting sqref="R31">
    <cfRule type="cellIs" dxfId="30192" priority="2545" operator="lessThan">
      <formula>0.8</formula>
    </cfRule>
    <cfRule type="cellIs" dxfId="30191" priority="2546" operator="greaterThan">
      <formula>1</formula>
    </cfRule>
  </conditionalFormatting>
  <conditionalFormatting sqref="R31">
    <cfRule type="cellIs" dxfId="30190" priority="2543" operator="greaterThan">
      <formula>1</formula>
    </cfRule>
    <cfRule type="cellIs" dxfId="30189" priority="2544" operator="lessThan">
      <formula>0.8</formula>
    </cfRule>
  </conditionalFormatting>
  <conditionalFormatting sqref="P31">
    <cfRule type="cellIs" dxfId="30188" priority="2542" operator="greaterThan">
      <formula>0</formula>
    </cfRule>
  </conditionalFormatting>
  <conditionalFormatting sqref="Q31">
    <cfRule type="cellIs" dxfId="30187" priority="2547" operator="lessThan">
      <formula>0</formula>
    </cfRule>
  </conditionalFormatting>
  <conditionalFormatting sqref="P31">
    <cfRule type="cellIs" dxfId="30186" priority="2536" operator="greaterThan">
      <formula>0</formula>
    </cfRule>
  </conditionalFormatting>
  <conditionalFormatting sqref="Q31">
    <cfRule type="cellIs" dxfId="30185" priority="2541" operator="lessThan">
      <formula>0</formula>
    </cfRule>
  </conditionalFormatting>
  <conditionalFormatting sqref="R31">
    <cfRule type="cellIs" dxfId="30184" priority="2539" operator="lessThan">
      <formula>0.8</formula>
    </cfRule>
    <cfRule type="cellIs" dxfId="30183" priority="2540" operator="greaterThan">
      <formula>1</formula>
    </cfRule>
  </conditionalFormatting>
  <conditionalFormatting sqref="R31">
    <cfRule type="cellIs" dxfId="30182" priority="2537" operator="greaterThan">
      <formula>1</formula>
    </cfRule>
    <cfRule type="cellIs" dxfId="30181" priority="2538" operator="lessThan">
      <formula>0.8</formula>
    </cfRule>
  </conditionalFormatting>
  <conditionalFormatting sqref="R31">
    <cfRule type="cellIs" dxfId="30180" priority="2533" operator="lessThan">
      <formula>0.8</formula>
    </cfRule>
    <cfRule type="cellIs" dxfId="30179" priority="2534" operator="greaterThan">
      <formula>1</formula>
    </cfRule>
  </conditionalFormatting>
  <conditionalFormatting sqref="R31">
    <cfRule type="cellIs" dxfId="30178" priority="2531" operator="greaterThan">
      <formula>1</formula>
    </cfRule>
    <cfRule type="cellIs" dxfId="30177" priority="2532" operator="lessThan">
      <formula>0.8</formula>
    </cfRule>
  </conditionalFormatting>
  <conditionalFormatting sqref="P31">
    <cfRule type="cellIs" dxfId="30176" priority="2530" operator="greaterThan">
      <formula>0</formula>
    </cfRule>
  </conditionalFormatting>
  <conditionalFormatting sqref="Q31">
    <cfRule type="cellIs" dxfId="30175" priority="2535" operator="lessThan">
      <formula>0</formula>
    </cfRule>
  </conditionalFormatting>
  <conditionalFormatting sqref="R31">
    <cfRule type="cellIs" dxfId="30174" priority="2527" operator="lessThan">
      <formula>0.8</formula>
    </cfRule>
    <cfRule type="cellIs" dxfId="30173" priority="2528" operator="greaterThan">
      <formula>1</formula>
    </cfRule>
  </conditionalFormatting>
  <conditionalFormatting sqref="R31">
    <cfRule type="cellIs" dxfId="30172" priority="2525" operator="greaterThan">
      <formula>1</formula>
    </cfRule>
    <cfRule type="cellIs" dxfId="30171" priority="2526" operator="lessThan">
      <formula>0.8</formula>
    </cfRule>
  </conditionalFormatting>
  <conditionalFormatting sqref="P31">
    <cfRule type="cellIs" dxfId="30170" priority="2524" operator="greaterThan">
      <formula>0</formula>
    </cfRule>
  </conditionalFormatting>
  <conditionalFormatting sqref="Q31">
    <cfRule type="cellIs" dxfId="30169" priority="2529" operator="lessThan">
      <formula>0</formula>
    </cfRule>
  </conditionalFormatting>
  <conditionalFormatting sqref="Q31">
    <cfRule type="cellIs" dxfId="30168" priority="2523" operator="lessThan">
      <formula>0</formula>
    </cfRule>
  </conditionalFormatting>
  <conditionalFormatting sqref="R31">
    <cfRule type="cellIs" dxfId="30167" priority="2521" operator="lessThan">
      <formula>0.8</formula>
    </cfRule>
    <cfRule type="cellIs" dxfId="30166" priority="2522" operator="greaterThan">
      <formula>1</formula>
    </cfRule>
  </conditionalFormatting>
  <conditionalFormatting sqref="R31">
    <cfRule type="cellIs" dxfId="30165" priority="2519" operator="greaterThan">
      <formula>1</formula>
    </cfRule>
    <cfRule type="cellIs" dxfId="30164" priority="2520" operator="lessThan">
      <formula>0.8</formula>
    </cfRule>
  </conditionalFormatting>
  <conditionalFormatting sqref="P31">
    <cfRule type="cellIs" dxfId="30163" priority="2518" operator="greaterThan">
      <formula>0</formula>
    </cfRule>
  </conditionalFormatting>
  <conditionalFormatting sqref="Q31">
    <cfRule type="cellIs" dxfId="30162" priority="2512" operator="lessThan">
      <formula>0</formula>
    </cfRule>
  </conditionalFormatting>
  <conditionalFormatting sqref="R31">
    <cfRule type="cellIs" dxfId="30161" priority="2516" operator="lessThan">
      <formula>0.8</formula>
    </cfRule>
    <cfRule type="cellIs" dxfId="30160" priority="2517" operator="greaterThan">
      <formula>1</formula>
    </cfRule>
  </conditionalFormatting>
  <conditionalFormatting sqref="R31">
    <cfRule type="cellIs" dxfId="30159" priority="2514" operator="greaterThan">
      <formula>1</formula>
    </cfRule>
    <cfRule type="cellIs" dxfId="30158" priority="2515" operator="lessThan">
      <formula>0.8</formula>
    </cfRule>
  </conditionalFormatting>
  <conditionalFormatting sqref="P31">
    <cfRule type="cellIs" dxfId="30157" priority="2513" operator="greaterThan">
      <formula>0</formula>
    </cfRule>
  </conditionalFormatting>
  <conditionalFormatting sqref="Q31">
    <cfRule type="cellIs" dxfId="30156" priority="2511" operator="lessThan">
      <formula>0</formula>
    </cfRule>
  </conditionalFormatting>
  <conditionalFormatting sqref="R31">
    <cfRule type="cellIs" dxfId="30155" priority="2509" operator="lessThan">
      <formula>0.8</formula>
    </cfRule>
    <cfRule type="cellIs" dxfId="30154" priority="2510" operator="greaterThan">
      <formula>1</formula>
    </cfRule>
  </conditionalFormatting>
  <conditionalFormatting sqref="R31">
    <cfRule type="cellIs" dxfId="30153" priority="2507" operator="greaterThan">
      <formula>1</formula>
    </cfRule>
    <cfRule type="cellIs" dxfId="30152" priority="2508" operator="lessThan">
      <formula>0.8</formula>
    </cfRule>
  </conditionalFormatting>
  <conditionalFormatting sqref="P31">
    <cfRule type="cellIs" dxfId="30151" priority="2506" operator="greaterThan">
      <formula>0</formula>
    </cfRule>
  </conditionalFormatting>
  <conditionalFormatting sqref="Q31">
    <cfRule type="cellIs" dxfId="30150" priority="2505" operator="lessThan">
      <formula>0</formula>
    </cfRule>
  </conditionalFormatting>
  <conditionalFormatting sqref="R31">
    <cfRule type="cellIs" dxfId="30149" priority="2503" operator="lessThan">
      <formula>0.8</formula>
    </cfRule>
    <cfRule type="cellIs" dxfId="30148" priority="2504" operator="greaterThan">
      <formula>1</formula>
    </cfRule>
  </conditionalFormatting>
  <conditionalFormatting sqref="R31">
    <cfRule type="cellIs" dxfId="30147" priority="2501" operator="greaterThan">
      <formula>1</formula>
    </cfRule>
    <cfRule type="cellIs" dxfId="30146" priority="2502" operator="lessThan">
      <formula>0.8</formula>
    </cfRule>
  </conditionalFormatting>
  <conditionalFormatting sqref="P31">
    <cfRule type="cellIs" dxfId="30145" priority="2500" operator="greaterThan">
      <formula>0</formula>
    </cfRule>
  </conditionalFormatting>
  <conditionalFormatting sqref="Q31">
    <cfRule type="cellIs" dxfId="30144" priority="2499" operator="lessThan">
      <formula>0</formula>
    </cfRule>
  </conditionalFormatting>
  <conditionalFormatting sqref="R31">
    <cfRule type="cellIs" dxfId="30143" priority="2497" operator="lessThan">
      <formula>0.8</formula>
    </cfRule>
    <cfRule type="cellIs" dxfId="30142" priority="2498" operator="greaterThan">
      <formula>1</formula>
    </cfRule>
  </conditionalFormatting>
  <conditionalFormatting sqref="R31">
    <cfRule type="cellIs" dxfId="30141" priority="2495" operator="greaterThan">
      <formula>1</formula>
    </cfRule>
    <cfRule type="cellIs" dxfId="30140" priority="2496" operator="lessThan">
      <formula>0.8</formula>
    </cfRule>
  </conditionalFormatting>
  <conditionalFormatting sqref="P31">
    <cfRule type="cellIs" dxfId="30139" priority="2494" operator="greaterThan">
      <formula>0</formula>
    </cfRule>
  </conditionalFormatting>
  <conditionalFormatting sqref="Q31">
    <cfRule type="cellIs" dxfId="30138" priority="2493" operator="lessThan">
      <formula>0</formula>
    </cfRule>
  </conditionalFormatting>
  <conditionalFormatting sqref="R31">
    <cfRule type="cellIs" dxfId="30137" priority="2491" operator="lessThan">
      <formula>0.8</formula>
    </cfRule>
    <cfRule type="cellIs" dxfId="30136" priority="2492" operator="greaterThan">
      <formula>1</formula>
    </cfRule>
  </conditionalFormatting>
  <conditionalFormatting sqref="R31">
    <cfRule type="cellIs" dxfId="30135" priority="2489" operator="greaterThan">
      <formula>1</formula>
    </cfRule>
    <cfRule type="cellIs" dxfId="30134" priority="2490" operator="lessThan">
      <formula>0.8</formula>
    </cfRule>
  </conditionalFormatting>
  <conditionalFormatting sqref="P31">
    <cfRule type="cellIs" dxfId="30133" priority="2488" operator="greaterThan">
      <formula>0</formula>
    </cfRule>
  </conditionalFormatting>
  <conditionalFormatting sqref="Q31">
    <cfRule type="cellIs" dxfId="30132" priority="2487" operator="lessThan">
      <formula>0</formula>
    </cfRule>
  </conditionalFormatting>
  <conditionalFormatting sqref="R31">
    <cfRule type="cellIs" dxfId="30131" priority="2485" operator="lessThan">
      <formula>0.8</formula>
    </cfRule>
    <cfRule type="cellIs" dxfId="30130" priority="2486" operator="greaterThan">
      <formula>1</formula>
    </cfRule>
  </conditionalFormatting>
  <conditionalFormatting sqref="R31">
    <cfRule type="cellIs" dxfId="30129" priority="2483" operator="greaterThan">
      <formula>1</formula>
    </cfRule>
    <cfRule type="cellIs" dxfId="30128" priority="2484" operator="lessThan">
      <formula>0.8</formula>
    </cfRule>
  </conditionalFormatting>
  <conditionalFormatting sqref="P31">
    <cfRule type="cellIs" dxfId="30127" priority="2482" operator="greaterThan">
      <formula>0</formula>
    </cfRule>
  </conditionalFormatting>
  <conditionalFormatting sqref="P31">
    <cfRule type="cellIs" dxfId="30126" priority="2476" operator="greaterThan">
      <formula>0</formula>
    </cfRule>
  </conditionalFormatting>
  <conditionalFormatting sqref="Q31">
    <cfRule type="cellIs" dxfId="30125" priority="2481" operator="lessThan">
      <formula>0</formula>
    </cfRule>
  </conditionalFormatting>
  <conditionalFormatting sqref="R31">
    <cfRule type="cellIs" dxfId="30124" priority="2479" operator="lessThan">
      <formula>0.8</formula>
    </cfRule>
    <cfRule type="cellIs" dxfId="30123" priority="2480" operator="greaterThan">
      <formula>1</formula>
    </cfRule>
  </conditionalFormatting>
  <conditionalFormatting sqref="R31">
    <cfRule type="cellIs" dxfId="30122" priority="2477" operator="greaterThan">
      <formula>1</formula>
    </cfRule>
    <cfRule type="cellIs" dxfId="30121" priority="2478" operator="lessThan">
      <formula>0.8</formula>
    </cfRule>
  </conditionalFormatting>
  <conditionalFormatting sqref="P31">
    <cfRule type="cellIs" dxfId="30120" priority="2470" operator="greaterThan">
      <formula>0</formula>
    </cfRule>
  </conditionalFormatting>
  <conditionalFormatting sqref="Q31">
    <cfRule type="cellIs" dxfId="30119" priority="2475" operator="lessThan">
      <formula>0</formula>
    </cfRule>
  </conditionalFormatting>
  <conditionalFormatting sqref="R31">
    <cfRule type="cellIs" dxfId="30118" priority="2473" operator="lessThan">
      <formula>0.8</formula>
    </cfRule>
    <cfRule type="cellIs" dxfId="30117" priority="2474" operator="greaterThan">
      <formula>1</formula>
    </cfRule>
  </conditionalFormatting>
  <conditionalFormatting sqref="R31">
    <cfRule type="cellIs" dxfId="30116" priority="2471" operator="greaterThan">
      <formula>1</formula>
    </cfRule>
    <cfRule type="cellIs" dxfId="30115" priority="2472" operator="lessThan">
      <formula>0.8</formula>
    </cfRule>
  </conditionalFormatting>
  <conditionalFormatting sqref="R31">
    <cfRule type="cellIs" dxfId="30114" priority="2467" operator="lessThan">
      <formula>0.8</formula>
    </cfRule>
    <cfRule type="cellIs" dxfId="30113" priority="2468" operator="greaterThan">
      <formula>1</formula>
    </cfRule>
  </conditionalFormatting>
  <conditionalFormatting sqref="R31">
    <cfRule type="cellIs" dxfId="30112" priority="2465" operator="greaterThan">
      <formula>1</formula>
    </cfRule>
    <cfRule type="cellIs" dxfId="30111" priority="2466" operator="lessThan">
      <formula>0.8</formula>
    </cfRule>
  </conditionalFormatting>
  <conditionalFormatting sqref="P31">
    <cfRule type="cellIs" dxfId="30110" priority="2464" operator="greaterThan">
      <formula>0</formula>
    </cfRule>
  </conditionalFormatting>
  <conditionalFormatting sqref="Q31">
    <cfRule type="cellIs" dxfId="30109" priority="2469" operator="lessThan">
      <formula>0</formula>
    </cfRule>
  </conditionalFormatting>
  <conditionalFormatting sqref="Q31">
    <cfRule type="cellIs" dxfId="30108" priority="2463" operator="lessThan">
      <formula>0</formula>
    </cfRule>
  </conditionalFormatting>
  <conditionalFormatting sqref="R31">
    <cfRule type="cellIs" dxfId="30107" priority="2461" operator="lessThan">
      <formula>0.8</formula>
    </cfRule>
    <cfRule type="cellIs" dxfId="30106" priority="2462" operator="greaterThan">
      <formula>1</formula>
    </cfRule>
  </conditionalFormatting>
  <conditionalFormatting sqref="R31">
    <cfRule type="cellIs" dxfId="30105" priority="2459" operator="greaterThan">
      <formula>1</formula>
    </cfRule>
    <cfRule type="cellIs" dxfId="30104" priority="2460" operator="lessThan">
      <formula>0.8</formula>
    </cfRule>
  </conditionalFormatting>
  <conditionalFormatting sqref="P31">
    <cfRule type="cellIs" dxfId="30103" priority="2458" operator="greaterThan">
      <formula>0</formula>
    </cfRule>
  </conditionalFormatting>
  <conditionalFormatting sqref="Q31">
    <cfRule type="cellIs" dxfId="30102" priority="2457" operator="lessThan">
      <formula>0</formula>
    </cfRule>
  </conditionalFormatting>
  <conditionalFormatting sqref="R31">
    <cfRule type="cellIs" dxfId="30101" priority="2455" operator="lessThan">
      <formula>0.8</formula>
    </cfRule>
    <cfRule type="cellIs" dxfId="30100" priority="2456" operator="greaterThan">
      <formula>1</formula>
    </cfRule>
  </conditionalFormatting>
  <conditionalFormatting sqref="R31">
    <cfRule type="cellIs" dxfId="30099" priority="2453" operator="greaterThan">
      <formula>1</formula>
    </cfRule>
    <cfRule type="cellIs" dxfId="30098" priority="2454" operator="lessThan">
      <formula>0.8</formula>
    </cfRule>
  </conditionalFormatting>
  <conditionalFormatting sqref="P31">
    <cfRule type="cellIs" dxfId="30097" priority="2452" operator="greaterThan">
      <formula>0</formula>
    </cfRule>
  </conditionalFormatting>
  <conditionalFormatting sqref="Q31">
    <cfRule type="cellIs" dxfId="30096" priority="2451" operator="lessThan">
      <formula>0</formula>
    </cfRule>
  </conditionalFormatting>
  <conditionalFormatting sqref="R31">
    <cfRule type="cellIs" dxfId="30095" priority="2449" operator="lessThan">
      <formula>0.8</formula>
    </cfRule>
    <cfRule type="cellIs" dxfId="30094" priority="2450" operator="greaterThan">
      <formula>1</formula>
    </cfRule>
  </conditionalFormatting>
  <conditionalFormatting sqref="R31">
    <cfRule type="cellIs" dxfId="30093" priority="2447" operator="greaterThan">
      <formula>1</formula>
    </cfRule>
    <cfRule type="cellIs" dxfId="30092" priority="2448" operator="lessThan">
      <formula>0.8</formula>
    </cfRule>
  </conditionalFormatting>
  <conditionalFormatting sqref="P31">
    <cfRule type="cellIs" dxfId="30091" priority="2446" operator="greaterThan">
      <formula>0</formula>
    </cfRule>
  </conditionalFormatting>
  <conditionalFormatting sqref="Q31">
    <cfRule type="cellIs" dxfId="30090" priority="2445" operator="lessThan">
      <formula>0</formula>
    </cfRule>
  </conditionalFormatting>
  <conditionalFormatting sqref="R31">
    <cfRule type="cellIs" dxfId="30089" priority="2443" operator="lessThan">
      <formula>0.8</formula>
    </cfRule>
    <cfRule type="cellIs" dxfId="30088" priority="2444" operator="greaterThan">
      <formula>1</formula>
    </cfRule>
  </conditionalFormatting>
  <conditionalFormatting sqref="R31">
    <cfRule type="cellIs" dxfId="30087" priority="2441" operator="greaterThan">
      <formula>1</formula>
    </cfRule>
    <cfRule type="cellIs" dxfId="30086" priority="2442" operator="lessThan">
      <formula>0.8</formula>
    </cfRule>
  </conditionalFormatting>
  <conditionalFormatting sqref="P31">
    <cfRule type="cellIs" dxfId="30085" priority="2440" operator="greaterThan">
      <formula>0</formula>
    </cfRule>
  </conditionalFormatting>
  <conditionalFormatting sqref="P31">
    <cfRule type="cellIs" dxfId="30084" priority="2434" operator="greaterThan">
      <formula>0</formula>
    </cfRule>
  </conditionalFormatting>
  <conditionalFormatting sqref="Q31">
    <cfRule type="cellIs" dxfId="30083" priority="2439" operator="lessThan">
      <formula>0</formula>
    </cfRule>
  </conditionalFormatting>
  <conditionalFormatting sqref="R31">
    <cfRule type="cellIs" dxfId="30082" priority="2437" operator="lessThan">
      <formula>0.8</formula>
    </cfRule>
    <cfRule type="cellIs" dxfId="30081" priority="2438" operator="greaterThan">
      <formula>1</formula>
    </cfRule>
  </conditionalFormatting>
  <conditionalFormatting sqref="R31">
    <cfRule type="cellIs" dxfId="30080" priority="2435" operator="greaterThan">
      <formula>1</formula>
    </cfRule>
    <cfRule type="cellIs" dxfId="30079" priority="2436" operator="lessThan">
      <formula>0.8</formula>
    </cfRule>
  </conditionalFormatting>
  <conditionalFormatting sqref="P31">
    <cfRule type="cellIs" dxfId="30078" priority="2428" operator="greaterThan">
      <formula>0</formula>
    </cfRule>
  </conditionalFormatting>
  <conditionalFormatting sqref="Q31">
    <cfRule type="cellIs" dxfId="30077" priority="2433" operator="lessThan">
      <formula>0</formula>
    </cfRule>
  </conditionalFormatting>
  <conditionalFormatting sqref="R31">
    <cfRule type="cellIs" dxfId="30076" priority="2431" operator="lessThan">
      <formula>0.8</formula>
    </cfRule>
    <cfRule type="cellIs" dxfId="30075" priority="2432" operator="greaterThan">
      <formula>1</formula>
    </cfRule>
  </conditionalFormatting>
  <conditionalFormatting sqref="R31">
    <cfRule type="cellIs" dxfId="30074" priority="2429" operator="greaterThan">
      <formula>1</formula>
    </cfRule>
    <cfRule type="cellIs" dxfId="30073" priority="2430" operator="lessThan">
      <formula>0.8</formula>
    </cfRule>
  </conditionalFormatting>
  <conditionalFormatting sqref="R31">
    <cfRule type="cellIs" dxfId="30072" priority="2425" operator="lessThan">
      <formula>0.8</formula>
    </cfRule>
    <cfRule type="cellIs" dxfId="30071" priority="2426" operator="greaterThan">
      <formula>1</formula>
    </cfRule>
  </conditionalFormatting>
  <conditionalFormatting sqref="R31">
    <cfRule type="cellIs" dxfId="30070" priority="2423" operator="greaterThan">
      <formula>1</formula>
    </cfRule>
    <cfRule type="cellIs" dxfId="30069" priority="2424" operator="lessThan">
      <formula>0.8</formula>
    </cfRule>
  </conditionalFormatting>
  <conditionalFormatting sqref="P31">
    <cfRule type="cellIs" dxfId="30068" priority="2422" operator="greaterThan">
      <formula>0</formula>
    </cfRule>
  </conditionalFormatting>
  <conditionalFormatting sqref="Q31">
    <cfRule type="cellIs" dxfId="30067" priority="2427" operator="lessThan">
      <formula>0</formula>
    </cfRule>
  </conditionalFormatting>
  <conditionalFormatting sqref="Q31">
    <cfRule type="cellIs" dxfId="30066" priority="2421" operator="lessThan">
      <formula>0</formula>
    </cfRule>
  </conditionalFormatting>
  <conditionalFormatting sqref="R31">
    <cfRule type="cellIs" dxfId="30065" priority="2419" operator="lessThan">
      <formula>0.8</formula>
    </cfRule>
    <cfRule type="cellIs" dxfId="30064" priority="2420" operator="greaterThan">
      <formula>1</formula>
    </cfRule>
  </conditionalFormatting>
  <conditionalFormatting sqref="R31">
    <cfRule type="cellIs" dxfId="30063" priority="2417" operator="greaterThan">
      <formula>1</formula>
    </cfRule>
    <cfRule type="cellIs" dxfId="30062" priority="2418" operator="lessThan">
      <formula>0.8</formula>
    </cfRule>
  </conditionalFormatting>
  <conditionalFormatting sqref="P31">
    <cfRule type="cellIs" dxfId="30061" priority="2416" operator="greaterThan">
      <formula>0</formula>
    </cfRule>
  </conditionalFormatting>
  <conditionalFormatting sqref="P31">
    <cfRule type="cellIs" dxfId="30060" priority="2410" operator="greaterThan">
      <formula>0</formula>
    </cfRule>
  </conditionalFormatting>
  <conditionalFormatting sqref="Q31">
    <cfRule type="cellIs" dxfId="30059" priority="2415" operator="lessThan">
      <formula>0</formula>
    </cfRule>
  </conditionalFormatting>
  <conditionalFormatting sqref="R31">
    <cfRule type="cellIs" dxfId="30058" priority="2413" operator="lessThan">
      <formula>0.8</formula>
    </cfRule>
    <cfRule type="cellIs" dxfId="30057" priority="2414" operator="greaterThan">
      <formula>1</formula>
    </cfRule>
  </conditionalFormatting>
  <conditionalFormatting sqref="R31">
    <cfRule type="cellIs" dxfId="30056" priority="2411" operator="greaterThan">
      <formula>1</formula>
    </cfRule>
    <cfRule type="cellIs" dxfId="30055" priority="2412" operator="lessThan">
      <formula>0.8</formula>
    </cfRule>
  </conditionalFormatting>
  <conditionalFormatting sqref="P31">
    <cfRule type="cellIs" dxfId="30054" priority="2404" operator="greaterThan">
      <formula>0</formula>
    </cfRule>
  </conditionalFormatting>
  <conditionalFormatting sqref="Q31">
    <cfRule type="cellIs" dxfId="30053" priority="2409" operator="lessThan">
      <formula>0</formula>
    </cfRule>
  </conditionalFormatting>
  <conditionalFormatting sqref="R31">
    <cfRule type="cellIs" dxfId="30052" priority="2407" operator="lessThan">
      <formula>0.8</formula>
    </cfRule>
    <cfRule type="cellIs" dxfId="30051" priority="2408" operator="greaterThan">
      <formula>1</formula>
    </cfRule>
  </conditionalFormatting>
  <conditionalFormatting sqref="R31">
    <cfRule type="cellIs" dxfId="30050" priority="2405" operator="greaterThan">
      <formula>1</formula>
    </cfRule>
    <cfRule type="cellIs" dxfId="30049" priority="2406" operator="lessThan">
      <formula>0.8</formula>
    </cfRule>
  </conditionalFormatting>
  <conditionalFormatting sqref="R31">
    <cfRule type="cellIs" dxfId="30048" priority="2401" operator="lessThan">
      <formula>0.8</formula>
    </cfRule>
    <cfRule type="cellIs" dxfId="30047" priority="2402" operator="greaterThan">
      <formula>1</formula>
    </cfRule>
  </conditionalFormatting>
  <conditionalFormatting sqref="R31">
    <cfRule type="cellIs" dxfId="30046" priority="2399" operator="greaterThan">
      <formula>1</formula>
    </cfRule>
    <cfRule type="cellIs" dxfId="30045" priority="2400" operator="lessThan">
      <formula>0.8</formula>
    </cfRule>
  </conditionalFormatting>
  <conditionalFormatting sqref="P31">
    <cfRule type="cellIs" dxfId="30044" priority="2398" operator="greaterThan">
      <formula>0</formula>
    </cfRule>
  </conditionalFormatting>
  <conditionalFormatting sqref="Q31">
    <cfRule type="cellIs" dxfId="30043" priority="2403" operator="lessThan">
      <formula>0</formula>
    </cfRule>
  </conditionalFormatting>
  <conditionalFormatting sqref="P31">
    <cfRule type="cellIs" dxfId="30042" priority="2392" operator="greaterThan">
      <formula>0</formula>
    </cfRule>
  </conditionalFormatting>
  <conditionalFormatting sqref="Q31">
    <cfRule type="cellIs" dxfId="30041" priority="2397" operator="lessThan">
      <formula>0</formula>
    </cfRule>
  </conditionalFormatting>
  <conditionalFormatting sqref="R31">
    <cfRule type="cellIs" dxfId="30040" priority="2395" operator="lessThan">
      <formula>0.8</formula>
    </cfRule>
    <cfRule type="cellIs" dxfId="30039" priority="2396" operator="greaterThan">
      <formula>1</formula>
    </cfRule>
  </conditionalFormatting>
  <conditionalFormatting sqref="R31">
    <cfRule type="cellIs" dxfId="30038" priority="2393" operator="greaterThan">
      <formula>1</formula>
    </cfRule>
    <cfRule type="cellIs" dxfId="30037" priority="2394" operator="lessThan">
      <formula>0.8</formula>
    </cfRule>
  </conditionalFormatting>
  <conditionalFormatting sqref="R31">
    <cfRule type="cellIs" dxfId="30036" priority="2389" operator="lessThan">
      <formula>0.8</formula>
    </cfRule>
    <cfRule type="cellIs" dxfId="30035" priority="2390" operator="greaterThan">
      <formula>1</formula>
    </cfRule>
  </conditionalFormatting>
  <conditionalFormatting sqref="R31">
    <cfRule type="cellIs" dxfId="30034" priority="2387" operator="greaterThan">
      <formula>1</formula>
    </cfRule>
    <cfRule type="cellIs" dxfId="30033" priority="2388" operator="lessThan">
      <formula>0.8</formula>
    </cfRule>
  </conditionalFormatting>
  <conditionalFormatting sqref="P31">
    <cfRule type="cellIs" dxfId="30032" priority="2386" operator="greaterThan">
      <formula>0</formula>
    </cfRule>
  </conditionalFormatting>
  <conditionalFormatting sqref="Q31">
    <cfRule type="cellIs" dxfId="30031" priority="2391" operator="lessThan">
      <formula>0</formula>
    </cfRule>
  </conditionalFormatting>
  <conditionalFormatting sqref="R31">
    <cfRule type="cellIs" dxfId="30030" priority="2383" operator="lessThan">
      <formula>0.8</formula>
    </cfRule>
    <cfRule type="cellIs" dxfId="30029" priority="2384" operator="greaterThan">
      <formula>1</formula>
    </cfRule>
  </conditionalFormatting>
  <conditionalFormatting sqref="R31">
    <cfRule type="cellIs" dxfId="30028" priority="2381" operator="greaterThan">
      <formula>1</formula>
    </cfRule>
    <cfRule type="cellIs" dxfId="30027" priority="2382" operator="lessThan">
      <formula>0.8</formula>
    </cfRule>
  </conditionalFormatting>
  <conditionalFormatting sqref="P31">
    <cfRule type="cellIs" dxfId="30026" priority="2380" operator="greaterThan">
      <formula>0</formula>
    </cfRule>
  </conditionalFormatting>
  <conditionalFormatting sqref="Q31">
    <cfRule type="cellIs" dxfId="30025" priority="2385" operator="lessThan">
      <formula>0</formula>
    </cfRule>
  </conditionalFormatting>
  <conditionalFormatting sqref="Q31">
    <cfRule type="cellIs" dxfId="30024" priority="2379" operator="lessThan">
      <formula>0</formula>
    </cfRule>
  </conditionalFormatting>
  <conditionalFormatting sqref="R31">
    <cfRule type="cellIs" dxfId="30023" priority="2377" operator="lessThan">
      <formula>0.8</formula>
    </cfRule>
    <cfRule type="cellIs" dxfId="30022" priority="2378" operator="greaterThan">
      <formula>1</formula>
    </cfRule>
  </conditionalFormatting>
  <conditionalFormatting sqref="R31">
    <cfRule type="cellIs" dxfId="30021" priority="2375" operator="greaterThan">
      <formula>1</formula>
    </cfRule>
    <cfRule type="cellIs" dxfId="30020" priority="2376" operator="lessThan">
      <formula>0.8</formula>
    </cfRule>
  </conditionalFormatting>
  <conditionalFormatting sqref="P31">
    <cfRule type="cellIs" dxfId="30019" priority="2374" operator="greaterThan">
      <formula>0</formula>
    </cfRule>
  </conditionalFormatting>
  <conditionalFormatting sqref="Q31">
    <cfRule type="cellIs" dxfId="30018" priority="2368" operator="lessThan">
      <formula>0</formula>
    </cfRule>
  </conditionalFormatting>
  <conditionalFormatting sqref="R31">
    <cfRule type="cellIs" dxfId="30017" priority="2372" operator="lessThan">
      <formula>0.8</formula>
    </cfRule>
    <cfRule type="cellIs" dxfId="30016" priority="2373" operator="greaterThan">
      <formula>1</formula>
    </cfRule>
  </conditionalFormatting>
  <conditionalFormatting sqref="R31">
    <cfRule type="cellIs" dxfId="30015" priority="2370" operator="greaterThan">
      <formula>1</formula>
    </cfRule>
    <cfRule type="cellIs" dxfId="30014" priority="2371" operator="lessThan">
      <formula>0.8</formula>
    </cfRule>
  </conditionalFormatting>
  <conditionalFormatting sqref="P31">
    <cfRule type="cellIs" dxfId="30013" priority="2369" operator="greaterThan">
      <formula>0</formula>
    </cfRule>
  </conditionalFormatting>
  <conditionalFormatting sqref="Q31">
    <cfRule type="cellIs" dxfId="30012" priority="2367" operator="lessThan">
      <formula>0</formula>
    </cfRule>
  </conditionalFormatting>
  <conditionalFormatting sqref="R31">
    <cfRule type="cellIs" dxfId="30011" priority="2365" operator="lessThan">
      <formula>0.8</formula>
    </cfRule>
    <cfRule type="cellIs" dxfId="30010" priority="2366" operator="greaterThan">
      <formula>1</formula>
    </cfRule>
  </conditionalFormatting>
  <conditionalFormatting sqref="R31">
    <cfRule type="cellIs" dxfId="30009" priority="2363" operator="greaterThan">
      <formula>1</formula>
    </cfRule>
    <cfRule type="cellIs" dxfId="30008" priority="2364" operator="lessThan">
      <formula>0.8</formula>
    </cfRule>
  </conditionalFormatting>
  <conditionalFormatting sqref="P31">
    <cfRule type="cellIs" dxfId="30007" priority="2362" operator="greaterThan">
      <formula>0</formula>
    </cfRule>
  </conditionalFormatting>
  <conditionalFormatting sqref="Q31">
    <cfRule type="cellIs" dxfId="30006" priority="2361" operator="lessThan">
      <formula>0</formula>
    </cfRule>
  </conditionalFormatting>
  <conditionalFormatting sqref="R31">
    <cfRule type="cellIs" dxfId="30005" priority="2359" operator="lessThan">
      <formula>0.8</formula>
    </cfRule>
    <cfRule type="cellIs" dxfId="30004" priority="2360" operator="greaterThan">
      <formula>1</formula>
    </cfRule>
  </conditionalFormatting>
  <conditionalFormatting sqref="R31">
    <cfRule type="cellIs" dxfId="30003" priority="2357" operator="greaterThan">
      <formula>1</formula>
    </cfRule>
    <cfRule type="cellIs" dxfId="30002" priority="2358" operator="lessThan">
      <formula>0.8</formula>
    </cfRule>
  </conditionalFormatting>
  <conditionalFormatting sqref="P31">
    <cfRule type="cellIs" dxfId="30001" priority="2356" operator="greaterThan">
      <formula>0</formula>
    </cfRule>
  </conditionalFormatting>
  <conditionalFormatting sqref="Q31">
    <cfRule type="cellIs" dxfId="30000" priority="2355" operator="lessThan">
      <formula>0</formula>
    </cfRule>
  </conditionalFormatting>
  <conditionalFormatting sqref="R31">
    <cfRule type="cellIs" dxfId="29999" priority="2353" operator="lessThan">
      <formula>0.8</formula>
    </cfRule>
    <cfRule type="cellIs" dxfId="29998" priority="2354" operator="greaterThan">
      <formula>1</formula>
    </cfRule>
  </conditionalFormatting>
  <conditionalFormatting sqref="R31">
    <cfRule type="cellIs" dxfId="29997" priority="2351" operator="greaterThan">
      <formula>1</formula>
    </cfRule>
    <cfRule type="cellIs" dxfId="29996" priority="2352" operator="lessThan">
      <formula>0.8</formula>
    </cfRule>
  </conditionalFormatting>
  <conditionalFormatting sqref="P31">
    <cfRule type="cellIs" dxfId="29995" priority="2350" operator="greaterThan">
      <formula>0</formula>
    </cfRule>
  </conditionalFormatting>
  <conditionalFormatting sqref="Q31">
    <cfRule type="cellIs" dxfId="29994" priority="2349" operator="lessThan">
      <formula>0</formula>
    </cfRule>
  </conditionalFormatting>
  <conditionalFormatting sqref="R31">
    <cfRule type="cellIs" dxfId="29993" priority="2347" operator="lessThan">
      <formula>0.8</formula>
    </cfRule>
    <cfRule type="cellIs" dxfId="29992" priority="2348" operator="greaterThan">
      <formula>1</formula>
    </cfRule>
  </conditionalFormatting>
  <conditionalFormatting sqref="R31">
    <cfRule type="cellIs" dxfId="29991" priority="2345" operator="greaterThan">
      <formula>1</formula>
    </cfRule>
    <cfRule type="cellIs" dxfId="29990" priority="2346" operator="lessThan">
      <formula>0.8</formula>
    </cfRule>
  </conditionalFormatting>
  <conditionalFormatting sqref="P31">
    <cfRule type="cellIs" dxfId="29989" priority="2344" operator="greaterThan">
      <formula>0</formula>
    </cfRule>
  </conditionalFormatting>
  <conditionalFormatting sqref="Q31">
    <cfRule type="cellIs" dxfId="29988" priority="2343" operator="lessThan">
      <formula>0</formula>
    </cfRule>
  </conditionalFormatting>
  <conditionalFormatting sqref="R31">
    <cfRule type="cellIs" dxfId="29987" priority="2341" operator="lessThan">
      <formula>0.8</formula>
    </cfRule>
    <cfRule type="cellIs" dxfId="29986" priority="2342" operator="greaterThan">
      <formula>1</formula>
    </cfRule>
  </conditionalFormatting>
  <conditionalFormatting sqref="R31">
    <cfRule type="cellIs" dxfId="29985" priority="2339" operator="greaterThan">
      <formula>1</formula>
    </cfRule>
    <cfRule type="cellIs" dxfId="29984" priority="2340" operator="lessThan">
      <formula>0.8</formula>
    </cfRule>
  </conditionalFormatting>
  <conditionalFormatting sqref="P31">
    <cfRule type="cellIs" dxfId="29983" priority="2338" operator="greaterThan">
      <formula>0</formula>
    </cfRule>
  </conditionalFormatting>
  <conditionalFormatting sqref="P31">
    <cfRule type="cellIs" dxfId="29982" priority="2332" operator="greaterThan">
      <formula>0</formula>
    </cfRule>
  </conditionalFormatting>
  <conditionalFormatting sqref="Q31">
    <cfRule type="cellIs" dxfId="29981" priority="2337" operator="lessThan">
      <formula>0</formula>
    </cfRule>
  </conditionalFormatting>
  <conditionalFormatting sqref="R31">
    <cfRule type="cellIs" dxfId="29980" priority="2335" operator="lessThan">
      <formula>0.8</formula>
    </cfRule>
    <cfRule type="cellIs" dxfId="29979" priority="2336" operator="greaterThan">
      <formula>1</formula>
    </cfRule>
  </conditionalFormatting>
  <conditionalFormatting sqref="R31">
    <cfRule type="cellIs" dxfId="29978" priority="2333" operator="greaterThan">
      <formula>1</formula>
    </cfRule>
    <cfRule type="cellIs" dxfId="29977" priority="2334" operator="lessThan">
      <formula>0.8</formula>
    </cfRule>
  </conditionalFormatting>
  <conditionalFormatting sqref="P31">
    <cfRule type="cellIs" dxfId="29976" priority="2326" operator="greaterThan">
      <formula>0</formula>
    </cfRule>
  </conditionalFormatting>
  <conditionalFormatting sqref="Q31">
    <cfRule type="cellIs" dxfId="29975" priority="2331" operator="lessThan">
      <formula>0</formula>
    </cfRule>
  </conditionalFormatting>
  <conditionalFormatting sqref="R31">
    <cfRule type="cellIs" dxfId="29974" priority="2329" operator="lessThan">
      <formula>0.8</formula>
    </cfRule>
    <cfRule type="cellIs" dxfId="29973" priority="2330" operator="greaterThan">
      <formula>1</formula>
    </cfRule>
  </conditionalFormatting>
  <conditionalFormatting sqref="R31">
    <cfRule type="cellIs" dxfId="29972" priority="2327" operator="greaterThan">
      <formula>1</formula>
    </cfRule>
    <cfRule type="cellIs" dxfId="29971" priority="2328" operator="lessThan">
      <formula>0.8</formula>
    </cfRule>
  </conditionalFormatting>
  <conditionalFormatting sqref="R31">
    <cfRule type="cellIs" dxfId="29970" priority="2323" operator="lessThan">
      <formula>0.8</formula>
    </cfRule>
    <cfRule type="cellIs" dxfId="29969" priority="2324" operator="greaterThan">
      <formula>1</formula>
    </cfRule>
  </conditionalFormatting>
  <conditionalFormatting sqref="R31">
    <cfRule type="cellIs" dxfId="29968" priority="2321" operator="greaterThan">
      <formula>1</formula>
    </cfRule>
    <cfRule type="cellIs" dxfId="29967" priority="2322" operator="lessThan">
      <formula>0.8</formula>
    </cfRule>
  </conditionalFormatting>
  <conditionalFormatting sqref="P31">
    <cfRule type="cellIs" dxfId="29966" priority="2320" operator="greaterThan">
      <formula>0</formula>
    </cfRule>
  </conditionalFormatting>
  <conditionalFormatting sqref="Q31">
    <cfRule type="cellIs" dxfId="29965" priority="2325" operator="lessThan">
      <formula>0</formula>
    </cfRule>
  </conditionalFormatting>
  <conditionalFormatting sqref="P79">
    <cfRule type="cellIs" dxfId="29964" priority="2314" operator="greaterThan">
      <formula>0</formula>
    </cfRule>
  </conditionalFormatting>
  <conditionalFormatting sqref="Q79">
    <cfRule type="cellIs" dxfId="29963" priority="2319" operator="lessThan">
      <formula>0</formula>
    </cfRule>
  </conditionalFormatting>
  <conditionalFormatting sqref="R79">
    <cfRule type="cellIs" dxfId="29962" priority="2317" operator="lessThan">
      <formula>0.8</formula>
    </cfRule>
    <cfRule type="cellIs" dxfId="29961" priority="2318" operator="greaterThan">
      <formula>1</formula>
    </cfRule>
  </conditionalFormatting>
  <conditionalFormatting sqref="R79">
    <cfRule type="cellIs" dxfId="29960" priority="2315" operator="greaterThan">
      <formula>1</formula>
    </cfRule>
    <cfRule type="cellIs" dxfId="29959" priority="2316" operator="lessThan">
      <formula>0.8</formula>
    </cfRule>
  </conditionalFormatting>
  <conditionalFormatting sqref="Q79">
    <cfRule type="cellIs" dxfId="29958" priority="2313" operator="lessThan">
      <formula>0</formula>
    </cfRule>
  </conditionalFormatting>
  <conditionalFormatting sqref="R79">
    <cfRule type="cellIs" dxfId="29957" priority="2311" operator="lessThan">
      <formula>0.8</formula>
    </cfRule>
    <cfRule type="cellIs" dxfId="29956" priority="2312" operator="greaterThan">
      <formula>1</formula>
    </cfRule>
  </conditionalFormatting>
  <conditionalFormatting sqref="R79">
    <cfRule type="cellIs" dxfId="29955" priority="2309" operator="greaterThan">
      <formula>1</formula>
    </cfRule>
    <cfRule type="cellIs" dxfId="29954" priority="2310" operator="lessThan">
      <formula>0.8</formula>
    </cfRule>
  </conditionalFormatting>
  <conditionalFormatting sqref="P79">
    <cfRule type="cellIs" dxfId="29953" priority="2308" operator="greaterThan">
      <formula>0</formula>
    </cfRule>
  </conditionalFormatting>
  <conditionalFormatting sqref="P79">
    <cfRule type="cellIs" dxfId="29952" priority="2302" operator="greaterThan">
      <formula>0</formula>
    </cfRule>
  </conditionalFormatting>
  <conditionalFormatting sqref="Q79">
    <cfRule type="cellIs" dxfId="29951" priority="2307" operator="lessThan">
      <formula>0</formula>
    </cfRule>
  </conditionalFormatting>
  <conditionalFormatting sqref="R79">
    <cfRule type="cellIs" dxfId="29950" priority="2305" operator="lessThan">
      <formula>0.8</formula>
    </cfRule>
    <cfRule type="cellIs" dxfId="29949" priority="2306" operator="greaterThan">
      <formula>1</formula>
    </cfRule>
  </conditionalFormatting>
  <conditionalFormatting sqref="R79">
    <cfRule type="cellIs" dxfId="29948" priority="2303" operator="greaterThan">
      <formula>1</formula>
    </cfRule>
    <cfRule type="cellIs" dxfId="29947" priority="2304" operator="lessThan">
      <formula>0.8</formula>
    </cfRule>
  </conditionalFormatting>
  <conditionalFormatting sqref="Q79">
    <cfRule type="cellIs" dxfId="29946" priority="2296" operator="lessThan">
      <formula>0</formula>
    </cfRule>
  </conditionalFormatting>
  <conditionalFormatting sqref="P79">
    <cfRule type="cellIs" dxfId="29945" priority="2297" operator="greaterThan">
      <formula>0</formula>
    </cfRule>
  </conditionalFormatting>
  <conditionalFormatting sqref="R79">
    <cfRule type="cellIs" dxfId="29944" priority="2300" operator="lessThan">
      <formula>0.8</formula>
    </cfRule>
    <cfRule type="cellIs" dxfId="29943" priority="2301" operator="greaterThan">
      <formula>1</formula>
    </cfRule>
  </conditionalFormatting>
  <conditionalFormatting sqref="R79">
    <cfRule type="cellIs" dxfId="29942" priority="2298" operator="greaterThan">
      <formula>1</formula>
    </cfRule>
    <cfRule type="cellIs" dxfId="29941" priority="2299" operator="lessThan">
      <formula>0.8</formula>
    </cfRule>
  </conditionalFormatting>
  <conditionalFormatting sqref="Q79">
    <cfRule type="cellIs" dxfId="29940" priority="2290" operator="lessThan">
      <formula>0</formula>
    </cfRule>
  </conditionalFormatting>
  <conditionalFormatting sqref="R79">
    <cfRule type="cellIs" dxfId="29939" priority="2294" operator="lessThan">
      <formula>0.8</formula>
    </cfRule>
    <cfRule type="cellIs" dxfId="29938" priority="2295" operator="greaterThan">
      <formula>1</formula>
    </cfRule>
  </conditionalFormatting>
  <conditionalFormatting sqref="R79">
    <cfRule type="cellIs" dxfId="29937" priority="2292" operator="greaterThan">
      <formula>1</formula>
    </cfRule>
    <cfRule type="cellIs" dxfId="29936" priority="2293" operator="lessThan">
      <formula>0.8</formula>
    </cfRule>
  </conditionalFormatting>
  <conditionalFormatting sqref="P79">
    <cfRule type="cellIs" dxfId="29935" priority="2291" operator="greaterThan">
      <formula>0</formula>
    </cfRule>
  </conditionalFormatting>
  <conditionalFormatting sqref="Q79">
    <cfRule type="cellIs" dxfId="29934" priority="2289" operator="lessThan">
      <formula>0</formula>
    </cfRule>
  </conditionalFormatting>
  <conditionalFormatting sqref="R79">
    <cfRule type="cellIs" dxfId="29933" priority="2287" operator="lessThan">
      <formula>0.8</formula>
    </cfRule>
    <cfRule type="cellIs" dxfId="29932" priority="2288" operator="greaterThan">
      <formula>1</formula>
    </cfRule>
  </conditionalFormatting>
  <conditionalFormatting sqref="R79">
    <cfRule type="cellIs" dxfId="29931" priority="2285" operator="greaterThan">
      <formula>1</formula>
    </cfRule>
    <cfRule type="cellIs" dxfId="29930" priority="2286" operator="lessThan">
      <formula>0.8</formula>
    </cfRule>
  </conditionalFormatting>
  <conditionalFormatting sqref="P79">
    <cfRule type="cellIs" dxfId="29929" priority="2284" operator="greaterThan">
      <formula>0</formula>
    </cfRule>
  </conditionalFormatting>
  <conditionalFormatting sqref="Q79">
    <cfRule type="cellIs" dxfId="29928" priority="2283" operator="lessThan">
      <formula>0</formula>
    </cfRule>
  </conditionalFormatting>
  <conditionalFormatting sqref="R79">
    <cfRule type="cellIs" dxfId="29927" priority="2281" operator="lessThan">
      <formula>0.8</formula>
    </cfRule>
    <cfRule type="cellIs" dxfId="29926" priority="2282" operator="greaterThan">
      <formula>1</formula>
    </cfRule>
  </conditionalFormatting>
  <conditionalFormatting sqref="R79">
    <cfRule type="cellIs" dxfId="29925" priority="2279" operator="greaterThan">
      <formula>1</formula>
    </cfRule>
    <cfRule type="cellIs" dxfId="29924" priority="2280" operator="lessThan">
      <formula>0.8</formula>
    </cfRule>
  </conditionalFormatting>
  <conditionalFormatting sqref="P79">
    <cfRule type="cellIs" dxfId="29923" priority="2278" operator="greaterThan">
      <formula>0</formula>
    </cfRule>
  </conditionalFormatting>
  <conditionalFormatting sqref="P79">
    <cfRule type="cellIs" dxfId="29922" priority="2272" operator="greaterThan">
      <formula>0</formula>
    </cfRule>
  </conditionalFormatting>
  <conditionalFormatting sqref="Q79">
    <cfRule type="cellIs" dxfId="29921" priority="2277" operator="lessThan">
      <formula>0</formula>
    </cfRule>
  </conditionalFormatting>
  <conditionalFormatting sqref="R79">
    <cfRule type="cellIs" dxfId="29920" priority="2275" operator="lessThan">
      <formula>0.8</formula>
    </cfRule>
    <cfRule type="cellIs" dxfId="29919" priority="2276" operator="greaterThan">
      <formula>1</formula>
    </cfRule>
  </conditionalFormatting>
  <conditionalFormatting sqref="R79">
    <cfRule type="cellIs" dxfId="29918" priority="2273" operator="greaterThan">
      <formula>1</formula>
    </cfRule>
    <cfRule type="cellIs" dxfId="29917" priority="2274" operator="lessThan">
      <formula>0.8</formula>
    </cfRule>
  </conditionalFormatting>
  <conditionalFormatting sqref="P71:P78">
    <cfRule type="cellIs" dxfId="29916" priority="2266" operator="greaterThan">
      <formula>0</formula>
    </cfRule>
  </conditionalFormatting>
  <conditionalFormatting sqref="Q71:Q78">
    <cfRule type="cellIs" dxfId="29915" priority="2271" operator="lessThan">
      <formula>0</formula>
    </cfRule>
  </conditionalFormatting>
  <conditionalFormatting sqref="R71:R78">
    <cfRule type="cellIs" dxfId="29914" priority="2269" operator="lessThan">
      <formula>0.8</formula>
    </cfRule>
    <cfRule type="cellIs" dxfId="29913" priority="2270" operator="greaterThan">
      <formula>1</formula>
    </cfRule>
  </conditionalFormatting>
  <conditionalFormatting sqref="R71:R78">
    <cfRule type="cellIs" dxfId="29912" priority="2267" operator="greaterThan">
      <formula>1</formula>
    </cfRule>
    <cfRule type="cellIs" dxfId="29911" priority="2268" operator="lessThan">
      <formula>0.8</formula>
    </cfRule>
  </conditionalFormatting>
  <conditionalFormatting sqref="Q148:Q153">
    <cfRule type="cellIs" dxfId="29910" priority="2265" operator="lessThan">
      <formula>0</formula>
    </cfRule>
  </conditionalFormatting>
  <conditionalFormatting sqref="R148:R153">
    <cfRule type="cellIs" dxfId="29909" priority="2263" operator="lessThan">
      <formula>0.8</formula>
    </cfRule>
    <cfRule type="cellIs" dxfId="29908" priority="2264" operator="greaterThan">
      <formula>1</formula>
    </cfRule>
  </conditionalFormatting>
  <conditionalFormatting sqref="R148:R153">
    <cfRule type="cellIs" dxfId="29907" priority="2261" operator="greaterThan">
      <formula>1</formula>
    </cfRule>
    <cfRule type="cellIs" dxfId="29906" priority="2262" operator="lessThan">
      <formula>0.8</formula>
    </cfRule>
  </conditionalFormatting>
  <conditionalFormatting sqref="P148:P153">
    <cfRule type="cellIs" dxfId="29905" priority="2260" operator="greaterThan">
      <formula>0</formula>
    </cfRule>
  </conditionalFormatting>
  <conditionalFormatting sqref="Q148:Q153">
    <cfRule type="cellIs" dxfId="29904" priority="2259" operator="lessThan">
      <formula>0</formula>
    </cfRule>
  </conditionalFormatting>
  <conditionalFormatting sqref="R148:R153">
    <cfRule type="cellIs" dxfId="29903" priority="2257" operator="lessThan">
      <formula>0.8</formula>
    </cfRule>
    <cfRule type="cellIs" dxfId="29902" priority="2258" operator="greaterThan">
      <formula>1</formula>
    </cfRule>
  </conditionalFormatting>
  <conditionalFormatting sqref="R148:R153">
    <cfRule type="cellIs" dxfId="29901" priority="2255" operator="greaterThan">
      <formula>1</formula>
    </cfRule>
    <cfRule type="cellIs" dxfId="29900" priority="2256" operator="lessThan">
      <formula>0.8</formula>
    </cfRule>
  </conditionalFormatting>
  <conditionalFormatting sqref="P148:P153">
    <cfRule type="cellIs" dxfId="29899" priority="2254" operator="greaterThan">
      <formula>0</formula>
    </cfRule>
  </conditionalFormatting>
  <conditionalFormatting sqref="Q148:Q153">
    <cfRule type="cellIs" dxfId="29898" priority="2253" operator="lessThan">
      <formula>0</formula>
    </cfRule>
  </conditionalFormatting>
  <conditionalFormatting sqref="R148:R153">
    <cfRule type="cellIs" dxfId="29897" priority="2251" operator="lessThan">
      <formula>0.8</formula>
    </cfRule>
    <cfRule type="cellIs" dxfId="29896" priority="2252" operator="greaterThan">
      <formula>1</formula>
    </cfRule>
  </conditionalFormatting>
  <conditionalFormatting sqref="R148:R153">
    <cfRule type="cellIs" dxfId="29895" priority="2249" operator="greaterThan">
      <formula>1</formula>
    </cfRule>
    <cfRule type="cellIs" dxfId="29894" priority="2250" operator="lessThan">
      <formula>0.8</formula>
    </cfRule>
  </conditionalFormatting>
  <conditionalFormatting sqref="P148:P153">
    <cfRule type="cellIs" dxfId="29893" priority="2248" operator="greaterThan">
      <formula>0</formula>
    </cfRule>
  </conditionalFormatting>
  <conditionalFormatting sqref="Q148:Q153">
    <cfRule type="cellIs" dxfId="29892" priority="2247" operator="lessThan">
      <formula>0</formula>
    </cfRule>
  </conditionalFormatting>
  <conditionalFormatting sqref="R148:R153">
    <cfRule type="cellIs" dxfId="29891" priority="2245" operator="lessThan">
      <formula>0.8</formula>
    </cfRule>
    <cfRule type="cellIs" dxfId="29890" priority="2246" operator="greaterThan">
      <formula>1</formula>
    </cfRule>
  </conditionalFormatting>
  <conditionalFormatting sqref="R148:R153">
    <cfRule type="cellIs" dxfId="29889" priority="2243" operator="greaterThan">
      <formula>1</formula>
    </cfRule>
    <cfRule type="cellIs" dxfId="29888" priority="2244" operator="lessThan">
      <formula>0.8</formula>
    </cfRule>
  </conditionalFormatting>
  <conditionalFormatting sqref="P148:P153">
    <cfRule type="cellIs" dxfId="29887" priority="2242" operator="greaterThan">
      <formula>0</formula>
    </cfRule>
  </conditionalFormatting>
  <conditionalFormatting sqref="P148:P153">
    <cfRule type="cellIs" dxfId="29886" priority="2236" operator="greaterThan">
      <formula>0</formula>
    </cfRule>
  </conditionalFormatting>
  <conditionalFormatting sqref="Q148:Q153">
    <cfRule type="cellIs" dxfId="29885" priority="2241" operator="lessThan">
      <formula>0</formula>
    </cfRule>
  </conditionalFormatting>
  <conditionalFormatting sqref="R148:R153">
    <cfRule type="cellIs" dxfId="29884" priority="2239" operator="lessThan">
      <formula>0.8</formula>
    </cfRule>
    <cfRule type="cellIs" dxfId="29883" priority="2240" operator="greaterThan">
      <formula>1</formula>
    </cfRule>
  </conditionalFormatting>
  <conditionalFormatting sqref="R148:R153">
    <cfRule type="cellIs" dxfId="29882" priority="2237" operator="greaterThan">
      <formula>1</formula>
    </cfRule>
    <cfRule type="cellIs" dxfId="29881" priority="2238" operator="lessThan">
      <formula>0.8</formula>
    </cfRule>
  </conditionalFormatting>
  <conditionalFormatting sqref="P148:P153">
    <cfRule type="cellIs" dxfId="29880" priority="2230" operator="greaterThan">
      <formula>0</formula>
    </cfRule>
  </conditionalFormatting>
  <conditionalFormatting sqref="Q148:Q153">
    <cfRule type="cellIs" dxfId="29879" priority="2235" operator="lessThan">
      <formula>0</formula>
    </cfRule>
  </conditionalFormatting>
  <conditionalFormatting sqref="R148:R153">
    <cfRule type="cellIs" dxfId="29878" priority="2233" operator="lessThan">
      <formula>0.8</formula>
    </cfRule>
    <cfRule type="cellIs" dxfId="29877" priority="2234" operator="greaterThan">
      <formula>1</formula>
    </cfRule>
  </conditionalFormatting>
  <conditionalFormatting sqref="R148:R153">
    <cfRule type="cellIs" dxfId="29876" priority="2231" operator="greaterThan">
      <formula>1</formula>
    </cfRule>
    <cfRule type="cellIs" dxfId="29875" priority="2232" operator="lessThan">
      <formula>0.8</formula>
    </cfRule>
  </conditionalFormatting>
  <conditionalFormatting sqref="R148:R153">
    <cfRule type="cellIs" dxfId="29874" priority="2227" operator="lessThan">
      <formula>0.8</formula>
    </cfRule>
    <cfRule type="cellIs" dxfId="29873" priority="2228" operator="greaterThan">
      <formula>1</formula>
    </cfRule>
  </conditionalFormatting>
  <conditionalFormatting sqref="R148:R153">
    <cfRule type="cellIs" dxfId="29872" priority="2225" operator="greaterThan">
      <formula>1</formula>
    </cfRule>
    <cfRule type="cellIs" dxfId="29871" priority="2226" operator="lessThan">
      <formula>0.8</formula>
    </cfRule>
  </conditionalFormatting>
  <conditionalFormatting sqref="P148:P153">
    <cfRule type="cellIs" dxfId="29870" priority="2224" operator="greaterThan">
      <formula>0</formula>
    </cfRule>
  </conditionalFormatting>
  <conditionalFormatting sqref="Q148:Q153">
    <cfRule type="cellIs" dxfId="29869" priority="2229" operator="lessThan">
      <formula>0</formula>
    </cfRule>
  </conditionalFormatting>
  <conditionalFormatting sqref="Q148:Q153">
    <cfRule type="cellIs" dxfId="29868" priority="2223" operator="lessThan">
      <formula>0</formula>
    </cfRule>
  </conditionalFormatting>
  <conditionalFormatting sqref="R148:R153">
    <cfRule type="cellIs" dxfId="29867" priority="2221" operator="lessThan">
      <formula>0.8</formula>
    </cfRule>
    <cfRule type="cellIs" dxfId="29866" priority="2222" operator="greaterThan">
      <formula>1</formula>
    </cfRule>
  </conditionalFormatting>
  <conditionalFormatting sqref="R148:R153">
    <cfRule type="cellIs" dxfId="29865" priority="2219" operator="greaterThan">
      <formula>1</formula>
    </cfRule>
    <cfRule type="cellIs" dxfId="29864" priority="2220" operator="lessThan">
      <formula>0.8</formula>
    </cfRule>
  </conditionalFormatting>
  <conditionalFormatting sqref="P148:P153">
    <cfRule type="cellIs" dxfId="29863" priority="2218" operator="greaterThan">
      <formula>0</formula>
    </cfRule>
  </conditionalFormatting>
  <conditionalFormatting sqref="P148:P153">
    <cfRule type="cellIs" dxfId="29862" priority="2212" operator="greaterThan">
      <formula>0</formula>
    </cfRule>
  </conditionalFormatting>
  <conditionalFormatting sqref="Q148:Q153">
    <cfRule type="cellIs" dxfId="29861" priority="2217" operator="lessThan">
      <formula>0</formula>
    </cfRule>
  </conditionalFormatting>
  <conditionalFormatting sqref="R148:R153">
    <cfRule type="cellIs" dxfId="29860" priority="2215" operator="lessThan">
      <formula>0.8</formula>
    </cfRule>
    <cfRule type="cellIs" dxfId="29859" priority="2216" operator="greaterThan">
      <formula>1</formula>
    </cfRule>
  </conditionalFormatting>
  <conditionalFormatting sqref="R148:R153">
    <cfRule type="cellIs" dxfId="29858" priority="2213" operator="greaterThan">
      <formula>1</formula>
    </cfRule>
    <cfRule type="cellIs" dxfId="29857" priority="2214" operator="lessThan">
      <formula>0.8</formula>
    </cfRule>
  </conditionalFormatting>
  <conditionalFormatting sqref="P148:P153">
    <cfRule type="cellIs" dxfId="29856" priority="2206" operator="greaterThan">
      <formula>0</formula>
    </cfRule>
  </conditionalFormatting>
  <conditionalFormatting sqref="Q148:Q153">
    <cfRule type="cellIs" dxfId="29855" priority="2211" operator="lessThan">
      <formula>0</formula>
    </cfRule>
  </conditionalFormatting>
  <conditionalFormatting sqref="R148:R153">
    <cfRule type="cellIs" dxfId="29854" priority="2209" operator="lessThan">
      <formula>0.8</formula>
    </cfRule>
    <cfRule type="cellIs" dxfId="29853" priority="2210" operator="greaterThan">
      <formula>1</formula>
    </cfRule>
  </conditionalFormatting>
  <conditionalFormatting sqref="R148:R153">
    <cfRule type="cellIs" dxfId="29852" priority="2207" operator="greaterThan">
      <formula>1</formula>
    </cfRule>
    <cfRule type="cellIs" dxfId="29851" priority="2208" operator="lessThan">
      <formula>0.8</formula>
    </cfRule>
  </conditionalFormatting>
  <conditionalFormatting sqref="R148:R153">
    <cfRule type="cellIs" dxfId="29850" priority="2203" operator="lessThan">
      <formula>0.8</formula>
    </cfRule>
    <cfRule type="cellIs" dxfId="29849" priority="2204" operator="greaterThan">
      <formula>1</formula>
    </cfRule>
  </conditionalFormatting>
  <conditionalFormatting sqref="R148:R153">
    <cfRule type="cellIs" dxfId="29848" priority="2201" operator="greaterThan">
      <formula>1</formula>
    </cfRule>
    <cfRule type="cellIs" dxfId="29847" priority="2202" operator="lessThan">
      <formula>0.8</formula>
    </cfRule>
  </conditionalFormatting>
  <conditionalFormatting sqref="P148:P153">
    <cfRule type="cellIs" dxfId="29846" priority="2200" operator="greaterThan">
      <formula>0</formula>
    </cfRule>
  </conditionalFormatting>
  <conditionalFormatting sqref="Q148:Q153">
    <cfRule type="cellIs" dxfId="29845" priority="2205" operator="lessThan">
      <formula>0</formula>
    </cfRule>
  </conditionalFormatting>
  <conditionalFormatting sqref="P148:P153">
    <cfRule type="cellIs" dxfId="29844" priority="2194" operator="greaterThan">
      <formula>0</formula>
    </cfRule>
  </conditionalFormatting>
  <conditionalFormatting sqref="Q148:Q153">
    <cfRule type="cellIs" dxfId="29843" priority="2199" operator="lessThan">
      <formula>0</formula>
    </cfRule>
  </conditionalFormatting>
  <conditionalFormatting sqref="R148:R153">
    <cfRule type="cellIs" dxfId="29842" priority="2197" operator="lessThan">
      <formula>0.8</formula>
    </cfRule>
    <cfRule type="cellIs" dxfId="29841" priority="2198" operator="greaterThan">
      <formula>1</formula>
    </cfRule>
  </conditionalFormatting>
  <conditionalFormatting sqref="R148:R153">
    <cfRule type="cellIs" dxfId="29840" priority="2195" operator="greaterThan">
      <formula>1</formula>
    </cfRule>
    <cfRule type="cellIs" dxfId="29839" priority="2196" operator="lessThan">
      <formula>0.8</formula>
    </cfRule>
  </conditionalFormatting>
  <conditionalFormatting sqref="R148:R153">
    <cfRule type="cellIs" dxfId="29838" priority="2191" operator="lessThan">
      <formula>0.8</formula>
    </cfRule>
    <cfRule type="cellIs" dxfId="29837" priority="2192" operator="greaterThan">
      <formula>1</formula>
    </cfRule>
  </conditionalFormatting>
  <conditionalFormatting sqref="R148:R153">
    <cfRule type="cellIs" dxfId="29836" priority="2189" operator="greaterThan">
      <formula>1</formula>
    </cfRule>
    <cfRule type="cellIs" dxfId="29835" priority="2190" operator="lessThan">
      <formula>0.8</formula>
    </cfRule>
  </conditionalFormatting>
  <conditionalFormatting sqref="P148:P153">
    <cfRule type="cellIs" dxfId="29834" priority="2188" operator="greaterThan">
      <formula>0</formula>
    </cfRule>
  </conditionalFormatting>
  <conditionalFormatting sqref="Q148:Q153">
    <cfRule type="cellIs" dxfId="29833" priority="2193" operator="lessThan">
      <formula>0</formula>
    </cfRule>
  </conditionalFormatting>
  <conditionalFormatting sqref="R148:R153">
    <cfRule type="cellIs" dxfId="29832" priority="2185" operator="lessThan">
      <formula>0.8</formula>
    </cfRule>
    <cfRule type="cellIs" dxfId="29831" priority="2186" operator="greaterThan">
      <formula>1</formula>
    </cfRule>
  </conditionalFormatting>
  <conditionalFormatting sqref="R148:R153">
    <cfRule type="cellIs" dxfId="29830" priority="2183" operator="greaterThan">
      <formula>1</formula>
    </cfRule>
    <cfRule type="cellIs" dxfId="29829" priority="2184" operator="lessThan">
      <formula>0.8</formula>
    </cfRule>
  </conditionalFormatting>
  <conditionalFormatting sqref="P148:P153">
    <cfRule type="cellIs" dxfId="29828" priority="2182" operator="greaterThan">
      <formula>0</formula>
    </cfRule>
  </conditionalFormatting>
  <conditionalFormatting sqref="Q148:Q153">
    <cfRule type="cellIs" dxfId="29827" priority="2187" operator="lessThan">
      <formula>0</formula>
    </cfRule>
  </conditionalFormatting>
  <conditionalFormatting sqref="Q148:Q153">
    <cfRule type="cellIs" dxfId="29826" priority="2181" operator="lessThan">
      <formula>0</formula>
    </cfRule>
  </conditionalFormatting>
  <conditionalFormatting sqref="R148:R153">
    <cfRule type="cellIs" dxfId="29825" priority="2179" operator="lessThan">
      <formula>0.8</formula>
    </cfRule>
    <cfRule type="cellIs" dxfId="29824" priority="2180" operator="greaterThan">
      <formula>1</formula>
    </cfRule>
  </conditionalFormatting>
  <conditionalFormatting sqref="R148:R153">
    <cfRule type="cellIs" dxfId="29823" priority="2177" operator="greaterThan">
      <formula>1</formula>
    </cfRule>
    <cfRule type="cellIs" dxfId="29822" priority="2178" operator="lessThan">
      <formula>0.8</formula>
    </cfRule>
  </conditionalFormatting>
  <conditionalFormatting sqref="P148:P153">
    <cfRule type="cellIs" dxfId="29821" priority="2176" operator="greaterThan">
      <formula>0</formula>
    </cfRule>
  </conditionalFormatting>
  <conditionalFormatting sqref="Q148:Q153">
    <cfRule type="cellIs" dxfId="29820" priority="2170" operator="lessThan">
      <formula>0</formula>
    </cfRule>
  </conditionalFormatting>
  <conditionalFormatting sqref="R148:R153">
    <cfRule type="cellIs" dxfId="29819" priority="2174" operator="lessThan">
      <formula>0.8</formula>
    </cfRule>
    <cfRule type="cellIs" dxfId="29818" priority="2175" operator="greaterThan">
      <formula>1</formula>
    </cfRule>
  </conditionalFormatting>
  <conditionalFormatting sqref="R148:R153">
    <cfRule type="cellIs" dxfId="29817" priority="2172" operator="greaterThan">
      <formula>1</formula>
    </cfRule>
    <cfRule type="cellIs" dxfId="29816" priority="2173" operator="lessThan">
      <formula>0.8</formula>
    </cfRule>
  </conditionalFormatting>
  <conditionalFormatting sqref="P148:P153">
    <cfRule type="cellIs" dxfId="29815" priority="2171" operator="greaterThan">
      <formula>0</formula>
    </cfRule>
  </conditionalFormatting>
  <conditionalFormatting sqref="Q148:Q153">
    <cfRule type="cellIs" dxfId="29814" priority="2169" operator="lessThan">
      <formula>0</formula>
    </cfRule>
  </conditionalFormatting>
  <conditionalFormatting sqref="R148:R153">
    <cfRule type="cellIs" dxfId="29813" priority="2167" operator="lessThan">
      <formula>0.8</formula>
    </cfRule>
    <cfRule type="cellIs" dxfId="29812" priority="2168" operator="greaterThan">
      <formula>1</formula>
    </cfRule>
  </conditionalFormatting>
  <conditionalFormatting sqref="R148:R153">
    <cfRule type="cellIs" dxfId="29811" priority="2165" operator="greaterThan">
      <formula>1</formula>
    </cfRule>
    <cfRule type="cellIs" dxfId="29810" priority="2166" operator="lessThan">
      <formula>0.8</formula>
    </cfRule>
  </conditionalFormatting>
  <conditionalFormatting sqref="P148:P153">
    <cfRule type="cellIs" dxfId="29809" priority="2164" operator="greaterThan">
      <formula>0</formula>
    </cfRule>
  </conditionalFormatting>
  <conditionalFormatting sqref="Q148:Q153">
    <cfRule type="cellIs" dxfId="29808" priority="2163" operator="lessThan">
      <formula>0</formula>
    </cfRule>
  </conditionalFormatting>
  <conditionalFormatting sqref="R148:R153">
    <cfRule type="cellIs" dxfId="29807" priority="2161" operator="lessThan">
      <formula>0.8</formula>
    </cfRule>
    <cfRule type="cellIs" dxfId="29806" priority="2162" operator="greaterThan">
      <formula>1</formula>
    </cfRule>
  </conditionalFormatting>
  <conditionalFormatting sqref="R148:R153">
    <cfRule type="cellIs" dxfId="29805" priority="2159" operator="greaterThan">
      <formula>1</formula>
    </cfRule>
    <cfRule type="cellIs" dxfId="29804" priority="2160" operator="lessThan">
      <formula>0.8</formula>
    </cfRule>
  </conditionalFormatting>
  <conditionalFormatting sqref="P148:P153">
    <cfRule type="cellIs" dxfId="29803" priority="2158" operator="greaterThan">
      <formula>0</formula>
    </cfRule>
  </conditionalFormatting>
  <conditionalFormatting sqref="Q148:Q153">
    <cfRule type="cellIs" dxfId="29802" priority="2157" operator="lessThan">
      <formula>0</formula>
    </cfRule>
  </conditionalFormatting>
  <conditionalFormatting sqref="R148:R153">
    <cfRule type="cellIs" dxfId="29801" priority="2155" operator="lessThan">
      <formula>0.8</formula>
    </cfRule>
    <cfRule type="cellIs" dxfId="29800" priority="2156" operator="greaterThan">
      <formula>1</formula>
    </cfRule>
  </conditionalFormatting>
  <conditionalFormatting sqref="R148:R153">
    <cfRule type="cellIs" dxfId="29799" priority="2153" operator="greaterThan">
      <formula>1</formula>
    </cfRule>
    <cfRule type="cellIs" dxfId="29798" priority="2154" operator="lessThan">
      <formula>0.8</formula>
    </cfRule>
  </conditionalFormatting>
  <conditionalFormatting sqref="P148:P153">
    <cfRule type="cellIs" dxfId="29797" priority="2152" operator="greaterThan">
      <formula>0</formula>
    </cfRule>
  </conditionalFormatting>
  <conditionalFormatting sqref="Q148:Q153">
    <cfRule type="cellIs" dxfId="29796" priority="2151" operator="lessThan">
      <formula>0</formula>
    </cfRule>
  </conditionalFormatting>
  <conditionalFormatting sqref="R148:R153">
    <cfRule type="cellIs" dxfId="29795" priority="2149" operator="lessThan">
      <formula>0.8</formula>
    </cfRule>
    <cfRule type="cellIs" dxfId="29794" priority="2150" operator="greaterThan">
      <formula>1</formula>
    </cfRule>
  </conditionalFormatting>
  <conditionalFormatting sqref="R148:R153">
    <cfRule type="cellIs" dxfId="29793" priority="2147" operator="greaterThan">
      <formula>1</formula>
    </cfRule>
    <cfRule type="cellIs" dxfId="29792" priority="2148" operator="lessThan">
      <formula>0.8</formula>
    </cfRule>
  </conditionalFormatting>
  <conditionalFormatting sqref="P148:P153">
    <cfRule type="cellIs" dxfId="29791" priority="2146" operator="greaterThan">
      <formula>0</formula>
    </cfRule>
  </conditionalFormatting>
  <conditionalFormatting sqref="Q148:Q153">
    <cfRule type="cellIs" dxfId="29790" priority="2145" operator="lessThan">
      <formula>0</formula>
    </cfRule>
  </conditionalFormatting>
  <conditionalFormatting sqref="R148:R153">
    <cfRule type="cellIs" dxfId="29789" priority="2143" operator="lessThan">
      <formula>0.8</formula>
    </cfRule>
    <cfRule type="cellIs" dxfId="29788" priority="2144" operator="greaterThan">
      <formula>1</formula>
    </cfRule>
  </conditionalFormatting>
  <conditionalFormatting sqref="R148:R153">
    <cfRule type="cellIs" dxfId="29787" priority="2141" operator="greaterThan">
      <formula>1</formula>
    </cfRule>
    <cfRule type="cellIs" dxfId="29786" priority="2142" operator="lessThan">
      <formula>0.8</formula>
    </cfRule>
  </conditionalFormatting>
  <conditionalFormatting sqref="P148:P153">
    <cfRule type="cellIs" dxfId="29785" priority="2140" operator="greaterThan">
      <formula>0</formula>
    </cfRule>
  </conditionalFormatting>
  <conditionalFormatting sqref="P148:P153">
    <cfRule type="cellIs" dxfId="29784" priority="2134" operator="greaterThan">
      <formula>0</formula>
    </cfRule>
  </conditionalFormatting>
  <conditionalFormatting sqref="Q148:Q153">
    <cfRule type="cellIs" dxfId="29783" priority="2139" operator="lessThan">
      <formula>0</formula>
    </cfRule>
  </conditionalFormatting>
  <conditionalFormatting sqref="R148:R153">
    <cfRule type="cellIs" dxfId="29782" priority="2137" operator="lessThan">
      <formula>0.8</formula>
    </cfRule>
    <cfRule type="cellIs" dxfId="29781" priority="2138" operator="greaterThan">
      <formula>1</formula>
    </cfRule>
  </conditionalFormatting>
  <conditionalFormatting sqref="R148:R153">
    <cfRule type="cellIs" dxfId="29780" priority="2135" operator="greaterThan">
      <formula>1</formula>
    </cfRule>
    <cfRule type="cellIs" dxfId="29779" priority="2136" operator="lessThan">
      <formula>0.8</formula>
    </cfRule>
  </conditionalFormatting>
  <conditionalFormatting sqref="P148:P153">
    <cfRule type="cellIs" dxfId="29778" priority="2128" operator="greaterThan">
      <formula>0</formula>
    </cfRule>
  </conditionalFormatting>
  <conditionalFormatting sqref="Q148:Q153">
    <cfRule type="cellIs" dxfId="29777" priority="2133" operator="lessThan">
      <formula>0</formula>
    </cfRule>
  </conditionalFormatting>
  <conditionalFormatting sqref="R148:R153">
    <cfRule type="cellIs" dxfId="29776" priority="2131" operator="lessThan">
      <formula>0.8</formula>
    </cfRule>
    <cfRule type="cellIs" dxfId="29775" priority="2132" operator="greaterThan">
      <formula>1</formula>
    </cfRule>
  </conditionalFormatting>
  <conditionalFormatting sqref="R148:R153">
    <cfRule type="cellIs" dxfId="29774" priority="2129" operator="greaterThan">
      <formula>1</formula>
    </cfRule>
    <cfRule type="cellIs" dxfId="29773" priority="2130" operator="lessThan">
      <formula>0.8</formula>
    </cfRule>
  </conditionalFormatting>
  <conditionalFormatting sqref="R148:R153">
    <cfRule type="cellIs" dxfId="29772" priority="2125" operator="lessThan">
      <formula>0.8</formula>
    </cfRule>
    <cfRule type="cellIs" dxfId="29771" priority="2126" operator="greaterThan">
      <formula>1</formula>
    </cfRule>
  </conditionalFormatting>
  <conditionalFormatting sqref="R148:R153">
    <cfRule type="cellIs" dxfId="29770" priority="2123" operator="greaterThan">
      <formula>1</formula>
    </cfRule>
    <cfRule type="cellIs" dxfId="29769" priority="2124" operator="lessThan">
      <formula>0.8</formula>
    </cfRule>
  </conditionalFormatting>
  <conditionalFormatting sqref="P148:P153">
    <cfRule type="cellIs" dxfId="29768" priority="2122" operator="greaterThan">
      <formula>0</formula>
    </cfRule>
  </conditionalFormatting>
  <conditionalFormatting sqref="Q148:Q153">
    <cfRule type="cellIs" dxfId="29767" priority="2127" operator="lessThan">
      <formula>0</formula>
    </cfRule>
  </conditionalFormatting>
  <conditionalFormatting sqref="Q148:Q153">
    <cfRule type="cellIs" dxfId="29766" priority="2116" operator="lessThan">
      <formula>0</formula>
    </cfRule>
  </conditionalFormatting>
  <conditionalFormatting sqref="P148:P153">
    <cfRule type="cellIs" dxfId="29765" priority="2117" operator="greaterThan">
      <formula>0</formula>
    </cfRule>
  </conditionalFormatting>
  <conditionalFormatting sqref="R148:R153">
    <cfRule type="cellIs" dxfId="29764" priority="2120" operator="lessThan">
      <formula>0.8</formula>
    </cfRule>
    <cfRule type="cellIs" dxfId="29763" priority="2121" operator="greaterThan">
      <formula>1</formula>
    </cfRule>
  </conditionalFormatting>
  <conditionalFormatting sqref="R148:R153">
    <cfRule type="cellIs" dxfId="29762" priority="2118" operator="greaterThan">
      <formula>1</formula>
    </cfRule>
    <cfRule type="cellIs" dxfId="29761" priority="2119" operator="lessThan">
      <formula>0.8</formula>
    </cfRule>
  </conditionalFormatting>
  <conditionalFormatting sqref="Q148:Q153">
    <cfRule type="cellIs" dxfId="29760" priority="2110" operator="lessThan">
      <formula>0</formula>
    </cfRule>
  </conditionalFormatting>
  <conditionalFormatting sqref="R148:R153">
    <cfRule type="cellIs" dxfId="29759" priority="2114" operator="lessThan">
      <formula>0.8</formula>
    </cfRule>
    <cfRule type="cellIs" dxfId="29758" priority="2115" operator="greaterThan">
      <formula>1</formula>
    </cfRule>
  </conditionalFormatting>
  <conditionalFormatting sqref="R148:R153">
    <cfRule type="cellIs" dxfId="29757" priority="2112" operator="greaterThan">
      <formula>1</formula>
    </cfRule>
    <cfRule type="cellIs" dxfId="29756" priority="2113" operator="lessThan">
      <formula>0.8</formula>
    </cfRule>
  </conditionalFormatting>
  <conditionalFormatting sqref="P148:P153">
    <cfRule type="cellIs" dxfId="29755" priority="2111" operator="greaterThan">
      <formula>0</formula>
    </cfRule>
  </conditionalFormatting>
  <conditionalFormatting sqref="Q148:Q153">
    <cfRule type="cellIs" dxfId="29754" priority="2109" operator="lessThan">
      <formula>0</formula>
    </cfRule>
  </conditionalFormatting>
  <conditionalFormatting sqref="R148:R153">
    <cfRule type="cellIs" dxfId="29753" priority="2107" operator="lessThan">
      <formula>0.8</formula>
    </cfRule>
    <cfRule type="cellIs" dxfId="29752" priority="2108" operator="greaterThan">
      <formula>1</formula>
    </cfRule>
  </conditionalFormatting>
  <conditionalFormatting sqref="R148:R153">
    <cfRule type="cellIs" dxfId="29751" priority="2105" operator="greaterThan">
      <formula>1</formula>
    </cfRule>
    <cfRule type="cellIs" dxfId="29750" priority="2106" operator="lessThan">
      <formula>0.8</formula>
    </cfRule>
  </conditionalFormatting>
  <conditionalFormatting sqref="P148:P153">
    <cfRule type="cellIs" dxfId="29749" priority="2104" operator="greaterThan">
      <formula>0</formula>
    </cfRule>
  </conditionalFormatting>
  <conditionalFormatting sqref="Q148:Q153">
    <cfRule type="cellIs" dxfId="29748" priority="2103" operator="lessThan">
      <formula>0</formula>
    </cfRule>
  </conditionalFormatting>
  <conditionalFormatting sqref="R148:R153">
    <cfRule type="cellIs" dxfId="29747" priority="2101" operator="lessThan">
      <formula>0.8</formula>
    </cfRule>
    <cfRule type="cellIs" dxfId="29746" priority="2102" operator="greaterThan">
      <formula>1</formula>
    </cfRule>
  </conditionalFormatting>
  <conditionalFormatting sqref="R148:R153">
    <cfRule type="cellIs" dxfId="29745" priority="2099" operator="greaterThan">
      <formula>1</formula>
    </cfRule>
    <cfRule type="cellIs" dxfId="29744" priority="2100" operator="lessThan">
      <formula>0.8</formula>
    </cfRule>
  </conditionalFormatting>
  <conditionalFormatting sqref="P148:P153">
    <cfRule type="cellIs" dxfId="29743" priority="2098" operator="greaterThan">
      <formula>0</formula>
    </cfRule>
  </conditionalFormatting>
  <conditionalFormatting sqref="Q148:Q153">
    <cfRule type="cellIs" dxfId="29742" priority="2097" operator="lessThan">
      <formula>0</formula>
    </cfRule>
  </conditionalFormatting>
  <conditionalFormatting sqref="R148:R153">
    <cfRule type="cellIs" dxfId="29741" priority="2095" operator="lessThan">
      <formula>0.8</formula>
    </cfRule>
    <cfRule type="cellIs" dxfId="29740" priority="2096" operator="greaterThan">
      <formula>1</formula>
    </cfRule>
  </conditionalFormatting>
  <conditionalFormatting sqref="R148:R153">
    <cfRule type="cellIs" dxfId="29739" priority="2093" operator="greaterThan">
      <formula>1</formula>
    </cfRule>
    <cfRule type="cellIs" dxfId="29738" priority="2094" operator="lessThan">
      <formula>0.8</formula>
    </cfRule>
  </conditionalFormatting>
  <conditionalFormatting sqref="P148:P153">
    <cfRule type="cellIs" dxfId="29737" priority="2092" operator="greaterThan">
      <formula>0</formula>
    </cfRule>
  </conditionalFormatting>
  <conditionalFormatting sqref="Q148:Q153">
    <cfRule type="cellIs" dxfId="29736" priority="2091" operator="lessThan">
      <formula>0</formula>
    </cfRule>
  </conditionalFormatting>
  <conditionalFormatting sqref="R148:R153">
    <cfRule type="cellIs" dxfId="29735" priority="2089" operator="lessThan">
      <formula>0.8</formula>
    </cfRule>
    <cfRule type="cellIs" dxfId="29734" priority="2090" operator="greaterThan">
      <formula>1</formula>
    </cfRule>
  </conditionalFormatting>
  <conditionalFormatting sqref="R148:R153">
    <cfRule type="cellIs" dxfId="29733" priority="2087" operator="greaterThan">
      <formula>1</formula>
    </cfRule>
    <cfRule type="cellIs" dxfId="29732" priority="2088" operator="lessThan">
      <formula>0.8</formula>
    </cfRule>
  </conditionalFormatting>
  <conditionalFormatting sqref="P148:P153">
    <cfRule type="cellIs" dxfId="29731" priority="2086" operator="greaterThan">
      <formula>0</formula>
    </cfRule>
  </conditionalFormatting>
  <conditionalFormatting sqref="Q124 Q127 Q129 Q131">
    <cfRule type="cellIs" dxfId="29730" priority="2080" operator="lessThan">
      <formula>0</formula>
    </cfRule>
  </conditionalFormatting>
  <conditionalFormatting sqref="P124 P127 P129 P131">
    <cfRule type="cellIs" dxfId="29729" priority="2081" operator="greaterThan">
      <formula>0</formula>
    </cfRule>
  </conditionalFormatting>
  <conditionalFormatting sqref="R124 R127 R129 R131">
    <cfRule type="cellIs" dxfId="29728" priority="2084" operator="lessThan">
      <formula>0.8</formula>
    </cfRule>
    <cfRule type="cellIs" dxfId="29727" priority="2085" operator="greaterThan">
      <formula>1</formula>
    </cfRule>
  </conditionalFormatting>
  <conditionalFormatting sqref="R124 R127 R129 R131">
    <cfRule type="cellIs" dxfId="29726" priority="2082" operator="greaterThan">
      <formula>1</formula>
    </cfRule>
    <cfRule type="cellIs" dxfId="29725" priority="2083" operator="lessThan">
      <formula>0.8</formula>
    </cfRule>
  </conditionalFormatting>
  <conditionalFormatting sqref="Q124 Q127 Q129 Q131">
    <cfRule type="cellIs" dxfId="29724" priority="2074" operator="lessThan">
      <formula>0</formula>
    </cfRule>
  </conditionalFormatting>
  <conditionalFormatting sqref="R124 R127 R129 R131">
    <cfRule type="cellIs" dxfId="29723" priority="2078" operator="lessThan">
      <formula>0.8</formula>
    </cfRule>
    <cfRule type="cellIs" dxfId="29722" priority="2079" operator="greaterThan">
      <formula>1</formula>
    </cfRule>
  </conditionalFormatting>
  <conditionalFormatting sqref="R124 R127 R129 R131">
    <cfRule type="cellIs" dxfId="29721" priority="2076" operator="greaterThan">
      <formula>1</formula>
    </cfRule>
    <cfRule type="cellIs" dxfId="29720" priority="2077" operator="lessThan">
      <formula>0.8</formula>
    </cfRule>
  </conditionalFormatting>
  <conditionalFormatting sqref="P124 P127 P129 P131">
    <cfRule type="cellIs" dxfId="29719" priority="2075" operator="greaterThan">
      <formula>0</formula>
    </cfRule>
  </conditionalFormatting>
  <conditionalFormatting sqref="Q124 Q127 Q129 Q131">
    <cfRule type="cellIs" dxfId="29718" priority="2073" operator="lessThan">
      <formula>0</formula>
    </cfRule>
  </conditionalFormatting>
  <conditionalFormatting sqref="R124 R127 R129 R131">
    <cfRule type="cellIs" dxfId="29717" priority="2071" operator="lessThan">
      <formula>0.8</formula>
    </cfRule>
    <cfRule type="cellIs" dxfId="29716" priority="2072" operator="greaterThan">
      <formula>1</formula>
    </cfRule>
  </conditionalFormatting>
  <conditionalFormatting sqref="R124 R127 R129 R131">
    <cfRule type="cellIs" dxfId="29715" priority="2069" operator="greaterThan">
      <formula>1</formula>
    </cfRule>
    <cfRule type="cellIs" dxfId="29714" priority="2070" operator="lessThan">
      <formula>0.8</formula>
    </cfRule>
  </conditionalFormatting>
  <conditionalFormatting sqref="P124 P127 P129 P131">
    <cfRule type="cellIs" dxfId="29713" priority="2068" operator="greaterThan">
      <formula>0</formula>
    </cfRule>
  </conditionalFormatting>
  <conditionalFormatting sqref="Q124 Q127 Q129 Q131">
    <cfRule type="cellIs" dxfId="29712" priority="2067" operator="lessThan">
      <formula>0</formula>
    </cfRule>
  </conditionalFormatting>
  <conditionalFormatting sqref="R124 R127 R129 R131">
    <cfRule type="cellIs" dxfId="29711" priority="2065" operator="lessThan">
      <formula>0.8</formula>
    </cfRule>
    <cfRule type="cellIs" dxfId="29710" priority="2066" operator="greaterThan">
      <formula>1</formula>
    </cfRule>
  </conditionalFormatting>
  <conditionalFormatting sqref="R124 R127 R129 R131">
    <cfRule type="cellIs" dxfId="29709" priority="2063" operator="greaterThan">
      <formula>1</formula>
    </cfRule>
    <cfRule type="cellIs" dxfId="29708" priority="2064" operator="lessThan">
      <formula>0.8</formula>
    </cfRule>
  </conditionalFormatting>
  <conditionalFormatting sqref="P124 P127 P129 P131">
    <cfRule type="cellIs" dxfId="29707" priority="2062" operator="greaterThan">
      <formula>0</formula>
    </cfRule>
  </conditionalFormatting>
  <conditionalFormatting sqref="Q124 Q127 Q129 Q131">
    <cfRule type="cellIs" dxfId="29706" priority="2061" operator="lessThan">
      <formula>0</formula>
    </cfRule>
  </conditionalFormatting>
  <conditionalFormatting sqref="R124 R127 R129 R131">
    <cfRule type="cellIs" dxfId="29705" priority="2059" operator="lessThan">
      <formula>0.8</formula>
    </cfRule>
    <cfRule type="cellIs" dxfId="29704" priority="2060" operator="greaterThan">
      <formula>1</formula>
    </cfRule>
  </conditionalFormatting>
  <conditionalFormatting sqref="R124 R127 R129 R131">
    <cfRule type="cellIs" dxfId="29703" priority="2057" operator="greaterThan">
      <formula>1</formula>
    </cfRule>
    <cfRule type="cellIs" dxfId="29702" priority="2058" operator="lessThan">
      <formula>0.8</formula>
    </cfRule>
  </conditionalFormatting>
  <conditionalFormatting sqref="P124 P127 P129 P131">
    <cfRule type="cellIs" dxfId="29701" priority="2056" operator="greaterThan">
      <formula>0</formula>
    </cfRule>
  </conditionalFormatting>
  <conditionalFormatting sqref="Q124 Q127 Q129 Q131">
    <cfRule type="cellIs" dxfId="29700" priority="2055" operator="lessThan">
      <formula>0</formula>
    </cfRule>
  </conditionalFormatting>
  <conditionalFormatting sqref="R124 R127 R129 R131">
    <cfRule type="cellIs" dxfId="29699" priority="2053" operator="lessThan">
      <formula>0.8</formula>
    </cfRule>
    <cfRule type="cellIs" dxfId="29698" priority="2054" operator="greaterThan">
      <formula>1</formula>
    </cfRule>
  </conditionalFormatting>
  <conditionalFormatting sqref="R124 R127 R129 R131">
    <cfRule type="cellIs" dxfId="29697" priority="2051" operator="greaterThan">
      <formula>1</formula>
    </cfRule>
    <cfRule type="cellIs" dxfId="29696" priority="2052" operator="lessThan">
      <formula>0.8</formula>
    </cfRule>
  </conditionalFormatting>
  <conditionalFormatting sqref="P124 P127 P129 P131">
    <cfRule type="cellIs" dxfId="29695" priority="2050" operator="greaterThan">
      <formula>0</formula>
    </cfRule>
  </conditionalFormatting>
  <conditionalFormatting sqref="Q124 Q127 Q129 Q131">
    <cfRule type="cellIs" dxfId="29694" priority="2049" operator="lessThan">
      <formula>0</formula>
    </cfRule>
  </conditionalFormatting>
  <conditionalFormatting sqref="R124 R127 R129 R131">
    <cfRule type="cellIs" dxfId="29693" priority="2047" operator="lessThan">
      <formula>0.8</formula>
    </cfRule>
    <cfRule type="cellIs" dxfId="29692" priority="2048" operator="greaterThan">
      <formula>1</formula>
    </cfRule>
  </conditionalFormatting>
  <conditionalFormatting sqref="R124 R127 R129 R131">
    <cfRule type="cellIs" dxfId="29691" priority="2045" operator="greaterThan">
      <formula>1</formula>
    </cfRule>
    <cfRule type="cellIs" dxfId="29690" priority="2046" operator="lessThan">
      <formula>0.8</formula>
    </cfRule>
  </conditionalFormatting>
  <conditionalFormatting sqref="P124 P127 P129 P131">
    <cfRule type="cellIs" dxfId="29689" priority="2044" operator="greaterThan">
      <formula>0</formula>
    </cfRule>
  </conditionalFormatting>
  <conditionalFormatting sqref="Q124 Q127 Q129 Q131">
    <cfRule type="cellIs" dxfId="29688" priority="2043" operator="lessThan">
      <formula>0</formula>
    </cfRule>
  </conditionalFormatting>
  <conditionalFormatting sqref="R124 R127 R129 R131">
    <cfRule type="cellIs" dxfId="29687" priority="2041" operator="lessThan">
      <formula>0.8</formula>
    </cfRule>
    <cfRule type="cellIs" dxfId="29686" priority="2042" operator="greaterThan">
      <formula>1</formula>
    </cfRule>
  </conditionalFormatting>
  <conditionalFormatting sqref="R124 R127 R129 R131">
    <cfRule type="cellIs" dxfId="29685" priority="2039" operator="greaterThan">
      <formula>1</formula>
    </cfRule>
    <cfRule type="cellIs" dxfId="29684" priority="2040" operator="lessThan">
      <formula>0.8</formula>
    </cfRule>
  </conditionalFormatting>
  <conditionalFormatting sqref="P124 P127 P129 P131">
    <cfRule type="cellIs" dxfId="29683" priority="2038" operator="greaterThan">
      <formula>0</formula>
    </cfRule>
  </conditionalFormatting>
  <conditionalFormatting sqref="Q124 Q127 Q129 Q131">
    <cfRule type="cellIs" dxfId="29682" priority="2037" operator="lessThan">
      <formula>0</formula>
    </cfRule>
  </conditionalFormatting>
  <conditionalFormatting sqref="R124 R127 R129 R131">
    <cfRule type="cellIs" dxfId="29681" priority="2035" operator="lessThan">
      <formula>0.8</formula>
    </cfRule>
    <cfRule type="cellIs" dxfId="29680" priority="2036" operator="greaterThan">
      <formula>1</formula>
    </cfRule>
  </conditionalFormatting>
  <conditionalFormatting sqref="R124 R127 R129 R131">
    <cfRule type="cellIs" dxfId="29679" priority="2033" operator="greaterThan">
      <formula>1</formula>
    </cfRule>
    <cfRule type="cellIs" dxfId="29678" priority="2034" operator="lessThan">
      <formula>0.8</formula>
    </cfRule>
  </conditionalFormatting>
  <conditionalFormatting sqref="P124 P127 P129 P131">
    <cfRule type="cellIs" dxfId="29677" priority="2032" operator="greaterThan">
      <formula>0</formula>
    </cfRule>
  </conditionalFormatting>
  <conditionalFormatting sqref="P124 P127 P129 P131">
    <cfRule type="cellIs" dxfId="29676" priority="2026" operator="greaterThan">
      <formula>0</formula>
    </cfRule>
  </conditionalFormatting>
  <conditionalFormatting sqref="Q124 Q127 Q129 Q131">
    <cfRule type="cellIs" dxfId="29675" priority="2031" operator="lessThan">
      <formula>0</formula>
    </cfRule>
  </conditionalFormatting>
  <conditionalFormatting sqref="R124 R127 R129 R131">
    <cfRule type="cellIs" dxfId="29674" priority="2029" operator="lessThan">
      <formula>0.8</formula>
    </cfRule>
    <cfRule type="cellIs" dxfId="29673" priority="2030" operator="greaterThan">
      <formula>1</formula>
    </cfRule>
  </conditionalFormatting>
  <conditionalFormatting sqref="R124 R127 R129 R131">
    <cfRule type="cellIs" dxfId="29672" priority="2027" operator="greaterThan">
      <formula>1</formula>
    </cfRule>
    <cfRule type="cellIs" dxfId="29671" priority="2028" operator="lessThan">
      <formula>0.8</formula>
    </cfRule>
  </conditionalFormatting>
  <conditionalFormatting sqref="P124 P127 P129 P131">
    <cfRule type="cellIs" dxfId="29670" priority="2020" operator="greaterThan">
      <formula>0</formula>
    </cfRule>
  </conditionalFormatting>
  <conditionalFormatting sqref="Q124 Q127 Q129 Q131">
    <cfRule type="cellIs" dxfId="29669" priority="2025" operator="lessThan">
      <formula>0</formula>
    </cfRule>
  </conditionalFormatting>
  <conditionalFormatting sqref="R124 R127 R129 R131">
    <cfRule type="cellIs" dxfId="29668" priority="2023" operator="lessThan">
      <formula>0.8</formula>
    </cfRule>
    <cfRule type="cellIs" dxfId="29667" priority="2024" operator="greaterThan">
      <formula>1</formula>
    </cfRule>
  </conditionalFormatting>
  <conditionalFormatting sqref="R124 R127 R129 R131">
    <cfRule type="cellIs" dxfId="29666" priority="2021" operator="greaterThan">
      <formula>1</formula>
    </cfRule>
    <cfRule type="cellIs" dxfId="29665" priority="2022" operator="lessThan">
      <formula>0.8</formula>
    </cfRule>
  </conditionalFormatting>
  <conditionalFormatting sqref="R124 R127 R129 R131">
    <cfRule type="cellIs" dxfId="29664" priority="2017" operator="lessThan">
      <formula>0.8</formula>
    </cfRule>
    <cfRule type="cellIs" dxfId="29663" priority="2018" operator="greaterThan">
      <formula>1</formula>
    </cfRule>
  </conditionalFormatting>
  <conditionalFormatting sqref="R124 R127 R129 R131">
    <cfRule type="cellIs" dxfId="29662" priority="2015" operator="greaterThan">
      <formula>1</formula>
    </cfRule>
    <cfRule type="cellIs" dxfId="29661" priority="2016" operator="lessThan">
      <formula>0.8</formula>
    </cfRule>
  </conditionalFormatting>
  <conditionalFormatting sqref="P124 P127 P129 P131">
    <cfRule type="cellIs" dxfId="29660" priority="2014" operator="greaterThan">
      <formula>0</formula>
    </cfRule>
  </conditionalFormatting>
  <conditionalFormatting sqref="Q124 Q127 Q129 Q131">
    <cfRule type="cellIs" dxfId="29659" priority="2019" operator="lessThan">
      <formula>0</formula>
    </cfRule>
  </conditionalFormatting>
  <conditionalFormatting sqref="Q124 Q127 Q129 Q131">
    <cfRule type="cellIs" dxfId="29658" priority="2013" operator="lessThan">
      <formula>0</formula>
    </cfRule>
  </conditionalFormatting>
  <conditionalFormatting sqref="R124 R127 R129 R131">
    <cfRule type="cellIs" dxfId="29657" priority="2011" operator="lessThan">
      <formula>0.8</formula>
    </cfRule>
    <cfRule type="cellIs" dxfId="29656" priority="2012" operator="greaterThan">
      <formula>1</formula>
    </cfRule>
  </conditionalFormatting>
  <conditionalFormatting sqref="R124 R127 R129 R131">
    <cfRule type="cellIs" dxfId="29655" priority="2009" operator="greaterThan">
      <formula>1</formula>
    </cfRule>
    <cfRule type="cellIs" dxfId="29654" priority="2010" operator="lessThan">
      <formula>0.8</formula>
    </cfRule>
  </conditionalFormatting>
  <conditionalFormatting sqref="P124 P127 P129 P131">
    <cfRule type="cellIs" dxfId="29653" priority="2008" operator="greaterThan">
      <formula>0</formula>
    </cfRule>
  </conditionalFormatting>
  <conditionalFormatting sqref="P124 P127 P129 P131">
    <cfRule type="cellIs" dxfId="29652" priority="2002" operator="greaterThan">
      <formula>0</formula>
    </cfRule>
  </conditionalFormatting>
  <conditionalFormatting sqref="Q124 Q127 Q129 Q131">
    <cfRule type="cellIs" dxfId="29651" priority="2007" operator="lessThan">
      <formula>0</formula>
    </cfRule>
  </conditionalFormatting>
  <conditionalFormatting sqref="R124 R127 R129 R131">
    <cfRule type="cellIs" dxfId="29650" priority="2005" operator="lessThan">
      <formula>0.8</formula>
    </cfRule>
    <cfRule type="cellIs" dxfId="29649" priority="2006" operator="greaterThan">
      <formula>1</formula>
    </cfRule>
  </conditionalFormatting>
  <conditionalFormatting sqref="R124 R127 R129 R131">
    <cfRule type="cellIs" dxfId="29648" priority="2003" operator="greaterThan">
      <formula>1</formula>
    </cfRule>
    <cfRule type="cellIs" dxfId="29647" priority="2004" operator="lessThan">
      <formula>0.8</formula>
    </cfRule>
  </conditionalFormatting>
  <conditionalFormatting sqref="P124 P127 P129 P131">
    <cfRule type="cellIs" dxfId="29646" priority="1996" operator="greaterThan">
      <formula>0</formula>
    </cfRule>
  </conditionalFormatting>
  <conditionalFormatting sqref="Q124 Q127 Q129 Q131">
    <cfRule type="cellIs" dxfId="29645" priority="2001" operator="lessThan">
      <formula>0</formula>
    </cfRule>
  </conditionalFormatting>
  <conditionalFormatting sqref="R124 R127 R129 R131">
    <cfRule type="cellIs" dxfId="29644" priority="1999" operator="lessThan">
      <formula>0.8</formula>
    </cfRule>
    <cfRule type="cellIs" dxfId="29643" priority="2000" operator="greaterThan">
      <formula>1</formula>
    </cfRule>
  </conditionalFormatting>
  <conditionalFormatting sqref="R124 R127 R129 R131">
    <cfRule type="cellIs" dxfId="29642" priority="1997" operator="greaterThan">
      <formula>1</formula>
    </cfRule>
    <cfRule type="cellIs" dxfId="29641" priority="1998" operator="lessThan">
      <formula>0.8</formula>
    </cfRule>
  </conditionalFormatting>
  <conditionalFormatting sqref="R124 R127 R129 R131">
    <cfRule type="cellIs" dxfId="29640" priority="1993" operator="lessThan">
      <formula>0.8</formula>
    </cfRule>
    <cfRule type="cellIs" dxfId="29639" priority="1994" operator="greaterThan">
      <formula>1</formula>
    </cfRule>
  </conditionalFormatting>
  <conditionalFormatting sqref="R124 R127 R129 R131">
    <cfRule type="cellIs" dxfId="29638" priority="1991" operator="greaterThan">
      <formula>1</formula>
    </cfRule>
    <cfRule type="cellIs" dxfId="29637" priority="1992" operator="lessThan">
      <formula>0.8</formula>
    </cfRule>
  </conditionalFormatting>
  <conditionalFormatting sqref="P124 P127 P129 P131">
    <cfRule type="cellIs" dxfId="29636" priority="1990" operator="greaterThan">
      <formula>0</formula>
    </cfRule>
  </conditionalFormatting>
  <conditionalFormatting sqref="Q124 Q127 Q129 Q131">
    <cfRule type="cellIs" dxfId="29635" priority="1995" operator="lessThan">
      <formula>0</formula>
    </cfRule>
  </conditionalFormatting>
  <conditionalFormatting sqref="P124 P127 P129 P131">
    <cfRule type="cellIs" dxfId="29634" priority="1984" operator="greaterThan">
      <formula>0</formula>
    </cfRule>
  </conditionalFormatting>
  <conditionalFormatting sqref="Q124 Q127 Q129 Q131">
    <cfRule type="cellIs" dxfId="29633" priority="1989" operator="lessThan">
      <formula>0</formula>
    </cfRule>
  </conditionalFormatting>
  <conditionalFormatting sqref="R124 R127 R129 R131">
    <cfRule type="cellIs" dxfId="29632" priority="1987" operator="lessThan">
      <formula>0.8</formula>
    </cfRule>
    <cfRule type="cellIs" dxfId="29631" priority="1988" operator="greaterThan">
      <formula>1</formula>
    </cfRule>
  </conditionalFormatting>
  <conditionalFormatting sqref="R124 R127 R129 R131">
    <cfRule type="cellIs" dxfId="29630" priority="1985" operator="greaterThan">
      <formula>1</formula>
    </cfRule>
    <cfRule type="cellIs" dxfId="29629" priority="1986" operator="lessThan">
      <formula>0.8</formula>
    </cfRule>
  </conditionalFormatting>
  <conditionalFormatting sqref="R124 R127 R129 R131">
    <cfRule type="cellIs" dxfId="29628" priority="1981" operator="lessThan">
      <formula>0.8</formula>
    </cfRule>
    <cfRule type="cellIs" dxfId="29627" priority="1982" operator="greaterThan">
      <formula>1</formula>
    </cfRule>
  </conditionalFormatting>
  <conditionalFormatting sqref="R124 R127 R129 R131">
    <cfRule type="cellIs" dxfId="29626" priority="1979" operator="greaterThan">
      <formula>1</formula>
    </cfRule>
    <cfRule type="cellIs" dxfId="29625" priority="1980" operator="lessThan">
      <formula>0.8</formula>
    </cfRule>
  </conditionalFormatting>
  <conditionalFormatting sqref="P124 P127 P129 P131">
    <cfRule type="cellIs" dxfId="29624" priority="1978" operator="greaterThan">
      <formula>0</formula>
    </cfRule>
  </conditionalFormatting>
  <conditionalFormatting sqref="Q124 Q127 Q129 Q131">
    <cfRule type="cellIs" dxfId="29623" priority="1983" operator="lessThan">
      <formula>0</formula>
    </cfRule>
  </conditionalFormatting>
  <conditionalFormatting sqref="R124 R127 R129 R131">
    <cfRule type="cellIs" dxfId="29622" priority="1975" operator="lessThan">
      <formula>0.8</formula>
    </cfRule>
    <cfRule type="cellIs" dxfId="29621" priority="1976" operator="greaterThan">
      <formula>1</formula>
    </cfRule>
  </conditionalFormatting>
  <conditionalFormatting sqref="R124 R127 R129 R131">
    <cfRule type="cellIs" dxfId="29620" priority="1973" operator="greaterThan">
      <formula>1</formula>
    </cfRule>
    <cfRule type="cellIs" dxfId="29619" priority="1974" operator="lessThan">
      <formula>0.8</formula>
    </cfRule>
  </conditionalFormatting>
  <conditionalFormatting sqref="P124 P127 P129 P131">
    <cfRule type="cellIs" dxfId="29618" priority="1972" operator="greaterThan">
      <formula>0</formula>
    </cfRule>
  </conditionalFormatting>
  <conditionalFormatting sqref="Q124 Q127 Q129 Q131">
    <cfRule type="cellIs" dxfId="29617" priority="1977" operator="lessThan">
      <formula>0</formula>
    </cfRule>
  </conditionalFormatting>
  <conditionalFormatting sqref="Q124 Q127 Q129 Q131">
    <cfRule type="cellIs" dxfId="29616" priority="1971" operator="lessThan">
      <formula>0</formula>
    </cfRule>
  </conditionalFormatting>
  <conditionalFormatting sqref="R124 R127 R129 R131">
    <cfRule type="cellIs" dxfId="29615" priority="1969" operator="lessThan">
      <formula>0.8</formula>
    </cfRule>
    <cfRule type="cellIs" dxfId="29614" priority="1970" operator="greaterThan">
      <formula>1</formula>
    </cfRule>
  </conditionalFormatting>
  <conditionalFormatting sqref="R124 R127 R129 R131">
    <cfRule type="cellIs" dxfId="29613" priority="1967" operator="greaterThan">
      <formula>1</formula>
    </cfRule>
    <cfRule type="cellIs" dxfId="29612" priority="1968" operator="lessThan">
      <formula>0.8</formula>
    </cfRule>
  </conditionalFormatting>
  <conditionalFormatting sqref="P124 P127 P129 P131">
    <cfRule type="cellIs" dxfId="29611" priority="1966" operator="greaterThan">
      <formula>0</formula>
    </cfRule>
  </conditionalFormatting>
  <conditionalFormatting sqref="Q124 Q127 Q129 Q131">
    <cfRule type="cellIs" dxfId="29610" priority="1960" operator="lessThan">
      <formula>0</formula>
    </cfRule>
  </conditionalFormatting>
  <conditionalFormatting sqref="R124 R127 R129 R131">
    <cfRule type="cellIs" dxfId="29609" priority="1964" operator="lessThan">
      <formula>0.8</formula>
    </cfRule>
    <cfRule type="cellIs" dxfId="29608" priority="1965" operator="greaterThan">
      <formula>1</formula>
    </cfRule>
  </conditionalFormatting>
  <conditionalFormatting sqref="R124 R127 R129 R131">
    <cfRule type="cellIs" dxfId="29607" priority="1962" operator="greaterThan">
      <formula>1</formula>
    </cfRule>
    <cfRule type="cellIs" dxfId="29606" priority="1963" operator="lessThan">
      <formula>0.8</formula>
    </cfRule>
  </conditionalFormatting>
  <conditionalFormatting sqref="P124 P127 P129 P131">
    <cfRule type="cellIs" dxfId="29605" priority="1961" operator="greaterThan">
      <formula>0</formula>
    </cfRule>
  </conditionalFormatting>
  <conditionalFormatting sqref="Q124 Q127 Q129 Q131">
    <cfRule type="cellIs" dxfId="29604" priority="1959" operator="lessThan">
      <formula>0</formula>
    </cfRule>
  </conditionalFormatting>
  <conditionalFormatting sqref="R124 R127 R129 R131">
    <cfRule type="cellIs" dxfId="29603" priority="1957" operator="lessThan">
      <formula>0.8</formula>
    </cfRule>
    <cfRule type="cellIs" dxfId="29602" priority="1958" operator="greaterThan">
      <formula>1</formula>
    </cfRule>
  </conditionalFormatting>
  <conditionalFormatting sqref="R124 R127 R129 R131">
    <cfRule type="cellIs" dxfId="29601" priority="1955" operator="greaterThan">
      <formula>1</formula>
    </cfRule>
    <cfRule type="cellIs" dxfId="29600" priority="1956" operator="lessThan">
      <formula>0.8</formula>
    </cfRule>
  </conditionalFormatting>
  <conditionalFormatting sqref="P124 P127 P129 P131">
    <cfRule type="cellIs" dxfId="29599" priority="1954" operator="greaterThan">
      <formula>0</formula>
    </cfRule>
  </conditionalFormatting>
  <conditionalFormatting sqref="Q124 Q127 Q129 Q131">
    <cfRule type="cellIs" dxfId="29598" priority="1953" operator="lessThan">
      <formula>0</formula>
    </cfRule>
  </conditionalFormatting>
  <conditionalFormatting sqref="R124 R127 R129 R131">
    <cfRule type="cellIs" dxfId="29597" priority="1951" operator="lessThan">
      <formula>0.8</formula>
    </cfRule>
    <cfRule type="cellIs" dxfId="29596" priority="1952" operator="greaterThan">
      <formula>1</formula>
    </cfRule>
  </conditionalFormatting>
  <conditionalFormatting sqref="R124 R127 R129 R131">
    <cfRule type="cellIs" dxfId="29595" priority="1949" operator="greaterThan">
      <formula>1</formula>
    </cfRule>
    <cfRule type="cellIs" dxfId="29594" priority="1950" operator="lessThan">
      <formula>0.8</formula>
    </cfRule>
  </conditionalFormatting>
  <conditionalFormatting sqref="P124 P127 P129 P131">
    <cfRule type="cellIs" dxfId="29593" priority="1948" operator="greaterThan">
      <formula>0</formula>
    </cfRule>
  </conditionalFormatting>
  <conditionalFormatting sqref="Q124 Q127 Q129 Q131">
    <cfRule type="cellIs" dxfId="29592" priority="1947" operator="lessThan">
      <formula>0</formula>
    </cfRule>
  </conditionalFormatting>
  <conditionalFormatting sqref="R124 R127 R129 R131">
    <cfRule type="cellIs" dxfId="29591" priority="1945" operator="lessThan">
      <formula>0.8</formula>
    </cfRule>
    <cfRule type="cellIs" dxfId="29590" priority="1946" operator="greaterThan">
      <formula>1</formula>
    </cfRule>
  </conditionalFormatting>
  <conditionalFormatting sqref="R124 R127 R129 R131">
    <cfRule type="cellIs" dxfId="29589" priority="1943" operator="greaterThan">
      <formula>1</formula>
    </cfRule>
    <cfRule type="cellIs" dxfId="29588" priority="1944" operator="lessThan">
      <formula>0.8</formula>
    </cfRule>
  </conditionalFormatting>
  <conditionalFormatting sqref="P124 P127 P129 P131">
    <cfRule type="cellIs" dxfId="29587" priority="1942" operator="greaterThan">
      <formula>0</formula>
    </cfRule>
  </conditionalFormatting>
  <conditionalFormatting sqref="Q124 Q127 Q129 Q131">
    <cfRule type="cellIs" dxfId="29586" priority="1941" operator="lessThan">
      <formula>0</formula>
    </cfRule>
  </conditionalFormatting>
  <conditionalFormatting sqref="R124 R127 R129 R131">
    <cfRule type="cellIs" dxfId="29585" priority="1939" operator="lessThan">
      <formula>0.8</formula>
    </cfRule>
    <cfRule type="cellIs" dxfId="29584" priority="1940" operator="greaterThan">
      <formula>1</formula>
    </cfRule>
  </conditionalFormatting>
  <conditionalFormatting sqref="R124 R127 R129 R131">
    <cfRule type="cellIs" dxfId="29583" priority="1937" operator="greaterThan">
      <formula>1</formula>
    </cfRule>
    <cfRule type="cellIs" dxfId="29582" priority="1938" operator="lessThan">
      <formula>0.8</formula>
    </cfRule>
  </conditionalFormatting>
  <conditionalFormatting sqref="P124 P127 P129 P131">
    <cfRule type="cellIs" dxfId="29581" priority="1936" operator="greaterThan">
      <formula>0</formula>
    </cfRule>
  </conditionalFormatting>
  <conditionalFormatting sqref="Q124 Q127 Q129 Q131">
    <cfRule type="cellIs" dxfId="29580" priority="1935" operator="lessThan">
      <formula>0</formula>
    </cfRule>
  </conditionalFormatting>
  <conditionalFormatting sqref="R124 R127 R129 R131">
    <cfRule type="cellIs" dxfId="29579" priority="1933" operator="lessThan">
      <formula>0.8</formula>
    </cfRule>
    <cfRule type="cellIs" dxfId="29578" priority="1934" operator="greaterThan">
      <formula>1</formula>
    </cfRule>
  </conditionalFormatting>
  <conditionalFormatting sqref="R124 R127 R129 R131">
    <cfRule type="cellIs" dxfId="29577" priority="1931" operator="greaterThan">
      <formula>1</formula>
    </cfRule>
    <cfRule type="cellIs" dxfId="29576" priority="1932" operator="lessThan">
      <formula>0.8</formula>
    </cfRule>
  </conditionalFormatting>
  <conditionalFormatting sqref="P124 P127 P129 P131">
    <cfRule type="cellIs" dxfId="29575" priority="1930" operator="greaterThan">
      <formula>0</formula>
    </cfRule>
  </conditionalFormatting>
  <conditionalFormatting sqref="P124 P127 P129 P131">
    <cfRule type="cellIs" dxfId="29574" priority="1924" operator="greaterThan">
      <formula>0</formula>
    </cfRule>
  </conditionalFormatting>
  <conditionalFormatting sqref="Q124 Q127 Q129 Q131">
    <cfRule type="cellIs" dxfId="29573" priority="1929" operator="lessThan">
      <formula>0</formula>
    </cfRule>
  </conditionalFormatting>
  <conditionalFormatting sqref="R124 R127 R129 R131">
    <cfRule type="cellIs" dxfId="29572" priority="1927" operator="lessThan">
      <formula>0.8</formula>
    </cfRule>
    <cfRule type="cellIs" dxfId="29571" priority="1928" operator="greaterThan">
      <formula>1</formula>
    </cfRule>
  </conditionalFormatting>
  <conditionalFormatting sqref="R124 R127 R129 R131">
    <cfRule type="cellIs" dxfId="29570" priority="1925" operator="greaterThan">
      <formula>1</formula>
    </cfRule>
    <cfRule type="cellIs" dxfId="29569" priority="1926" operator="lessThan">
      <formula>0.8</formula>
    </cfRule>
  </conditionalFormatting>
  <conditionalFormatting sqref="P124 P127 P129 P131">
    <cfRule type="cellIs" dxfId="29568" priority="1918" operator="greaterThan">
      <formula>0</formula>
    </cfRule>
  </conditionalFormatting>
  <conditionalFormatting sqref="Q124 Q127 Q129 Q131">
    <cfRule type="cellIs" dxfId="29567" priority="1923" operator="lessThan">
      <formula>0</formula>
    </cfRule>
  </conditionalFormatting>
  <conditionalFormatting sqref="R124 R127 R129 R131">
    <cfRule type="cellIs" dxfId="29566" priority="1921" operator="lessThan">
      <formula>0.8</formula>
    </cfRule>
    <cfRule type="cellIs" dxfId="29565" priority="1922" operator="greaterThan">
      <formula>1</formula>
    </cfRule>
  </conditionalFormatting>
  <conditionalFormatting sqref="R124 R127 R129 R131">
    <cfRule type="cellIs" dxfId="29564" priority="1919" operator="greaterThan">
      <formula>1</formula>
    </cfRule>
    <cfRule type="cellIs" dxfId="29563" priority="1920" operator="lessThan">
      <formula>0.8</formula>
    </cfRule>
  </conditionalFormatting>
  <conditionalFormatting sqref="R124 R127 R129 R131">
    <cfRule type="cellIs" dxfId="29562" priority="1915" operator="lessThan">
      <formula>0.8</formula>
    </cfRule>
    <cfRule type="cellIs" dxfId="29561" priority="1916" operator="greaterThan">
      <formula>1</formula>
    </cfRule>
  </conditionalFormatting>
  <conditionalFormatting sqref="R124 R127 R129 R131">
    <cfRule type="cellIs" dxfId="29560" priority="1913" operator="greaterThan">
      <formula>1</formula>
    </cfRule>
    <cfRule type="cellIs" dxfId="29559" priority="1914" operator="lessThan">
      <formula>0.8</formula>
    </cfRule>
  </conditionalFormatting>
  <conditionalFormatting sqref="P124 P127 P129 P131">
    <cfRule type="cellIs" dxfId="29558" priority="1912" operator="greaterThan">
      <formula>0</formula>
    </cfRule>
  </conditionalFormatting>
  <conditionalFormatting sqref="Q124 Q127 Q129 Q131">
    <cfRule type="cellIs" dxfId="29557" priority="1917" operator="lessThan">
      <formula>0</formula>
    </cfRule>
  </conditionalFormatting>
  <conditionalFormatting sqref="Q5:Q14">
    <cfRule type="cellIs" dxfId="29556" priority="1911" operator="lessThan">
      <formula>0</formula>
    </cfRule>
  </conditionalFormatting>
  <conditionalFormatting sqref="R5:R14">
    <cfRule type="cellIs" dxfId="29555" priority="1909" operator="lessThan">
      <formula>0.8</formula>
    </cfRule>
    <cfRule type="cellIs" dxfId="29554" priority="1910" operator="greaterThan">
      <formula>1</formula>
    </cfRule>
  </conditionalFormatting>
  <conditionalFormatting sqref="R5:R14">
    <cfRule type="cellIs" dxfId="29553" priority="1907" operator="greaterThan">
      <formula>1</formula>
    </cfRule>
    <cfRule type="cellIs" dxfId="29552" priority="1908" operator="lessThan">
      <formula>0.8</formula>
    </cfRule>
  </conditionalFormatting>
  <conditionalFormatting sqref="P5:P14">
    <cfRule type="cellIs" dxfId="29551" priority="1906" operator="greaterThan">
      <formula>0</formula>
    </cfRule>
  </conditionalFormatting>
  <conditionalFormatting sqref="Q83">
    <cfRule type="cellIs" dxfId="29550" priority="1905" operator="lessThan">
      <formula>0</formula>
    </cfRule>
  </conditionalFormatting>
  <conditionalFormatting sqref="R83">
    <cfRule type="cellIs" dxfId="29549" priority="1903" operator="lessThan">
      <formula>0.8</formula>
    </cfRule>
    <cfRule type="cellIs" dxfId="29548" priority="1904" operator="greaterThan">
      <formula>1</formula>
    </cfRule>
  </conditionalFormatting>
  <conditionalFormatting sqref="R83">
    <cfRule type="cellIs" dxfId="29547" priority="1901" operator="greaterThan">
      <formula>1</formula>
    </cfRule>
    <cfRule type="cellIs" dxfId="29546" priority="1902" operator="lessThan">
      <formula>0.8</formula>
    </cfRule>
  </conditionalFormatting>
  <conditionalFormatting sqref="P83">
    <cfRule type="cellIs" dxfId="29545" priority="1900" operator="greaterThan">
      <formula>0</formula>
    </cfRule>
  </conditionalFormatting>
  <conditionalFormatting sqref="Q83">
    <cfRule type="cellIs" dxfId="29544" priority="1899" operator="lessThan">
      <formula>0</formula>
    </cfRule>
  </conditionalFormatting>
  <conditionalFormatting sqref="R83">
    <cfRule type="cellIs" dxfId="29543" priority="1897" operator="lessThan">
      <formula>0.8</formula>
    </cfRule>
    <cfRule type="cellIs" dxfId="29542" priority="1898" operator="greaterThan">
      <formula>1</formula>
    </cfRule>
  </conditionalFormatting>
  <conditionalFormatting sqref="R83">
    <cfRule type="cellIs" dxfId="29541" priority="1895" operator="greaterThan">
      <formula>1</formula>
    </cfRule>
    <cfRule type="cellIs" dxfId="29540" priority="1896" operator="lessThan">
      <formula>0.8</formula>
    </cfRule>
  </conditionalFormatting>
  <conditionalFormatting sqref="P83">
    <cfRule type="cellIs" dxfId="29539" priority="1894" operator="greaterThan">
      <formula>0</formula>
    </cfRule>
  </conditionalFormatting>
  <conditionalFormatting sqref="Q83">
    <cfRule type="cellIs" dxfId="29538" priority="1893" operator="lessThan">
      <formula>0</formula>
    </cfRule>
  </conditionalFormatting>
  <conditionalFormatting sqref="R83">
    <cfRule type="cellIs" dxfId="29537" priority="1891" operator="lessThan">
      <formula>0.8</formula>
    </cfRule>
    <cfRule type="cellIs" dxfId="29536" priority="1892" operator="greaterThan">
      <formula>1</formula>
    </cfRule>
  </conditionalFormatting>
  <conditionalFormatting sqref="R83">
    <cfRule type="cellIs" dxfId="29535" priority="1889" operator="greaterThan">
      <formula>1</formula>
    </cfRule>
    <cfRule type="cellIs" dxfId="29534" priority="1890" operator="lessThan">
      <formula>0.8</formula>
    </cfRule>
  </conditionalFormatting>
  <conditionalFormatting sqref="P83">
    <cfRule type="cellIs" dxfId="29533" priority="1888" operator="greaterThan">
      <formula>0</formula>
    </cfRule>
  </conditionalFormatting>
  <conditionalFormatting sqref="Q83">
    <cfRule type="cellIs" dxfId="29532" priority="1887" operator="lessThan">
      <formula>0</formula>
    </cfRule>
  </conditionalFormatting>
  <conditionalFormatting sqref="R83">
    <cfRule type="cellIs" dxfId="29531" priority="1885" operator="lessThan">
      <formula>0.8</formula>
    </cfRule>
    <cfRule type="cellIs" dxfId="29530" priority="1886" operator="greaterThan">
      <formula>1</formula>
    </cfRule>
  </conditionalFormatting>
  <conditionalFormatting sqref="R83">
    <cfRule type="cellIs" dxfId="29529" priority="1883" operator="greaterThan">
      <formula>1</formula>
    </cfRule>
    <cfRule type="cellIs" dxfId="29528" priority="1884" operator="lessThan">
      <formula>0.8</formula>
    </cfRule>
  </conditionalFormatting>
  <conditionalFormatting sqref="P83">
    <cfRule type="cellIs" dxfId="29527" priority="1882" operator="greaterThan">
      <formula>0</formula>
    </cfRule>
  </conditionalFormatting>
  <conditionalFormatting sqref="P83">
    <cfRule type="cellIs" dxfId="29526" priority="1876" operator="greaterThan">
      <formula>0</formula>
    </cfRule>
  </conditionalFormatting>
  <conditionalFormatting sqref="Q83">
    <cfRule type="cellIs" dxfId="29525" priority="1881" operator="lessThan">
      <formula>0</formula>
    </cfRule>
  </conditionalFormatting>
  <conditionalFormatting sqref="R83">
    <cfRule type="cellIs" dxfId="29524" priority="1879" operator="lessThan">
      <formula>0.8</formula>
    </cfRule>
    <cfRule type="cellIs" dxfId="29523" priority="1880" operator="greaterThan">
      <formula>1</formula>
    </cfRule>
  </conditionalFormatting>
  <conditionalFormatting sqref="R83">
    <cfRule type="cellIs" dxfId="29522" priority="1877" operator="greaterThan">
      <formula>1</formula>
    </cfRule>
    <cfRule type="cellIs" dxfId="29521" priority="1878" operator="lessThan">
      <formula>0.8</formula>
    </cfRule>
  </conditionalFormatting>
  <conditionalFormatting sqref="P83">
    <cfRule type="cellIs" dxfId="29520" priority="1870" operator="greaterThan">
      <formula>0</formula>
    </cfRule>
  </conditionalFormatting>
  <conditionalFormatting sqref="Q83">
    <cfRule type="cellIs" dxfId="29519" priority="1875" operator="lessThan">
      <formula>0</formula>
    </cfRule>
  </conditionalFormatting>
  <conditionalFormatting sqref="R83">
    <cfRule type="cellIs" dxfId="29518" priority="1873" operator="lessThan">
      <formula>0.8</formula>
    </cfRule>
    <cfRule type="cellIs" dxfId="29517" priority="1874" operator="greaterThan">
      <formula>1</formula>
    </cfRule>
  </conditionalFormatting>
  <conditionalFormatting sqref="R83">
    <cfRule type="cellIs" dxfId="29516" priority="1871" operator="greaterThan">
      <formula>1</formula>
    </cfRule>
    <cfRule type="cellIs" dxfId="29515" priority="1872" operator="lessThan">
      <formula>0.8</formula>
    </cfRule>
  </conditionalFormatting>
  <conditionalFormatting sqref="R83">
    <cfRule type="cellIs" dxfId="29514" priority="1867" operator="lessThan">
      <formula>0.8</formula>
    </cfRule>
    <cfRule type="cellIs" dxfId="29513" priority="1868" operator="greaterThan">
      <formula>1</formula>
    </cfRule>
  </conditionalFormatting>
  <conditionalFormatting sqref="R83">
    <cfRule type="cellIs" dxfId="29512" priority="1865" operator="greaterThan">
      <formula>1</formula>
    </cfRule>
    <cfRule type="cellIs" dxfId="29511" priority="1866" operator="lessThan">
      <formula>0.8</formula>
    </cfRule>
  </conditionalFormatting>
  <conditionalFormatting sqref="P83">
    <cfRule type="cellIs" dxfId="29510" priority="1864" operator="greaterThan">
      <formula>0</formula>
    </cfRule>
  </conditionalFormatting>
  <conditionalFormatting sqref="Q83">
    <cfRule type="cellIs" dxfId="29509" priority="1869" operator="lessThan">
      <formula>0</formula>
    </cfRule>
  </conditionalFormatting>
  <conditionalFormatting sqref="Q83">
    <cfRule type="cellIs" dxfId="29508" priority="1863" operator="lessThan">
      <formula>0</formula>
    </cfRule>
  </conditionalFormatting>
  <conditionalFormatting sqref="R83">
    <cfRule type="cellIs" dxfId="29507" priority="1861" operator="lessThan">
      <formula>0.8</formula>
    </cfRule>
    <cfRule type="cellIs" dxfId="29506" priority="1862" operator="greaterThan">
      <formula>1</formula>
    </cfRule>
  </conditionalFormatting>
  <conditionalFormatting sqref="R83">
    <cfRule type="cellIs" dxfId="29505" priority="1859" operator="greaterThan">
      <formula>1</formula>
    </cfRule>
    <cfRule type="cellIs" dxfId="29504" priority="1860" operator="lessThan">
      <formula>0.8</formula>
    </cfRule>
  </conditionalFormatting>
  <conditionalFormatting sqref="P83">
    <cfRule type="cellIs" dxfId="29503" priority="1858" operator="greaterThan">
      <formula>0</formula>
    </cfRule>
  </conditionalFormatting>
  <conditionalFormatting sqref="P83">
    <cfRule type="cellIs" dxfId="29502" priority="1852" operator="greaterThan">
      <formula>0</formula>
    </cfRule>
  </conditionalFormatting>
  <conditionalFormatting sqref="Q83">
    <cfRule type="cellIs" dxfId="29501" priority="1857" operator="lessThan">
      <formula>0</formula>
    </cfRule>
  </conditionalFormatting>
  <conditionalFormatting sqref="R83">
    <cfRule type="cellIs" dxfId="29500" priority="1855" operator="lessThan">
      <formula>0.8</formula>
    </cfRule>
    <cfRule type="cellIs" dxfId="29499" priority="1856" operator="greaterThan">
      <formula>1</formula>
    </cfRule>
  </conditionalFormatting>
  <conditionalFormatting sqref="R83">
    <cfRule type="cellIs" dxfId="29498" priority="1853" operator="greaterThan">
      <formula>1</formula>
    </cfRule>
    <cfRule type="cellIs" dxfId="29497" priority="1854" operator="lessThan">
      <formula>0.8</formula>
    </cfRule>
  </conditionalFormatting>
  <conditionalFormatting sqref="P83">
    <cfRule type="cellIs" dxfId="29496" priority="1846" operator="greaterThan">
      <formula>0</formula>
    </cfRule>
  </conditionalFormatting>
  <conditionalFormatting sqref="Q83">
    <cfRule type="cellIs" dxfId="29495" priority="1851" operator="lessThan">
      <formula>0</formula>
    </cfRule>
  </conditionalFormatting>
  <conditionalFormatting sqref="R83">
    <cfRule type="cellIs" dxfId="29494" priority="1849" operator="lessThan">
      <formula>0.8</formula>
    </cfRule>
    <cfRule type="cellIs" dxfId="29493" priority="1850" operator="greaterThan">
      <formula>1</formula>
    </cfRule>
  </conditionalFormatting>
  <conditionalFormatting sqref="R83">
    <cfRule type="cellIs" dxfId="29492" priority="1847" operator="greaterThan">
      <formula>1</formula>
    </cfRule>
    <cfRule type="cellIs" dxfId="29491" priority="1848" operator="lessThan">
      <formula>0.8</formula>
    </cfRule>
  </conditionalFormatting>
  <conditionalFormatting sqref="R83">
    <cfRule type="cellIs" dxfId="29490" priority="1843" operator="lessThan">
      <formula>0.8</formula>
    </cfRule>
    <cfRule type="cellIs" dxfId="29489" priority="1844" operator="greaterThan">
      <formula>1</formula>
    </cfRule>
  </conditionalFormatting>
  <conditionalFormatting sqref="R83">
    <cfRule type="cellIs" dxfId="29488" priority="1841" operator="greaterThan">
      <formula>1</formula>
    </cfRule>
    <cfRule type="cellIs" dxfId="29487" priority="1842" operator="lessThan">
      <formula>0.8</formula>
    </cfRule>
  </conditionalFormatting>
  <conditionalFormatting sqref="P83">
    <cfRule type="cellIs" dxfId="29486" priority="1840" operator="greaterThan">
      <formula>0</formula>
    </cfRule>
  </conditionalFormatting>
  <conditionalFormatting sqref="Q83">
    <cfRule type="cellIs" dxfId="29485" priority="1845" operator="lessThan">
      <formula>0</formula>
    </cfRule>
  </conditionalFormatting>
  <conditionalFormatting sqref="P83">
    <cfRule type="cellIs" dxfId="29484" priority="1834" operator="greaterThan">
      <formula>0</formula>
    </cfRule>
  </conditionalFormatting>
  <conditionalFormatting sqref="Q83">
    <cfRule type="cellIs" dxfId="29483" priority="1839" operator="lessThan">
      <formula>0</formula>
    </cfRule>
  </conditionalFormatting>
  <conditionalFormatting sqref="R83">
    <cfRule type="cellIs" dxfId="29482" priority="1837" operator="lessThan">
      <formula>0.8</formula>
    </cfRule>
    <cfRule type="cellIs" dxfId="29481" priority="1838" operator="greaterThan">
      <formula>1</formula>
    </cfRule>
  </conditionalFormatting>
  <conditionalFormatting sqref="R83">
    <cfRule type="cellIs" dxfId="29480" priority="1835" operator="greaterThan">
      <formula>1</formula>
    </cfRule>
    <cfRule type="cellIs" dxfId="29479" priority="1836" operator="lessThan">
      <formula>0.8</formula>
    </cfRule>
  </conditionalFormatting>
  <conditionalFormatting sqref="R83">
    <cfRule type="cellIs" dxfId="29478" priority="1831" operator="lessThan">
      <formula>0.8</formula>
    </cfRule>
    <cfRule type="cellIs" dxfId="29477" priority="1832" operator="greaterThan">
      <formula>1</formula>
    </cfRule>
  </conditionalFormatting>
  <conditionalFormatting sqref="R83">
    <cfRule type="cellIs" dxfId="29476" priority="1829" operator="greaterThan">
      <formula>1</formula>
    </cfRule>
    <cfRule type="cellIs" dxfId="29475" priority="1830" operator="lessThan">
      <formula>0.8</formula>
    </cfRule>
  </conditionalFormatting>
  <conditionalFormatting sqref="P83">
    <cfRule type="cellIs" dxfId="29474" priority="1828" operator="greaterThan">
      <formula>0</formula>
    </cfRule>
  </conditionalFormatting>
  <conditionalFormatting sqref="Q83">
    <cfRule type="cellIs" dxfId="29473" priority="1833" operator="lessThan">
      <formula>0</formula>
    </cfRule>
  </conditionalFormatting>
  <conditionalFormatting sqref="R83">
    <cfRule type="cellIs" dxfId="29472" priority="1825" operator="lessThan">
      <formula>0.8</formula>
    </cfRule>
    <cfRule type="cellIs" dxfId="29471" priority="1826" operator="greaterThan">
      <formula>1</formula>
    </cfRule>
  </conditionalFormatting>
  <conditionalFormatting sqref="R83">
    <cfRule type="cellIs" dxfId="29470" priority="1823" operator="greaterThan">
      <formula>1</formula>
    </cfRule>
    <cfRule type="cellIs" dxfId="29469" priority="1824" operator="lessThan">
      <formula>0.8</formula>
    </cfRule>
  </conditionalFormatting>
  <conditionalFormatting sqref="P83">
    <cfRule type="cellIs" dxfId="29468" priority="1822" operator="greaterThan">
      <formula>0</formula>
    </cfRule>
  </conditionalFormatting>
  <conditionalFormatting sqref="Q83">
    <cfRule type="cellIs" dxfId="29467" priority="1827" operator="lessThan">
      <formula>0</formula>
    </cfRule>
  </conditionalFormatting>
  <conditionalFormatting sqref="Q83">
    <cfRule type="cellIs" dxfId="29466" priority="1821" operator="lessThan">
      <formula>0</formula>
    </cfRule>
  </conditionalFormatting>
  <conditionalFormatting sqref="R83">
    <cfRule type="cellIs" dxfId="29465" priority="1819" operator="lessThan">
      <formula>0.8</formula>
    </cfRule>
    <cfRule type="cellIs" dxfId="29464" priority="1820" operator="greaterThan">
      <formula>1</formula>
    </cfRule>
  </conditionalFormatting>
  <conditionalFormatting sqref="R83">
    <cfRule type="cellIs" dxfId="29463" priority="1817" operator="greaterThan">
      <formula>1</formula>
    </cfRule>
    <cfRule type="cellIs" dxfId="29462" priority="1818" operator="lessThan">
      <formula>0.8</formula>
    </cfRule>
  </conditionalFormatting>
  <conditionalFormatting sqref="P83">
    <cfRule type="cellIs" dxfId="29461" priority="1816" operator="greaterThan">
      <formula>0</formula>
    </cfRule>
  </conditionalFormatting>
  <conditionalFormatting sqref="Q83">
    <cfRule type="cellIs" dxfId="29460" priority="1810" operator="lessThan">
      <formula>0</formula>
    </cfRule>
  </conditionalFormatting>
  <conditionalFormatting sqref="R83">
    <cfRule type="cellIs" dxfId="29459" priority="1814" operator="lessThan">
      <formula>0.8</formula>
    </cfRule>
    <cfRule type="cellIs" dxfId="29458" priority="1815" operator="greaterThan">
      <formula>1</formula>
    </cfRule>
  </conditionalFormatting>
  <conditionalFormatting sqref="R83">
    <cfRule type="cellIs" dxfId="29457" priority="1812" operator="greaterThan">
      <formula>1</formula>
    </cfRule>
    <cfRule type="cellIs" dxfId="29456" priority="1813" operator="lessThan">
      <formula>0.8</formula>
    </cfRule>
  </conditionalFormatting>
  <conditionalFormatting sqref="P83">
    <cfRule type="cellIs" dxfId="29455" priority="1811" operator="greaterThan">
      <formula>0</formula>
    </cfRule>
  </conditionalFormatting>
  <conditionalFormatting sqref="Q83">
    <cfRule type="cellIs" dxfId="29454" priority="1809" operator="lessThan">
      <formula>0</formula>
    </cfRule>
  </conditionalFormatting>
  <conditionalFormatting sqref="R83">
    <cfRule type="cellIs" dxfId="29453" priority="1807" operator="lessThan">
      <formula>0.8</formula>
    </cfRule>
    <cfRule type="cellIs" dxfId="29452" priority="1808" operator="greaterThan">
      <formula>1</formula>
    </cfRule>
  </conditionalFormatting>
  <conditionalFormatting sqref="R83">
    <cfRule type="cellIs" dxfId="29451" priority="1805" operator="greaterThan">
      <formula>1</formula>
    </cfRule>
    <cfRule type="cellIs" dxfId="29450" priority="1806" operator="lessThan">
      <formula>0.8</formula>
    </cfRule>
  </conditionalFormatting>
  <conditionalFormatting sqref="P83">
    <cfRule type="cellIs" dxfId="29449" priority="1804" operator="greaterThan">
      <formula>0</formula>
    </cfRule>
  </conditionalFormatting>
  <conditionalFormatting sqref="Q83">
    <cfRule type="cellIs" dxfId="29448" priority="1803" operator="lessThan">
      <formula>0</formula>
    </cfRule>
  </conditionalFormatting>
  <conditionalFormatting sqref="R83">
    <cfRule type="cellIs" dxfId="29447" priority="1801" operator="lessThan">
      <formula>0.8</formula>
    </cfRule>
    <cfRule type="cellIs" dxfId="29446" priority="1802" operator="greaterThan">
      <formula>1</formula>
    </cfRule>
  </conditionalFormatting>
  <conditionalFormatting sqref="R83">
    <cfRule type="cellIs" dxfId="29445" priority="1799" operator="greaterThan">
      <formula>1</formula>
    </cfRule>
    <cfRule type="cellIs" dxfId="29444" priority="1800" operator="lessThan">
      <formula>0.8</formula>
    </cfRule>
  </conditionalFormatting>
  <conditionalFormatting sqref="P83">
    <cfRule type="cellIs" dxfId="29443" priority="1798" operator="greaterThan">
      <formula>0</formula>
    </cfRule>
  </conditionalFormatting>
  <conditionalFormatting sqref="Q83">
    <cfRule type="cellIs" dxfId="29442" priority="1797" operator="lessThan">
      <formula>0</formula>
    </cfRule>
  </conditionalFormatting>
  <conditionalFormatting sqref="R83">
    <cfRule type="cellIs" dxfId="29441" priority="1795" operator="lessThan">
      <formula>0.8</formula>
    </cfRule>
    <cfRule type="cellIs" dxfId="29440" priority="1796" operator="greaterThan">
      <formula>1</formula>
    </cfRule>
  </conditionalFormatting>
  <conditionalFormatting sqref="R83">
    <cfRule type="cellIs" dxfId="29439" priority="1793" operator="greaterThan">
      <formula>1</formula>
    </cfRule>
    <cfRule type="cellIs" dxfId="29438" priority="1794" operator="lessThan">
      <formula>0.8</formula>
    </cfRule>
  </conditionalFormatting>
  <conditionalFormatting sqref="P83">
    <cfRule type="cellIs" dxfId="29437" priority="1792" operator="greaterThan">
      <formula>0</formula>
    </cfRule>
  </conditionalFormatting>
  <conditionalFormatting sqref="Q83">
    <cfRule type="cellIs" dxfId="29436" priority="1791" operator="lessThan">
      <formula>0</formula>
    </cfRule>
  </conditionalFormatting>
  <conditionalFormatting sqref="R83">
    <cfRule type="cellIs" dxfId="29435" priority="1789" operator="lessThan">
      <formula>0.8</formula>
    </cfRule>
    <cfRule type="cellIs" dxfId="29434" priority="1790" operator="greaterThan">
      <formula>1</formula>
    </cfRule>
  </conditionalFormatting>
  <conditionalFormatting sqref="R83">
    <cfRule type="cellIs" dxfId="29433" priority="1787" operator="greaterThan">
      <formula>1</formula>
    </cfRule>
    <cfRule type="cellIs" dxfId="29432" priority="1788" operator="lessThan">
      <formula>0.8</formula>
    </cfRule>
  </conditionalFormatting>
  <conditionalFormatting sqref="P83">
    <cfRule type="cellIs" dxfId="29431" priority="1786" operator="greaterThan">
      <formula>0</formula>
    </cfRule>
  </conditionalFormatting>
  <conditionalFormatting sqref="Q83">
    <cfRule type="cellIs" dxfId="29430" priority="1785" operator="lessThan">
      <formula>0</formula>
    </cfRule>
  </conditionalFormatting>
  <conditionalFormatting sqref="R83">
    <cfRule type="cellIs" dxfId="29429" priority="1783" operator="lessThan">
      <formula>0.8</formula>
    </cfRule>
    <cfRule type="cellIs" dxfId="29428" priority="1784" operator="greaterThan">
      <formula>1</formula>
    </cfRule>
  </conditionalFormatting>
  <conditionalFormatting sqref="R83">
    <cfRule type="cellIs" dxfId="29427" priority="1781" operator="greaterThan">
      <formula>1</formula>
    </cfRule>
    <cfRule type="cellIs" dxfId="29426" priority="1782" operator="lessThan">
      <formula>0.8</formula>
    </cfRule>
  </conditionalFormatting>
  <conditionalFormatting sqref="P83">
    <cfRule type="cellIs" dxfId="29425" priority="1780" operator="greaterThan">
      <formula>0</formula>
    </cfRule>
  </conditionalFormatting>
  <conditionalFormatting sqref="P83">
    <cfRule type="cellIs" dxfId="29424" priority="1774" operator="greaterThan">
      <formula>0</formula>
    </cfRule>
  </conditionalFormatting>
  <conditionalFormatting sqref="Q83">
    <cfRule type="cellIs" dxfId="29423" priority="1779" operator="lessThan">
      <formula>0</formula>
    </cfRule>
  </conditionalFormatting>
  <conditionalFormatting sqref="R83">
    <cfRule type="cellIs" dxfId="29422" priority="1777" operator="lessThan">
      <formula>0.8</formula>
    </cfRule>
    <cfRule type="cellIs" dxfId="29421" priority="1778" operator="greaterThan">
      <formula>1</formula>
    </cfRule>
  </conditionalFormatting>
  <conditionalFormatting sqref="R83">
    <cfRule type="cellIs" dxfId="29420" priority="1775" operator="greaterThan">
      <formula>1</formula>
    </cfRule>
    <cfRule type="cellIs" dxfId="29419" priority="1776" operator="lessThan">
      <formula>0.8</formula>
    </cfRule>
  </conditionalFormatting>
  <conditionalFormatting sqref="P83">
    <cfRule type="cellIs" dxfId="29418" priority="1768" operator="greaterThan">
      <formula>0</formula>
    </cfRule>
  </conditionalFormatting>
  <conditionalFormatting sqref="Q83">
    <cfRule type="cellIs" dxfId="29417" priority="1773" operator="lessThan">
      <formula>0</formula>
    </cfRule>
  </conditionalFormatting>
  <conditionalFormatting sqref="R83">
    <cfRule type="cellIs" dxfId="29416" priority="1771" operator="lessThan">
      <formula>0.8</formula>
    </cfRule>
    <cfRule type="cellIs" dxfId="29415" priority="1772" operator="greaterThan">
      <formula>1</formula>
    </cfRule>
  </conditionalFormatting>
  <conditionalFormatting sqref="R83">
    <cfRule type="cellIs" dxfId="29414" priority="1769" operator="greaterThan">
      <formula>1</formula>
    </cfRule>
    <cfRule type="cellIs" dxfId="29413" priority="1770" operator="lessThan">
      <formula>0.8</formula>
    </cfRule>
  </conditionalFormatting>
  <conditionalFormatting sqref="R83">
    <cfRule type="cellIs" dxfId="29412" priority="1765" operator="lessThan">
      <formula>0.8</formula>
    </cfRule>
    <cfRule type="cellIs" dxfId="29411" priority="1766" operator="greaterThan">
      <formula>1</formula>
    </cfRule>
  </conditionalFormatting>
  <conditionalFormatting sqref="R83">
    <cfRule type="cellIs" dxfId="29410" priority="1763" operator="greaterThan">
      <formula>1</formula>
    </cfRule>
    <cfRule type="cellIs" dxfId="29409" priority="1764" operator="lessThan">
      <formula>0.8</formula>
    </cfRule>
  </conditionalFormatting>
  <conditionalFormatting sqref="P83">
    <cfRule type="cellIs" dxfId="29408" priority="1762" operator="greaterThan">
      <formula>0</formula>
    </cfRule>
  </conditionalFormatting>
  <conditionalFormatting sqref="Q83">
    <cfRule type="cellIs" dxfId="29407" priority="1767" operator="lessThan">
      <formula>0</formula>
    </cfRule>
  </conditionalFormatting>
  <conditionalFormatting sqref="Q83">
    <cfRule type="cellIs" dxfId="29406" priority="1756" operator="lessThan">
      <formula>0</formula>
    </cfRule>
  </conditionalFormatting>
  <conditionalFormatting sqref="P83">
    <cfRule type="cellIs" dxfId="29405" priority="1757" operator="greaterThan">
      <formula>0</formula>
    </cfRule>
  </conditionalFormatting>
  <conditionalFormatting sqref="R83">
    <cfRule type="cellIs" dxfId="29404" priority="1760" operator="lessThan">
      <formula>0.8</formula>
    </cfRule>
    <cfRule type="cellIs" dxfId="29403" priority="1761" operator="greaterThan">
      <formula>1</formula>
    </cfRule>
  </conditionalFormatting>
  <conditionalFormatting sqref="R83">
    <cfRule type="cellIs" dxfId="29402" priority="1758" operator="greaterThan">
      <formula>1</formula>
    </cfRule>
    <cfRule type="cellIs" dxfId="29401" priority="1759" operator="lessThan">
      <formula>0.8</formula>
    </cfRule>
  </conditionalFormatting>
  <conditionalFormatting sqref="Q83">
    <cfRule type="cellIs" dxfId="29400" priority="1750" operator="lessThan">
      <formula>0</formula>
    </cfRule>
  </conditionalFormatting>
  <conditionalFormatting sqref="R83">
    <cfRule type="cellIs" dxfId="29399" priority="1754" operator="lessThan">
      <formula>0.8</formula>
    </cfRule>
    <cfRule type="cellIs" dxfId="29398" priority="1755" operator="greaterThan">
      <formula>1</formula>
    </cfRule>
  </conditionalFormatting>
  <conditionalFormatting sqref="R83">
    <cfRule type="cellIs" dxfId="29397" priority="1752" operator="greaterThan">
      <formula>1</formula>
    </cfRule>
    <cfRule type="cellIs" dxfId="29396" priority="1753" operator="lessThan">
      <formula>0.8</formula>
    </cfRule>
  </conditionalFormatting>
  <conditionalFormatting sqref="P83">
    <cfRule type="cellIs" dxfId="29395" priority="1751" operator="greaterThan">
      <formula>0</formula>
    </cfRule>
  </conditionalFormatting>
  <conditionalFormatting sqref="Q83">
    <cfRule type="cellIs" dxfId="29394" priority="1749" operator="lessThan">
      <formula>0</formula>
    </cfRule>
  </conditionalFormatting>
  <conditionalFormatting sqref="R83">
    <cfRule type="cellIs" dxfId="29393" priority="1747" operator="lessThan">
      <formula>0.8</formula>
    </cfRule>
    <cfRule type="cellIs" dxfId="29392" priority="1748" operator="greaterThan">
      <formula>1</formula>
    </cfRule>
  </conditionalFormatting>
  <conditionalFormatting sqref="R83">
    <cfRule type="cellIs" dxfId="29391" priority="1745" operator="greaterThan">
      <formula>1</formula>
    </cfRule>
    <cfRule type="cellIs" dxfId="29390" priority="1746" operator="lessThan">
      <formula>0.8</formula>
    </cfRule>
  </conditionalFormatting>
  <conditionalFormatting sqref="P83">
    <cfRule type="cellIs" dxfId="29389" priority="1744" operator="greaterThan">
      <formula>0</formula>
    </cfRule>
  </conditionalFormatting>
  <conditionalFormatting sqref="Q83">
    <cfRule type="cellIs" dxfId="29388" priority="1743" operator="lessThan">
      <formula>0</formula>
    </cfRule>
  </conditionalFormatting>
  <conditionalFormatting sqref="R83">
    <cfRule type="cellIs" dxfId="29387" priority="1741" operator="lessThan">
      <formula>0.8</formula>
    </cfRule>
    <cfRule type="cellIs" dxfId="29386" priority="1742" operator="greaterThan">
      <formula>1</formula>
    </cfRule>
  </conditionalFormatting>
  <conditionalFormatting sqref="R83">
    <cfRule type="cellIs" dxfId="29385" priority="1739" operator="greaterThan">
      <formula>1</formula>
    </cfRule>
    <cfRule type="cellIs" dxfId="29384" priority="1740" operator="lessThan">
      <formula>0.8</formula>
    </cfRule>
  </conditionalFormatting>
  <conditionalFormatting sqref="P83">
    <cfRule type="cellIs" dxfId="29383" priority="1738" operator="greaterThan">
      <formula>0</formula>
    </cfRule>
  </conditionalFormatting>
  <conditionalFormatting sqref="Q83">
    <cfRule type="cellIs" dxfId="29382" priority="1737" operator="lessThan">
      <formula>0</formula>
    </cfRule>
  </conditionalFormatting>
  <conditionalFormatting sqref="R83">
    <cfRule type="cellIs" dxfId="29381" priority="1735" operator="lessThan">
      <formula>0.8</formula>
    </cfRule>
    <cfRule type="cellIs" dxfId="29380" priority="1736" operator="greaterThan">
      <formula>1</formula>
    </cfRule>
  </conditionalFormatting>
  <conditionalFormatting sqref="R83">
    <cfRule type="cellIs" dxfId="29379" priority="1733" operator="greaterThan">
      <formula>1</formula>
    </cfRule>
    <cfRule type="cellIs" dxfId="29378" priority="1734" operator="lessThan">
      <formula>0.8</formula>
    </cfRule>
  </conditionalFormatting>
  <conditionalFormatting sqref="P83">
    <cfRule type="cellIs" dxfId="29377" priority="1732" operator="greaterThan">
      <formula>0</formula>
    </cfRule>
  </conditionalFormatting>
  <conditionalFormatting sqref="Q32:Q39">
    <cfRule type="cellIs" dxfId="29376" priority="1726" operator="lessThan">
      <formula>0</formula>
    </cfRule>
  </conditionalFormatting>
  <conditionalFormatting sqref="P32:P39">
    <cfRule type="cellIs" dxfId="29375" priority="1727" operator="greaterThan">
      <formula>0</formula>
    </cfRule>
  </conditionalFormatting>
  <conditionalFormatting sqref="R32:R39">
    <cfRule type="cellIs" dxfId="29374" priority="1730" operator="lessThan">
      <formula>0.8</formula>
    </cfRule>
    <cfRule type="cellIs" dxfId="29373" priority="1731" operator="greaterThan">
      <formula>1</formula>
    </cfRule>
  </conditionalFormatting>
  <conditionalFormatting sqref="R32:R39">
    <cfRule type="cellIs" dxfId="29372" priority="1728" operator="greaterThan">
      <formula>1</formula>
    </cfRule>
    <cfRule type="cellIs" dxfId="29371" priority="1729" operator="lessThan">
      <formula>0.8</formula>
    </cfRule>
  </conditionalFormatting>
  <conditionalFormatting sqref="Q32:Q39">
    <cfRule type="cellIs" dxfId="29370" priority="1720" operator="lessThan">
      <formula>0</formula>
    </cfRule>
  </conditionalFormatting>
  <conditionalFormatting sqref="R32:R39">
    <cfRule type="cellIs" dxfId="29369" priority="1724" operator="lessThan">
      <formula>0.8</formula>
    </cfRule>
    <cfRule type="cellIs" dxfId="29368" priority="1725" operator="greaterThan">
      <formula>1</formula>
    </cfRule>
  </conditionalFormatting>
  <conditionalFormatting sqref="R32:R39">
    <cfRule type="cellIs" dxfId="29367" priority="1722" operator="greaterThan">
      <formula>1</formula>
    </cfRule>
    <cfRule type="cellIs" dxfId="29366" priority="1723" operator="lessThan">
      <formula>0.8</formula>
    </cfRule>
  </conditionalFormatting>
  <conditionalFormatting sqref="P32:P39">
    <cfRule type="cellIs" dxfId="29365" priority="1721" operator="greaterThan">
      <formula>0</formula>
    </cfRule>
  </conditionalFormatting>
  <conditionalFormatting sqref="Q32:Q39">
    <cfRule type="cellIs" dxfId="29364" priority="1719" operator="lessThan">
      <formula>0</formula>
    </cfRule>
  </conditionalFormatting>
  <conditionalFormatting sqref="R32:R39">
    <cfRule type="cellIs" dxfId="29363" priority="1717" operator="lessThan">
      <formula>0.8</formula>
    </cfRule>
    <cfRule type="cellIs" dxfId="29362" priority="1718" operator="greaterThan">
      <formula>1</formula>
    </cfRule>
  </conditionalFormatting>
  <conditionalFormatting sqref="R32:R39">
    <cfRule type="cellIs" dxfId="29361" priority="1715" operator="greaterThan">
      <formula>1</formula>
    </cfRule>
    <cfRule type="cellIs" dxfId="29360" priority="1716" operator="lessThan">
      <formula>0.8</formula>
    </cfRule>
  </conditionalFormatting>
  <conditionalFormatting sqref="P32:P39">
    <cfRule type="cellIs" dxfId="29359" priority="1714" operator="greaterThan">
      <formula>0</formula>
    </cfRule>
  </conditionalFormatting>
  <conditionalFormatting sqref="Q32:Q39">
    <cfRule type="cellIs" dxfId="29358" priority="1713" operator="lessThan">
      <formula>0</formula>
    </cfRule>
  </conditionalFormatting>
  <conditionalFormatting sqref="R32:R39">
    <cfRule type="cellIs" dxfId="29357" priority="1711" operator="lessThan">
      <formula>0.8</formula>
    </cfRule>
    <cfRule type="cellIs" dxfId="29356" priority="1712" operator="greaterThan">
      <formula>1</formula>
    </cfRule>
  </conditionalFormatting>
  <conditionalFormatting sqref="R32:R39">
    <cfRule type="cellIs" dxfId="29355" priority="1709" operator="greaterThan">
      <formula>1</formula>
    </cfRule>
    <cfRule type="cellIs" dxfId="29354" priority="1710" operator="lessThan">
      <formula>0.8</formula>
    </cfRule>
  </conditionalFormatting>
  <conditionalFormatting sqref="P32:P39">
    <cfRule type="cellIs" dxfId="29353" priority="1708" operator="greaterThan">
      <formula>0</formula>
    </cfRule>
  </conditionalFormatting>
  <conditionalFormatting sqref="Q32:Q39">
    <cfRule type="cellIs" dxfId="29352" priority="1702" operator="lessThan">
      <formula>0</formula>
    </cfRule>
  </conditionalFormatting>
  <conditionalFormatting sqref="R32:R39">
    <cfRule type="cellIs" dxfId="29351" priority="1706" operator="lessThan">
      <formula>0.8</formula>
    </cfRule>
    <cfRule type="cellIs" dxfId="29350" priority="1707" operator="greaterThan">
      <formula>1</formula>
    </cfRule>
  </conditionalFormatting>
  <conditionalFormatting sqref="R32:R39">
    <cfRule type="cellIs" dxfId="29349" priority="1704" operator="greaterThan">
      <formula>1</formula>
    </cfRule>
    <cfRule type="cellIs" dxfId="29348" priority="1705" operator="lessThan">
      <formula>0.8</formula>
    </cfRule>
  </conditionalFormatting>
  <conditionalFormatting sqref="P32:P39">
    <cfRule type="cellIs" dxfId="29347" priority="1703" operator="greaterThan">
      <formula>0</formula>
    </cfRule>
  </conditionalFormatting>
  <conditionalFormatting sqref="Q32:Q39">
    <cfRule type="cellIs" dxfId="29346" priority="1701" operator="lessThan">
      <formula>0</formula>
    </cfRule>
  </conditionalFormatting>
  <conditionalFormatting sqref="R32:R39">
    <cfRule type="cellIs" dxfId="29345" priority="1699" operator="lessThan">
      <formula>0.8</formula>
    </cfRule>
    <cfRule type="cellIs" dxfId="29344" priority="1700" operator="greaterThan">
      <formula>1</formula>
    </cfRule>
  </conditionalFormatting>
  <conditionalFormatting sqref="R32:R39">
    <cfRule type="cellIs" dxfId="29343" priority="1697" operator="greaterThan">
      <formula>1</formula>
    </cfRule>
    <cfRule type="cellIs" dxfId="29342" priority="1698" operator="lessThan">
      <formula>0.8</formula>
    </cfRule>
  </conditionalFormatting>
  <conditionalFormatting sqref="P32:P39">
    <cfRule type="cellIs" dxfId="29341" priority="1696" operator="greaterThan">
      <formula>0</formula>
    </cfRule>
  </conditionalFormatting>
  <conditionalFormatting sqref="Q32:Q39">
    <cfRule type="cellIs" dxfId="29340" priority="1695" operator="lessThan">
      <formula>0</formula>
    </cfRule>
  </conditionalFormatting>
  <conditionalFormatting sqref="R32:R39">
    <cfRule type="cellIs" dxfId="29339" priority="1693" operator="lessThan">
      <formula>0.8</formula>
    </cfRule>
    <cfRule type="cellIs" dxfId="29338" priority="1694" operator="greaterThan">
      <formula>1</formula>
    </cfRule>
  </conditionalFormatting>
  <conditionalFormatting sqref="R32:R39">
    <cfRule type="cellIs" dxfId="29337" priority="1691" operator="greaterThan">
      <formula>1</formula>
    </cfRule>
    <cfRule type="cellIs" dxfId="29336" priority="1692" operator="lessThan">
      <formula>0.8</formula>
    </cfRule>
  </conditionalFormatting>
  <conditionalFormatting sqref="P32:P39">
    <cfRule type="cellIs" dxfId="29335" priority="1690" operator="greaterThan">
      <formula>0</formula>
    </cfRule>
  </conditionalFormatting>
  <conditionalFormatting sqref="Q32:Q39">
    <cfRule type="cellIs" dxfId="29334" priority="1689" operator="lessThan">
      <formula>0</formula>
    </cfRule>
  </conditionalFormatting>
  <conditionalFormatting sqref="R32:R39">
    <cfRule type="cellIs" dxfId="29333" priority="1687" operator="lessThan">
      <formula>0.8</formula>
    </cfRule>
    <cfRule type="cellIs" dxfId="29332" priority="1688" operator="greaterThan">
      <formula>1</formula>
    </cfRule>
  </conditionalFormatting>
  <conditionalFormatting sqref="R32:R39">
    <cfRule type="cellIs" dxfId="29331" priority="1685" operator="greaterThan">
      <formula>1</formula>
    </cfRule>
    <cfRule type="cellIs" dxfId="29330" priority="1686" operator="lessThan">
      <formula>0.8</formula>
    </cfRule>
  </conditionalFormatting>
  <conditionalFormatting sqref="P32:P39">
    <cfRule type="cellIs" dxfId="29329" priority="1684" operator="greaterThan">
      <formula>0</formula>
    </cfRule>
  </conditionalFormatting>
  <conditionalFormatting sqref="Q32:Q39">
    <cfRule type="cellIs" dxfId="29328" priority="1683" operator="lessThan">
      <formula>0</formula>
    </cfRule>
  </conditionalFormatting>
  <conditionalFormatting sqref="R32:R39">
    <cfRule type="cellIs" dxfId="29327" priority="1681" operator="lessThan">
      <formula>0.8</formula>
    </cfRule>
    <cfRule type="cellIs" dxfId="29326" priority="1682" operator="greaterThan">
      <formula>1</formula>
    </cfRule>
  </conditionalFormatting>
  <conditionalFormatting sqref="R32:R39">
    <cfRule type="cellIs" dxfId="29325" priority="1679" operator="greaterThan">
      <formula>1</formula>
    </cfRule>
    <cfRule type="cellIs" dxfId="29324" priority="1680" operator="lessThan">
      <formula>0.8</formula>
    </cfRule>
  </conditionalFormatting>
  <conditionalFormatting sqref="P32:P39">
    <cfRule type="cellIs" dxfId="29323" priority="1678" operator="greaterThan">
      <formula>0</formula>
    </cfRule>
  </conditionalFormatting>
  <conditionalFormatting sqref="Q32:Q39">
    <cfRule type="cellIs" dxfId="29322" priority="1677" operator="lessThan">
      <formula>0</formula>
    </cfRule>
  </conditionalFormatting>
  <conditionalFormatting sqref="R32:R39">
    <cfRule type="cellIs" dxfId="29321" priority="1675" operator="lessThan">
      <formula>0.8</formula>
    </cfRule>
    <cfRule type="cellIs" dxfId="29320" priority="1676" operator="greaterThan">
      <formula>1</formula>
    </cfRule>
  </conditionalFormatting>
  <conditionalFormatting sqref="R32:R39">
    <cfRule type="cellIs" dxfId="29319" priority="1673" operator="greaterThan">
      <formula>1</formula>
    </cfRule>
    <cfRule type="cellIs" dxfId="29318" priority="1674" operator="lessThan">
      <formula>0.8</formula>
    </cfRule>
  </conditionalFormatting>
  <conditionalFormatting sqref="P32:P39">
    <cfRule type="cellIs" dxfId="29317" priority="1672" operator="greaterThan">
      <formula>0</formula>
    </cfRule>
  </conditionalFormatting>
  <conditionalFormatting sqref="P32:P39">
    <cfRule type="cellIs" dxfId="29316" priority="1666" operator="greaterThan">
      <formula>0</formula>
    </cfRule>
  </conditionalFormatting>
  <conditionalFormatting sqref="Q32:Q39">
    <cfRule type="cellIs" dxfId="29315" priority="1671" operator="lessThan">
      <formula>0</formula>
    </cfRule>
  </conditionalFormatting>
  <conditionalFormatting sqref="R32:R39">
    <cfRule type="cellIs" dxfId="29314" priority="1669" operator="lessThan">
      <formula>0.8</formula>
    </cfRule>
    <cfRule type="cellIs" dxfId="29313" priority="1670" operator="greaterThan">
      <formula>1</formula>
    </cfRule>
  </conditionalFormatting>
  <conditionalFormatting sqref="R32:R39">
    <cfRule type="cellIs" dxfId="29312" priority="1667" operator="greaterThan">
      <formula>1</formula>
    </cfRule>
    <cfRule type="cellIs" dxfId="29311" priority="1668" operator="lessThan">
      <formula>0.8</formula>
    </cfRule>
  </conditionalFormatting>
  <conditionalFormatting sqref="P32:P39">
    <cfRule type="cellIs" dxfId="29310" priority="1660" operator="greaterThan">
      <formula>0</formula>
    </cfRule>
  </conditionalFormatting>
  <conditionalFormatting sqref="Q32:Q39">
    <cfRule type="cellIs" dxfId="29309" priority="1665" operator="lessThan">
      <formula>0</formula>
    </cfRule>
  </conditionalFormatting>
  <conditionalFormatting sqref="R32:R39">
    <cfRule type="cellIs" dxfId="29308" priority="1663" operator="lessThan">
      <formula>0.8</formula>
    </cfRule>
    <cfRule type="cellIs" dxfId="29307" priority="1664" operator="greaterThan">
      <formula>1</formula>
    </cfRule>
  </conditionalFormatting>
  <conditionalFormatting sqref="R32:R39">
    <cfRule type="cellIs" dxfId="29306" priority="1661" operator="greaterThan">
      <formula>1</formula>
    </cfRule>
    <cfRule type="cellIs" dxfId="29305" priority="1662" operator="lessThan">
      <formula>0.8</formula>
    </cfRule>
  </conditionalFormatting>
  <conditionalFormatting sqref="R32:R39">
    <cfRule type="cellIs" dxfId="29304" priority="1657" operator="lessThan">
      <formula>0.8</formula>
    </cfRule>
    <cfRule type="cellIs" dxfId="29303" priority="1658" operator="greaterThan">
      <formula>1</formula>
    </cfRule>
  </conditionalFormatting>
  <conditionalFormatting sqref="R32:R39">
    <cfRule type="cellIs" dxfId="29302" priority="1655" operator="greaterThan">
      <formula>1</formula>
    </cfRule>
    <cfRule type="cellIs" dxfId="29301" priority="1656" operator="lessThan">
      <formula>0.8</formula>
    </cfRule>
  </conditionalFormatting>
  <conditionalFormatting sqref="P32:P39">
    <cfRule type="cellIs" dxfId="29300" priority="1654" operator="greaterThan">
      <formula>0</formula>
    </cfRule>
  </conditionalFormatting>
  <conditionalFormatting sqref="Q32:Q39">
    <cfRule type="cellIs" dxfId="29299" priority="1659" operator="lessThan">
      <formula>0</formula>
    </cfRule>
  </conditionalFormatting>
  <conditionalFormatting sqref="Q32:Q39">
    <cfRule type="cellIs" dxfId="29298" priority="1648" operator="lessThan">
      <formula>0</formula>
    </cfRule>
  </conditionalFormatting>
  <conditionalFormatting sqref="P32:P39">
    <cfRule type="cellIs" dxfId="29297" priority="1649" operator="greaterThan">
      <formula>0</formula>
    </cfRule>
  </conditionalFormatting>
  <conditionalFormatting sqref="R32:R39">
    <cfRule type="cellIs" dxfId="29296" priority="1652" operator="lessThan">
      <formula>0.8</formula>
    </cfRule>
    <cfRule type="cellIs" dxfId="29295" priority="1653" operator="greaterThan">
      <formula>1</formula>
    </cfRule>
  </conditionalFormatting>
  <conditionalFormatting sqref="R32:R39">
    <cfRule type="cellIs" dxfId="29294" priority="1650" operator="greaterThan">
      <formula>1</formula>
    </cfRule>
    <cfRule type="cellIs" dxfId="29293" priority="1651" operator="lessThan">
      <formula>0.8</formula>
    </cfRule>
  </conditionalFormatting>
  <conditionalFormatting sqref="Q32:Q39">
    <cfRule type="cellIs" dxfId="29292" priority="1642" operator="lessThan">
      <formula>0</formula>
    </cfRule>
  </conditionalFormatting>
  <conditionalFormatting sqref="R32:R39">
    <cfRule type="cellIs" dxfId="29291" priority="1646" operator="lessThan">
      <formula>0.8</formula>
    </cfRule>
    <cfRule type="cellIs" dxfId="29290" priority="1647" operator="greaterThan">
      <formula>1</formula>
    </cfRule>
  </conditionalFormatting>
  <conditionalFormatting sqref="R32:R39">
    <cfRule type="cellIs" dxfId="29289" priority="1644" operator="greaterThan">
      <formula>1</formula>
    </cfRule>
    <cfRule type="cellIs" dxfId="29288" priority="1645" operator="lessThan">
      <formula>0.8</formula>
    </cfRule>
  </conditionalFormatting>
  <conditionalFormatting sqref="P32:P39">
    <cfRule type="cellIs" dxfId="29287" priority="1643" operator="greaterThan">
      <formula>0</formula>
    </cfRule>
  </conditionalFormatting>
  <conditionalFormatting sqref="Q32:Q39">
    <cfRule type="cellIs" dxfId="29286" priority="1641" operator="lessThan">
      <formula>0</formula>
    </cfRule>
  </conditionalFormatting>
  <conditionalFormatting sqref="R32:R39">
    <cfRule type="cellIs" dxfId="29285" priority="1639" operator="lessThan">
      <formula>0.8</formula>
    </cfRule>
    <cfRule type="cellIs" dxfId="29284" priority="1640" operator="greaterThan">
      <formula>1</formula>
    </cfRule>
  </conditionalFormatting>
  <conditionalFormatting sqref="R32:R39">
    <cfRule type="cellIs" dxfId="29283" priority="1637" operator="greaterThan">
      <formula>1</formula>
    </cfRule>
    <cfRule type="cellIs" dxfId="29282" priority="1638" operator="lessThan">
      <formula>0.8</formula>
    </cfRule>
  </conditionalFormatting>
  <conditionalFormatting sqref="P32:P39">
    <cfRule type="cellIs" dxfId="29281" priority="1636" operator="greaterThan">
      <formula>0</formula>
    </cfRule>
  </conditionalFormatting>
  <conditionalFormatting sqref="Q32:Q39">
    <cfRule type="cellIs" dxfId="29280" priority="1635" operator="lessThan">
      <formula>0</formula>
    </cfRule>
  </conditionalFormatting>
  <conditionalFormatting sqref="R32:R39">
    <cfRule type="cellIs" dxfId="29279" priority="1633" operator="lessThan">
      <formula>0.8</formula>
    </cfRule>
    <cfRule type="cellIs" dxfId="29278" priority="1634" operator="greaterThan">
      <formula>1</formula>
    </cfRule>
  </conditionalFormatting>
  <conditionalFormatting sqref="R32:R39">
    <cfRule type="cellIs" dxfId="29277" priority="1631" operator="greaterThan">
      <formula>1</formula>
    </cfRule>
    <cfRule type="cellIs" dxfId="29276" priority="1632" operator="lessThan">
      <formula>0.8</formula>
    </cfRule>
  </conditionalFormatting>
  <conditionalFormatting sqref="P32:P39">
    <cfRule type="cellIs" dxfId="29275" priority="1630" operator="greaterThan">
      <formula>0</formula>
    </cfRule>
  </conditionalFormatting>
  <conditionalFormatting sqref="Q32:Q39">
    <cfRule type="cellIs" dxfId="29274" priority="1624" operator="lessThan">
      <formula>0</formula>
    </cfRule>
  </conditionalFormatting>
  <conditionalFormatting sqref="P32:P39">
    <cfRule type="cellIs" dxfId="29273" priority="1625" operator="greaterThan">
      <formula>0</formula>
    </cfRule>
  </conditionalFormatting>
  <conditionalFormatting sqref="R32:R39">
    <cfRule type="cellIs" dxfId="29272" priority="1628" operator="lessThan">
      <formula>0.8</formula>
    </cfRule>
    <cfRule type="cellIs" dxfId="29271" priority="1629" operator="greaterThan">
      <formula>1</formula>
    </cfRule>
  </conditionalFormatting>
  <conditionalFormatting sqref="R32:R39">
    <cfRule type="cellIs" dxfId="29270" priority="1626" operator="greaterThan">
      <formula>1</formula>
    </cfRule>
    <cfRule type="cellIs" dxfId="29269" priority="1627" operator="lessThan">
      <formula>0.8</formula>
    </cfRule>
  </conditionalFormatting>
  <conditionalFormatting sqref="Q32:Q39">
    <cfRule type="cellIs" dxfId="29268" priority="1618" operator="lessThan">
      <formula>0</formula>
    </cfRule>
  </conditionalFormatting>
  <conditionalFormatting sqref="R32:R39">
    <cfRule type="cellIs" dxfId="29267" priority="1622" operator="lessThan">
      <formula>0.8</formula>
    </cfRule>
    <cfRule type="cellIs" dxfId="29266" priority="1623" operator="greaterThan">
      <formula>1</formula>
    </cfRule>
  </conditionalFormatting>
  <conditionalFormatting sqref="R32:R39">
    <cfRule type="cellIs" dxfId="29265" priority="1620" operator="greaterThan">
      <formula>1</formula>
    </cfRule>
    <cfRule type="cellIs" dxfId="29264" priority="1621" operator="lessThan">
      <formula>0.8</formula>
    </cfRule>
  </conditionalFormatting>
  <conditionalFormatting sqref="P32:P39">
    <cfRule type="cellIs" dxfId="29263" priority="1619" operator="greaterThan">
      <formula>0</formula>
    </cfRule>
  </conditionalFormatting>
  <conditionalFormatting sqref="Q32:Q39">
    <cfRule type="cellIs" dxfId="29262" priority="1617" operator="lessThan">
      <formula>0</formula>
    </cfRule>
  </conditionalFormatting>
  <conditionalFormatting sqref="R32:R39">
    <cfRule type="cellIs" dxfId="29261" priority="1615" operator="lessThan">
      <formula>0.8</formula>
    </cfRule>
    <cfRule type="cellIs" dxfId="29260" priority="1616" operator="greaterThan">
      <formula>1</formula>
    </cfRule>
  </conditionalFormatting>
  <conditionalFormatting sqref="R32:R39">
    <cfRule type="cellIs" dxfId="29259" priority="1613" operator="greaterThan">
      <formula>1</formula>
    </cfRule>
    <cfRule type="cellIs" dxfId="29258" priority="1614" operator="lessThan">
      <formula>0.8</formula>
    </cfRule>
  </conditionalFormatting>
  <conditionalFormatting sqref="P32:P39">
    <cfRule type="cellIs" dxfId="29257" priority="1612" operator="greaterThan">
      <formula>0</formula>
    </cfRule>
  </conditionalFormatting>
  <conditionalFormatting sqref="Q32:Q39">
    <cfRule type="cellIs" dxfId="29256" priority="1611" operator="lessThan">
      <formula>0</formula>
    </cfRule>
  </conditionalFormatting>
  <conditionalFormatting sqref="R32:R39">
    <cfRule type="cellIs" dxfId="29255" priority="1609" operator="lessThan">
      <formula>0.8</formula>
    </cfRule>
    <cfRule type="cellIs" dxfId="29254" priority="1610" operator="greaterThan">
      <formula>1</formula>
    </cfRule>
  </conditionalFormatting>
  <conditionalFormatting sqref="R32:R39">
    <cfRule type="cellIs" dxfId="29253" priority="1607" operator="greaterThan">
      <formula>1</formula>
    </cfRule>
    <cfRule type="cellIs" dxfId="29252" priority="1608" operator="lessThan">
      <formula>0.8</formula>
    </cfRule>
  </conditionalFormatting>
  <conditionalFormatting sqref="P32:P39">
    <cfRule type="cellIs" dxfId="29251" priority="1606" operator="greaterThan">
      <formula>0</formula>
    </cfRule>
  </conditionalFormatting>
  <conditionalFormatting sqref="Q19:Q24">
    <cfRule type="cellIs" dxfId="29250" priority="1605" operator="lessThan">
      <formula>0</formula>
    </cfRule>
  </conditionalFormatting>
  <conditionalFormatting sqref="R19:R24">
    <cfRule type="cellIs" dxfId="29249" priority="1603" operator="lessThan">
      <formula>0.8</formula>
    </cfRule>
    <cfRule type="cellIs" dxfId="29248" priority="1604" operator="greaterThan">
      <formula>1</formula>
    </cfRule>
  </conditionalFormatting>
  <conditionalFormatting sqref="R19:R24">
    <cfRule type="cellIs" dxfId="29247" priority="1601" operator="greaterThan">
      <formula>1</formula>
    </cfRule>
    <cfRule type="cellIs" dxfId="29246" priority="1602" operator="lessThan">
      <formula>0.8</formula>
    </cfRule>
  </conditionalFormatting>
  <conditionalFormatting sqref="P19:P24">
    <cfRule type="cellIs" dxfId="29245" priority="1600" operator="greaterThan">
      <formula>0</formula>
    </cfRule>
  </conditionalFormatting>
  <conditionalFormatting sqref="R19:R24">
    <cfRule type="cellIs" dxfId="29244" priority="1597" operator="lessThan">
      <formula>0.8</formula>
    </cfRule>
    <cfRule type="cellIs" dxfId="29243" priority="1598" operator="greaterThan">
      <formula>1</formula>
    </cfRule>
  </conditionalFormatting>
  <conditionalFormatting sqref="R19:R24">
    <cfRule type="cellIs" dxfId="29242" priority="1595" operator="greaterThan">
      <formula>1</formula>
    </cfRule>
    <cfRule type="cellIs" dxfId="29241" priority="1596" operator="lessThan">
      <formula>0.8</formula>
    </cfRule>
  </conditionalFormatting>
  <conditionalFormatting sqref="P19:P24">
    <cfRule type="cellIs" dxfId="29240" priority="1594" operator="greaterThan">
      <formula>0</formula>
    </cfRule>
  </conditionalFormatting>
  <conditionalFormatting sqref="Q19:Q24">
    <cfRule type="cellIs" dxfId="29239" priority="1599" operator="lessThan">
      <formula>0</formula>
    </cfRule>
  </conditionalFormatting>
  <conditionalFormatting sqref="R19:R24">
    <cfRule type="cellIs" dxfId="29238" priority="1591" operator="lessThan">
      <formula>0.8</formula>
    </cfRule>
    <cfRule type="cellIs" dxfId="29237" priority="1592" operator="greaterThan">
      <formula>1</formula>
    </cfRule>
  </conditionalFormatting>
  <conditionalFormatting sqref="R19:R24">
    <cfRule type="cellIs" dxfId="29236" priority="1589" operator="greaterThan">
      <formula>1</formula>
    </cfRule>
    <cfRule type="cellIs" dxfId="29235" priority="1590" operator="lessThan">
      <formula>0.8</formula>
    </cfRule>
  </conditionalFormatting>
  <conditionalFormatting sqref="P19:P24">
    <cfRule type="cellIs" dxfId="29234" priority="1588" operator="greaterThan">
      <formula>0</formula>
    </cfRule>
  </conditionalFormatting>
  <conditionalFormatting sqref="Q19:Q24">
    <cfRule type="cellIs" dxfId="29233" priority="1593" operator="lessThan">
      <formula>0</formula>
    </cfRule>
  </conditionalFormatting>
  <conditionalFormatting sqref="Q19:Q24">
    <cfRule type="cellIs" dxfId="29232" priority="1587" operator="lessThan">
      <formula>0</formula>
    </cfRule>
  </conditionalFormatting>
  <conditionalFormatting sqref="R19:R24">
    <cfRule type="cellIs" dxfId="29231" priority="1585" operator="lessThan">
      <formula>0.8</formula>
    </cfRule>
    <cfRule type="cellIs" dxfId="29230" priority="1586" operator="greaterThan">
      <formula>1</formula>
    </cfRule>
  </conditionalFormatting>
  <conditionalFormatting sqref="R19:R24">
    <cfRule type="cellIs" dxfId="29229" priority="1583" operator="greaterThan">
      <formula>1</formula>
    </cfRule>
    <cfRule type="cellIs" dxfId="29228" priority="1584" operator="lessThan">
      <formula>0.8</formula>
    </cfRule>
  </conditionalFormatting>
  <conditionalFormatting sqref="P19:P24">
    <cfRule type="cellIs" dxfId="29227" priority="1582" operator="greaterThan">
      <formula>0</formula>
    </cfRule>
  </conditionalFormatting>
  <conditionalFormatting sqref="Q135:Q136 Q139 Q142">
    <cfRule type="cellIs" dxfId="29226" priority="1581" operator="lessThan">
      <formula>0</formula>
    </cfRule>
  </conditionalFormatting>
  <conditionalFormatting sqref="R135:R136 R139 R142">
    <cfRule type="cellIs" dxfId="29225" priority="1579" operator="lessThan">
      <formula>0.8</formula>
    </cfRule>
    <cfRule type="cellIs" dxfId="29224" priority="1580" operator="greaterThan">
      <formula>1</formula>
    </cfRule>
  </conditionalFormatting>
  <conditionalFormatting sqref="R135:R136 R139 R142">
    <cfRule type="cellIs" dxfId="29223" priority="1577" operator="greaterThan">
      <formula>1</formula>
    </cfRule>
    <cfRule type="cellIs" dxfId="29222" priority="1578" operator="lessThan">
      <formula>0.8</formula>
    </cfRule>
  </conditionalFormatting>
  <conditionalFormatting sqref="P135:P136 P139 P142">
    <cfRule type="cellIs" dxfId="29221" priority="1576" operator="greaterThan">
      <formula>0</formula>
    </cfRule>
  </conditionalFormatting>
  <conditionalFormatting sqref="P135:P136 P139 P142">
    <cfRule type="cellIs" dxfId="29220" priority="1570" operator="greaterThan">
      <formula>0</formula>
    </cfRule>
  </conditionalFormatting>
  <conditionalFormatting sqref="Q135:Q136 Q139 Q142">
    <cfRule type="cellIs" dxfId="29219" priority="1575" operator="lessThan">
      <formula>0</formula>
    </cfRule>
  </conditionalFormatting>
  <conditionalFormatting sqref="R135:R136 R139 R142">
    <cfRule type="cellIs" dxfId="29218" priority="1573" operator="lessThan">
      <formula>0.8</formula>
    </cfRule>
    <cfRule type="cellIs" dxfId="29217" priority="1574" operator="greaterThan">
      <formula>1</formula>
    </cfRule>
  </conditionalFormatting>
  <conditionalFormatting sqref="R135:R136 R139 R142">
    <cfRule type="cellIs" dxfId="29216" priority="1571" operator="greaterThan">
      <formula>1</formula>
    </cfRule>
    <cfRule type="cellIs" dxfId="29215" priority="1572" operator="lessThan">
      <formula>0.8</formula>
    </cfRule>
  </conditionalFormatting>
  <conditionalFormatting sqref="Q25">
    <cfRule type="cellIs" dxfId="29214" priority="1569" operator="lessThan">
      <formula>0</formula>
    </cfRule>
  </conditionalFormatting>
  <conditionalFormatting sqref="R25">
    <cfRule type="cellIs" dxfId="29213" priority="1567" operator="lessThan">
      <formula>0.8</formula>
    </cfRule>
    <cfRule type="cellIs" dxfId="29212" priority="1568" operator="greaterThan">
      <formula>1</formula>
    </cfRule>
  </conditionalFormatting>
  <conditionalFormatting sqref="R25">
    <cfRule type="cellIs" dxfId="29211" priority="1565" operator="greaterThan">
      <formula>1</formula>
    </cfRule>
    <cfRule type="cellIs" dxfId="29210" priority="1566" operator="lessThan">
      <formula>0.8</formula>
    </cfRule>
  </conditionalFormatting>
  <conditionalFormatting sqref="P25">
    <cfRule type="cellIs" dxfId="29209" priority="1564" operator="greaterThan">
      <formula>0</formula>
    </cfRule>
  </conditionalFormatting>
  <conditionalFormatting sqref="R25">
    <cfRule type="cellIs" dxfId="29208" priority="1561" operator="lessThan">
      <formula>0.8</formula>
    </cfRule>
    <cfRule type="cellIs" dxfId="29207" priority="1562" operator="greaterThan">
      <formula>1</formula>
    </cfRule>
  </conditionalFormatting>
  <conditionalFormatting sqref="R25">
    <cfRule type="cellIs" dxfId="29206" priority="1559" operator="greaterThan">
      <formula>1</formula>
    </cfRule>
    <cfRule type="cellIs" dxfId="29205" priority="1560" operator="lessThan">
      <formula>0.8</formula>
    </cfRule>
  </conditionalFormatting>
  <conditionalFormatting sqref="P25">
    <cfRule type="cellIs" dxfId="29204" priority="1558" operator="greaterThan">
      <formula>0</formula>
    </cfRule>
  </conditionalFormatting>
  <conditionalFormatting sqref="Q25">
    <cfRule type="cellIs" dxfId="29203" priority="1563" operator="lessThan">
      <formula>0</formula>
    </cfRule>
  </conditionalFormatting>
  <conditionalFormatting sqref="R25">
    <cfRule type="cellIs" dxfId="29202" priority="1555" operator="lessThan">
      <formula>0.8</formula>
    </cfRule>
    <cfRule type="cellIs" dxfId="29201" priority="1556" operator="greaterThan">
      <formula>1</formula>
    </cfRule>
  </conditionalFormatting>
  <conditionalFormatting sqref="R25">
    <cfRule type="cellIs" dxfId="29200" priority="1553" operator="greaterThan">
      <formula>1</formula>
    </cfRule>
    <cfRule type="cellIs" dxfId="29199" priority="1554" operator="lessThan">
      <formula>0.8</formula>
    </cfRule>
  </conditionalFormatting>
  <conditionalFormatting sqref="P25">
    <cfRule type="cellIs" dxfId="29198" priority="1552" operator="greaterThan">
      <formula>0</formula>
    </cfRule>
  </conditionalFormatting>
  <conditionalFormatting sqref="Q25">
    <cfRule type="cellIs" dxfId="29197" priority="1557" operator="lessThan">
      <formula>0</formula>
    </cfRule>
  </conditionalFormatting>
  <conditionalFormatting sqref="Q25">
    <cfRule type="cellIs" dxfId="29196" priority="1551" operator="lessThan">
      <formula>0</formula>
    </cfRule>
  </conditionalFormatting>
  <conditionalFormatting sqref="R25">
    <cfRule type="cellIs" dxfId="29195" priority="1549" operator="lessThan">
      <formula>0.8</formula>
    </cfRule>
    <cfRule type="cellIs" dxfId="29194" priority="1550" operator="greaterThan">
      <formula>1</formula>
    </cfRule>
  </conditionalFormatting>
  <conditionalFormatting sqref="R25">
    <cfRule type="cellIs" dxfId="29193" priority="1547" operator="greaterThan">
      <formula>1</formula>
    </cfRule>
    <cfRule type="cellIs" dxfId="29192" priority="1548" operator="lessThan">
      <formula>0.8</formula>
    </cfRule>
  </conditionalFormatting>
  <conditionalFormatting sqref="P25">
    <cfRule type="cellIs" dxfId="29191" priority="1546" operator="greaterThan">
      <formula>0</formula>
    </cfRule>
  </conditionalFormatting>
  <conditionalFormatting sqref="Q25">
    <cfRule type="cellIs" dxfId="29190" priority="1545" operator="lessThan">
      <formula>0</formula>
    </cfRule>
  </conditionalFormatting>
  <conditionalFormatting sqref="R25">
    <cfRule type="cellIs" dxfId="29189" priority="1543" operator="lessThan">
      <formula>0.8</formula>
    </cfRule>
    <cfRule type="cellIs" dxfId="29188" priority="1544" operator="greaterThan">
      <formula>1</formula>
    </cfRule>
  </conditionalFormatting>
  <conditionalFormatting sqref="R25">
    <cfRule type="cellIs" dxfId="29187" priority="1541" operator="greaterThan">
      <formula>1</formula>
    </cfRule>
    <cfRule type="cellIs" dxfId="29186" priority="1542" operator="lessThan">
      <formula>0.8</formula>
    </cfRule>
  </conditionalFormatting>
  <conditionalFormatting sqref="P25">
    <cfRule type="cellIs" dxfId="29185" priority="1540" operator="greaterThan">
      <formula>0</formula>
    </cfRule>
  </conditionalFormatting>
  <conditionalFormatting sqref="P19:P24">
    <cfRule type="cellIs" dxfId="29184" priority="1534" operator="greaterThan">
      <formula>0</formula>
    </cfRule>
  </conditionalFormatting>
  <conditionalFormatting sqref="Q19:Q24">
    <cfRule type="cellIs" dxfId="29183" priority="1539" operator="lessThan">
      <formula>0</formula>
    </cfRule>
  </conditionalFormatting>
  <conditionalFormatting sqref="R19:R24">
    <cfRule type="cellIs" dxfId="29182" priority="1537" operator="lessThan">
      <formula>0.8</formula>
    </cfRule>
    <cfRule type="cellIs" dxfId="29181" priority="1538" operator="greaterThan">
      <formula>1</formula>
    </cfRule>
  </conditionalFormatting>
  <conditionalFormatting sqref="R19:R24">
    <cfRule type="cellIs" dxfId="29180" priority="1535" operator="greaterThan">
      <formula>1</formula>
    </cfRule>
    <cfRule type="cellIs" dxfId="29179" priority="1536" operator="lessThan">
      <formula>0.8</formula>
    </cfRule>
  </conditionalFormatting>
  <conditionalFormatting sqref="Q19:Q24">
    <cfRule type="cellIs" dxfId="29178" priority="1533" operator="lessThan">
      <formula>0</formula>
    </cfRule>
  </conditionalFormatting>
  <conditionalFormatting sqref="R19:R24">
    <cfRule type="cellIs" dxfId="29177" priority="1531" operator="lessThan">
      <formula>0.8</formula>
    </cfRule>
    <cfRule type="cellIs" dxfId="29176" priority="1532" operator="greaterThan">
      <formula>1</formula>
    </cfRule>
  </conditionalFormatting>
  <conditionalFormatting sqref="R19:R24">
    <cfRule type="cellIs" dxfId="29175" priority="1529" operator="greaterThan">
      <formula>1</formula>
    </cfRule>
    <cfRule type="cellIs" dxfId="29174" priority="1530" operator="lessThan">
      <formula>0.8</formula>
    </cfRule>
  </conditionalFormatting>
  <conditionalFormatting sqref="P19:P24">
    <cfRule type="cellIs" dxfId="29173" priority="1528" operator="greaterThan">
      <formula>0</formula>
    </cfRule>
  </conditionalFormatting>
  <conditionalFormatting sqref="Q19:Q24">
    <cfRule type="cellIs" dxfId="29172" priority="1527" operator="lessThan">
      <formula>0</formula>
    </cfRule>
  </conditionalFormatting>
  <conditionalFormatting sqref="R19:R24">
    <cfRule type="cellIs" dxfId="29171" priority="1525" operator="lessThan">
      <formula>0.8</formula>
    </cfRule>
    <cfRule type="cellIs" dxfId="29170" priority="1526" operator="greaterThan">
      <formula>1</formula>
    </cfRule>
  </conditionalFormatting>
  <conditionalFormatting sqref="R19:R24">
    <cfRule type="cellIs" dxfId="29169" priority="1523" operator="greaterThan">
      <formula>1</formula>
    </cfRule>
    <cfRule type="cellIs" dxfId="29168" priority="1524" operator="lessThan">
      <formula>0.8</formula>
    </cfRule>
  </conditionalFormatting>
  <conditionalFormatting sqref="P19:P24">
    <cfRule type="cellIs" dxfId="29167" priority="1522" operator="greaterThan">
      <formula>0</formula>
    </cfRule>
  </conditionalFormatting>
  <conditionalFormatting sqref="Q19:Q24">
    <cfRule type="cellIs" dxfId="29166" priority="1521" operator="lessThan">
      <formula>0</formula>
    </cfRule>
  </conditionalFormatting>
  <conditionalFormatting sqref="R19:R24">
    <cfRule type="cellIs" dxfId="29165" priority="1519" operator="lessThan">
      <formula>0.8</formula>
    </cfRule>
    <cfRule type="cellIs" dxfId="29164" priority="1520" operator="greaterThan">
      <formula>1</formula>
    </cfRule>
  </conditionalFormatting>
  <conditionalFormatting sqref="R19:R24">
    <cfRule type="cellIs" dxfId="29163" priority="1517" operator="greaterThan">
      <formula>1</formula>
    </cfRule>
    <cfRule type="cellIs" dxfId="29162" priority="1518" operator="lessThan">
      <formula>0.8</formula>
    </cfRule>
  </conditionalFormatting>
  <conditionalFormatting sqref="P19:P24">
    <cfRule type="cellIs" dxfId="29161" priority="1516" operator="greaterThan">
      <formula>0</formula>
    </cfRule>
  </conditionalFormatting>
  <conditionalFormatting sqref="R19:R24">
    <cfRule type="cellIs" dxfId="29160" priority="1513" operator="lessThan">
      <formula>0.8</formula>
    </cfRule>
    <cfRule type="cellIs" dxfId="29159" priority="1514" operator="greaterThan">
      <formula>1</formula>
    </cfRule>
  </conditionalFormatting>
  <conditionalFormatting sqref="R19:R24">
    <cfRule type="cellIs" dxfId="29158" priority="1511" operator="greaterThan">
      <formula>1</formula>
    </cfRule>
    <cfRule type="cellIs" dxfId="29157" priority="1512" operator="lessThan">
      <formula>0.8</formula>
    </cfRule>
  </conditionalFormatting>
  <conditionalFormatting sqref="P19:P24">
    <cfRule type="cellIs" dxfId="29156" priority="1510" operator="greaterThan">
      <formula>0</formula>
    </cfRule>
  </conditionalFormatting>
  <conditionalFormatting sqref="Q19:Q24">
    <cfRule type="cellIs" dxfId="29155" priority="1515" operator="lessThan">
      <formula>0</formula>
    </cfRule>
  </conditionalFormatting>
  <conditionalFormatting sqref="Q19:Q24">
    <cfRule type="cellIs" dxfId="29154" priority="1509" operator="lessThan">
      <formula>0</formula>
    </cfRule>
  </conditionalFormatting>
  <conditionalFormatting sqref="R19:R24">
    <cfRule type="cellIs" dxfId="29153" priority="1507" operator="lessThan">
      <formula>0.8</formula>
    </cfRule>
    <cfRule type="cellIs" dxfId="29152" priority="1508" operator="greaterThan">
      <formula>1</formula>
    </cfRule>
  </conditionalFormatting>
  <conditionalFormatting sqref="R19:R24">
    <cfRule type="cellIs" dxfId="29151" priority="1505" operator="greaterThan">
      <formula>1</formula>
    </cfRule>
    <cfRule type="cellIs" dxfId="29150" priority="1506" operator="lessThan">
      <formula>0.8</formula>
    </cfRule>
  </conditionalFormatting>
  <conditionalFormatting sqref="P19:P24">
    <cfRule type="cellIs" dxfId="29149" priority="1504" operator="greaterThan">
      <formula>0</formula>
    </cfRule>
  </conditionalFormatting>
  <conditionalFormatting sqref="P19:P24">
    <cfRule type="cellIs" dxfId="29148" priority="1498" operator="greaterThan">
      <formula>0</formula>
    </cfRule>
  </conditionalFormatting>
  <conditionalFormatting sqref="Q19:Q24">
    <cfRule type="cellIs" dxfId="29147" priority="1503" operator="lessThan">
      <formula>0</formula>
    </cfRule>
  </conditionalFormatting>
  <conditionalFormatting sqref="R19:R24">
    <cfRule type="cellIs" dxfId="29146" priority="1501" operator="lessThan">
      <formula>0.8</formula>
    </cfRule>
    <cfRule type="cellIs" dxfId="29145" priority="1502" operator="greaterThan">
      <formula>1</formula>
    </cfRule>
  </conditionalFormatting>
  <conditionalFormatting sqref="R19:R24">
    <cfRule type="cellIs" dxfId="29144" priority="1499" operator="greaterThan">
      <formula>1</formula>
    </cfRule>
    <cfRule type="cellIs" dxfId="29143" priority="1500" operator="lessThan">
      <formula>0.8</formula>
    </cfRule>
  </conditionalFormatting>
  <conditionalFormatting sqref="P19:P24">
    <cfRule type="cellIs" dxfId="29142" priority="1492" operator="greaterThan">
      <formula>0</formula>
    </cfRule>
  </conditionalFormatting>
  <conditionalFormatting sqref="Q19:Q24">
    <cfRule type="cellIs" dxfId="29141" priority="1497" operator="lessThan">
      <formula>0</formula>
    </cfRule>
  </conditionalFormatting>
  <conditionalFormatting sqref="R19:R24">
    <cfRule type="cellIs" dxfId="29140" priority="1495" operator="lessThan">
      <formula>0.8</formula>
    </cfRule>
    <cfRule type="cellIs" dxfId="29139" priority="1496" operator="greaterThan">
      <formula>1</formula>
    </cfRule>
  </conditionalFormatting>
  <conditionalFormatting sqref="R19:R24">
    <cfRule type="cellIs" dxfId="29138" priority="1493" operator="greaterThan">
      <formula>1</formula>
    </cfRule>
    <cfRule type="cellIs" dxfId="29137" priority="1494" operator="lessThan">
      <formula>0.8</formula>
    </cfRule>
  </conditionalFormatting>
  <conditionalFormatting sqref="Q19:Q24">
    <cfRule type="cellIs" dxfId="29136" priority="1491" operator="lessThan">
      <formula>0</formula>
    </cfRule>
  </conditionalFormatting>
  <conditionalFormatting sqref="R19:R24">
    <cfRule type="cellIs" dxfId="29135" priority="1489" operator="lessThan">
      <formula>0.8</formula>
    </cfRule>
    <cfRule type="cellIs" dxfId="29134" priority="1490" operator="greaterThan">
      <formula>1</formula>
    </cfRule>
  </conditionalFormatting>
  <conditionalFormatting sqref="R19:R24">
    <cfRule type="cellIs" dxfId="29133" priority="1487" operator="greaterThan">
      <formula>1</formula>
    </cfRule>
    <cfRule type="cellIs" dxfId="29132" priority="1488" operator="lessThan">
      <formula>0.8</formula>
    </cfRule>
  </conditionalFormatting>
  <conditionalFormatting sqref="P19:P24">
    <cfRule type="cellIs" dxfId="29131" priority="1486" operator="greaterThan">
      <formula>0</formula>
    </cfRule>
  </conditionalFormatting>
  <conditionalFormatting sqref="Q19:Q24">
    <cfRule type="cellIs" dxfId="29130" priority="1485" operator="lessThan">
      <formula>0</formula>
    </cfRule>
  </conditionalFormatting>
  <conditionalFormatting sqref="R19:R24">
    <cfRule type="cellIs" dxfId="29129" priority="1483" operator="lessThan">
      <formula>0.8</formula>
    </cfRule>
    <cfRule type="cellIs" dxfId="29128" priority="1484" operator="greaterThan">
      <formula>1</formula>
    </cfRule>
  </conditionalFormatting>
  <conditionalFormatting sqref="R19:R24">
    <cfRule type="cellIs" dxfId="29127" priority="1481" operator="greaterThan">
      <formula>1</formula>
    </cfRule>
    <cfRule type="cellIs" dxfId="29126" priority="1482" operator="lessThan">
      <formula>0.8</formula>
    </cfRule>
  </conditionalFormatting>
  <conditionalFormatting sqref="P19:P24">
    <cfRule type="cellIs" dxfId="29125" priority="1480" operator="greaterThan">
      <formula>0</formula>
    </cfRule>
  </conditionalFormatting>
  <conditionalFormatting sqref="P19:P24">
    <cfRule type="cellIs" dxfId="29124" priority="1474" operator="greaterThan">
      <formula>0</formula>
    </cfRule>
  </conditionalFormatting>
  <conditionalFormatting sqref="Q19:Q24">
    <cfRule type="cellIs" dxfId="29123" priority="1479" operator="lessThan">
      <formula>0</formula>
    </cfRule>
  </conditionalFormatting>
  <conditionalFormatting sqref="R19:R24">
    <cfRule type="cellIs" dxfId="29122" priority="1477" operator="lessThan">
      <formula>0.8</formula>
    </cfRule>
    <cfRule type="cellIs" dxfId="29121" priority="1478" operator="greaterThan">
      <formula>1</formula>
    </cfRule>
  </conditionalFormatting>
  <conditionalFormatting sqref="R19:R24">
    <cfRule type="cellIs" dxfId="29120" priority="1475" operator="greaterThan">
      <formula>1</formula>
    </cfRule>
    <cfRule type="cellIs" dxfId="29119" priority="1476" operator="lessThan">
      <formula>0.8</formula>
    </cfRule>
  </conditionalFormatting>
  <conditionalFormatting sqref="Q19:Q24">
    <cfRule type="cellIs" dxfId="29118" priority="1473" operator="lessThan">
      <formula>0</formula>
    </cfRule>
  </conditionalFormatting>
  <conditionalFormatting sqref="R19:R24">
    <cfRule type="cellIs" dxfId="29117" priority="1471" operator="lessThan">
      <formula>0.8</formula>
    </cfRule>
    <cfRule type="cellIs" dxfId="29116" priority="1472" operator="greaterThan">
      <formula>1</formula>
    </cfRule>
  </conditionalFormatting>
  <conditionalFormatting sqref="R19:R24">
    <cfRule type="cellIs" dxfId="29115" priority="1469" operator="greaterThan">
      <formula>1</formula>
    </cfRule>
    <cfRule type="cellIs" dxfId="29114" priority="1470" operator="lessThan">
      <formula>0.8</formula>
    </cfRule>
  </conditionalFormatting>
  <conditionalFormatting sqref="P19:P24">
    <cfRule type="cellIs" dxfId="29113" priority="1468" operator="greaterThan">
      <formula>0</formula>
    </cfRule>
  </conditionalFormatting>
  <conditionalFormatting sqref="Q19:Q24">
    <cfRule type="cellIs" dxfId="29112" priority="1467" operator="lessThan">
      <formula>0</formula>
    </cfRule>
  </conditionalFormatting>
  <conditionalFormatting sqref="R19:R24">
    <cfRule type="cellIs" dxfId="29111" priority="1465" operator="lessThan">
      <formula>0.8</formula>
    </cfRule>
    <cfRule type="cellIs" dxfId="29110" priority="1466" operator="greaterThan">
      <formula>1</formula>
    </cfRule>
  </conditionalFormatting>
  <conditionalFormatting sqref="R19:R24">
    <cfRule type="cellIs" dxfId="29109" priority="1463" operator="greaterThan">
      <formula>1</formula>
    </cfRule>
    <cfRule type="cellIs" dxfId="29108" priority="1464" operator="lessThan">
      <formula>0.8</formula>
    </cfRule>
  </conditionalFormatting>
  <conditionalFormatting sqref="P19:P24">
    <cfRule type="cellIs" dxfId="29107" priority="1462" operator="greaterThan">
      <formula>0</formula>
    </cfRule>
  </conditionalFormatting>
  <conditionalFormatting sqref="Q19:Q24">
    <cfRule type="cellIs" dxfId="29106" priority="1461" operator="lessThan">
      <formula>0</formula>
    </cfRule>
  </conditionalFormatting>
  <conditionalFormatting sqref="R19:R24">
    <cfRule type="cellIs" dxfId="29105" priority="1459" operator="lessThan">
      <formula>0.8</formula>
    </cfRule>
    <cfRule type="cellIs" dxfId="29104" priority="1460" operator="greaterThan">
      <formula>1</formula>
    </cfRule>
  </conditionalFormatting>
  <conditionalFormatting sqref="R19:R24">
    <cfRule type="cellIs" dxfId="29103" priority="1457" operator="greaterThan">
      <formula>1</formula>
    </cfRule>
    <cfRule type="cellIs" dxfId="29102" priority="1458" operator="lessThan">
      <formula>0.8</formula>
    </cfRule>
  </conditionalFormatting>
  <conditionalFormatting sqref="P19:P24">
    <cfRule type="cellIs" dxfId="29101" priority="1456" operator="greaterThan">
      <formula>0</formula>
    </cfRule>
  </conditionalFormatting>
  <conditionalFormatting sqref="R19:R24">
    <cfRule type="cellIs" dxfId="29100" priority="1453" operator="lessThan">
      <formula>0.8</formula>
    </cfRule>
    <cfRule type="cellIs" dxfId="29099" priority="1454" operator="greaterThan">
      <formula>1</formula>
    </cfRule>
  </conditionalFormatting>
  <conditionalFormatting sqref="R19:R24">
    <cfRule type="cellIs" dxfId="29098" priority="1451" operator="greaterThan">
      <formula>1</formula>
    </cfRule>
    <cfRule type="cellIs" dxfId="29097" priority="1452" operator="lessThan">
      <formula>0.8</formula>
    </cfRule>
  </conditionalFormatting>
  <conditionalFormatting sqref="P19:P24">
    <cfRule type="cellIs" dxfId="29096" priority="1450" operator="greaterThan">
      <formula>0</formula>
    </cfRule>
  </conditionalFormatting>
  <conditionalFormatting sqref="Q19:Q24">
    <cfRule type="cellIs" dxfId="29095" priority="1455" operator="lessThan">
      <formula>0</formula>
    </cfRule>
  </conditionalFormatting>
  <conditionalFormatting sqref="Q40">
    <cfRule type="cellIs" dxfId="29094" priority="1449" operator="lessThan">
      <formula>0</formula>
    </cfRule>
  </conditionalFormatting>
  <conditionalFormatting sqref="R40">
    <cfRule type="cellIs" dxfId="29093" priority="1447" operator="lessThan">
      <formula>0.8</formula>
    </cfRule>
    <cfRule type="cellIs" dxfId="29092" priority="1448" operator="greaterThan">
      <formula>1</formula>
    </cfRule>
  </conditionalFormatting>
  <conditionalFormatting sqref="R40">
    <cfRule type="cellIs" dxfId="29091" priority="1445" operator="greaterThan">
      <formula>1</formula>
    </cfRule>
    <cfRule type="cellIs" dxfId="29090" priority="1446" operator="lessThan">
      <formula>0.8</formula>
    </cfRule>
  </conditionalFormatting>
  <conditionalFormatting sqref="P40">
    <cfRule type="cellIs" dxfId="29089" priority="1444" operator="greaterThan">
      <formula>0</formula>
    </cfRule>
  </conditionalFormatting>
  <conditionalFormatting sqref="P40">
    <cfRule type="cellIs" dxfId="29088" priority="1438" operator="greaterThan">
      <formula>0</formula>
    </cfRule>
  </conditionalFormatting>
  <conditionalFormatting sqref="Q40">
    <cfRule type="cellIs" dxfId="29087" priority="1443" operator="lessThan">
      <formula>0</formula>
    </cfRule>
  </conditionalFormatting>
  <conditionalFormatting sqref="R40">
    <cfRule type="cellIs" dxfId="29086" priority="1441" operator="lessThan">
      <formula>0.8</formula>
    </cfRule>
    <cfRule type="cellIs" dxfId="29085" priority="1442" operator="greaterThan">
      <formula>1</formula>
    </cfRule>
  </conditionalFormatting>
  <conditionalFormatting sqref="R40">
    <cfRule type="cellIs" dxfId="29084" priority="1439" operator="greaterThan">
      <formula>1</formula>
    </cfRule>
    <cfRule type="cellIs" dxfId="29083" priority="1440" operator="lessThan">
      <formula>0.8</formula>
    </cfRule>
  </conditionalFormatting>
  <conditionalFormatting sqref="P40">
    <cfRule type="cellIs" dxfId="29082" priority="1432" operator="greaterThan">
      <formula>0</formula>
    </cfRule>
  </conditionalFormatting>
  <conditionalFormatting sqref="Q40">
    <cfRule type="cellIs" dxfId="29081" priority="1437" operator="lessThan">
      <formula>0</formula>
    </cfRule>
  </conditionalFormatting>
  <conditionalFormatting sqref="R40">
    <cfRule type="cellIs" dxfId="29080" priority="1435" operator="lessThan">
      <formula>0.8</formula>
    </cfRule>
    <cfRule type="cellIs" dxfId="29079" priority="1436" operator="greaterThan">
      <formula>1</formula>
    </cfRule>
  </conditionalFormatting>
  <conditionalFormatting sqref="R40">
    <cfRule type="cellIs" dxfId="29078" priority="1433" operator="greaterThan">
      <formula>1</formula>
    </cfRule>
    <cfRule type="cellIs" dxfId="29077" priority="1434" operator="lessThan">
      <formula>0.8</formula>
    </cfRule>
  </conditionalFormatting>
  <conditionalFormatting sqref="Q40">
    <cfRule type="cellIs" dxfId="29076" priority="1431" operator="lessThan">
      <formula>0</formula>
    </cfRule>
  </conditionalFormatting>
  <conditionalFormatting sqref="R40">
    <cfRule type="cellIs" dxfId="29075" priority="1429" operator="lessThan">
      <formula>0.8</formula>
    </cfRule>
    <cfRule type="cellIs" dxfId="29074" priority="1430" operator="greaterThan">
      <formula>1</formula>
    </cfRule>
  </conditionalFormatting>
  <conditionalFormatting sqref="R40">
    <cfRule type="cellIs" dxfId="29073" priority="1427" operator="greaterThan">
      <formula>1</formula>
    </cfRule>
    <cfRule type="cellIs" dxfId="29072" priority="1428" operator="lessThan">
      <formula>0.8</formula>
    </cfRule>
  </conditionalFormatting>
  <conditionalFormatting sqref="P40">
    <cfRule type="cellIs" dxfId="29071" priority="1426" operator="greaterThan">
      <formula>0</formula>
    </cfRule>
  </conditionalFormatting>
  <conditionalFormatting sqref="P40">
    <cfRule type="cellIs" dxfId="29070" priority="1420" operator="greaterThan">
      <formula>0</formula>
    </cfRule>
  </conditionalFormatting>
  <conditionalFormatting sqref="Q40">
    <cfRule type="cellIs" dxfId="29069" priority="1425" operator="lessThan">
      <formula>0</formula>
    </cfRule>
  </conditionalFormatting>
  <conditionalFormatting sqref="R40">
    <cfRule type="cellIs" dxfId="29068" priority="1423" operator="lessThan">
      <formula>0.8</formula>
    </cfRule>
    <cfRule type="cellIs" dxfId="29067" priority="1424" operator="greaterThan">
      <formula>1</formula>
    </cfRule>
  </conditionalFormatting>
  <conditionalFormatting sqref="R40">
    <cfRule type="cellIs" dxfId="29066" priority="1421" operator="greaterThan">
      <formula>1</formula>
    </cfRule>
    <cfRule type="cellIs" dxfId="29065" priority="1422" operator="lessThan">
      <formula>0.8</formula>
    </cfRule>
  </conditionalFormatting>
  <conditionalFormatting sqref="P40">
    <cfRule type="cellIs" dxfId="29064" priority="1414" operator="greaterThan">
      <formula>0</formula>
    </cfRule>
  </conditionalFormatting>
  <conditionalFormatting sqref="Q40">
    <cfRule type="cellIs" dxfId="29063" priority="1419" operator="lessThan">
      <formula>0</formula>
    </cfRule>
  </conditionalFormatting>
  <conditionalFormatting sqref="R40">
    <cfRule type="cellIs" dxfId="29062" priority="1417" operator="lessThan">
      <formula>0.8</formula>
    </cfRule>
    <cfRule type="cellIs" dxfId="29061" priority="1418" operator="greaterThan">
      <formula>1</formula>
    </cfRule>
  </conditionalFormatting>
  <conditionalFormatting sqref="R40">
    <cfRule type="cellIs" dxfId="29060" priority="1415" operator="greaterThan">
      <formula>1</formula>
    </cfRule>
    <cfRule type="cellIs" dxfId="29059" priority="1416" operator="lessThan">
      <formula>0.8</formula>
    </cfRule>
  </conditionalFormatting>
  <conditionalFormatting sqref="P40">
    <cfRule type="cellIs" dxfId="29058" priority="1408" operator="greaterThan">
      <formula>0</formula>
    </cfRule>
  </conditionalFormatting>
  <conditionalFormatting sqref="Q40">
    <cfRule type="cellIs" dxfId="29057" priority="1413" operator="lessThan">
      <formula>0</formula>
    </cfRule>
  </conditionalFormatting>
  <conditionalFormatting sqref="R40">
    <cfRule type="cellIs" dxfId="29056" priority="1411" operator="lessThan">
      <formula>0.8</formula>
    </cfRule>
    <cfRule type="cellIs" dxfId="29055" priority="1412" operator="greaterThan">
      <formula>1</formula>
    </cfRule>
  </conditionalFormatting>
  <conditionalFormatting sqref="R40">
    <cfRule type="cellIs" dxfId="29054" priority="1409" operator="greaterThan">
      <formula>1</formula>
    </cfRule>
    <cfRule type="cellIs" dxfId="29053" priority="1410" operator="lessThan">
      <formula>0.8</formula>
    </cfRule>
  </conditionalFormatting>
  <conditionalFormatting sqref="Q40">
    <cfRule type="cellIs" dxfId="29052" priority="1402" operator="lessThan">
      <formula>0</formula>
    </cfRule>
  </conditionalFormatting>
  <conditionalFormatting sqref="P40">
    <cfRule type="cellIs" dxfId="29051" priority="1403" operator="greaterThan">
      <formula>0</formula>
    </cfRule>
  </conditionalFormatting>
  <conditionalFormatting sqref="R40">
    <cfRule type="cellIs" dxfId="29050" priority="1406" operator="lessThan">
      <formula>0.8</formula>
    </cfRule>
    <cfRule type="cellIs" dxfId="29049" priority="1407" operator="greaterThan">
      <formula>1</formula>
    </cfRule>
  </conditionalFormatting>
  <conditionalFormatting sqref="R40">
    <cfRule type="cellIs" dxfId="29048" priority="1404" operator="greaterThan">
      <formula>1</formula>
    </cfRule>
    <cfRule type="cellIs" dxfId="29047" priority="1405" operator="lessThan">
      <formula>0.8</formula>
    </cfRule>
  </conditionalFormatting>
  <conditionalFormatting sqref="Q40">
    <cfRule type="cellIs" dxfId="29046" priority="1396" operator="lessThan">
      <formula>0</formula>
    </cfRule>
  </conditionalFormatting>
  <conditionalFormatting sqref="R40">
    <cfRule type="cellIs" dxfId="29045" priority="1400" operator="lessThan">
      <formula>0.8</formula>
    </cfRule>
    <cfRule type="cellIs" dxfId="29044" priority="1401" operator="greaterThan">
      <formula>1</formula>
    </cfRule>
  </conditionalFormatting>
  <conditionalFormatting sqref="R40">
    <cfRule type="cellIs" dxfId="29043" priority="1398" operator="greaterThan">
      <formula>1</formula>
    </cfRule>
    <cfRule type="cellIs" dxfId="29042" priority="1399" operator="lessThan">
      <formula>0.8</formula>
    </cfRule>
  </conditionalFormatting>
  <conditionalFormatting sqref="P40">
    <cfRule type="cellIs" dxfId="29041" priority="1397" operator="greaterThan">
      <formula>0</formula>
    </cfRule>
  </conditionalFormatting>
  <conditionalFormatting sqref="Q40">
    <cfRule type="cellIs" dxfId="29040" priority="1395" operator="lessThan">
      <formula>0</formula>
    </cfRule>
  </conditionalFormatting>
  <conditionalFormatting sqref="R40">
    <cfRule type="cellIs" dxfId="29039" priority="1393" operator="lessThan">
      <formula>0.8</formula>
    </cfRule>
    <cfRule type="cellIs" dxfId="29038" priority="1394" operator="greaterThan">
      <formula>1</formula>
    </cfRule>
  </conditionalFormatting>
  <conditionalFormatting sqref="R40">
    <cfRule type="cellIs" dxfId="29037" priority="1391" operator="greaterThan">
      <formula>1</formula>
    </cfRule>
    <cfRule type="cellIs" dxfId="29036" priority="1392" operator="lessThan">
      <formula>0.8</formula>
    </cfRule>
  </conditionalFormatting>
  <conditionalFormatting sqref="P40">
    <cfRule type="cellIs" dxfId="29035" priority="1390" operator="greaterThan">
      <formula>0</formula>
    </cfRule>
  </conditionalFormatting>
  <conditionalFormatting sqref="Q40">
    <cfRule type="cellIs" dxfId="29034" priority="1389" operator="lessThan">
      <formula>0</formula>
    </cfRule>
  </conditionalFormatting>
  <conditionalFormatting sqref="R40">
    <cfRule type="cellIs" dxfId="29033" priority="1387" operator="lessThan">
      <formula>0.8</formula>
    </cfRule>
    <cfRule type="cellIs" dxfId="29032" priority="1388" operator="greaterThan">
      <formula>1</formula>
    </cfRule>
  </conditionalFormatting>
  <conditionalFormatting sqref="R40">
    <cfRule type="cellIs" dxfId="29031" priority="1385" operator="greaterThan">
      <formula>1</formula>
    </cfRule>
    <cfRule type="cellIs" dxfId="29030" priority="1386" operator="lessThan">
      <formula>0.8</formula>
    </cfRule>
  </conditionalFormatting>
  <conditionalFormatting sqref="P40">
    <cfRule type="cellIs" dxfId="29029" priority="1384" operator="greaterThan">
      <formula>0</formula>
    </cfRule>
  </conditionalFormatting>
  <conditionalFormatting sqref="Q32:Q39">
    <cfRule type="cellIs" dxfId="29028" priority="1383" operator="lessThan">
      <formula>0</formula>
    </cfRule>
  </conditionalFormatting>
  <conditionalFormatting sqref="R32:R39">
    <cfRule type="cellIs" dxfId="29027" priority="1381" operator="lessThan">
      <formula>0.8</formula>
    </cfRule>
    <cfRule type="cellIs" dxfId="29026" priority="1382" operator="greaterThan">
      <formula>1</formula>
    </cfRule>
  </conditionalFormatting>
  <conditionalFormatting sqref="R32:R39">
    <cfRule type="cellIs" dxfId="29025" priority="1379" operator="greaterThan">
      <formula>1</formula>
    </cfRule>
    <cfRule type="cellIs" dxfId="29024" priority="1380" operator="lessThan">
      <formula>0.8</formula>
    </cfRule>
  </conditionalFormatting>
  <conditionalFormatting sqref="P32:P39">
    <cfRule type="cellIs" dxfId="29023" priority="1378" operator="greaterThan">
      <formula>0</formula>
    </cfRule>
  </conditionalFormatting>
  <conditionalFormatting sqref="Q32:Q39">
    <cfRule type="cellIs" dxfId="29022" priority="1377" operator="lessThan">
      <formula>0</formula>
    </cfRule>
  </conditionalFormatting>
  <conditionalFormatting sqref="R32:R39">
    <cfRule type="cellIs" dxfId="29021" priority="1375" operator="lessThan">
      <formula>0.8</formula>
    </cfRule>
    <cfRule type="cellIs" dxfId="29020" priority="1376" operator="greaterThan">
      <formula>1</formula>
    </cfRule>
  </conditionalFormatting>
  <conditionalFormatting sqref="R32:R39">
    <cfRule type="cellIs" dxfId="29019" priority="1373" operator="greaterThan">
      <formula>1</formula>
    </cfRule>
    <cfRule type="cellIs" dxfId="29018" priority="1374" operator="lessThan">
      <formula>0.8</formula>
    </cfRule>
  </conditionalFormatting>
  <conditionalFormatting sqref="P32:P39">
    <cfRule type="cellIs" dxfId="29017" priority="1372" operator="greaterThan">
      <formula>0</formula>
    </cfRule>
  </conditionalFormatting>
  <conditionalFormatting sqref="Q32:Q39">
    <cfRule type="cellIs" dxfId="29016" priority="1371" operator="lessThan">
      <formula>0</formula>
    </cfRule>
  </conditionalFormatting>
  <conditionalFormatting sqref="R32:R39">
    <cfRule type="cellIs" dxfId="29015" priority="1369" operator="lessThan">
      <formula>0.8</formula>
    </cfRule>
    <cfRule type="cellIs" dxfId="29014" priority="1370" operator="greaterThan">
      <formula>1</formula>
    </cfRule>
  </conditionalFormatting>
  <conditionalFormatting sqref="R32:R39">
    <cfRule type="cellIs" dxfId="29013" priority="1367" operator="greaterThan">
      <formula>1</formula>
    </cfRule>
    <cfRule type="cellIs" dxfId="29012" priority="1368" operator="lessThan">
      <formula>0.8</formula>
    </cfRule>
  </conditionalFormatting>
  <conditionalFormatting sqref="P32:P39">
    <cfRule type="cellIs" dxfId="29011" priority="1366" operator="greaterThan">
      <formula>0</formula>
    </cfRule>
  </conditionalFormatting>
  <conditionalFormatting sqref="Q32:Q39">
    <cfRule type="cellIs" dxfId="29010" priority="1365" operator="lessThan">
      <formula>0</formula>
    </cfRule>
  </conditionalFormatting>
  <conditionalFormatting sqref="R32:R39">
    <cfRule type="cellIs" dxfId="29009" priority="1363" operator="lessThan">
      <formula>0.8</formula>
    </cfRule>
    <cfRule type="cellIs" dxfId="29008" priority="1364" operator="greaterThan">
      <formula>1</formula>
    </cfRule>
  </conditionalFormatting>
  <conditionalFormatting sqref="R32:R39">
    <cfRule type="cellIs" dxfId="29007" priority="1361" operator="greaterThan">
      <formula>1</formula>
    </cfRule>
    <cfRule type="cellIs" dxfId="29006" priority="1362" operator="lessThan">
      <formula>0.8</formula>
    </cfRule>
  </conditionalFormatting>
  <conditionalFormatting sqref="P32:P39">
    <cfRule type="cellIs" dxfId="29005" priority="1360" operator="greaterThan">
      <formula>0</formula>
    </cfRule>
  </conditionalFormatting>
  <conditionalFormatting sqref="P32:P39">
    <cfRule type="cellIs" dxfId="29004" priority="1354" operator="greaterThan">
      <formula>0</formula>
    </cfRule>
  </conditionalFormatting>
  <conditionalFormatting sqref="Q32:Q39">
    <cfRule type="cellIs" dxfId="29003" priority="1359" operator="lessThan">
      <formula>0</formula>
    </cfRule>
  </conditionalFormatting>
  <conditionalFormatting sqref="R32:R39">
    <cfRule type="cellIs" dxfId="29002" priority="1357" operator="lessThan">
      <formula>0.8</formula>
    </cfRule>
    <cfRule type="cellIs" dxfId="29001" priority="1358" operator="greaterThan">
      <formula>1</formula>
    </cfRule>
  </conditionalFormatting>
  <conditionalFormatting sqref="R32:R39">
    <cfRule type="cellIs" dxfId="29000" priority="1355" operator="greaterThan">
      <formula>1</formula>
    </cfRule>
    <cfRule type="cellIs" dxfId="28999" priority="1356" operator="lessThan">
      <formula>0.8</formula>
    </cfRule>
  </conditionalFormatting>
  <conditionalFormatting sqref="P32:P39">
    <cfRule type="cellIs" dxfId="28998" priority="1348" operator="greaterThan">
      <formula>0</formula>
    </cfRule>
  </conditionalFormatting>
  <conditionalFormatting sqref="Q32:Q39">
    <cfRule type="cellIs" dxfId="28997" priority="1353" operator="lessThan">
      <formula>0</formula>
    </cfRule>
  </conditionalFormatting>
  <conditionalFormatting sqref="R32:R39">
    <cfRule type="cellIs" dxfId="28996" priority="1351" operator="lessThan">
      <formula>0.8</formula>
    </cfRule>
    <cfRule type="cellIs" dxfId="28995" priority="1352" operator="greaterThan">
      <formula>1</formula>
    </cfRule>
  </conditionalFormatting>
  <conditionalFormatting sqref="R32:R39">
    <cfRule type="cellIs" dxfId="28994" priority="1349" operator="greaterThan">
      <formula>1</formula>
    </cfRule>
    <cfRule type="cellIs" dxfId="28993" priority="1350" operator="lessThan">
      <formula>0.8</formula>
    </cfRule>
  </conditionalFormatting>
  <conditionalFormatting sqref="R32:R39">
    <cfRule type="cellIs" dxfId="28992" priority="1345" operator="lessThan">
      <formula>0.8</formula>
    </cfRule>
    <cfRule type="cellIs" dxfId="28991" priority="1346" operator="greaterThan">
      <formula>1</formula>
    </cfRule>
  </conditionalFormatting>
  <conditionalFormatting sqref="R32:R39">
    <cfRule type="cellIs" dxfId="28990" priority="1343" operator="greaterThan">
      <formula>1</formula>
    </cfRule>
    <cfRule type="cellIs" dxfId="28989" priority="1344" operator="lessThan">
      <formula>0.8</formula>
    </cfRule>
  </conditionalFormatting>
  <conditionalFormatting sqref="P32:P39">
    <cfRule type="cellIs" dxfId="28988" priority="1342" operator="greaterThan">
      <formula>0</formula>
    </cfRule>
  </conditionalFormatting>
  <conditionalFormatting sqref="Q32:Q39">
    <cfRule type="cellIs" dxfId="28987" priority="1347" operator="lessThan">
      <formula>0</formula>
    </cfRule>
  </conditionalFormatting>
  <conditionalFormatting sqref="Q32:Q39">
    <cfRule type="cellIs" dxfId="28986" priority="1341" operator="lessThan">
      <formula>0</formula>
    </cfRule>
  </conditionalFormatting>
  <conditionalFormatting sqref="R32:R39">
    <cfRule type="cellIs" dxfId="28985" priority="1339" operator="lessThan">
      <formula>0.8</formula>
    </cfRule>
    <cfRule type="cellIs" dxfId="28984" priority="1340" operator="greaterThan">
      <formula>1</formula>
    </cfRule>
  </conditionalFormatting>
  <conditionalFormatting sqref="R32:R39">
    <cfRule type="cellIs" dxfId="28983" priority="1337" operator="greaterThan">
      <formula>1</formula>
    </cfRule>
    <cfRule type="cellIs" dxfId="28982" priority="1338" operator="lessThan">
      <formula>0.8</formula>
    </cfRule>
  </conditionalFormatting>
  <conditionalFormatting sqref="P32:P39">
    <cfRule type="cellIs" dxfId="28981" priority="1336" operator="greaterThan">
      <formula>0</formula>
    </cfRule>
  </conditionalFormatting>
  <conditionalFormatting sqref="P32:P39">
    <cfRule type="cellIs" dxfId="28980" priority="1330" operator="greaterThan">
      <formula>0</formula>
    </cfRule>
  </conditionalFormatting>
  <conditionalFormatting sqref="Q32:Q39">
    <cfRule type="cellIs" dxfId="28979" priority="1335" operator="lessThan">
      <formula>0</formula>
    </cfRule>
  </conditionalFormatting>
  <conditionalFormatting sqref="R32:R39">
    <cfRule type="cellIs" dxfId="28978" priority="1333" operator="lessThan">
      <formula>0.8</formula>
    </cfRule>
    <cfRule type="cellIs" dxfId="28977" priority="1334" operator="greaterThan">
      <formula>1</formula>
    </cfRule>
  </conditionalFormatting>
  <conditionalFormatting sqref="R32:R39">
    <cfRule type="cellIs" dxfId="28976" priority="1331" operator="greaterThan">
      <formula>1</formula>
    </cfRule>
    <cfRule type="cellIs" dxfId="28975" priority="1332" operator="lessThan">
      <formula>0.8</formula>
    </cfRule>
  </conditionalFormatting>
  <conditionalFormatting sqref="P32:P39">
    <cfRule type="cellIs" dxfId="28974" priority="1324" operator="greaterThan">
      <formula>0</formula>
    </cfRule>
  </conditionalFormatting>
  <conditionalFormatting sqref="Q32:Q39">
    <cfRule type="cellIs" dxfId="28973" priority="1329" operator="lessThan">
      <formula>0</formula>
    </cfRule>
  </conditionalFormatting>
  <conditionalFormatting sqref="R32:R39">
    <cfRule type="cellIs" dxfId="28972" priority="1327" operator="lessThan">
      <formula>0.8</formula>
    </cfRule>
    <cfRule type="cellIs" dxfId="28971" priority="1328" operator="greaterThan">
      <formula>1</formula>
    </cfRule>
  </conditionalFormatting>
  <conditionalFormatting sqref="R32:R39">
    <cfRule type="cellIs" dxfId="28970" priority="1325" operator="greaterThan">
      <formula>1</formula>
    </cfRule>
    <cfRule type="cellIs" dxfId="28969" priority="1326" operator="lessThan">
      <formula>0.8</formula>
    </cfRule>
  </conditionalFormatting>
  <conditionalFormatting sqref="R32:R39">
    <cfRule type="cellIs" dxfId="28968" priority="1321" operator="lessThan">
      <formula>0.8</formula>
    </cfRule>
    <cfRule type="cellIs" dxfId="28967" priority="1322" operator="greaterThan">
      <formula>1</formula>
    </cfRule>
  </conditionalFormatting>
  <conditionalFormatting sqref="R32:R39">
    <cfRule type="cellIs" dxfId="28966" priority="1319" operator="greaterThan">
      <formula>1</formula>
    </cfRule>
    <cfRule type="cellIs" dxfId="28965" priority="1320" operator="lessThan">
      <formula>0.8</formula>
    </cfRule>
  </conditionalFormatting>
  <conditionalFormatting sqref="P32:P39">
    <cfRule type="cellIs" dxfId="28964" priority="1318" operator="greaterThan">
      <formula>0</formula>
    </cfRule>
  </conditionalFormatting>
  <conditionalFormatting sqref="Q32:Q39">
    <cfRule type="cellIs" dxfId="28963" priority="1323" operator="lessThan">
      <formula>0</formula>
    </cfRule>
  </conditionalFormatting>
  <conditionalFormatting sqref="P32:P39">
    <cfRule type="cellIs" dxfId="28962" priority="1312" operator="greaterThan">
      <formula>0</formula>
    </cfRule>
  </conditionalFormatting>
  <conditionalFormatting sqref="Q32:Q39">
    <cfRule type="cellIs" dxfId="28961" priority="1317" operator="lessThan">
      <formula>0</formula>
    </cfRule>
  </conditionalFormatting>
  <conditionalFormatting sqref="R32:R39">
    <cfRule type="cellIs" dxfId="28960" priority="1315" operator="lessThan">
      <formula>0.8</formula>
    </cfRule>
    <cfRule type="cellIs" dxfId="28959" priority="1316" operator="greaterThan">
      <formula>1</formula>
    </cfRule>
  </conditionalFormatting>
  <conditionalFormatting sqref="R32:R39">
    <cfRule type="cellIs" dxfId="28958" priority="1313" operator="greaterThan">
      <formula>1</formula>
    </cfRule>
    <cfRule type="cellIs" dxfId="28957" priority="1314" operator="lessThan">
      <formula>0.8</formula>
    </cfRule>
  </conditionalFormatting>
  <conditionalFormatting sqref="R32:R39">
    <cfRule type="cellIs" dxfId="28956" priority="1309" operator="lessThan">
      <formula>0.8</formula>
    </cfRule>
    <cfRule type="cellIs" dxfId="28955" priority="1310" operator="greaterThan">
      <formula>1</formula>
    </cfRule>
  </conditionalFormatting>
  <conditionalFormatting sqref="R32:R39">
    <cfRule type="cellIs" dxfId="28954" priority="1307" operator="greaterThan">
      <formula>1</formula>
    </cfRule>
    <cfRule type="cellIs" dxfId="28953" priority="1308" operator="lessThan">
      <formula>0.8</formula>
    </cfRule>
  </conditionalFormatting>
  <conditionalFormatting sqref="P32:P39">
    <cfRule type="cellIs" dxfId="28952" priority="1306" operator="greaterThan">
      <formula>0</formula>
    </cfRule>
  </conditionalFormatting>
  <conditionalFormatting sqref="Q32:Q39">
    <cfRule type="cellIs" dxfId="28951" priority="1311" operator="lessThan">
      <formula>0</formula>
    </cfRule>
  </conditionalFormatting>
  <conditionalFormatting sqref="R32:R39">
    <cfRule type="cellIs" dxfId="28950" priority="1303" operator="lessThan">
      <formula>0.8</formula>
    </cfRule>
    <cfRule type="cellIs" dxfId="28949" priority="1304" operator="greaterThan">
      <formula>1</formula>
    </cfRule>
  </conditionalFormatting>
  <conditionalFormatting sqref="R32:R39">
    <cfRule type="cellIs" dxfId="28948" priority="1301" operator="greaterThan">
      <formula>1</formula>
    </cfRule>
    <cfRule type="cellIs" dxfId="28947" priority="1302" operator="lessThan">
      <formula>0.8</formula>
    </cfRule>
  </conditionalFormatting>
  <conditionalFormatting sqref="P32:P39">
    <cfRule type="cellIs" dxfId="28946" priority="1300" operator="greaterThan">
      <formula>0</formula>
    </cfRule>
  </conditionalFormatting>
  <conditionalFormatting sqref="Q32:Q39">
    <cfRule type="cellIs" dxfId="28945" priority="1305" operator="lessThan">
      <formula>0</formula>
    </cfRule>
  </conditionalFormatting>
  <conditionalFormatting sqref="Q32:Q39">
    <cfRule type="cellIs" dxfId="28944" priority="1299" operator="lessThan">
      <formula>0</formula>
    </cfRule>
  </conditionalFormatting>
  <conditionalFormatting sqref="R32:R39">
    <cfRule type="cellIs" dxfId="28943" priority="1297" operator="lessThan">
      <formula>0.8</formula>
    </cfRule>
    <cfRule type="cellIs" dxfId="28942" priority="1298" operator="greaterThan">
      <formula>1</formula>
    </cfRule>
  </conditionalFormatting>
  <conditionalFormatting sqref="R32:R39">
    <cfRule type="cellIs" dxfId="28941" priority="1295" operator="greaterThan">
      <formula>1</formula>
    </cfRule>
    <cfRule type="cellIs" dxfId="28940" priority="1296" operator="lessThan">
      <formula>0.8</formula>
    </cfRule>
  </conditionalFormatting>
  <conditionalFormatting sqref="P32:P39">
    <cfRule type="cellIs" dxfId="28939" priority="1294" operator="greaterThan">
      <formula>0</formula>
    </cfRule>
  </conditionalFormatting>
  <conditionalFormatting sqref="Q32:Q39">
    <cfRule type="cellIs" dxfId="28938" priority="1288" operator="lessThan">
      <formula>0</formula>
    </cfRule>
  </conditionalFormatting>
  <conditionalFormatting sqref="R32:R39">
    <cfRule type="cellIs" dxfId="28937" priority="1292" operator="lessThan">
      <formula>0.8</formula>
    </cfRule>
    <cfRule type="cellIs" dxfId="28936" priority="1293" operator="greaterThan">
      <formula>1</formula>
    </cfRule>
  </conditionalFormatting>
  <conditionalFormatting sqref="R32:R39">
    <cfRule type="cellIs" dxfId="28935" priority="1290" operator="greaterThan">
      <formula>1</formula>
    </cfRule>
    <cfRule type="cellIs" dxfId="28934" priority="1291" operator="lessThan">
      <formula>0.8</formula>
    </cfRule>
  </conditionalFormatting>
  <conditionalFormatting sqref="P32:P39">
    <cfRule type="cellIs" dxfId="28933" priority="1289" operator="greaterThan">
      <formula>0</formula>
    </cfRule>
  </conditionalFormatting>
  <conditionalFormatting sqref="Q32:Q39">
    <cfRule type="cellIs" dxfId="28932" priority="1287" operator="lessThan">
      <formula>0</formula>
    </cfRule>
  </conditionalFormatting>
  <conditionalFormatting sqref="R32:R39">
    <cfRule type="cellIs" dxfId="28931" priority="1285" operator="lessThan">
      <formula>0.8</formula>
    </cfRule>
    <cfRule type="cellIs" dxfId="28930" priority="1286" operator="greaterThan">
      <formula>1</formula>
    </cfRule>
  </conditionalFormatting>
  <conditionalFormatting sqref="R32:R39">
    <cfRule type="cellIs" dxfId="28929" priority="1283" operator="greaterThan">
      <formula>1</formula>
    </cfRule>
    <cfRule type="cellIs" dxfId="28928" priority="1284" operator="lessThan">
      <formula>0.8</formula>
    </cfRule>
  </conditionalFormatting>
  <conditionalFormatting sqref="P32:P39">
    <cfRule type="cellIs" dxfId="28927" priority="1282" operator="greaterThan">
      <formula>0</formula>
    </cfRule>
  </conditionalFormatting>
  <conditionalFormatting sqref="Q32:Q39">
    <cfRule type="cellIs" dxfId="28926" priority="1281" operator="lessThan">
      <formula>0</formula>
    </cfRule>
  </conditionalFormatting>
  <conditionalFormatting sqref="R32:R39">
    <cfRule type="cellIs" dxfId="28925" priority="1279" operator="lessThan">
      <formula>0.8</formula>
    </cfRule>
    <cfRule type="cellIs" dxfId="28924" priority="1280" operator="greaterThan">
      <formula>1</formula>
    </cfRule>
  </conditionalFormatting>
  <conditionalFormatting sqref="R32:R39">
    <cfRule type="cellIs" dxfId="28923" priority="1277" operator="greaterThan">
      <formula>1</formula>
    </cfRule>
    <cfRule type="cellIs" dxfId="28922" priority="1278" operator="lessThan">
      <formula>0.8</formula>
    </cfRule>
  </conditionalFormatting>
  <conditionalFormatting sqref="P32:P39">
    <cfRule type="cellIs" dxfId="28921" priority="1276" operator="greaterThan">
      <formula>0</formula>
    </cfRule>
  </conditionalFormatting>
  <conditionalFormatting sqref="Q32:Q39">
    <cfRule type="cellIs" dxfId="28920" priority="1275" operator="lessThan">
      <formula>0</formula>
    </cfRule>
  </conditionalFormatting>
  <conditionalFormatting sqref="R32:R39">
    <cfRule type="cellIs" dxfId="28919" priority="1273" operator="lessThan">
      <formula>0.8</formula>
    </cfRule>
    <cfRule type="cellIs" dxfId="28918" priority="1274" operator="greaterThan">
      <formula>1</formula>
    </cfRule>
  </conditionalFormatting>
  <conditionalFormatting sqref="R32:R39">
    <cfRule type="cellIs" dxfId="28917" priority="1271" operator="greaterThan">
      <formula>1</formula>
    </cfRule>
    <cfRule type="cellIs" dxfId="28916" priority="1272" operator="lessThan">
      <formula>0.8</formula>
    </cfRule>
  </conditionalFormatting>
  <conditionalFormatting sqref="P32:P39">
    <cfRule type="cellIs" dxfId="28915" priority="1270" operator="greaterThan">
      <formula>0</formula>
    </cfRule>
  </conditionalFormatting>
  <conditionalFormatting sqref="Q32:Q39">
    <cfRule type="cellIs" dxfId="28914" priority="1269" operator="lessThan">
      <formula>0</formula>
    </cfRule>
  </conditionalFormatting>
  <conditionalFormatting sqref="R32:R39">
    <cfRule type="cellIs" dxfId="28913" priority="1267" operator="lessThan">
      <formula>0.8</formula>
    </cfRule>
    <cfRule type="cellIs" dxfId="28912" priority="1268" operator="greaterThan">
      <formula>1</formula>
    </cfRule>
  </conditionalFormatting>
  <conditionalFormatting sqref="R32:R39">
    <cfRule type="cellIs" dxfId="28911" priority="1265" operator="greaterThan">
      <formula>1</formula>
    </cfRule>
    <cfRule type="cellIs" dxfId="28910" priority="1266" operator="lessThan">
      <formula>0.8</formula>
    </cfRule>
  </conditionalFormatting>
  <conditionalFormatting sqref="P32:P39">
    <cfRule type="cellIs" dxfId="28909" priority="1264" operator="greaterThan">
      <formula>0</formula>
    </cfRule>
  </conditionalFormatting>
  <conditionalFormatting sqref="Q32:Q39">
    <cfRule type="cellIs" dxfId="28908" priority="1263" operator="lessThan">
      <formula>0</formula>
    </cfRule>
  </conditionalFormatting>
  <conditionalFormatting sqref="R32:R39">
    <cfRule type="cellIs" dxfId="28907" priority="1261" operator="lessThan">
      <formula>0.8</formula>
    </cfRule>
    <cfRule type="cellIs" dxfId="28906" priority="1262" operator="greaterThan">
      <formula>1</formula>
    </cfRule>
  </conditionalFormatting>
  <conditionalFormatting sqref="R32:R39">
    <cfRule type="cellIs" dxfId="28905" priority="1259" operator="greaterThan">
      <formula>1</formula>
    </cfRule>
    <cfRule type="cellIs" dxfId="28904" priority="1260" operator="lessThan">
      <formula>0.8</formula>
    </cfRule>
  </conditionalFormatting>
  <conditionalFormatting sqref="P32:P39">
    <cfRule type="cellIs" dxfId="28903" priority="1258" operator="greaterThan">
      <formula>0</formula>
    </cfRule>
  </conditionalFormatting>
  <conditionalFormatting sqref="P32:P39">
    <cfRule type="cellIs" dxfId="28902" priority="1252" operator="greaterThan">
      <formula>0</formula>
    </cfRule>
  </conditionalFormatting>
  <conditionalFormatting sqref="Q32:Q39">
    <cfRule type="cellIs" dxfId="28901" priority="1257" operator="lessThan">
      <formula>0</formula>
    </cfRule>
  </conditionalFormatting>
  <conditionalFormatting sqref="R32:R39">
    <cfRule type="cellIs" dxfId="28900" priority="1255" operator="lessThan">
      <formula>0.8</formula>
    </cfRule>
    <cfRule type="cellIs" dxfId="28899" priority="1256" operator="greaterThan">
      <formula>1</formula>
    </cfRule>
  </conditionalFormatting>
  <conditionalFormatting sqref="R32:R39">
    <cfRule type="cellIs" dxfId="28898" priority="1253" operator="greaterThan">
      <formula>1</formula>
    </cfRule>
    <cfRule type="cellIs" dxfId="28897" priority="1254" operator="lessThan">
      <formula>0.8</formula>
    </cfRule>
  </conditionalFormatting>
  <conditionalFormatting sqref="P32:P39">
    <cfRule type="cellIs" dxfId="28896" priority="1246" operator="greaterThan">
      <formula>0</formula>
    </cfRule>
  </conditionalFormatting>
  <conditionalFormatting sqref="Q32:Q39">
    <cfRule type="cellIs" dxfId="28895" priority="1251" operator="lessThan">
      <formula>0</formula>
    </cfRule>
  </conditionalFormatting>
  <conditionalFormatting sqref="R32:R39">
    <cfRule type="cellIs" dxfId="28894" priority="1249" operator="lessThan">
      <formula>0.8</formula>
    </cfRule>
    <cfRule type="cellIs" dxfId="28893" priority="1250" operator="greaterThan">
      <formula>1</formula>
    </cfRule>
  </conditionalFormatting>
  <conditionalFormatting sqref="R32:R39">
    <cfRule type="cellIs" dxfId="28892" priority="1247" operator="greaterThan">
      <formula>1</formula>
    </cfRule>
    <cfRule type="cellIs" dxfId="28891" priority="1248" operator="lessThan">
      <formula>0.8</formula>
    </cfRule>
  </conditionalFormatting>
  <conditionalFormatting sqref="R32:R39">
    <cfRule type="cellIs" dxfId="28890" priority="1243" operator="lessThan">
      <formula>0.8</formula>
    </cfRule>
    <cfRule type="cellIs" dxfId="28889" priority="1244" operator="greaterThan">
      <formula>1</formula>
    </cfRule>
  </conditionalFormatting>
  <conditionalFormatting sqref="R32:R39">
    <cfRule type="cellIs" dxfId="28888" priority="1241" operator="greaterThan">
      <formula>1</formula>
    </cfRule>
    <cfRule type="cellIs" dxfId="28887" priority="1242" operator="lessThan">
      <formula>0.8</formula>
    </cfRule>
  </conditionalFormatting>
  <conditionalFormatting sqref="P32:P39">
    <cfRule type="cellIs" dxfId="28886" priority="1240" operator="greaterThan">
      <formula>0</formula>
    </cfRule>
  </conditionalFormatting>
  <conditionalFormatting sqref="Q32:Q39">
    <cfRule type="cellIs" dxfId="28885" priority="1245" operator="lessThan">
      <formula>0</formula>
    </cfRule>
  </conditionalFormatting>
  <conditionalFormatting sqref="Q32:Q39">
    <cfRule type="cellIs" dxfId="28884" priority="1234" operator="lessThan">
      <formula>0</formula>
    </cfRule>
  </conditionalFormatting>
  <conditionalFormatting sqref="P32:P39">
    <cfRule type="cellIs" dxfId="28883" priority="1235" operator="greaterThan">
      <formula>0</formula>
    </cfRule>
  </conditionalFormatting>
  <conditionalFormatting sqref="R32:R39">
    <cfRule type="cellIs" dxfId="28882" priority="1238" operator="lessThan">
      <formula>0.8</formula>
    </cfRule>
    <cfRule type="cellIs" dxfId="28881" priority="1239" operator="greaterThan">
      <formula>1</formula>
    </cfRule>
  </conditionalFormatting>
  <conditionalFormatting sqref="R32:R39">
    <cfRule type="cellIs" dxfId="28880" priority="1236" operator="greaterThan">
      <formula>1</formula>
    </cfRule>
    <cfRule type="cellIs" dxfId="28879" priority="1237" operator="lessThan">
      <formula>0.8</formula>
    </cfRule>
  </conditionalFormatting>
  <conditionalFormatting sqref="Q32:Q39">
    <cfRule type="cellIs" dxfId="28878" priority="1228" operator="lessThan">
      <formula>0</formula>
    </cfRule>
  </conditionalFormatting>
  <conditionalFormatting sqref="R32:R39">
    <cfRule type="cellIs" dxfId="28877" priority="1232" operator="lessThan">
      <formula>0.8</formula>
    </cfRule>
    <cfRule type="cellIs" dxfId="28876" priority="1233" operator="greaterThan">
      <formula>1</formula>
    </cfRule>
  </conditionalFormatting>
  <conditionalFormatting sqref="R32:R39">
    <cfRule type="cellIs" dxfId="28875" priority="1230" operator="greaterThan">
      <formula>1</formula>
    </cfRule>
    <cfRule type="cellIs" dxfId="28874" priority="1231" operator="lessThan">
      <formula>0.8</formula>
    </cfRule>
  </conditionalFormatting>
  <conditionalFormatting sqref="P32:P39">
    <cfRule type="cellIs" dxfId="28873" priority="1229" operator="greaterThan">
      <formula>0</formula>
    </cfRule>
  </conditionalFormatting>
  <conditionalFormatting sqref="Q32:Q39">
    <cfRule type="cellIs" dxfId="28872" priority="1227" operator="lessThan">
      <formula>0</formula>
    </cfRule>
  </conditionalFormatting>
  <conditionalFormatting sqref="R32:R39">
    <cfRule type="cellIs" dxfId="28871" priority="1225" operator="lessThan">
      <formula>0.8</formula>
    </cfRule>
    <cfRule type="cellIs" dxfId="28870" priority="1226" operator="greaterThan">
      <formula>1</formula>
    </cfRule>
  </conditionalFormatting>
  <conditionalFormatting sqref="R32:R39">
    <cfRule type="cellIs" dxfId="28869" priority="1223" operator="greaterThan">
      <formula>1</formula>
    </cfRule>
    <cfRule type="cellIs" dxfId="28868" priority="1224" operator="lessThan">
      <formula>0.8</formula>
    </cfRule>
  </conditionalFormatting>
  <conditionalFormatting sqref="P32:P39">
    <cfRule type="cellIs" dxfId="28867" priority="1222" operator="greaterThan">
      <formula>0</formula>
    </cfRule>
  </conditionalFormatting>
  <conditionalFormatting sqref="Q32:Q39">
    <cfRule type="cellIs" dxfId="28866" priority="1221" operator="lessThan">
      <formula>0</formula>
    </cfRule>
  </conditionalFormatting>
  <conditionalFormatting sqref="R32:R39">
    <cfRule type="cellIs" dxfId="28865" priority="1219" operator="lessThan">
      <formula>0.8</formula>
    </cfRule>
    <cfRule type="cellIs" dxfId="28864" priority="1220" operator="greaterThan">
      <formula>1</formula>
    </cfRule>
  </conditionalFormatting>
  <conditionalFormatting sqref="R32:R39">
    <cfRule type="cellIs" dxfId="28863" priority="1217" operator="greaterThan">
      <formula>1</formula>
    </cfRule>
    <cfRule type="cellIs" dxfId="28862" priority="1218" operator="lessThan">
      <formula>0.8</formula>
    </cfRule>
  </conditionalFormatting>
  <conditionalFormatting sqref="P32:P39">
    <cfRule type="cellIs" dxfId="28861" priority="1216" operator="greaterThan">
      <formula>0</formula>
    </cfRule>
  </conditionalFormatting>
  <conditionalFormatting sqref="Q32:Q39">
    <cfRule type="cellIs" dxfId="28860" priority="1215" operator="lessThan">
      <formula>0</formula>
    </cfRule>
  </conditionalFormatting>
  <conditionalFormatting sqref="R32:R39">
    <cfRule type="cellIs" dxfId="28859" priority="1213" operator="lessThan">
      <formula>0.8</formula>
    </cfRule>
    <cfRule type="cellIs" dxfId="28858" priority="1214" operator="greaterThan">
      <formula>1</formula>
    </cfRule>
  </conditionalFormatting>
  <conditionalFormatting sqref="R32:R39">
    <cfRule type="cellIs" dxfId="28857" priority="1211" operator="greaterThan">
      <formula>1</formula>
    </cfRule>
    <cfRule type="cellIs" dxfId="28856" priority="1212" operator="lessThan">
      <formula>0.8</formula>
    </cfRule>
  </conditionalFormatting>
  <conditionalFormatting sqref="P32:P39">
    <cfRule type="cellIs" dxfId="28855" priority="1210" operator="greaterThan">
      <formula>0</formula>
    </cfRule>
  </conditionalFormatting>
  <conditionalFormatting sqref="Q32:Q39">
    <cfRule type="cellIs" dxfId="28854" priority="1209" operator="lessThan">
      <formula>0</formula>
    </cfRule>
  </conditionalFormatting>
  <conditionalFormatting sqref="R32:R39">
    <cfRule type="cellIs" dxfId="28853" priority="1207" operator="lessThan">
      <formula>0.8</formula>
    </cfRule>
    <cfRule type="cellIs" dxfId="28852" priority="1208" operator="greaterThan">
      <formula>1</formula>
    </cfRule>
  </conditionalFormatting>
  <conditionalFormatting sqref="R32:R39">
    <cfRule type="cellIs" dxfId="28851" priority="1205" operator="greaterThan">
      <formula>1</formula>
    </cfRule>
    <cfRule type="cellIs" dxfId="28850" priority="1206" operator="lessThan">
      <formula>0.8</formula>
    </cfRule>
  </conditionalFormatting>
  <conditionalFormatting sqref="P32:P39">
    <cfRule type="cellIs" dxfId="28849" priority="1204" operator="greaterThan">
      <formula>0</formula>
    </cfRule>
  </conditionalFormatting>
  <conditionalFormatting sqref="Q105">
    <cfRule type="cellIs" dxfId="28848" priority="1203" operator="lessThan">
      <formula>0</formula>
    </cfRule>
  </conditionalFormatting>
  <conditionalFormatting sqref="P105">
    <cfRule type="cellIs" dxfId="28847" priority="1202" operator="greaterThan">
      <formula>0</formula>
    </cfRule>
  </conditionalFormatting>
  <conditionalFormatting sqref="P105">
    <cfRule type="cellIs" dxfId="28846" priority="1200" operator="greaterThan">
      <formula>0</formula>
    </cfRule>
  </conditionalFormatting>
  <conditionalFormatting sqref="Q105">
    <cfRule type="cellIs" dxfId="28845" priority="1201" operator="lessThan">
      <formula>0</formula>
    </cfRule>
  </conditionalFormatting>
  <conditionalFormatting sqref="Q105">
    <cfRule type="cellIs" dxfId="28844" priority="1199" operator="lessThan">
      <formula>0</formula>
    </cfRule>
  </conditionalFormatting>
  <conditionalFormatting sqref="P105">
    <cfRule type="cellIs" dxfId="28843" priority="1198" operator="greaterThan">
      <formula>0</formula>
    </cfRule>
  </conditionalFormatting>
  <conditionalFormatting sqref="Q96:Q104">
    <cfRule type="cellIs" dxfId="28842" priority="1192" operator="lessThan">
      <formula>0</formula>
    </cfRule>
  </conditionalFormatting>
  <conditionalFormatting sqref="P96:P104">
    <cfRule type="cellIs" dxfId="28841" priority="1193" operator="greaterThan">
      <formula>0</formula>
    </cfRule>
  </conditionalFormatting>
  <conditionalFormatting sqref="R96:R105">
    <cfRule type="cellIs" dxfId="28840" priority="1196" operator="lessThan">
      <formula>0.8</formula>
    </cfRule>
    <cfRule type="cellIs" dxfId="28839" priority="1197" operator="greaterThan">
      <formula>1</formula>
    </cfRule>
  </conditionalFormatting>
  <conditionalFormatting sqref="R96:R105">
    <cfRule type="cellIs" dxfId="28838" priority="1194" operator="greaterThan">
      <formula>1</formula>
    </cfRule>
    <cfRule type="cellIs" dxfId="28837" priority="1195" operator="lessThan">
      <formula>0.8</formula>
    </cfRule>
  </conditionalFormatting>
  <conditionalFormatting sqref="Q96:Q104">
    <cfRule type="cellIs" dxfId="28836" priority="1186" operator="lessThan">
      <formula>0</formula>
    </cfRule>
  </conditionalFormatting>
  <conditionalFormatting sqref="R96:R105">
    <cfRule type="cellIs" dxfId="28835" priority="1190" operator="lessThan">
      <formula>0.8</formula>
    </cfRule>
    <cfRule type="cellIs" dxfId="28834" priority="1191" operator="greaterThan">
      <formula>1</formula>
    </cfRule>
  </conditionalFormatting>
  <conditionalFormatting sqref="R96:R105">
    <cfRule type="cellIs" dxfId="28833" priority="1188" operator="greaterThan">
      <formula>1</formula>
    </cfRule>
    <cfRule type="cellIs" dxfId="28832" priority="1189" operator="lessThan">
      <formula>0.8</formula>
    </cfRule>
  </conditionalFormatting>
  <conditionalFormatting sqref="P96:P104">
    <cfRule type="cellIs" dxfId="28831" priority="1187" operator="greaterThan">
      <formula>0</formula>
    </cfRule>
  </conditionalFormatting>
  <conditionalFormatting sqref="Q96:Q104">
    <cfRule type="cellIs" dxfId="28830" priority="1185" operator="lessThan">
      <formula>0</formula>
    </cfRule>
  </conditionalFormatting>
  <conditionalFormatting sqref="R96:R105">
    <cfRule type="cellIs" dxfId="28829" priority="1183" operator="lessThan">
      <formula>0.8</formula>
    </cfRule>
    <cfRule type="cellIs" dxfId="28828" priority="1184" operator="greaterThan">
      <formula>1</formula>
    </cfRule>
  </conditionalFormatting>
  <conditionalFormatting sqref="R96:R105">
    <cfRule type="cellIs" dxfId="28827" priority="1181" operator="greaterThan">
      <formula>1</formula>
    </cfRule>
    <cfRule type="cellIs" dxfId="28826" priority="1182" operator="lessThan">
      <formula>0.8</formula>
    </cfRule>
  </conditionalFormatting>
  <conditionalFormatting sqref="P96:P104">
    <cfRule type="cellIs" dxfId="28825" priority="1180" operator="greaterThan">
      <formula>0</formula>
    </cfRule>
  </conditionalFormatting>
  <conditionalFormatting sqref="Q96:Q104">
    <cfRule type="cellIs" dxfId="28824" priority="1179" operator="lessThan">
      <formula>0</formula>
    </cfRule>
  </conditionalFormatting>
  <conditionalFormatting sqref="R96:R105">
    <cfRule type="cellIs" dxfId="28823" priority="1177" operator="lessThan">
      <formula>0.8</formula>
    </cfRule>
    <cfRule type="cellIs" dxfId="28822" priority="1178" operator="greaterThan">
      <formula>1</formula>
    </cfRule>
  </conditionalFormatting>
  <conditionalFormatting sqref="R96:R105">
    <cfRule type="cellIs" dxfId="28821" priority="1175" operator="greaterThan">
      <formula>1</formula>
    </cfRule>
    <cfRule type="cellIs" dxfId="28820" priority="1176" operator="lessThan">
      <formula>0.8</formula>
    </cfRule>
  </conditionalFormatting>
  <conditionalFormatting sqref="P96:P104">
    <cfRule type="cellIs" dxfId="28819" priority="1174" operator="greaterThan">
      <formula>0</formula>
    </cfRule>
  </conditionalFormatting>
  <conditionalFormatting sqref="Q96:Q104">
    <cfRule type="cellIs" dxfId="28818" priority="1168" operator="lessThan">
      <formula>0</formula>
    </cfRule>
  </conditionalFormatting>
  <conditionalFormatting sqref="R96:R105">
    <cfRule type="cellIs" dxfId="28817" priority="1172" operator="lessThan">
      <formula>0.8</formula>
    </cfRule>
    <cfRule type="cellIs" dxfId="28816" priority="1173" operator="greaterThan">
      <formula>1</formula>
    </cfRule>
  </conditionalFormatting>
  <conditionalFormatting sqref="R96:R105">
    <cfRule type="cellIs" dxfId="28815" priority="1170" operator="greaterThan">
      <formula>1</formula>
    </cfRule>
    <cfRule type="cellIs" dxfId="28814" priority="1171" operator="lessThan">
      <formula>0.8</formula>
    </cfRule>
  </conditionalFormatting>
  <conditionalFormatting sqref="P96:P104">
    <cfRule type="cellIs" dxfId="28813" priority="1169" operator="greaterThan">
      <formula>0</formula>
    </cfRule>
  </conditionalFormatting>
  <conditionalFormatting sqref="Q96:Q104">
    <cfRule type="cellIs" dxfId="28812" priority="1167" operator="lessThan">
      <formula>0</formula>
    </cfRule>
  </conditionalFormatting>
  <conditionalFormatting sqref="R96:R105">
    <cfRule type="cellIs" dxfId="28811" priority="1165" operator="lessThan">
      <formula>0.8</formula>
    </cfRule>
    <cfRule type="cellIs" dxfId="28810" priority="1166" operator="greaterThan">
      <formula>1</formula>
    </cfRule>
  </conditionalFormatting>
  <conditionalFormatting sqref="R96:R105">
    <cfRule type="cellIs" dxfId="28809" priority="1163" operator="greaterThan">
      <formula>1</formula>
    </cfRule>
    <cfRule type="cellIs" dxfId="28808" priority="1164" operator="lessThan">
      <formula>0.8</formula>
    </cfRule>
  </conditionalFormatting>
  <conditionalFormatting sqref="P96:P104">
    <cfRule type="cellIs" dxfId="28807" priority="1162" operator="greaterThan">
      <formula>0</formula>
    </cfRule>
  </conditionalFormatting>
  <conditionalFormatting sqref="Q96:Q104">
    <cfRule type="cellIs" dxfId="28806" priority="1161" operator="lessThan">
      <formula>0</formula>
    </cfRule>
  </conditionalFormatting>
  <conditionalFormatting sqref="R96:R105">
    <cfRule type="cellIs" dxfId="28805" priority="1159" operator="lessThan">
      <formula>0.8</formula>
    </cfRule>
    <cfRule type="cellIs" dxfId="28804" priority="1160" operator="greaterThan">
      <formula>1</formula>
    </cfRule>
  </conditionalFormatting>
  <conditionalFormatting sqref="R96:R105">
    <cfRule type="cellIs" dxfId="28803" priority="1157" operator="greaterThan">
      <formula>1</formula>
    </cfRule>
    <cfRule type="cellIs" dxfId="28802" priority="1158" operator="lessThan">
      <formula>0.8</formula>
    </cfRule>
  </conditionalFormatting>
  <conditionalFormatting sqref="P96:P104">
    <cfRule type="cellIs" dxfId="28801" priority="1156" operator="greaterThan">
      <formula>0</formula>
    </cfRule>
  </conditionalFormatting>
  <conditionalFormatting sqref="Q96:Q104">
    <cfRule type="cellIs" dxfId="28800" priority="1155" operator="lessThan">
      <formula>0</formula>
    </cfRule>
  </conditionalFormatting>
  <conditionalFormatting sqref="R96:R105">
    <cfRule type="cellIs" dxfId="28799" priority="1153" operator="lessThan">
      <formula>0.8</formula>
    </cfRule>
    <cfRule type="cellIs" dxfId="28798" priority="1154" operator="greaterThan">
      <formula>1</formula>
    </cfRule>
  </conditionalFormatting>
  <conditionalFormatting sqref="R96:R105">
    <cfRule type="cellIs" dxfId="28797" priority="1151" operator="greaterThan">
      <formula>1</formula>
    </cfRule>
    <cfRule type="cellIs" dxfId="28796" priority="1152" operator="lessThan">
      <formula>0.8</formula>
    </cfRule>
  </conditionalFormatting>
  <conditionalFormatting sqref="P96:P104">
    <cfRule type="cellIs" dxfId="28795" priority="1150" operator="greaterThan">
      <formula>0</formula>
    </cfRule>
  </conditionalFormatting>
  <conditionalFormatting sqref="Q96:Q104">
    <cfRule type="cellIs" dxfId="28794" priority="1149" operator="lessThan">
      <formula>0</formula>
    </cfRule>
  </conditionalFormatting>
  <conditionalFormatting sqref="R96:R105">
    <cfRule type="cellIs" dxfId="28793" priority="1147" operator="lessThan">
      <formula>0.8</formula>
    </cfRule>
    <cfRule type="cellIs" dxfId="28792" priority="1148" operator="greaterThan">
      <formula>1</formula>
    </cfRule>
  </conditionalFormatting>
  <conditionalFormatting sqref="R96:R105">
    <cfRule type="cellIs" dxfId="28791" priority="1145" operator="greaterThan">
      <formula>1</formula>
    </cfRule>
    <cfRule type="cellIs" dxfId="28790" priority="1146" operator="lessThan">
      <formula>0.8</formula>
    </cfRule>
  </conditionalFormatting>
  <conditionalFormatting sqref="P96:P104">
    <cfRule type="cellIs" dxfId="28789" priority="1144" operator="greaterThan">
      <formula>0</formula>
    </cfRule>
  </conditionalFormatting>
  <conditionalFormatting sqref="Q96:Q104">
    <cfRule type="cellIs" dxfId="28788" priority="1143" operator="lessThan">
      <formula>0</formula>
    </cfRule>
  </conditionalFormatting>
  <conditionalFormatting sqref="R96:R105">
    <cfRule type="cellIs" dxfId="28787" priority="1141" operator="lessThan">
      <formula>0.8</formula>
    </cfRule>
    <cfRule type="cellIs" dxfId="28786" priority="1142" operator="greaterThan">
      <formula>1</formula>
    </cfRule>
  </conditionalFormatting>
  <conditionalFormatting sqref="R96:R105">
    <cfRule type="cellIs" dxfId="28785" priority="1139" operator="greaterThan">
      <formula>1</formula>
    </cfRule>
    <cfRule type="cellIs" dxfId="28784" priority="1140" operator="lessThan">
      <formula>0.8</formula>
    </cfRule>
  </conditionalFormatting>
  <conditionalFormatting sqref="P96:P104">
    <cfRule type="cellIs" dxfId="28783" priority="1138" operator="greaterThan">
      <formula>0</formula>
    </cfRule>
  </conditionalFormatting>
  <conditionalFormatting sqref="P96:P104">
    <cfRule type="cellIs" dxfId="28782" priority="1132" operator="greaterThan">
      <formula>0</formula>
    </cfRule>
  </conditionalFormatting>
  <conditionalFormatting sqref="Q96:Q104">
    <cfRule type="cellIs" dxfId="28781" priority="1137" operator="lessThan">
      <formula>0</formula>
    </cfRule>
  </conditionalFormatting>
  <conditionalFormatting sqref="R96:R105">
    <cfRule type="cellIs" dxfId="28780" priority="1135" operator="lessThan">
      <formula>0.8</formula>
    </cfRule>
    <cfRule type="cellIs" dxfId="28779" priority="1136" operator="greaterThan">
      <formula>1</formula>
    </cfRule>
  </conditionalFormatting>
  <conditionalFormatting sqref="R96:R105">
    <cfRule type="cellIs" dxfId="28778" priority="1133" operator="greaterThan">
      <formula>1</formula>
    </cfRule>
    <cfRule type="cellIs" dxfId="28777" priority="1134" operator="lessThan">
      <formula>0.8</formula>
    </cfRule>
  </conditionalFormatting>
  <conditionalFormatting sqref="P96:P104">
    <cfRule type="cellIs" dxfId="28776" priority="1126" operator="greaterThan">
      <formula>0</formula>
    </cfRule>
  </conditionalFormatting>
  <conditionalFormatting sqref="Q96:Q104">
    <cfRule type="cellIs" dxfId="28775" priority="1131" operator="lessThan">
      <formula>0</formula>
    </cfRule>
  </conditionalFormatting>
  <conditionalFormatting sqref="R96:R105">
    <cfRule type="cellIs" dxfId="28774" priority="1129" operator="lessThan">
      <formula>0.8</formula>
    </cfRule>
    <cfRule type="cellIs" dxfId="28773" priority="1130" operator="greaterThan">
      <formula>1</formula>
    </cfRule>
  </conditionalFormatting>
  <conditionalFormatting sqref="R96:R105">
    <cfRule type="cellIs" dxfId="28772" priority="1127" operator="greaterThan">
      <formula>1</formula>
    </cfRule>
    <cfRule type="cellIs" dxfId="28771" priority="1128" operator="lessThan">
      <formula>0.8</formula>
    </cfRule>
  </conditionalFormatting>
  <conditionalFormatting sqref="R96:R105">
    <cfRule type="cellIs" dxfId="28770" priority="1123" operator="lessThan">
      <formula>0.8</formula>
    </cfRule>
    <cfRule type="cellIs" dxfId="28769" priority="1124" operator="greaterThan">
      <formula>1</formula>
    </cfRule>
  </conditionalFormatting>
  <conditionalFormatting sqref="R96:R105">
    <cfRule type="cellIs" dxfId="28768" priority="1121" operator="greaterThan">
      <formula>1</formula>
    </cfRule>
    <cfRule type="cellIs" dxfId="28767" priority="1122" operator="lessThan">
      <formula>0.8</formula>
    </cfRule>
  </conditionalFormatting>
  <conditionalFormatting sqref="P96:P104">
    <cfRule type="cellIs" dxfId="28766" priority="1120" operator="greaterThan">
      <formula>0</formula>
    </cfRule>
  </conditionalFormatting>
  <conditionalFormatting sqref="Q96:Q104">
    <cfRule type="cellIs" dxfId="28765" priority="1125" operator="lessThan">
      <formula>0</formula>
    </cfRule>
  </conditionalFormatting>
  <conditionalFormatting sqref="Q96:Q104">
    <cfRule type="cellIs" dxfId="28764" priority="1114" operator="lessThan">
      <formula>0</formula>
    </cfRule>
  </conditionalFormatting>
  <conditionalFormatting sqref="P96:P104">
    <cfRule type="cellIs" dxfId="28763" priority="1115" operator="greaterThan">
      <formula>0</formula>
    </cfRule>
  </conditionalFormatting>
  <conditionalFormatting sqref="R96:R105">
    <cfRule type="cellIs" dxfId="28762" priority="1118" operator="lessThan">
      <formula>0.8</formula>
    </cfRule>
    <cfRule type="cellIs" dxfId="28761" priority="1119" operator="greaterThan">
      <formula>1</formula>
    </cfRule>
  </conditionalFormatting>
  <conditionalFormatting sqref="R96:R105">
    <cfRule type="cellIs" dxfId="28760" priority="1116" operator="greaterThan">
      <formula>1</formula>
    </cfRule>
    <cfRule type="cellIs" dxfId="28759" priority="1117" operator="lessThan">
      <formula>0.8</formula>
    </cfRule>
  </conditionalFormatting>
  <conditionalFormatting sqref="Q96:Q104">
    <cfRule type="cellIs" dxfId="28758" priority="1108" operator="lessThan">
      <formula>0</formula>
    </cfRule>
  </conditionalFormatting>
  <conditionalFormatting sqref="R96:R105">
    <cfRule type="cellIs" dxfId="28757" priority="1112" operator="lessThan">
      <formula>0.8</formula>
    </cfRule>
    <cfRule type="cellIs" dxfId="28756" priority="1113" operator="greaterThan">
      <formula>1</formula>
    </cfRule>
  </conditionalFormatting>
  <conditionalFormatting sqref="R96:R105">
    <cfRule type="cellIs" dxfId="28755" priority="1110" operator="greaterThan">
      <formula>1</formula>
    </cfRule>
    <cfRule type="cellIs" dxfId="28754" priority="1111" operator="lessThan">
      <formula>0.8</formula>
    </cfRule>
  </conditionalFormatting>
  <conditionalFormatting sqref="P96:P104">
    <cfRule type="cellIs" dxfId="28753" priority="1109" operator="greaterThan">
      <formula>0</formula>
    </cfRule>
  </conditionalFormatting>
  <conditionalFormatting sqref="Q96:Q104">
    <cfRule type="cellIs" dxfId="28752" priority="1107" operator="lessThan">
      <formula>0</formula>
    </cfRule>
  </conditionalFormatting>
  <conditionalFormatting sqref="R96:R105">
    <cfRule type="cellIs" dxfId="28751" priority="1105" operator="lessThan">
      <formula>0.8</formula>
    </cfRule>
    <cfRule type="cellIs" dxfId="28750" priority="1106" operator="greaterThan">
      <formula>1</formula>
    </cfRule>
  </conditionalFormatting>
  <conditionalFormatting sqref="R96:R105">
    <cfRule type="cellIs" dxfId="28749" priority="1103" operator="greaterThan">
      <formula>1</formula>
    </cfRule>
    <cfRule type="cellIs" dxfId="28748" priority="1104" operator="lessThan">
      <formula>0.8</formula>
    </cfRule>
  </conditionalFormatting>
  <conditionalFormatting sqref="P96:P104">
    <cfRule type="cellIs" dxfId="28747" priority="1102" operator="greaterThan">
      <formula>0</formula>
    </cfRule>
  </conditionalFormatting>
  <conditionalFormatting sqref="Q96:Q104">
    <cfRule type="cellIs" dxfId="28746" priority="1101" operator="lessThan">
      <formula>0</formula>
    </cfRule>
  </conditionalFormatting>
  <conditionalFormatting sqref="R96:R105">
    <cfRule type="cellIs" dxfId="28745" priority="1099" operator="lessThan">
      <formula>0.8</formula>
    </cfRule>
    <cfRule type="cellIs" dxfId="28744" priority="1100" operator="greaterThan">
      <formula>1</formula>
    </cfRule>
  </conditionalFormatting>
  <conditionalFormatting sqref="R96:R105">
    <cfRule type="cellIs" dxfId="28743" priority="1097" operator="greaterThan">
      <formula>1</formula>
    </cfRule>
    <cfRule type="cellIs" dxfId="28742" priority="1098" operator="lessThan">
      <formula>0.8</formula>
    </cfRule>
  </conditionalFormatting>
  <conditionalFormatting sqref="P96:P104">
    <cfRule type="cellIs" dxfId="28741" priority="1096" operator="greaterThan">
      <formula>0</formula>
    </cfRule>
  </conditionalFormatting>
  <conditionalFormatting sqref="Q96:Q104">
    <cfRule type="cellIs" dxfId="28740" priority="1090" operator="lessThan">
      <formula>0</formula>
    </cfRule>
  </conditionalFormatting>
  <conditionalFormatting sqref="P96:P104">
    <cfRule type="cellIs" dxfId="28739" priority="1091" operator="greaterThan">
      <formula>0</formula>
    </cfRule>
  </conditionalFormatting>
  <conditionalFormatting sqref="R96:R105">
    <cfRule type="cellIs" dxfId="28738" priority="1094" operator="lessThan">
      <formula>0.8</formula>
    </cfRule>
    <cfRule type="cellIs" dxfId="28737" priority="1095" operator="greaterThan">
      <formula>1</formula>
    </cfRule>
  </conditionalFormatting>
  <conditionalFormatting sqref="R96:R105">
    <cfRule type="cellIs" dxfId="28736" priority="1092" operator="greaterThan">
      <formula>1</formula>
    </cfRule>
    <cfRule type="cellIs" dxfId="28735" priority="1093" operator="lessThan">
      <formula>0.8</formula>
    </cfRule>
  </conditionalFormatting>
  <conditionalFormatting sqref="Q96:Q104">
    <cfRule type="cellIs" dxfId="28734" priority="1084" operator="lessThan">
      <formula>0</formula>
    </cfRule>
  </conditionalFormatting>
  <conditionalFormatting sqref="R96:R105">
    <cfRule type="cellIs" dxfId="28733" priority="1088" operator="lessThan">
      <formula>0.8</formula>
    </cfRule>
    <cfRule type="cellIs" dxfId="28732" priority="1089" operator="greaterThan">
      <formula>1</formula>
    </cfRule>
  </conditionalFormatting>
  <conditionalFormatting sqref="R96:R105">
    <cfRule type="cellIs" dxfId="28731" priority="1086" operator="greaterThan">
      <formula>1</formula>
    </cfRule>
    <cfRule type="cellIs" dxfId="28730" priority="1087" operator="lessThan">
      <formula>0.8</formula>
    </cfRule>
  </conditionalFormatting>
  <conditionalFormatting sqref="P96:P104">
    <cfRule type="cellIs" dxfId="28729" priority="1085" operator="greaterThan">
      <formula>0</formula>
    </cfRule>
  </conditionalFormatting>
  <conditionalFormatting sqref="Q96:Q104">
    <cfRule type="cellIs" dxfId="28728" priority="1083" operator="lessThan">
      <formula>0</formula>
    </cfRule>
  </conditionalFormatting>
  <conditionalFormatting sqref="R96:R105">
    <cfRule type="cellIs" dxfId="28727" priority="1081" operator="lessThan">
      <formula>0.8</formula>
    </cfRule>
    <cfRule type="cellIs" dxfId="28726" priority="1082" operator="greaterThan">
      <formula>1</formula>
    </cfRule>
  </conditionalFormatting>
  <conditionalFormatting sqref="R96:R105">
    <cfRule type="cellIs" dxfId="28725" priority="1079" operator="greaterThan">
      <formula>1</formula>
    </cfRule>
    <cfRule type="cellIs" dxfId="28724" priority="1080" operator="lessThan">
      <formula>0.8</formula>
    </cfRule>
  </conditionalFormatting>
  <conditionalFormatting sqref="P96:P104">
    <cfRule type="cellIs" dxfId="28723" priority="1078" operator="greaterThan">
      <formula>0</formula>
    </cfRule>
  </conditionalFormatting>
  <conditionalFormatting sqref="Q96:Q104">
    <cfRule type="cellIs" dxfId="28722" priority="1077" operator="lessThan">
      <formula>0</formula>
    </cfRule>
  </conditionalFormatting>
  <conditionalFormatting sqref="R96:R105">
    <cfRule type="cellIs" dxfId="28721" priority="1075" operator="lessThan">
      <formula>0.8</formula>
    </cfRule>
    <cfRule type="cellIs" dxfId="28720" priority="1076" operator="greaterThan">
      <formula>1</formula>
    </cfRule>
  </conditionalFormatting>
  <conditionalFormatting sqref="R96:R105">
    <cfRule type="cellIs" dxfId="28719" priority="1073" operator="greaterThan">
      <formula>1</formula>
    </cfRule>
    <cfRule type="cellIs" dxfId="28718" priority="1074" operator="lessThan">
      <formula>0.8</formula>
    </cfRule>
  </conditionalFormatting>
  <conditionalFormatting sqref="P96:P104">
    <cfRule type="cellIs" dxfId="28717" priority="1072" operator="greaterThan">
      <formula>0</formula>
    </cfRule>
  </conditionalFormatting>
  <conditionalFormatting sqref="P124 P127 P129 P131">
    <cfRule type="cellIs" dxfId="28716" priority="1066" operator="greaterThan">
      <formula>0</formula>
    </cfRule>
  </conditionalFormatting>
  <conditionalFormatting sqref="Q124 Q127 Q129 Q131">
    <cfRule type="cellIs" dxfId="28715" priority="1071" operator="lessThan">
      <formula>0</formula>
    </cfRule>
  </conditionalFormatting>
  <conditionalFormatting sqref="R124 R127 R129 R131">
    <cfRule type="cellIs" dxfId="28714" priority="1069" operator="lessThan">
      <formula>0.8</formula>
    </cfRule>
    <cfRule type="cellIs" dxfId="28713" priority="1070" operator="greaterThan">
      <formula>1</formula>
    </cfRule>
  </conditionalFormatting>
  <conditionalFormatting sqref="R124 R127 R129 R131">
    <cfRule type="cellIs" dxfId="28712" priority="1067" operator="greaterThan">
      <formula>1</formula>
    </cfRule>
    <cfRule type="cellIs" dxfId="28711" priority="1068" operator="lessThan">
      <formula>0.8</formula>
    </cfRule>
  </conditionalFormatting>
  <conditionalFormatting sqref="Q124 Q127 Q129 Q131">
    <cfRule type="cellIs" dxfId="28710" priority="1065" operator="lessThan">
      <formula>0</formula>
    </cfRule>
  </conditionalFormatting>
  <conditionalFormatting sqref="R124 R127 R129 R131">
    <cfRule type="cellIs" dxfId="28709" priority="1063" operator="lessThan">
      <formula>0.8</formula>
    </cfRule>
    <cfRule type="cellIs" dxfId="28708" priority="1064" operator="greaterThan">
      <formula>1</formula>
    </cfRule>
  </conditionalFormatting>
  <conditionalFormatting sqref="R124 R127 R129 R131">
    <cfRule type="cellIs" dxfId="28707" priority="1061" operator="greaterThan">
      <formula>1</formula>
    </cfRule>
    <cfRule type="cellIs" dxfId="28706" priority="1062" operator="lessThan">
      <formula>0.8</formula>
    </cfRule>
  </conditionalFormatting>
  <conditionalFormatting sqref="P124 P127 P129 P131">
    <cfRule type="cellIs" dxfId="28705" priority="1060" operator="greaterThan">
      <formula>0</formula>
    </cfRule>
  </conditionalFormatting>
  <conditionalFormatting sqref="Q123 Q125:Q126 Q128 Q130">
    <cfRule type="cellIs" dxfId="28704" priority="1059" operator="lessThan">
      <formula>0</formula>
    </cfRule>
  </conditionalFormatting>
  <conditionalFormatting sqref="R123 R125:R126 R128 R130">
    <cfRule type="cellIs" dxfId="28703" priority="1057" operator="lessThan">
      <formula>0.8</formula>
    </cfRule>
    <cfRule type="cellIs" dxfId="28702" priority="1058" operator="greaterThan">
      <formula>1</formula>
    </cfRule>
  </conditionalFormatting>
  <conditionalFormatting sqref="R123 R125:R126 R128 R130">
    <cfRule type="cellIs" dxfId="28701" priority="1055" operator="greaterThan">
      <formula>1</formula>
    </cfRule>
    <cfRule type="cellIs" dxfId="28700" priority="1056" operator="lessThan">
      <formula>0.8</formula>
    </cfRule>
  </conditionalFormatting>
  <conditionalFormatting sqref="P123 P125:P126 P128 P130">
    <cfRule type="cellIs" dxfId="28699" priority="1054" operator="greaterThan">
      <formula>0</formula>
    </cfRule>
  </conditionalFormatting>
  <conditionalFormatting sqref="P123 P125:P126 P128 P130">
    <cfRule type="cellIs" dxfId="28698" priority="1048" operator="greaterThan">
      <formula>0</formula>
    </cfRule>
  </conditionalFormatting>
  <conditionalFormatting sqref="Q123 Q125:Q126 Q128 Q130">
    <cfRule type="cellIs" dxfId="28697" priority="1053" operator="lessThan">
      <formula>0</formula>
    </cfRule>
  </conditionalFormatting>
  <conditionalFormatting sqref="R123 R125:R126 R128 R130">
    <cfRule type="cellIs" dxfId="28696" priority="1051" operator="lessThan">
      <formula>0.8</formula>
    </cfRule>
    <cfRule type="cellIs" dxfId="28695" priority="1052" operator="greaterThan">
      <formula>1</formula>
    </cfRule>
  </conditionalFormatting>
  <conditionalFormatting sqref="R123 R125:R126 R128 R130">
    <cfRule type="cellIs" dxfId="28694" priority="1049" operator="greaterThan">
      <formula>1</formula>
    </cfRule>
    <cfRule type="cellIs" dxfId="28693" priority="1050" operator="lessThan">
      <formula>0.8</formula>
    </cfRule>
  </conditionalFormatting>
  <conditionalFormatting sqref="P122">
    <cfRule type="cellIs" dxfId="28692" priority="1042" operator="greaterThan">
      <formula>0</formula>
    </cfRule>
  </conditionalFormatting>
  <conditionalFormatting sqref="Q122">
    <cfRule type="cellIs" dxfId="28691" priority="1047" operator="lessThan">
      <formula>0</formula>
    </cfRule>
  </conditionalFormatting>
  <conditionalFormatting sqref="R122">
    <cfRule type="cellIs" dxfId="28690" priority="1045" operator="lessThan">
      <formula>0.8</formula>
    </cfRule>
    <cfRule type="cellIs" dxfId="28689" priority="1046" operator="greaterThan">
      <formula>1</formula>
    </cfRule>
  </conditionalFormatting>
  <conditionalFormatting sqref="R122">
    <cfRule type="cellIs" dxfId="28688" priority="1043" operator="greaterThan">
      <formula>1</formula>
    </cfRule>
    <cfRule type="cellIs" dxfId="28687" priority="1044" operator="lessThan">
      <formula>0.8</formula>
    </cfRule>
  </conditionalFormatting>
  <conditionalFormatting sqref="Q109:Q116">
    <cfRule type="cellIs" dxfId="28686" priority="1041" operator="lessThan">
      <formula>0</formula>
    </cfRule>
  </conditionalFormatting>
  <conditionalFormatting sqref="R109:R116">
    <cfRule type="cellIs" dxfId="28685" priority="1039" operator="lessThan">
      <formula>0.8</formula>
    </cfRule>
    <cfRule type="cellIs" dxfId="28684" priority="1040" operator="greaterThan">
      <formula>1</formula>
    </cfRule>
  </conditionalFormatting>
  <conditionalFormatting sqref="R109:R116">
    <cfRule type="cellIs" dxfId="28683" priority="1037" operator="greaterThan">
      <formula>1</formula>
    </cfRule>
    <cfRule type="cellIs" dxfId="28682" priority="1038" operator="lessThan">
      <formula>0.8</formula>
    </cfRule>
  </conditionalFormatting>
  <conditionalFormatting sqref="P109:P116">
    <cfRule type="cellIs" dxfId="28681" priority="1036" operator="greaterThan">
      <formula>0</formula>
    </cfRule>
  </conditionalFormatting>
  <conditionalFormatting sqref="P137 P140 P143">
    <cfRule type="cellIs" dxfId="28680" priority="1035" operator="greaterThan">
      <formula>0</formula>
    </cfRule>
  </conditionalFormatting>
  <conditionalFormatting sqref="Q137 Q140 Q143">
    <cfRule type="cellIs" dxfId="28679" priority="1034" operator="lessThan">
      <formula>0</formula>
    </cfRule>
  </conditionalFormatting>
  <conditionalFormatting sqref="R137 R140 R143">
    <cfRule type="cellIs" dxfId="28678" priority="1032" operator="lessThan">
      <formula>0.8</formula>
    </cfRule>
    <cfRule type="cellIs" dxfId="28677" priority="1033" operator="greaterThan">
      <formula>1</formula>
    </cfRule>
  </conditionalFormatting>
  <conditionalFormatting sqref="R137 R140 R143">
    <cfRule type="cellIs" dxfId="28676" priority="1030" operator="greaterThan">
      <formula>1</formula>
    </cfRule>
    <cfRule type="cellIs" dxfId="28675" priority="1031" operator="lessThan">
      <formula>0.8</formula>
    </cfRule>
  </conditionalFormatting>
  <conditionalFormatting sqref="P137 P140 P143">
    <cfRule type="cellIs" dxfId="28674" priority="1029" operator="greaterThan">
      <formula>0</formula>
    </cfRule>
  </conditionalFormatting>
  <conditionalFormatting sqref="Q137 Q140 Q143">
    <cfRule type="cellIs" dxfId="28673" priority="1028" operator="lessThan">
      <formula>0</formula>
    </cfRule>
  </conditionalFormatting>
  <conditionalFormatting sqref="R137 R140 R143">
    <cfRule type="cellIs" dxfId="28672" priority="1026" operator="lessThan">
      <formula>0.8</formula>
    </cfRule>
    <cfRule type="cellIs" dxfId="28671" priority="1027" operator="greaterThan">
      <formula>1</formula>
    </cfRule>
  </conditionalFormatting>
  <conditionalFormatting sqref="R137 R140 R143">
    <cfRule type="cellIs" dxfId="28670" priority="1024" operator="greaterThan">
      <formula>1</formula>
    </cfRule>
    <cfRule type="cellIs" dxfId="28669" priority="1025" operator="lessThan">
      <formula>0.8</formula>
    </cfRule>
  </conditionalFormatting>
  <conditionalFormatting sqref="P137 P140 P143">
    <cfRule type="cellIs" dxfId="28668" priority="1023" operator="greaterThan">
      <formula>0</formula>
    </cfRule>
  </conditionalFormatting>
  <conditionalFormatting sqref="P137 P140 P143">
    <cfRule type="cellIs" dxfId="28667" priority="1017" operator="greaterThan">
      <formula>0</formula>
    </cfRule>
  </conditionalFormatting>
  <conditionalFormatting sqref="Q137 Q140 Q143">
    <cfRule type="cellIs" dxfId="28666" priority="1022" operator="lessThan">
      <formula>0</formula>
    </cfRule>
  </conditionalFormatting>
  <conditionalFormatting sqref="R137 R140 R143">
    <cfRule type="cellIs" dxfId="28665" priority="1020" operator="lessThan">
      <formula>0.8</formula>
    </cfRule>
    <cfRule type="cellIs" dxfId="28664" priority="1021" operator="greaterThan">
      <formula>1</formula>
    </cfRule>
  </conditionalFormatting>
  <conditionalFormatting sqref="R137 R140 R143">
    <cfRule type="cellIs" dxfId="28663" priority="1018" operator="greaterThan">
      <formula>1</formula>
    </cfRule>
    <cfRule type="cellIs" dxfId="28662" priority="1019" operator="lessThan">
      <formula>0.8</formula>
    </cfRule>
  </conditionalFormatting>
  <conditionalFormatting sqref="Q137 Q140 Q143">
    <cfRule type="cellIs" dxfId="28661" priority="1016" operator="lessThan">
      <formula>0</formula>
    </cfRule>
  </conditionalFormatting>
  <conditionalFormatting sqref="R137 R140 R143">
    <cfRule type="cellIs" dxfId="28660" priority="1014" operator="lessThan">
      <formula>0.8</formula>
    </cfRule>
    <cfRule type="cellIs" dxfId="28659" priority="1015" operator="greaterThan">
      <formula>1</formula>
    </cfRule>
  </conditionalFormatting>
  <conditionalFormatting sqref="R137 R140 R143">
    <cfRule type="cellIs" dxfId="28658" priority="1012" operator="greaterThan">
      <formula>1</formula>
    </cfRule>
    <cfRule type="cellIs" dxfId="28657" priority="1013" operator="lessThan">
      <formula>0.8</formula>
    </cfRule>
  </conditionalFormatting>
  <conditionalFormatting sqref="P137 P140 P143">
    <cfRule type="cellIs" dxfId="28656" priority="1011" operator="greaterThan">
      <formula>0</formula>
    </cfRule>
  </conditionalFormatting>
  <conditionalFormatting sqref="Q137 Q140 Q143">
    <cfRule type="cellIs" dxfId="28655" priority="1010" operator="lessThan">
      <formula>0</formula>
    </cfRule>
  </conditionalFormatting>
  <conditionalFormatting sqref="R137 R140 R143">
    <cfRule type="cellIs" dxfId="28654" priority="1008" operator="lessThan">
      <formula>0.8</formula>
    </cfRule>
    <cfRule type="cellIs" dxfId="28653" priority="1009" operator="greaterThan">
      <formula>1</formula>
    </cfRule>
  </conditionalFormatting>
  <conditionalFormatting sqref="R137 R140 R143">
    <cfRule type="cellIs" dxfId="28652" priority="1006" operator="greaterThan">
      <formula>1</formula>
    </cfRule>
    <cfRule type="cellIs" dxfId="28651" priority="1007" operator="lessThan">
      <formula>0.8</formula>
    </cfRule>
  </conditionalFormatting>
  <conditionalFormatting sqref="P137 P140 P143">
    <cfRule type="cellIs" dxfId="28650" priority="1005" operator="greaterThan">
      <formula>0</formula>
    </cfRule>
  </conditionalFormatting>
  <conditionalFormatting sqref="P137 P140 P143">
    <cfRule type="cellIs" dxfId="28649" priority="999" operator="greaterThan">
      <formula>0</formula>
    </cfRule>
  </conditionalFormatting>
  <conditionalFormatting sqref="Q137 Q140 Q143">
    <cfRule type="cellIs" dxfId="28648" priority="1004" operator="lessThan">
      <formula>0</formula>
    </cfRule>
  </conditionalFormatting>
  <conditionalFormatting sqref="R137 R140 R143">
    <cfRule type="cellIs" dxfId="28647" priority="1002" operator="lessThan">
      <formula>0.8</formula>
    </cfRule>
    <cfRule type="cellIs" dxfId="28646" priority="1003" operator="greaterThan">
      <formula>1</formula>
    </cfRule>
  </conditionalFormatting>
  <conditionalFormatting sqref="R137 R140 R143">
    <cfRule type="cellIs" dxfId="28645" priority="1000" operator="greaterThan">
      <formula>1</formula>
    </cfRule>
    <cfRule type="cellIs" dxfId="28644" priority="1001" operator="lessThan">
      <formula>0.8</formula>
    </cfRule>
  </conditionalFormatting>
  <conditionalFormatting sqref="Q137 Q140 Q143">
    <cfRule type="cellIs" dxfId="28643" priority="998" operator="lessThan">
      <formula>0</formula>
    </cfRule>
  </conditionalFormatting>
  <conditionalFormatting sqref="R137 R140 R143">
    <cfRule type="cellIs" dxfId="28642" priority="996" operator="lessThan">
      <formula>0.8</formula>
    </cfRule>
    <cfRule type="cellIs" dxfId="28641" priority="997" operator="greaterThan">
      <formula>1</formula>
    </cfRule>
  </conditionalFormatting>
  <conditionalFormatting sqref="R137 R140 R143">
    <cfRule type="cellIs" dxfId="28640" priority="994" operator="greaterThan">
      <formula>1</formula>
    </cfRule>
    <cfRule type="cellIs" dxfId="28639" priority="995" operator="lessThan">
      <formula>0.8</formula>
    </cfRule>
  </conditionalFormatting>
  <conditionalFormatting sqref="P137 P140 P143">
    <cfRule type="cellIs" dxfId="28638" priority="993" operator="greaterThan">
      <formula>0</formula>
    </cfRule>
  </conditionalFormatting>
  <conditionalFormatting sqref="Q137 Q140 Q143">
    <cfRule type="cellIs" dxfId="28637" priority="992" operator="lessThan">
      <formula>0</formula>
    </cfRule>
  </conditionalFormatting>
  <conditionalFormatting sqref="R137 R140 R143">
    <cfRule type="cellIs" dxfId="28636" priority="990" operator="lessThan">
      <formula>0.8</formula>
    </cfRule>
    <cfRule type="cellIs" dxfId="28635" priority="991" operator="greaterThan">
      <formula>1</formula>
    </cfRule>
  </conditionalFormatting>
  <conditionalFormatting sqref="R137 R140 R143">
    <cfRule type="cellIs" dxfId="28634" priority="988" operator="greaterThan">
      <formula>1</formula>
    </cfRule>
    <cfRule type="cellIs" dxfId="28633" priority="989" operator="lessThan">
      <formula>0.8</formula>
    </cfRule>
  </conditionalFormatting>
  <conditionalFormatting sqref="P137 P140 P143">
    <cfRule type="cellIs" dxfId="28632" priority="987" operator="greaterThan">
      <formula>0</formula>
    </cfRule>
  </conditionalFormatting>
  <conditionalFormatting sqref="P137 P140 P143">
    <cfRule type="cellIs" dxfId="28631" priority="981" operator="greaterThan">
      <formula>0</formula>
    </cfRule>
  </conditionalFormatting>
  <conditionalFormatting sqref="Q137 Q140 Q143">
    <cfRule type="cellIs" dxfId="28630" priority="986" operator="lessThan">
      <formula>0</formula>
    </cfRule>
  </conditionalFormatting>
  <conditionalFormatting sqref="R137 R140 R143">
    <cfRule type="cellIs" dxfId="28629" priority="984" operator="lessThan">
      <formula>0.8</formula>
    </cfRule>
    <cfRule type="cellIs" dxfId="28628" priority="985" operator="greaterThan">
      <formula>1</formula>
    </cfRule>
  </conditionalFormatting>
  <conditionalFormatting sqref="R137 R140 R143">
    <cfRule type="cellIs" dxfId="28627" priority="982" operator="greaterThan">
      <formula>1</formula>
    </cfRule>
    <cfRule type="cellIs" dxfId="28626" priority="983" operator="lessThan">
      <formula>0.8</formula>
    </cfRule>
  </conditionalFormatting>
  <conditionalFormatting sqref="Q137 Q140 Q143">
    <cfRule type="cellIs" dxfId="28625" priority="980" operator="lessThan">
      <formula>0</formula>
    </cfRule>
  </conditionalFormatting>
  <conditionalFormatting sqref="R137 R140 R143">
    <cfRule type="cellIs" dxfId="28624" priority="978" operator="lessThan">
      <formula>0.8</formula>
    </cfRule>
    <cfRule type="cellIs" dxfId="28623" priority="979" operator="greaterThan">
      <formula>1</formula>
    </cfRule>
  </conditionalFormatting>
  <conditionalFormatting sqref="R137 R140 R143">
    <cfRule type="cellIs" dxfId="28622" priority="976" operator="greaterThan">
      <formula>1</formula>
    </cfRule>
    <cfRule type="cellIs" dxfId="28621" priority="977" operator="lessThan">
      <formula>0.8</formula>
    </cfRule>
  </conditionalFormatting>
  <conditionalFormatting sqref="P137 P140 P143">
    <cfRule type="cellIs" dxfId="28620" priority="975" operator="greaterThan">
      <formula>0</formula>
    </cfRule>
  </conditionalFormatting>
  <conditionalFormatting sqref="P138 P141 P144">
    <cfRule type="cellIs" dxfId="28619" priority="969" operator="greaterThan">
      <formula>0</formula>
    </cfRule>
  </conditionalFormatting>
  <conditionalFormatting sqref="Q138 Q141 Q144">
    <cfRule type="cellIs" dxfId="28618" priority="974" operator="lessThan">
      <formula>0</formula>
    </cfRule>
  </conditionalFormatting>
  <conditionalFormatting sqref="R138 R141 R144">
    <cfRule type="cellIs" dxfId="28617" priority="972" operator="lessThan">
      <formula>0.8</formula>
    </cfRule>
    <cfRule type="cellIs" dxfId="28616" priority="973" operator="greaterThan">
      <formula>1</formula>
    </cfRule>
  </conditionalFormatting>
  <conditionalFormatting sqref="R138 R141 R144">
    <cfRule type="cellIs" dxfId="28615" priority="970" operator="greaterThan">
      <formula>1</formula>
    </cfRule>
    <cfRule type="cellIs" dxfId="28614" priority="971" operator="lessThan">
      <formula>0.8</formula>
    </cfRule>
  </conditionalFormatting>
  <conditionalFormatting sqref="Q138 Q141 Q144">
    <cfRule type="cellIs" dxfId="28613" priority="968" operator="lessThan">
      <formula>0</formula>
    </cfRule>
  </conditionalFormatting>
  <conditionalFormatting sqref="R138 R141 R144">
    <cfRule type="cellIs" dxfId="28612" priority="966" operator="lessThan">
      <formula>0.8</formula>
    </cfRule>
    <cfRule type="cellIs" dxfId="28611" priority="967" operator="greaterThan">
      <formula>1</formula>
    </cfRule>
  </conditionalFormatting>
  <conditionalFormatting sqref="R138 R141 R144">
    <cfRule type="cellIs" dxfId="28610" priority="964" operator="greaterThan">
      <formula>1</formula>
    </cfRule>
    <cfRule type="cellIs" dxfId="28609" priority="965" operator="lessThan">
      <formula>0.8</formula>
    </cfRule>
  </conditionalFormatting>
  <conditionalFormatting sqref="P138 P141 P144">
    <cfRule type="cellIs" dxfId="28608" priority="963" operator="greaterThan">
      <formula>0</formula>
    </cfRule>
  </conditionalFormatting>
  <conditionalFormatting sqref="Q138 Q141 Q144">
    <cfRule type="cellIs" dxfId="28607" priority="962" operator="lessThan">
      <formula>0</formula>
    </cfRule>
  </conditionalFormatting>
  <conditionalFormatting sqref="R138 R141 R144">
    <cfRule type="cellIs" dxfId="28606" priority="960" operator="lessThan">
      <formula>0.8</formula>
    </cfRule>
    <cfRule type="cellIs" dxfId="28605" priority="961" operator="greaterThan">
      <formula>1</formula>
    </cfRule>
  </conditionalFormatting>
  <conditionalFormatting sqref="R138 R141 R144">
    <cfRule type="cellIs" dxfId="28604" priority="958" operator="greaterThan">
      <formula>1</formula>
    </cfRule>
    <cfRule type="cellIs" dxfId="28603" priority="959" operator="lessThan">
      <formula>0.8</formula>
    </cfRule>
  </conditionalFormatting>
  <conditionalFormatting sqref="P138 P141 P144">
    <cfRule type="cellIs" dxfId="28602" priority="957" operator="greaterThan">
      <formula>0</formula>
    </cfRule>
  </conditionalFormatting>
  <conditionalFormatting sqref="Q138 Q141 Q144">
    <cfRule type="cellIs" dxfId="28601" priority="956" operator="lessThan">
      <formula>0</formula>
    </cfRule>
  </conditionalFormatting>
  <conditionalFormatting sqref="R138 R141 R144">
    <cfRule type="cellIs" dxfId="28600" priority="954" operator="lessThan">
      <formula>0.8</formula>
    </cfRule>
    <cfRule type="cellIs" dxfId="28599" priority="955" operator="greaterThan">
      <formula>1</formula>
    </cfRule>
  </conditionalFormatting>
  <conditionalFormatting sqref="R138 R141 R144">
    <cfRule type="cellIs" dxfId="28598" priority="952" operator="greaterThan">
      <formula>1</formula>
    </cfRule>
    <cfRule type="cellIs" dxfId="28597" priority="953" operator="lessThan">
      <formula>0.8</formula>
    </cfRule>
  </conditionalFormatting>
  <conditionalFormatting sqref="P138 P141 P144">
    <cfRule type="cellIs" dxfId="28596" priority="951" operator="greaterThan">
      <formula>0</formula>
    </cfRule>
  </conditionalFormatting>
  <conditionalFormatting sqref="Q138 Q141 Q144">
    <cfRule type="cellIs" dxfId="28595" priority="950" operator="lessThan">
      <formula>0</formula>
    </cfRule>
  </conditionalFormatting>
  <conditionalFormatting sqref="R138 R141 R144">
    <cfRule type="cellIs" dxfId="28594" priority="948" operator="lessThan">
      <formula>0.8</formula>
    </cfRule>
    <cfRule type="cellIs" dxfId="28593" priority="949" operator="greaterThan">
      <formula>1</formula>
    </cfRule>
  </conditionalFormatting>
  <conditionalFormatting sqref="R138 R141 R144">
    <cfRule type="cellIs" dxfId="28592" priority="946" operator="greaterThan">
      <formula>1</formula>
    </cfRule>
    <cfRule type="cellIs" dxfId="28591" priority="947" operator="lessThan">
      <formula>0.8</formula>
    </cfRule>
  </conditionalFormatting>
  <conditionalFormatting sqref="Q138 Q141 Q144">
    <cfRule type="cellIs" dxfId="28590" priority="945" operator="lessThan">
      <formula>0</formula>
    </cfRule>
  </conditionalFormatting>
  <conditionalFormatting sqref="R138 R141 R144">
    <cfRule type="cellIs" dxfId="28589" priority="943" operator="lessThan">
      <formula>0.8</formula>
    </cfRule>
    <cfRule type="cellIs" dxfId="28588" priority="944" operator="greaterThan">
      <formula>1</formula>
    </cfRule>
  </conditionalFormatting>
  <conditionalFormatting sqref="R138 R141 R144">
    <cfRule type="cellIs" dxfId="28587" priority="941" operator="greaterThan">
      <formula>1</formula>
    </cfRule>
    <cfRule type="cellIs" dxfId="28586" priority="942" operator="lessThan">
      <formula>0.8</formula>
    </cfRule>
  </conditionalFormatting>
  <conditionalFormatting sqref="P138 P141 P144">
    <cfRule type="cellIs" dxfId="28585" priority="940" operator="greaterThan">
      <formula>0</formula>
    </cfRule>
  </conditionalFormatting>
  <conditionalFormatting sqref="P138 P141 P144">
    <cfRule type="cellIs" dxfId="28584" priority="934" operator="greaterThan">
      <formula>0</formula>
    </cfRule>
  </conditionalFormatting>
  <conditionalFormatting sqref="Q138 Q141 Q144">
    <cfRule type="cellIs" dxfId="28583" priority="939" operator="lessThan">
      <formula>0</formula>
    </cfRule>
  </conditionalFormatting>
  <conditionalFormatting sqref="R138 R141 R144">
    <cfRule type="cellIs" dxfId="28582" priority="937" operator="lessThan">
      <formula>0.8</formula>
    </cfRule>
    <cfRule type="cellIs" dxfId="28581" priority="938" operator="greaterThan">
      <formula>1</formula>
    </cfRule>
  </conditionalFormatting>
  <conditionalFormatting sqref="R138 R141 R144">
    <cfRule type="cellIs" dxfId="28580" priority="935" operator="greaterThan">
      <formula>1</formula>
    </cfRule>
    <cfRule type="cellIs" dxfId="28579" priority="936" operator="lessThan">
      <formula>0.8</formula>
    </cfRule>
  </conditionalFormatting>
  <conditionalFormatting sqref="Q138 Q141 Q144">
    <cfRule type="cellIs" dxfId="28578" priority="933" operator="lessThan">
      <formula>0</formula>
    </cfRule>
  </conditionalFormatting>
  <conditionalFormatting sqref="R138 R141 R144">
    <cfRule type="cellIs" dxfId="28577" priority="931" operator="lessThan">
      <formula>0.8</formula>
    </cfRule>
    <cfRule type="cellIs" dxfId="28576" priority="932" operator="greaterThan">
      <formula>1</formula>
    </cfRule>
  </conditionalFormatting>
  <conditionalFormatting sqref="R138 R141 R144">
    <cfRule type="cellIs" dxfId="28575" priority="929" operator="greaterThan">
      <formula>1</formula>
    </cfRule>
    <cfRule type="cellIs" dxfId="28574" priority="930" operator="lessThan">
      <formula>0.8</formula>
    </cfRule>
  </conditionalFormatting>
  <conditionalFormatting sqref="P138 P141 P144">
    <cfRule type="cellIs" dxfId="28573" priority="928" operator="greaterThan">
      <formula>0</formula>
    </cfRule>
  </conditionalFormatting>
  <conditionalFormatting sqref="Q148:Q153">
    <cfRule type="cellIs" dxfId="28572" priority="927" operator="lessThan">
      <formula>0</formula>
    </cfRule>
  </conditionalFormatting>
  <conditionalFormatting sqref="R148:R153">
    <cfRule type="cellIs" dxfId="28571" priority="925" operator="lessThan">
      <formula>0.8</formula>
    </cfRule>
    <cfRule type="cellIs" dxfId="28570" priority="926" operator="greaterThan">
      <formula>1</formula>
    </cfRule>
  </conditionalFormatting>
  <conditionalFormatting sqref="R148:R153">
    <cfRule type="cellIs" dxfId="28569" priority="923" operator="greaterThan">
      <formula>1</formula>
    </cfRule>
    <cfRule type="cellIs" dxfId="28568" priority="924" operator="lessThan">
      <formula>0.8</formula>
    </cfRule>
  </conditionalFormatting>
  <conditionalFormatting sqref="P148:P153">
    <cfRule type="cellIs" dxfId="28567" priority="922" operator="greaterThan">
      <formula>0</formula>
    </cfRule>
  </conditionalFormatting>
  <conditionalFormatting sqref="P148:P153">
    <cfRule type="cellIs" dxfId="28566" priority="916" operator="greaterThan">
      <formula>0</formula>
    </cfRule>
  </conditionalFormatting>
  <conditionalFormatting sqref="Q148:Q153">
    <cfRule type="cellIs" dxfId="28565" priority="921" operator="lessThan">
      <formula>0</formula>
    </cfRule>
  </conditionalFormatting>
  <conditionalFormatting sqref="R148:R153">
    <cfRule type="cellIs" dxfId="28564" priority="919" operator="lessThan">
      <formula>0.8</formula>
    </cfRule>
    <cfRule type="cellIs" dxfId="28563" priority="920" operator="greaterThan">
      <formula>1</formula>
    </cfRule>
  </conditionalFormatting>
  <conditionalFormatting sqref="R148:R153">
    <cfRule type="cellIs" dxfId="28562" priority="917" operator="greaterThan">
      <formula>1</formula>
    </cfRule>
    <cfRule type="cellIs" dxfId="28561" priority="918" operator="lessThan">
      <formula>0.8</formula>
    </cfRule>
  </conditionalFormatting>
  <conditionalFormatting sqref="Q148:Q153">
    <cfRule type="cellIs" dxfId="28560" priority="915" operator="lessThan">
      <formula>0</formula>
    </cfRule>
  </conditionalFormatting>
  <conditionalFormatting sqref="R148:R153">
    <cfRule type="cellIs" dxfId="28559" priority="913" operator="lessThan">
      <formula>0.8</formula>
    </cfRule>
    <cfRule type="cellIs" dxfId="28558" priority="914" operator="greaterThan">
      <formula>1</formula>
    </cfRule>
  </conditionalFormatting>
  <conditionalFormatting sqref="R148:R153">
    <cfRule type="cellIs" dxfId="28557" priority="911" operator="greaterThan">
      <formula>1</formula>
    </cfRule>
    <cfRule type="cellIs" dxfId="28556" priority="912" operator="lessThan">
      <formula>0.8</formula>
    </cfRule>
  </conditionalFormatting>
  <conditionalFormatting sqref="P148:P153">
    <cfRule type="cellIs" dxfId="28555" priority="910" operator="greaterThan">
      <formula>0</formula>
    </cfRule>
  </conditionalFormatting>
  <conditionalFormatting sqref="Q148:Q153">
    <cfRule type="cellIs" dxfId="28554" priority="909" operator="lessThan">
      <formula>0</formula>
    </cfRule>
  </conditionalFormatting>
  <conditionalFormatting sqref="R148:R153">
    <cfRule type="cellIs" dxfId="28553" priority="907" operator="lessThan">
      <formula>0.8</formula>
    </cfRule>
    <cfRule type="cellIs" dxfId="28552" priority="908" operator="greaterThan">
      <formula>1</formula>
    </cfRule>
  </conditionalFormatting>
  <conditionalFormatting sqref="R148:R153">
    <cfRule type="cellIs" dxfId="28551" priority="905" operator="greaterThan">
      <formula>1</formula>
    </cfRule>
    <cfRule type="cellIs" dxfId="28550" priority="906" operator="lessThan">
      <formula>0.8</formula>
    </cfRule>
  </conditionalFormatting>
  <conditionalFormatting sqref="P148:P153">
    <cfRule type="cellIs" dxfId="28549" priority="904" operator="greaterThan">
      <formula>0</formula>
    </cfRule>
  </conditionalFormatting>
  <conditionalFormatting sqref="P148:P153">
    <cfRule type="cellIs" dxfId="28548" priority="898" operator="greaterThan">
      <formula>0</formula>
    </cfRule>
  </conditionalFormatting>
  <conditionalFormatting sqref="Q148:Q153">
    <cfRule type="cellIs" dxfId="28547" priority="903" operator="lessThan">
      <formula>0</formula>
    </cfRule>
  </conditionalFormatting>
  <conditionalFormatting sqref="R148:R153">
    <cfRule type="cellIs" dxfId="28546" priority="901" operator="lessThan">
      <formula>0.8</formula>
    </cfRule>
    <cfRule type="cellIs" dxfId="28545" priority="902" operator="greaterThan">
      <formula>1</formula>
    </cfRule>
  </conditionalFormatting>
  <conditionalFormatting sqref="R148:R153">
    <cfRule type="cellIs" dxfId="28544" priority="899" operator="greaterThan">
      <formula>1</formula>
    </cfRule>
    <cfRule type="cellIs" dxfId="28543" priority="900" operator="lessThan">
      <formula>0.8</formula>
    </cfRule>
  </conditionalFormatting>
  <conditionalFormatting sqref="Q148:Q153">
    <cfRule type="cellIs" dxfId="28542" priority="897" operator="lessThan">
      <formula>0</formula>
    </cfRule>
  </conditionalFormatting>
  <conditionalFormatting sqref="R148:R153">
    <cfRule type="cellIs" dxfId="28541" priority="895" operator="lessThan">
      <formula>0.8</formula>
    </cfRule>
    <cfRule type="cellIs" dxfId="28540" priority="896" operator="greaterThan">
      <formula>1</formula>
    </cfRule>
  </conditionalFormatting>
  <conditionalFormatting sqref="R148:R153">
    <cfRule type="cellIs" dxfId="28539" priority="893" operator="greaterThan">
      <formula>1</formula>
    </cfRule>
    <cfRule type="cellIs" dxfId="28538" priority="894" operator="lessThan">
      <formula>0.8</formula>
    </cfRule>
  </conditionalFormatting>
  <conditionalFormatting sqref="P148:P153">
    <cfRule type="cellIs" dxfId="28537" priority="892" operator="greaterThan">
      <formula>0</formula>
    </cfRule>
  </conditionalFormatting>
  <conditionalFormatting sqref="Q148:Q153">
    <cfRule type="cellIs" dxfId="28536" priority="886" operator="lessThan">
      <formula>0</formula>
    </cfRule>
  </conditionalFormatting>
  <conditionalFormatting sqref="P148:P153">
    <cfRule type="cellIs" dxfId="28535" priority="887" operator="greaterThan">
      <formula>0</formula>
    </cfRule>
  </conditionalFormatting>
  <conditionalFormatting sqref="R148:R153">
    <cfRule type="cellIs" dxfId="28534" priority="890" operator="lessThan">
      <formula>0.8</formula>
    </cfRule>
    <cfRule type="cellIs" dxfId="28533" priority="891" operator="greaterThan">
      <formula>1</formula>
    </cfRule>
  </conditionalFormatting>
  <conditionalFormatting sqref="R148:R153">
    <cfRule type="cellIs" dxfId="28532" priority="888" operator="greaterThan">
      <formula>1</formula>
    </cfRule>
    <cfRule type="cellIs" dxfId="28531" priority="889" operator="lessThan">
      <formula>0.8</formula>
    </cfRule>
  </conditionalFormatting>
  <conditionalFormatting sqref="Q148:Q153">
    <cfRule type="cellIs" dxfId="28530" priority="880" operator="lessThan">
      <formula>0</formula>
    </cfRule>
  </conditionalFormatting>
  <conditionalFormatting sqref="R148:R153">
    <cfRule type="cellIs" dxfId="28529" priority="884" operator="lessThan">
      <formula>0.8</formula>
    </cfRule>
    <cfRule type="cellIs" dxfId="28528" priority="885" operator="greaterThan">
      <formula>1</formula>
    </cfRule>
  </conditionalFormatting>
  <conditionalFormatting sqref="R148:R153">
    <cfRule type="cellIs" dxfId="28527" priority="882" operator="greaterThan">
      <formula>1</formula>
    </cfRule>
    <cfRule type="cellIs" dxfId="28526" priority="883" operator="lessThan">
      <formula>0.8</formula>
    </cfRule>
  </conditionalFormatting>
  <conditionalFormatting sqref="P148:P153">
    <cfRule type="cellIs" dxfId="28525" priority="881" operator="greaterThan">
      <formula>0</formula>
    </cfRule>
  </conditionalFormatting>
  <conditionalFormatting sqref="Q148:Q153">
    <cfRule type="cellIs" dxfId="28524" priority="879" operator="lessThan">
      <formula>0</formula>
    </cfRule>
  </conditionalFormatting>
  <conditionalFormatting sqref="R148:R153">
    <cfRule type="cellIs" dxfId="28523" priority="877" operator="lessThan">
      <formula>0.8</formula>
    </cfRule>
    <cfRule type="cellIs" dxfId="28522" priority="878" operator="greaterThan">
      <formula>1</formula>
    </cfRule>
  </conditionalFormatting>
  <conditionalFormatting sqref="R148:R153">
    <cfRule type="cellIs" dxfId="28521" priority="875" operator="greaterThan">
      <formula>1</formula>
    </cfRule>
    <cfRule type="cellIs" dxfId="28520" priority="876" operator="lessThan">
      <formula>0.8</formula>
    </cfRule>
  </conditionalFormatting>
  <conditionalFormatting sqref="P148:P153">
    <cfRule type="cellIs" dxfId="28519" priority="874" operator="greaterThan">
      <formula>0</formula>
    </cfRule>
  </conditionalFormatting>
  <conditionalFormatting sqref="Q148:Q153">
    <cfRule type="cellIs" dxfId="28518" priority="873" operator="lessThan">
      <formula>0</formula>
    </cfRule>
  </conditionalFormatting>
  <conditionalFormatting sqref="R148:R153">
    <cfRule type="cellIs" dxfId="28517" priority="871" operator="lessThan">
      <formula>0.8</formula>
    </cfRule>
    <cfRule type="cellIs" dxfId="28516" priority="872" operator="greaterThan">
      <formula>1</formula>
    </cfRule>
  </conditionalFormatting>
  <conditionalFormatting sqref="R148:R153">
    <cfRule type="cellIs" dxfId="28515" priority="869" operator="greaterThan">
      <formula>1</formula>
    </cfRule>
    <cfRule type="cellIs" dxfId="28514" priority="870" operator="lessThan">
      <formula>0.8</formula>
    </cfRule>
  </conditionalFormatting>
  <conditionalFormatting sqref="P148:P153">
    <cfRule type="cellIs" dxfId="28513" priority="868" operator="greaterThan">
      <formula>0</formula>
    </cfRule>
  </conditionalFormatting>
  <conditionalFormatting sqref="Q148:Q153">
    <cfRule type="cellIs" dxfId="28512" priority="867" operator="lessThan">
      <formula>0</formula>
    </cfRule>
  </conditionalFormatting>
  <conditionalFormatting sqref="R148:R153">
    <cfRule type="cellIs" dxfId="28511" priority="865" operator="lessThan">
      <formula>0.8</formula>
    </cfRule>
    <cfRule type="cellIs" dxfId="28510" priority="866" operator="greaterThan">
      <formula>1</formula>
    </cfRule>
  </conditionalFormatting>
  <conditionalFormatting sqref="R148:R153">
    <cfRule type="cellIs" dxfId="28509" priority="863" operator="greaterThan">
      <formula>1</formula>
    </cfRule>
    <cfRule type="cellIs" dxfId="28508" priority="864" operator="lessThan">
      <formula>0.8</formula>
    </cfRule>
  </conditionalFormatting>
  <conditionalFormatting sqref="P148:P153">
    <cfRule type="cellIs" dxfId="28507" priority="862" operator="greaterThan">
      <formula>0</formula>
    </cfRule>
  </conditionalFormatting>
  <conditionalFormatting sqref="Q148:Q153">
    <cfRule type="cellIs" dxfId="28506" priority="861" operator="lessThan">
      <formula>0</formula>
    </cfRule>
  </conditionalFormatting>
  <conditionalFormatting sqref="R148:R153">
    <cfRule type="cellIs" dxfId="28505" priority="859" operator="lessThan">
      <formula>0.8</formula>
    </cfRule>
    <cfRule type="cellIs" dxfId="28504" priority="860" operator="greaterThan">
      <formula>1</formula>
    </cfRule>
  </conditionalFormatting>
  <conditionalFormatting sqref="R148:R153">
    <cfRule type="cellIs" dxfId="28503" priority="857" operator="greaterThan">
      <formula>1</formula>
    </cfRule>
    <cfRule type="cellIs" dxfId="28502" priority="858" operator="lessThan">
      <formula>0.8</formula>
    </cfRule>
  </conditionalFormatting>
  <conditionalFormatting sqref="P148:P153">
    <cfRule type="cellIs" dxfId="28501" priority="856" operator="greaterThan">
      <formula>0</formula>
    </cfRule>
  </conditionalFormatting>
  <conditionalFormatting sqref="Q148:Q153">
    <cfRule type="cellIs" dxfId="28500" priority="855" operator="lessThan">
      <formula>0</formula>
    </cfRule>
  </conditionalFormatting>
  <conditionalFormatting sqref="R148:R153">
    <cfRule type="cellIs" dxfId="28499" priority="853" operator="lessThan">
      <formula>0.8</formula>
    </cfRule>
    <cfRule type="cellIs" dxfId="28498" priority="854" operator="greaterThan">
      <formula>1</formula>
    </cfRule>
  </conditionalFormatting>
  <conditionalFormatting sqref="R148:R153">
    <cfRule type="cellIs" dxfId="28497" priority="851" operator="greaterThan">
      <formula>1</formula>
    </cfRule>
    <cfRule type="cellIs" dxfId="28496" priority="852" operator="lessThan">
      <formula>0.8</formula>
    </cfRule>
  </conditionalFormatting>
  <conditionalFormatting sqref="P148:P153">
    <cfRule type="cellIs" dxfId="28495" priority="850" operator="greaterThan">
      <formula>0</formula>
    </cfRule>
  </conditionalFormatting>
  <conditionalFormatting sqref="Q148:Q153">
    <cfRule type="cellIs" dxfId="28494" priority="849" operator="lessThan">
      <formula>0</formula>
    </cfRule>
  </conditionalFormatting>
  <conditionalFormatting sqref="R148:R153">
    <cfRule type="cellIs" dxfId="28493" priority="847" operator="lessThan">
      <formula>0.8</formula>
    </cfRule>
    <cfRule type="cellIs" dxfId="28492" priority="848" operator="greaterThan">
      <formula>1</formula>
    </cfRule>
  </conditionalFormatting>
  <conditionalFormatting sqref="R148:R153">
    <cfRule type="cellIs" dxfId="28491" priority="845" operator="greaterThan">
      <formula>1</formula>
    </cfRule>
    <cfRule type="cellIs" dxfId="28490" priority="846" operator="lessThan">
      <formula>0.8</formula>
    </cfRule>
  </conditionalFormatting>
  <conditionalFormatting sqref="P148:P153">
    <cfRule type="cellIs" dxfId="28489" priority="844" operator="greaterThan">
      <formula>0</formula>
    </cfRule>
  </conditionalFormatting>
  <conditionalFormatting sqref="Q148:Q153">
    <cfRule type="cellIs" dxfId="28488" priority="843" operator="lessThan">
      <formula>0</formula>
    </cfRule>
  </conditionalFormatting>
  <conditionalFormatting sqref="R148:R153">
    <cfRule type="cellIs" dxfId="28487" priority="841" operator="lessThan">
      <formula>0.8</formula>
    </cfRule>
    <cfRule type="cellIs" dxfId="28486" priority="842" operator="greaterThan">
      <formula>1</formula>
    </cfRule>
  </conditionalFormatting>
  <conditionalFormatting sqref="R148:R153">
    <cfRule type="cellIs" dxfId="28485" priority="839" operator="greaterThan">
      <formula>1</formula>
    </cfRule>
    <cfRule type="cellIs" dxfId="28484" priority="840" operator="lessThan">
      <formula>0.8</formula>
    </cfRule>
  </conditionalFormatting>
  <conditionalFormatting sqref="P148:P153">
    <cfRule type="cellIs" dxfId="28483" priority="838" operator="greaterThan">
      <formula>0</formula>
    </cfRule>
  </conditionalFormatting>
  <conditionalFormatting sqref="P148:P153">
    <cfRule type="cellIs" dxfId="28482" priority="832" operator="greaterThan">
      <formula>0</formula>
    </cfRule>
  </conditionalFormatting>
  <conditionalFormatting sqref="Q148:Q153">
    <cfRule type="cellIs" dxfId="28481" priority="837" operator="lessThan">
      <formula>0</formula>
    </cfRule>
  </conditionalFormatting>
  <conditionalFormatting sqref="R148:R153">
    <cfRule type="cellIs" dxfId="28480" priority="835" operator="lessThan">
      <formula>0.8</formula>
    </cfRule>
    <cfRule type="cellIs" dxfId="28479" priority="836" operator="greaterThan">
      <formula>1</formula>
    </cfRule>
  </conditionalFormatting>
  <conditionalFormatting sqref="R148:R153">
    <cfRule type="cellIs" dxfId="28478" priority="833" operator="greaterThan">
      <formula>1</formula>
    </cfRule>
    <cfRule type="cellIs" dxfId="28477" priority="834" operator="lessThan">
      <formula>0.8</formula>
    </cfRule>
  </conditionalFormatting>
  <conditionalFormatting sqref="P148:P153">
    <cfRule type="cellIs" dxfId="28476" priority="826" operator="greaterThan">
      <formula>0</formula>
    </cfRule>
  </conditionalFormatting>
  <conditionalFormatting sqref="Q148:Q153">
    <cfRule type="cellIs" dxfId="28475" priority="831" operator="lessThan">
      <formula>0</formula>
    </cfRule>
  </conditionalFormatting>
  <conditionalFormatting sqref="R148:R153">
    <cfRule type="cellIs" dxfId="28474" priority="829" operator="lessThan">
      <formula>0.8</formula>
    </cfRule>
    <cfRule type="cellIs" dxfId="28473" priority="830" operator="greaterThan">
      <formula>1</formula>
    </cfRule>
  </conditionalFormatting>
  <conditionalFormatting sqref="R148:R153">
    <cfRule type="cellIs" dxfId="28472" priority="827" operator="greaterThan">
      <formula>1</formula>
    </cfRule>
    <cfRule type="cellIs" dxfId="28471" priority="828" operator="lessThan">
      <formula>0.8</formula>
    </cfRule>
  </conditionalFormatting>
  <conditionalFormatting sqref="R148:R153">
    <cfRule type="cellIs" dxfId="28470" priority="823" operator="lessThan">
      <formula>0.8</formula>
    </cfRule>
    <cfRule type="cellIs" dxfId="28469" priority="824" operator="greaterThan">
      <formula>1</formula>
    </cfRule>
  </conditionalFormatting>
  <conditionalFormatting sqref="R148:R153">
    <cfRule type="cellIs" dxfId="28468" priority="821" operator="greaterThan">
      <formula>1</formula>
    </cfRule>
    <cfRule type="cellIs" dxfId="28467" priority="822" operator="lessThan">
      <formula>0.8</formula>
    </cfRule>
  </conditionalFormatting>
  <conditionalFormatting sqref="P148:P153">
    <cfRule type="cellIs" dxfId="28466" priority="820" operator="greaterThan">
      <formula>0</formula>
    </cfRule>
  </conditionalFormatting>
  <conditionalFormatting sqref="Q148:Q153">
    <cfRule type="cellIs" dxfId="28465" priority="825" operator="lessThan">
      <formula>0</formula>
    </cfRule>
  </conditionalFormatting>
  <conditionalFormatting sqref="Q148:Q153">
    <cfRule type="cellIs" dxfId="28464" priority="819" operator="lessThan">
      <formula>0</formula>
    </cfRule>
  </conditionalFormatting>
  <conditionalFormatting sqref="R148:R153">
    <cfRule type="cellIs" dxfId="28463" priority="817" operator="lessThan">
      <formula>0.8</formula>
    </cfRule>
    <cfRule type="cellIs" dxfId="28462" priority="818" operator="greaterThan">
      <formula>1</formula>
    </cfRule>
  </conditionalFormatting>
  <conditionalFormatting sqref="R148:R153">
    <cfRule type="cellIs" dxfId="28461" priority="815" operator="greaterThan">
      <formula>1</formula>
    </cfRule>
    <cfRule type="cellIs" dxfId="28460" priority="816" operator="lessThan">
      <formula>0.8</formula>
    </cfRule>
  </conditionalFormatting>
  <conditionalFormatting sqref="P148:P153">
    <cfRule type="cellIs" dxfId="28459" priority="814" operator="greaterThan">
      <formula>0</formula>
    </cfRule>
  </conditionalFormatting>
  <conditionalFormatting sqref="P148:P153">
    <cfRule type="cellIs" dxfId="28458" priority="808" operator="greaterThan">
      <formula>0</formula>
    </cfRule>
  </conditionalFormatting>
  <conditionalFormatting sqref="Q148:Q153">
    <cfRule type="cellIs" dxfId="28457" priority="813" operator="lessThan">
      <formula>0</formula>
    </cfRule>
  </conditionalFormatting>
  <conditionalFormatting sqref="R148:R153">
    <cfRule type="cellIs" dxfId="28456" priority="811" operator="lessThan">
      <formula>0.8</formula>
    </cfRule>
    <cfRule type="cellIs" dxfId="28455" priority="812" operator="greaterThan">
      <formula>1</formula>
    </cfRule>
  </conditionalFormatting>
  <conditionalFormatting sqref="R148:R153">
    <cfRule type="cellIs" dxfId="28454" priority="809" operator="greaterThan">
      <formula>1</formula>
    </cfRule>
    <cfRule type="cellIs" dxfId="28453" priority="810" operator="lessThan">
      <formula>0.8</formula>
    </cfRule>
  </conditionalFormatting>
  <conditionalFormatting sqref="P148:P153">
    <cfRule type="cellIs" dxfId="28452" priority="802" operator="greaterThan">
      <formula>0</formula>
    </cfRule>
  </conditionalFormatting>
  <conditionalFormatting sqref="Q148:Q153">
    <cfRule type="cellIs" dxfId="28451" priority="807" operator="lessThan">
      <formula>0</formula>
    </cfRule>
  </conditionalFormatting>
  <conditionalFormatting sqref="R148:R153">
    <cfRule type="cellIs" dxfId="28450" priority="805" operator="lessThan">
      <formula>0.8</formula>
    </cfRule>
    <cfRule type="cellIs" dxfId="28449" priority="806" operator="greaterThan">
      <formula>1</formula>
    </cfRule>
  </conditionalFormatting>
  <conditionalFormatting sqref="R148:R153">
    <cfRule type="cellIs" dxfId="28448" priority="803" operator="greaterThan">
      <formula>1</formula>
    </cfRule>
    <cfRule type="cellIs" dxfId="28447" priority="804" operator="lessThan">
      <formula>0.8</formula>
    </cfRule>
  </conditionalFormatting>
  <conditionalFormatting sqref="R148:R153">
    <cfRule type="cellIs" dxfId="28446" priority="799" operator="lessThan">
      <formula>0.8</formula>
    </cfRule>
    <cfRule type="cellIs" dxfId="28445" priority="800" operator="greaterThan">
      <formula>1</formula>
    </cfRule>
  </conditionalFormatting>
  <conditionalFormatting sqref="R148:R153">
    <cfRule type="cellIs" dxfId="28444" priority="797" operator="greaterThan">
      <formula>1</formula>
    </cfRule>
    <cfRule type="cellIs" dxfId="28443" priority="798" operator="lessThan">
      <formula>0.8</formula>
    </cfRule>
  </conditionalFormatting>
  <conditionalFormatting sqref="P148:P153">
    <cfRule type="cellIs" dxfId="28442" priority="796" operator="greaterThan">
      <formula>0</formula>
    </cfRule>
  </conditionalFormatting>
  <conditionalFormatting sqref="Q148:Q153">
    <cfRule type="cellIs" dxfId="28441" priority="801" operator="lessThan">
      <formula>0</formula>
    </cfRule>
  </conditionalFormatting>
  <conditionalFormatting sqref="P148:P153">
    <cfRule type="cellIs" dxfId="28440" priority="790" operator="greaterThan">
      <formula>0</formula>
    </cfRule>
  </conditionalFormatting>
  <conditionalFormatting sqref="Q148:Q153">
    <cfRule type="cellIs" dxfId="28439" priority="795" operator="lessThan">
      <formula>0</formula>
    </cfRule>
  </conditionalFormatting>
  <conditionalFormatting sqref="R148:R153">
    <cfRule type="cellIs" dxfId="28438" priority="793" operator="lessThan">
      <formula>0.8</formula>
    </cfRule>
    <cfRule type="cellIs" dxfId="28437" priority="794" operator="greaterThan">
      <formula>1</formula>
    </cfRule>
  </conditionalFormatting>
  <conditionalFormatting sqref="R148:R153">
    <cfRule type="cellIs" dxfId="28436" priority="791" operator="greaterThan">
      <formula>1</formula>
    </cfRule>
    <cfRule type="cellIs" dxfId="28435" priority="792" operator="lessThan">
      <formula>0.8</formula>
    </cfRule>
  </conditionalFormatting>
  <conditionalFormatting sqref="R148:R153">
    <cfRule type="cellIs" dxfId="28434" priority="787" operator="lessThan">
      <formula>0.8</formula>
    </cfRule>
    <cfRule type="cellIs" dxfId="28433" priority="788" operator="greaterThan">
      <formula>1</formula>
    </cfRule>
  </conditionalFormatting>
  <conditionalFormatting sqref="R148:R153">
    <cfRule type="cellIs" dxfId="28432" priority="785" operator="greaterThan">
      <formula>1</formula>
    </cfRule>
    <cfRule type="cellIs" dxfId="28431" priority="786" operator="lessThan">
      <formula>0.8</formula>
    </cfRule>
  </conditionalFormatting>
  <conditionalFormatting sqref="P148:P153">
    <cfRule type="cellIs" dxfId="28430" priority="784" operator="greaterThan">
      <formula>0</formula>
    </cfRule>
  </conditionalFormatting>
  <conditionalFormatting sqref="Q148:Q153">
    <cfRule type="cellIs" dxfId="28429" priority="789" operator="lessThan">
      <formula>0</formula>
    </cfRule>
  </conditionalFormatting>
  <conditionalFormatting sqref="R148:R153">
    <cfRule type="cellIs" dxfId="28428" priority="781" operator="lessThan">
      <formula>0.8</formula>
    </cfRule>
    <cfRule type="cellIs" dxfId="28427" priority="782" operator="greaterThan">
      <formula>1</formula>
    </cfRule>
  </conditionalFormatting>
  <conditionalFormatting sqref="R148:R153">
    <cfRule type="cellIs" dxfId="28426" priority="779" operator="greaterThan">
      <formula>1</formula>
    </cfRule>
    <cfRule type="cellIs" dxfId="28425" priority="780" operator="lessThan">
      <formula>0.8</formula>
    </cfRule>
  </conditionalFormatting>
  <conditionalFormatting sqref="P148:P153">
    <cfRule type="cellIs" dxfId="28424" priority="778" operator="greaterThan">
      <formula>0</formula>
    </cfRule>
  </conditionalFormatting>
  <conditionalFormatting sqref="Q148:Q153">
    <cfRule type="cellIs" dxfId="28423" priority="783" operator="lessThan">
      <formula>0</formula>
    </cfRule>
  </conditionalFormatting>
  <conditionalFormatting sqref="Q148:Q153">
    <cfRule type="cellIs" dxfId="28422" priority="777" operator="lessThan">
      <formula>0</formula>
    </cfRule>
  </conditionalFormatting>
  <conditionalFormatting sqref="R148:R153">
    <cfRule type="cellIs" dxfId="28421" priority="775" operator="lessThan">
      <formula>0.8</formula>
    </cfRule>
    <cfRule type="cellIs" dxfId="28420" priority="776" operator="greaterThan">
      <formula>1</formula>
    </cfRule>
  </conditionalFormatting>
  <conditionalFormatting sqref="R148:R153">
    <cfRule type="cellIs" dxfId="28419" priority="773" operator="greaterThan">
      <formula>1</formula>
    </cfRule>
    <cfRule type="cellIs" dxfId="28418" priority="774" operator="lessThan">
      <formula>0.8</formula>
    </cfRule>
  </conditionalFormatting>
  <conditionalFormatting sqref="P148:P153">
    <cfRule type="cellIs" dxfId="28417" priority="772" operator="greaterThan">
      <formula>0</formula>
    </cfRule>
  </conditionalFormatting>
  <conditionalFormatting sqref="Q148:Q153">
    <cfRule type="cellIs" dxfId="28416" priority="766" operator="lessThan">
      <formula>0</formula>
    </cfRule>
  </conditionalFormatting>
  <conditionalFormatting sqref="R148:R153">
    <cfRule type="cellIs" dxfId="28415" priority="770" operator="lessThan">
      <formula>0.8</formula>
    </cfRule>
    <cfRule type="cellIs" dxfId="28414" priority="771" operator="greaterThan">
      <formula>1</formula>
    </cfRule>
  </conditionalFormatting>
  <conditionalFormatting sqref="R148:R153">
    <cfRule type="cellIs" dxfId="28413" priority="768" operator="greaterThan">
      <formula>1</formula>
    </cfRule>
    <cfRule type="cellIs" dxfId="28412" priority="769" operator="lessThan">
      <formula>0.8</formula>
    </cfRule>
  </conditionalFormatting>
  <conditionalFormatting sqref="P148:P153">
    <cfRule type="cellIs" dxfId="28411" priority="767" operator="greaterThan">
      <formula>0</formula>
    </cfRule>
  </conditionalFormatting>
  <conditionalFormatting sqref="Q148:Q153">
    <cfRule type="cellIs" dxfId="28410" priority="765" operator="lessThan">
      <formula>0</formula>
    </cfRule>
  </conditionalFormatting>
  <conditionalFormatting sqref="R148:R153">
    <cfRule type="cellIs" dxfId="28409" priority="763" operator="lessThan">
      <formula>0.8</formula>
    </cfRule>
    <cfRule type="cellIs" dxfId="28408" priority="764" operator="greaterThan">
      <formula>1</formula>
    </cfRule>
  </conditionalFormatting>
  <conditionalFormatting sqref="R148:R153">
    <cfRule type="cellIs" dxfId="28407" priority="761" operator="greaterThan">
      <formula>1</formula>
    </cfRule>
    <cfRule type="cellIs" dxfId="28406" priority="762" operator="lessThan">
      <formula>0.8</formula>
    </cfRule>
  </conditionalFormatting>
  <conditionalFormatting sqref="P148:P153">
    <cfRule type="cellIs" dxfId="28405" priority="760" operator="greaterThan">
      <formula>0</formula>
    </cfRule>
  </conditionalFormatting>
  <conditionalFormatting sqref="Q148:Q153">
    <cfRule type="cellIs" dxfId="28404" priority="759" operator="lessThan">
      <formula>0</formula>
    </cfRule>
  </conditionalFormatting>
  <conditionalFormatting sqref="R148:R153">
    <cfRule type="cellIs" dxfId="28403" priority="757" operator="lessThan">
      <formula>0.8</formula>
    </cfRule>
    <cfRule type="cellIs" dxfId="28402" priority="758" operator="greaterThan">
      <formula>1</formula>
    </cfRule>
  </conditionalFormatting>
  <conditionalFormatting sqref="R148:R153">
    <cfRule type="cellIs" dxfId="28401" priority="755" operator="greaterThan">
      <formula>1</formula>
    </cfRule>
    <cfRule type="cellIs" dxfId="28400" priority="756" operator="lessThan">
      <formula>0.8</formula>
    </cfRule>
  </conditionalFormatting>
  <conditionalFormatting sqref="P148:P153">
    <cfRule type="cellIs" dxfId="28399" priority="754" operator="greaterThan">
      <formula>0</formula>
    </cfRule>
  </conditionalFormatting>
  <conditionalFormatting sqref="Q148:Q153">
    <cfRule type="cellIs" dxfId="28398" priority="753" operator="lessThan">
      <formula>0</formula>
    </cfRule>
  </conditionalFormatting>
  <conditionalFormatting sqref="R148:R153">
    <cfRule type="cellIs" dxfId="28397" priority="751" operator="lessThan">
      <formula>0.8</formula>
    </cfRule>
    <cfRule type="cellIs" dxfId="28396" priority="752" operator="greaterThan">
      <formula>1</formula>
    </cfRule>
  </conditionalFormatting>
  <conditionalFormatting sqref="R148:R153">
    <cfRule type="cellIs" dxfId="28395" priority="749" operator="greaterThan">
      <formula>1</formula>
    </cfRule>
    <cfRule type="cellIs" dxfId="28394" priority="750" operator="lessThan">
      <formula>0.8</formula>
    </cfRule>
  </conditionalFormatting>
  <conditionalFormatting sqref="P148:P153">
    <cfRule type="cellIs" dxfId="28393" priority="748" operator="greaterThan">
      <formula>0</formula>
    </cfRule>
  </conditionalFormatting>
  <conditionalFormatting sqref="Q148:Q153">
    <cfRule type="cellIs" dxfId="28392" priority="747" operator="lessThan">
      <formula>0</formula>
    </cfRule>
  </conditionalFormatting>
  <conditionalFormatting sqref="R148:R153">
    <cfRule type="cellIs" dxfId="28391" priority="745" operator="lessThan">
      <formula>0.8</formula>
    </cfRule>
    <cfRule type="cellIs" dxfId="28390" priority="746" operator="greaterThan">
      <formula>1</formula>
    </cfRule>
  </conditionalFormatting>
  <conditionalFormatting sqref="R148:R153">
    <cfRule type="cellIs" dxfId="28389" priority="743" operator="greaterThan">
      <formula>1</formula>
    </cfRule>
    <cfRule type="cellIs" dxfId="28388" priority="744" operator="lessThan">
      <formula>0.8</formula>
    </cfRule>
  </conditionalFormatting>
  <conditionalFormatting sqref="P148:P153">
    <cfRule type="cellIs" dxfId="28387" priority="742" operator="greaterThan">
      <formula>0</formula>
    </cfRule>
  </conditionalFormatting>
  <conditionalFormatting sqref="Q148:Q153">
    <cfRule type="cellIs" dxfId="28386" priority="741" operator="lessThan">
      <formula>0</formula>
    </cfRule>
  </conditionalFormatting>
  <conditionalFormatting sqref="R148:R153">
    <cfRule type="cellIs" dxfId="28385" priority="739" operator="lessThan">
      <formula>0.8</formula>
    </cfRule>
    <cfRule type="cellIs" dxfId="28384" priority="740" operator="greaterThan">
      <formula>1</formula>
    </cfRule>
  </conditionalFormatting>
  <conditionalFormatting sqref="R148:R153">
    <cfRule type="cellIs" dxfId="28383" priority="737" operator="greaterThan">
      <formula>1</formula>
    </cfRule>
    <cfRule type="cellIs" dxfId="28382" priority="738" operator="lessThan">
      <formula>0.8</formula>
    </cfRule>
  </conditionalFormatting>
  <conditionalFormatting sqref="P148:P153">
    <cfRule type="cellIs" dxfId="28381" priority="736" operator="greaterThan">
      <formula>0</formula>
    </cfRule>
  </conditionalFormatting>
  <conditionalFormatting sqref="P148:P153">
    <cfRule type="cellIs" dxfId="28380" priority="730" operator="greaterThan">
      <formula>0</formula>
    </cfRule>
  </conditionalFormatting>
  <conditionalFormatting sqref="Q148:Q153">
    <cfRule type="cellIs" dxfId="28379" priority="735" operator="lessThan">
      <formula>0</formula>
    </cfRule>
  </conditionalFormatting>
  <conditionalFormatting sqref="R148:R153">
    <cfRule type="cellIs" dxfId="28378" priority="733" operator="lessThan">
      <formula>0.8</formula>
    </cfRule>
    <cfRule type="cellIs" dxfId="28377" priority="734" operator="greaterThan">
      <formula>1</formula>
    </cfRule>
  </conditionalFormatting>
  <conditionalFormatting sqref="R148:R153">
    <cfRule type="cellIs" dxfId="28376" priority="731" operator="greaterThan">
      <formula>1</formula>
    </cfRule>
    <cfRule type="cellIs" dxfId="28375" priority="732" operator="lessThan">
      <formula>0.8</formula>
    </cfRule>
  </conditionalFormatting>
  <conditionalFormatting sqref="P148:P153">
    <cfRule type="cellIs" dxfId="28374" priority="724" operator="greaterThan">
      <formula>0</formula>
    </cfRule>
  </conditionalFormatting>
  <conditionalFormatting sqref="Q148:Q153">
    <cfRule type="cellIs" dxfId="28373" priority="729" operator="lessThan">
      <formula>0</formula>
    </cfRule>
  </conditionalFormatting>
  <conditionalFormatting sqref="R148:R153">
    <cfRule type="cellIs" dxfId="28372" priority="727" operator="lessThan">
      <formula>0.8</formula>
    </cfRule>
    <cfRule type="cellIs" dxfId="28371" priority="728" operator="greaterThan">
      <formula>1</formula>
    </cfRule>
  </conditionalFormatting>
  <conditionalFormatting sqref="R148:R153">
    <cfRule type="cellIs" dxfId="28370" priority="725" operator="greaterThan">
      <formula>1</formula>
    </cfRule>
    <cfRule type="cellIs" dxfId="28369" priority="726" operator="lessThan">
      <formula>0.8</formula>
    </cfRule>
  </conditionalFormatting>
  <conditionalFormatting sqref="R148:R153">
    <cfRule type="cellIs" dxfId="28368" priority="721" operator="lessThan">
      <formula>0.8</formula>
    </cfRule>
    <cfRule type="cellIs" dxfId="28367" priority="722" operator="greaterThan">
      <formula>1</formula>
    </cfRule>
  </conditionalFormatting>
  <conditionalFormatting sqref="R148:R153">
    <cfRule type="cellIs" dxfId="28366" priority="719" operator="greaterThan">
      <formula>1</formula>
    </cfRule>
    <cfRule type="cellIs" dxfId="28365" priority="720" operator="lessThan">
      <formula>0.8</formula>
    </cfRule>
  </conditionalFormatting>
  <conditionalFormatting sqref="P148:P153">
    <cfRule type="cellIs" dxfId="28364" priority="718" operator="greaterThan">
      <formula>0</formula>
    </cfRule>
  </conditionalFormatting>
  <conditionalFormatting sqref="Q148:Q153">
    <cfRule type="cellIs" dxfId="28363" priority="723" operator="lessThan">
      <formula>0</formula>
    </cfRule>
  </conditionalFormatting>
  <conditionalFormatting sqref="P44:P51">
    <cfRule type="cellIs" dxfId="28362" priority="712" operator="greaterThan">
      <formula>0</formula>
    </cfRule>
  </conditionalFormatting>
  <conditionalFormatting sqref="Q44:Q51">
    <cfRule type="cellIs" dxfId="28361" priority="717" operator="lessThan">
      <formula>0</formula>
    </cfRule>
  </conditionalFormatting>
  <conditionalFormatting sqref="R44:R51">
    <cfRule type="cellIs" dxfId="28360" priority="715" operator="lessThan">
      <formula>0.8</formula>
    </cfRule>
    <cfRule type="cellIs" dxfId="28359" priority="716" operator="greaterThan">
      <formula>1</formula>
    </cfRule>
  </conditionalFormatting>
  <conditionalFormatting sqref="R44:R51">
    <cfRule type="cellIs" dxfId="28358" priority="713" operator="greaterThan">
      <formula>1</formula>
    </cfRule>
    <cfRule type="cellIs" dxfId="28357" priority="714" operator="lessThan">
      <formula>0.8</formula>
    </cfRule>
  </conditionalFormatting>
  <conditionalFormatting sqref="Q84:Q91">
    <cfRule type="cellIs" dxfId="28356" priority="711" operator="lessThan">
      <formula>0</formula>
    </cfRule>
  </conditionalFormatting>
  <conditionalFormatting sqref="R84:R91">
    <cfRule type="cellIs" dxfId="28355" priority="709" operator="lessThan">
      <formula>0.8</formula>
    </cfRule>
    <cfRule type="cellIs" dxfId="28354" priority="710" operator="greaterThan">
      <formula>1</formula>
    </cfRule>
  </conditionalFormatting>
  <conditionalFormatting sqref="R84:R91">
    <cfRule type="cellIs" dxfId="28353" priority="707" operator="greaterThan">
      <formula>1</formula>
    </cfRule>
    <cfRule type="cellIs" dxfId="28352" priority="708" operator="lessThan">
      <formula>0.8</formula>
    </cfRule>
  </conditionalFormatting>
  <conditionalFormatting sqref="P84:P91">
    <cfRule type="cellIs" dxfId="28351" priority="706" operator="greaterThan">
      <formula>0</formula>
    </cfRule>
  </conditionalFormatting>
  <conditionalFormatting sqref="Q84:Q91">
    <cfRule type="cellIs" dxfId="28350" priority="705" operator="lessThan">
      <formula>0</formula>
    </cfRule>
  </conditionalFormatting>
  <conditionalFormatting sqref="R84:R91">
    <cfRule type="cellIs" dxfId="28349" priority="703" operator="lessThan">
      <formula>0.8</formula>
    </cfRule>
    <cfRule type="cellIs" dxfId="28348" priority="704" operator="greaterThan">
      <formula>1</formula>
    </cfRule>
  </conditionalFormatting>
  <conditionalFormatting sqref="R84:R91">
    <cfRule type="cellIs" dxfId="28347" priority="701" operator="greaterThan">
      <formula>1</formula>
    </cfRule>
    <cfRule type="cellIs" dxfId="28346" priority="702" operator="lessThan">
      <formula>0.8</formula>
    </cfRule>
  </conditionalFormatting>
  <conditionalFormatting sqref="P84:P91">
    <cfRule type="cellIs" dxfId="28345" priority="700" operator="greaterThan">
      <formula>0</formula>
    </cfRule>
  </conditionalFormatting>
  <conditionalFormatting sqref="Q84:Q91">
    <cfRule type="cellIs" dxfId="28344" priority="699" operator="lessThan">
      <formula>0</formula>
    </cfRule>
  </conditionalFormatting>
  <conditionalFormatting sqref="R84:R91">
    <cfRule type="cellIs" dxfId="28343" priority="697" operator="lessThan">
      <formula>0.8</formula>
    </cfRule>
    <cfRule type="cellIs" dxfId="28342" priority="698" operator="greaterThan">
      <formula>1</formula>
    </cfRule>
  </conditionalFormatting>
  <conditionalFormatting sqref="R84:R91">
    <cfRule type="cellIs" dxfId="28341" priority="695" operator="greaterThan">
      <formula>1</formula>
    </cfRule>
    <cfRule type="cellIs" dxfId="28340" priority="696" operator="lessThan">
      <formula>0.8</formula>
    </cfRule>
  </conditionalFormatting>
  <conditionalFormatting sqref="P84:P91">
    <cfRule type="cellIs" dxfId="28339" priority="694" operator="greaterThan">
      <formula>0</formula>
    </cfRule>
  </conditionalFormatting>
  <conditionalFormatting sqref="Q84:Q91">
    <cfRule type="cellIs" dxfId="28338" priority="693" operator="lessThan">
      <formula>0</formula>
    </cfRule>
  </conditionalFormatting>
  <conditionalFormatting sqref="R84:R91">
    <cfRule type="cellIs" dxfId="28337" priority="691" operator="lessThan">
      <formula>0.8</formula>
    </cfRule>
    <cfRule type="cellIs" dxfId="28336" priority="692" operator="greaterThan">
      <formula>1</formula>
    </cfRule>
  </conditionalFormatting>
  <conditionalFormatting sqref="R84:R91">
    <cfRule type="cellIs" dxfId="28335" priority="689" operator="greaterThan">
      <formula>1</formula>
    </cfRule>
    <cfRule type="cellIs" dxfId="28334" priority="690" operator="lessThan">
      <formula>0.8</formula>
    </cfRule>
  </conditionalFormatting>
  <conditionalFormatting sqref="P84:P91">
    <cfRule type="cellIs" dxfId="28333" priority="688" operator="greaterThan">
      <formula>0</formula>
    </cfRule>
  </conditionalFormatting>
  <conditionalFormatting sqref="P84:P91">
    <cfRule type="cellIs" dxfId="28332" priority="682" operator="greaterThan">
      <formula>0</formula>
    </cfRule>
  </conditionalFormatting>
  <conditionalFormatting sqref="Q84:Q91">
    <cfRule type="cellIs" dxfId="28331" priority="687" operator="lessThan">
      <formula>0</formula>
    </cfRule>
  </conditionalFormatting>
  <conditionalFormatting sqref="R84:R91">
    <cfRule type="cellIs" dxfId="28330" priority="685" operator="lessThan">
      <formula>0.8</formula>
    </cfRule>
    <cfRule type="cellIs" dxfId="28329" priority="686" operator="greaterThan">
      <formula>1</formula>
    </cfRule>
  </conditionalFormatting>
  <conditionalFormatting sqref="R84:R91">
    <cfRule type="cellIs" dxfId="28328" priority="683" operator="greaterThan">
      <formula>1</formula>
    </cfRule>
    <cfRule type="cellIs" dxfId="28327" priority="684" operator="lessThan">
      <formula>0.8</formula>
    </cfRule>
  </conditionalFormatting>
  <conditionalFormatting sqref="P84:P91">
    <cfRule type="cellIs" dxfId="28326" priority="676" operator="greaterThan">
      <formula>0</formula>
    </cfRule>
  </conditionalFormatting>
  <conditionalFormatting sqref="Q84:Q91">
    <cfRule type="cellIs" dxfId="28325" priority="681" operator="lessThan">
      <formula>0</formula>
    </cfRule>
  </conditionalFormatting>
  <conditionalFormatting sqref="R84:R91">
    <cfRule type="cellIs" dxfId="28324" priority="679" operator="lessThan">
      <formula>0.8</formula>
    </cfRule>
    <cfRule type="cellIs" dxfId="28323" priority="680" operator="greaterThan">
      <formula>1</formula>
    </cfRule>
  </conditionalFormatting>
  <conditionalFormatting sqref="R84:R91">
    <cfRule type="cellIs" dxfId="28322" priority="677" operator="greaterThan">
      <formula>1</formula>
    </cfRule>
    <cfRule type="cellIs" dxfId="28321" priority="678" operator="lessThan">
      <formula>0.8</formula>
    </cfRule>
  </conditionalFormatting>
  <conditionalFormatting sqref="R84:R91">
    <cfRule type="cellIs" dxfId="28320" priority="673" operator="lessThan">
      <formula>0.8</formula>
    </cfRule>
    <cfRule type="cellIs" dxfId="28319" priority="674" operator="greaterThan">
      <formula>1</formula>
    </cfRule>
  </conditionalFormatting>
  <conditionalFormatting sqref="R84:R91">
    <cfRule type="cellIs" dxfId="28318" priority="671" operator="greaterThan">
      <formula>1</formula>
    </cfRule>
    <cfRule type="cellIs" dxfId="28317" priority="672" operator="lessThan">
      <formula>0.8</formula>
    </cfRule>
  </conditionalFormatting>
  <conditionalFormatting sqref="P84:P91">
    <cfRule type="cellIs" dxfId="28316" priority="670" operator="greaterThan">
      <formula>0</formula>
    </cfRule>
  </conditionalFormatting>
  <conditionalFormatting sqref="Q84:Q91">
    <cfRule type="cellIs" dxfId="28315" priority="675" operator="lessThan">
      <formula>0</formula>
    </cfRule>
  </conditionalFormatting>
  <conditionalFormatting sqref="Q84:Q91">
    <cfRule type="cellIs" dxfId="28314" priority="669" operator="lessThan">
      <formula>0</formula>
    </cfRule>
  </conditionalFormatting>
  <conditionalFormatting sqref="R84:R91">
    <cfRule type="cellIs" dxfId="28313" priority="667" operator="lessThan">
      <formula>0.8</formula>
    </cfRule>
    <cfRule type="cellIs" dxfId="28312" priority="668" operator="greaterThan">
      <formula>1</formula>
    </cfRule>
  </conditionalFormatting>
  <conditionalFormatting sqref="R84:R91">
    <cfRule type="cellIs" dxfId="28311" priority="665" operator="greaterThan">
      <formula>1</formula>
    </cfRule>
    <cfRule type="cellIs" dxfId="28310" priority="666" operator="lessThan">
      <formula>0.8</formula>
    </cfRule>
  </conditionalFormatting>
  <conditionalFormatting sqref="P84:P91">
    <cfRule type="cellIs" dxfId="28309" priority="664" operator="greaterThan">
      <formula>0</formula>
    </cfRule>
  </conditionalFormatting>
  <conditionalFormatting sqref="P84:P91">
    <cfRule type="cellIs" dxfId="28308" priority="658" operator="greaterThan">
      <formula>0</formula>
    </cfRule>
  </conditionalFormatting>
  <conditionalFormatting sqref="Q84:Q91">
    <cfRule type="cellIs" dxfId="28307" priority="663" operator="lessThan">
      <formula>0</formula>
    </cfRule>
  </conditionalFormatting>
  <conditionalFormatting sqref="R84:R91">
    <cfRule type="cellIs" dxfId="28306" priority="661" operator="lessThan">
      <formula>0.8</formula>
    </cfRule>
    <cfRule type="cellIs" dxfId="28305" priority="662" operator="greaterThan">
      <formula>1</formula>
    </cfRule>
  </conditionalFormatting>
  <conditionalFormatting sqref="R84:R91">
    <cfRule type="cellIs" dxfId="28304" priority="659" operator="greaterThan">
      <formula>1</formula>
    </cfRule>
    <cfRule type="cellIs" dxfId="28303" priority="660" operator="lessThan">
      <formula>0.8</formula>
    </cfRule>
  </conditionalFormatting>
  <conditionalFormatting sqref="P84:P91">
    <cfRule type="cellIs" dxfId="28302" priority="652" operator="greaterThan">
      <formula>0</formula>
    </cfRule>
  </conditionalFormatting>
  <conditionalFormatting sqref="Q84:Q91">
    <cfRule type="cellIs" dxfId="28301" priority="657" operator="lessThan">
      <formula>0</formula>
    </cfRule>
  </conditionalFormatting>
  <conditionalFormatting sqref="R84:R91">
    <cfRule type="cellIs" dxfId="28300" priority="655" operator="lessThan">
      <formula>0.8</formula>
    </cfRule>
    <cfRule type="cellIs" dxfId="28299" priority="656" operator="greaterThan">
      <formula>1</formula>
    </cfRule>
  </conditionalFormatting>
  <conditionalFormatting sqref="R84:R91">
    <cfRule type="cellIs" dxfId="28298" priority="653" operator="greaterThan">
      <formula>1</formula>
    </cfRule>
    <cfRule type="cellIs" dxfId="28297" priority="654" operator="lessThan">
      <formula>0.8</formula>
    </cfRule>
  </conditionalFormatting>
  <conditionalFormatting sqref="R84:R91">
    <cfRule type="cellIs" dxfId="28296" priority="649" operator="lessThan">
      <formula>0.8</formula>
    </cfRule>
    <cfRule type="cellIs" dxfId="28295" priority="650" operator="greaterThan">
      <formula>1</formula>
    </cfRule>
  </conditionalFormatting>
  <conditionalFormatting sqref="R84:R91">
    <cfRule type="cellIs" dxfId="28294" priority="647" operator="greaterThan">
      <formula>1</formula>
    </cfRule>
    <cfRule type="cellIs" dxfId="28293" priority="648" operator="lessThan">
      <formula>0.8</formula>
    </cfRule>
  </conditionalFormatting>
  <conditionalFormatting sqref="P84:P91">
    <cfRule type="cellIs" dxfId="28292" priority="646" operator="greaterThan">
      <formula>0</formula>
    </cfRule>
  </conditionalFormatting>
  <conditionalFormatting sqref="Q84:Q91">
    <cfRule type="cellIs" dxfId="28291" priority="651" operator="lessThan">
      <formula>0</formula>
    </cfRule>
  </conditionalFormatting>
  <conditionalFormatting sqref="P84:P91">
    <cfRule type="cellIs" dxfId="28290" priority="640" operator="greaterThan">
      <formula>0</formula>
    </cfRule>
  </conditionalFormatting>
  <conditionalFormatting sqref="Q84:Q91">
    <cfRule type="cellIs" dxfId="28289" priority="645" operator="lessThan">
      <formula>0</formula>
    </cfRule>
  </conditionalFormatting>
  <conditionalFormatting sqref="R84:R91">
    <cfRule type="cellIs" dxfId="28288" priority="643" operator="lessThan">
      <formula>0.8</formula>
    </cfRule>
    <cfRule type="cellIs" dxfId="28287" priority="644" operator="greaterThan">
      <formula>1</formula>
    </cfRule>
  </conditionalFormatting>
  <conditionalFormatting sqref="R84:R91">
    <cfRule type="cellIs" dxfId="28286" priority="641" operator="greaterThan">
      <formula>1</formula>
    </cfRule>
    <cfRule type="cellIs" dxfId="28285" priority="642" operator="lessThan">
      <formula>0.8</formula>
    </cfRule>
  </conditionalFormatting>
  <conditionalFormatting sqref="R84:R91">
    <cfRule type="cellIs" dxfId="28284" priority="637" operator="lessThan">
      <formula>0.8</formula>
    </cfRule>
    <cfRule type="cellIs" dxfId="28283" priority="638" operator="greaterThan">
      <formula>1</formula>
    </cfRule>
  </conditionalFormatting>
  <conditionalFormatting sqref="R84:R91">
    <cfRule type="cellIs" dxfId="28282" priority="635" operator="greaterThan">
      <formula>1</formula>
    </cfRule>
    <cfRule type="cellIs" dxfId="28281" priority="636" operator="lessThan">
      <formula>0.8</formula>
    </cfRule>
  </conditionalFormatting>
  <conditionalFormatting sqref="P84:P91">
    <cfRule type="cellIs" dxfId="28280" priority="634" operator="greaterThan">
      <formula>0</formula>
    </cfRule>
  </conditionalFormatting>
  <conditionalFormatting sqref="Q84:Q91">
    <cfRule type="cellIs" dxfId="28279" priority="639" operator="lessThan">
      <formula>0</formula>
    </cfRule>
  </conditionalFormatting>
  <conditionalFormatting sqref="R84:R91">
    <cfRule type="cellIs" dxfId="28278" priority="631" operator="lessThan">
      <formula>0.8</formula>
    </cfRule>
    <cfRule type="cellIs" dxfId="28277" priority="632" operator="greaterThan">
      <formula>1</formula>
    </cfRule>
  </conditionalFormatting>
  <conditionalFormatting sqref="R84:R91">
    <cfRule type="cellIs" dxfId="28276" priority="629" operator="greaterThan">
      <formula>1</formula>
    </cfRule>
    <cfRule type="cellIs" dxfId="28275" priority="630" operator="lessThan">
      <formula>0.8</formula>
    </cfRule>
  </conditionalFormatting>
  <conditionalFormatting sqref="P84:P91">
    <cfRule type="cellIs" dxfId="28274" priority="628" operator="greaterThan">
      <formula>0</formula>
    </cfRule>
  </conditionalFormatting>
  <conditionalFormatting sqref="Q84:Q91">
    <cfRule type="cellIs" dxfId="28273" priority="633" operator="lessThan">
      <formula>0</formula>
    </cfRule>
  </conditionalFormatting>
  <conditionalFormatting sqref="Q84:Q91">
    <cfRule type="cellIs" dxfId="28272" priority="627" operator="lessThan">
      <formula>0</formula>
    </cfRule>
  </conditionalFormatting>
  <conditionalFormatting sqref="R84:R91">
    <cfRule type="cellIs" dxfId="28271" priority="625" operator="lessThan">
      <formula>0.8</formula>
    </cfRule>
    <cfRule type="cellIs" dxfId="28270" priority="626" operator="greaterThan">
      <formula>1</formula>
    </cfRule>
  </conditionalFormatting>
  <conditionalFormatting sqref="R84:R91">
    <cfRule type="cellIs" dxfId="28269" priority="623" operator="greaterThan">
      <formula>1</formula>
    </cfRule>
    <cfRule type="cellIs" dxfId="28268" priority="624" operator="lessThan">
      <formula>0.8</formula>
    </cfRule>
  </conditionalFormatting>
  <conditionalFormatting sqref="P84:P91">
    <cfRule type="cellIs" dxfId="28267" priority="622" operator="greaterThan">
      <formula>0</formula>
    </cfRule>
  </conditionalFormatting>
  <conditionalFormatting sqref="Q84:Q91">
    <cfRule type="cellIs" dxfId="28266" priority="616" operator="lessThan">
      <formula>0</formula>
    </cfRule>
  </conditionalFormatting>
  <conditionalFormatting sqref="R84:R91">
    <cfRule type="cellIs" dxfId="28265" priority="620" operator="lessThan">
      <formula>0.8</formula>
    </cfRule>
    <cfRule type="cellIs" dxfId="28264" priority="621" operator="greaterThan">
      <formula>1</formula>
    </cfRule>
  </conditionalFormatting>
  <conditionalFormatting sqref="R84:R91">
    <cfRule type="cellIs" dxfId="28263" priority="618" operator="greaterThan">
      <formula>1</formula>
    </cfRule>
    <cfRule type="cellIs" dxfId="28262" priority="619" operator="lessThan">
      <formula>0.8</formula>
    </cfRule>
  </conditionalFormatting>
  <conditionalFormatting sqref="P84:P91">
    <cfRule type="cellIs" dxfId="28261" priority="617" operator="greaterThan">
      <formula>0</formula>
    </cfRule>
  </conditionalFormatting>
  <conditionalFormatting sqref="Q84:Q91">
    <cfRule type="cellIs" dxfId="28260" priority="615" operator="lessThan">
      <formula>0</formula>
    </cfRule>
  </conditionalFormatting>
  <conditionalFormatting sqref="R84:R91">
    <cfRule type="cellIs" dxfId="28259" priority="613" operator="lessThan">
      <formula>0.8</formula>
    </cfRule>
    <cfRule type="cellIs" dxfId="28258" priority="614" operator="greaterThan">
      <formula>1</formula>
    </cfRule>
  </conditionalFormatting>
  <conditionalFormatting sqref="R84:R91">
    <cfRule type="cellIs" dxfId="28257" priority="611" operator="greaterThan">
      <formula>1</formula>
    </cfRule>
    <cfRule type="cellIs" dxfId="28256" priority="612" operator="lessThan">
      <formula>0.8</formula>
    </cfRule>
  </conditionalFormatting>
  <conditionalFormatting sqref="P84:P91">
    <cfRule type="cellIs" dxfId="28255" priority="610" operator="greaterThan">
      <formula>0</formula>
    </cfRule>
  </conditionalFormatting>
  <conditionalFormatting sqref="Q84:Q91">
    <cfRule type="cellIs" dxfId="28254" priority="609" operator="lessThan">
      <formula>0</formula>
    </cfRule>
  </conditionalFormatting>
  <conditionalFormatting sqref="R84:R91">
    <cfRule type="cellIs" dxfId="28253" priority="607" operator="lessThan">
      <formula>0.8</formula>
    </cfRule>
    <cfRule type="cellIs" dxfId="28252" priority="608" operator="greaterThan">
      <formula>1</formula>
    </cfRule>
  </conditionalFormatting>
  <conditionalFormatting sqref="R84:R91">
    <cfRule type="cellIs" dxfId="28251" priority="605" operator="greaterThan">
      <formula>1</formula>
    </cfRule>
    <cfRule type="cellIs" dxfId="28250" priority="606" operator="lessThan">
      <formula>0.8</formula>
    </cfRule>
  </conditionalFormatting>
  <conditionalFormatting sqref="P84:P91">
    <cfRule type="cellIs" dxfId="28249" priority="604" operator="greaterThan">
      <formula>0</formula>
    </cfRule>
  </conditionalFormatting>
  <conditionalFormatting sqref="Q84:Q91">
    <cfRule type="cellIs" dxfId="28248" priority="603" operator="lessThan">
      <formula>0</formula>
    </cfRule>
  </conditionalFormatting>
  <conditionalFormatting sqref="R84:R91">
    <cfRule type="cellIs" dxfId="28247" priority="601" operator="lessThan">
      <formula>0.8</formula>
    </cfRule>
    <cfRule type="cellIs" dxfId="28246" priority="602" operator="greaterThan">
      <formula>1</formula>
    </cfRule>
  </conditionalFormatting>
  <conditionalFormatting sqref="R84:R91">
    <cfRule type="cellIs" dxfId="28245" priority="599" operator="greaterThan">
      <formula>1</formula>
    </cfRule>
    <cfRule type="cellIs" dxfId="28244" priority="600" operator="lessThan">
      <formula>0.8</formula>
    </cfRule>
  </conditionalFormatting>
  <conditionalFormatting sqref="P84:P91">
    <cfRule type="cellIs" dxfId="28243" priority="598" operator="greaterThan">
      <formula>0</formula>
    </cfRule>
  </conditionalFormatting>
  <conditionalFormatting sqref="Q84:Q91">
    <cfRule type="cellIs" dxfId="28242" priority="597" operator="lessThan">
      <formula>0</formula>
    </cfRule>
  </conditionalFormatting>
  <conditionalFormatting sqref="R84:R91">
    <cfRule type="cellIs" dxfId="28241" priority="595" operator="lessThan">
      <formula>0.8</formula>
    </cfRule>
    <cfRule type="cellIs" dxfId="28240" priority="596" operator="greaterThan">
      <formula>1</formula>
    </cfRule>
  </conditionalFormatting>
  <conditionalFormatting sqref="R84:R91">
    <cfRule type="cellIs" dxfId="28239" priority="593" operator="greaterThan">
      <formula>1</formula>
    </cfRule>
    <cfRule type="cellIs" dxfId="28238" priority="594" operator="lessThan">
      <formula>0.8</formula>
    </cfRule>
  </conditionalFormatting>
  <conditionalFormatting sqref="P84:P91">
    <cfRule type="cellIs" dxfId="28237" priority="592" operator="greaterThan">
      <formula>0</formula>
    </cfRule>
  </conditionalFormatting>
  <conditionalFormatting sqref="Q84:Q91">
    <cfRule type="cellIs" dxfId="28236" priority="591" operator="lessThan">
      <formula>0</formula>
    </cfRule>
  </conditionalFormatting>
  <conditionalFormatting sqref="R84:R91">
    <cfRule type="cellIs" dxfId="28235" priority="589" operator="lessThan">
      <formula>0.8</formula>
    </cfRule>
    <cfRule type="cellIs" dxfId="28234" priority="590" operator="greaterThan">
      <formula>1</formula>
    </cfRule>
  </conditionalFormatting>
  <conditionalFormatting sqref="R84:R91">
    <cfRule type="cellIs" dxfId="28233" priority="587" operator="greaterThan">
      <formula>1</formula>
    </cfRule>
    <cfRule type="cellIs" dxfId="28232" priority="588" operator="lessThan">
      <formula>0.8</formula>
    </cfRule>
  </conditionalFormatting>
  <conditionalFormatting sqref="P84:P91">
    <cfRule type="cellIs" dxfId="28231" priority="586" operator="greaterThan">
      <formula>0</formula>
    </cfRule>
  </conditionalFormatting>
  <conditionalFormatting sqref="P84:P91">
    <cfRule type="cellIs" dxfId="28230" priority="580" operator="greaterThan">
      <formula>0</formula>
    </cfRule>
  </conditionalFormatting>
  <conditionalFormatting sqref="Q84:Q91">
    <cfRule type="cellIs" dxfId="28229" priority="585" operator="lessThan">
      <formula>0</formula>
    </cfRule>
  </conditionalFormatting>
  <conditionalFormatting sqref="R84:R91">
    <cfRule type="cellIs" dxfId="28228" priority="583" operator="lessThan">
      <formula>0.8</formula>
    </cfRule>
    <cfRule type="cellIs" dxfId="28227" priority="584" operator="greaterThan">
      <formula>1</formula>
    </cfRule>
  </conditionalFormatting>
  <conditionalFormatting sqref="R84:R91">
    <cfRule type="cellIs" dxfId="28226" priority="581" operator="greaterThan">
      <formula>1</formula>
    </cfRule>
    <cfRule type="cellIs" dxfId="28225" priority="582" operator="lessThan">
      <formula>0.8</formula>
    </cfRule>
  </conditionalFormatting>
  <conditionalFormatting sqref="P84:P91">
    <cfRule type="cellIs" dxfId="28224" priority="574" operator="greaterThan">
      <formula>0</formula>
    </cfRule>
  </conditionalFormatting>
  <conditionalFormatting sqref="Q84:Q91">
    <cfRule type="cellIs" dxfId="28223" priority="579" operator="lessThan">
      <formula>0</formula>
    </cfRule>
  </conditionalFormatting>
  <conditionalFormatting sqref="R84:R91">
    <cfRule type="cellIs" dxfId="28222" priority="577" operator="lessThan">
      <formula>0.8</formula>
    </cfRule>
    <cfRule type="cellIs" dxfId="28221" priority="578" operator="greaterThan">
      <formula>1</formula>
    </cfRule>
  </conditionalFormatting>
  <conditionalFormatting sqref="R84:R91">
    <cfRule type="cellIs" dxfId="28220" priority="575" operator="greaterThan">
      <formula>1</formula>
    </cfRule>
    <cfRule type="cellIs" dxfId="28219" priority="576" operator="lessThan">
      <formula>0.8</formula>
    </cfRule>
  </conditionalFormatting>
  <conditionalFormatting sqref="R84:R91">
    <cfRule type="cellIs" dxfId="28218" priority="571" operator="lessThan">
      <formula>0.8</formula>
    </cfRule>
    <cfRule type="cellIs" dxfId="28217" priority="572" operator="greaterThan">
      <formula>1</formula>
    </cfRule>
  </conditionalFormatting>
  <conditionalFormatting sqref="R84:R91">
    <cfRule type="cellIs" dxfId="28216" priority="569" operator="greaterThan">
      <formula>1</formula>
    </cfRule>
    <cfRule type="cellIs" dxfId="28215" priority="570" operator="lessThan">
      <formula>0.8</formula>
    </cfRule>
  </conditionalFormatting>
  <conditionalFormatting sqref="P84:P91">
    <cfRule type="cellIs" dxfId="28214" priority="568" operator="greaterThan">
      <formula>0</formula>
    </cfRule>
  </conditionalFormatting>
  <conditionalFormatting sqref="Q84:Q91">
    <cfRule type="cellIs" dxfId="28213" priority="573" operator="lessThan">
      <formula>0</formula>
    </cfRule>
  </conditionalFormatting>
  <conditionalFormatting sqref="Q84:Q91">
    <cfRule type="cellIs" dxfId="28212" priority="567" operator="lessThan">
      <formula>0</formula>
    </cfRule>
  </conditionalFormatting>
  <conditionalFormatting sqref="R84:R91">
    <cfRule type="cellIs" dxfId="28211" priority="565" operator="lessThan">
      <formula>0.8</formula>
    </cfRule>
    <cfRule type="cellIs" dxfId="28210" priority="566" operator="greaterThan">
      <formula>1</formula>
    </cfRule>
  </conditionalFormatting>
  <conditionalFormatting sqref="R84:R91">
    <cfRule type="cellIs" dxfId="28209" priority="563" operator="greaterThan">
      <formula>1</formula>
    </cfRule>
    <cfRule type="cellIs" dxfId="28208" priority="564" operator="lessThan">
      <formula>0.8</formula>
    </cfRule>
  </conditionalFormatting>
  <conditionalFormatting sqref="P84:P91">
    <cfRule type="cellIs" dxfId="28207" priority="562" operator="greaterThan">
      <formula>0</formula>
    </cfRule>
  </conditionalFormatting>
  <conditionalFormatting sqref="Q84:Q91">
    <cfRule type="cellIs" dxfId="28206" priority="561" operator="lessThan">
      <formula>0</formula>
    </cfRule>
  </conditionalFormatting>
  <conditionalFormatting sqref="R84:R91">
    <cfRule type="cellIs" dxfId="28205" priority="559" operator="lessThan">
      <formula>0.8</formula>
    </cfRule>
    <cfRule type="cellIs" dxfId="28204" priority="560" operator="greaterThan">
      <formula>1</formula>
    </cfRule>
  </conditionalFormatting>
  <conditionalFormatting sqref="R84:R91">
    <cfRule type="cellIs" dxfId="28203" priority="557" operator="greaterThan">
      <formula>1</formula>
    </cfRule>
    <cfRule type="cellIs" dxfId="28202" priority="558" operator="lessThan">
      <formula>0.8</formula>
    </cfRule>
  </conditionalFormatting>
  <conditionalFormatting sqref="P84:P91">
    <cfRule type="cellIs" dxfId="28201" priority="556" operator="greaterThan">
      <formula>0</formula>
    </cfRule>
  </conditionalFormatting>
  <conditionalFormatting sqref="Q84:Q91">
    <cfRule type="cellIs" dxfId="28200" priority="555" operator="lessThan">
      <formula>0</formula>
    </cfRule>
  </conditionalFormatting>
  <conditionalFormatting sqref="R84:R91">
    <cfRule type="cellIs" dxfId="28199" priority="553" operator="lessThan">
      <formula>0.8</formula>
    </cfRule>
    <cfRule type="cellIs" dxfId="28198" priority="554" operator="greaterThan">
      <formula>1</formula>
    </cfRule>
  </conditionalFormatting>
  <conditionalFormatting sqref="R84:R91">
    <cfRule type="cellIs" dxfId="28197" priority="551" operator="greaterThan">
      <formula>1</formula>
    </cfRule>
    <cfRule type="cellIs" dxfId="28196" priority="552" operator="lessThan">
      <formula>0.8</formula>
    </cfRule>
  </conditionalFormatting>
  <conditionalFormatting sqref="P84:P91">
    <cfRule type="cellIs" dxfId="28195" priority="550" operator="greaterThan">
      <formula>0</formula>
    </cfRule>
  </conditionalFormatting>
  <conditionalFormatting sqref="Q84:Q91">
    <cfRule type="cellIs" dxfId="28194" priority="549" operator="lessThan">
      <formula>0</formula>
    </cfRule>
  </conditionalFormatting>
  <conditionalFormatting sqref="R84:R91">
    <cfRule type="cellIs" dxfId="28193" priority="547" operator="lessThan">
      <formula>0.8</formula>
    </cfRule>
    <cfRule type="cellIs" dxfId="28192" priority="548" operator="greaterThan">
      <formula>1</formula>
    </cfRule>
  </conditionalFormatting>
  <conditionalFormatting sqref="R84:R91">
    <cfRule type="cellIs" dxfId="28191" priority="545" operator="greaterThan">
      <formula>1</formula>
    </cfRule>
    <cfRule type="cellIs" dxfId="28190" priority="546" operator="lessThan">
      <formula>0.8</formula>
    </cfRule>
  </conditionalFormatting>
  <conditionalFormatting sqref="P84:P91">
    <cfRule type="cellIs" dxfId="28189" priority="544" operator="greaterThan">
      <formula>0</formula>
    </cfRule>
  </conditionalFormatting>
  <conditionalFormatting sqref="P84:P91">
    <cfRule type="cellIs" dxfId="28188" priority="538" operator="greaterThan">
      <formula>0</formula>
    </cfRule>
  </conditionalFormatting>
  <conditionalFormatting sqref="Q84:Q91">
    <cfRule type="cellIs" dxfId="28187" priority="543" operator="lessThan">
      <formula>0</formula>
    </cfRule>
  </conditionalFormatting>
  <conditionalFormatting sqref="R84:R91">
    <cfRule type="cellIs" dxfId="28186" priority="541" operator="lessThan">
      <formula>0.8</formula>
    </cfRule>
    <cfRule type="cellIs" dxfId="28185" priority="542" operator="greaterThan">
      <formula>1</formula>
    </cfRule>
  </conditionalFormatting>
  <conditionalFormatting sqref="R84:R91">
    <cfRule type="cellIs" dxfId="28184" priority="539" operator="greaterThan">
      <formula>1</formula>
    </cfRule>
    <cfRule type="cellIs" dxfId="28183" priority="540" operator="lessThan">
      <formula>0.8</formula>
    </cfRule>
  </conditionalFormatting>
  <conditionalFormatting sqref="P84:P91">
    <cfRule type="cellIs" dxfId="28182" priority="532" operator="greaterThan">
      <formula>0</formula>
    </cfRule>
  </conditionalFormatting>
  <conditionalFormatting sqref="Q84:Q91">
    <cfRule type="cellIs" dxfId="28181" priority="537" operator="lessThan">
      <formula>0</formula>
    </cfRule>
  </conditionalFormatting>
  <conditionalFormatting sqref="R84:R91">
    <cfRule type="cellIs" dxfId="28180" priority="535" operator="lessThan">
      <formula>0.8</formula>
    </cfRule>
    <cfRule type="cellIs" dxfId="28179" priority="536" operator="greaterThan">
      <formula>1</formula>
    </cfRule>
  </conditionalFormatting>
  <conditionalFormatting sqref="R84:R91">
    <cfRule type="cellIs" dxfId="28178" priority="533" operator="greaterThan">
      <formula>1</formula>
    </cfRule>
    <cfRule type="cellIs" dxfId="28177" priority="534" operator="lessThan">
      <formula>0.8</formula>
    </cfRule>
  </conditionalFormatting>
  <conditionalFormatting sqref="R84:R91">
    <cfRule type="cellIs" dxfId="28176" priority="529" operator="lessThan">
      <formula>0.8</formula>
    </cfRule>
    <cfRule type="cellIs" dxfId="28175" priority="530" operator="greaterThan">
      <formula>1</formula>
    </cfRule>
  </conditionalFormatting>
  <conditionalFormatting sqref="R84:R91">
    <cfRule type="cellIs" dxfId="28174" priority="527" operator="greaterThan">
      <formula>1</formula>
    </cfRule>
    <cfRule type="cellIs" dxfId="28173" priority="528" operator="lessThan">
      <formula>0.8</formula>
    </cfRule>
  </conditionalFormatting>
  <conditionalFormatting sqref="P84:P91">
    <cfRule type="cellIs" dxfId="28172" priority="526" operator="greaterThan">
      <formula>0</formula>
    </cfRule>
  </conditionalFormatting>
  <conditionalFormatting sqref="Q84:Q91">
    <cfRule type="cellIs" dxfId="28171" priority="531" operator="lessThan">
      <formula>0</formula>
    </cfRule>
  </conditionalFormatting>
  <conditionalFormatting sqref="Q84:Q91">
    <cfRule type="cellIs" dxfId="28170" priority="525" operator="lessThan">
      <formula>0</formula>
    </cfRule>
  </conditionalFormatting>
  <conditionalFormatting sqref="R84:R91">
    <cfRule type="cellIs" dxfId="28169" priority="523" operator="lessThan">
      <formula>0.8</formula>
    </cfRule>
    <cfRule type="cellIs" dxfId="28168" priority="524" operator="greaterThan">
      <formula>1</formula>
    </cfRule>
  </conditionalFormatting>
  <conditionalFormatting sqref="R84:R91">
    <cfRule type="cellIs" dxfId="28167" priority="521" operator="greaterThan">
      <formula>1</formula>
    </cfRule>
    <cfRule type="cellIs" dxfId="28166" priority="522" operator="lessThan">
      <formula>0.8</formula>
    </cfRule>
  </conditionalFormatting>
  <conditionalFormatting sqref="P84:P91">
    <cfRule type="cellIs" dxfId="28165" priority="520" operator="greaterThan">
      <formula>0</formula>
    </cfRule>
  </conditionalFormatting>
  <conditionalFormatting sqref="P84:P91">
    <cfRule type="cellIs" dxfId="28164" priority="514" operator="greaterThan">
      <formula>0</formula>
    </cfRule>
  </conditionalFormatting>
  <conditionalFormatting sqref="Q84:Q91">
    <cfRule type="cellIs" dxfId="28163" priority="519" operator="lessThan">
      <formula>0</formula>
    </cfRule>
  </conditionalFormatting>
  <conditionalFormatting sqref="R84:R91">
    <cfRule type="cellIs" dxfId="28162" priority="517" operator="lessThan">
      <formula>0.8</formula>
    </cfRule>
    <cfRule type="cellIs" dxfId="28161" priority="518" operator="greaterThan">
      <formula>1</formula>
    </cfRule>
  </conditionalFormatting>
  <conditionalFormatting sqref="R84:R91">
    <cfRule type="cellIs" dxfId="28160" priority="515" operator="greaterThan">
      <formula>1</formula>
    </cfRule>
    <cfRule type="cellIs" dxfId="28159" priority="516" operator="lessThan">
      <formula>0.8</formula>
    </cfRule>
  </conditionalFormatting>
  <conditionalFormatting sqref="P84:P91">
    <cfRule type="cellIs" dxfId="28158" priority="508" operator="greaterThan">
      <formula>0</formula>
    </cfRule>
  </conditionalFormatting>
  <conditionalFormatting sqref="Q84:Q91">
    <cfRule type="cellIs" dxfId="28157" priority="513" operator="lessThan">
      <formula>0</formula>
    </cfRule>
  </conditionalFormatting>
  <conditionalFormatting sqref="R84:R91">
    <cfRule type="cellIs" dxfId="28156" priority="511" operator="lessThan">
      <formula>0.8</formula>
    </cfRule>
    <cfRule type="cellIs" dxfId="28155" priority="512" operator="greaterThan">
      <formula>1</formula>
    </cfRule>
  </conditionalFormatting>
  <conditionalFormatting sqref="R84:R91">
    <cfRule type="cellIs" dxfId="28154" priority="509" operator="greaterThan">
      <formula>1</formula>
    </cfRule>
    <cfRule type="cellIs" dxfId="28153" priority="510" operator="lessThan">
      <formula>0.8</formula>
    </cfRule>
  </conditionalFormatting>
  <conditionalFormatting sqref="R84:R91">
    <cfRule type="cellIs" dxfId="28152" priority="505" operator="lessThan">
      <formula>0.8</formula>
    </cfRule>
    <cfRule type="cellIs" dxfId="28151" priority="506" operator="greaterThan">
      <formula>1</formula>
    </cfRule>
  </conditionalFormatting>
  <conditionalFormatting sqref="R84:R91">
    <cfRule type="cellIs" dxfId="28150" priority="503" operator="greaterThan">
      <formula>1</formula>
    </cfRule>
    <cfRule type="cellIs" dxfId="28149" priority="504" operator="lessThan">
      <formula>0.8</formula>
    </cfRule>
  </conditionalFormatting>
  <conditionalFormatting sqref="P84:P91">
    <cfRule type="cellIs" dxfId="28148" priority="502" operator="greaterThan">
      <formula>0</formula>
    </cfRule>
  </conditionalFormatting>
  <conditionalFormatting sqref="Q84:Q91">
    <cfRule type="cellIs" dxfId="28147" priority="507" operator="lessThan">
      <formula>0</formula>
    </cfRule>
  </conditionalFormatting>
  <conditionalFormatting sqref="P84:P91">
    <cfRule type="cellIs" dxfId="28146" priority="496" operator="greaterThan">
      <formula>0</formula>
    </cfRule>
  </conditionalFormatting>
  <conditionalFormatting sqref="Q84:Q91">
    <cfRule type="cellIs" dxfId="28145" priority="501" operator="lessThan">
      <formula>0</formula>
    </cfRule>
  </conditionalFormatting>
  <conditionalFormatting sqref="R84:R91">
    <cfRule type="cellIs" dxfId="28144" priority="499" operator="lessThan">
      <formula>0.8</formula>
    </cfRule>
    <cfRule type="cellIs" dxfId="28143" priority="500" operator="greaterThan">
      <formula>1</formula>
    </cfRule>
  </conditionalFormatting>
  <conditionalFormatting sqref="R84:R91">
    <cfRule type="cellIs" dxfId="28142" priority="497" operator="greaterThan">
      <formula>1</formula>
    </cfRule>
    <cfRule type="cellIs" dxfId="28141" priority="498" operator="lessThan">
      <formula>0.8</formula>
    </cfRule>
  </conditionalFormatting>
  <conditionalFormatting sqref="R84:R91">
    <cfRule type="cellIs" dxfId="28140" priority="493" operator="lessThan">
      <formula>0.8</formula>
    </cfRule>
    <cfRule type="cellIs" dxfId="28139" priority="494" operator="greaterThan">
      <formula>1</formula>
    </cfRule>
  </conditionalFormatting>
  <conditionalFormatting sqref="R84:R91">
    <cfRule type="cellIs" dxfId="28138" priority="491" operator="greaterThan">
      <formula>1</formula>
    </cfRule>
    <cfRule type="cellIs" dxfId="28137" priority="492" operator="lessThan">
      <formula>0.8</formula>
    </cfRule>
  </conditionalFormatting>
  <conditionalFormatting sqref="P84:P91">
    <cfRule type="cellIs" dxfId="28136" priority="490" operator="greaterThan">
      <formula>0</formula>
    </cfRule>
  </conditionalFormatting>
  <conditionalFormatting sqref="Q84:Q91">
    <cfRule type="cellIs" dxfId="28135" priority="495" operator="lessThan">
      <formula>0</formula>
    </cfRule>
  </conditionalFormatting>
  <conditionalFormatting sqref="R84:R91">
    <cfRule type="cellIs" dxfId="28134" priority="487" operator="lessThan">
      <formula>0.8</formula>
    </cfRule>
    <cfRule type="cellIs" dxfId="28133" priority="488" operator="greaterThan">
      <formula>1</formula>
    </cfRule>
  </conditionalFormatting>
  <conditionalFormatting sqref="R84:R91">
    <cfRule type="cellIs" dxfId="28132" priority="485" operator="greaterThan">
      <formula>1</formula>
    </cfRule>
    <cfRule type="cellIs" dxfId="28131" priority="486" operator="lessThan">
      <formula>0.8</formula>
    </cfRule>
  </conditionalFormatting>
  <conditionalFormatting sqref="P84:P91">
    <cfRule type="cellIs" dxfId="28130" priority="484" operator="greaterThan">
      <formula>0</formula>
    </cfRule>
  </conditionalFormatting>
  <conditionalFormatting sqref="Q84:Q91">
    <cfRule type="cellIs" dxfId="28129" priority="489" operator="lessThan">
      <formula>0</formula>
    </cfRule>
  </conditionalFormatting>
  <conditionalFormatting sqref="Q84:Q91">
    <cfRule type="cellIs" dxfId="28128" priority="483" operator="lessThan">
      <formula>0</formula>
    </cfRule>
  </conditionalFormatting>
  <conditionalFormatting sqref="R84:R91">
    <cfRule type="cellIs" dxfId="28127" priority="481" operator="lessThan">
      <formula>0.8</formula>
    </cfRule>
    <cfRule type="cellIs" dxfId="28126" priority="482" operator="greaterThan">
      <formula>1</formula>
    </cfRule>
  </conditionalFormatting>
  <conditionalFormatting sqref="R84:R91">
    <cfRule type="cellIs" dxfId="28125" priority="479" operator="greaterThan">
      <formula>1</formula>
    </cfRule>
    <cfRule type="cellIs" dxfId="28124" priority="480" operator="lessThan">
      <formula>0.8</formula>
    </cfRule>
  </conditionalFormatting>
  <conditionalFormatting sqref="P84:P91">
    <cfRule type="cellIs" dxfId="28123" priority="478" operator="greaterThan">
      <formula>0</formula>
    </cfRule>
  </conditionalFormatting>
  <conditionalFormatting sqref="Q84:Q91">
    <cfRule type="cellIs" dxfId="28122" priority="472" operator="lessThan">
      <formula>0</formula>
    </cfRule>
  </conditionalFormatting>
  <conditionalFormatting sqref="R84:R91">
    <cfRule type="cellIs" dxfId="28121" priority="476" operator="lessThan">
      <formula>0.8</formula>
    </cfRule>
    <cfRule type="cellIs" dxfId="28120" priority="477" operator="greaterThan">
      <formula>1</formula>
    </cfRule>
  </conditionalFormatting>
  <conditionalFormatting sqref="R84:R91">
    <cfRule type="cellIs" dxfId="28119" priority="474" operator="greaterThan">
      <formula>1</formula>
    </cfRule>
    <cfRule type="cellIs" dxfId="28118" priority="475" operator="lessThan">
      <formula>0.8</formula>
    </cfRule>
  </conditionalFormatting>
  <conditionalFormatting sqref="P84:P91">
    <cfRule type="cellIs" dxfId="28117" priority="473" operator="greaterThan">
      <formula>0</formula>
    </cfRule>
  </conditionalFormatting>
  <conditionalFormatting sqref="Q84:Q91">
    <cfRule type="cellIs" dxfId="28116" priority="471" operator="lessThan">
      <formula>0</formula>
    </cfRule>
  </conditionalFormatting>
  <conditionalFormatting sqref="R84:R91">
    <cfRule type="cellIs" dxfId="28115" priority="469" operator="lessThan">
      <formula>0.8</formula>
    </cfRule>
    <cfRule type="cellIs" dxfId="28114" priority="470" operator="greaterThan">
      <formula>1</formula>
    </cfRule>
  </conditionalFormatting>
  <conditionalFormatting sqref="R84:R91">
    <cfRule type="cellIs" dxfId="28113" priority="467" operator="greaterThan">
      <formula>1</formula>
    </cfRule>
    <cfRule type="cellIs" dxfId="28112" priority="468" operator="lessThan">
      <formula>0.8</formula>
    </cfRule>
  </conditionalFormatting>
  <conditionalFormatting sqref="P84:P91">
    <cfRule type="cellIs" dxfId="28111" priority="466" operator="greaterThan">
      <formula>0</formula>
    </cfRule>
  </conditionalFormatting>
  <conditionalFormatting sqref="Q84:Q91">
    <cfRule type="cellIs" dxfId="28110" priority="465" operator="lessThan">
      <formula>0</formula>
    </cfRule>
  </conditionalFormatting>
  <conditionalFormatting sqref="R84:R91">
    <cfRule type="cellIs" dxfId="28109" priority="463" operator="lessThan">
      <formula>0.8</formula>
    </cfRule>
    <cfRule type="cellIs" dxfId="28108" priority="464" operator="greaterThan">
      <formula>1</formula>
    </cfRule>
  </conditionalFormatting>
  <conditionalFormatting sqref="R84:R91">
    <cfRule type="cellIs" dxfId="28107" priority="461" operator="greaterThan">
      <formula>1</formula>
    </cfRule>
    <cfRule type="cellIs" dxfId="28106" priority="462" operator="lessThan">
      <formula>0.8</formula>
    </cfRule>
  </conditionalFormatting>
  <conditionalFormatting sqref="P84:P91">
    <cfRule type="cellIs" dxfId="28105" priority="460" operator="greaterThan">
      <formula>0</formula>
    </cfRule>
  </conditionalFormatting>
  <conditionalFormatting sqref="Q84:Q91">
    <cfRule type="cellIs" dxfId="28104" priority="459" operator="lessThan">
      <formula>0</formula>
    </cfRule>
  </conditionalFormatting>
  <conditionalFormatting sqref="R84:R91">
    <cfRule type="cellIs" dxfId="28103" priority="457" operator="lessThan">
      <formula>0.8</formula>
    </cfRule>
    <cfRule type="cellIs" dxfId="28102" priority="458" operator="greaterThan">
      <formula>1</formula>
    </cfRule>
  </conditionalFormatting>
  <conditionalFormatting sqref="R84:R91">
    <cfRule type="cellIs" dxfId="28101" priority="455" operator="greaterThan">
      <formula>1</formula>
    </cfRule>
    <cfRule type="cellIs" dxfId="28100" priority="456" operator="lessThan">
      <formula>0.8</formula>
    </cfRule>
  </conditionalFormatting>
  <conditionalFormatting sqref="P84:P91">
    <cfRule type="cellIs" dxfId="28099" priority="454" operator="greaterThan">
      <formula>0</formula>
    </cfRule>
  </conditionalFormatting>
  <conditionalFormatting sqref="Q84:Q91">
    <cfRule type="cellIs" dxfId="28098" priority="453" operator="lessThan">
      <formula>0</formula>
    </cfRule>
  </conditionalFormatting>
  <conditionalFormatting sqref="R84:R91">
    <cfRule type="cellIs" dxfId="28097" priority="451" operator="lessThan">
      <formula>0.8</formula>
    </cfRule>
    <cfRule type="cellIs" dxfId="28096" priority="452" operator="greaterThan">
      <formula>1</formula>
    </cfRule>
  </conditionalFormatting>
  <conditionalFormatting sqref="R84:R91">
    <cfRule type="cellIs" dxfId="28095" priority="449" operator="greaterThan">
      <formula>1</formula>
    </cfRule>
    <cfRule type="cellIs" dxfId="28094" priority="450" operator="lessThan">
      <formula>0.8</formula>
    </cfRule>
  </conditionalFormatting>
  <conditionalFormatting sqref="P84:P91">
    <cfRule type="cellIs" dxfId="28093" priority="448" operator="greaterThan">
      <formula>0</formula>
    </cfRule>
  </conditionalFormatting>
  <conditionalFormatting sqref="Q84:Q91">
    <cfRule type="cellIs" dxfId="28092" priority="447" operator="lessThan">
      <formula>0</formula>
    </cfRule>
  </conditionalFormatting>
  <conditionalFormatting sqref="R84:R91">
    <cfRule type="cellIs" dxfId="28091" priority="445" operator="lessThan">
      <formula>0.8</formula>
    </cfRule>
    <cfRule type="cellIs" dxfId="28090" priority="446" operator="greaterThan">
      <formula>1</formula>
    </cfRule>
  </conditionalFormatting>
  <conditionalFormatting sqref="R84:R91">
    <cfRule type="cellIs" dxfId="28089" priority="443" operator="greaterThan">
      <formula>1</formula>
    </cfRule>
    <cfRule type="cellIs" dxfId="28088" priority="444" operator="lessThan">
      <formula>0.8</formula>
    </cfRule>
  </conditionalFormatting>
  <conditionalFormatting sqref="P84:P91">
    <cfRule type="cellIs" dxfId="28087" priority="442" operator="greaterThan">
      <formula>0</formula>
    </cfRule>
  </conditionalFormatting>
  <conditionalFormatting sqref="P84:P91">
    <cfRule type="cellIs" dxfId="28086" priority="436" operator="greaterThan">
      <formula>0</formula>
    </cfRule>
  </conditionalFormatting>
  <conditionalFormatting sqref="Q84:Q91">
    <cfRule type="cellIs" dxfId="28085" priority="441" operator="lessThan">
      <formula>0</formula>
    </cfRule>
  </conditionalFormatting>
  <conditionalFormatting sqref="R84:R91">
    <cfRule type="cellIs" dxfId="28084" priority="439" operator="lessThan">
      <formula>0.8</formula>
    </cfRule>
    <cfRule type="cellIs" dxfId="28083" priority="440" operator="greaterThan">
      <formula>1</formula>
    </cfRule>
  </conditionalFormatting>
  <conditionalFormatting sqref="R84:R91">
    <cfRule type="cellIs" dxfId="28082" priority="437" operator="greaterThan">
      <formula>1</formula>
    </cfRule>
    <cfRule type="cellIs" dxfId="28081" priority="438" operator="lessThan">
      <formula>0.8</formula>
    </cfRule>
  </conditionalFormatting>
  <conditionalFormatting sqref="P84:P91">
    <cfRule type="cellIs" dxfId="28080" priority="430" operator="greaterThan">
      <formula>0</formula>
    </cfRule>
  </conditionalFormatting>
  <conditionalFormatting sqref="Q84:Q91">
    <cfRule type="cellIs" dxfId="28079" priority="435" operator="lessThan">
      <formula>0</formula>
    </cfRule>
  </conditionalFormatting>
  <conditionalFormatting sqref="R84:R91">
    <cfRule type="cellIs" dxfId="28078" priority="433" operator="lessThan">
      <formula>0.8</formula>
    </cfRule>
    <cfRule type="cellIs" dxfId="28077" priority="434" operator="greaterThan">
      <formula>1</formula>
    </cfRule>
  </conditionalFormatting>
  <conditionalFormatting sqref="R84:R91">
    <cfRule type="cellIs" dxfId="28076" priority="431" operator="greaterThan">
      <formula>1</formula>
    </cfRule>
    <cfRule type="cellIs" dxfId="28075" priority="432" operator="lessThan">
      <formula>0.8</formula>
    </cfRule>
  </conditionalFormatting>
  <conditionalFormatting sqref="R84:R91">
    <cfRule type="cellIs" dxfId="28074" priority="427" operator="lessThan">
      <formula>0.8</formula>
    </cfRule>
    <cfRule type="cellIs" dxfId="28073" priority="428" operator="greaterThan">
      <formula>1</formula>
    </cfRule>
  </conditionalFormatting>
  <conditionalFormatting sqref="R84:R91">
    <cfRule type="cellIs" dxfId="28072" priority="425" operator="greaterThan">
      <formula>1</formula>
    </cfRule>
    <cfRule type="cellIs" dxfId="28071" priority="426" operator="lessThan">
      <formula>0.8</formula>
    </cfRule>
  </conditionalFormatting>
  <conditionalFormatting sqref="P84:P91">
    <cfRule type="cellIs" dxfId="28070" priority="424" operator="greaterThan">
      <formula>0</formula>
    </cfRule>
  </conditionalFormatting>
  <conditionalFormatting sqref="Q84:Q91">
    <cfRule type="cellIs" dxfId="28069" priority="429" operator="lessThan">
      <formula>0</formula>
    </cfRule>
  </conditionalFormatting>
  <conditionalFormatting sqref="Q84:Q91">
    <cfRule type="cellIs" dxfId="28068" priority="418" operator="lessThan">
      <formula>0</formula>
    </cfRule>
  </conditionalFormatting>
  <conditionalFormatting sqref="P84:P91">
    <cfRule type="cellIs" dxfId="28067" priority="419" operator="greaterThan">
      <formula>0</formula>
    </cfRule>
  </conditionalFormatting>
  <conditionalFormatting sqref="R84:R91">
    <cfRule type="cellIs" dxfId="28066" priority="422" operator="lessThan">
      <formula>0.8</formula>
    </cfRule>
    <cfRule type="cellIs" dxfId="28065" priority="423" operator="greaterThan">
      <formula>1</formula>
    </cfRule>
  </conditionalFormatting>
  <conditionalFormatting sqref="R84:R91">
    <cfRule type="cellIs" dxfId="28064" priority="420" operator="greaterThan">
      <formula>1</formula>
    </cfRule>
    <cfRule type="cellIs" dxfId="28063" priority="421" operator="lessThan">
      <formula>0.8</formula>
    </cfRule>
  </conditionalFormatting>
  <conditionalFormatting sqref="Q84:Q91">
    <cfRule type="cellIs" dxfId="28062" priority="412" operator="lessThan">
      <formula>0</formula>
    </cfRule>
  </conditionalFormatting>
  <conditionalFormatting sqref="R84:R91">
    <cfRule type="cellIs" dxfId="28061" priority="416" operator="lessThan">
      <formula>0.8</formula>
    </cfRule>
    <cfRule type="cellIs" dxfId="28060" priority="417" operator="greaterThan">
      <formula>1</formula>
    </cfRule>
  </conditionalFormatting>
  <conditionalFormatting sqref="R84:R91">
    <cfRule type="cellIs" dxfId="28059" priority="414" operator="greaterThan">
      <formula>1</formula>
    </cfRule>
    <cfRule type="cellIs" dxfId="28058" priority="415" operator="lessThan">
      <formula>0.8</formula>
    </cfRule>
  </conditionalFormatting>
  <conditionalFormatting sqref="P84:P91">
    <cfRule type="cellIs" dxfId="28057" priority="413" operator="greaterThan">
      <formula>0</formula>
    </cfRule>
  </conditionalFormatting>
  <conditionalFormatting sqref="Q84:Q91">
    <cfRule type="cellIs" dxfId="28056" priority="411" operator="lessThan">
      <formula>0</formula>
    </cfRule>
  </conditionalFormatting>
  <conditionalFormatting sqref="R84:R91">
    <cfRule type="cellIs" dxfId="28055" priority="409" operator="lessThan">
      <formula>0.8</formula>
    </cfRule>
    <cfRule type="cellIs" dxfId="28054" priority="410" operator="greaterThan">
      <formula>1</formula>
    </cfRule>
  </conditionalFormatting>
  <conditionalFormatting sqref="R84:R91">
    <cfRule type="cellIs" dxfId="28053" priority="407" operator="greaterThan">
      <formula>1</formula>
    </cfRule>
    <cfRule type="cellIs" dxfId="28052" priority="408" operator="lessThan">
      <formula>0.8</formula>
    </cfRule>
  </conditionalFormatting>
  <conditionalFormatting sqref="P84:P91">
    <cfRule type="cellIs" dxfId="28051" priority="406" operator="greaterThan">
      <formula>0</formula>
    </cfRule>
  </conditionalFormatting>
  <conditionalFormatting sqref="Q84:Q91">
    <cfRule type="cellIs" dxfId="28050" priority="405" operator="lessThan">
      <formula>0</formula>
    </cfRule>
  </conditionalFormatting>
  <conditionalFormatting sqref="R84:R91">
    <cfRule type="cellIs" dxfId="28049" priority="403" operator="lessThan">
      <formula>0.8</formula>
    </cfRule>
    <cfRule type="cellIs" dxfId="28048" priority="404" operator="greaterThan">
      <formula>1</formula>
    </cfRule>
  </conditionalFormatting>
  <conditionalFormatting sqref="R84:R91">
    <cfRule type="cellIs" dxfId="28047" priority="401" operator="greaterThan">
      <formula>1</formula>
    </cfRule>
    <cfRule type="cellIs" dxfId="28046" priority="402" operator="lessThan">
      <formula>0.8</formula>
    </cfRule>
  </conditionalFormatting>
  <conditionalFormatting sqref="P84:P91">
    <cfRule type="cellIs" dxfId="28045" priority="400" operator="greaterThan">
      <formula>0</formula>
    </cfRule>
  </conditionalFormatting>
  <conditionalFormatting sqref="Q84:Q91">
    <cfRule type="cellIs" dxfId="28044" priority="399" operator="lessThan">
      <formula>0</formula>
    </cfRule>
  </conditionalFormatting>
  <conditionalFormatting sqref="R84:R91">
    <cfRule type="cellIs" dxfId="28043" priority="397" operator="lessThan">
      <formula>0.8</formula>
    </cfRule>
    <cfRule type="cellIs" dxfId="28042" priority="398" operator="greaterThan">
      <formula>1</formula>
    </cfRule>
  </conditionalFormatting>
  <conditionalFormatting sqref="R84:R91">
    <cfRule type="cellIs" dxfId="28041" priority="395" operator="greaterThan">
      <formula>1</formula>
    </cfRule>
    <cfRule type="cellIs" dxfId="28040" priority="396" operator="lessThan">
      <formula>0.8</formula>
    </cfRule>
  </conditionalFormatting>
  <conditionalFormatting sqref="P84:P91">
    <cfRule type="cellIs" dxfId="28039" priority="394" operator="greaterThan">
      <formula>0</formula>
    </cfRule>
  </conditionalFormatting>
  <conditionalFormatting sqref="Q84:Q91">
    <cfRule type="cellIs" dxfId="28038" priority="393" operator="lessThan">
      <formula>0</formula>
    </cfRule>
  </conditionalFormatting>
  <conditionalFormatting sqref="R84:R91">
    <cfRule type="cellIs" dxfId="28037" priority="391" operator="lessThan">
      <formula>0.8</formula>
    </cfRule>
    <cfRule type="cellIs" dxfId="28036" priority="392" operator="greaterThan">
      <formula>1</formula>
    </cfRule>
  </conditionalFormatting>
  <conditionalFormatting sqref="R84:R91">
    <cfRule type="cellIs" dxfId="28035" priority="389" operator="greaterThan">
      <formula>1</formula>
    </cfRule>
    <cfRule type="cellIs" dxfId="28034" priority="390" operator="lessThan">
      <formula>0.8</formula>
    </cfRule>
  </conditionalFormatting>
  <conditionalFormatting sqref="P84:P91">
    <cfRule type="cellIs" dxfId="28033" priority="388" operator="greaterThan">
      <formula>0</formula>
    </cfRule>
  </conditionalFormatting>
  <conditionalFormatting sqref="Q84:Q91">
    <cfRule type="cellIs" dxfId="28032" priority="387" operator="lessThan">
      <formula>0</formula>
    </cfRule>
  </conditionalFormatting>
  <conditionalFormatting sqref="R84:R91">
    <cfRule type="cellIs" dxfId="28031" priority="385" operator="lessThan">
      <formula>0.8</formula>
    </cfRule>
    <cfRule type="cellIs" dxfId="28030" priority="386" operator="greaterThan">
      <formula>1</formula>
    </cfRule>
  </conditionalFormatting>
  <conditionalFormatting sqref="R84:R91">
    <cfRule type="cellIs" dxfId="28029" priority="383" operator="greaterThan">
      <formula>1</formula>
    </cfRule>
    <cfRule type="cellIs" dxfId="28028" priority="384" operator="lessThan">
      <formula>0.8</formula>
    </cfRule>
  </conditionalFormatting>
  <conditionalFormatting sqref="P84:P91">
    <cfRule type="cellIs" dxfId="28027" priority="382" operator="greaterThan">
      <formula>0</formula>
    </cfRule>
  </conditionalFormatting>
  <conditionalFormatting sqref="Q84:Q91">
    <cfRule type="cellIs" dxfId="28026" priority="381" operator="lessThan">
      <formula>0</formula>
    </cfRule>
  </conditionalFormatting>
  <conditionalFormatting sqref="R84:R91">
    <cfRule type="cellIs" dxfId="28025" priority="379" operator="lessThan">
      <formula>0.8</formula>
    </cfRule>
    <cfRule type="cellIs" dxfId="28024" priority="380" operator="greaterThan">
      <formula>1</formula>
    </cfRule>
  </conditionalFormatting>
  <conditionalFormatting sqref="R84:R91">
    <cfRule type="cellIs" dxfId="28023" priority="377" operator="greaterThan">
      <formula>1</formula>
    </cfRule>
    <cfRule type="cellIs" dxfId="28022" priority="378" operator="lessThan">
      <formula>0.8</formula>
    </cfRule>
  </conditionalFormatting>
  <conditionalFormatting sqref="P84:P91">
    <cfRule type="cellIs" dxfId="28021" priority="376" operator="greaterThan">
      <formula>0</formula>
    </cfRule>
  </conditionalFormatting>
  <conditionalFormatting sqref="Q84:Q91">
    <cfRule type="cellIs" dxfId="28020" priority="375" operator="lessThan">
      <formula>0</formula>
    </cfRule>
  </conditionalFormatting>
  <conditionalFormatting sqref="R84:R91">
    <cfRule type="cellIs" dxfId="28019" priority="373" operator="lessThan">
      <formula>0.8</formula>
    </cfRule>
    <cfRule type="cellIs" dxfId="28018" priority="374" operator="greaterThan">
      <formula>1</formula>
    </cfRule>
  </conditionalFormatting>
  <conditionalFormatting sqref="R84:R91">
    <cfRule type="cellIs" dxfId="28017" priority="371" operator="greaterThan">
      <formula>1</formula>
    </cfRule>
    <cfRule type="cellIs" dxfId="28016" priority="372" operator="lessThan">
      <formula>0.8</formula>
    </cfRule>
  </conditionalFormatting>
  <conditionalFormatting sqref="P84:P91">
    <cfRule type="cellIs" dxfId="28015" priority="370" operator="greaterThan">
      <formula>0</formula>
    </cfRule>
  </conditionalFormatting>
  <conditionalFormatting sqref="P84:P91">
    <cfRule type="cellIs" dxfId="28014" priority="364" operator="greaterThan">
      <formula>0</formula>
    </cfRule>
  </conditionalFormatting>
  <conditionalFormatting sqref="Q84:Q91">
    <cfRule type="cellIs" dxfId="28013" priority="369" operator="lessThan">
      <formula>0</formula>
    </cfRule>
  </conditionalFormatting>
  <conditionalFormatting sqref="R84:R91">
    <cfRule type="cellIs" dxfId="28012" priority="367" operator="lessThan">
      <formula>0.8</formula>
    </cfRule>
    <cfRule type="cellIs" dxfId="28011" priority="368" operator="greaterThan">
      <formula>1</formula>
    </cfRule>
  </conditionalFormatting>
  <conditionalFormatting sqref="R84:R91">
    <cfRule type="cellIs" dxfId="28010" priority="365" operator="greaterThan">
      <formula>1</formula>
    </cfRule>
    <cfRule type="cellIs" dxfId="28009" priority="366" operator="lessThan">
      <formula>0.8</formula>
    </cfRule>
  </conditionalFormatting>
  <conditionalFormatting sqref="P84:P91">
    <cfRule type="cellIs" dxfId="28008" priority="358" operator="greaterThan">
      <formula>0</formula>
    </cfRule>
  </conditionalFormatting>
  <conditionalFormatting sqref="Q84:Q91">
    <cfRule type="cellIs" dxfId="28007" priority="363" operator="lessThan">
      <formula>0</formula>
    </cfRule>
  </conditionalFormatting>
  <conditionalFormatting sqref="R84:R91">
    <cfRule type="cellIs" dxfId="28006" priority="361" operator="lessThan">
      <formula>0.8</formula>
    </cfRule>
    <cfRule type="cellIs" dxfId="28005" priority="362" operator="greaterThan">
      <formula>1</formula>
    </cfRule>
  </conditionalFormatting>
  <conditionalFormatting sqref="R84:R91">
    <cfRule type="cellIs" dxfId="28004" priority="359" operator="greaterThan">
      <formula>1</formula>
    </cfRule>
    <cfRule type="cellIs" dxfId="28003" priority="360" operator="lessThan">
      <formula>0.8</formula>
    </cfRule>
  </conditionalFormatting>
  <conditionalFormatting sqref="R84:R91">
    <cfRule type="cellIs" dxfId="28002" priority="355" operator="lessThan">
      <formula>0.8</formula>
    </cfRule>
    <cfRule type="cellIs" dxfId="28001" priority="356" operator="greaterThan">
      <formula>1</formula>
    </cfRule>
  </conditionalFormatting>
  <conditionalFormatting sqref="R84:R91">
    <cfRule type="cellIs" dxfId="28000" priority="353" operator="greaterThan">
      <formula>1</formula>
    </cfRule>
    <cfRule type="cellIs" dxfId="27999" priority="354" operator="lessThan">
      <formula>0.8</formula>
    </cfRule>
  </conditionalFormatting>
  <conditionalFormatting sqref="P84:P91">
    <cfRule type="cellIs" dxfId="27998" priority="352" operator="greaterThan">
      <formula>0</formula>
    </cfRule>
  </conditionalFormatting>
  <conditionalFormatting sqref="Q84:Q91">
    <cfRule type="cellIs" dxfId="27997" priority="357" operator="lessThan">
      <formula>0</formula>
    </cfRule>
  </conditionalFormatting>
  <conditionalFormatting sqref="Q84:Q91">
    <cfRule type="cellIs" dxfId="27996" priority="351" operator="lessThan">
      <formula>0</formula>
    </cfRule>
  </conditionalFormatting>
  <conditionalFormatting sqref="R84:R91">
    <cfRule type="cellIs" dxfId="27995" priority="349" operator="lessThan">
      <formula>0.8</formula>
    </cfRule>
    <cfRule type="cellIs" dxfId="27994" priority="350" operator="greaterThan">
      <formula>1</formula>
    </cfRule>
  </conditionalFormatting>
  <conditionalFormatting sqref="R84:R91">
    <cfRule type="cellIs" dxfId="27993" priority="347" operator="greaterThan">
      <formula>1</formula>
    </cfRule>
    <cfRule type="cellIs" dxfId="27992" priority="348" operator="lessThan">
      <formula>0.8</formula>
    </cfRule>
  </conditionalFormatting>
  <conditionalFormatting sqref="P84:P91">
    <cfRule type="cellIs" dxfId="27991" priority="346" operator="greaterThan">
      <formula>0</formula>
    </cfRule>
  </conditionalFormatting>
  <conditionalFormatting sqref="P84:P91">
    <cfRule type="cellIs" dxfId="27990" priority="340" operator="greaterThan">
      <formula>0</formula>
    </cfRule>
  </conditionalFormatting>
  <conditionalFormatting sqref="Q84:Q91">
    <cfRule type="cellIs" dxfId="27989" priority="345" operator="lessThan">
      <formula>0</formula>
    </cfRule>
  </conditionalFormatting>
  <conditionalFormatting sqref="R84:R91">
    <cfRule type="cellIs" dxfId="27988" priority="343" operator="lessThan">
      <formula>0.8</formula>
    </cfRule>
    <cfRule type="cellIs" dxfId="27987" priority="344" operator="greaterThan">
      <formula>1</formula>
    </cfRule>
  </conditionalFormatting>
  <conditionalFormatting sqref="R84:R91">
    <cfRule type="cellIs" dxfId="27986" priority="341" operator="greaterThan">
      <formula>1</formula>
    </cfRule>
    <cfRule type="cellIs" dxfId="27985" priority="342" operator="lessThan">
      <formula>0.8</formula>
    </cfRule>
  </conditionalFormatting>
  <conditionalFormatting sqref="P84:P91">
    <cfRule type="cellIs" dxfId="27984" priority="334" operator="greaterThan">
      <formula>0</formula>
    </cfRule>
  </conditionalFormatting>
  <conditionalFormatting sqref="Q84:Q91">
    <cfRule type="cellIs" dxfId="27983" priority="339" operator="lessThan">
      <formula>0</formula>
    </cfRule>
  </conditionalFormatting>
  <conditionalFormatting sqref="R84:R91">
    <cfRule type="cellIs" dxfId="27982" priority="337" operator="lessThan">
      <formula>0.8</formula>
    </cfRule>
    <cfRule type="cellIs" dxfId="27981" priority="338" operator="greaterThan">
      <formula>1</formula>
    </cfRule>
  </conditionalFormatting>
  <conditionalFormatting sqref="R84:R91">
    <cfRule type="cellIs" dxfId="27980" priority="335" operator="greaterThan">
      <formula>1</formula>
    </cfRule>
    <cfRule type="cellIs" dxfId="27979" priority="336" operator="lessThan">
      <formula>0.8</formula>
    </cfRule>
  </conditionalFormatting>
  <conditionalFormatting sqref="R84:R91">
    <cfRule type="cellIs" dxfId="27978" priority="331" operator="lessThan">
      <formula>0.8</formula>
    </cfRule>
    <cfRule type="cellIs" dxfId="27977" priority="332" operator="greaterThan">
      <formula>1</formula>
    </cfRule>
  </conditionalFormatting>
  <conditionalFormatting sqref="R84:R91">
    <cfRule type="cellIs" dxfId="27976" priority="329" operator="greaterThan">
      <formula>1</formula>
    </cfRule>
    <cfRule type="cellIs" dxfId="27975" priority="330" operator="lessThan">
      <formula>0.8</formula>
    </cfRule>
  </conditionalFormatting>
  <conditionalFormatting sqref="P84:P91">
    <cfRule type="cellIs" dxfId="27974" priority="328" operator="greaterThan">
      <formula>0</formula>
    </cfRule>
  </conditionalFormatting>
  <conditionalFormatting sqref="Q84:Q91">
    <cfRule type="cellIs" dxfId="27973" priority="333" operator="lessThan">
      <formula>0</formula>
    </cfRule>
  </conditionalFormatting>
  <conditionalFormatting sqref="P84:P91">
    <cfRule type="cellIs" dxfId="27972" priority="322" operator="greaterThan">
      <formula>0</formula>
    </cfRule>
  </conditionalFormatting>
  <conditionalFormatting sqref="Q84:Q91">
    <cfRule type="cellIs" dxfId="27971" priority="327" operator="lessThan">
      <formula>0</formula>
    </cfRule>
  </conditionalFormatting>
  <conditionalFormatting sqref="R84:R91">
    <cfRule type="cellIs" dxfId="27970" priority="325" operator="lessThan">
      <formula>0.8</formula>
    </cfRule>
    <cfRule type="cellIs" dxfId="27969" priority="326" operator="greaterThan">
      <formula>1</formula>
    </cfRule>
  </conditionalFormatting>
  <conditionalFormatting sqref="R84:R91">
    <cfRule type="cellIs" dxfId="27968" priority="323" operator="greaterThan">
      <formula>1</formula>
    </cfRule>
    <cfRule type="cellIs" dxfId="27967" priority="324" operator="lessThan">
      <formula>0.8</formula>
    </cfRule>
  </conditionalFormatting>
  <conditionalFormatting sqref="R84:R91">
    <cfRule type="cellIs" dxfId="27966" priority="319" operator="lessThan">
      <formula>0.8</formula>
    </cfRule>
    <cfRule type="cellIs" dxfId="27965" priority="320" operator="greaterThan">
      <formula>1</formula>
    </cfRule>
  </conditionalFormatting>
  <conditionalFormatting sqref="R84:R91">
    <cfRule type="cellIs" dxfId="27964" priority="317" operator="greaterThan">
      <formula>1</formula>
    </cfRule>
    <cfRule type="cellIs" dxfId="27963" priority="318" operator="lessThan">
      <formula>0.8</formula>
    </cfRule>
  </conditionalFormatting>
  <conditionalFormatting sqref="P84:P91">
    <cfRule type="cellIs" dxfId="27962" priority="316" operator="greaterThan">
      <formula>0</formula>
    </cfRule>
  </conditionalFormatting>
  <conditionalFormatting sqref="Q84:Q91">
    <cfRule type="cellIs" dxfId="27961" priority="321" operator="lessThan">
      <formula>0</formula>
    </cfRule>
  </conditionalFormatting>
  <conditionalFormatting sqref="R84:R91">
    <cfRule type="cellIs" dxfId="27960" priority="313" operator="lessThan">
      <formula>0.8</formula>
    </cfRule>
    <cfRule type="cellIs" dxfId="27959" priority="314" operator="greaterThan">
      <formula>1</formula>
    </cfRule>
  </conditionalFormatting>
  <conditionalFormatting sqref="R84:R91">
    <cfRule type="cellIs" dxfId="27958" priority="311" operator="greaterThan">
      <formula>1</formula>
    </cfRule>
    <cfRule type="cellIs" dxfId="27957" priority="312" operator="lessThan">
      <formula>0.8</formula>
    </cfRule>
  </conditionalFormatting>
  <conditionalFormatting sqref="P84:P91">
    <cfRule type="cellIs" dxfId="27956" priority="310" operator="greaterThan">
      <formula>0</formula>
    </cfRule>
  </conditionalFormatting>
  <conditionalFormatting sqref="Q84:Q91">
    <cfRule type="cellIs" dxfId="27955" priority="315" operator="lessThan">
      <formula>0</formula>
    </cfRule>
  </conditionalFormatting>
  <conditionalFormatting sqref="Q84:Q91">
    <cfRule type="cellIs" dxfId="27954" priority="309" operator="lessThan">
      <formula>0</formula>
    </cfRule>
  </conditionalFormatting>
  <conditionalFormatting sqref="R84:R91">
    <cfRule type="cellIs" dxfId="27953" priority="307" operator="lessThan">
      <formula>0.8</formula>
    </cfRule>
    <cfRule type="cellIs" dxfId="27952" priority="308" operator="greaterThan">
      <formula>1</formula>
    </cfRule>
  </conditionalFormatting>
  <conditionalFormatting sqref="R84:R91">
    <cfRule type="cellIs" dxfId="27951" priority="305" operator="greaterThan">
      <formula>1</formula>
    </cfRule>
    <cfRule type="cellIs" dxfId="27950" priority="306" operator="lessThan">
      <formula>0.8</formula>
    </cfRule>
  </conditionalFormatting>
  <conditionalFormatting sqref="P84:P91">
    <cfRule type="cellIs" dxfId="27949" priority="304" operator="greaterThan">
      <formula>0</formula>
    </cfRule>
  </conditionalFormatting>
  <conditionalFormatting sqref="Q84:Q91">
    <cfRule type="cellIs" dxfId="27948" priority="298" operator="lessThan">
      <formula>0</formula>
    </cfRule>
  </conditionalFormatting>
  <conditionalFormatting sqref="R84:R91">
    <cfRule type="cellIs" dxfId="27947" priority="302" operator="lessThan">
      <formula>0.8</formula>
    </cfRule>
    <cfRule type="cellIs" dxfId="27946" priority="303" operator="greaterThan">
      <formula>1</formula>
    </cfRule>
  </conditionalFormatting>
  <conditionalFormatting sqref="R84:R91">
    <cfRule type="cellIs" dxfId="27945" priority="300" operator="greaterThan">
      <formula>1</formula>
    </cfRule>
    <cfRule type="cellIs" dxfId="27944" priority="301" operator="lessThan">
      <formula>0.8</formula>
    </cfRule>
  </conditionalFormatting>
  <conditionalFormatting sqref="P84:P91">
    <cfRule type="cellIs" dxfId="27943" priority="299" operator="greaterThan">
      <formula>0</formula>
    </cfRule>
  </conditionalFormatting>
  <conditionalFormatting sqref="Q84:Q91">
    <cfRule type="cellIs" dxfId="27942" priority="297" operator="lessThan">
      <formula>0</formula>
    </cfRule>
  </conditionalFormatting>
  <conditionalFormatting sqref="R84:R91">
    <cfRule type="cellIs" dxfId="27941" priority="295" operator="lessThan">
      <formula>0.8</formula>
    </cfRule>
    <cfRule type="cellIs" dxfId="27940" priority="296" operator="greaterThan">
      <formula>1</formula>
    </cfRule>
  </conditionalFormatting>
  <conditionalFormatting sqref="R84:R91">
    <cfRule type="cellIs" dxfId="27939" priority="293" operator="greaterThan">
      <formula>1</formula>
    </cfRule>
    <cfRule type="cellIs" dxfId="27938" priority="294" operator="lessThan">
      <formula>0.8</formula>
    </cfRule>
  </conditionalFormatting>
  <conditionalFormatting sqref="P84:P91">
    <cfRule type="cellIs" dxfId="27937" priority="292" operator="greaterThan">
      <formula>0</formula>
    </cfRule>
  </conditionalFormatting>
  <conditionalFormatting sqref="Q84:Q91">
    <cfRule type="cellIs" dxfId="27936" priority="291" operator="lessThan">
      <formula>0</formula>
    </cfRule>
  </conditionalFormatting>
  <conditionalFormatting sqref="R84:R91">
    <cfRule type="cellIs" dxfId="27935" priority="289" operator="lessThan">
      <formula>0.8</formula>
    </cfRule>
    <cfRule type="cellIs" dxfId="27934" priority="290" operator="greaterThan">
      <formula>1</formula>
    </cfRule>
  </conditionalFormatting>
  <conditionalFormatting sqref="R84:R91">
    <cfRule type="cellIs" dxfId="27933" priority="287" operator="greaterThan">
      <formula>1</formula>
    </cfRule>
    <cfRule type="cellIs" dxfId="27932" priority="288" operator="lessThan">
      <formula>0.8</formula>
    </cfRule>
  </conditionalFormatting>
  <conditionalFormatting sqref="P84:P91">
    <cfRule type="cellIs" dxfId="27931" priority="286" operator="greaterThan">
      <formula>0</formula>
    </cfRule>
  </conditionalFormatting>
  <conditionalFormatting sqref="Q84:Q91">
    <cfRule type="cellIs" dxfId="27930" priority="285" operator="lessThan">
      <formula>0</formula>
    </cfRule>
  </conditionalFormatting>
  <conditionalFormatting sqref="R84:R91">
    <cfRule type="cellIs" dxfId="27929" priority="283" operator="lessThan">
      <formula>0.8</formula>
    </cfRule>
    <cfRule type="cellIs" dxfId="27928" priority="284" operator="greaterThan">
      <formula>1</formula>
    </cfRule>
  </conditionalFormatting>
  <conditionalFormatting sqref="R84:R91">
    <cfRule type="cellIs" dxfId="27927" priority="281" operator="greaterThan">
      <formula>1</formula>
    </cfRule>
    <cfRule type="cellIs" dxfId="27926" priority="282" operator="lessThan">
      <formula>0.8</formula>
    </cfRule>
  </conditionalFormatting>
  <conditionalFormatting sqref="P84:P91">
    <cfRule type="cellIs" dxfId="27925" priority="280" operator="greaterThan">
      <formula>0</formula>
    </cfRule>
  </conditionalFormatting>
  <conditionalFormatting sqref="Q84:Q91">
    <cfRule type="cellIs" dxfId="27924" priority="279" operator="lessThan">
      <formula>0</formula>
    </cfRule>
  </conditionalFormatting>
  <conditionalFormatting sqref="R84:R91">
    <cfRule type="cellIs" dxfId="27923" priority="277" operator="lessThan">
      <formula>0.8</formula>
    </cfRule>
    <cfRule type="cellIs" dxfId="27922" priority="278" operator="greaterThan">
      <formula>1</formula>
    </cfRule>
  </conditionalFormatting>
  <conditionalFormatting sqref="R84:R91">
    <cfRule type="cellIs" dxfId="27921" priority="275" operator="greaterThan">
      <formula>1</formula>
    </cfRule>
    <cfRule type="cellIs" dxfId="27920" priority="276" operator="lessThan">
      <formula>0.8</formula>
    </cfRule>
  </conditionalFormatting>
  <conditionalFormatting sqref="P84:P91">
    <cfRule type="cellIs" dxfId="27919" priority="274" operator="greaterThan">
      <formula>0</formula>
    </cfRule>
  </conditionalFormatting>
  <conditionalFormatting sqref="Q84:Q91">
    <cfRule type="cellIs" dxfId="27918" priority="273" operator="lessThan">
      <formula>0</formula>
    </cfRule>
  </conditionalFormatting>
  <conditionalFormatting sqref="R84:R91">
    <cfRule type="cellIs" dxfId="27917" priority="271" operator="lessThan">
      <formula>0.8</formula>
    </cfRule>
    <cfRule type="cellIs" dxfId="27916" priority="272" operator="greaterThan">
      <formula>1</formula>
    </cfRule>
  </conditionalFormatting>
  <conditionalFormatting sqref="R84:R91">
    <cfRule type="cellIs" dxfId="27915" priority="269" operator="greaterThan">
      <formula>1</formula>
    </cfRule>
    <cfRule type="cellIs" dxfId="27914" priority="270" operator="lessThan">
      <formula>0.8</formula>
    </cfRule>
  </conditionalFormatting>
  <conditionalFormatting sqref="P84:P91">
    <cfRule type="cellIs" dxfId="27913" priority="268" operator="greaterThan">
      <formula>0</formula>
    </cfRule>
  </conditionalFormatting>
  <conditionalFormatting sqref="P84:P91">
    <cfRule type="cellIs" dxfId="27912" priority="262" operator="greaterThan">
      <formula>0</formula>
    </cfRule>
  </conditionalFormatting>
  <conditionalFormatting sqref="Q84:Q91">
    <cfRule type="cellIs" dxfId="27911" priority="267" operator="lessThan">
      <formula>0</formula>
    </cfRule>
  </conditionalFormatting>
  <conditionalFormatting sqref="R84:R91">
    <cfRule type="cellIs" dxfId="27910" priority="265" operator="lessThan">
      <formula>0.8</formula>
    </cfRule>
    <cfRule type="cellIs" dxfId="27909" priority="266" operator="greaterThan">
      <formula>1</formula>
    </cfRule>
  </conditionalFormatting>
  <conditionalFormatting sqref="R84:R91">
    <cfRule type="cellIs" dxfId="27908" priority="263" operator="greaterThan">
      <formula>1</formula>
    </cfRule>
    <cfRule type="cellIs" dxfId="27907" priority="264" operator="lessThan">
      <formula>0.8</formula>
    </cfRule>
  </conditionalFormatting>
  <conditionalFormatting sqref="P84:P91">
    <cfRule type="cellIs" dxfId="27906" priority="256" operator="greaterThan">
      <formula>0</formula>
    </cfRule>
  </conditionalFormatting>
  <conditionalFormatting sqref="Q84:Q91">
    <cfRule type="cellIs" dxfId="27905" priority="261" operator="lessThan">
      <formula>0</formula>
    </cfRule>
  </conditionalFormatting>
  <conditionalFormatting sqref="R84:R91">
    <cfRule type="cellIs" dxfId="27904" priority="259" operator="lessThan">
      <formula>0.8</formula>
    </cfRule>
    <cfRule type="cellIs" dxfId="27903" priority="260" operator="greaterThan">
      <formula>1</formula>
    </cfRule>
  </conditionalFormatting>
  <conditionalFormatting sqref="R84:R91">
    <cfRule type="cellIs" dxfId="27902" priority="257" operator="greaterThan">
      <formula>1</formula>
    </cfRule>
    <cfRule type="cellIs" dxfId="27901" priority="258" operator="lessThan">
      <formula>0.8</formula>
    </cfRule>
  </conditionalFormatting>
  <conditionalFormatting sqref="R84:R91">
    <cfRule type="cellIs" dxfId="27900" priority="253" operator="lessThan">
      <formula>0.8</formula>
    </cfRule>
    <cfRule type="cellIs" dxfId="27899" priority="254" operator="greaterThan">
      <formula>1</formula>
    </cfRule>
  </conditionalFormatting>
  <conditionalFormatting sqref="R84:R91">
    <cfRule type="cellIs" dxfId="27898" priority="251" operator="greaterThan">
      <formula>1</formula>
    </cfRule>
    <cfRule type="cellIs" dxfId="27897" priority="252" operator="lessThan">
      <formula>0.8</formula>
    </cfRule>
  </conditionalFormatting>
  <conditionalFormatting sqref="P84:P91">
    <cfRule type="cellIs" dxfId="27896" priority="250" operator="greaterThan">
      <formula>0</formula>
    </cfRule>
  </conditionalFormatting>
  <conditionalFormatting sqref="Q84:Q91">
    <cfRule type="cellIs" dxfId="27895" priority="255" operator="lessThan">
      <formula>0</formula>
    </cfRule>
  </conditionalFormatting>
  <conditionalFormatting sqref="Q84:Q91">
    <cfRule type="cellIs" dxfId="27894" priority="249" operator="lessThan">
      <formula>0</formula>
    </cfRule>
  </conditionalFormatting>
  <conditionalFormatting sqref="R84:R91">
    <cfRule type="cellIs" dxfId="27893" priority="247" operator="lessThan">
      <formula>0.8</formula>
    </cfRule>
    <cfRule type="cellIs" dxfId="27892" priority="248" operator="greaterThan">
      <formula>1</formula>
    </cfRule>
  </conditionalFormatting>
  <conditionalFormatting sqref="R84:R91">
    <cfRule type="cellIs" dxfId="27891" priority="245" operator="greaterThan">
      <formula>1</formula>
    </cfRule>
    <cfRule type="cellIs" dxfId="27890" priority="246" operator="lessThan">
      <formula>0.8</formula>
    </cfRule>
  </conditionalFormatting>
  <conditionalFormatting sqref="P84:P91">
    <cfRule type="cellIs" dxfId="27889" priority="244" operator="greaterThan">
      <formula>0</formula>
    </cfRule>
  </conditionalFormatting>
  <conditionalFormatting sqref="Q84:Q91">
    <cfRule type="cellIs" dxfId="27888" priority="243" operator="lessThan">
      <formula>0</formula>
    </cfRule>
  </conditionalFormatting>
  <conditionalFormatting sqref="R84:R91">
    <cfRule type="cellIs" dxfId="27887" priority="241" operator="lessThan">
      <formula>0.8</formula>
    </cfRule>
    <cfRule type="cellIs" dxfId="27886" priority="242" operator="greaterThan">
      <formula>1</formula>
    </cfRule>
  </conditionalFormatting>
  <conditionalFormatting sqref="R84:R91">
    <cfRule type="cellIs" dxfId="27885" priority="239" operator="greaterThan">
      <formula>1</formula>
    </cfRule>
    <cfRule type="cellIs" dxfId="27884" priority="240" operator="lessThan">
      <formula>0.8</formula>
    </cfRule>
  </conditionalFormatting>
  <conditionalFormatting sqref="P84:P91">
    <cfRule type="cellIs" dxfId="27883" priority="238" operator="greaterThan">
      <formula>0</formula>
    </cfRule>
  </conditionalFormatting>
  <conditionalFormatting sqref="Q84:Q91">
    <cfRule type="cellIs" dxfId="27882" priority="237" operator="lessThan">
      <formula>0</formula>
    </cfRule>
  </conditionalFormatting>
  <conditionalFormatting sqref="R84:R91">
    <cfRule type="cellIs" dxfId="27881" priority="235" operator="lessThan">
      <formula>0.8</formula>
    </cfRule>
    <cfRule type="cellIs" dxfId="27880" priority="236" operator="greaterThan">
      <formula>1</formula>
    </cfRule>
  </conditionalFormatting>
  <conditionalFormatting sqref="R84:R91">
    <cfRule type="cellIs" dxfId="27879" priority="233" operator="greaterThan">
      <formula>1</formula>
    </cfRule>
    <cfRule type="cellIs" dxfId="27878" priority="234" operator="lessThan">
      <formula>0.8</formula>
    </cfRule>
  </conditionalFormatting>
  <conditionalFormatting sqref="P84:P91">
    <cfRule type="cellIs" dxfId="27877" priority="232" operator="greaterThan">
      <formula>0</formula>
    </cfRule>
  </conditionalFormatting>
  <conditionalFormatting sqref="Q84:Q91">
    <cfRule type="cellIs" dxfId="27876" priority="231" operator="lessThan">
      <formula>0</formula>
    </cfRule>
  </conditionalFormatting>
  <conditionalFormatting sqref="R84:R91">
    <cfRule type="cellIs" dxfId="27875" priority="229" operator="lessThan">
      <formula>0.8</formula>
    </cfRule>
    <cfRule type="cellIs" dxfId="27874" priority="230" operator="greaterThan">
      <formula>1</formula>
    </cfRule>
  </conditionalFormatting>
  <conditionalFormatting sqref="R84:R91">
    <cfRule type="cellIs" dxfId="27873" priority="227" operator="greaterThan">
      <formula>1</formula>
    </cfRule>
    <cfRule type="cellIs" dxfId="27872" priority="228" operator="lessThan">
      <formula>0.8</formula>
    </cfRule>
  </conditionalFormatting>
  <conditionalFormatting sqref="P84:P91">
    <cfRule type="cellIs" dxfId="27871" priority="226" operator="greaterThan">
      <formula>0</formula>
    </cfRule>
  </conditionalFormatting>
  <conditionalFormatting sqref="P84:P91">
    <cfRule type="cellIs" dxfId="27870" priority="220" operator="greaterThan">
      <formula>0</formula>
    </cfRule>
  </conditionalFormatting>
  <conditionalFormatting sqref="Q84:Q91">
    <cfRule type="cellIs" dxfId="27869" priority="225" operator="lessThan">
      <formula>0</formula>
    </cfRule>
  </conditionalFormatting>
  <conditionalFormatting sqref="R84:R91">
    <cfRule type="cellIs" dxfId="27868" priority="223" operator="lessThan">
      <formula>0.8</formula>
    </cfRule>
    <cfRule type="cellIs" dxfId="27867" priority="224" operator="greaterThan">
      <formula>1</formula>
    </cfRule>
  </conditionalFormatting>
  <conditionalFormatting sqref="R84:R91">
    <cfRule type="cellIs" dxfId="27866" priority="221" operator="greaterThan">
      <formula>1</formula>
    </cfRule>
    <cfRule type="cellIs" dxfId="27865" priority="222" operator="lessThan">
      <formula>0.8</formula>
    </cfRule>
  </conditionalFormatting>
  <conditionalFormatting sqref="P84:P91">
    <cfRule type="cellIs" dxfId="27864" priority="214" operator="greaterThan">
      <formula>0</formula>
    </cfRule>
  </conditionalFormatting>
  <conditionalFormatting sqref="Q84:Q91">
    <cfRule type="cellIs" dxfId="27863" priority="219" operator="lessThan">
      <formula>0</formula>
    </cfRule>
  </conditionalFormatting>
  <conditionalFormatting sqref="R84:R91">
    <cfRule type="cellIs" dxfId="27862" priority="217" operator="lessThan">
      <formula>0.8</formula>
    </cfRule>
    <cfRule type="cellIs" dxfId="27861" priority="218" operator="greaterThan">
      <formula>1</formula>
    </cfRule>
  </conditionalFormatting>
  <conditionalFormatting sqref="R84:R91">
    <cfRule type="cellIs" dxfId="27860" priority="215" operator="greaterThan">
      <formula>1</formula>
    </cfRule>
    <cfRule type="cellIs" dxfId="27859" priority="216" operator="lessThan">
      <formula>0.8</formula>
    </cfRule>
  </conditionalFormatting>
  <conditionalFormatting sqref="R84:R91">
    <cfRule type="cellIs" dxfId="27858" priority="211" operator="lessThan">
      <formula>0.8</formula>
    </cfRule>
    <cfRule type="cellIs" dxfId="27857" priority="212" operator="greaterThan">
      <formula>1</formula>
    </cfRule>
  </conditionalFormatting>
  <conditionalFormatting sqref="R84:R91">
    <cfRule type="cellIs" dxfId="27856" priority="209" operator="greaterThan">
      <formula>1</formula>
    </cfRule>
    <cfRule type="cellIs" dxfId="27855" priority="210" operator="lessThan">
      <formula>0.8</formula>
    </cfRule>
  </conditionalFormatting>
  <conditionalFormatting sqref="P84:P91">
    <cfRule type="cellIs" dxfId="27854" priority="208" operator="greaterThan">
      <formula>0</formula>
    </cfRule>
  </conditionalFormatting>
  <conditionalFormatting sqref="Q84:Q91">
    <cfRule type="cellIs" dxfId="27853" priority="213" operator="lessThan">
      <formula>0</formula>
    </cfRule>
  </conditionalFormatting>
  <conditionalFormatting sqref="Q84:Q91">
    <cfRule type="cellIs" dxfId="27852" priority="207" operator="lessThan">
      <formula>0</formula>
    </cfRule>
  </conditionalFormatting>
  <conditionalFormatting sqref="R84:R91">
    <cfRule type="cellIs" dxfId="27851" priority="205" operator="lessThan">
      <formula>0.8</formula>
    </cfRule>
    <cfRule type="cellIs" dxfId="27850" priority="206" operator="greaterThan">
      <formula>1</formula>
    </cfRule>
  </conditionalFormatting>
  <conditionalFormatting sqref="R84:R91">
    <cfRule type="cellIs" dxfId="27849" priority="203" operator="greaterThan">
      <formula>1</formula>
    </cfRule>
    <cfRule type="cellIs" dxfId="27848" priority="204" operator="lessThan">
      <formula>0.8</formula>
    </cfRule>
  </conditionalFormatting>
  <conditionalFormatting sqref="P84:P91">
    <cfRule type="cellIs" dxfId="27847" priority="202" operator="greaterThan">
      <formula>0</formula>
    </cfRule>
  </conditionalFormatting>
  <conditionalFormatting sqref="P84:P91">
    <cfRule type="cellIs" dxfId="27846" priority="196" operator="greaterThan">
      <formula>0</formula>
    </cfRule>
  </conditionalFormatting>
  <conditionalFormatting sqref="Q84:Q91">
    <cfRule type="cellIs" dxfId="27845" priority="201" operator="lessThan">
      <formula>0</formula>
    </cfRule>
  </conditionalFormatting>
  <conditionalFormatting sqref="R84:R91">
    <cfRule type="cellIs" dxfId="27844" priority="199" operator="lessThan">
      <formula>0.8</formula>
    </cfRule>
    <cfRule type="cellIs" dxfId="27843" priority="200" operator="greaterThan">
      <formula>1</formula>
    </cfRule>
  </conditionalFormatting>
  <conditionalFormatting sqref="R84:R91">
    <cfRule type="cellIs" dxfId="27842" priority="197" operator="greaterThan">
      <formula>1</formula>
    </cfRule>
    <cfRule type="cellIs" dxfId="27841" priority="198" operator="lessThan">
      <formula>0.8</formula>
    </cfRule>
  </conditionalFormatting>
  <conditionalFormatting sqref="P84:P91">
    <cfRule type="cellIs" dxfId="27840" priority="190" operator="greaterThan">
      <formula>0</formula>
    </cfRule>
  </conditionalFormatting>
  <conditionalFormatting sqref="Q84:Q91">
    <cfRule type="cellIs" dxfId="27839" priority="195" operator="lessThan">
      <formula>0</formula>
    </cfRule>
  </conditionalFormatting>
  <conditionalFormatting sqref="R84:R91">
    <cfRule type="cellIs" dxfId="27838" priority="193" operator="lessThan">
      <formula>0.8</formula>
    </cfRule>
    <cfRule type="cellIs" dxfId="27837" priority="194" operator="greaterThan">
      <formula>1</formula>
    </cfRule>
  </conditionalFormatting>
  <conditionalFormatting sqref="R84:R91">
    <cfRule type="cellIs" dxfId="27836" priority="191" operator="greaterThan">
      <formula>1</formula>
    </cfRule>
    <cfRule type="cellIs" dxfId="27835" priority="192" operator="lessThan">
      <formula>0.8</formula>
    </cfRule>
  </conditionalFormatting>
  <conditionalFormatting sqref="R84:R91">
    <cfRule type="cellIs" dxfId="27834" priority="187" operator="lessThan">
      <formula>0.8</formula>
    </cfRule>
    <cfRule type="cellIs" dxfId="27833" priority="188" operator="greaterThan">
      <formula>1</formula>
    </cfRule>
  </conditionalFormatting>
  <conditionalFormatting sqref="R84:R91">
    <cfRule type="cellIs" dxfId="27832" priority="185" operator="greaterThan">
      <formula>1</formula>
    </cfRule>
    <cfRule type="cellIs" dxfId="27831" priority="186" operator="lessThan">
      <formula>0.8</formula>
    </cfRule>
  </conditionalFormatting>
  <conditionalFormatting sqref="P84:P91">
    <cfRule type="cellIs" dxfId="27830" priority="184" operator="greaterThan">
      <formula>0</formula>
    </cfRule>
  </conditionalFormatting>
  <conditionalFormatting sqref="Q84:Q91">
    <cfRule type="cellIs" dxfId="27829" priority="189" operator="lessThan">
      <formula>0</formula>
    </cfRule>
  </conditionalFormatting>
  <conditionalFormatting sqref="P84:P91">
    <cfRule type="cellIs" dxfId="27828" priority="178" operator="greaterThan">
      <formula>0</formula>
    </cfRule>
  </conditionalFormatting>
  <conditionalFormatting sqref="Q84:Q91">
    <cfRule type="cellIs" dxfId="27827" priority="183" operator="lessThan">
      <formula>0</formula>
    </cfRule>
  </conditionalFormatting>
  <conditionalFormatting sqref="R84:R91">
    <cfRule type="cellIs" dxfId="27826" priority="181" operator="lessThan">
      <formula>0.8</formula>
    </cfRule>
    <cfRule type="cellIs" dxfId="27825" priority="182" operator="greaterThan">
      <formula>1</formula>
    </cfRule>
  </conditionalFormatting>
  <conditionalFormatting sqref="R84:R91">
    <cfRule type="cellIs" dxfId="27824" priority="179" operator="greaterThan">
      <formula>1</formula>
    </cfRule>
    <cfRule type="cellIs" dxfId="27823" priority="180" operator="lessThan">
      <formula>0.8</formula>
    </cfRule>
  </conditionalFormatting>
  <conditionalFormatting sqref="R84:R91">
    <cfRule type="cellIs" dxfId="27822" priority="175" operator="lessThan">
      <formula>0.8</formula>
    </cfRule>
    <cfRule type="cellIs" dxfId="27821" priority="176" operator="greaterThan">
      <formula>1</formula>
    </cfRule>
  </conditionalFormatting>
  <conditionalFormatting sqref="R84:R91">
    <cfRule type="cellIs" dxfId="27820" priority="173" operator="greaterThan">
      <formula>1</formula>
    </cfRule>
    <cfRule type="cellIs" dxfId="27819" priority="174" operator="lessThan">
      <formula>0.8</formula>
    </cfRule>
  </conditionalFormatting>
  <conditionalFormatting sqref="P84:P91">
    <cfRule type="cellIs" dxfId="27818" priority="172" operator="greaterThan">
      <formula>0</formula>
    </cfRule>
  </conditionalFormatting>
  <conditionalFormatting sqref="Q84:Q91">
    <cfRule type="cellIs" dxfId="27817" priority="177" operator="lessThan">
      <formula>0</formula>
    </cfRule>
  </conditionalFormatting>
  <conditionalFormatting sqref="R84:R91">
    <cfRule type="cellIs" dxfId="27816" priority="169" operator="lessThan">
      <formula>0.8</formula>
    </cfRule>
    <cfRule type="cellIs" dxfId="27815" priority="170" operator="greaterThan">
      <formula>1</formula>
    </cfRule>
  </conditionalFormatting>
  <conditionalFormatting sqref="R84:R91">
    <cfRule type="cellIs" dxfId="27814" priority="167" operator="greaterThan">
      <formula>1</formula>
    </cfRule>
    <cfRule type="cellIs" dxfId="27813" priority="168" operator="lessThan">
      <formula>0.8</formula>
    </cfRule>
  </conditionalFormatting>
  <conditionalFormatting sqref="P84:P91">
    <cfRule type="cellIs" dxfId="27812" priority="166" operator="greaterThan">
      <formula>0</formula>
    </cfRule>
  </conditionalFormatting>
  <conditionalFormatting sqref="Q84:Q91">
    <cfRule type="cellIs" dxfId="27811" priority="171" operator="lessThan">
      <formula>0</formula>
    </cfRule>
  </conditionalFormatting>
  <conditionalFormatting sqref="Q84:Q91">
    <cfRule type="cellIs" dxfId="27810" priority="165" operator="lessThan">
      <formula>0</formula>
    </cfRule>
  </conditionalFormatting>
  <conditionalFormatting sqref="R84:R91">
    <cfRule type="cellIs" dxfId="27809" priority="163" operator="lessThan">
      <formula>0.8</formula>
    </cfRule>
    <cfRule type="cellIs" dxfId="27808" priority="164" operator="greaterThan">
      <formula>1</formula>
    </cfRule>
  </conditionalFormatting>
  <conditionalFormatting sqref="R84:R91">
    <cfRule type="cellIs" dxfId="27807" priority="161" operator="greaterThan">
      <formula>1</formula>
    </cfRule>
    <cfRule type="cellIs" dxfId="27806" priority="162" operator="lessThan">
      <formula>0.8</formula>
    </cfRule>
  </conditionalFormatting>
  <conditionalFormatting sqref="P84:P91">
    <cfRule type="cellIs" dxfId="27805" priority="160" operator="greaterThan">
      <formula>0</formula>
    </cfRule>
  </conditionalFormatting>
  <conditionalFormatting sqref="Q84:Q91">
    <cfRule type="cellIs" dxfId="27804" priority="154" operator="lessThan">
      <formula>0</formula>
    </cfRule>
  </conditionalFormatting>
  <conditionalFormatting sqref="R84:R91">
    <cfRule type="cellIs" dxfId="27803" priority="158" operator="lessThan">
      <formula>0.8</formula>
    </cfRule>
    <cfRule type="cellIs" dxfId="27802" priority="159" operator="greaterThan">
      <formula>1</formula>
    </cfRule>
  </conditionalFormatting>
  <conditionalFormatting sqref="R84:R91">
    <cfRule type="cellIs" dxfId="27801" priority="156" operator="greaterThan">
      <formula>1</formula>
    </cfRule>
    <cfRule type="cellIs" dxfId="27800" priority="157" operator="lessThan">
      <formula>0.8</formula>
    </cfRule>
  </conditionalFormatting>
  <conditionalFormatting sqref="P84:P91">
    <cfRule type="cellIs" dxfId="27799" priority="155" operator="greaterThan">
      <formula>0</formula>
    </cfRule>
  </conditionalFormatting>
  <conditionalFormatting sqref="Q84:Q91">
    <cfRule type="cellIs" dxfId="27798" priority="153" operator="lessThan">
      <formula>0</formula>
    </cfRule>
  </conditionalFormatting>
  <conditionalFormatting sqref="R84:R91">
    <cfRule type="cellIs" dxfId="27797" priority="151" operator="lessThan">
      <formula>0.8</formula>
    </cfRule>
    <cfRule type="cellIs" dxfId="27796" priority="152" operator="greaterThan">
      <formula>1</formula>
    </cfRule>
  </conditionalFormatting>
  <conditionalFormatting sqref="R84:R91">
    <cfRule type="cellIs" dxfId="27795" priority="149" operator="greaterThan">
      <formula>1</formula>
    </cfRule>
    <cfRule type="cellIs" dxfId="27794" priority="150" operator="lessThan">
      <formula>0.8</formula>
    </cfRule>
  </conditionalFormatting>
  <conditionalFormatting sqref="P84:P91">
    <cfRule type="cellIs" dxfId="27793" priority="148" operator="greaterThan">
      <formula>0</formula>
    </cfRule>
  </conditionalFormatting>
  <conditionalFormatting sqref="Q84:Q91">
    <cfRule type="cellIs" dxfId="27792" priority="147" operator="lessThan">
      <formula>0</formula>
    </cfRule>
  </conditionalFormatting>
  <conditionalFormatting sqref="R84:R91">
    <cfRule type="cellIs" dxfId="27791" priority="145" operator="lessThan">
      <formula>0.8</formula>
    </cfRule>
    <cfRule type="cellIs" dxfId="27790" priority="146" operator="greaterThan">
      <formula>1</formula>
    </cfRule>
  </conditionalFormatting>
  <conditionalFormatting sqref="R84:R91">
    <cfRule type="cellIs" dxfId="27789" priority="143" operator="greaterThan">
      <formula>1</formula>
    </cfRule>
    <cfRule type="cellIs" dxfId="27788" priority="144" operator="lessThan">
      <formula>0.8</formula>
    </cfRule>
  </conditionalFormatting>
  <conditionalFormatting sqref="P84:P91">
    <cfRule type="cellIs" dxfId="27787" priority="142" operator="greaterThan">
      <formula>0</formula>
    </cfRule>
  </conditionalFormatting>
  <conditionalFormatting sqref="Q84:Q91">
    <cfRule type="cellIs" dxfId="27786" priority="141" operator="lessThan">
      <formula>0</formula>
    </cfRule>
  </conditionalFormatting>
  <conditionalFormatting sqref="R84:R91">
    <cfRule type="cellIs" dxfId="27785" priority="139" operator="lessThan">
      <formula>0.8</formula>
    </cfRule>
    <cfRule type="cellIs" dxfId="27784" priority="140" operator="greaterThan">
      <formula>1</formula>
    </cfRule>
  </conditionalFormatting>
  <conditionalFormatting sqref="R84:R91">
    <cfRule type="cellIs" dxfId="27783" priority="137" operator="greaterThan">
      <formula>1</formula>
    </cfRule>
    <cfRule type="cellIs" dxfId="27782" priority="138" operator="lessThan">
      <formula>0.8</formula>
    </cfRule>
  </conditionalFormatting>
  <conditionalFormatting sqref="P84:P91">
    <cfRule type="cellIs" dxfId="27781" priority="136" operator="greaterThan">
      <formula>0</formula>
    </cfRule>
  </conditionalFormatting>
  <conditionalFormatting sqref="Q84:Q91">
    <cfRule type="cellIs" dxfId="27780" priority="135" operator="lessThan">
      <formula>0</formula>
    </cfRule>
  </conditionalFormatting>
  <conditionalFormatting sqref="R84:R91">
    <cfRule type="cellIs" dxfId="27779" priority="133" operator="lessThan">
      <formula>0.8</formula>
    </cfRule>
    <cfRule type="cellIs" dxfId="27778" priority="134" operator="greaterThan">
      <formula>1</formula>
    </cfRule>
  </conditionalFormatting>
  <conditionalFormatting sqref="R84:R91">
    <cfRule type="cellIs" dxfId="27777" priority="131" operator="greaterThan">
      <formula>1</formula>
    </cfRule>
    <cfRule type="cellIs" dxfId="27776" priority="132" operator="lessThan">
      <formula>0.8</formula>
    </cfRule>
  </conditionalFormatting>
  <conditionalFormatting sqref="P84:P91">
    <cfRule type="cellIs" dxfId="27775" priority="130" operator="greaterThan">
      <formula>0</formula>
    </cfRule>
  </conditionalFormatting>
  <conditionalFormatting sqref="Q84:Q91">
    <cfRule type="cellIs" dxfId="27774" priority="129" operator="lessThan">
      <formula>0</formula>
    </cfRule>
  </conditionalFormatting>
  <conditionalFormatting sqref="R84:R91">
    <cfRule type="cellIs" dxfId="27773" priority="127" operator="lessThan">
      <formula>0.8</formula>
    </cfRule>
    <cfRule type="cellIs" dxfId="27772" priority="128" operator="greaterThan">
      <formula>1</formula>
    </cfRule>
  </conditionalFormatting>
  <conditionalFormatting sqref="R84:R91">
    <cfRule type="cellIs" dxfId="27771" priority="125" operator="greaterThan">
      <formula>1</formula>
    </cfRule>
    <cfRule type="cellIs" dxfId="27770" priority="126" operator="lessThan">
      <formula>0.8</formula>
    </cfRule>
  </conditionalFormatting>
  <conditionalFormatting sqref="P84:P91">
    <cfRule type="cellIs" dxfId="27769" priority="124" operator="greaterThan">
      <formula>0</formula>
    </cfRule>
  </conditionalFormatting>
  <conditionalFormatting sqref="P84:P91">
    <cfRule type="cellIs" dxfId="27768" priority="118" operator="greaterThan">
      <formula>0</formula>
    </cfRule>
  </conditionalFormatting>
  <conditionalFormatting sqref="Q84:Q91">
    <cfRule type="cellIs" dxfId="27767" priority="123" operator="lessThan">
      <formula>0</formula>
    </cfRule>
  </conditionalFormatting>
  <conditionalFormatting sqref="R84:R91">
    <cfRule type="cellIs" dxfId="27766" priority="121" operator="lessThan">
      <formula>0.8</formula>
    </cfRule>
    <cfRule type="cellIs" dxfId="27765" priority="122" operator="greaterThan">
      <formula>1</formula>
    </cfRule>
  </conditionalFormatting>
  <conditionalFormatting sqref="R84:R91">
    <cfRule type="cellIs" dxfId="27764" priority="119" operator="greaterThan">
      <formula>1</formula>
    </cfRule>
    <cfRule type="cellIs" dxfId="27763" priority="120" operator="lessThan">
      <formula>0.8</formula>
    </cfRule>
  </conditionalFormatting>
  <conditionalFormatting sqref="P84:P91">
    <cfRule type="cellIs" dxfId="27762" priority="112" operator="greaterThan">
      <formula>0</formula>
    </cfRule>
  </conditionalFormatting>
  <conditionalFormatting sqref="Q84:Q91">
    <cfRule type="cellIs" dxfId="27761" priority="117" operator="lessThan">
      <formula>0</formula>
    </cfRule>
  </conditionalFormatting>
  <conditionalFormatting sqref="R84:R91">
    <cfRule type="cellIs" dxfId="27760" priority="115" operator="lessThan">
      <formula>0.8</formula>
    </cfRule>
    <cfRule type="cellIs" dxfId="27759" priority="116" operator="greaterThan">
      <formula>1</formula>
    </cfRule>
  </conditionalFormatting>
  <conditionalFormatting sqref="R84:R91">
    <cfRule type="cellIs" dxfId="27758" priority="113" operator="greaterThan">
      <formula>1</formula>
    </cfRule>
    <cfRule type="cellIs" dxfId="27757" priority="114" operator="lessThan">
      <formula>0.8</formula>
    </cfRule>
  </conditionalFormatting>
  <conditionalFormatting sqref="R84:R91">
    <cfRule type="cellIs" dxfId="27756" priority="109" operator="lessThan">
      <formula>0.8</formula>
    </cfRule>
    <cfRule type="cellIs" dxfId="27755" priority="110" operator="greaterThan">
      <formula>1</formula>
    </cfRule>
  </conditionalFormatting>
  <conditionalFormatting sqref="R84:R91">
    <cfRule type="cellIs" dxfId="27754" priority="107" operator="greaterThan">
      <formula>1</formula>
    </cfRule>
    <cfRule type="cellIs" dxfId="27753" priority="108" operator="lessThan">
      <formula>0.8</formula>
    </cfRule>
  </conditionalFormatting>
  <conditionalFormatting sqref="P84:P91">
    <cfRule type="cellIs" dxfId="27752" priority="106" operator="greaterThan">
      <formula>0</formula>
    </cfRule>
  </conditionalFormatting>
  <conditionalFormatting sqref="Q84:Q91">
    <cfRule type="cellIs" dxfId="27751" priority="111" operator="lessThan">
      <formula>0</formula>
    </cfRule>
  </conditionalFormatting>
  <conditionalFormatting sqref="Q84:Q91">
    <cfRule type="cellIs" dxfId="27750" priority="100" operator="lessThan">
      <formula>0</formula>
    </cfRule>
  </conditionalFormatting>
  <conditionalFormatting sqref="P84:P91">
    <cfRule type="cellIs" dxfId="27749" priority="101" operator="greaterThan">
      <formula>0</formula>
    </cfRule>
  </conditionalFormatting>
  <conditionalFormatting sqref="R84:R91">
    <cfRule type="cellIs" dxfId="27748" priority="104" operator="lessThan">
      <formula>0.8</formula>
    </cfRule>
    <cfRule type="cellIs" dxfId="27747" priority="105" operator="greaterThan">
      <formula>1</formula>
    </cfRule>
  </conditionalFormatting>
  <conditionalFormatting sqref="R84:R91">
    <cfRule type="cellIs" dxfId="27746" priority="102" operator="greaterThan">
      <formula>1</formula>
    </cfRule>
    <cfRule type="cellIs" dxfId="27745" priority="103" operator="lessThan">
      <formula>0.8</formula>
    </cfRule>
  </conditionalFormatting>
  <conditionalFormatting sqref="Q84:Q91">
    <cfRule type="cellIs" dxfId="27744" priority="94" operator="lessThan">
      <formula>0</formula>
    </cfRule>
  </conditionalFormatting>
  <conditionalFormatting sqref="R84:R91">
    <cfRule type="cellIs" dxfId="27743" priority="98" operator="lessThan">
      <formula>0.8</formula>
    </cfRule>
    <cfRule type="cellIs" dxfId="27742" priority="99" operator="greaterThan">
      <formula>1</formula>
    </cfRule>
  </conditionalFormatting>
  <conditionalFormatting sqref="R84:R91">
    <cfRule type="cellIs" dxfId="27741" priority="96" operator="greaterThan">
      <formula>1</formula>
    </cfRule>
    <cfRule type="cellIs" dxfId="27740" priority="97" operator="lessThan">
      <formula>0.8</formula>
    </cfRule>
  </conditionalFormatting>
  <conditionalFormatting sqref="P84:P91">
    <cfRule type="cellIs" dxfId="27739" priority="95" operator="greaterThan">
      <formula>0</formula>
    </cfRule>
  </conditionalFormatting>
  <conditionalFormatting sqref="Q84:Q91">
    <cfRule type="cellIs" dxfId="27738" priority="93" operator="lessThan">
      <formula>0</formula>
    </cfRule>
  </conditionalFormatting>
  <conditionalFormatting sqref="R84:R91">
    <cfRule type="cellIs" dxfId="27737" priority="91" operator="lessThan">
      <formula>0.8</formula>
    </cfRule>
    <cfRule type="cellIs" dxfId="27736" priority="92" operator="greaterThan">
      <formula>1</formula>
    </cfRule>
  </conditionalFormatting>
  <conditionalFormatting sqref="R84:R91">
    <cfRule type="cellIs" dxfId="27735" priority="89" operator="greaterThan">
      <formula>1</formula>
    </cfRule>
    <cfRule type="cellIs" dxfId="27734" priority="90" operator="lessThan">
      <formula>0.8</formula>
    </cfRule>
  </conditionalFormatting>
  <conditionalFormatting sqref="P84:P91">
    <cfRule type="cellIs" dxfId="27733" priority="88" operator="greaterThan">
      <formula>0</formula>
    </cfRule>
  </conditionalFormatting>
  <conditionalFormatting sqref="Q84:Q91">
    <cfRule type="cellIs" dxfId="27732" priority="87" operator="lessThan">
      <formula>0</formula>
    </cfRule>
  </conditionalFormatting>
  <conditionalFormatting sqref="R84:R91">
    <cfRule type="cellIs" dxfId="27731" priority="85" operator="lessThan">
      <formula>0.8</formula>
    </cfRule>
    <cfRule type="cellIs" dxfId="27730" priority="86" operator="greaterThan">
      <formula>1</formula>
    </cfRule>
  </conditionalFormatting>
  <conditionalFormatting sqref="R84:R91">
    <cfRule type="cellIs" dxfId="27729" priority="83" operator="greaterThan">
      <formula>1</formula>
    </cfRule>
    <cfRule type="cellIs" dxfId="27728" priority="84" operator="lessThan">
      <formula>0.8</formula>
    </cfRule>
  </conditionalFormatting>
  <conditionalFormatting sqref="P84:P91">
    <cfRule type="cellIs" dxfId="27727" priority="82" operator="greaterThan">
      <formula>0</formula>
    </cfRule>
  </conditionalFormatting>
  <conditionalFormatting sqref="Q84:Q91">
    <cfRule type="cellIs" dxfId="27726" priority="81" operator="lessThan">
      <formula>0</formula>
    </cfRule>
  </conditionalFormatting>
  <conditionalFormatting sqref="R84:R91">
    <cfRule type="cellIs" dxfId="27725" priority="79" operator="lessThan">
      <formula>0.8</formula>
    </cfRule>
    <cfRule type="cellIs" dxfId="27724" priority="80" operator="greaterThan">
      <formula>1</formula>
    </cfRule>
  </conditionalFormatting>
  <conditionalFormatting sqref="R84:R91">
    <cfRule type="cellIs" dxfId="27723" priority="77" operator="greaterThan">
      <formula>1</formula>
    </cfRule>
    <cfRule type="cellIs" dxfId="27722" priority="78" operator="lessThan">
      <formula>0.8</formula>
    </cfRule>
  </conditionalFormatting>
  <conditionalFormatting sqref="P84:P91">
    <cfRule type="cellIs" dxfId="27721" priority="76" operator="greaterThan">
      <formula>0</formula>
    </cfRule>
  </conditionalFormatting>
  <conditionalFormatting sqref="Q162:Q166">
    <cfRule type="cellIs" dxfId="27720" priority="75" operator="lessThan">
      <formula>0</formula>
    </cfRule>
  </conditionalFormatting>
  <conditionalFormatting sqref="R162:R166">
    <cfRule type="cellIs" dxfId="27719" priority="73" operator="lessThan">
      <formula>0.8</formula>
    </cfRule>
    <cfRule type="cellIs" dxfId="27718" priority="74" operator="greaterThan">
      <formula>1</formula>
    </cfRule>
  </conditionalFormatting>
  <conditionalFormatting sqref="R162:R166">
    <cfRule type="cellIs" dxfId="27717" priority="71" operator="greaterThan">
      <formula>1</formula>
    </cfRule>
    <cfRule type="cellIs" dxfId="27716" priority="72" operator="lessThan">
      <formula>0.8</formula>
    </cfRule>
  </conditionalFormatting>
  <conditionalFormatting sqref="P162:P166">
    <cfRule type="cellIs" dxfId="27715" priority="70" operator="greaterThan">
      <formula>0</formula>
    </cfRule>
  </conditionalFormatting>
  <conditionalFormatting sqref="P167:P168">
    <cfRule type="cellIs" dxfId="27714" priority="64" operator="greaterThan">
      <formula>0</formula>
    </cfRule>
  </conditionalFormatting>
  <conditionalFormatting sqref="R167:R168">
    <cfRule type="cellIs" dxfId="27713" priority="67" operator="lessThan">
      <formula>0.8</formula>
    </cfRule>
    <cfRule type="cellIs" dxfId="27712" priority="68" operator="greaterThan">
      <formula>1</formula>
    </cfRule>
  </conditionalFormatting>
  <conditionalFormatting sqref="R167:R168">
    <cfRule type="cellIs" dxfId="27711" priority="65" operator="greaterThan">
      <formula>1</formula>
    </cfRule>
    <cfRule type="cellIs" dxfId="27710" priority="66" operator="lessThan">
      <formula>0.8</formula>
    </cfRule>
  </conditionalFormatting>
  <conditionalFormatting sqref="Q167:Q168">
    <cfRule type="cellIs" dxfId="27709" priority="69" operator="lessThan">
      <formula>0</formula>
    </cfRule>
  </conditionalFormatting>
  <conditionalFormatting sqref="Q161">
    <cfRule type="cellIs" dxfId="27708" priority="63" operator="lessThan">
      <formula>0</formula>
    </cfRule>
  </conditionalFormatting>
  <conditionalFormatting sqref="R161">
    <cfRule type="cellIs" dxfId="27707" priority="61" operator="lessThan">
      <formula>0.8</formula>
    </cfRule>
    <cfRule type="cellIs" dxfId="27706" priority="62" operator="greaterThan">
      <formula>1</formula>
    </cfRule>
  </conditionalFormatting>
  <conditionalFormatting sqref="R161">
    <cfRule type="cellIs" dxfId="27705" priority="59" operator="greaterThan">
      <formula>1</formula>
    </cfRule>
    <cfRule type="cellIs" dxfId="27704" priority="60" operator="lessThan">
      <formula>0.8</formula>
    </cfRule>
  </conditionalFormatting>
  <conditionalFormatting sqref="P161">
    <cfRule type="cellIs" dxfId="27703" priority="58" operator="greaterThan">
      <formula>0</formula>
    </cfRule>
  </conditionalFormatting>
  <conditionalFormatting sqref="Q162:Q166">
    <cfRule type="cellIs" dxfId="27702" priority="57" operator="lessThan">
      <formula>0</formula>
    </cfRule>
  </conditionalFormatting>
  <conditionalFormatting sqref="R162:R166">
    <cfRule type="cellIs" dxfId="27701" priority="55" operator="lessThan">
      <formula>0.8</formula>
    </cfRule>
    <cfRule type="cellIs" dxfId="27700" priority="56" operator="greaterThan">
      <formula>1</formula>
    </cfRule>
  </conditionalFormatting>
  <conditionalFormatting sqref="R162:R166">
    <cfRule type="cellIs" dxfId="27699" priority="53" operator="greaterThan">
      <formula>1</formula>
    </cfRule>
    <cfRule type="cellIs" dxfId="27698" priority="54" operator="lessThan">
      <formula>0.8</formula>
    </cfRule>
  </conditionalFormatting>
  <conditionalFormatting sqref="P162:P166">
    <cfRule type="cellIs" dxfId="27697" priority="52" operator="greaterThan">
      <formula>0</formula>
    </cfRule>
  </conditionalFormatting>
  <conditionalFormatting sqref="Q162:Q166">
    <cfRule type="cellIs" dxfId="27696" priority="51" operator="lessThan">
      <formula>0</formula>
    </cfRule>
  </conditionalFormatting>
  <conditionalFormatting sqref="R162:R166">
    <cfRule type="cellIs" dxfId="27695" priority="49" operator="lessThan">
      <formula>0.8</formula>
    </cfRule>
    <cfRule type="cellIs" dxfId="27694" priority="50" operator="greaterThan">
      <formula>1</formula>
    </cfRule>
  </conditionalFormatting>
  <conditionalFormatting sqref="R162:R166">
    <cfRule type="cellIs" dxfId="27693" priority="47" operator="greaterThan">
      <formula>1</formula>
    </cfRule>
    <cfRule type="cellIs" dxfId="27692" priority="48" operator="lessThan">
      <formula>0.8</formula>
    </cfRule>
  </conditionalFormatting>
  <conditionalFormatting sqref="P162:P166">
    <cfRule type="cellIs" dxfId="27691" priority="46" operator="greaterThan">
      <formula>0</formula>
    </cfRule>
  </conditionalFormatting>
  <conditionalFormatting sqref="Q167:Q168">
    <cfRule type="cellIs" dxfId="27690" priority="45" operator="lessThan">
      <formula>0</formula>
    </cfRule>
  </conditionalFormatting>
  <conditionalFormatting sqref="R167:R168">
    <cfRule type="cellIs" dxfId="27689" priority="43" operator="lessThan">
      <formula>0.8</formula>
    </cfRule>
    <cfRule type="cellIs" dxfId="27688" priority="44" operator="greaterThan">
      <formula>1</formula>
    </cfRule>
  </conditionalFormatting>
  <conditionalFormatting sqref="R167:R168">
    <cfRule type="cellIs" dxfId="27687" priority="41" operator="greaterThan">
      <formula>1</formula>
    </cfRule>
    <cfRule type="cellIs" dxfId="27686" priority="42" operator="lessThan">
      <formula>0.8</formula>
    </cfRule>
  </conditionalFormatting>
  <conditionalFormatting sqref="P167:P168">
    <cfRule type="cellIs" dxfId="27685" priority="40" operator="greaterThan">
      <formula>0</formula>
    </cfRule>
  </conditionalFormatting>
  <conditionalFormatting sqref="Q161">
    <cfRule type="cellIs" dxfId="27684" priority="39" operator="lessThan">
      <formula>0</formula>
    </cfRule>
  </conditionalFormatting>
  <conditionalFormatting sqref="R161">
    <cfRule type="cellIs" dxfId="27683" priority="37" operator="lessThan">
      <formula>0.8</formula>
    </cfRule>
    <cfRule type="cellIs" dxfId="27682" priority="38" operator="greaterThan">
      <formula>1</formula>
    </cfRule>
  </conditionalFormatting>
  <conditionalFormatting sqref="R161">
    <cfRule type="cellIs" dxfId="27681" priority="35" operator="greaterThan">
      <formula>1</formula>
    </cfRule>
    <cfRule type="cellIs" dxfId="27680" priority="36" operator="lessThan">
      <formula>0.8</formula>
    </cfRule>
  </conditionalFormatting>
  <conditionalFormatting sqref="P161">
    <cfRule type="cellIs" dxfId="27679" priority="34" operator="greaterThan">
      <formula>0</formula>
    </cfRule>
  </conditionalFormatting>
  <conditionalFormatting sqref="Q162:Q166">
    <cfRule type="cellIs" dxfId="27678" priority="33" operator="lessThan">
      <formula>0</formula>
    </cfRule>
  </conditionalFormatting>
  <conditionalFormatting sqref="R162:R166">
    <cfRule type="cellIs" dxfId="27677" priority="31" operator="lessThan">
      <formula>0.8</formula>
    </cfRule>
    <cfRule type="cellIs" dxfId="27676" priority="32" operator="greaterThan">
      <formula>1</formula>
    </cfRule>
  </conditionalFormatting>
  <conditionalFormatting sqref="R162:R166">
    <cfRule type="cellIs" dxfId="27675" priority="29" operator="greaterThan">
      <formula>1</formula>
    </cfRule>
    <cfRule type="cellIs" dxfId="27674" priority="30" operator="lessThan">
      <formula>0.8</formula>
    </cfRule>
  </conditionalFormatting>
  <conditionalFormatting sqref="P162:P166">
    <cfRule type="cellIs" dxfId="27673" priority="28" operator="greaterThan">
      <formula>0</formula>
    </cfRule>
  </conditionalFormatting>
  <conditionalFormatting sqref="Q161">
    <cfRule type="cellIs" dxfId="27672" priority="27" operator="lessThan">
      <formula>0</formula>
    </cfRule>
  </conditionalFormatting>
  <conditionalFormatting sqref="R161">
    <cfRule type="cellIs" dxfId="27671" priority="25" operator="lessThan">
      <formula>0.8</formula>
    </cfRule>
    <cfRule type="cellIs" dxfId="27670" priority="26" operator="greaterThan">
      <formula>1</formula>
    </cfRule>
  </conditionalFormatting>
  <conditionalFormatting sqref="R161">
    <cfRule type="cellIs" dxfId="27669" priority="23" operator="greaterThan">
      <formula>1</formula>
    </cfRule>
    <cfRule type="cellIs" dxfId="27668" priority="24" operator="lessThan">
      <formula>0.8</formula>
    </cfRule>
  </conditionalFormatting>
  <conditionalFormatting sqref="P161">
    <cfRule type="cellIs" dxfId="27667" priority="22" operator="greaterThan">
      <formula>0</formula>
    </cfRule>
  </conditionalFormatting>
  <conditionalFormatting sqref="Q162:Q166">
    <cfRule type="cellIs" dxfId="27666" priority="21" operator="lessThan">
      <formula>0</formula>
    </cfRule>
  </conditionalFormatting>
  <conditionalFormatting sqref="R162:R166">
    <cfRule type="cellIs" dxfId="27665" priority="19" operator="lessThan">
      <formula>0.8</formula>
    </cfRule>
    <cfRule type="cellIs" dxfId="27664" priority="20" operator="greaterThan">
      <formula>1</formula>
    </cfRule>
  </conditionalFormatting>
  <conditionalFormatting sqref="R162:R166">
    <cfRule type="cellIs" dxfId="27663" priority="17" operator="greaterThan">
      <formula>1</formula>
    </cfRule>
    <cfRule type="cellIs" dxfId="27662" priority="18" operator="lessThan">
      <formula>0.8</formula>
    </cfRule>
  </conditionalFormatting>
  <conditionalFormatting sqref="P162:P166">
    <cfRule type="cellIs" dxfId="27661" priority="16" operator="greaterThan">
      <formula>0</formula>
    </cfRule>
  </conditionalFormatting>
  <conditionalFormatting sqref="Q161">
    <cfRule type="cellIs" dxfId="27660" priority="15" operator="lessThan">
      <formula>0</formula>
    </cfRule>
  </conditionalFormatting>
  <conditionalFormatting sqref="R161">
    <cfRule type="cellIs" dxfId="27659" priority="13" operator="lessThan">
      <formula>0.8</formula>
    </cfRule>
    <cfRule type="cellIs" dxfId="27658" priority="14" operator="greaterThan">
      <formula>1</formula>
    </cfRule>
  </conditionalFormatting>
  <conditionalFormatting sqref="R161">
    <cfRule type="cellIs" dxfId="27657" priority="11" operator="greaterThan">
      <formula>1</formula>
    </cfRule>
    <cfRule type="cellIs" dxfId="27656" priority="12" operator="lessThan">
      <formula>0.8</formula>
    </cfRule>
  </conditionalFormatting>
  <conditionalFormatting sqref="P161">
    <cfRule type="cellIs" dxfId="27655" priority="10" operator="greaterThan">
      <formula>0</formula>
    </cfRule>
  </conditionalFormatting>
  <conditionalFormatting sqref="P167:P168">
    <cfRule type="cellIs" dxfId="27654" priority="4" operator="greaterThan">
      <formula>0</formula>
    </cfRule>
  </conditionalFormatting>
  <conditionalFormatting sqref="R167:R168">
    <cfRule type="cellIs" dxfId="27653" priority="7" operator="lessThan">
      <formula>0.8</formula>
    </cfRule>
    <cfRule type="cellIs" dxfId="27652" priority="8" operator="greaterThan">
      <formula>1</formula>
    </cfRule>
  </conditionalFormatting>
  <conditionalFormatting sqref="R167:R168">
    <cfRule type="cellIs" dxfId="27651" priority="5" operator="greaterThan">
      <formula>1</formula>
    </cfRule>
    <cfRule type="cellIs" dxfId="27650" priority="6" operator="lessThan">
      <formula>0.8</formula>
    </cfRule>
  </conditionalFormatting>
  <conditionalFormatting sqref="Q167:Q168">
    <cfRule type="cellIs" dxfId="27649" priority="9" operator="lessThan">
      <formula>0</formula>
    </cfRule>
  </conditionalFormatting>
  <conditionalFormatting sqref="AF30">
    <cfRule type="cellIs" dxfId="27648" priority="3" operator="lessThan">
      <formula>0</formula>
    </cfRule>
  </conditionalFormatting>
  <conditionalFormatting sqref="AG30">
    <cfRule type="cellIs" dxfId="27647" priority="1" operator="greaterThan">
      <formula>1</formula>
    </cfRule>
    <cfRule type="cellIs" dxfId="27646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R35" sqref="R35"/>
    </sheetView>
  </sheetViews>
  <sheetFormatPr defaultColWidth="8.125" defaultRowHeight="15.75"/>
  <cols>
    <col min="1" max="1" width="8.125" style="2"/>
    <col min="2" max="2" width="7.125" style="2" customWidth="1"/>
    <col min="3" max="3" width="7.125" style="61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27" t="s">
        <v>0</v>
      </c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9"/>
      <c r="N1" s="1"/>
      <c r="O1" s="1"/>
    </row>
    <row r="2" spans="2:17" ht="27.75" customHeight="1">
      <c r="B2" s="527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9"/>
      <c r="N2" s="1"/>
      <c r="O2" s="1"/>
    </row>
    <row r="3" spans="2:17" ht="46.5" customHeight="1">
      <c r="B3" s="521" t="s">
        <v>1</v>
      </c>
      <c r="C3" s="522"/>
      <c r="D3" s="530" t="s">
        <v>379</v>
      </c>
      <c r="E3" s="531"/>
      <c r="F3" s="521" t="s">
        <v>2</v>
      </c>
      <c r="G3" s="522"/>
      <c r="H3" s="532">
        <v>211374.00000000003</v>
      </c>
      <c r="I3" s="533"/>
      <c r="J3" s="521" t="s">
        <v>3</v>
      </c>
      <c r="K3" s="522"/>
      <c r="L3" s="534">
        <v>6902304.8407151308</v>
      </c>
      <c r="M3" s="535"/>
      <c r="N3" s="3"/>
    </row>
    <row r="4" spans="2:17" ht="24" customHeight="1">
      <c r="B4" s="521" t="s">
        <v>4</v>
      </c>
      <c r="C4" s="522"/>
      <c r="D4" s="513" t="s">
        <v>5</v>
      </c>
      <c r="E4" s="514"/>
      <c r="F4" s="525" t="s">
        <v>6</v>
      </c>
      <c r="G4" s="526"/>
      <c r="H4" s="525" t="s">
        <v>7</v>
      </c>
      <c r="I4" s="526"/>
      <c r="J4" s="525" t="s">
        <v>8</v>
      </c>
      <c r="K4" s="526"/>
      <c r="L4" s="525" t="s">
        <v>9</v>
      </c>
      <c r="M4" s="526"/>
      <c r="N4" s="505" t="s">
        <v>10</v>
      </c>
      <c r="O4" s="506"/>
      <c r="P4" s="506" t="s">
        <v>11</v>
      </c>
      <c r="Q4" s="506"/>
    </row>
    <row r="5" spans="2:17" ht="24" customHeight="1">
      <c r="B5" s="507" t="s">
        <v>12</v>
      </c>
      <c r="C5" s="508"/>
      <c r="D5" s="513" t="s">
        <v>13</v>
      </c>
      <c r="E5" s="514"/>
      <c r="F5" s="513" t="s">
        <v>14</v>
      </c>
      <c r="G5" s="514"/>
      <c r="H5" s="515" t="s">
        <v>15</v>
      </c>
      <c r="I5" s="516"/>
      <c r="J5" s="517" t="s">
        <v>16</v>
      </c>
      <c r="K5" s="518"/>
      <c r="L5" s="519" t="s">
        <v>17</v>
      </c>
      <c r="M5" s="520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509"/>
      <c r="C6" s="510"/>
      <c r="D6" s="521" t="s">
        <v>21</v>
      </c>
      <c r="E6" s="522"/>
      <c r="F6" s="523">
        <f>AVERAGE(D13:O13,P13:Q13,D30:F30,H30,J30:L30)</f>
        <v>360.36127480704164</v>
      </c>
      <c r="G6" s="524"/>
      <c r="H6" s="499">
        <f>AVERAGE(D13:P13,Q13)</f>
        <v>148.04191221056246</v>
      </c>
      <c r="I6" s="500"/>
      <c r="J6" s="499">
        <f>AVERAGE(D30:F30,H30)</f>
        <v>717.5</v>
      </c>
      <c r="K6" s="500"/>
      <c r="L6" s="501">
        <f>AVERAGE(J30:L30)</f>
        <v>875</v>
      </c>
      <c r="M6" s="502"/>
      <c r="N6" s="503">
        <v>0</v>
      </c>
      <c r="O6" s="488">
        <v>0</v>
      </c>
      <c r="P6" s="504">
        <v>3</v>
      </c>
      <c r="Q6" s="488">
        <v>2</v>
      </c>
    </row>
    <row r="7" spans="2:17" s="6" customFormat="1" ht="39.6" customHeight="1">
      <c r="B7" s="509"/>
      <c r="C7" s="510"/>
      <c r="D7" s="489" t="s">
        <v>22</v>
      </c>
      <c r="E7" s="490"/>
      <c r="F7" s="491">
        <f>AVERAGE(D14:O14,P14:Q14,D31:F31,J31:L31,H31)</f>
        <v>324.76916159622317</v>
      </c>
      <c r="G7" s="492"/>
      <c r="H7" s="493">
        <f>AVERAGE(D14:P14,Q14)</f>
        <v>128.88825279593081</v>
      </c>
      <c r="I7" s="494"/>
      <c r="J7" s="493">
        <f>AVERAGE(D31:F31,H31)</f>
        <v>692.42053393957235</v>
      </c>
      <c r="K7" s="494"/>
      <c r="L7" s="495">
        <f>AVERAGE(J31:L31)</f>
        <v>748.67823953978871</v>
      </c>
      <c r="M7" s="496"/>
      <c r="N7" s="503"/>
      <c r="O7" s="488"/>
      <c r="P7" s="504"/>
      <c r="Q7" s="488"/>
    </row>
    <row r="8" spans="2:17" s="6" customFormat="1" ht="39.6" customHeight="1">
      <c r="B8" s="511"/>
      <c r="C8" s="512"/>
      <c r="D8" s="489" t="s">
        <v>23</v>
      </c>
      <c r="E8" s="490"/>
      <c r="F8" s="497">
        <f>AVERAGE(D15:O15,P15:Q15,D32:F32,H32,J32:K32,L32)</f>
        <v>0.88485604640493809</v>
      </c>
      <c r="G8" s="498"/>
      <c r="H8" s="497">
        <f>AVERAGE(D15:O15,P15:Q15)</f>
        <v>0.87324569165346866</v>
      </c>
      <c r="I8" s="498"/>
      <c r="J8" s="497">
        <f>AVERAGE(D32:F32,H32)</f>
        <v>0.94635397170714186</v>
      </c>
      <c r="K8" s="498"/>
      <c r="L8" s="497">
        <f>AVERAGE(J32:L32)</f>
        <v>0.85704046817552282</v>
      </c>
      <c r="M8" s="498"/>
      <c r="N8" s="503"/>
      <c r="O8" s="488"/>
      <c r="P8" s="504"/>
      <c r="Q8" s="48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462" t="s">
        <v>24</v>
      </c>
      <c r="C10" s="484"/>
      <c r="D10" s="485" t="s">
        <v>25</v>
      </c>
      <c r="E10" s="486"/>
      <c r="F10" s="486"/>
      <c r="G10" s="486"/>
      <c r="H10" s="486"/>
      <c r="I10" s="486"/>
      <c r="J10" s="486"/>
      <c r="K10" s="486"/>
      <c r="L10" s="486"/>
      <c r="M10" s="486"/>
      <c r="N10" s="486"/>
      <c r="O10" s="486"/>
      <c r="P10" s="486"/>
      <c r="Q10" s="487"/>
    </row>
    <row r="11" spans="2:17" ht="17.25" customHeight="1">
      <c r="B11" s="470" t="s">
        <v>26</v>
      </c>
      <c r="C11" s="47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50000000000003" customHeight="1">
      <c r="B12" s="472"/>
      <c r="C12" s="473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50000000000003" customHeight="1">
      <c r="B13" s="474" t="s">
        <v>41</v>
      </c>
      <c r="C13" s="14" t="s">
        <v>42</v>
      </c>
      <c r="D13" s="15">
        <v>109.07529239766082</v>
      </c>
      <c r="E13" s="15">
        <v>94.505135387488323</v>
      </c>
      <c r="F13" s="15">
        <v>138.53182636077375</v>
      </c>
      <c r="G13" s="15">
        <v>257.5555555555556</v>
      </c>
      <c r="H13" s="15">
        <v>250</v>
      </c>
      <c r="I13" s="15">
        <v>87.873015873015873</v>
      </c>
      <c r="J13" s="15">
        <v>107.40233918128656</v>
      </c>
      <c r="K13" s="15">
        <v>346.86197916666663</v>
      </c>
      <c r="L13" s="15">
        <v>84.573129251700692</v>
      </c>
      <c r="M13" s="15">
        <v>82.46974574917688</v>
      </c>
      <c r="N13" s="15">
        <v>84.656346749226003</v>
      </c>
      <c r="O13" s="15">
        <v>83.557929750847705</v>
      </c>
      <c r="P13" s="15">
        <v>195.52447552447552</v>
      </c>
      <c r="Q13" s="16">
        <v>150</v>
      </c>
    </row>
    <row r="14" spans="2:17" ht="39.950000000000003" customHeight="1">
      <c r="B14" s="475"/>
      <c r="C14" s="14" t="s">
        <v>43</v>
      </c>
      <c r="D14" s="15">
        <v>97.806823508452879</v>
      </c>
      <c r="E14" s="15">
        <v>78.589093650098093</v>
      </c>
      <c r="F14" s="15">
        <v>126.9443620616815</v>
      </c>
      <c r="G14" s="15">
        <v>223.4429517454935</v>
      </c>
      <c r="H14" s="15">
        <v>207.62302578725183</v>
      </c>
      <c r="I14" s="15">
        <v>77.747537738609552</v>
      </c>
      <c r="J14" s="15">
        <v>94.494030176357313</v>
      </c>
      <c r="K14" s="15">
        <v>283.23553373709638</v>
      </c>
      <c r="L14" s="15">
        <v>72.099920111428304</v>
      </c>
      <c r="M14" s="15">
        <v>66.897903203922311</v>
      </c>
      <c r="N14" s="15">
        <v>74.393375230989747</v>
      </c>
      <c r="O14" s="15">
        <v>72.084172435046668</v>
      </c>
      <c r="P14" s="15">
        <v>191.58604968334325</v>
      </c>
      <c r="Q14" s="16">
        <v>137.49076007326011</v>
      </c>
    </row>
    <row r="15" spans="2:17" ht="39.950000000000003" customHeight="1">
      <c r="B15" s="476"/>
      <c r="C15" s="10" t="s">
        <v>44</v>
      </c>
      <c r="D15" s="17">
        <f t="shared" ref="D15:P15" si="0">D14/D13</f>
        <v>0.89669091284095792</v>
      </c>
      <c r="E15" s="17">
        <f t="shared" si="0"/>
        <v>0.83158543001783392</v>
      </c>
      <c r="F15" s="17">
        <f t="shared" si="0"/>
        <v>0.91635521884396876</v>
      </c>
      <c r="G15" s="17">
        <f t="shared" si="0"/>
        <v>0.86755244422322741</v>
      </c>
      <c r="H15" s="17">
        <f t="shared" si="0"/>
        <v>0.83049210314900734</v>
      </c>
      <c r="I15" s="17">
        <f t="shared" si="0"/>
        <v>0.88477147354270258</v>
      </c>
      <c r="J15" s="17">
        <f t="shared" si="0"/>
        <v>0.87981352079174868</v>
      </c>
      <c r="K15" s="17">
        <f t="shared" si="0"/>
        <v>0.8165655238938776</v>
      </c>
      <c r="L15" s="17">
        <f t="shared" si="0"/>
        <v>0.85251569558044271</v>
      </c>
      <c r="M15" s="17">
        <f t="shared" si="0"/>
        <v>0.81118115008363545</v>
      </c>
      <c r="N15" s="17">
        <f t="shared" si="0"/>
        <v>0.87876902426893244</v>
      </c>
      <c r="O15" s="17">
        <f t="shared" si="0"/>
        <v>0.86268499770143436</v>
      </c>
      <c r="P15" s="17">
        <f t="shared" si="0"/>
        <v>0.97985712105572553</v>
      </c>
      <c r="Q15" s="18">
        <f>Q14/Q13</f>
        <v>0.9166050671550674</v>
      </c>
    </row>
    <row r="16" spans="2:17" ht="22.9" customHeight="1">
      <c r="B16" s="477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9" customHeight="1">
      <c r="B17" s="478"/>
      <c r="C17" s="10" t="s">
        <v>47</v>
      </c>
      <c r="D17" s="19">
        <v>0.68541666666666667</v>
      </c>
      <c r="E17" s="19">
        <v>0.57986111111111105</v>
      </c>
      <c r="F17" s="19">
        <v>0.49791666666666667</v>
      </c>
      <c r="G17" s="19">
        <v>0.51597222222222217</v>
      </c>
      <c r="H17" s="19">
        <v>0.6513888888888888</v>
      </c>
      <c r="I17" s="19">
        <v>0.68611111111111112</v>
      </c>
      <c r="J17" s="19">
        <v>0.81180555555555545</v>
      </c>
      <c r="K17" s="19">
        <v>0.59513888888888866</v>
      </c>
      <c r="L17" s="19">
        <v>0.83472222222222225</v>
      </c>
      <c r="M17" s="19">
        <v>0.9722222222222221</v>
      </c>
      <c r="N17" s="19">
        <v>0.99444444444444446</v>
      </c>
      <c r="O17" s="19">
        <v>0.87222222222222212</v>
      </c>
      <c r="P17" s="19">
        <v>0.58819444444444446</v>
      </c>
      <c r="Q17" s="20">
        <v>0.59722222222222221</v>
      </c>
    </row>
    <row r="18" spans="2:17" ht="22.9" customHeight="1">
      <c r="B18" s="479" t="s">
        <v>48</v>
      </c>
      <c r="C18" s="480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9" customHeight="1">
      <c r="B19" s="481"/>
      <c r="C19" s="482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9" customHeight="1">
      <c r="B20" s="479" t="s">
        <v>50</v>
      </c>
      <c r="C20" s="480"/>
      <c r="D20" s="21">
        <v>1</v>
      </c>
      <c r="E20" s="21" t="s">
        <v>49</v>
      </c>
      <c r="F20" s="21" t="s">
        <v>49</v>
      </c>
      <c r="G20" s="21" t="s">
        <v>49</v>
      </c>
      <c r="H20" s="21">
        <v>1</v>
      </c>
      <c r="I20" s="21" t="s">
        <v>49</v>
      </c>
      <c r="J20" s="21">
        <v>1</v>
      </c>
      <c r="K20" s="21" t="s">
        <v>49</v>
      </c>
      <c r="L20" s="21" t="s">
        <v>49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9" customHeight="1">
      <c r="B21" s="481"/>
      <c r="C21" s="482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>
        <v>1</v>
      </c>
      <c r="P21" s="21">
        <v>1</v>
      </c>
      <c r="Q21" s="22"/>
    </row>
    <row r="22" spans="2:17" ht="22.9" customHeight="1">
      <c r="B22" s="458" t="s">
        <v>51</v>
      </c>
      <c r="C22" s="459"/>
      <c r="D22" s="23">
        <v>18.375</v>
      </c>
      <c r="E22" s="23">
        <v>17.857142857142858</v>
      </c>
      <c r="F22" s="23">
        <v>14.833333333333334</v>
      </c>
      <c r="G22" s="23">
        <v>6.333333333333333</v>
      </c>
      <c r="H22" s="23">
        <v>6.75</v>
      </c>
      <c r="I22" s="23">
        <v>16</v>
      </c>
      <c r="J22" s="23">
        <v>16</v>
      </c>
      <c r="K22" s="23">
        <v>8</v>
      </c>
      <c r="L22" s="23">
        <v>17.428571428571427</v>
      </c>
      <c r="M22" s="23">
        <v>18.399999999999999</v>
      </c>
      <c r="N22" s="23">
        <v>17.428571428571427</v>
      </c>
      <c r="O22" s="23">
        <v>17.600000000000001</v>
      </c>
      <c r="P22" s="23">
        <v>11.6</v>
      </c>
      <c r="Q22" s="24">
        <v>11.3</v>
      </c>
    </row>
    <row r="23" spans="2:17" ht="22.9" customHeight="1">
      <c r="B23" s="458" t="s">
        <v>52</v>
      </c>
      <c r="C23" s="459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9" customHeight="1">
      <c r="B24" s="458" t="s">
        <v>58</v>
      </c>
      <c r="C24" s="45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9" customHeight="1" thickBot="1">
      <c r="B25" s="460" t="s">
        <v>59</v>
      </c>
      <c r="C25" s="461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5" thickBot="1">
      <c r="B26" s="483"/>
      <c r="C26" s="483"/>
    </row>
    <row r="27" spans="2:17" ht="30" customHeight="1" thickBot="1">
      <c r="B27" s="462" t="s">
        <v>24</v>
      </c>
      <c r="C27" s="463"/>
      <c r="D27" s="464" t="s">
        <v>64</v>
      </c>
      <c r="E27" s="465"/>
      <c r="F27" s="465"/>
      <c r="G27" s="465"/>
      <c r="H27" s="466"/>
      <c r="I27" s="467" t="s">
        <v>65</v>
      </c>
      <c r="J27" s="468"/>
      <c r="K27" s="468"/>
      <c r="L27" s="468"/>
      <c r="M27" s="469"/>
    </row>
    <row r="28" spans="2:17" ht="17.25" customHeight="1">
      <c r="B28" s="470" t="s">
        <v>26</v>
      </c>
      <c r="C28" s="471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472"/>
      <c r="C29" s="473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50000000000003" customHeight="1">
      <c r="B30" s="474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50000000000003" customHeight="1">
      <c r="B31" s="475"/>
      <c r="C31" s="34" t="s">
        <v>43</v>
      </c>
      <c r="D31" s="15">
        <v>273.40909090909105</v>
      </c>
      <c r="E31" s="15">
        <v>745.7151785714284</v>
      </c>
      <c r="F31" s="15">
        <v>812.30485769020243</v>
      </c>
      <c r="G31" s="15">
        <v>0</v>
      </c>
      <c r="H31" s="41">
        <v>938.25300858756771</v>
      </c>
      <c r="I31" s="42">
        <v>0</v>
      </c>
      <c r="J31" s="15">
        <v>747.7200000000006</v>
      </c>
      <c r="K31" s="15">
        <v>624.09999999999991</v>
      </c>
      <c r="L31" s="15">
        <v>874.21471861936573</v>
      </c>
      <c r="M31" s="16">
        <v>792.97499999999718</v>
      </c>
    </row>
    <row r="32" spans="2:17" ht="39.950000000000003" customHeight="1">
      <c r="B32" s="476"/>
      <c r="C32" s="43" t="s">
        <v>44</v>
      </c>
      <c r="D32" s="17">
        <f t="shared" ref="D32:M32" si="1">D31/D30</f>
        <v>0.8544034090909095</v>
      </c>
      <c r="E32" s="17">
        <f t="shared" si="1"/>
        <v>0.90389718614718595</v>
      </c>
      <c r="F32" s="17">
        <f t="shared" si="1"/>
        <v>0.98461194871539692</v>
      </c>
      <c r="G32" s="17">
        <f t="shared" si="1"/>
        <v>0</v>
      </c>
      <c r="H32" s="44">
        <f t="shared" si="1"/>
        <v>1.0425033428750752</v>
      </c>
      <c r="I32" s="45">
        <f t="shared" si="1"/>
        <v>0</v>
      </c>
      <c r="J32" s="17">
        <f t="shared" si="1"/>
        <v>0.90632727272727343</v>
      </c>
      <c r="K32" s="17">
        <f t="shared" si="1"/>
        <v>0.69344444444444431</v>
      </c>
      <c r="L32" s="17">
        <f t="shared" si="1"/>
        <v>0.97134968735485083</v>
      </c>
      <c r="M32" s="18">
        <f t="shared" si="1"/>
        <v>0.88108333333333022</v>
      </c>
    </row>
    <row r="33" spans="2:13" ht="25.9" customHeight="1">
      <c r="B33" s="477" t="s">
        <v>45</v>
      </c>
      <c r="C33" s="43" t="s">
        <v>46</v>
      </c>
      <c r="D33" s="19">
        <v>0.18055555555555555</v>
      </c>
      <c r="E33" s="19">
        <v>0.18055555555555555</v>
      </c>
      <c r="F33" s="19">
        <v>0.18055555555555555</v>
      </c>
      <c r="G33" s="19">
        <v>0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9" customHeight="1">
      <c r="B34" s="478"/>
      <c r="C34" s="43" t="s">
        <v>47</v>
      </c>
      <c r="D34" s="19">
        <v>0.23263888888888887</v>
      </c>
      <c r="E34" s="19">
        <v>0.375</v>
      </c>
      <c r="F34" s="19">
        <v>0.37222222222222223</v>
      </c>
      <c r="G34" s="19">
        <v>0</v>
      </c>
      <c r="H34" s="46">
        <v>0.45763888888888887</v>
      </c>
      <c r="I34" s="47">
        <v>0</v>
      </c>
      <c r="J34" s="19">
        <v>0.98611111111111116</v>
      </c>
      <c r="K34" s="19">
        <v>0.79513888888888884</v>
      </c>
      <c r="L34" s="19">
        <v>46058.079861111109</v>
      </c>
      <c r="M34" s="20">
        <v>0.76736111111111116</v>
      </c>
    </row>
    <row r="35" spans="2:13" ht="25.9" customHeight="1">
      <c r="B35" s="458" t="s">
        <v>51</v>
      </c>
      <c r="C35" s="459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9" customHeight="1">
      <c r="B36" s="458" t="s">
        <v>52</v>
      </c>
      <c r="C36" s="459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9" customHeight="1">
      <c r="B37" s="458" t="s">
        <v>58</v>
      </c>
      <c r="C37" s="459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9" customHeight="1" thickBot="1">
      <c r="B38" s="460" t="s">
        <v>59</v>
      </c>
      <c r="C38" s="461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4" type="noConversion"/>
  <conditionalFormatting sqref="D32 F32:J32 L32">
    <cfRule type="cellIs" dxfId="27645" priority="6" operator="lessThan">
      <formula>0.8</formula>
    </cfRule>
  </conditionalFormatting>
  <conditionalFormatting sqref="M32">
    <cfRule type="cellIs" dxfId="27644" priority="5" operator="lessThan">
      <formula>0.8</formula>
    </cfRule>
  </conditionalFormatting>
  <conditionalFormatting sqref="K32">
    <cfRule type="cellIs" dxfId="27643" priority="4" operator="lessThan">
      <formula>0.8</formula>
    </cfRule>
  </conditionalFormatting>
  <conditionalFormatting sqref="E32">
    <cfRule type="cellIs" dxfId="27642" priority="3" operator="lessThan">
      <formula>0.8</formula>
    </cfRule>
  </conditionalFormatting>
  <conditionalFormatting sqref="D15:P15">
    <cfRule type="cellIs" dxfId="27641" priority="2" operator="lessThan">
      <formula>0.8</formula>
    </cfRule>
  </conditionalFormatting>
  <conditionalFormatting sqref="Q15">
    <cfRule type="cellIs" dxfId="27640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31" zoomScale="85" zoomScaleNormal="85" workbookViewId="0">
      <selection activeCell="F40" sqref="F40"/>
    </sheetView>
  </sheetViews>
  <sheetFormatPr defaultColWidth="7.875" defaultRowHeight="15.75"/>
  <cols>
    <col min="1" max="1" width="13.625" style="371" customWidth="1"/>
    <col min="2" max="2" width="12.75" style="371" customWidth="1"/>
    <col min="3" max="3" width="12.75" style="457" hidden="1" customWidth="1"/>
    <col min="4" max="5" width="18.375" style="371" customWidth="1"/>
    <col min="6" max="6" width="9.75" style="455" customWidth="1"/>
    <col min="7" max="7" width="21.125" style="371" bestFit="1" customWidth="1"/>
    <col min="8" max="8" width="15.625" style="371" customWidth="1"/>
    <col min="9" max="9" width="12.25" style="371" bestFit="1" customWidth="1"/>
    <col min="10" max="15" width="9.75" style="371" customWidth="1"/>
    <col min="16" max="16" width="9.75" style="456" customWidth="1"/>
    <col min="17" max="18" width="9.75" style="371" customWidth="1"/>
    <col min="19" max="16384" width="7.875" style="371"/>
  </cols>
  <sheetData>
    <row r="1" spans="1:18" ht="26.25" customHeight="1">
      <c r="A1" s="362" t="s">
        <v>360</v>
      </c>
      <c r="B1" s="363"/>
      <c r="C1" s="364"/>
      <c r="D1" s="365" t="s">
        <v>82</v>
      </c>
      <c r="E1" s="366">
        <f>SUM(G5:G124)</f>
        <v>74500</v>
      </c>
      <c r="F1" s="367" t="s">
        <v>3</v>
      </c>
      <c r="G1" s="368">
        <f>SUM(H5:H124)</f>
        <v>1463489.69628791</v>
      </c>
      <c r="H1" s="369" t="s">
        <v>361</v>
      </c>
      <c r="I1" s="370">
        <f>+J16+J64+J24+J38+J51+J81+J100+J91+J57+J124+J111</f>
        <v>38.050000000000004</v>
      </c>
      <c r="J1" s="584" t="s">
        <v>362</v>
      </c>
      <c r="K1" s="585"/>
      <c r="L1" s="586"/>
      <c r="M1" s="584" t="s">
        <v>87</v>
      </c>
      <c r="N1" s="585"/>
      <c r="O1" s="585"/>
      <c r="P1" s="585"/>
      <c r="Q1" s="585"/>
      <c r="R1" s="586"/>
    </row>
    <row r="2" spans="1:18" ht="26.25" customHeight="1" thickBot="1">
      <c r="A2" s="590" t="s">
        <v>363</v>
      </c>
      <c r="B2" s="591"/>
      <c r="C2" s="372"/>
      <c r="D2" s="373" t="s">
        <v>41</v>
      </c>
      <c r="E2" s="374">
        <f>AVERAGE(L16,L24,L38,L51,L100,L111,L91)</f>
        <v>602.13637226619255</v>
      </c>
      <c r="F2" s="375" t="s">
        <v>94</v>
      </c>
      <c r="G2" s="376">
        <f>G1/E1</f>
        <v>19.644156997153154</v>
      </c>
      <c r="H2" s="377" t="s">
        <v>364</v>
      </c>
      <c r="I2" s="378">
        <f>COUNT(I5:I124)</f>
        <v>0</v>
      </c>
      <c r="J2" s="587"/>
      <c r="K2" s="588"/>
      <c r="L2" s="589"/>
      <c r="M2" s="587"/>
      <c r="N2" s="588"/>
      <c r="O2" s="588"/>
      <c r="P2" s="588"/>
      <c r="Q2" s="588"/>
      <c r="R2" s="589"/>
    </row>
    <row r="3" spans="1:18" ht="23.25" customHeight="1">
      <c r="A3" s="592" t="s">
        <v>96</v>
      </c>
      <c r="B3" s="594" t="s">
        <v>365</v>
      </c>
      <c r="C3" s="379"/>
      <c r="D3" s="595" t="s">
        <v>98</v>
      </c>
      <c r="E3" s="595"/>
      <c r="F3" s="596" t="s">
        <v>99</v>
      </c>
      <c r="G3" s="597" t="s">
        <v>366</v>
      </c>
      <c r="H3" s="598" t="s">
        <v>367</v>
      </c>
      <c r="I3" s="599" t="s">
        <v>102</v>
      </c>
      <c r="J3" s="567" t="s">
        <v>106</v>
      </c>
      <c r="K3" s="577" t="s">
        <v>105</v>
      </c>
      <c r="L3" s="579" t="s">
        <v>41</v>
      </c>
      <c r="M3" s="581" t="s">
        <v>109</v>
      </c>
      <c r="N3" s="581"/>
      <c r="O3" s="567" t="s">
        <v>301</v>
      </c>
      <c r="P3" s="582" t="s">
        <v>111</v>
      </c>
      <c r="Q3" s="567" t="s">
        <v>112</v>
      </c>
      <c r="R3" s="567"/>
    </row>
    <row r="4" spans="1:18" ht="15.75" customHeight="1">
      <c r="A4" s="593"/>
      <c r="B4" s="594"/>
      <c r="C4" s="379"/>
      <c r="D4" s="595"/>
      <c r="E4" s="595"/>
      <c r="F4" s="596"/>
      <c r="G4" s="597"/>
      <c r="H4" s="598"/>
      <c r="I4" s="600"/>
      <c r="J4" s="576"/>
      <c r="K4" s="578"/>
      <c r="L4" s="580"/>
      <c r="M4" s="381" t="s">
        <v>116</v>
      </c>
      <c r="N4" s="381" t="s">
        <v>117</v>
      </c>
      <c r="O4" s="576"/>
      <c r="P4" s="583"/>
      <c r="Q4" s="382" t="s">
        <v>118</v>
      </c>
      <c r="R4" s="382" t="s">
        <v>368</v>
      </c>
    </row>
    <row r="5" spans="1:18">
      <c r="A5" s="568" t="s">
        <v>369</v>
      </c>
      <c r="B5" s="383" t="s">
        <v>389</v>
      </c>
      <c r="C5" s="383"/>
      <c r="D5" s="384" t="s">
        <v>370</v>
      </c>
      <c r="E5" s="384"/>
      <c r="F5" s="385">
        <v>29.965493443754308</v>
      </c>
      <c r="G5" s="379">
        <v>1828</v>
      </c>
      <c r="H5" s="386">
        <f>F5*G5</f>
        <v>54776.922015182878</v>
      </c>
      <c r="I5" s="387"/>
      <c r="J5" s="388">
        <v>13</v>
      </c>
      <c r="K5" s="389">
        <f t="shared" ref="K5:K12" si="0">G5/P5*60</f>
        <v>1218.6666666666665</v>
      </c>
      <c r="L5" s="390">
        <f t="shared" ref="L5:L12" si="1">K5/J5</f>
        <v>93.743589743589737</v>
      </c>
      <c r="M5" s="391">
        <v>0.17361111111111113</v>
      </c>
      <c r="N5" s="391">
        <v>0.23611111111111113</v>
      </c>
      <c r="O5" s="382">
        <v>10</v>
      </c>
      <c r="P5" s="392">
        <f t="shared" ref="P5:P80" si="2">(N5-M5)*24*60</f>
        <v>90</v>
      </c>
      <c r="Q5" s="393"/>
      <c r="R5" s="393"/>
    </row>
    <row r="6" spans="1:18">
      <c r="A6" s="568"/>
      <c r="B6" s="383">
        <v>0</v>
      </c>
      <c r="C6" s="383"/>
      <c r="D6" s="384" t="s">
        <v>371</v>
      </c>
      <c r="E6" s="384"/>
      <c r="F6" s="385" t="s">
        <v>391</v>
      </c>
      <c r="G6" s="379">
        <v>1254</v>
      </c>
      <c r="H6" s="386">
        <f t="shared" ref="H6:H113" si="3">F6*G6</f>
        <v>0</v>
      </c>
      <c r="I6" s="387"/>
      <c r="J6" s="388">
        <v>9</v>
      </c>
      <c r="K6" s="389">
        <f t="shared" si="0"/>
        <v>1504.8000000000018</v>
      </c>
      <c r="L6" s="390">
        <f t="shared" si="1"/>
        <v>167.20000000000019</v>
      </c>
      <c r="M6" s="391">
        <v>0.23958333333333334</v>
      </c>
      <c r="N6" s="391">
        <v>0.27430555555555552</v>
      </c>
      <c r="O6" s="382">
        <v>5</v>
      </c>
      <c r="P6" s="392">
        <f t="shared" si="2"/>
        <v>49.999999999999943</v>
      </c>
      <c r="Q6" s="382"/>
      <c r="R6" s="382"/>
    </row>
    <row r="7" spans="1:18">
      <c r="A7" s="568"/>
      <c r="B7" s="383">
        <v>0</v>
      </c>
      <c r="C7" s="383"/>
      <c r="D7" s="384" t="s">
        <v>372</v>
      </c>
      <c r="E7" s="384"/>
      <c r="F7" s="385" t="s">
        <v>391</v>
      </c>
      <c r="G7" s="379">
        <v>1281</v>
      </c>
      <c r="H7" s="386">
        <f t="shared" si="3"/>
        <v>0</v>
      </c>
      <c r="I7" s="387"/>
      <c r="J7" s="388">
        <v>9</v>
      </c>
      <c r="K7" s="389">
        <f t="shared" si="0"/>
        <v>1537.2000000000005</v>
      </c>
      <c r="L7" s="390">
        <f t="shared" si="1"/>
        <v>170.80000000000007</v>
      </c>
      <c r="M7" s="391">
        <v>0.27777777777777779</v>
      </c>
      <c r="N7" s="391">
        <v>0.3125</v>
      </c>
      <c r="O7" s="382">
        <v>5</v>
      </c>
      <c r="P7" s="392">
        <f t="shared" si="2"/>
        <v>49.999999999999986</v>
      </c>
      <c r="Q7" s="393"/>
      <c r="R7" s="393"/>
    </row>
    <row r="8" spans="1:18">
      <c r="A8" s="568"/>
      <c r="B8" s="383" t="s">
        <v>392</v>
      </c>
      <c r="C8" s="383"/>
      <c r="D8" s="384" t="s">
        <v>373</v>
      </c>
      <c r="E8" s="384"/>
      <c r="F8" s="385">
        <v>19.7</v>
      </c>
      <c r="G8" s="379">
        <v>215</v>
      </c>
      <c r="H8" s="386">
        <f t="shared" si="3"/>
        <v>4235.5</v>
      </c>
      <c r="I8" s="387"/>
      <c r="J8" s="388">
        <v>12</v>
      </c>
      <c r="K8" s="389">
        <f t="shared" si="0"/>
        <v>1289.9999999999943</v>
      </c>
      <c r="L8" s="390">
        <f t="shared" si="1"/>
        <v>107.49999999999953</v>
      </c>
      <c r="M8" s="391">
        <v>0.31597222222222221</v>
      </c>
      <c r="N8" s="391">
        <v>0.32291666666666669</v>
      </c>
      <c r="O8" s="382">
        <v>5</v>
      </c>
      <c r="P8" s="392">
        <f t="shared" si="2"/>
        <v>10.000000000000044</v>
      </c>
      <c r="Q8" s="393"/>
      <c r="R8" s="393"/>
    </row>
    <row r="9" spans="1:18">
      <c r="A9" s="568"/>
      <c r="B9" s="383" t="s">
        <v>392</v>
      </c>
      <c r="C9" s="383"/>
      <c r="D9" s="384" t="s">
        <v>308</v>
      </c>
      <c r="E9" s="384"/>
      <c r="F9" s="385">
        <v>27.05</v>
      </c>
      <c r="G9" s="394">
        <v>890</v>
      </c>
      <c r="H9" s="386">
        <f t="shared" si="3"/>
        <v>24074.5</v>
      </c>
      <c r="I9" s="387"/>
      <c r="J9" s="388">
        <v>13</v>
      </c>
      <c r="K9" s="389">
        <f t="shared" si="0"/>
        <v>1525.7142857142876</v>
      </c>
      <c r="L9" s="390">
        <f t="shared" si="1"/>
        <v>117.36263736263751</v>
      </c>
      <c r="M9" s="391">
        <v>0.3263888888888889</v>
      </c>
      <c r="N9" s="391">
        <v>0.35069444444444442</v>
      </c>
      <c r="O9" s="382">
        <v>5</v>
      </c>
      <c r="P9" s="392">
        <f t="shared" si="2"/>
        <v>34.999999999999957</v>
      </c>
      <c r="Q9" s="393">
        <v>0.35069444444444442</v>
      </c>
      <c r="R9" s="393">
        <v>0.3923611111111111</v>
      </c>
    </row>
    <row r="10" spans="1:18">
      <c r="A10" s="568"/>
      <c r="B10" s="383" t="s">
        <v>392</v>
      </c>
      <c r="C10" s="383"/>
      <c r="D10" s="384" t="s">
        <v>309</v>
      </c>
      <c r="E10" s="384"/>
      <c r="F10" s="385">
        <v>36.450000000000003</v>
      </c>
      <c r="G10" s="394">
        <v>2585</v>
      </c>
      <c r="H10" s="386">
        <f t="shared" si="3"/>
        <v>94223.250000000015</v>
      </c>
      <c r="I10" s="387"/>
      <c r="J10" s="388">
        <v>13</v>
      </c>
      <c r="K10" s="389">
        <f t="shared" si="0"/>
        <v>1477.1428571428578</v>
      </c>
      <c r="L10" s="390">
        <f t="shared" si="1"/>
        <v>113.62637362637368</v>
      </c>
      <c r="M10" s="391">
        <v>0.3923611111111111</v>
      </c>
      <c r="N10" s="391">
        <v>0.46527777777777773</v>
      </c>
      <c r="O10" s="382">
        <v>5</v>
      </c>
      <c r="P10" s="392">
        <f t="shared" si="2"/>
        <v>104.99999999999994</v>
      </c>
      <c r="Q10" s="393"/>
      <c r="R10" s="393"/>
    </row>
    <row r="11" spans="1:18">
      <c r="A11" s="568"/>
      <c r="B11" s="383" t="s">
        <v>392</v>
      </c>
      <c r="C11" s="383"/>
      <c r="D11" s="384" t="s">
        <v>310</v>
      </c>
      <c r="E11" s="384"/>
      <c r="F11" s="385">
        <v>25.64</v>
      </c>
      <c r="G11" s="394">
        <v>694</v>
      </c>
      <c r="H11" s="386">
        <f t="shared" si="3"/>
        <v>17794.16</v>
      </c>
      <c r="I11" s="387"/>
      <c r="J11" s="388">
        <v>10</v>
      </c>
      <c r="K11" s="389">
        <f t="shared" si="0"/>
        <v>1388.0000000000014</v>
      </c>
      <c r="L11" s="390">
        <f t="shared" si="1"/>
        <v>138.80000000000013</v>
      </c>
      <c r="M11" s="391">
        <v>0.46875</v>
      </c>
      <c r="N11" s="391">
        <v>0.48958333333333331</v>
      </c>
      <c r="O11" s="382">
        <v>5</v>
      </c>
      <c r="P11" s="392">
        <f t="shared" si="2"/>
        <v>29.999999999999972</v>
      </c>
      <c r="Q11" s="393"/>
      <c r="R11" s="393"/>
    </row>
    <row r="12" spans="1:18">
      <c r="A12" s="569"/>
      <c r="B12" s="383" t="s">
        <v>392</v>
      </c>
      <c r="C12" s="383"/>
      <c r="D12" s="384" t="s">
        <v>311</v>
      </c>
      <c r="E12" s="384"/>
      <c r="F12" s="385">
        <v>29.52</v>
      </c>
      <c r="G12" s="394">
        <v>1254</v>
      </c>
      <c r="H12" s="386">
        <f t="shared" si="3"/>
        <v>37018.080000000002</v>
      </c>
      <c r="I12" s="387"/>
      <c r="J12" s="388">
        <v>12</v>
      </c>
      <c r="K12" s="389">
        <f t="shared" si="0"/>
        <v>1880.9999999999993</v>
      </c>
      <c r="L12" s="390">
        <f t="shared" si="1"/>
        <v>156.74999999999994</v>
      </c>
      <c r="M12" s="391">
        <v>0.49305555555555558</v>
      </c>
      <c r="N12" s="391">
        <v>0.52083333333333337</v>
      </c>
      <c r="O12" s="382">
        <v>5</v>
      </c>
      <c r="P12" s="392">
        <f t="shared" si="2"/>
        <v>40.000000000000014</v>
      </c>
      <c r="Q12" s="393"/>
      <c r="R12" s="393"/>
    </row>
    <row r="13" spans="1:18">
      <c r="A13" s="569"/>
      <c r="B13" s="383" t="s">
        <v>392</v>
      </c>
      <c r="C13" s="395"/>
      <c r="D13" s="384" t="s">
        <v>312</v>
      </c>
      <c r="E13" s="384"/>
      <c r="F13" s="385">
        <v>29.856999999999999</v>
      </c>
      <c r="G13" s="396">
        <v>1281</v>
      </c>
      <c r="H13" s="386">
        <f t="shared" si="3"/>
        <v>38246.817000000003</v>
      </c>
      <c r="I13" s="387"/>
      <c r="J13" s="388">
        <v>12</v>
      </c>
      <c r="K13" s="389">
        <f>G13/P13*60</f>
        <v>1921.4999999999995</v>
      </c>
      <c r="L13" s="390">
        <f>K13/J13</f>
        <v>160.12499999999997</v>
      </c>
      <c r="M13" s="391">
        <v>0.52430555555555558</v>
      </c>
      <c r="N13" s="391">
        <v>0.55208333333333337</v>
      </c>
      <c r="O13" s="382">
        <v>5</v>
      </c>
      <c r="P13" s="392">
        <f t="shared" si="2"/>
        <v>40.000000000000014</v>
      </c>
      <c r="Q13" s="393"/>
      <c r="R13" s="382"/>
    </row>
    <row r="14" spans="1:18">
      <c r="A14" s="569"/>
      <c r="B14" s="383" t="s">
        <v>389</v>
      </c>
      <c r="C14" s="383"/>
      <c r="D14" s="397" t="s">
        <v>313</v>
      </c>
      <c r="E14" s="398"/>
      <c r="F14" s="385">
        <v>28.57</v>
      </c>
      <c r="G14" s="394">
        <v>1490</v>
      </c>
      <c r="H14" s="386">
        <f t="shared" si="3"/>
        <v>42569.3</v>
      </c>
      <c r="I14" s="387"/>
      <c r="J14" s="388">
        <v>10</v>
      </c>
      <c r="K14" s="389">
        <f>G14/P14*60</f>
        <v>1490.0000000000014</v>
      </c>
      <c r="L14" s="390">
        <f>K14/J14</f>
        <v>149.00000000000014</v>
      </c>
      <c r="M14" s="391">
        <v>0.55555555555555558</v>
      </c>
      <c r="N14" s="391">
        <v>0.59722222222222221</v>
      </c>
      <c r="O14" s="382">
        <v>5</v>
      </c>
      <c r="P14" s="392">
        <f t="shared" si="2"/>
        <v>59.999999999999943</v>
      </c>
      <c r="Q14" s="382"/>
      <c r="R14" s="382"/>
    </row>
    <row r="15" spans="1:18">
      <c r="A15" s="569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70"/>
      <c r="B16" s="383">
        <v>0</v>
      </c>
      <c r="C16" s="400" t="s">
        <v>79</v>
      </c>
      <c r="D16" s="552" t="s">
        <v>75</v>
      </c>
      <c r="E16" s="552"/>
      <c r="F16" s="401"/>
      <c r="G16" s="402"/>
      <c r="H16" s="403"/>
      <c r="I16" s="404"/>
      <c r="J16" s="405">
        <f>AVERAGE(J5:J15)</f>
        <v>11.3</v>
      </c>
      <c r="K16" s="405">
        <f>AVERAGE(K5:K15)</f>
        <v>1523.4023809523812</v>
      </c>
      <c r="L16" s="406">
        <f>AVERAGE(L5:L15)</f>
        <v>137.49076007326011</v>
      </c>
      <c r="M16" s="391"/>
      <c r="N16" s="391"/>
      <c r="O16" s="389"/>
      <c r="P16" s="389"/>
      <c r="Q16" s="390"/>
      <c r="R16" s="390"/>
    </row>
    <row r="17" spans="1:18" ht="15.75" customHeight="1">
      <c r="A17" s="571" t="s">
        <v>314</v>
      </c>
      <c r="B17" s="383" t="s">
        <v>392</v>
      </c>
      <c r="C17" s="395"/>
      <c r="D17" s="574" t="s">
        <v>315</v>
      </c>
      <c r="E17" s="575"/>
      <c r="F17" s="385">
        <v>14.03</v>
      </c>
      <c r="G17" s="379">
        <v>555</v>
      </c>
      <c r="H17" s="407">
        <f t="shared" ref="H17:H23" si="4">F17*G17</f>
        <v>7786.65</v>
      </c>
      <c r="I17" s="408"/>
      <c r="J17" s="388">
        <v>6</v>
      </c>
      <c r="K17" s="389">
        <f>G17/P17*60</f>
        <v>1513.6363636363635</v>
      </c>
      <c r="L17" s="390">
        <f>K17/J17</f>
        <v>252.27272727272725</v>
      </c>
      <c r="M17" s="391">
        <v>0.18055555555555555</v>
      </c>
      <c r="N17" s="391">
        <v>0.19583333333333333</v>
      </c>
      <c r="O17" s="382">
        <v>20</v>
      </c>
      <c r="P17" s="392">
        <f>(N17-M17)*24*60</f>
        <v>22</v>
      </c>
      <c r="Q17" s="382"/>
      <c r="R17" s="382"/>
    </row>
    <row r="18" spans="1:18" ht="15.75" customHeight="1">
      <c r="A18" s="571"/>
      <c r="B18" s="383" t="s">
        <v>389</v>
      </c>
      <c r="C18" s="395"/>
      <c r="D18" s="562" t="s">
        <v>316</v>
      </c>
      <c r="E18" s="563"/>
      <c r="F18" s="385">
        <v>14.49</v>
      </c>
      <c r="G18" s="396">
        <v>810</v>
      </c>
      <c r="H18" s="386">
        <f t="shared" si="4"/>
        <v>11736.9</v>
      </c>
      <c r="I18" s="387"/>
      <c r="J18" s="388">
        <v>5</v>
      </c>
      <c r="K18" s="389">
        <f>G18/P18*60</f>
        <v>1472.7272727272743</v>
      </c>
      <c r="L18" s="390">
        <f>K18/J18</f>
        <v>294.54545454545485</v>
      </c>
      <c r="M18" s="391">
        <v>0.20972222222222223</v>
      </c>
      <c r="N18" s="391">
        <v>0.23263888888888887</v>
      </c>
      <c r="O18" s="382">
        <v>20</v>
      </c>
      <c r="P18" s="392">
        <f t="shared" ref="P18:P23" si="5">(N18-M18)*24*60</f>
        <v>32.999999999999964</v>
      </c>
      <c r="Q18" s="393"/>
      <c r="R18" s="393"/>
    </row>
    <row r="19" spans="1:18" ht="15.75" customHeight="1">
      <c r="A19" s="571"/>
      <c r="B19" s="383">
        <v>0</v>
      </c>
      <c r="C19" s="395"/>
      <c r="D19" s="562"/>
      <c r="E19" s="563"/>
      <c r="F19" s="385" t="s">
        <v>391</v>
      </c>
      <c r="G19" s="396"/>
      <c r="H19" s="386"/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72"/>
      <c r="B20" s="383">
        <v>0</v>
      </c>
      <c r="C20" s="395"/>
      <c r="D20" s="411"/>
      <c r="E20" s="398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72"/>
      <c r="B21" s="383">
        <v>0</v>
      </c>
      <c r="C21" s="395"/>
      <c r="D21" s="411"/>
      <c r="E21" s="398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72"/>
      <c r="B22" s="383">
        <v>0</v>
      </c>
      <c r="C22" s="395"/>
      <c r="D22" s="411"/>
      <c r="E22" s="398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72"/>
      <c r="B23" s="383">
        <v>0</v>
      </c>
      <c r="C23" s="395"/>
      <c r="D23" s="411"/>
      <c r="E23" s="398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45" customHeight="1">
      <c r="A24" s="573"/>
      <c r="B24" s="383">
        <v>0</v>
      </c>
      <c r="C24" s="12" t="s">
        <v>317</v>
      </c>
      <c r="D24" s="552" t="s">
        <v>75</v>
      </c>
      <c r="E24" s="552"/>
      <c r="F24" s="401"/>
      <c r="G24" s="412"/>
      <c r="H24" s="403"/>
      <c r="I24" s="404"/>
      <c r="J24" s="405">
        <f>AVERAGE(J17:J23)</f>
        <v>5.5</v>
      </c>
      <c r="K24" s="405">
        <f>AVERAGE(K17:K23)</f>
        <v>1493.1818181818189</v>
      </c>
      <c r="L24" s="406">
        <f>AVERAGE(L17:L23)</f>
        <v>273.40909090909105</v>
      </c>
      <c r="M24" s="391"/>
      <c r="N24" s="391"/>
      <c r="O24" s="382"/>
      <c r="P24" s="382"/>
      <c r="Q24" s="382"/>
      <c r="R24" s="382"/>
    </row>
    <row r="25" spans="1:18">
      <c r="A25" s="556" t="s">
        <v>318</v>
      </c>
      <c r="B25" s="383" t="s">
        <v>389</v>
      </c>
      <c r="C25" s="413"/>
      <c r="D25" s="414" t="s">
        <v>319</v>
      </c>
      <c r="E25" s="415"/>
      <c r="F25" s="385">
        <v>22.281818181818181</v>
      </c>
      <c r="G25" s="379">
        <v>646</v>
      </c>
      <c r="H25" s="386">
        <f t="shared" ref="H25:H37" si="6">F25*G25</f>
        <v>14394.054545454544</v>
      </c>
      <c r="I25" s="387"/>
      <c r="J25" s="388">
        <v>4</v>
      </c>
      <c r="K25" s="389">
        <f t="shared" ref="K25:K28" si="7">G25/P25*60</f>
        <v>2768.5714285714307</v>
      </c>
      <c r="L25" s="390">
        <f t="shared" ref="L25:L28" si="8">K25/J25</f>
        <v>692.14285714285768</v>
      </c>
      <c r="M25" s="391">
        <v>0.18055555555555555</v>
      </c>
      <c r="N25" s="391">
        <v>0.19027777777777777</v>
      </c>
      <c r="O25" s="382">
        <v>20</v>
      </c>
      <c r="P25" s="392">
        <f t="shared" ref="P25:P37" si="9">(N25-M25)*24*60</f>
        <v>13.999999999999989</v>
      </c>
      <c r="Q25" s="393"/>
      <c r="R25" s="393"/>
    </row>
    <row r="26" spans="1:18">
      <c r="A26" s="556"/>
      <c r="B26" s="383" t="s">
        <v>389</v>
      </c>
      <c r="C26" s="413"/>
      <c r="D26" s="416" t="s">
        <v>320</v>
      </c>
      <c r="E26" s="414"/>
      <c r="F26" s="385">
        <v>16.66</v>
      </c>
      <c r="G26" s="379">
        <v>2329</v>
      </c>
      <c r="H26" s="386">
        <f t="shared" si="6"/>
        <v>38801.14</v>
      </c>
      <c r="I26" s="387"/>
      <c r="J26" s="388">
        <v>4</v>
      </c>
      <c r="K26" s="389">
        <f t="shared" si="7"/>
        <v>2794.8000000000006</v>
      </c>
      <c r="L26" s="390">
        <f t="shared" si="8"/>
        <v>698.70000000000016</v>
      </c>
      <c r="M26" s="391">
        <v>0.20416666666666669</v>
      </c>
      <c r="N26" s="391">
        <v>0.2388888888888889</v>
      </c>
      <c r="O26" s="382">
        <v>20</v>
      </c>
      <c r="P26" s="392">
        <f t="shared" si="9"/>
        <v>49.999999999999986</v>
      </c>
      <c r="Q26" s="393"/>
      <c r="R26" s="393"/>
    </row>
    <row r="27" spans="1:18">
      <c r="A27" s="556"/>
      <c r="B27" s="383" t="s">
        <v>389</v>
      </c>
      <c r="C27" s="413"/>
      <c r="D27" s="411" t="s">
        <v>321</v>
      </c>
      <c r="E27" s="414"/>
      <c r="F27" s="385">
        <v>18.18</v>
      </c>
      <c r="G27" s="379">
        <v>2575</v>
      </c>
      <c r="H27" s="386">
        <f t="shared" si="6"/>
        <v>46813.5</v>
      </c>
      <c r="I27" s="387"/>
      <c r="J27" s="388">
        <v>4</v>
      </c>
      <c r="K27" s="389">
        <f t="shared" si="7"/>
        <v>2758.9285714285697</v>
      </c>
      <c r="L27" s="390">
        <f t="shared" si="8"/>
        <v>689.73214285714243</v>
      </c>
      <c r="M27" s="391">
        <v>0.25277777777777777</v>
      </c>
      <c r="N27" s="391">
        <v>0.29166666666666669</v>
      </c>
      <c r="O27" s="382">
        <v>20</v>
      </c>
      <c r="P27" s="392">
        <f t="shared" si="9"/>
        <v>56.000000000000043</v>
      </c>
      <c r="Q27" s="393">
        <v>0.29166666666666669</v>
      </c>
      <c r="R27" s="393">
        <v>0.33333333333333331</v>
      </c>
    </row>
    <row r="28" spans="1:18">
      <c r="A28" s="556"/>
      <c r="B28" s="383" t="s">
        <v>389</v>
      </c>
      <c r="C28" s="395"/>
      <c r="D28" s="416" t="s">
        <v>322</v>
      </c>
      <c r="E28" s="417"/>
      <c r="F28" s="385">
        <v>17.890909090909091</v>
      </c>
      <c r="G28" s="379">
        <v>1579</v>
      </c>
      <c r="H28" s="386">
        <f t="shared" si="6"/>
        <v>28249.745454545453</v>
      </c>
      <c r="I28" s="387"/>
      <c r="J28" s="388">
        <v>3</v>
      </c>
      <c r="K28" s="389">
        <f t="shared" si="7"/>
        <v>2706.8571428571404</v>
      </c>
      <c r="L28" s="390">
        <f t="shared" si="8"/>
        <v>902.28571428571342</v>
      </c>
      <c r="M28" s="391">
        <v>0.35069444444444442</v>
      </c>
      <c r="N28" s="391">
        <v>0.375</v>
      </c>
      <c r="O28" s="382">
        <v>20</v>
      </c>
      <c r="P28" s="392">
        <f t="shared" si="9"/>
        <v>35.000000000000036</v>
      </c>
      <c r="Q28" s="393"/>
      <c r="R28" s="393"/>
    </row>
    <row r="29" spans="1:18">
      <c r="A29" s="556"/>
      <c r="B29" s="383">
        <v>0</v>
      </c>
      <c r="C29" s="379"/>
      <c r="D29" s="416"/>
      <c r="E29" s="417"/>
      <c r="F29" s="385" t="s">
        <v>391</v>
      </c>
      <c r="G29" s="379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56"/>
      <c r="B30" s="383">
        <v>0</v>
      </c>
      <c r="C30" s="379"/>
      <c r="D30" s="418"/>
      <c r="E30" s="417"/>
      <c r="F30" s="385" t="s">
        <v>391</v>
      </c>
      <c r="G30" s="379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56"/>
      <c r="B31" s="383">
        <v>0</v>
      </c>
      <c r="C31" s="395"/>
      <c r="D31" s="414"/>
      <c r="E31" s="417"/>
      <c r="F31" s="385" t="s">
        <v>391</v>
      </c>
      <c r="G31" s="379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56"/>
      <c r="B32" s="383">
        <v>0</v>
      </c>
      <c r="C32" s="395"/>
      <c r="D32" s="416"/>
      <c r="E32" s="398"/>
      <c r="F32" s="385" t="s">
        <v>391</v>
      </c>
      <c r="G32" s="379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56"/>
      <c r="B33" s="383">
        <v>0</v>
      </c>
      <c r="C33" s="379"/>
      <c r="D33" s="416"/>
      <c r="E33" s="417"/>
      <c r="F33" s="385" t="s">
        <v>391</v>
      </c>
      <c r="G33" s="379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56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56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56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56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45" customHeight="1">
      <c r="A38" s="557"/>
      <c r="B38" s="383">
        <v>0</v>
      </c>
      <c r="C38" s="12" t="s">
        <v>67</v>
      </c>
      <c r="D38" s="547" t="s">
        <v>323</v>
      </c>
      <c r="E38" s="547"/>
      <c r="F38" s="401"/>
      <c r="G38" s="420"/>
      <c r="H38" s="403"/>
      <c r="I38" s="404"/>
      <c r="J38" s="405">
        <f>AVERAGE(J25:J37)</f>
        <v>3.75</v>
      </c>
      <c r="K38" s="405">
        <f>AVERAGE(K25:K37)</f>
        <v>2757.2892857142851</v>
      </c>
      <c r="L38" s="406">
        <f>AVERAGE(L25:L37)</f>
        <v>745.7151785714284</v>
      </c>
      <c r="M38" s="391"/>
      <c r="N38" s="391"/>
      <c r="O38" s="389"/>
      <c r="P38" s="389"/>
      <c r="Q38" s="390"/>
      <c r="R38" s="390"/>
    </row>
    <row r="39" spans="1:18" ht="16.149999999999999" customHeight="1">
      <c r="A39" s="558" t="s">
        <v>324</v>
      </c>
      <c r="B39" s="383" t="s">
        <v>389</v>
      </c>
      <c r="C39" s="395"/>
      <c r="D39" s="416" t="s">
        <v>325</v>
      </c>
      <c r="E39" s="398"/>
      <c r="F39" s="385">
        <v>21.45</v>
      </c>
      <c r="G39" s="379">
        <v>974</v>
      </c>
      <c r="H39" s="386">
        <f t="shared" ref="H39:H47" si="10">F39*G39</f>
        <v>20892.3</v>
      </c>
      <c r="I39" s="387"/>
      <c r="J39" s="388">
        <v>3</v>
      </c>
      <c r="K39" s="389">
        <f>G39/P39*60</f>
        <v>2782.8571428571418</v>
      </c>
      <c r="L39" s="390">
        <f>K39/J39</f>
        <v>927.61904761904725</v>
      </c>
      <c r="M39" s="391">
        <v>0.18055555555555555</v>
      </c>
      <c r="N39" s="391">
        <v>0.19513888888888889</v>
      </c>
      <c r="O39" s="382">
        <v>20</v>
      </c>
      <c r="P39" s="421">
        <f t="shared" ref="P39:P50" si="11">(N39-M39)*24*60</f>
        <v>21.000000000000007</v>
      </c>
      <c r="Q39" s="393"/>
      <c r="R39" s="393"/>
    </row>
    <row r="40" spans="1:18">
      <c r="A40" s="559"/>
      <c r="B40" s="383" t="s">
        <v>389</v>
      </c>
      <c r="C40" s="395"/>
      <c r="D40" s="411" t="s">
        <v>326</v>
      </c>
      <c r="E40" s="398"/>
      <c r="F40" s="385">
        <v>15.15</v>
      </c>
      <c r="G40" s="379">
        <v>1252</v>
      </c>
      <c r="H40" s="386">
        <f t="shared" si="10"/>
        <v>18967.8</v>
      </c>
      <c r="I40" s="387"/>
      <c r="J40" s="388">
        <v>4</v>
      </c>
      <c r="K40" s="389">
        <f>G40/P40*60</f>
        <v>2782.2222222222235</v>
      </c>
      <c r="L40" s="390">
        <f>K40/J40</f>
        <v>695.55555555555588</v>
      </c>
      <c r="M40" s="391">
        <v>0.20902777777777778</v>
      </c>
      <c r="N40" s="391">
        <v>0.22777777777777777</v>
      </c>
      <c r="O40" s="382">
        <v>20</v>
      </c>
      <c r="P40" s="421">
        <f t="shared" si="11"/>
        <v>26.999999999999986</v>
      </c>
      <c r="Q40" s="393">
        <v>0.22777777777777777</v>
      </c>
      <c r="R40" s="393">
        <v>0.26944444444444443</v>
      </c>
    </row>
    <row r="41" spans="1:18">
      <c r="A41" s="559"/>
      <c r="B41" s="383" t="s">
        <v>389</v>
      </c>
      <c r="C41" s="395"/>
      <c r="D41" s="416" t="s">
        <v>327</v>
      </c>
      <c r="E41" s="398"/>
      <c r="F41" s="385">
        <v>18.53</v>
      </c>
      <c r="G41" s="379">
        <v>2333</v>
      </c>
      <c r="H41" s="386">
        <f t="shared" si="10"/>
        <v>43230.490000000005</v>
      </c>
      <c r="I41" s="387"/>
      <c r="J41" s="388">
        <v>3</v>
      </c>
      <c r="K41" s="389">
        <f t="shared" ref="K41:K42" si="12">G41/P41*60</f>
        <v>2799.6000000000008</v>
      </c>
      <c r="L41" s="390">
        <f t="shared" ref="L41:L42" si="13">K41/J41</f>
        <v>933.20000000000027</v>
      </c>
      <c r="M41" s="391">
        <v>0.28333333333333333</v>
      </c>
      <c r="N41" s="391">
        <v>0.31805555555555554</v>
      </c>
      <c r="O41" s="382">
        <v>20</v>
      </c>
      <c r="P41" s="421">
        <f t="shared" si="11"/>
        <v>49.999999999999986</v>
      </c>
      <c r="Q41" s="393"/>
      <c r="R41" s="393"/>
    </row>
    <row r="42" spans="1:18">
      <c r="A42" s="559"/>
      <c r="B42" s="383" t="s">
        <v>389</v>
      </c>
      <c r="C42" s="395"/>
      <c r="D42" s="411" t="s">
        <v>328</v>
      </c>
      <c r="E42" s="398"/>
      <c r="F42" s="385">
        <v>27.27</v>
      </c>
      <c r="G42" s="379">
        <v>2679</v>
      </c>
      <c r="H42" s="386">
        <f t="shared" si="10"/>
        <v>73056.33</v>
      </c>
      <c r="I42" s="387"/>
      <c r="J42" s="388">
        <v>4</v>
      </c>
      <c r="K42" s="389">
        <f t="shared" si="12"/>
        <v>2771.3793103448261</v>
      </c>
      <c r="L42" s="390">
        <f t="shared" si="13"/>
        <v>692.84482758620652</v>
      </c>
      <c r="M42" s="391">
        <v>0.33194444444444443</v>
      </c>
      <c r="N42" s="391">
        <v>0.37222222222222223</v>
      </c>
      <c r="O42" s="382">
        <v>20</v>
      </c>
      <c r="P42" s="421">
        <f t="shared" si="11"/>
        <v>58.000000000000036</v>
      </c>
      <c r="Q42" s="393"/>
      <c r="R42" s="393"/>
    </row>
    <row r="43" spans="1:18" ht="15.75" customHeight="1">
      <c r="A43" s="559"/>
      <c r="B43" s="383">
        <v>0</v>
      </c>
      <c r="C43" s="395"/>
      <c r="D43" s="418"/>
      <c r="E43" s="398"/>
      <c r="F43" s="385" t="s">
        <v>391</v>
      </c>
      <c r="G43" s="379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59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59"/>
      <c r="B45" s="383">
        <v>0</v>
      </c>
      <c r="C45" s="395"/>
      <c r="D45" s="416"/>
      <c r="E45" s="417"/>
      <c r="F45" s="385" t="s">
        <v>391</v>
      </c>
      <c r="G45" s="379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59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59"/>
      <c r="B47" s="383">
        <v>0</v>
      </c>
      <c r="C47" s="395"/>
      <c r="D47" s="416"/>
      <c r="E47" s="417"/>
      <c r="F47" s="385" t="s">
        <v>391</v>
      </c>
      <c r="G47" s="379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60"/>
      <c r="B48" s="383">
        <v>0</v>
      </c>
      <c r="C48" s="379"/>
      <c r="D48" s="562"/>
      <c r="E48" s="563"/>
      <c r="F48" s="385" t="s">
        <v>391</v>
      </c>
      <c r="G48" s="379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60"/>
      <c r="B49" s="383">
        <v>0</v>
      </c>
      <c r="C49" s="379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60"/>
      <c r="B50" s="383">
        <v>0</v>
      </c>
      <c r="C50" s="379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61"/>
      <c r="B51" s="383">
        <v>0</v>
      </c>
      <c r="C51" s="12" t="s">
        <v>68</v>
      </c>
      <c r="D51" s="552" t="s">
        <v>75</v>
      </c>
      <c r="E51" s="552"/>
      <c r="F51" s="401"/>
      <c r="G51" s="406"/>
      <c r="H51" s="428"/>
      <c r="I51" s="429"/>
      <c r="J51" s="405">
        <f>AVERAGE(J39:J50)</f>
        <v>3.5</v>
      </c>
      <c r="K51" s="405">
        <f>AVERAGE(K39:K50)</f>
        <v>2784.014668856048</v>
      </c>
      <c r="L51" s="406">
        <f>AVERAGE(L39:L50)</f>
        <v>812.30485769020243</v>
      </c>
      <c r="M51" s="430"/>
      <c r="N51" s="391"/>
      <c r="O51" s="389"/>
      <c r="P51" s="389"/>
      <c r="Q51" s="390"/>
      <c r="R51" s="390"/>
    </row>
    <row r="52" spans="1:18" ht="15.6" customHeight="1">
      <c r="A52" s="564" t="s">
        <v>329</v>
      </c>
      <c r="B52" s="383">
        <v>0</v>
      </c>
      <c r="C52" s="395"/>
      <c r="D52" s="414"/>
      <c r="E52" s="431"/>
      <c r="F52" s="385" t="s">
        <v>391</v>
      </c>
      <c r="G52" s="379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6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65"/>
      <c r="B54" s="383">
        <v>0</v>
      </c>
      <c r="C54" s="395"/>
      <c r="D54" s="414"/>
      <c r="E54" s="398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6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6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6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6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6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6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6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6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6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66"/>
      <c r="B64" s="383">
        <v>0</v>
      </c>
      <c r="C64" s="12" t="s">
        <v>330</v>
      </c>
      <c r="D64" s="552" t="s">
        <v>75</v>
      </c>
      <c r="E64" s="552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49" t="s">
        <v>331</v>
      </c>
      <c r="B65" s="383" t="s">
        <v>389</v>
      </c>
      <c r="C65" s="395"/>
      <c r="D65" s="414" t="s">
        <v>332</v>
      </c>
      <c r="E65" s="431"/>
      <c r="F65" s="385">
        <v>25.03</v>
      </c>
      <c r="G65" s="379">
        <v>757</v>
      </c>
      <c r="H65" s="386">
        <f>F65*G65</f>
        <v>18947.71</v>
      </c>
      <c r="I65" s="387"/>
      <c r="J65" s="388">
        <v>4</v>
      </c>
      <c r="K65" s="389">
        <f t="shared" ref="K65:K71" si="16">G65/P65*60</f>
        <v>3244.2857142857165</v>
      </c>
      <c r="L65" s="390">
        <f t="shared" ref="L65:L71" si="17">K65/J65</f>
        <v>811.07142857142912</v>
      </c>
      <c r="M65" s="391">
        <v>0.18055555555555555</v>
      </c>
      <c r="N65" s="391">
        <v>0.19027777777777777</v>
      </c>
      <c r="O65" s="389">
        <v>20</v>
      </c>
      <c r="P65" s="392">
        <f>(N65-M65)*24*60</f>
        <v>13.999999999999989</v>
      </c>
      <c r="Q65" s="393"/>
      <c r="R65" s="393"/>
    </row>
    <row r="66" spans="1:18" ht="15.6" customHeight="1">
      <c r="A66" s="550"/>
      <c r="B66" s="383" t="s">
        <v>389</v>
      </c>
      <c r="C66" s="395"/>
      <c r="D66" s="414" t="s">
        <v>333</v>
      </c>
      <c r="E66" s="432"/>
      <c r="F66" s="385">
        <v>24.82</v>
      </c>
      <c r="G66" s="394">
        <v>985</v>
      </c>
      <c r="H66" s="386">
        <f t="shared" ref="H66:H74" si="18">F66*G66</f>
        <v>24447.7</v>
      </c>
      <c r="I66" s="387"/>
      <c r="J66" s="388">
        <v>4</v>
      </c>
      <c r="K66" s="389">
        <f t="shared" si="16"/>
        <v>3110.5263157894788</v>
      </c>
      <c r="L66" s="390">
        <f t="shared" si="17"/>
        <v>777.63157894736969</v>
      </c>
      <c r="M66" s="391">
        <v>0.20416666666666669</v>
      </c>
      <c r="N66" s="391">
        <v>0.21736111111111112</v>
      </c>
      <c r="O66" s="389">
        <v>20</v>
      </c>
      <c r="P66" s="392">
        <f t="shared" ref="P66:P74" si="19">(N66-M66)*24*60</f>
        <v>18.999999999999972</v>
      </c>
      <c r="Q66" s="393"/>
      <c r="R66" s="393"/>
    </row>
    <row r="67" spans="1:18" ht="15.6" customHeight="1">
      <c r="A67" s="550"/>
      <c r="B67" s="383" t="s">
        <v>389</v>
      </c>
      <c r="C67" s="395"/>
      <c r="D67" s="414" t="s">
        <v>334</v>
      </c>
      <c r="E67" s="417"/>
      <c r="F67" s="385">
        <v>30</v>
      </c>
      <c r="G67" s="394">
        <v>1485</v>
      </c>
      <c r="H67" s="386">
        <f t="shared" si="18"/>
        <v>44550</v>
      </c>
      <c r="I67" s="387"/>
      <c r="J67" s="388">
        <v>4</v>
      </c>
      <c r="K67" s="389">
        <f t="shared" si="16"/>
        <v>3182.1428571428546</v>
      </c>
      <c r="L67" s="390">
        <f t="shared" si="17"/>
        <v>795.53571428571365</v>
      </c>
      <c r="M67" s="391">
        <v>0.23124999999999998</v>
      </c>
      <c r="N67" s="391">
        <v>0.25069444444444444</v>
      </c>
      <c r="O67" s="389">
        <v>20</v>
      </c>
      <c r="P67" s="392">
        <f t="shared" si="19"/>
        <v>28.000000000000021</v>
      </c>
      <c r="Q67" s="393"/>
      <c r="R67" s="393"/>
    </row>
    <row r="68" spans="1:18" ht="15.6" customHeight="1">
      <c r="A68" s="550"/>
      <c r="B68" s="383" t="s">
        <v>389</v>
      </c>
      <c r="C68" s="395"/>
      <c r="D68" s="434" t="s">
        <v>335</v>
      </c>
      <c r="E68" s="417"/>
      <c r="F68" s="385">
        <v>14.03</v>
      </c>
      <c r="G68" s="394">
        <v>2533</v>
      </c>
      <c r="H68" s="386">
        <f t="shared" si="18"/>
        <v>35537.99</v>
      </c>
      <c r="I68" s="387"/>
      <c r="J68" s="388">
        <v>3</v>
      </c>
      <c r="K68" s="389">
        <f t="shared" si="16"/>
        <v>3166.2500000000009</v>
      </c>
      <c r="L68" s="390">
        <f t="shared" si="17"/>
        <v>1055.416666666667</v>
      </c>
      <c r="M68" s="391">
        <v>0.26458333333333334</v>
      </c>
      <c r="N68" s="391">
        <v>0.29791666666666666</v>
      </c>
      <c r="O68" s="389">
        <v>25</v>
      </c>
      <c r="P68" s="392">
        <f t="shared" si="19"/>
        <v>47.999999999999986</v>
      </c>
      <c r="Q68" s="393">
        <v>0.29791666666666666</v>
      </c>
      <c r="R68" s="393">
        <v>0.33958333333333335</v>
      </c>
    </row>
    <row r="69" spans="1:18" ht="15.6" customHeight="1">
      <c r="A69" s="550"/>
      <c r="B69" s="383" t="s">
        <v>389</v>
      </c>
      <c r="C69" s="395"/>
      <c r="D69" s="414" t="s">
        <v>336</v>
      </c>
      <c r="E69" s="417"/>
      <c r="F69" s="385">
        <v>18.18</v>
      </c>
      <c r="G69" s="394">
        <v>817</v>
      </c>
      <c r="H69" s="386">
        <f t="shared" si="18"/>
        <v>14853.06</v>
      </c>
      <c r="I69" s="387"/>
      <c r="J69" s="388">
        <v>3</v>
      </c>
      <c r="K69" s="389">
        <f t="shared" si="16"/>
        <v>3063.7499999999959</v>
      </c>
      <c r="L69" s="390">
        <f t="shared" si="17"/>
        <v>1021.2499999999986</v>
      </c>
      <c r="M69" s="391">
        <v>0.35347222222222219</v>
      </c>
      <c r="N69" s="391">
        <v>0.36458333333333331</v>
      </c>
      <c r="O69" s="389">
        <v>20</v>
      </c>
      <c r="P69" s="392">
        <f t="shared" si="19"/>
        <v>16.000000000000021</v>
      </c>
      <c r="Q69" s="393"/>
      <c r="R69" s="393"/>
    </row>
    <row r="70" spans="1:18" ht="15.75" customHeight="1">
      <c r="A70" s="550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1404</v>
      </c>
      <c r="H70" s="386">
        <f t="shared" si="18"/>
        <v>25524.720000000001</v>
      </c>
      <c r="I70" s="387"/>
      <c r="J70" s="388">
        <v>3</v>
      </c>
      <c r="K70" s="389">
        <f t="shared" si="16"/>
        <v>3120.0000000000109</v>
      </c>
      <c r="L70" s="390">
        <f t="shared" si="17"/>
        <v>1040.0000000000036</v>
      </c>
      <c r="M70" s="391">
        <v>0.37847222222222227</v>
      </c>
      <c r="N70" s="391">
        <v>0.3972222222222222</v>
      </c>
      <c r="O70" s="389">
        <v>20</v>
      </c>
      <c r="P70" s="392">
        <f t="shared" si="19"/>
        <v>26.999999999999904</v>
      </c>
      <c r="Q70" s="393"/>
      <c r="R70" s="393"/>
    </row>
    <row r="71" spans="1:18" ht="15.6" customHeight="1">
      <c r="A71" s="550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3574</v>
      </c>
      <c r="H71" s="386">
        <f t="shared" si="18"/>
        <v>51057.142857142848</v>
      </c>
      <c r="I71" s="387"/>
      <c r="J71" s="388">
        <v>3</v>
      </c>
      <c r="K71" s="389">
        <f t="shared" si="16"/>
        <v>3200.5970149253772</v>
      </c>
      <c r="L71" s="390">
        <f t="shared" si="17"/>
        <v>1066.8656716417925</v>
      </c>
      <c r="M71" s="391">
        <v>0.41111111111111115</v>
      </c>
      <c r="N71" s="391">
        <v>0.45763888888888887</v>
      </c>
      <c r="O71" s="389">
        <v>20</v>
      </c>
      <c r="P71" s="392">
        <f t="shared" si="19"/>
        <v>66.999999999999915</v>
      </c>
      <c r="Q71" s="393"/>
      <c r="R71" s="393"/>
    </row>
    <row r="72" spans="1:18" ht="15.6" customHeight="1">
      <c r="A72" s="550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50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50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51"/>
      <c r="B75" s="383">
        <v>0</v>
      </c>
      <c r="C75" s="12" t="s">
        <v>339</v>
      </c>
      <c r="D75" s="552" t="s">
        <v>75</v>
      </c>
      <c r="E75" s="552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3155.364557449062</v>
      </c>
      <c r="L75" s="406">
        <f>AVERAGE(L65:L74)</f>
        <v>938.25300858756771</v>
      </c>
      <c r="M75" s="391"/>
      <c r="N75" s="391"/>
      <c r="O75" s="382"/>
      <c r="P75" s="382"/>
      <c r="Q75" s="382"/>
      <c r="R75" s="382"/>
    </row>
    <row r="76" spans="1:18" ht="16.149999999999999" customHeight="1">
      <c r="A76" s="553" t="s">
        <v>340</v>
      </c>
      <c r="B76" s="383">
        <v>0</v>
      </c>
      <c r="C76" s="400"/>
      <c r="D76" s="554"/>
      <c r="E76" s="555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53"/>
      <c r="B77" s="383">
        <v>0</v>
      </c>
      <c r="C77" s="400"/>
      <c r="D77" s="554"/>
      <c r="E77" s="555"/>
      <c r="F77" s="385" t="s">
        <v>391</v>
      </c>
      <c r="G77" s="379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53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53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53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53"/>
      <c r="B81" s="383">
        <v>0</v>
      </c>
      <c r="C81" s="12" t="s">
        <v>71</v>
      </c>
      <c r="D81" s="547" t="s">
        <v>75</v>
      </c>
      <c r="E81" s="547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38" t="s">
        <v>341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4823</v>
      </c>
      <c r="H82" s="444">
        <f t="shared" ref="H82:H87" si="20">F82*G82</f>
        <v>80351.180000000008</v>
      </c>
      <c r="I82" s="387"/>
      <c r="J82" s="388">
        <v>4</v>
      </c>
      <c r="K82" s="389">
        <f t="shared" ref="K82:K86" si="21">G82/P82*60</f>
        <v>2756.0000000000014</v>
      </c>
      <c r="L82" s="390">
        <f t="shared" ref="L82:L86" si="22">K82/J82</f>
        <v>689.00000000000034</v>
      </c>
      <c r="M82" s="391">
        <v>0.72222222222222221</v>
      </c>
      <c r="N82" s="391">
        <v>0.79513888888888884</v>
      </c>
      <c r="O82" s="389">
        <v>20</v>
      </c>
      <c r="P82" s="392">
        <f>(N82-M82)*24*60</f>
        <v>104.99999999999994</v>
      </c>
      <c r="Q82" s="393"/>
      <c r="R82" s="393"/>
    </row>
    <row r="83" spans="1:18">
      <c r="A83" s="539"/>
      <c r="B83" s="383" t="s">
        <v>389</v>
      </c>
      <c r="C83" s="413"/>
      <c r="D83" s="414" t="s">
        <v>343</v>
      </c>
      <c r="E83" s="443"/>
      <c r="F83" s="385">
        <v>18.18</v>
      </c>
      <c r="G83" s="419">
        <v>411</v>
      </c>
      <c r="H83" s="444">
        <f t="shared" si="20"/>
        <v>7471.98</v>
      </c>
      <c r="I83" s="387"/>
      <c r="J83" s="388">
        <v>4</v>
      </c>
      <c r="K83" s="389">
        <f t="shared" si="21"/>
        <v>2466.0000000000086</v>
      </c>
      <c r="L83" s="390">
        <f t="shared" si="22"/>
        <v>616.50000000000216</v>
      </c>
      <c r="M83" s="391">
        <v>0.80902777777777779</v>
      </c>
      <c r="N83" s="391">
        <v>0.81597222222222221</v>
      </c>
      <c r="O83" s="389">
        <v>20</v>
      </c>
      <c r="P83" s="392">
        <f>(N83-M83)*24*60</f>
        <v>9.9999999999999645</v>
      </c>
      <c r="Q83" s="393"/>
      <c r="R83" s="393"/>
    </row>
    <row r="84" spans="1:18">
      <c r="A84" s="539"/>
      <c r="B84" s="383" t="s">
        <v>389</v>
      </c>
      <c r="C84" s="413"/>
      <c r="D84" s="433" t="s">
        <v>344</v>
      </c>
      <c r="E84" s="443"/>
      <c r="F84" s="385">
        <v>16.7</v>
      </c>
      <c r="G84" s="419">
        <v>1162</v>
      </c>
      <c r="H84" s="445">
        <f t="shared" si="20"/>
        <v>19405.399999999998</v>
      </c>
      <c r="I84" s="387"/>
      <c r="J84" s="388">
        <v>3</v>
      </c>
      <c r="K84" s="389">
        <f t="shared" si="21"/>
        <v>2323.9999999999959</v>
      </c>
      <c r="L84" s="390">
        <f t="shared" si="22"/>
        <v>774.66666666666526</v>
      </c>
      <c r="M84" s="391">
        <v>0.82986111111111116</v>
      </c>
      <c r="N84" s="391">
        <v>0.85069444444444453</v>
      </c>
      <c r="O84" s="389">
        <v>20</v>
      </c>
      <c r="P84" s="421">
        <f t="shared" ref="P84:P85" si="23">(N84-M84)*24*60</f>
        <v>30.000000000000053</v>
      </c>
      <c r="Q84" s="393">
        <v>0.85069444444444453</v>
      </c>
      <c r="R84" s="393">
        <v>0.89236111111111116</v>
      </c>
    </row>
    <row r="85" spans="1:18">
      <c r="A85" s="539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970</v>
      </c>
      <c r="H85" s="445">
        <f t="shared" si="20"/>
        <v>21613.363636363636</v>
      </c>
      <c r="I85" s="387"/>
      <c r="J85" s="388">
        <v>4</v>
      </c>
      <c r="K85" s="389">
        <f t="shared" si="21"/>
        <v>2910.00000000001</v>
      </c>
      <c r="L85" s="390">
        <f t="shared" si="22"/>
        <v>727.5000000000025</v>
      </c>
      <c r="M85" s="391">
        <v>0.90625</v>
      </c>
      <c r="N85" s="391">
        <v>0.92013888888888884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39"/>
      <c r="B86" s="383" t="s">
        <v>389</v>
      </c>
      <c r="C86" s="413"/>
      <c r="D86" s="414" t="s">
        <v>346</v>
      </c>
      <c r="E86" s="443"/>
      <c r="F86" s="385">
        <v>17.890909090909091</v>
      </c>
      <c r="G86" s="379">
        <v>3491</v>
      </c>
      <c r="H86" s="445">
        <f t="shared" si="20"/>
        <v>62457.163636363635</v>
      </c>
      <c r="I86" s="387"/>
      <c r="J86" s="388">
        <v>3</v>
      </c>
      <c r="K86" s="389">
        <f t="shared" si="21"/>
        <v>2792.7999999999979</v>
      </c>
      <c r="L86" s="390">
        <f t="shared" si="22"/>
        <v>930.9333333333326</v>
      </c>
      <c r="M86" s="391">
        <v>0.93402777777777779</v>
      </c>
      <c r="N86" s="446">
        <v>0.98611111111111116</v>
      </c>
      <c r="O86" s="382">
        <v>20</v>
      </c>
      <c r="P86" s="421">
        <f>(N86-M86)*24*60</f>
        <v>75.000000000000057</v>
      </c>
      <c r="Q86" s="382"/>
      <c r="R86" s="382"/>
    </row>
    <row r="87" spans="1:18">
      <c r="A87" s="539"/>
      <c r="B87" s="383"/>
      <c r="C87" s="413"/>
      <c r="D87" s="414"/>
      <c r="E87" s="443"/>
      <c r="F87" s="385" t="s">
        <v>391</v>
      </c>
      <c r="G87" s="379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39"/>
      <c r="B88" s="383">
        <v>0</v>
      </c>
      <c r="C88" s="413"/>
      <c r="D88" s="414"/>
      <c r="E88" s="443"/>
      <c r="F88" s="385" t="s">
        <v>391</v>
      </c>
      <c r="G88" s="379"/>
      <c r="H88" s="445"/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39"/>
      <c r="B89" s="383">
        <v>0</v>
      </c>
      <c r="C89" s="413"/>
      <c r="D89" s="414"/>
      <c r="E89" s="443"/>
      <c r="F89" s="385" t="s">
        <v>391</v>
      </c>
      <c r="G89" s="379"/>
      <c r="H89" s="445">
        <f t="shared" ref="H89:H90" si="24">F89*G89</f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5">(N89-M89)*24*60</f>
        <v>0</v>
      </c>
      <c r="Q89" s="382"/>
      <c r="R89" s="382"/>
    </row>
    <row r="90" spans="1:18">
      <c r="A90" s="539"/>
      <c r="B90" s="383">
        <v>0</v>
      </c>
      <c r="C90" s="413"/>
      <c r="D90" s="414"/>
      <c r="E90" s="443"/>
      <c r="F90" s="385" t="s">
        <v>391</v>
      </c>
      <c r="G90" s="379"/>
      <c r="H90" s="445">
        <f t="shared" si="24"/>
        <v>0</v>
      </c>
      <c r="I90" s="387"/>
      <c r="J90" s="388"/>
      <c r="K90" s="389"/>
      <c r="L90" s="390"/>
      <c r="M90" s="391"/>
      <c r="N90" s="446"/>
      <c r="O90" s="382"/>
      <c r="P90" s="421">
        <f t="shared" si="25"/>
        <v>0</v>
      </c>
      <c r="Q90" s="382"/>
      <c r="R90" s="382"/>
    </row>
    <row r="91" spans="1:18" ht="17.45" customHeight="1">
      <c r="A91" s="539"/>
      <c r="B91" s="383">
        <v>0</v>
      </c>
      <c r="C91" s="12" t="s">
        <v>318</v>
      </c>
      <c r="D91" s="540" t="s">
        <v>75</v>
      </c>
      <c r="E91" s="540"/>
      <c r="F91" s="401"/>
      <c r="G91" s="447"/>
      <c r="H91" s="448"/>
      <c r="I91" s="404"/>
      <c r="J91" s="405">
        <f>AVERAGE(J82:J90)</f>
        <v>3.6</v>
      </c>
      <c r="K91" s="405">
        <f>AVERAGE(K82:K90)</f>
        <v>2649.7600000000025</v>
      </c>
      <c r="L91" s="406">
        <f>AVERAGE(L82:L90)</f>
        <v>747.7200000000006</v>
      </c>
      <c r="M91" s="391"/>
      <c r="N91" s="391"/>
      <c r="O91" s="389"/>
      <c r="P91" s="389"/>
      <c r="Q91" s="390"/>
      <c r="R91" s="390"/>
    </row>
    <row r="92" spans="1:18" ht="16.149999999999999" customHeight="1">
      <c r="A92" s="541" t="s">
        <v>347</v>
      </c>
      <c r="B92" s="383" t="s">
        <v>389</v>
      </c>
      <c r="C92" s="400"/>
      <c r="D92" s="449" t="s">
        <v>348</v>
      </c>
      <c r="E92" s="443"/>
      <c r="F92" s="385">
        <v>24.54</v>
      </c>
      <c r="G92" s="379">
        <v>1763</v>
      </c>
      <c r="H92" s="386">
        <f t="shared" ref="H92:H97" si="26">F92*G92</f>
        <v>43264.02</v>
      </c>
      <c r="I92" s="387"/>
      <c r="J92" s="388">
        <v>3</v>
      </c>
      <c r="K92" s="389">
        <f>G92/P92*60</f>
        <v>2115.599999999994</v>
      </c>
      <c r="L92" s="390">
        <f t="shared" ref="L92:L93" si="27">K92/J92</f>
        <v>705.199999999998</v>
      </c>
      <c r="M92" s="391">
        <v>0.72222222222222221</v>
      </c>
      <c r="N92" s="391">
        <v>0.75694444444444453</v>
      </c>
      <c r="O92" s="382">
        <v>20</v>
      </c>
      <c r="P92" s="392">
        <f>(N92-M92)*24*60</f>
        <v>50.000000000000142</v>
      </c>
      <c r="Q92" s="393"/>
      <c r="R92" s="393"/>
    </row>
    <row r="93" spans="1:18">
      <c r="A93" s="542"/>
      <c r="B93" s="383" t="s">
        <v>389</v>
      </c>
      <c r="C93" s="400"/>
      <c r="D93" s="414" t="s">
        <v>349</v>
      </c>
      <c r="E93" s="443"/>
      <c r="F93" s="385">
        <v>22.48</v>
      </c>
      <c r="G93" s="379">
        <v>1267</v>
      </c>
      <c r="H93" s="386">
        <f t="shared" si="26"/>
        <v>28482.16</v>
      </c>
      <c r="I93" s="387"/>
      <c r="J93" s="388">
        <v>4</v>
      </c>
      <c r="K93" s="389">
        <f t="shared" ref="K93" si="28">G93/P93*60</f>
        <v>2172.0000000000077</v>
      </c>
      <c r="L93" s="390">
        <f t="shared" si="27"/>
        <v>543.00000000000193</v>
      </c>
      <c r="M93" s="391">
        <v>0.77083333333333337</v>
      </c>
      <c r="N93" s="391">
        <v>0.79513888888888884</v>
      </c>
      <c r="O93" s="382">
        <v>20</v>
      </c>
      <c r="P93" s="392">
        <f>(N93-M93)*24*60</f>
        <v>34.999999999999872</v>
      </c>
      <c r="Q93" s="393"/>
      <c r="R93" s="393"/>
    </row>
    <row r="94" spans="1:18">
      <c r="A94" s="542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6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43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6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43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6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43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6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43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43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43"/>
      <c r="B100" s="383">
        <v>0</v>
      </c>
      <c r="C100" s="12" t="s">
        <v>350</v>
      </c>
      <c r="D100" s="544" t="s">
        <v>75</v>
      </c>
      <c r="E100" s="545"/>
      <c r="F100" s="401"/>
      <c r="G100" s="402"/>
      <c r="H100" s="450"/>
      <c r="I100" s="404"/>
      <c r="J100" s="405">
        <f>AVERAGE(J92:J99)</f>
        <v>3.5</v>
      </c>
      <c r="K100" s="405">
        <f>AVERAGE(K92:K99)</f>
        <v>2143.8000000000011</v>
      </c>
      <c r="L100" s="406">
        <f>AVERAGE(L92:L99)</f>
        <v>624.09999999999991</v>
      </c>
      <c r="M100" s="391"/>
      <c r="N100" s="391"/>
      <c r="O100" s="389"/>
      <c r="P100" s="389"/>
      <c r="Q100" s="390"/>
      <c r="R100" s="390"/>
    </row>
    <row r="101" spans="1:18" ht="16.149999999999999" customHeight="1">
      <c r="A101" s="546" t="s">
        <v>351</v>
      </c>
      <c r="B101" s="383" t="s">
        <v>389</v>
      </c>
      <c r="C101" s="12"/>
      <c r="D101" s="437" t="s">
        <v>352</v>
      </c>
      <c r="E101" s="451"/>
      <c r="F101" s="385">
        <v>25.03</v>
      </c>
      <c r="G101" s="379">
        <v>1107</v>
      </c>
      <c r="H101" s="386">
        <f t="shared" ref="H101:H110" si="29">F101*G101</f>
        <v>27708.210000000003</v>
      </c>
      <c r="I101" s="387"/>
      <c r="J101" s="388">
        <v>4</v>
      </c>
      <c r="K101" s="389">
        <f>G101/P101*60</f>
        <v>2656.7999999999925</v>
      </c>
      <c r="L101" s="390">
        <f t="shared" ref="L101:L105" si="30">K101/J101</f>
        <v>664.19999999999811</v>
      </c>
      <c r="M101" s="391">
        <v>0.72222222222222221</v>
      </c>
      <c r="N101" s="391">
        <v>0.73958333333333337</v>
      </c>
      <c r="O101" s="382">
        <v>20</v>
      </c>
      <c r="P101" s="389">
        <f t="shared" ref="P101:P110" si="31">(N101-M101)*24*60</f>
        <v>25.000000000000071</v>
      </c>
      <c r="Q101" s="390"/>
      <c r="R101" s="393"/>
    </row>
    <row r="102" spans="1:18">
      <c r="A102" s="546"/>
      <c r="B102" s="383" t="s">
        <v>389</v>
      </c>
      <c r="C102" s="12"/>
      <c r="D102" s="414" t="s">
        <v>353</v>
      </c>
      <c r="E102" s="451"/>
      <c r="F102" s="385">
        <v>24.82</v>
      </c>
      <c r="G102" s="379">
        <v>1641</v>
      </c>
      <c r="H102" s="386">
        <f t="shared" si="29"/>
        <v>40729.620000000003</v>
      </c>
      <c r="I102" s="387"/>
      <c r="J102" s="388">
        <v>4</v>
      </c>
      <c r="K102" s="389">
        <f t="shared" ref="K102:K105" si="32">G102/P102*60</f>
        <v>2813.1428571428542</v>
      </c>
      <c r="L102" s="390">
        <f t="shared" si="30"/>
        <v>703.28571428571354</v>
      </c>
      <c r="M102" s="391">
        <v>0.75347222222222221</v>
      </c>
      <c r="N102" s="391">
        <v>0.77777777777777779</v>
      </c>
      <c r="O102" s="382">
        <v>20</v>
      </c>
      <c r="P102" s="389">
        <f t="shared" si="31"/>
        <v>35.000000000000036</v>
      </c>
      <c r="Q102" s="393"/>
      <c r="R102" s="393"/>
    </row>
    <row r="103" spans="1:18">
      <c r="A103" s="546"/>
      <c r="B103" s="383" t="s">
        <v>389</v>
      </c>
      <c r="C103" s="12"/>
      <c r="D103" s="433" t="s">
        <v>354</v>
      </c>
      <c r="E103" s="414"/>
      <c r="F103" s="385">
        <v>28.57</v>
      </c>
      <c r="G103" s="379">
        <v>2752</v>
      </c>
      <c r="H103" s="386">
        <f t="shared" si="29"/>
        <v>78624.639999999999</v>
      </c>
      <c r="I103" s="387"/>
      <c r="J103" s="388">
        <v>3</v>
      </c>
      <c r="K103" s="389">
        <f t="shared" si="32"/>
        <v>3002.1818181818112</v>
      </c>
      <c r="L103" s="390">
        <f t="shared" si="30"/>
        <v>1000.7272727272704</v>
      </c>
      <c r="M103" s="391">
        <v>0.79166666666666663</v>
      </c>
      <c r="N103" s="391">
        <v>0.82986111111111116</v>
      </c>
      <c r="O103" s="382">
        <v>20</v>
      </c>
      <c r="P103" s="389">
        <f t="shared" si="31"/>
        <v>55.000000000000128</v>
      </c>
      <c r="Q103" s="393"/>
      <c r="R103" s="393"/>
    </row>
    <row r="104" spans="1:18">
      <c r="A104" s="546"/>
      <c r="B104" s="383" t="s">
        <v>389</v>
      </c>
      <c r="C104" s="12"/>
      <c r="D104" s="414" t="s">
        <v>355</v>
      </c>
      <c r="E104" s="437"/>
      <c r="F104" s="385">
        <v>14.03</v>
      </c>
      <c r="G104" s="379">
        <v>5526</v>
      </c>
      <c r="H104" s="386">
        <f t="shared" si="29"/>
        <v>77529.78</v>
      </c>
      <c r="I104" s="387"/>
      <c r="J104" s="388">
        <v>3</v>
      </c>
      <c r="K104" s="389">
        <f t="shared" si="32"/>
        <v>3014.1818181818203</v>
      </c>
      <c r="L104" s="390">
        <f t="shared" si="30"/>
        <v>1004.7272727272734</v>
      </c>
      <c r="M104" s="391">
        <v>0.84375</v>
      </c>
      <c r="N104" s="391">
        <v>0.92013888888888884</v>
      </c>
      <c r="O104" s="382">
        <v>20</v>
      </c>
      <c r="P104" s="389">
        <f>(N104-M104)*24*60</f>
        <v>109.99999999999993</v>
      </c>
      <c r="Q104" s="393">
        <v>0.92013888888888884</v>
      </c>
      <c r="R104" s="393">
        <v>0.96180555555555547</v>
      </c>
    </row>
    <row r="105" spans="1:18">
      <c r="A105" s="546"/>
      <c r="B105" s="383" t="s">
        <v>389</v>
      </c>
      <c r="C105" s="12"/>
      <c r="D105" s="414" t="s">
        <v>356</v>
      </c>
      <c r="E105" s="433"/>
      <c r="F105" s="385">
        <v>14.285714285714283</v>
      </c>
      <c r="G105" s="379">
        <v>7486</v>
      </c>
      <c r="H105" s="386">
        <f t="shared" si="29"/>
        <v>106942.85714285712</v>
      </c>
      <c r="I105" s="387"/>
      <c r="J105" s="388">
        <v>3</v>
      </c>
      <c r="K105" s="389">
        <f t="shared" si="32"/>
        <v>2994.4000000697188</v>
      </c>
      <c r="L105" s="390">
        <f t="shared" si="30"/>
        <v>998.13333335657296</v>
      </c>
      <c r="M105" s="391">
        <v>46057.975694444445</v>
      </c>
      <c r="N105" s="446">
        <v>46058.079861111109</v>
      </c>
      <c r="O105" s="382">
        <v>20</v>
      </c>
      <c r="P105" s="389">
        <f>(N105-M105)*24*60</f>
        <v>149.99999999650754</v>
      </c>
      <c r="Q105" s="390"/>
      <c r="R105" s="393"/>
    </row>
    <row r="106" spans="1:18">
      <c r="A106" s="546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9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1"/>
        <v>0</v>
      </c>
      <c r="Q106" s="390"/>
      <c r="R106" s="393"/>
    </row>
    <row r="107" spans="1:18">
      <c r="A107" s="546"/>
      <c r="B107" s="383">
        <v>0</v>
      </c>
      <c r="C107" s="12"/>
      <c r="D107" s="414"/>
      <c r="E107" s="433"/>
      <c r="F107" s="385" t="s">
        <v>391</v>
      </c>
      <c r="G107" s="379"/>
      <c r="H107" s="386">
        <f t="shared" si="29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1"/>
        <v>0</v>
      </c>
      <c r="Q107" s="390"/>
      <c r="R107" s="393"/>
    </row>
    <row r="108" spans="1:18">
      <c r="A108" s="546"/>
      <c r="B108" s="383">
        <v>0</v>
      </c>
      <c r="C108" s="12"/>
      <c r="D108" s="414"/>
      <c r="E108" s="433"/>
      <c r="F108" s="385" t="s">
        <v>391</v>
      </c>
      <c r="G108" s="379"/>
      <c r="H108" s="386">
        <f t="shared" si="29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1"/>
        <v>0</v>
      </c>
      <c r="Q108" s="390"/>
      <c r="R108" s="393"/>
    </row>
    <row r="109" spans="1:18">
      <c r="A109" s="546"/>
      <c r="B109" s="383">
        <v>0</v>
      </c>
      <c r="C109" s="400"/>
      <c r="D109" s="414"/>
      <c r="E109" s="433"/>
      <c r="F109" s="385" t="s">
        <v>391</v>
      </c>
      <c r="G109" s="379"/>
      <c r="H109" s="386">
        <f t="shared" si="29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1"/>
        <v>0</v>
      </c>
      <c r="Q109" s="390"/>
      <c r="R109" s="393"/>
    </row>
    <row r="110" spans="1:18">
      <c r="A110" s="546"/>
      <c r="B110" s="383">
        <v>0</v>
      </c>
      <c r="C110" s="400"/>
      <c r="D110" s="414"/>
      <c r="E110" s="433"/>
      <c r="F110" s="385" t="s">
        <v>391</v>
      </c>
      <c r="G110" s="379"/>
      <c r="H110" s="386">
        <f t="shared" si="29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1"/>
        <v>0</v>
      </c>
      <c r="Q110" s="390"/>
      <c r="R110" s="393"/>
    </row>
    <row r="111" spans="1:18" ht="15.75" customHeight="1">
      <c r="A111" s="546"/>
      <c r="B111" s="383">
        <v>0</v>
      </c>
      <c r="C111" s="12" t="s">
        <v>330</v>
      </c>
      <c r="D111" s="547" t="s">
        <v>75</v>
      </c>
      <c r="E111" s="548"/>
      <c r="F111" s="452"/>
      <c r="G111" s="453"/>
      <c r="H111" s="403"/>
      <c r="I111" s="404"/>
      <c r="J111" s="405">
        <f>AVERAGE(J101:J110)</f>
        <v>3.4</v>
      </c>
      <c r="K111" s="405">
        <f>AVERAGE(K101:K110)</f>
        <v>2896.1412987152389</v>
      </c>
      <c r="L111" s="406">
        <f>AVERAGE(L101:L110)</f>
        <v>874.21471861936573</v>
      </c>
      <c r="M111" s="391"/>
      <c r="N111" s="391"/>
      <c r="O111" s="389"/>
      <c r="P111" s="389"/>
      <c r="Q111" s="390"/>
      <c r="R111" s="382"/>
    </row>
    <row r="112" spans="1:18" ht="16.149999999999999" customHeight="1">
      <c r="A112" s="536" t="s">
        <v>357</v>
      </c>
      <c r="B112" s="383" t="s">
        <v>389</v>
      </c>
      <c r="C112" s="12"/>
      <c r="D112" s="441" t="s">
        <v>358</v>
      </c>
      <c r="E112" s="454"/>
      <c r="F112" s="385">
        <v>18.18</v>
      </c>
      <c r="G112" s="379">
        <v>953</v>
      </c>
      <c r="H112" s="444">
        <f t="shared" si="3"/>
        <v>17325.54</v>
      </c>
      <c r="I112" s="387"/>
      <c r="J112" s="388">
        <v>4</v>
      </c>
      <c r="K112" s="389">
        <f t="shared" ref="K112:K113" si="33">G112/P112*60</f>
        <v>2858.9999999999873</v>
      </c>
      <c r="L112" s="390">
        <f t="shared" ref="L112:L113" si="34">K112/J112</f>
        <v>714.74999999999682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5">(N112-M112)*24*60</f>
        <v>20.000000000000089</v>
      </c>
      <c r="Q112" s="382"/>
      <c r="R112" s="382"/>
    </row>
    <row r="113" spans="1:18">
      <c r="A113" s="536"/>
      <c r="B113" s="383" t="s">
        <v>389</v>
      </c>
      <c r="C113" s="413"/>
      <c r="D113" s="441" t="s">
        <v>359</v>
      </c>
      <c r="E113" s="441"/>
      <c r="F113" s="385">
        <v>18.18</v>
      </c>
      <c r="G113" s="379">
        <v>1089</v>
      </c>
      <c r="H113" s="444">
        <f t="shared" si="3"/>
        <v>19798.02</v>
      </c>
      <c r="I113" s="387"/>
      <c r="J113" s="388">
        <v>3</v>
      </c>
      <c r="K113" s="389">
        <f t="shared" si="33"/>
        <v>2613.5999999999926</v>
      </c>
      <c r="L113" s="390">
        <f t="shared" si="34"/>
        <v>871.19999999999754</v>
      </c>
      <c r="M113" s="391">
        <v>0.75</v>
      </c>
      <c r="N113" s="391">
        <v>0.76736111111111116</v>
      </c>
      <c r="O113" s="382">
        <v>20</v>
      </c>
      <c r="P113" s="392">
        <f t="shared" si="35"/>
        <v>25.000000000000071</v>
      </c>
      <c r="Q113" s="393"/>
      <c r="R113" s="393"/>
    </row>
    <row r="114" spans="1:18">
      <c r="A114" s="536"/>
      <c r="B114" s="383">
        <v>0</v>
      </c>
      <c r="C114" s="413"/>
      <c r="D114" s="437"/>
      <c r="E114" s="414"/>
      <c r="F114" s="385" t="s">
        <v>391</v>
      </c>
      <c r="G114" s="379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5"/>
        <v>0</v>
      </c>
      <c r="Q114" s="393"/>
      <c r="R114" s="393"/>
    </row>
    <row r="115" spans="1:18">
      <c r="A115" s="536"/>
      <c r="B115" s="383">
        <v>0</v>
      </c>
      <c r="C115" s="413"/>
      <c r="D115" s="414"/>
      <c r="E115" s="437"/>
      <c r="F115" s="385" t="s">
        <v>391</v>
      </c>
      <c r="G115" s="379"/>
      <c r="H115" s="444">
        <f t="shared" ref="H115:H123" si="36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5"/>
        <v>0</v>
      </c>
      <c r="Q115" s="393"/>
      <c r="R115" s="393"/>
    </row>
    <row r="116" spans="1:18">
      <c r="A116" s="536"/>
      <c r="B116" s="383">
        <v>0</v>
      </c>
      <c r="C116" s="413"/>
      <c r="D116" s="414"/>
      <c r="E116" s="433"/>
      <c r="F116" s="385" t="s">
        <v>391</v>
      </c>
      <c r="G116" s="379"/>
      <c r="H116" s="444">
        <f t="shared" si="36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5"/>
        <v>0</v>
      </c>
      <c r="Q116" s="393"/>
      <c r="R116" s="393"/>
    </row>
    <row r="117" spans="1:18">
      <c r="A117" s="536"/>
      <c r="B117" s="383">
        <v>0</v>
      </c>
      <c r="C117" s="413"/>
      <c r="D117" s="433"/>
      <c r="E117" s="432"/>
      <c r="F117" s="385" t="s">
        <v>391</v>
      </c>
      <c r="G117" s="379"/>
      <c r="H117" s="444">
        <f t="shared" si="36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5"/>
        <v>0</v>
      </c>
      <c r="Q117" s="393"/>
      <c r="R117" s="393"/>
    </row>
    <row r="118" spans="1:18">
      <c r="A118" s="536"/>
      <c r="B118" s="383">
        <v>0</v>
      </c>
      <c r="C118" s="413"/>
      <c r="D118" s="433"/>
      <c r="E118" s="432"/>
      <c r="F118" s="385" t="s">
        <v>391</v>
      </c>
      <c r="G118" s="379"/>
      <c r="H118" s="444">
        <f t="shared" si="36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5"/>
        <v>0</v>
      </c>
      <c r="Q118" s="393"/>
      <c r="R118" s="393"/>
    </row>
    <row r="119" spans="1:18">
      <c r="A119" s="536"/>
      <c r="B119" s="383">
        <v>0</v>
      </c>
      <c r="C119" s="413"/>
      <c r="D119" s="433"/>
      <c r="E119" s="432"/>
      <c r="F119" s="385" t="s">
        <v>391</v>
      </c>
      <c r="G119" s="379"/>
      <c r="H119" s="444">
        <f t="shared" si="36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5"/>
        <v>0</v>
      </c>
      <c r="Q119" s="393"/>
      <c r="R119" s="393"/>
    </row>
    <row r="120" spans="1:18">
      <c r="A120" s="536"/>
      <c r="B120" s="383">
        <v>0</v>
      </c>
      <c r="C120" s="413"/>
      <c r="D120" s="433"/>
      <c r="E120" s="432"/>
      <c r="F120" s="385" t="s">
        <v>391</v>
      </c>
      <c r="G120" s="379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36"/>
      <c r="B121" s="383">
        <v>0</v>
      </c>
      <c r="C121" s="413"/>
      <c r="D121" s="433"/>
      <c r="E121" s="432"/>
      <c r="F121" s="385" t="s">
        <v>391</v>
      </c>
      <c r="G121" s="379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36"/>
      <c r="B122" s="383">
        <v>0</v>
      </c>
      <c r="C122" s="413"/>
      <c r="D122" s="433"/>
      <c r="E122" s="432"/>
      <c r="F122" s="385" t="s">
        <v>391</v>
      </c>
      <c r="G122" s="379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5"/>
        <v>0</v>
      </c>
      <c r="Q122" s="393"/>
      <c r="R122" s="393"/>
    </row>
    <row r="123" spans="1:18">
      <c r="A123" s="536"/>
      <c r="B123" s="383">
        <v>0</v>
      </c>
      <c r="C123" s="413"/>
      <c r="D123" s="433"/>
      <c r="E123" s="432"/>
      <c r="F123" s="385" t="s">
        <v>391</v>
      </c>
      <c r="G123" s="379"/>
      <c r="H123" s="444">
        <f t="shared" si="36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5"/>
        <v>0</v>
      </c>
      <c r="Q123" s="393"/>
      <c r="R123" s="393"/>
    </row>
    <row r="124" spans="1:18" ht="17.45" customHeight="1">
      <c r="A124" s="536"/>
      <c r="B124" s="400">
        <v>0</v>
      </c>
      <c r="C124" s="12" t="s">
        <v>339</v>
      </c>
      <c r="D124" s="537" t="s">
        <v>75</v>
      </c>
      <c r="E124" s="537"/>
      <c r="F124" s="401"/>
      <c r="G124" s="447"/>
      <c r="H124" s="448"/>
      <c r="I124" s="404"/>
      <c r="J124" s="405">
        <f>AVERAGE(J112:J123)</f>
        <v>3.5</v>
      </c>
      <c r="K124" s="405">
        <f>AVERAGE(K112:K123)</f>
        <v>2736.2999999999902</v>
      </c>
      <c r="L124" s="406">
        <f>AVERAGE(L112:L123)</f>
        <v>792.97499999999718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4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L8" sqref="L8"/>
      <selection pane="bottomLeft" activeCell="F21" sqref="F21"/>
    </sheetView>
  </sheetViews>
  <sheetFormatPr defaultColWidth="7.875" defaultRowHeight="15.75"/>
  <cols>
    <col min="1" max="1" width="14.25" style="71" customWidth="1"/>
    <col min="2" max="2" width="12.75" style="71" customWidth="1"/>
    <col min="3" max="3" width="12.75" style="71" hidden="1" customWidth="1"/>
    <col min="4" max="4" width="14.25" style="71" customWidth="1"/>
    <col min="5" max="5" width="16.5" style="71" customWidth="1"/>
    <col min="6" max="6" width="8.875" style="71" customWidth="1"/>
    <col min="7" max="7" width="20.25" style="71" bestFit="1" customWidth="1"/>
    <col min="8" max="8" width="16.375" style="71" customWidth="1"/>
    <col min="9" max="9" width="6.375" style="71" customWidth="1"/>
    <col min="10" max="10" width="10.125" style="71" customWidth="1"/>
    <col min="11" max="11" width="10.625" style="71" customWidth="1"/>
    <col min="12" max="12" width="14.5" style="71" customWidth="1"/>
    <col min="13" max="13" width="10.125" style="71" customWidth="1"/>
    <col min="14" max="14" width="9.25" style="71" customWidth="1"/>
    <col min="15" max="15" width="11.875" style="71" customWidth="1"/>
    <col min="16" max="16" width="6" style="71" customWidth="1"/>
    <col min="17" max="18" width="9.25" style="71" customWidth="1"/>
    <col min="19" max="19" width="8.625" style="71" customWidth="1"/>
    <col min="20" max="21" width="7.625" style="71" bestFit="1" customWidth="1"/>
    <col min="22" max="22" width="10.625" style="71" customWidth="1"/>
    <col min="23" max="23" width="8.625" style="360" customWidth="1"/>
    <col min="24" max="25" width="7.125" style="71" customWidth="1"/>
    <col min="26" max="27" width="9.5" style="71" customWidth="1"/>
    <col min="28" max="28" width="12.625" style="71" customWidth="1"/>
    <col min="29" max="29" width="12.5" style="71" customWidth="1"/>
    <col min="30" max="31" width="9.5" style="71" customWidth="1"/>
    <col min="32" max="32" width="13.125" style="71" customWidth="1"/>
    <col min="33" max="33" width="10.375" style="71" customWidth="1"/>
    <col min="34" max="34" width="9.25" style="71" customWidth="1"/>
    <col min="35" max="35" width="7.875" style="71" customWidth="1"/>
    <col min="36" max="36" width="24.5" style="71" bestFit="1" customWidth="1"/>
    <col min="37" max="16384" width="7.875" style="71"/>
  </cols>
  <sheetData>
    <row r="1" spans="1:34" ht="26.25" customHeight="1">
      <c r="A1" s="62" t="s">
        <v>226</v>
      </c>
      <c r="B1" s="62"/>
      <c r="C1" s="62"/>
      <c r="D1" s="63" t="s">
        <v>227</v>
      </c>
      <c r="E1" s="64">
        <f>SUM(G5:G173)</f>
        <v>136874.00000000003</v>
      </c>
      <c r="F1" s="65" t="s">
        <v>3</v>
      </c>
      <c r="G1" s="66">
        <f>SUM(H5:H173)</f>
        <v>5438815.1444272213</v>
      </c>
      <c r="H1" s="67" t="s">
        <v>83</v>
      </c>
      <c r="I1" s="68">
        <f>M17+M30+M43+M56+M69+M82+M95+M108+M121+M134+M147+M160+M173</f>
        <v>186.60595238095237</v>
      </c>
      <c r="J1" s="668" t="s">
        <v>84</v>
      </c>
      <c r="K1" s="668"/>
      <c r="L1" s="668"/>
      <c r="M1" s="668" t="s">
        <v>85</v>
      </c>
      <c r="N1" s="668"/>
      <c r="O1" s="668"/>
      <c r="P1" s="668" t="s">
        <v>228</v>
      </c>
      <c r="Q1" s="668"/>
      <c r="R1" s="668"/>
      <c r="S1" s="668"/>
      <c r="T1" s="668" t="s">
        <v>229</v>
      </c>
      <c r="U1" s="668"/>
      <c r="V1" s="668"/>
      <c r="W1" s="668"/>
      <c r="X1" s="668"/>
      <c r="Y1" s="668"/>
      <c r="Z1" s="69" t="s">
        <v>230</v>
      </c>
      <c r="AA1" s="69" t="s">
        <v>231</v>
      </c>
      <c r="AB1" s="669" t="s">
        <v>232</v>
      </c>
      <c r="AC1" s="670"/>
      <c r="AD1" s="69" t="s">
        <v>230</v>
      </c>
      <c r="AE1" s="69" t="s">
        <v>233</v>
      </c>
      <c r="AF1" s="668" t="s">
        <v>234</v>
      </c>
      <c r="AG1" s="673"/>
      <c r="AH1" s="673"/>
    </row>
    <row r="2" spans="1:34" ht="26.25" customHeight="1">
      <c r="A2" s="667" t="s">
        <v>235</v>
      </c>
      <c r="B2" s="667"/>
      <c r="C2" s="63"/>
      <c r="D2" s="63" t="s">
        <v>236</v>
      </c>
      <c r="E2" s="73">
        <f>AVERAGE(O17,O30,O43,O56,O69,O82,O95,O108,O121,O134,O147,O160,O173)</f>
        <v>128.22652146690547</v>
      </c>
      <c r="F2" s="74" t="s">
        <v>94</v>
      </c>
      <c r="G2" s="75">
        <f>G1/E1</f>
        <v>39.735926066508028</v>
      </c>
      <c r="H2" s="67" t="s">
        <v>95</v>
      </c>
      <c r="I2" s="67">
        <f>COUNT(I5:I173)</f>
        <v>4</v>
      </c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8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71"/>
      <c r="AC2" s="672"/>
      <c r="AD2" s="77">
        <f>AD17+AD30+AD43+AD56+AD69+AD82+AD95+AD108+AD121+AD134+AD147+AD160+AD173</f>
        <v>3</v>
      </c>
      <c r="AE2" s="77">
        <f>AE17+AE30+AE43+AE56+AE69+AE82+AE95+AE108+AE121+AE134+AE147+AE160+AE173</f>
        <v>2</v>
      </c>
      <c r="AF2" s="673"/>
      <c r="AG2" s="673"/>
      <c r="AH2" s="673"/>
    </row>
    <row r="3" spans="1:34" ht="30.6" customHeight="1">
      <c r="A3" s="601" t="s">
        <v>237</v>
      </c>
      <c r="B3" s="601" t="s">
        <v>97</v>
      </c>
      <c r="C3" s="665"/>
      <c r="D3" s="601" t="s">
        <v>238</v>
      </c>
      <c r="E3" s="601"/>
      <c r="F3" s="665" t="s">
        <v>99</v>
      </c>
      <c r="G3" s="659" t="s">
        <v>100</v>
      </c>
      <c r="H3" s="665" t="s">
        <v>101</v>
      </c>
      <c r="I3" s="661" t="s">
        <v>239</v>
      </c>
      <c r="J3" s="664" t="s">
        <v>103</v>
      </c>
      <c r="K3" s="654" t="s">
        <v>104</v>
      </c>
      <c r="L3" s="635" t="s">
        <v>76</v>
      </c>
      <c r="M3" s="659" t="s">
        <v>103</v>
      </c>
      <c r="N3" s="654" t="s">
        <v>240</v>
      </c>
      <c r="O3" s="635" t="s">
        <v>236</v>
      </c>
      <c r="P3" s="664" t="s">
        <v>241</v>
      </c>
      <c r="Q3" s="635" t="s">
        <v>236</v>
      </c>
      <c r="R3" s="655" t="s">
        <v>242</v>
      </c>
      <c r="S3" s="632" t="s">
        <v>243</v>
      </c>
      <c r="T3" s="659" t="s">
        <v>109</v>
      </c>
      <c r="U3" s="659"/>
      <c r="V3" s="660" t="s">
        <v>110</v>
      </c>
      <c r="W3" s="661" t="s">
        <v>244</v>
      </c>
      <c r="X3" s="659" t="s">
        <v>245</v>
      </c>
      <c r="Y3" s="659"/>
      <c r="Z3" s="662" t="s">
        <v>246</v>
      </c>
      <c r="AA3" s="663"/>
      <c r="AB3" s="650" t="s">
        <v>247</v>
      </c>
      <c r="AC3" s="651"/>
      <c r="AD3" s="652" t="s">
        <v>248</v>
      </c>
      <c r="AE3" s="653"/>
      <c r="AF3" s="654" t="s">
        <v>240</v>
      </c>
      <c r="AG3" s="655" t="s">
        <v>242</v>
      </c>
      <c r="AH3" s="632" t="s">
        <v>243</v>
      </c>
    </row>
    <row r="4" spans="1:34" ht="30.6" customHeight="1">
      <c r="A4" s="665"/>
      <c r="B4" s="601"/>
      <c r="C4" s="666"/>
      <c r="D4" s="601"/>
      <c r="E4" s="601"/>
      <c r="F4" s="666"/>
      <c r="G4" s="659"/>
      <c r="H4" s="666"/>
      <c r="I4" s="661"/>
      <c r="J4" s="664"/>
      <c r="K4" s="654"/>
      <c r="L4" s="635"/>
      <c r="M4" s="659"/>
      <c r="N4" s="654"/>
      <c r="O4" s="635"/>
      <c r="P4" s="664"/>
      <c r="Q4" s="635"/>
      <c r="R4" s="655"/>
      <c r="S4" s="632"/>
      <c r="T4" s="79" t="s">
        <v>116</v>
      </c>
      <c r="U4" s="79" t="s">
        <v>117</v>
      </c>
      <c r="V4" s="659"/>
      <c r="W4" s="661"/>
      <c r="X4" s="65" t="s">
        <v>249</v>
      </c>
      <c r="Y4" s="65" t="s">
        <v>78</v>
      </c>
      <c r="Z4" s="79" t="s">
        <v>250</v>
      </c>
      <c r="AA4" s="79" t="s">
        <v>251</v>
      </c>
      <c r="AB4" s="651"/>
      <c r="AC4" s="651"/>
      <c r="AD4" s="79" t="s">
        <v>252</v>
      </c>
      <c r="AE4" s="80" t="s">
        <v>253</v>
      </c>
      <c r="AF4" s="654"/>
      <c r="AG4" s="655"/>
      <c r="AH4" s="632"/>
    </row>
    <row r="5" spans="1:34" ht="19.5" customHeight="1">
      <c r="A5" s="656" t="s">
        <v>254</v>
      </c>
      <c r="B5" s="81" t="s">
        <v>385</v>
      </c>
      <c r="C5" s="82"/>
      <c r="D5" s="83" t="s">
        <v>124</v>
      </c>
      <c r="E5" s="84"/>
      <c r="F5" s="85">
        <v>37.94</v>
      </c>
      <c r="G5" s="86">
        <v>2945</v>
      </c>
      <c r="H5" s="87">
        <f t="shared" ref="H5:H16" si="0">F5*G5</f>
        <v>111733.29999999999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2" si="1">G5/W5*60</f>
        <v>2103.5714285714275</v>
      </c>
      <c r="O5" s="90">
        <f t="shared" ref="O5:O12" si="2">N5/M5</f>
        <v>105.17857142857137</v>
      </c>
      <c r="P5" s="92">
        <f t="shared" ref="P5:P12" si="3">M5-J5</f>
        <v>0</v>
      </c>
      <c r="Q5" s="93">
        <f t="shared" ref="Q5:Q12" si="4">O5-L5</f>
        <v>-4.8214285714286262</v>
      </c>
      <c r="R5" s="94">
        <f t="shared" ref="R5:R12" si="5">O5/L5</f>
        <v>0.95616883116883067</v>
      </c>
      <c r="S5" s="620">
        <f>R17</f>
        <v>0.89669091284095792</v>
      </c>
      <c r="T5" s="96">
        <v>0.29166666666666669</v>
      </c>
      <c r="U5" s="96">
        <v>0.35000000000000003</v>
      </c>
      <c r="V5" s="65">
        <v>5</v>
      </c>
      <c r="W5" s="88">
        <f>(U5-T5)*24*60</f>
        <v>84.000000000000028</v>
      </c>
      <c r="X5" s="65"/>
      <c r="Y5" s="65"/>
      <c r="Z5" s="97"/>
      <c r="AA5" s="97"/>
      <c r="AB5" s="601"/>
      <c r="AC5" s="601"/>
      <c r="AD5" s="98"/>
      <c r="AE5" s="98"/>
      <c r="AF5" s="92">
        <f t="shared" ref="AF5:AF70" si="6">N5-K5</f>
        <v>-96.428571428572468</v>
      </c>
      <c r="AG5" s="94">
        <f t="shared" ref="AG5:AG70" si="7">N5/K5</f>
        <v>0.95616883116883067</v>
      </c>
      <c r="AH5" s="620">
        <f>AG17</f>
        <v>0.88915912353148108</v>
      </c>
    </row>
    <row r="6" spans="1:34" ht="19.149999999999999" customHeight="1">
      <c r="A6" s="657"/>
      <c r="B6" s="81" t="s">
        <v>385</v>
      </c>
      <c r="C6" s="82"/>
      <c r="D6" s="83" t="s">
        <v>125</v>
      </c>
      <c r="E6" s="84"/>
      <c r="F6" s="85">
        <v>31.266131815044861</v>
      </c>
      <c r="G6" s="86">
        <v>1551</v>
      </c>
      <c r="H6" s="87">
        <f t="shared" si="0"/>
        <v>48493.770445134578</v>
      </c>
      <c r="I6" s="88"/>
      <c r="J6" s="89">
        <v>18</v>
      </c>
      <c r="K6" s="86">
        <v>2700</v>
      </c>
      <c r="L6" s="90">
        <v>150</v>
      </c>
      <c r="M6" s="91">
        <v>18</v>
      </c>
      <c r="N6" s="86">
        <f t="shared" si="1"/>
        <v>2448.9473684210507</v>
      </c>
      <c r="O6" s="90">
        <f t="shared" si="2"/>
        <v>136.05263157894726</v>
      </c>
      <c r="P6" s="92">
        <f t="shared" si="3"/>
        <v>0</v>
      </c>
      <c r="Q6" s="93">
        <f t="shared" si="4"/>
        <v>-13.947368421052744</v>
      </c>
      <c r="R6" s="94">
        <f t="shared" si="5"/>
        <v>0.90701754385964839</v>
      </c>
      <c r="S6" s="620"/>
      <c r="T6" s="96">
        <v>0.35555555555555557</v>
      </c>
      <c r="U6" s="96">
        <v>0.38194444444444448</v>
      </c>
      <c r="V6" s="65">
        <v>8</v>
      </c>
      <c r="W6" s="88">
        <f t="shared" ref="W6:W17" si="8">(U6-T6)*24*60</f>
        <v>38.000000000000028</v>
      </c>
      <c r="X6" s="99"/>
      <c r="Y6" s="99"/>
      <c r="Z6" s="100"/>
      <c r="AA6" s="100"/>
      <c r="AB6" s="601"/>
      <c r="AC6" s="601"/>
      <c r="AD6" s="101"/>
      <c r="AE6" s="101"/>
      <c r="AF6" s="92">
        <f t="shared" si="6"/>
        <v>-251.05263157894933</v>
      </c>
      <c r="AG6" s="94">
        <f t="shared" si="7"/>
        <v>0.90701754385964839</v>
      </c>
      <c r="AH6" s="620"/>
    </row>
    <row r="7" spans="1:34" ht="19.149999999999999" customHeight="1">
      <c r="A7" s="657"/>
      <c r="B7" s="81" t="s">
        <v>385</v>
      </c>
      <c r="C7" s="82"/>
      <c r="D7" s="83" t="s">
        <v>126</v>
      </c>
      <c r="E7" s="84"/>
      <c r="F7" s="85">
        <v>38.630952380952372</v>
      </c>
      <c r="G7" s="86">
        <v>2518</v>
      </c>
      <c r="H7" s="87">
        <f t="shared" si="0"/>
        <v>97272.738095238077</v>
      </c>
      <c r="I7" s="88"/>
      <c r="J7" s="89">
        <v>18</v>
      </c>
      <c r="K7" s="86">
        <v>2800</v>
      </c>
      <c r="L7" s="90">
        <v>155.55555555555554</v>
      </c>
      <c r="M7" s="91">
        <v>18</v>
      </c>
      <c r="N7" s="86">
        <f t="shared" si="1"/>
        <v>2436.7741935483859</v>
      </c>
      <c r="O7" s="90">
        <f t="shared" si="2"/>
        <v>135.37634408602145</v>
      </c>
      <c r="P7" s="92">
        <f t="shared" si="3"/>
        <v>0</v>
      </c>
      <c r="Q7" s="93">
        <f t="shared" si="4"/>
        <v>-20.179211469534096</v>
      </c>
      <c r="R7" s="94">
        <f t="shared" si="5"/>
        <v>0.87027649769585225</v>
      </c>
      <c r="S7" s="620"/>
      <c r="T7" s="96">
        <v>0.3979166666666667</v>
      </c>
      <c r="U7" s="96">
        <v>0.44097222222222227</v>
      </c>
      <c r="V7" s="65">
        <v>23</v>
      </c>
      <c r="W7" s="88">
        <f t="shared" si="8"/>
        <v>62.000000000000021</v>
      </c>
      <c r="X7" s="99">
        <v>0.38541666666666669</v>
      </c>
      <c r="Y7" s="99">
        <v>0.39513888888888887</v>
      </c>
      <c r="Z7" s="100"/>
      <c r="AA7" s="100"/>
      <c r="AB7" s="601"/>
      <c r="AC7" s="601"/>
      <c r="AD7" s="101"/>
      <c r="AE7" s="101"/>
      <c r="AF7" s="92">
        <f t="shared" si="6"/>
        <v>-363.22580645161406</v>
      </c>
      <c r="AG7" s="94">
        <f t="shared" si="7"/>
        <v>0.87027649769585214</v>
      </c>
      <c r="AH7" s="620"/>
    </row>
    <row r="8" spans="1:34" ht="19.149999999999999" customHeight="1">
      <c r="A8" s="657"/>
      <c r="B8" s="81" t="s">
        <v>385</v>
      </c>
      <c r="C8" s="82"/>
      <c r="D8" s="83" t="s">
        <v>127</v>
      </c>
      <c r="E8" s="84"/>
      <c r="F8" s="85">
        <v>38</v>
      </c>
      <c r="G8" s="86">
        <v>3940</v>
      </c>
      <c r="H8" s="87">
        <f t="shared" si="0"/>
        <v>149720</v>
      </c>
      <c r="I8" s="88"/>
      <c r="J8" s="89">
        <v>19</v>
      </c>
      <c r="K8" s="86">
        <v>2800</v>
      </c>
      <c r="L8" s="90">
        <v>147.36842105263159</v>
      </c>
      <c r="M8" s="91">
        <v>18</v>
      </c>
      <c r="N8" s="86">
        <f t="shared" si="1"/>
        <v>2488.4210526315778</v>
      </c>
      <c r="O8" s="90">
        <f t="shared" si="2"/>
        <v>138.24561403508767</v>
      </c>
      <c r="P8" s="92">
        <f t="shared" si="3"/>
        <v>-1</v>
      </c>
      <c r="Q8" s="93">
        <f t="shared" si="4"/>
        <v>-9.12280701754392</v>
      </c>
      <c r="R8" s="94">
        <f t="shared" si="5"/>
        <v>0.93809523809523765</v>
      </c>
      <c r="S8" s="620"/>
      <c r="T8" s="96">
        <v>0.44583333333333336</v>
      </c>
      <c r="U8" s="96">
        <v>0.51180555555555562</v>
      </c>
      <c r="V8" s="65">
        <v>7</v>
      </c>
      <c r="W8" s="88">
        <f t="shared" si="8"/>
        <v>95.000000000000057</v>
      </c>
      <c r="X8" s="99"/>
      <c r="Y8" s="99"/>
      <c r="Z8" s="100"/>
      <c r="AA8" s="100"/>
      <c r="AB8" s="601"/>
      <c r="AC8" s="601"/>
      <c r="AD8" s="101"/>
      <c r="AE8" s="101"/>
      <c r="AF8" s="92">
        <f t="shared" si="6"/>
        <v>-311.57894736842218</v>
      </c>
      <c r="AG8" s="94">
        <f t="shared" si="7"/>
        <v>0.8887218045112778</v>
      </c>
      <c r="AH8" s="620"/>
    </row>
    <row r="9" spans="1:34" ht="19.149999999999999" customHeight="1">
      <c r="A9" s="657"/>
      <c r="B9" s="81" t="s">
        <v>386</v>
      </c>
      <c r="C9" s="102"/>
      <c r="D9" s="83" t="s">
        <v>128</v>
      </c>
      <c r="E9" s="103"/>
      <c r="F9" s="85">
        <v>59.34</v>
      </c>
      <c r="G9" s="104">
        <v>559</v>
      </c>
      <c r="H9" s="87">
        <f t="shared" si="0"/>
        <v>33171.060000000005</v>
      </c>
      <c r="I9" s="101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1242.2222222222267</v>
      </c>
      <c r="O9" s="90">
        <f t="shared" si="2"/>
        <v>65.380116959064566</v>
      </c>
      <c r="P9" s="92">
        <f t="shared" si="3"/>
        <v>0</v>
      </c>
      <c r="Q9" s="93">
        <f t="shared" si="4"/>
        <v>-10.409356725145955</v>
      </c>
      <c r="R9" s="94">
        <f t="shared" si="5"/>
        <v>0.86265432098765749</v>
      </c>
      <c r="S9" s="620"/>
      <c r="T9" s="96">
        <v>0.55277777777777781</v>
      </c>
      <c r="U9" s="96">
        <v>0.57152777777777775</v>
      </c>
      <c r="V9" s="65">
        <v>6</v>
      </c>
      <c r="W9" s="88">
        <f t="shared" si="8"/>
        <v>26.999999999999904</v>
      </c>
      <c r="X9" s="99"/>
      <c r="Y9" s="99"/>
      <c r="Z9" s="100"/>
      <c r="AA9" s="100"/>
      <c r="AB9" s="601"/>
      <c r="AC9" s="601"/>
      <c r="AD9" s="101">
        <v>1</v>
      </c>
      <c r="AE9" s="101"/>
      <c r="AF9" s="92">
        <f t="shared" si="6"/>
        <v>-197.77777777777328</v>
      </c>
      <c r="AG9" s="94">
        <f t="shared" si="7"/>
        <v>0.86265432098765749</v>
      </c>
      <c r="AH9" s="620"/>
    </row>
    <row r="10" spans="1:34" ht="19.149999999999999" customHeight="1">
      <c r="A10" s="658"/>
      <c r="B10" s="81" t="s">
        <v>386</v>
      </c>
      <c r="C10" s="82"/>
      <c r="D10" s="83" t="s">
        <v>129</v>
      </c>
      <c r="E10" s="84"/>
      <c r="F10" s="85">
        <v>71.55</v>
      </c>
      <c r="G10" s="86">
        <v>706</v>
      </c>
      <c r="H10" s="87">
        <f t="shared" si="0"/>
        <v>50514.299999999996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1176.6666666666658</v>
      </c>
      <c r="O10" s="90">
        <f t="shared" si="2"/>
        <v>65.370370370370324</v>
      </c>
      <c r="P10" s="92">
        <f t="shared" si="3"/>
        <v>0</v>
      </c>
      <c r="Q10" s="93">
        <f t="shared" si="4"/>
        <v>-11.574074074074119</v>
      </c>
      <c r="R10" s="94">
        <f t="shared" si="5"/>
        <v>0.84957882069795365</v>
      </c>
      <c r="S10" s="623"/>
      <c r="T10" s="96">
        <v>0.57708333333333328</v>
      </c>
      <c r="U10" s="96">
        <v>0.6020833333333333</v>
      </c>
      <c r="V10" s="65">
        <v>8</v>
      </c>
      <c r="W10" s="88">
        <f t="shared" si="8"/>
        <v>36.000000000000028</v>
      </c>
      <c r="X10" s="99"/>
      <c r="Y10" s="99"/>
      <c r="Z10" s="100"/>
      <c r="AA10" s="100"/>
      <c r="AB10" s="601"/>
      <c r="AC10" s="601"/>
      <c r="AD10" s="101"/>
      <c r="AE10" s="101"/>
      <c r="AF10" s="92">
        <f t="shared" si="6"/>
        <v>-208.33333333333417</v>
      </c>
      <c r="AG10" s="94">
        <f t="shared" si="7"/>
        <v>0.84957882069795365</v>
      </c>
      <c r="AH10" s="623"/>
    </row>
    <row r="11" spans="1:34" ht="19.149999999999999" customHeight="1">
      <c r="A11" s="658"/>
      <c r="B11" s="81" t="s">
        <v>386</v>
      </c>
      <c r="C11" s="82"/>
      <c r="D11" s="83" t="s">
        <v>130</v>
      </c>
      <c r="E11" s="84"/>
      <c r="F11" s="85">
        <v>77.34</v>
      </c>
      <c r="G11" s="86">
        <v>606</v>
      </c>
      <c r="H11" s="87">
        <f t="shared" si="0"/>
        <v>46868.04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1253.7931034482733</v>
      </c>
      <c r="O11" s="90">
        <f t="shared" si="2"/>
        <v>69.655172413792968</v>
      </c>
      <c r="P11" s="92">
        <f t="shared" si="3"/>
        <v>0</v>
      </c>
      <c r="Q11" s="93">
        <f t="shared" si="4"/>
        <v>-10.344827586207032</v>
      </c>
      <c r="R11" s="94">
        <f t="shared" si="5"/>
        <v>0.87068965517241215</v>
      </c>
      <c r="S11" s="623"/>
      <c r="T11" s="96">
        <v>0.6069444444444444</v>
      </c>
      <c r="U11" s="96">
        <v>0.62708333333333333</v>
      </c>
      <c r="V11" s="65">
        <v>7</v>
      </c>
      <c r="W11" s="88">
        <f t="shared" si="8"/>
        <v>29.000000000000057</v>
      </c>
      <c r="X11" s="99"/>
      <c r="Y11" s="99"/>
      <c r="Z11" s="100"/>
      <c r="AA11" s="100"/>
      <c r="AB11" s="601"/>
      <c r="AC11" s="601"/>
      <c r="AD11" s="101"/>
      <c r="AE11" s="101"/>
      <c r="AF11" s="92">
        <f t="shared" si="6"/>
        <v>-186.20689655172669</v>
      </c>
      <c r="AG11" s="94">
        <f t="shared" si="7"/>
        <v>0.87068965517241204</v>
      </c>
      <c r="AH11" s="623"/>
    </row>
    <row r="12" spans="1:34" ht="19.149999999999999" customHeight="1">
      <c r="A12" s="658"/>
      <c r="B12" s="81" t="s">
        <v>386</v>
      </c>
      <c r="C12" s="82"/>
      <c r="D12" s="83" t="s">
        <v>131</v>
      </c>
      <c r="E12" s="84"/>
      <c r="F12" s="85">
        <v>59.54</v>
      </c>
      <c r="G12" s="86">
        <v>1270</v>
      </c>
      <c r="H12" s="87">
        <f t="shared" si="0"/>
        <v>75615.8</v>
      </c>
      <c r="I12" s="88"/>
      <c r="J12" s="89">
        <v>18</v>
      </c>
      <c r="K12" s="86">
        <v>1385</v>
      </c>
      <c r="L12" s="90">
        <v>76.944444444444443</v>
      </c>
      <c r="M12" s="91">
        <v>18</v>
      </c>
      <c r="N12" s="86">
        <f t="shared" si="1"/>
        <v>1209.5238095238108</v>
      </c>
      <c r="O12" s="90">
        <f t="shared" si="2"/>
        <v>67.19576719576726</v>
      </c>
      <c r="P12" s="92">
        <f t="shared" si="3"/>
        <v>0</v>
      </c>
      <c r="Q12" s="93">
        <f t="shared" si="4"/>
        <v>-9.7486772486771827</v>
      </c>
      <c r="R12" s="94">
        <f t="shared" si="5"/>
        <v>0.87330238954787776</v>
      </c>
      <c r="S12" s="623"/>
      <c r="T12" s="96">
        <v>0.64166666666666672</v>
      </c>
      <c r="U12" s="96">
        <v>0.68541666666666667</v>
      </c>
      <c r="V12" s="65">
        <v>21</v>
      </c>
      <c r="W12" s="88">
        <f t="shared" si="8"/>
        <v>62.999999999999936</v>
      </c>
      <c r="X12" s="99">
        <v>0.63055555555555554</v>
      </c>
      <c r="Y12" s="99">
        <v>0.63888888888888895</v>
      </c>
      <c r="Z12" s="100"/>
      <c r="AA12" s="100"/>
      <c r="AB12" s="601"/>
      <c r="AC12" s="601"/>
      <c r="AD12" s="101"/>
      <c r="AE12" s="101"/>
      <c r="AF12" s="92"/>
      <c r="AG12" s="94"/>
      <c r="AH12" s="623"/>
    </row>
    <row r="13" spans="1:34" ht="19.149999999999999" customHeight="1">
      <c r="A13" s="658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4"/>
      <c r="S13" s="623"/>
      <c r="T13" s="111"/>
      <c r="U13" s="111"/>
      <c r="V13" s="109"/>
      <c r="W13" s="88"/>
      <c r="X13" s="112"/>
      <c r="Y13" s="112"/>
      <c r="Z13" s="100"/>
      <c r="AA13" s="100"/>
      <c r="AB13" s="601"/>
      <c r="AC13" s="601"/>
      <c r="AD13" s="101"/>
      <c r="AE13" s="101"/>
      <c r="AF13" s="113"/>
      <c r="AG13" s="114"/>
      <c r="AH13" s="623"/>
    </row>
    <row r="14" spans="1:34" ht="19.149999999999999" customHeight="1">
      <c r="A14" s="658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4"/>
      <c r="S14" s="623"/>
      <c r="T14" s="111"/>
      <c r="U14" s="111"/>
      <c r="V14" s="109"/>
      <c r="W14" s="88"/>
      <c r="X14" s="112"/>
      <c r="Y14" s="112"/>
      <c r="Z14" s="100"/>
      <c r="AA14" s="100"/>
      <c r="AB14" s="601"/>
      <c r="AC14" s="601"/>
      <c r="AD14" s="101"/>
      <c r="AE14" s="101"/>
      <c r="AF14" s="113"/>
      <c r="AG14" s="114"/>
      <c r="AH14" s="623"/>
    </row>
    <row r="15" spans="1:34" ht="19.149999999999999" customHeight="1">
      <c r="A15" s="658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4"/>
      <c r="S15" s="623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01"/>
      <c r="AC15" s="601"/>
      <c r="AD15" s="101"/>
      <c r="AE15" s="101"/>
      <c r="AF15" s="113"/>
      <c r="AG15" s="114"/>
      <c r="AH15" s="623"/>
    </row>
    <row r="16" spans="1:34" ht="19.149999999999999" customHeight="1">
      <c r="A16" s="658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4"/>
      <c r="S16" s="623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01"/>
      <c r="AC16" s="601"/>
      <c r="AD16" s="101"/>
      <c r="AE16" s="101"/>
      <c r="AF16" s="113"/>
      <c r="AG16" s="114"/>
      <c r="AH16" s="623"/>
    </row>
    <row r="17" spans="1:34" ht="19.149999999999999" customHeight="1">
      <c r="A17" s="658"/>
      <c r="B17" s="118">
        <v>0</v>
      </c>
      <c r="C17" s="118" t="s">
        <v>255</v>
      </c>
      <c r="D17" s="607" t="s">
        <v>256</v>
      </c>
      <c r="E17" s="607"/>
      <c r="F17" s="119"/>
      <c r="G17" s="120"/>
      <c r="H17" s="121"/>
      <c r="I17" s="122"/>
      <c r="J17" s="120">
        <v>18.5</v>
      </c>
      <c r="K17" s="120">
        <v>2018.75</v>
      </c>
      <c r="L17" s="123">
        <v>109.07529239766082</v>
      </c>
      <c r="M17" s="120">
        <f t="shared" ref="M17:O17" si="9">AVERAGE(M5:M16)</f>
        <v>18.375</v>
      </c>
      <c r="N17" s="120">
        <f t="shared" si="9"/>
        <v>1794.9899806291774</v>
      </c>
      <c r="O17" s="123">
        <f t="shared" si="9"/>
        <v>97.806823508452879</v>
      </c>
      <c r="P17" s="113">
        <f t="shared" ref="P17:P24" si="10">M17-J17</f>
        <v>-0.125</v>
      </c>
      <c r="Q17" s="124">
        <f t="shared" ref="Q17:Q24" si="11">O17-L17</f>
        <v>-11.268468889207938</v>
      </c>
      <c r="R17" s="125">
        <f>O17/L17</f>
        <v>0.89669091284095792</v>
      </c>
      <c r="S17" s="623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01"/>
      <c r="AC17" s="601"/>
      <c r="AD17" s="129">
        <f>SUM(AD5:AD16)</f>
        <v>1</v>
      </c>
      <c r="AE17" s="129">
        <f>SUM(AE5:AE16)</f>
        <v>0</v>
      </c>
      <c r="AF17" s="113">
        <f t="shared" si="6"/>
        <v>-223.76001937082265</v>
      </c>
      <c r="AG17" s="114">
        <f t="shared" si="7"/>
        <v>0.88915912353148108</v>
      </c>
      <c r="AH17" s="623"/>
    </row>
    <row r="18" spans="1:34" ht="19.149999999999999" customHeight="1">
      <c r="A18" s="604" t="s">
        <v>257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1477</v>
      </c>
      <c r="H18" s="135">
        <f t="shared" ref="H18:H29" si="12">F18*G18</f>
        <v>54442.22</v>
      </c>
      <c r="I18" s="101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2014.0909090909092</v>
      </c>
      <c r="O18" s="137">
        <f t="shared" ref="O18:O24" si="14">N18/M18</f>
        <v>106.00478468899523</v>
      </c>
      <c r="P18" s="100">
        <f t="shared" si="10"/>
        <v>1</v>
      </c>
      <c r="Q18" s="139">
        <f t="shared" si="11"/>
        <v>-18.99521531100477</v>
      </c>
      <c r="R18" s="140">
        <f t="shared" ref="R18:R24" si="15">O18/L18</f>
        <v>0.84803827751196181</v>
      </c>
      <c r="S18" s="605">
        <f>R30</f>
        <v>0.83158543001783392</v>
      </c>
      <c r="T18" s="142">
        <v>0.16666666666666666</v>
      </c>
      <c r="U18" s="142">
        <v>0.19722222222222222</v>
      </c>
      <c r="V18" s="101">
        <v>5</v>
      </c>
      <c r="W18" s="143">
        <f>(U18-T18)*24*60</f>
        <v>44</v>
      </c>
      <c r="X18" s="137"/>
      <c r="Y18" s="137"/>
      <c r="Z18" s="100"/>
      <c r="AA18" s="100"/>
      <c r="AB18" s="601"/>
      <c r="AC18" s="601"/>
      <c r="AD18" s="101"/>
      <c r="AE18" s="101"/>
      <c r="AF18" s="144">
        <f t="shared" si="6"/>
        <v>-235.90909090909076</v>
      </c>
      <c r="AG18" s="145">
        <f t="shared" si="7"/>
        <v>0.89515151515151525</v>
      </c>
      <c r="AH18" s="646">
        <f>AG30</f>
        <v>0.85997444365876674</v>
      </c>
    </row>
    <row r="19" spans="1:34" ht="19.149999999999999" customHeight="1">
      <c r="A19" s="604"/>
      <c r="B19" s="146" t="s">
        <v>387</v>
      </c>
      <c r="C19" s="147"/>
      <c r="D19" s="132" t="s">
        <v>134</v>
      </c>
      <c r="E19" s="133"/>
      <c r="F19" s="85">
        <v>56.43</v>
      </c>
      <c r="G19" s="104">
        <v>1074</v>
      </c>
      <c r="H19" s="135">
        <f t="shared" si="12"/>
        <v>60605.82</v>
      </c>
      <c r="I19" s="101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1288.8000000000004</v>
      </c>
      <c r="O19" s="150">
        <f t="shared" si="14"/>
        <v>71.600000000000023</v>
      </c>
      <c r="P19" s="100">
        <f t="shared" si="10"/>
        <v>1</v>
      </c>
      <c r="Q19" s="139">
        <f t="shared" si="11"/>
        <v>-16.635294117647035</v>
      </c>
      <c r="R19" s="140">
        <f t="shared" si="15"/>
        <v>0.81146666666666689</v>
      </c>
      <c r="S19" s="605"/>
      <c r="T19" s="142">
        <v>0.2013888888888889</v>
      </c>
      <c r="U19" s="142">
        <v>0.2361111111111111</v>
      </c>
      <c r="V19" s="101">
        <v>6</v>
      </c>
      <c r="W19" s="143">
        <f>(U19-T19)*24*60</f>
        <v>49.999999999999986</v>
      </c>
      <c r="X19" s="151"/>
      <c r="Y19" s="151"/>
      <c r="Z19" s="100"/>
      <c r="AA19" s="100"/>
      <c r="AB19" s="601"/>
      <c r="AC19" s="601"/>
      <c r="AD19" s="101"/>
      <c r="AE19" s="101"/>
      <c r="AF19" s="92">
        <f t="shared" si="6"/>
        <v>-211.19999999999959</v>
      </c>
      <c r="AG19" s="94">
        <f t="shared" si="7"/>
        <v>0.8592000000000003</v>
      </c>
      <c r="AH19" s="647"/>
    </row>
    <row r="20" spans="1:34" ht="19.149999999999999" customHeight="1">
      <c r="A20" s="604"/>
      <c r="B20" s="146" t="s">
        <v>387</v>
      </c>
      <c r="C20" s="102"/>
      <c r="D20" s="83" t="s">
        <v>135</v>
      </c>
      <c r="E20" s="133"/>
      <c r="F20" s="85">
        <v>49.9</v>
      </c>
      <c r="G20" s="104">
        <v>1237</v>
      </c>
      <c r="H20" s="135">
        <f t="shared" si="12"/>
        <v>61726.299999999996</v>
      </c>
      <c r="I20" s="101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1302.1052631578957</v>
      </c>
      <c r="O20" s="150">
        <f t="shared" si="14"/>
        <v>76.594427244582107</v>
      </c>
      <c r="P20" s="100">
        <f t="shared" si="10"/>
        <v>0</v>
      </c>
      <c r="Q20" s="139">
        <f t="shared" si="11"/>
        <v>-11.640866873064951</v>
      </c>
      <c r="R20" s="140">
        <f t="shared" si="15"/>
        <v>0.86807017543859721</v>
      </c>
      <c r="S20" s="605"/>
      <c r="T20" s="142">
        <v>0.25138888888888888</v>
      </c>
      <c r="U20" s="142">
        <v>0.29097222222222219</v>
      </c>
      <c r="V20" s="101">
        <v>22</v>
      </c>
      <c r="W20" s="143">
        <f t="shared" ref="W20:W29" si="16">(U20-T20)*24*60</f>
        <v>56.999999999999957</v>
      </c>
      <c r="X20" s="151">
        <v>0.23958333333333334</v>
      </c>
      <c r="Y20" s="151">
        <v>0.24861111111111112</v>
      </c>
      <c r="Z20" s="100"/>
      <c r="AA20" s="100"/>
      <c r="AB20" s="601"/>
      <c r="AC20" s="601"/>
      <c r="AD20" s="101"/>
      <c r="AE20" s="101"/>
      <c r="AF20" s="92">
        <f t="shared" si="6"/>
        <v>-197.89473684210429</v>
      </c>
      <c r="AG20" s="94">
        <f t="shared" si="7"/>
        <v>0.8680701754385971</v>
      </c>
      <c r="AH20" s="647"/>
    </row>
    <row r="21" spans="1:34" ht="19.149999999999999" customHeight="1">
      <c r="A21" s="604"/>
      <c r="B21" s="146" t="s">
        <v>387</v>
      </c>
      <c r="C21" s="152"/>
      <c r="D21" s="153" t="s">
        <v>136</v>
      </c>
      <c r="E21" s="84"/>
      <c r="F21" s="85">
        <v>56.43</v>
      </c>
      <c r="G21" s="86">
        <v>1650</v>
      </c>
      <c r="H21" s="135">
        <f t="shared" si="12"/>
        <v>93109.5</v>
      </c>
      <c r="I21" s="65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1375.0000000000002</v>
      </c>
      <c r="O21" s="150">
        <f t="shared" si="14"/>
        <v>76.3888888888889</v>
      </c>
      <c r="P21" s="100">
        <f t="shared" si="10"/>
        <v>0</v>
      </c>
      <c r="Q21" s="139">
        <f t="shared" si="11"/>
        <v>-14.499999999999986</v>
      </c>
      <c r="R21" s="140">
        <f t="shared" si="15"/>
        <v>0.84046454767726175</v>
      </c>
      <c r="S21" s="605"/>
      <c r="T21" s="142">
        <v>0.29513888888888884</v>
      </c>
      <c r="U21" s="142">
        <v>0.34513888888888883</v>
      </c>
      <c r="V21" s="101">
        <v>6</v>
      </c>
      <c r="W21" s="143">
        <f t="shared" si="16"/>
        <v>71.999999999999986</v>
      </c>
      <c r="X21" s="151"/>
      <c r="Y21" s="151"/>
      <c r="Z21" s="100"/>
      <c r="AA21" s="100"/>
      <c r="AB21" s="601"/>
      <c r="AC21" s="601"/>
      <c r="AD21" s="101"/>
      <c r="AE21" s="101"/>
      <c r="AF21" s="92">
        <f t="shared" si="6"/>
        <v>-260.99999999999977</v>
      </c>
      <c r="AG21" s="94">
        <f t="shared" si="7"/>
        <v>0.84046454767726175</v>
      </c>
      <c r="AH21" s="648"/>
    </row>
    <row r="22" spans="1:34" ht="19.149999999999999" customHeight="1">
      <c r="A22" s="604"/>
      <c r="B22" s="146" t="s">
        <v>388</v>
      </c>
      <c r="C22" s="152"/>
      <c r="D22" s="83" t="s">
        <v>137</v>
      </c>
      <c r="E22" s="84"/>
      <c r="F22" s="85">
        <v>43.14</v>
      </c>
      <c r="G22" s="86">
        <v>1670</v>
      </c>
      <c r="H22" s="135">
        <f t="shared" si="12"/>
        <v>72043.8</v>
      </c>
      <c r="I22" s="65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1268.3544303797476</v>
      </c>
      <c r="O22" s="150">
        <f t="shared" si="14"/>
        <v>74.609084139985157</v>
      </c>
      <c r="P22" s="100">
        <f t="shared" si="10"/>
        <v>0</v>
      </c>
      <c r="Q22" s="139">
        <f t="shared" si="11"/>
        <v>-10.096798212956017</v>
      </c>
      <c r="R22" s="140">
        <f t="shared" si="15"/>
        <v>0.8808016877637137</v>
      </c>
      <c r="S22" s="605"/>
      <c r="T22" s="142">
        <v>0.34999999999999992</v>
      </c>
      <c r="U22" s="142">
        <v>0.40486111111111101</v>
      </c>
      <c r="V22" s="101">
        <v>7</v>
      </c>
      <c r="W22" s="143">
        <f t="shared" si="16"/>
        <v>78.999999999999957</v>
      </c>
      <c r="X22" s="151"/>
      <c r="Y22" s="151"/>
      <c r="Z22" s="100"/>
      <c r="AA22" s="100"/>
      <c r="AB22" s="601"/>
      <c r="AC22" s="601"/>
      <c r="AD22" s="101"/>
      <c r="AE22" s="101"/>
      <c r="AF22" s="92">
        <f t="shared" si="6"/>
        <v>-171.64556962025245</v>
      </c>
      <c r="AG22" s="94">
        <f t="shared" si="7"/>
        <v>0.88080168776371359</v>
      </c>
      <c r="AH22" s="648"/>
    </row>
    <row r="23" spans="1:34" ht="19.149999999999999" customHeight="1">
      <c r="A23" s="604"/>
      <c r="B23" s="146" t="s">
        <v>387</v>
      </c>
      <c r="C23" s="152"/>
      <c r="D23" s="83" t="s">
        <v>138</v>
      </c>
      <c r="E23" s="84"/>
      <c r="F23" s="85">
        <v>38.39</v>
      </c>
      <c r="G23" s="86">
        <v>3049</v>
      </c>
      <c r="H23" s="135">
        <f t="shared" si="12"/>
        <v>117051.11</v>
      </c>
      <c r="I23" s="65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1345.1470588235286</v>
      </c>
      <c r="O23" s="150">
        <f t="shared" si="14"/>
        <v>74.730392156862706</v>
      </c>
      <c r="P23" s="100">
        <f t="shared" si="10"/>
        <v>1</v>
      </c>
      <c r="Q23" s="139">
        <f t="shared" si="11"/>
        <v>-21.504901960784352</v>
      </c>
      <c r="R23" s="140">
        <f t="shared" si="15"/>
        <v>0.77653830480847552</v>
      </c>
      <c r="S23" s="605"/>
      <c r="T23" s="142">
        <v>0.42083333333333323</v>
      </c>
      <c r="U23" s="142">
        <v>0.51527777777777772</v>
      </c>
      <c r="V23" s="101">
        <v>23</v>
      </c>
      <c r="W23" s="143">
        <f t="shared" si="16"/>
        <v>136.00000000000009</v>
      </c>
      <c r="X23" s="151">
        <v>0.40833333333333338</v>
      </c>
      <c r="Y23" s="151">
        <v>0.41805555555555557</v>
      </c>
      <c r="Z23" s="100"/>
      <c r="AA23" s="100"/>
      <c r="AB23" s="601"/>
      <c r="AC23" s="601"/>
      <c r="AD23" s="101"/>
      <c r="AE23" s="101"/>
      <c r="AF23" s="92"/>
      <c r="AG23" s="94"/>
      <c r="AH23" s="648"/>
    </row>
    <row r="24" spans="1:34" ht="19.149999999999999" customHeight="1">
      <c r="A24" s="604"/>
      <c r="B24" s="146" t="s">
        <v>387</v>
      </c>
      <c r="C24" s="131"/>
      <c r="D24" s="132" t="s">
        <v>134</v>
      </c>
      <c r="E24" s="133"/>
      <c r="F24" s="85">
        <v>56.43</v>
      </c>
      <c r="G24" s="104">
        <v>716</v>
      </c>
      <c r="H24" s="135">
        <f t="shared" si="12"/>
        <v>40403.879999999997</v>
      </c>
      <c r="I24" s="143"/>
      <c r="J24" s="148">
        <v>17</v>
      </c>
      <c r="K24" s="86">
        <v>1500</v>
      </c>
      <c r="L24" s="90">
        <v>88.235294117647058</v>
      </c>
      <c r="M24" s="138">
        <v>18</v>
      </c>
      <c r="N24" s="149">
        <f t="shared" si="13"/>
        <v>1263.5294117647045</v>
      </c>
      <c r="O24" s="150">
        <f t="shared" si="14"/>
        <v>70.19607843137247</v>
      </c>
      <c r="P24" s="100">
        <f t="shared" si="10"/>
        <v>1</v>
      </c>
      <c r="Q24" s="139">
        <f t="shared" si="11"/>
        <v>-18.039215686274588</v>
      </c>
      <c r="R24" s="140">
        <f t="shared" si="15"/>
        <v>0.79555555555555468</v>
      </c>
      <c r="S24" s="605"/>
      <c r="T24" s="142">
        <v>0.55624999999999991</v>
      </c>
      <c r="U24" s="142">
        <v>0.57986111111111105</v>
      </c>
      <c r="V24" s="101">
        <v>6</v>
      </c>
      <c r="W24" s="143">
        <f t="shared" si="16"/>
        <v>34.000000000000043</v>
      </c>
      <c r="X24" s="101"/>
      <c r="Y24" s="101"/>
      <c r="Z24" s="100"/>
      <c r="AA24" s="100"/>
      <c r="AB24" s="601"/>
      <c r="AC24" s="601"/>
      <c r="AD24" s="101"/>
      <c r="AE24" s="101"/>
      <c r="AF24" s="92">
        <f t="shared" si="6"/>
        <v>-236.47058823529551</v>
      </c>
      <c r="AG24" s="94"/>
      <c r="AH24" s="648"/>
    </row>
    <row r="25" spans="1:34" ht="19.149999999999999" customHeight="1">
      <c r="A25" s="604"/>
      <c r="B25" s="146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0"/>
      <c r="S25" s="605"/>
      <c r="T25" s="142"/>
      <c r="U25" s="142"/>
      <c r="V25" s="101"/>
      <c r="W25" s="143">
        <f t="shared" si="16"/>
        <v>0</v>
      </c>
      <c r="X25" s="101"/>
      <c r="Y25" s="101"/>
      <c r="Z25" s="100"/>
      <c r="AA25" s="100"/>
      <c r="AB25" s="601"/>
      <c r="AC25" s="601"/>
      <c r="AD25" s="101"/>
      <c r="AE25" s="101"/>
      <c r="AF25" s="92">
        <f t="shared" si="6"/>
        <v>0</v>
      </c>
      <c r="AG25" s="94"/>
      <c r="AH25" s="648"/>
    </row>
    <row r="26" spans="1:34" ht="19.149999999999999" customHeight="1">
      <c r="A26" s="604"/>
      <c r="B26" s="146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0"/>
      <c r="S26" s="605"/>
      <c r="T26" s="142"/>
      <c r="U26" s="142"/>
      <c r="V26" s="101"/>
      <c r="W26" s="143">
        <f t="shared" si="16"/>
        <v>0</v>
      </c>
      <c r="X26" s="101"/>
      <c r="Y26" s="101"/>
      <c r="Z26" s="100"/>
      <c r="AA26" s="100"/>
      <c r="AB26" s="601"/>
      <c r="AC26" s="601"/>
      <c r="AD26" s="101"/>
      <c r="AE26" s="101"/>
      <c r="AF26" s="92">
        <f t="shared" si="6"/>
        <v>0</v>
      </c>
      <c r="AG26" s="94"/>
      <c r="AH26" s="648"/>
    </row>
    <row r="27" spans="1:34" ht="19.149999999999999" customHeight="1">
      <c r="A27" s="604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0"/>
      <c r="S27" s="605"/>
      <c r="T27" s="142"/>
      <c r="U27" s="142"/>
      <c r="V27" s="101"/>
      <c r="W27" s="143">
        <f t="shared" si="16"/>
        <v>0</v>
      </c>
      <c r="X27" s="101"/>
      <c r="Y27" s="101"/>
      <c r="Z27" s="100"/>
      <c r="AA27" s="100"/>
      <c r="AB27" s="601"/>
      <c r="AC27" s="601"/>
      <c r="AD27" s="101"/>
      <c r="AE27" s="101"/>
      <c r="AF27" s="92">
        <f t="shared" si="6"/>
        <v>0</v>
      </c>
      <c r="AG27" s="94"/>
      <c r="AH27" s="648"/>
    </row>
    <row r="28" spans="1:34" ht="19.149999999999999" customHeight="1">
      <c r="A28" s="604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0"/>
      <c r="S28" s="605"/>
      <c r="T28" s="142"/>
      <c r="U28" s="142"/>
      <c r="V28" s="101"/>
      <c r="W28" s="143">
        <f t="shared" si="16"/>
        <v>0</v>
      </c>
      <c r="X28" s="101"/>
      <c r="Y28" s="101"/>
      <c r="Z28" s="100"/>
      <c r="AA28" s="100"/>
      <c r="AB28" s="601"/>
      <c r="AC28" s="601"/>
      <c r="AD28" s="101"/>
      <c r="AE28" s="101"/>
      <c r="AF28" s="92">
        <f t="shared" si="6"/>
        <v>0</v>
      </c>
      <c r="AG28" s="94"/>
      <c r="AH28" s="648"/>
    </row>
    <row r="29" spans="1:34" ht="19.149999999999999" customHeight="1">
      <c r="A29" s="604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0"/>
      <c r="S29" s="605"/>
      <c r="T29" s="142"/>
      <c r="U29" s="142"/>
      <c r="V29" s="101"/>
      <c r="W29" s="143">
        <f t="shared" si="16"/>
        <v>0</v>
      </c>
      <c r="X29" s="101"/>
      <c r="Y29" s="101"/>
      <c r="Z29" s="100"/>
      <c r="AA29" s="100"/>
      <c r="AB29" s="601"/>
      <c r="AC29" s="601"/>
      <c r="AD29" s="101"/>
      <c r="AE29" s="101"/>
      <c r="AF29" s="92">
        <f t="shared" si="6"/>
        <v>0</v>
      </c>
      <c r="AG29" s="94"/>
      <c r="AH29" s="648"/>
    </row>
    <row r="30" spans="1:34" ht="19.149999999999999" customHeight="1">
      <c r="A30" s="604"/>
      <c r="B30" s="155">
        <v>0</v>
      </c>
      <c r="C30" s="156" t="s">
        <v>258</v>
      </c>
      <c r="D30" s="645" t="s">
        <v>256</v>
      </c>
      <c r="E30" s="645"/>
      <c r="F30" s="157"/>
      <c r="G30" s="158"/>
      <c r="H30" s="159"/>
      <c r="I30" s="160"/>
      <c r="J30" s="158">
        <v>17.285714285714285</v>
      </c>
      <c r="K30" s="158">
        <v>1637.4285714285713</v>
      </c>
      <c r="L30" s="161">
        <v>94.505135387488323</v>
      </c>
      <c r="M30" s="158">
        <f t="shared" ref="M30:O30" si="17">AVERAGE(M18:M29)</f>
        <v>17.857142857142858</v>
      </c>
      <c r="N30" s="158">
        <f t="shared" si="17"/>
        <v>1408.1467247452549</v>
      </c>
      <c r="O30" s="161">
        <f t="shared" si="17"/>
        <v>78.589093650098093</v>
      </c>
      <c r="P30" s="100">
        <f t="shared" ref="P30:P36" si="18">M30-J30</f>
        <v>0.57142857142857295</v>
      </c>
      <c r="Q30" s="139">
        <f t="shared" ref="Q30:Q36" si="19">O30-L30</f>
        <v>-15.916041737390231</v>
      </c>
      <c r="R30" s="162">
        <f t="shared" ref="R30:R36" si="20">O30/L30</f>
        <v>0.83158543001783392</v>
      </c>
      <c r="S30" s="605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01"/>
      <c r="AC30" s="601"/>
      <c r="AD30" s="164">
        <f>SUM(AD18:AD29)</f>
        <v>0</v>
      </c>
      <c r="AE30" s="164">
        <f>SUM(AE18:AE29)</f>
        <v>0</v>
      </c>
      <c r="AF30" s="165">
        <f t="shared" si="6"/>
        <v>-229.28184668331642</v>
      </c>
      <c r="AG30" s="166">
        <f t="shared" ref="AG30" si="21">N30/K30</f>
        <v>0.85997444365876674</v>
      </c>
      <c r="AH30" s="649"/>
    </row>
    <row r="31" spans="1:34" ht="19.149999999999999" customHeight="1">
      <c r="A31" s="642" t="s">
        <v>259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2005</v>
      </c>
      <c r="H31" s="171">
        <f t="shared" ref="H31:H40" si="22">F31*G31</f>
        <v>68631.149999999994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2074.1379310344828</v>
      </c>
      <c r="O31" s="174">
        <f t="shared" ref="O31:O36" si="24">N31/M31</f>
        <v>159.54907161803715</v>
      </c>
      <c r="P31" s="175">
        <f t="shared" si="18"/>
        <v>0</v>
      </c>
      <c r="Q31" s="176">
        <f t="shared" si="19"/>
        <v>-13.52785145888592</v>
      </c>
      <c r="R31" s="177">
        <f t="shared" si="20"/>
        <v>0.92183908045977025</v>
      </c>
      <c r="S31" s="644">
        <f>R43</f>
        <v>0.91635521884396876</v>
      </c>
      <c r="T31" s="178">
        <v>0.16666666666666666</v>
      </c>
      <c r="U31" s="178">
        <v>0.20694444444444443</v>
      </c>
      <c r="V31" s="98">
        <v>5</v>
      </c>
      <c r="W31" s="179">
        <f t="shared" ref="W31:W42" si="25">(U31-T31)*24*60</f>
        <v>57.999999999999993</v>
      </c>
      <c r="X31" s="98"/>
      <c r="Y31" s="98"/>
      <c r="Z31" s="97"/>
      <c r="AA31" s="97"/>
      <c r="AB31" s="601"/>
      <c r="AC31" s="601"/>
      <c r="AD31" s="98"/>
      <c r="AE31" s="98"/>
      <c r="AF31" s="175">
        <f t="shared" si="6"/>
        <v>-175.86206896551721</v>
      </c>
      <c r="AG31" s="180">
        <f t="shared" si="7"/>
        <v>0.92183908045977014</v>
      </c>
      <c r="AH31" s="622">
        <f>AG43</f>
        <v>0.9056589744385527</v>
      </c>
    </row>
    <row r="32" spans="1:34" ht="19.149999999999999" customHeight="1">
      <c r="A32" s="643"/>
      <c r="B32" s="182" t="s">
        <v>389</v>
      </c>
      <c r="C32" s="183"/>
      <c r="D32" s="153" t="s">
        <v>141</v>
      </c>
      <c r="E32" s="84"/>
      <c r="F32" s="85">
        <v>35.33</v>
      </c>
      <c r="G32" s="86">
        <v>2150</v>
      </c>
      <c r="H32" s="135">
        <f t="shared" si="22"/>
        <v>75959.5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2080.6451612903229</v>
      </c>
      <c r="O32" s="90">
        <f t="shared" si="24"/>
        <v>173.38709677419357</v>
      </c>
      <c r="P32" s="92">
        <f t="shared" si="18"/>
        <v>0</v>
      </c>
      <c r="Q32" s="93">
        <f t="shared" si="19"/>
        <v>-14.112903225806434</v>
      </c>
      <c r="R32" s="94">
        <f t="shared" si="20"/>
        <v>0.92473118279569899</v>
      </c>
      <c r="S32" s="605"/>
      <c r="T32" s="142">
        <v>0.21180555555555555</v>
      </c>
      <c r="U32" s="142">
        <v>0.25486111111111109</v>
      </c>
      <c r="V32" s="101">
        <v>7</v>
      </c>
      <c r="W32" s="143">
        <f t="shared" si="25"/>
        <v>61.999999999999979</v>
      </c>
      <c r="X32" s="184"/>
      <c r="Y32" s="184"/>
      <c r="Z32" s="185"/>
      <c r="AA32" s="185"/>
      <c r="AB32" s="601"/>
      <c r="AC32" s="601"/>
      <c r="AD32" s="101"/>
      <c r="AE32" s="101"/>
      <c r="AF32" s="92">
        <f t="shared" si="6"/>
        <v>-169.3548387096771</v>
      </c>
      <c r="AG32" s="94">
        <f t="shared" si="7"/>
        <v>0.9247311827956991</v>
      </c>
      <c r="AH32" s="620"/>
    </row>
    <row r="33" spans="1:34" ht="19.149999999999999" customHeight="1">
      <c r="A33" s="643"/>
      <c r="B33" s="182" t="s">
        <v>389</v>
      </c>
      <c r="C33" s="101"/>
      <c r="D33" s="132" t="s">
        <v>142</v>
      </c>
      <c r="E33" s="133"/>
      <c r="F33" s="85">
        <v>36.409999999999997</v>
      </c>
      <c r="G33" s="104">
        <v>2349.5499999999997</v>
      </c>
      <c r="H33" s="135">
        <f t="shared" si="22"/>
        <v>85547.115499999985</v>
      </c>
      <c r="I33" s="101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2104.0746268656717</v>
      </c>
      <c r="O33" s="90">
        <f t="shared" si="24"/>
        <v>210.40746268656716</v>
      </c>
      <c r="P33" s="92">
        <f t="shared" si="18"/>
        <v>0</v>
      </c>
      <c r="Q33" s="93">
        <f t="shared" si="19"/>
        <v>-14.592537313432842</v>
      </c>
      <c r="R33" s="94">
        <f t="shared" si="20"/>
        <v>0.93514427860696514</v>
      </c>
      <c r="S33" s="605"/>
      <c r="T33" s="142">
        <v>0.25902777777777775</v>
      </c>
      <c r="U33" s="142">
        <v>0.30555555555555552</v>
      </c>
      <c r="V33" s="101">
        <v>6</v>
      </c>
      <c r="W33" s="143">
        <f t="shared" si="25"/>
        <v>67</v>
      </c>
      <c r="X33" s="184"/>
      <c r="Y33" s="184"/>
      <c r="Z33" s="185"/>
      <c r="AA33" s="185"/>
      <c r="AB33" s="601"/>
      <c r="AC33" s="601"/>
      <c r="AD33" s="101"/>
      <c r="AE33" s="101"/>
      <c r="AF33" s="92">
        <f t="shared" si="6"/>
        <v>-145.92537313432831</v>
      </c>
      <c r="AG33" s="186">
        <f t="shared" si="7"/>
        <v>0.93514427860696514</v>
      </c>
      <c r="AH33" s="620"/>
    </row>
    <row r="34" spans="1:34" ht="19.149999999999999" customHeight="1">
      <c r="A34" s="643"/>
      <c r="B34" s="182" t="s">
        <v>390</v>
      </c>
      <c r="C34" s="187"/>
      <c r="D34" s="132" t="s">
        <v>143</v>
      </c>
      <c r="E34" s="133"/>
      <c r="F34" s="85">
        <v>49.91</v>
      </c>
      <c r="G34" s="104">
        <v>816</v>
      </c>
      <c r="H34" s="135">
        <f t="shared" si="22"/>
        <v>40726.559999999998</v>
      </c>
      <c r="I34" s="101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1323.2432432432422</v>
      </c>
      <c r="O34" s="90">
        <f t="shared" si="24"/>
        <v>73.513513513513459</v>
      </c>
      <c r="P34" s="92">
        <f t="shared" si="18"/>
        <v>0</v>
      </c>
      <c r="Q34" s="93">
        <f t="shared" si="19"/>
        <v>-9.8198198198198696</v>
      </c>
      <c r="R34" s="94">
        <f t="shared" si="20"/>
        <v>0.88216216216216159</v>
      </c>
      <c r="S34" s="605"/>
      <c r="T34" s="142">
        <v>0.32152777777777775</v>
      </c>
      <c r="U34" s="142">
        <v>0.34722222222222221</v>
      </c>
      <c r="V34" s="101">
        <v>23</v>
      </c>
      <c r="W34" s="143">
        <f t="shared" si="25"/>
        <v>37.000000000000028</v>
      </c>
      <c r="X34" s="184">
        <v>0.30902777777777779</v>
      </c>
      <c r="Y34" s="184">
        <v>0.31875000000000003</v>
      </c>
      <c r="Z34" s="185"/>
      <c r="AA34" s="185"/>
      <c r="AB34" s="601"/>
      <c r="AC34" s="601"/>
      <c r="AD34" s="101"/>
      <c r="AE34" s="101"/>
      <c r="AF34" s="92">
        <f t="shared" si="6"/>
        <v>-176.7567567567578</v>
      </c>
      <c r="AG34" s="186">
        <f t="shared" si="7"/>
        <v>0.88216216216216148</v>
      </c>
      <c r="AH34" s="620"/>
    </row>
    <row r="35" spans="1:34" ht="19.149999999999999" customHeight="1">
      <c r="A35" s="643"/>
      <c r="B35" s="182" t="s">
        <v>390</v>
      </c>
      <c r="C35" s="82"/>
      <c r="D35" s="83" t="s">
        <v>144</v>
      </c>
      <c r="E35" s="84"/>
      <c r="F35" s="85">
        <v>53.27</v>
      </c>
      <c r="G35" s="188">
        <v>1340</v>
      </c>
      <c r="H35" s="135">
        <f t="shared" si="22"/>
        <v>71381.8</v>
      </c>
      <c r="I35" s="65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1339.9999999999993</v>
      </c>
      <c r="O35" s="90">
        <f t="shared" si="24"/>
        <v>74.4444444444444</v>
      </c>
      <c r="P35" s="92">
        <f t="shared" si="18"/>
        <v>0</v>
      </c>
      <c r="Q35" s="93">
        <f t="shared" si="19"/>
        <v>-8.8888888888889284</v>
      </c>
      <c r="R35" s="94">
        <f t="shared" si="20"/>
        <v>0.89333333333333287</v>
      </c>
      <c r="S35" s="605"/>
      <c r="T35" s="142">
        <v>0.3520833333333333</v>
      </c>
      <c r="U35" s="142">
        <v>0.39374999999999999</v>
      </c>
      <c r="V35" s="101">
        <v>7</v>
      </c>
      <c r="W35" s="143">
        <f t="shared" si="25"/>
        <v>60.000000000000028</v>
      </c>
      <c r="X35" s="184"/>
      <c r="Y35" s="184"/>
      <c r="Z35" s="185"/>
      <c r="AA35" s="185"/>
      <c r="AB35" s="601"/>
      <c r="AC35" s="601"/>
      <c r="AD35" s="101"/>
      <c r="AE35" s="101"/>
      <c r="AF35" s="92">
        <f t="shared" si="6"/>
        <v>-160.00000000000068</v>
      </c>
      <c r="AG35" s="186">
        <f t="shared" si="7"/>
        <v>0.89333333333333287</v>
      </c>
      <c r="AH35" s="623"/>
    </row>
    <row r="36" spans="1:34" ht="19.149999999999999" customHeight="1">
      <c r="A36" s="643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2702</v>
      </c>
      <c r="H36" s="135">
        <f t="shared" si="22"/>
        <v>78663.730886850142</v>
      </c>
      <c r="I36" s="101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1266.5624999999998</v>
      </c>
      <c r="O36" s="90">
        <f t="shared" si="24"/>
        <v>70.364583333333314</v>
      </c>
      <c r="P36" s="92">
        <f t="shared" si="18"/>
        <v>-1</v>
      </c>
      <c r="Q36" s="93">
        <f t="shared" si="19"/>
        <v>-8.5827850877193157</v>
      </c>
      <c r="R36" s="94">
        <f t="shared" si="20"/>
        <v>0.89128472222222199</v>
      </c>
      <c r="S36" s="605"/>
      <c r="T36" s="142">
        <v>0.40902777777777777</v>
      </c>
      <c r="U36" s="142">
        <v>0.49791666666666667</v>
      </c>
      <c r="V36" s="101">
        <v>22</v>
      </c>
      <c r="W36" s="143">
        <f t="shared" si="25"/>
        <v>128.00000000000003</v>
      </c>
      <c r="X36" s="184">
        <v>0.3972222222222222</v>
      </c>
      <c r="Y36" s="184">
        <v>0.40625</v>
      </c>
      <c r="Z36" s="185"/>
      <c r="AA36" s="185"/>
      <c r="AB36" s="601"/>
      <c r="AC36" s="601"/>
      <c r="AD36" s="101"/>
      <c r="AE36" s="101"/>
      <c r="AF36" s="92">
        <f t="shared" si="6"/>
        <v>-233.43750000000023</v>
      </c>
      <c r="AG36" s="186">
        <f t="shared" si="7"/>
        <v>0.84437499999999988</v>
      </c>
      <c r="AH36" s="623"/>
    </row>
    <row r="37" spans="1:34" ht="19.149999999999999" customHeight="1">
      <c r="A37" s="643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101"/>
      <c r="J37" s="89"/>
      <c r="K37" s="86"/>
      <c r="L37" s="90"/>
      <c r="M37" s="189"/>
      <c r="N37" s="86"/>
      <c r="O37" s="90"/>
      <c r="P37" s="92"/>
      <c r="Q37" s="93"/>
      <c r="R37" s="94"/>
      <c r="S37" s="605"/>
      <c r="T37" s="142"/>
      <c r="U37" s="142"/>
      <c r="V37" s="101"/>
      <c r="W37" s="143"/>
      <c r="X37" s="184"/>
      <c r="Y37" s="184"/>
      <c r="Z37" s="185"/>
      <c r="AA37" s="185"/>
      <c r="AB37" s="601"/>
      <c r="AC37" s="601"/>
      <c r="AD37" s="101"/>
      <c r="AE37" s="101"/>
      <c r="AF37" s="92">
        <f t="shared" si="6"/>
        <v>0</v>
      </c>
      <c r="AG37" s="186" t="e">
        <f t="shared" si="7"/>
        <v>#DIV/0!</v>
      </c>
      <c r="AH37" s="623"/>
    </row>
    <row r="38" spans="1:34" ht="19.149999999999999" customHeight="1">
      <c r="A38" s="643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101"/>
      <c r="J38" s="89"/>
      <c r="K38" s="86"/>
      <c r="L38" s="90"/>
      <c r="M38" s="189"/>
      <c r="N38" s="86"/>
      <c r="O38" s="90"/>
      <c r="P38" s="92"/>
      <c r="Q38" s="93"/>
      <c r="R38" s="94"/>
      <c r="S38" s="605"/>
      <c r="T38" s="142"/>
      <c r="U38" s="142"/>
      <c r="V38" s="101"/>
      <c r="W38" s="143"/>
      <c r="X38" s="184"/>
      <c r="Y38" s="184"/>
      <c r="Z38" s="185"/>
      <c r="AA38" s="185"/>
      <c r="AB38" s="601"/>
      <c r="AC38" s="601"/>
      <c r="AD38" s="101"/>
      <c r="AE38" s="101"/>
      <c r="AF38" s="92">
        <f t="shared" si="6"/>
        <v>0</v>
      </c>
      <c r="AG38" s="186" t="e">
        <f t="shared" si="7"/>
        <v>#DIV/0!</v>
      </c>
      <c r="AH38" s="623"/>
    </row>
    <row r="39" spans="1:34" ht="19.149999999999999" customHeight="1">
      <c r="A39" s="643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101"/>
      <c r="J39" s="89"/>
      <c r="K39" s="86"/>
      <c r="L39" s="90"/>
      <c r="M39" s="189"/>
      <c r="N39" s="86"/>
      <c r="O39" s="90"/>
      <c r="P39" s="92"/>
      <c r="Q39" s="93"/>
      <c r="R39" s="94"/>
      <c r="S39" s="605"/>
      <c r="T39" s="142"/>
      <c r="U39" s="142"/>
      <c r="V39" s="101"/>
      <c r="W39" s="143"/>
      <c r="X39" s="184"/>
      <c r="Y39" s="184"/>
      <c r="Z39" s="185"/>
      <c r="AA39" s="185"/>
      <c r="AB39" s="601"/>
      <c r="AC39" s="601"/>
      <c r="AD39" s="101"/>
      <c r="AE39" s="101"/>
      <c r="AF39" s="92"/>
      <c r="AG39" s="191"/>
      <c r="AH39" s="623"/>
    </row>
    <row r="40" spans="1:34" ht="19.149999999999999" customHeight="1">
      <c r="A40" s="643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65"/>
      <c r="J40" s="193"/>
      <c r="K40" s="194"/>
      <c r="L40" s="195"/>
      <c r="M40" s="91"/>
      <c r="N40" s="86"/>
      <c r="O40" s="90"/>
      <c r="P40" s="92"/>
      <c r="Q40" s="93"/>
      <c r="R40" s="94"/>
      <c r="S40" s="605"/>
      <c r="T40" s="142"/>
      <c r="U40" s="142"/>
      <c r="V40" s="101"/>
      <c r="W40" s="143">
        <f t="shared" si="25"/>
        <v>0</v>
      </c>
      <c r="X40" s="184"/>
      <c r="Y40" s="184"/>
      <c r="Z40" s="185"/>
      <c r="AA40" s="185"/>
      <c r="AB40" s="601"/>
      <c r="AC40" s="601"/>
      <c r="AD40" s="101"/>
      <c r="AE40" s="101"/>
      <c r="AF40" s="92"/>
      <c r="AG40" s="191"/>
      <c r="AH40" s="623"/>
    </row>
    <row r="41" spans="1:34" ht="19.149999999999999" customHeight="1">
      <c r="A41" s="643"/>
      <c r="B41" s="101">
        <v>0</v>
      </c>
      <c r="C41" s="102"/>
      <c r="D41" s="132"/>
      <c r="E41" s="133"/>
      <c r="F41" s="85" t="s">
        <v>391</v>
      </c>
      <c r="G41" s="104"/>
      <c r="H41" s="135"/>
      <c r="I41" s="101"/>
      <c r="J41" s="138"/>
      <c r="K41" s="104"/>
      <c r="L41" s="137"/>
      <c r="M41" s="189"/>
      <c r="N41" s="104"/>
      <c r="O41" s="137"/>
      <c r="P41" s="100"/>
      <c r="Q41" s="139"/>
      <c r="R41" s="140"/>
      <c r="S41" s="605"/>
      <c r="T41" s="142"/>
      <c r="U41" s="142"/>
      <c r="V41" s="101"/>
      <c r="W41" s="143">
        <f t="shared" si="25"/>
        <v>0</v>
      </c>
      <c r="X41" s="184"/>
      <c r="Y41" s="184"/>
      <c r="Z41" s="185"/>
      <c r="AA41" s="185"/>
      <c r="AB41" s="601"/>
      <c r="AC41" s="601"/>
      <c r="AD41" s="101"/>
      <c r="AE41" s="101"/>
      <c r="AF41" s="92"/>
      <c r="AG41" s="191"/>
      <c r="AH41" s="623"/>
    </row>
    <row r="42" spans="1:34" ht="19.149999999999999" customHeight="1">
      <c r="A42" s="643"/>
      <c r="B42" s="101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101"/>
      <c r="J42" s="138"/>
      <c r="K42" s="104"/>
      <c r="L42" s="137"/>
      <c r="M42" s="189"/>
      <c r="N42" s="104"/>
      <c r="O42" s="137"/>
      <c r="P42" s="100"/>
      <c r="Q42" s="139"/>
      <c r="R42" s="140"/>
      <c r="S42" s="605"/>
      <c r="T42" s="142"/>
      <c r="U42" s="142"/>
      <c r="V42" s="101"/>
      <c r="W42" s="143">
        <f t="shared" si="25"/>
        <v>0</v>
      </c>
      <c r="X42" s="184"/>
      <c r="Y42" s="184"/>
      <c r="Z42" s="185"/>
      <c r="AA42" s="185"/>
      <c r="AB42" s="601"/>
      <c r="AC42" s="601"/>
      <c r="AD42" s="101"/>
      <c r="AE42" s="101"/>
      <c r="AF42" s="92"/>
      <c r="AG42" s="191"/>
      <c r="AH42" s="623"/>
    </row>
    <row r="43" spans="1:34" ht="19.149999999999999" customHeight="1">
      <c r="A43" s="643"/>
      <c r="B43" s="182">
        <v>0</v>
      </c>
      <c r="C43" s="156" t="s">
        <v>260</v>
      </c>
      <c r="D43" s="602" t="s">
        <v>256</v>
      </c>
      <c r="E43" s="602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1698.1105770722863</v>
      </c>
      <c r="O43" s="161">
        <f t="shared" si="26"/>
        <v>126.9443620616815</v>
      </c>
      <c r="P43" s="100">
        <f>M43-J43</f>
        <v>-0.16666666666666607</v>
      </c>
      <c r="Q43" s="139">
        <f>N43-K43</f>
        <v>-176.88942292771367</v>
      </c>
      <c r="R43" s="162">
        <f t="shared" ref="R43:R46" si="27">O43/L43</f>
        <v>0.91635521884396876</v>
      </c>
      <c r="S43" s="605"/>
      <c r="T43" s="142"/>
      <c r="U43" s="142"/>
      <c r="V43" s="101"/>
      <c r="W43" s="101"/>
      <c r="X43" s="184"/>
      <c r="Y43" s="184"/>
      <c r="Z43" s="197">
        <f>SUM(Z31:Z42)</f>
        <v>0</v>
      </c>
      <c r="AA43" s="197">
        <f>SUM(AA31:AA42)</f>
        <v>0</v>
      </c>
      <c r="AB43" s="601"/>
      <c r="AC43" s="601"/>
      <c r="AD43" s="164">
        <f>SUM(AD31:AD42)</f>
        <v>0</v>
      </c>
      <c r="AE43" s="164">
        <f>SUM(AE31:AE42)</f>
        <v>0</v>
      </c>
      <c r="AF43" s="92">
        <f t="shared" ref="AF43:AF52" si="28">N43-K43</f>
        <v>-176.88942292771367</v>
      </c>
      <c r="AG43" s="114">
        <f t="shared" si="7"/>
        <v>0.9056589744385527</v>
      </c>
      <c r="AH43" s="623"/>
    </row>
    <row r="44" spans="1:34" s="213" customFormat="1" ht="19.149999999999999" customHeight="1">
      <c r="A44" s="638" t="s">
        <v>261</v>
      </c>
      <c r="B44" s="152" t="s">
        <v>388</v>
      </c>
      <c r="C44" s="198"/>
      <c r="D44" s="83" t="s">
        <v>262</v>
      </c>
      <c r="E44" s="84"/>
      <c r="F44" s="199">
        <v>31.43</v>
      </c>
      <c r="G44" s="200">
        <v>3341.4</v>
      </c>
      <c r="H44" s="87">
        <f>F44*G44</f>
        <v>105020.202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1382.6482758620687</v>
      </c>
      <c r="O44" s="204">
        <f>N44/M44</f>
        <v>230.44137931034479</v>
      </c>
      <c r="P44" s="97">
        <f t="shared" ref="P44:P45" si="29">M44-J44</f>
        <v>0</v>
      </c>
      <c r="Q44" s="205">
        <f t="shared" ref="Q44:Q45" si="30">O44-L44</f>
        <v>-19.558620689655214</v>
      </c>
      <c r="R44" s="206">
        <f t="shared" si="27"/>
        <v>0.92176551724137912</v>
      </c>
      <c r="S44" s="620">
        <f>R56</f>
        <v>0.86755244422322741</v>
      </c>
      <c r="T44" s="207">
        <v>0.16666666666666666</v>
      </c>
      <c r="U44" s="207">
        <v>0.2673611111111111</v>
      </c>
      <c r="V44" s="208">
        <v>5</v>
      </c>
      <c r="W44" s="209">
        <f t="shared" ref="W44:W56" si="31">(U44-T44)*24*60</f>
        <v>145.00000000000003</v>
      </c>
      <c r="X44" s="184"/>
      <c r="Y44" s="184"/>
      <c r="Z44" s="185"/>
      <c r="AA44" s="185"/>
      <c r="AB44" s="601"/>
      <c r="AC44" s="601"/>
      <c r="AD44" s="101"/>
      <c r="AE44" s="101"/>
      <c r="AF44" s="210">
        <f t="shared" si="28"/>
        <v>-117.35172413793134</v>
      </c>
      <c r="AG44" s="211">
        <f t="shared" si="7"/>
        <v>0.92176551724137912</v>
      </c>
      <c r="AH44" s="641">
        <f>AG56</f>
        <v>0.91176567275483411</v>
      </c>
    </row>
    <row r="45" spans="1:34" s="213" customFormat="1" ht="19.149999999999999" customHeight="1">
      <c r="A45" s="639"/>
      <c r="B45" s="152" t="s">
        <v>388</v>
      </c>
      <c r="C45" s="198"/>
      <c r="D45" s="83" t="s">
        <v>148</v>
      </c>
      <c r="E45" s="84"/>
      <c r="F45" s="199">
        <v>11.6</v>
      </c>
      <c r="G45" s="200">
        <v>2487</v>
      </c>
      <c r="H45" s="87">
        <f>F45*G45</f>
        <v>28849.200000000001</v>
      </c>
      <c r="I45" s="214"/>
      <c r="J45" s="202">
        <v>6</v>
      </c>
      <c r="K45" s="203">
        <v>1636</v>
      </c>
      <c r="L45" s="204">
        <v>272.66666666666669</v>
      </c>
      <c r="M45" s="110">
        <v>7</v>
      </c>
      <c r="N45" s="203">
        <f>G45/W45*60</f>
        <v>1434.8076923076931</v>
      </c>
      <c r="O45" s="204">
        <f>N45/M45</f>
        <v>204.97252747252759</v>
      </c>
      <c r="P45" s="97">
        <f t="shared" si="29"/>
        <v>1</v>
      </c>
      <c r="Q45" s="205">
        <f t="shared" si="30"/>
        <v>-67.694139194139098</v>
      </c>
      <c r="R45" s="206">
        <f t="shared" si="27"/>
        <v>0.75173298584056569</v>
      </c>
      <c r="S45" s="620"/>
      <c r="T45" s="207">
        <v>0.28819444444444442</v>
      </c>
      <c r="U45" s="207">
        <v>0.36041666666666661</v>
      </c>
      <c r="V45" s="208">
        <v>30</v>
      </c>
      <c r="W45" s="209">
        <f t="shared" si="31"/>
        <v>103.99999999999994</v>
      </c>
      <c r="X45" s="184">
        <v>0.27083333333333331</v>
      </c>
      <c r="Y45" s="184">
        <v>0.28541666666666665</v>
      </c>
      <c r="Z45" s="185"/>
      <c r="AA45" s="185"/>
      <c r="AB45" s="601"/>
      <c r="AC45" s="601"/>
      <c r="AD45" s="101"/>
      <c r="AE45" s="101"/>
      <c r="AF45" s="210">
        <f t="shared" si="28"/>
        <v>-201.19230769230694</v>
      </c>
      <c r="AG45" s="211">
        <f t="shared" si="7"/>
        <v>0.87702181681399327</v>
      </c>
      <c r="AH45" s="641"/>
    </row>
    <row r="46" spans="1:34" s="213" customFormat="1" ht="19.149999999999999" customHeight="1">
      <c r="A46" s="639"/>
      <c r="B46" s="152" t="s">
        <v>390</v>
      </c>
      <c r="C46" s="198"/>
      <c r="D46" s="83" t="s">
        <v>149</v>
      </c>
      <c r="E46" s="84"/>
      <c r="F46" s="199">
        <v>10.09</v>
      </c>
      <c r="G46" s="200">
        <v>4557.3499999999995</v>
      </c>
      <c r="H46" s="87">
        <f t="shared" ref="H46:H51" si="32">F46*G46</f>
        <v>45983.661499999995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1409.4896907216491</v>
      </c>
      <c r="O46" s="204">
        <f>N46/M46</f>
        <v>234.91494845360819</v>
      </c>
      <c r="P46" s="97">
        <f>M46-J46</f>
        <v>0</v>
      </c>
      <c r="Q46" s="205">
        <f>O46-L46</f>
        <v>-15.08505154639181</v>
      </c>
      <c r="R46" s="206">
        <f t="shared" si="27"/>
        <v>0.93965979381443276</v>
      </c>
      <c r="S46" s="620"/>
      <c r="T46" s="207">
        <v>0.38124999999999992</v>
      </c>
      <c r="U46" s="207">
        <v>0.51597222222222217</v>
      </c>
      <c r="V46" s="208">
        <v>30</v>
      </c>
      <c r="W46" s="209">
        <f t="shared" si="31"/>
        <v>194.00000000000003</v>
      </c>
      <c r="X46" s="184">
        <v>0.36388888888888887</v>
      </c>
      <c r="Y46" s="184">
        <v>0.37847222222222227</v>
      </c>
      <c r="Z46" s="185"/>
      <c r="AA46" s="185"/>
      <c r="AB46" s="601"/>
      <c r="AC46" s="601"/>
      <c r="AD46" s="101"/>
      <c r="AE46" s="101"/>
      <c r="AF46" s="210">
        <f t="shared" si="28"/>
        <v>-90.51030927835086</v>
      </c>
      <c r="AG46" s="211">
        <f t="shared" si="7"/>
        <v>0.93965979381443276</v>
      </c>
      <c r="AH46" s="641"/>
    </row>
    <row r="47" spans="1:34" s="213" customFormat="1" ht="19.149999999999999" customHeight="1">
      <c r="A47" s="639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0"/>
      <c r="T47" s="207"/>
      <c r="U47" s="207"/>
      <c r="V47" s="203"/>
      <c r="W47" s="209"/>
      <c r="X47" s="184"/>
      <c r="Y47" s="184"/>
      <c r="Z47" s="185"/>
      <c r="AA47" s="185"/>
      <c r="AB47" s="601"/>
      <c r="AC47" s="601"/>
      <c r="AD47" s="101"/>
      <c r="AE47" s="101"/>
      <c r="AF47" s="210">
        <f t="shared" si="28"/>
        <v>0</v>
      </c>
      <c r="AG47" s="211" t="e">
        <f t="shared" si="7"/>
        <v>#DIV/0!</v>
      </c>
      <c r="AH47" s="641"/>
    </row>
    <row r="48" spans="1:34" s="213" customFormat="1" ht="19.149999999999999" customHeight="1">
      <c r="A48" s="639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0"/>
      <c r="T48" s="219"/>
      <c r="U48" s="219"/>
      <c r="V48" s="200"/>
      <c r="W48" s="209"/>
      <c r="X48" s="184"/>
      <c r="Y48" s="184"/>
      <c r="Z48" s="185"/>
      <c r="AA48" s="185"/>
      <c r="AB48" s="601"/>
      <c r="AC48" s="601"/>
      <c r="AD48" s="101"/>
      <c r="AE48" s="101"/>
      <c r="AF48" s="210">
        <f t="shared" si="28"/>
        <v>0</v>
      </c>
      <c r="AG48" s="211" t="e">
        <f t="shared" si="7"/>
        <v>#DIV/0!</v>
      </c>
      <c r="AH48" s="641"/>
    </row>
    <row r="49" spans="1:34" s="213" customFormat="1" ht="19.149999999999999" customHeight="1">
      <c r="A49" s="639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0"/>
      <c r="T49" s="219"/>
      <c r="U49" s="219"/>
      <c r="V49" s="200"/>
      <c r="W49" s="209"/>
      <c r="X49" s="220"/>
      <c r="Y49" s="220"/>
      <c r="Z49" s="221"/>
      <c r="AA49" s="185"/>
      <c r="AB49" s="601"/>
      <c r="AC49" s="601"/>
      <c r="AD49" s="101"/>
      <c r="AE49" s="101"/>
      <c r="AF49" s="210">
        <f t="shared" si="28"/>
        <v>0</v>
      </c>
      <c r="AG49" s="211" t="e">
        <f t="shared" si="7"/>
        <v>#DIV/0!</v>
      </c>
      <c r="AH49" s="641"/>
    </row>
    <row r="50" spans="1:34" s="213" customFormat="1" ht="19.149999999999999" customHeight="1">
      <c r="A50" s="639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0"/>
      <c r="T50" s="219"/>
      <c r="U50" s="219"/>
      <c r="V50" s="200"/>
      <c r="W50" s="209"/>
      <c r="X50" s="220"/>
      <c r="Y50" s="220"/>
      <c r="Z50" s="221"/>
      <c r="AA50" s="221"/>
      <c r="AB50" s="601"/>
      <c r="AC50" s="601"/>
      <c r="AD50" s="101"/>
      <c r="AE50" s="101"/>
      <c r="AF50" s="210">
        <f t="shared" si="28"/>
        <v>0</v>
      </c>
      <c r="AG50" s="211" t="e">
        <f t="shared" si="7"/>
        <v>#DIV/0!</v>
      </c>
      <c r="AH50" s="641"/>
    </row>
    <row r="51" spans="1:34" s="213" customFormat="1" ht="19.149999999999999" customHeight="1">
      <c r="A51" s="639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0"/>
      <c r="T51" s="219"/>
      <c r="U51" s="219"/>
      <c r="V51" s="200"/>
      <c r="W51" s="209"/>
      <c r="X51" s="220"/>
      <c r="Y51" s="220"/>
      <c r="Z51" s="221"/>
      <c r="AA51" s="221"/>
      <c r="AB51" s="601"/>
      <c r="AC51" s="601"/>
      <c r="AD51" s="101"/>
      <c r="AE51" s="101"/>
      <c r="AF51" s="210">
        <f t="shared" si="28"/>
        <v>0</v>
      </c>
      <c r="AG51" s="211" t="e">
        <f t="shared" si="7"/>
        <v>#DIV/0!</v>
      </c>
      <c r="AH51" s="641"/>
    </row>
    <row r="52" spans="1:34" s="213" customFormat="1" ht="19.149999999999999" customHeight="1">
      <c r="A52" s="639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0"/>
      <c r="S52" s="620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01"/>
      <c r="AC52" s="601"/>
      <c r="AD52" s="101"/>
      <c r="AE52" s="101"/>
      <c r="AF52" s="210">
        <f t="shared" si="28"/>
        <v>0</v>
      </c>
      <c r="AG52" s="211" t="e">
        <f t="shared" si="7"/>
        <v>#DIV/0!</v>
      </c>
      <c r="AH52" s="641"/>
    </row>
    <row r="53" spans="1:34" s="213" customFormat="1" ht="19.149999999999999" customHeight="1">
      <c r="A53" s="639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0"/>
      <c r="S53" s="620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01"/>
      <c r="AC53" s="601"/>
      <c r="AD53" s="101"/>
      <c r="AE53" s="101"/>
      <c r="AF53" s="210"/>
      <c r="AG53" s="211"/>
      <c r="AH53" s="641"/>
    </row>
    <row r="54" spans="1:34" s="213" customFormat="1" ht="19.149999999999999" customHeight="1">
      <c r="A54" s="639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0"/>
      <c r="S54" s="620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01"/>
      <c r="AC54" s="601"/>
      <c r="AD54" s="101"/>
      <c r="AE54" s="101"/>
      <c r="AF54" s="210"/>
      <c r="AG54" s="211"/>
      <c r="AH54" s="641"/>
    </row>
    <row r="55" spans="1:34" s="213" customFormat="1" ht="19.149999999999999" customHeight="1">
      <c r="A55" s="639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0"/>
      <c r="S55" s="620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01"/>
      <c r="AC55" s="601"/>
      <c r="AD55" s="101"/>
      <c r="AE55" s="101"/>
      <c r="AF55" s="210"/>
      <c r="AG55" s="211"/>
      <c r="AH55" s="641"/>
    </row>
    <row r="56" spans="1:34" ht="19.149999999999999" customHeight="1">
      <c r="A56" s="640"/>
      <c r="B56" s="226">
        <v>0</v>
      </c>
      <c r="C56" s="156" t="s">
        <v>263</v>
      </c>
      <c r="D56" s="602" t="s">
        <v>256</v>
      </c>
      <c r="E56" s="602"/>
      <c r="F56" s="157"/>
      <c r="G56" s="158"/>
      <c r="H56" s="159"/>
      <c r="I56" s="160"/>
      <c r="J56" s="158">
        <v>6</v>
      </c>
      <c r="K56" s="158">
        <v>1545.3333333333333</v>
      </c>
      <c r="L56" s="161">
        <v>257.5555555555556</v>
      </c>
      <c r="M56" s="158">
        <f t="shared" ref="M56:O56" si="33">AVERAGE(M44:M55)</f>
        <v>6.333333333333333</v>
      </c>
      <c r="N56" s="158">
        <f t="shared" si="33"/>
        <v>1408.981886297137</v>
      </c>
      <c r="O56" s="161">
        <f t="shared" si="33"/>
        <v>223.4429517454935</v>
      </c>
      <c r="P56" s="227">
        <f>M56-J56</f>
        <v>0.33333333333333304</v>
      </c>
      <c r="Q56" s="176">
        <f>N56-K56</f>
        <v>-136.3514470361963</v>
      </c>
      <c r="R56" s="228">
        <f t="shared" ref="R56:R60" si="34">O56/L56</f>
        <v>0.86755244422322741</v>
      </c>
      <c r="S56" s="620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01"/>
      <c r="AC56" s="601"/>
      <c r="AD56" s="164">
        <f>SUM(AD44:AD55)</f>
        <v>0</v>
      </c>
      <c r="AE56" s="164">
        <f>SUM(AE44:AE55)</f>
        <v>0</v>
      </c>
      <c r="AF56" s="232">
        <f>N56-K56</f>
        <v>-136.3514470361963</v>
      </c>
      <c r="AG56" s="140">
        <f>N56/K56</f>
        <v>0.91176567275483411</v>
      </c>
      <c r="AH56" s="641"/>
    </row>
    <row r="57" spans="1:34" ht="19.149999999999999" customHeight="1">
      <c r="A57" s="634" t="s">
        <v>264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1659</v>
      </c>
      <c r="H57" s="135">
        <f t="shared" ref="H57:H66" si="35">F57*G57</f>
        <v>46883.340000000004</v>
      </c>
      <c r="I57" s="101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1309.7368421052629</v>
      </c>
      <c r="O57" s="137">
        <f t="shared" ref="O57:O60" si="37">N57/M57</f>
        <v>187.10526315789471</v>
      </c>
      <c r="P57" s="235">
        <f t="shared" ref="P57:P60" si="38">M57-J57</f>
        <v>1</v>
      </c>
      <c r="Q57" s="93">
        <f t="shared" ref="Q57:Q60" si="39">O57-L57</f>
        <v>-62.894736842105289</v>
      </c>
      <c r="R57" s="94">
        <f t="shared" si="34"/>
        <v>0.74842105263157888</v>
      </c>
      <c r="S57" s="620">
        <f>R69</f>
        <v>0.83049210314900734</v>
      </c>
      <c r="T57" s="207">
        <v>0.16666666666666666</v>
      </c>
      <c r="U57" s="207">
        <v>0.21944444444444444</v>
      </c>
      <c r="V57" s="65">
        <v>5</v>
      </c>
      <c r="W57" s="88">
        <f>(U57-T57)*24*60</f>
        <v>76.000000000000014</v>
      </c>
      <c r="X57" s="99"/>
      <c r="Y57" s="99"/>
      <c r="Z57" s="100"/>
      <c r="AA57" s="100"/>
      <c r="AB57" s="601"/>
      <c r="AC57" s="601"/>
      <c r="AD57" s="101"/>
      <c r="AE57" s="101"/>
      <c r="AF57" s="92">
        <f t="shared" si="6"/>
        <v>-190.26315789473711</v>
      </c>
      <c r="AG57" s="177">
        <f t="shared" si="7"/>
        <v>0.87315789473684191</v>
      </c>
      <c r="AH57" s="622">
        <f>AG69</f>
        <v>0.93036624238058141</v>
      </c>
    </row>
    <row r="58" spans="1:34" ht="19.149999999999999" customHeight="1">
      <c r="A58" s="635"/>
      <c r="B58" s="152" t="s">
        <v>388</v>
      </c>
      <c r="C58" s="147"/>
      <c r="D58" s="83" t="s">
        <v>153</v>
      </c>
      <c r="E58" s="84"/>
      <c r="F58" s="85">
        <v>27.88</v>
      </c>
      <c r="G58" s="200">
        <v>2495</v>
      </c>
      <c r="H58" s="87">
        <f t="shared" si="35"/>
        <v>69560.599999999991</v>
      </c>
      <c r="I58" s="65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1453.3980582524273</v>
      </c>
      <c r="O58" s="90">
        <f t="shared" si="37"/>
        <v>207.62829403606105</v>
      </c>
      <c r="P58" s="235">
        <f t="shared" si="38"/>
        <v>1</v>
      </c>
      <c r="Q58" s="93">
        <f t="shared" si="39"/>
        <v>-42.37170596393895</v>
      </c>
      <c r="R58" s="94">
        <f t="shared" si="34"/>
        <v>0.83051317614424425</v>
      </c>
      <c r="S58" s="620"/>
      <c r="T58" s="236">
        <v>0.22500000000000001</v>
      </c>
      <c r="U58" s="236">
        <v>0.29652777777777778</v>
      </c>
      <c r="V58" s="65">
        <v>8</v>
      </c>
      <c r="W58" s="88">
        <f>(U58-T58)*24*60</f>
        <v>103</v>
      </c>
      <c r="X58" s="99"/>
      <c r="Y58" s="99"/>
      <c r="Z58" s="100"/>
      <c r="AA58" s="100"/>
      <c r="AB58" s="636"/>
      <c r="AC58" s="637"/>
      <c r="AD58" s="101"/>
      <c r="AE58" s="101"/>
      <c r="AF58" s="92">
        <f t="shared" si="6"/>
        <v>-46.60194174757271</v>
      </c>
      <c r="AG58" s="94">
        <f t="shared" si="7"/>
        <v>0.96893203883495149</v>
      </c>
      <c r="AH58" s="620"/>
    </row>
    <row r="59" spans="1:34" ht="19.149999999999999" customHeight="1">
      <c r="A59" s="635"/>
      <c r="B59" s="152" t="s">
        <v>388</v>
      </c>
      <c r="C59" s="147"/>
      <c r="D59" s="83" t="s">
        <v>154</v>
      </c>
      <c r="E59" s="84"/>
      <c r="F59" s="85">
        <v>28</v>
      </c>
      <c r="G59" s="200">
        <v>2720</v>
      </c>
      <c r="H59" s="87">
        <f t="shared" si="35"/>
        <v>76160</v>
      </c>
      <c r="I59" s="65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1431.578947368421</v>
      </c>
      <c r="O59" s="90">
        <f t="shared" si="37"/>
        <v>204.51127819548873</v>
      </c>
      <c r="P59" s="235">
        <f t="shared" si="38"/>
        <v>1</v>
      </c>
      <c r="Q59" s="93">
        <f t="shared" si="39"/>
        <v>-45.488721804511272</v>
      </c>
      <c r="R59" s="94">
        <f t="shared" si="34"/>
        <v>0.81804511278195491</v>
      </c>
      <c r="S59" s="620"/>
      <c r="T59" s="236">
        <v>0.3125</v>
      </c>
      <c r="U59" s="236">
        <v>0.39166666666666666</v>
      </c>
      <c r="V59" s="208">
        <v>23</v>
      </c>
      <c r="W59" s="88">
        <f>(U59-T59)*24*60</f>
        <v>114</v>
      </c>
      <c r="X59" s="99">
        <v>0.3</v>
      </c>
      <c r="Y59" s="99">
        <v>0.30972222222222223</v>
      </c>
      <c r="Z59" s="100"/>
      <c r="AA59" s="100"/>
      <c r="AB59" s="601"/>
      <c r="AC59" s="601"/>
      <c r="AD59" s="101"/>
      <c r="AE59" s="101"/>
      <c r="AF59" s="92">
        <f t="shared" si="6"/>
        <v>-68.421052631578959</v>
      </c>
      <c r="AG59" s="94">
        <f t="shared" si="7"/>
        <v>0.95438596491228067</v>
      </c>
      <c r="AH59" s="620"/>
    </row>
    <row r="60" spans="1:34" ht="19.149999999999999" customHeight="1">
      <c r="A60" s="635"/>
      <c r="B60" s="152" t="s">
        <v>390</v>
      </c>
      <c r="C60" s="147"/>
      <c r="D60" s="83" t="s">
        <v>149</v>
      </c>
      <c r="E60" s="84"/>
      <c r="F60" s="85">
        <v>10.09</v>
      </c>
      <c r="G60" s="200">
        <v>8463.65</v>
      </c>
      <c r="H60" s="87">
        <f t="shared" si="35"/>
        <v>85398.228499999997</v>
      </c>
      <c r="I60" s="65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1387.4836065573775</v>
      </c>
      <c r="O60" s="90">
        <f t="shared" si="37"/>
        <v>231.2472677595629</v>
      </c>
      <c r="P60" s="235">
        <f t="shared" si="38"/>
        <v>0</v>
      </c>
      <c r="Q60" s="93">
        <f t="shared" si="39"/>
        <v>-18.752732240437098</v>
      </c>
      <c r="R60" s="94">
        <f t="shared" si="34"/>
        <v>0.92498907103825156</v>
      </c>
      <c r="S60" s="620"/>
      <c r="T60" s="236">
        <v>0.3972222222222222</v>
      </c>
      <c r="U60" s="236">
        <v>0.6513888888888888</v>
      </c>
      <c r="V60" s="208">
        <v>8</v>
      </c>
      <c r="W60" s="88">
        <f>(U60-T60)*24*60</f>
        <v>365.99999999999989</v>
      </c>
      <c r="X60" s="99"/>
      <c r="Y60" s="99"/>
      <c r="Z60" s="100"/>
      <c r="AA60" s="100"/>
      <c r="AB60" s="601"/>
      <c r="AC60" s="601"/>
      <c r="AD60" s="101">
        <v>1</v>
      </c>
      <c r="AE60" s="101"/>
      <c r="AF60" s="92">
        <f t="shared" si="6"/>
        <v>-112.51639344262253</v>
      </c>
      <c r="AG60" s="177">
        <f t="shared" si="7"/>
        <v>0.92498907103825168</v>
      </c>
      <c r="AH60" s="620"/>
    </row>
    <row r="61" spans="1:34" ht="19.149999999999999" customHeight="1">
      <c r="A61" s="635"/>
      <c r="B61" s="152">
        <v>0</v>
      </c>
      <c r="C61" s="147"/>
      <c r="D61" s="83"/>
      <c r="E61" s="84"/>
      <c r="F61" s="85"/>
      <c r="G61" s="200"/>
      <c r="H61" s="87"/>
      <c r="I61" s="65"/>
      <c r="J61" s="89"/>
      <c r="K61" s="86"/>
      <c r="L61" s="137"/>
      <c r="M61" s="110"/>
      <c r="N61" s="86"/>
      <c r="O61" s="90"/>
      <c r="P61" s="235"/>
      <c r="Q61" s="93"/>
      <c r="R61" s="94"/>
      <c r="S61" s="620"/>
      <c r="T61" s="236"/>
      <c r="U61" s="236"/>
      <c r="V61" s="208"/>
      <c r="W61" s="88"/>
      <c r="X61" s="99"/>
      <c r="Y61" s="99"/>
      <c r="Z61" s="100"/>
      <c r="AA61" s="100"/>
      <c r="AB61" s="601"/>
      <c r="AC61" s="601"/>
      <c r="AD61" s="101"/>
      <c r="AE61" s="101"/>
      <c r="AF61" s="92">
        <f t="shared" si="6"/>
        <v>0</v>
      </c>
      <c r="AG61" s="177" t="e">
        <f t="shared" si="7"/>
        <v>#DIV/0!</v>
      </c>
      <c r="AH61" s="620"/>
    </row>
    <row r="62" spans="1:34" ht="19.149999999999999" customHeight="1">
      <c r="A62" s="635"/>
      <c r="B62" s="152">
        <v>0</v>
      </c>
      <c r="C62" s="147"/>
      <c r="D62" s="83"/>
      <c r="E62" s="84"/>
      <c r="F62" s="85" t="s">
        <v>391</v>
      </c>
      <c r="G62" s="200"/>
      <c r="H62" s="87">
        <f t="shared" si="35"/>
        <v>0</v>
      </c>
      <c r="I62" s="65"/>
      <c r="J62" s="239"/>
      <c r="K62" s="108"/>
      <c r="L62" s="137"/>
      <c r="M62" s="110"/>
      <c r="N62" s="86"/>
      <c r="O62" s="90"/>
      <c r="P62" s="235"/>
      <c r="Q62" s="93"/>
      <c r="R62" s="94"/>
      <c r="S62" s="620"/>
      <c r="T62" s="236"/>
      <c r="U62" s="236"/>
      <c r="V62" s="208"/>
      <c r="W62" s="88"/>
      <c r="X62" s="99"/>
      <c r="Y62" s="99"/>
      <c r="Z62" s="100"/>
      <c r="AA62" s="100"/>
      <c r="AB62" s="601"/>
      <c r="AC62" s="601"/>
      <c r="AD62" s="101"/>
      <c r="AE62" s="101"/>
      <c r="AF62" s="92">
        <f t="shared" si="6"/>
        <v>0</v>
      </c>
      <c r="AG62" s="177" t="e">
        <f t="shared" si="7"/>
        <v>#DIV/0!</v>
      </c>
      <c r="AH62" s="620"/>
    </row>
    <row r="63" spans="1:34" ht="19.149999999999999" customHeight="1">
      <c r="A63" s="635"/>
      <c r="B63" s="152">
        <v>0</v>
      </c>
      <c r="C63" s="147"/>
      <c r="D63" s="83"/>
      <c r="E63" s="84"/>
      <c r="F63" s="85" t="s">
        <v>391</v>
      </c>
      <c r="G63" s="200"/>
      <c r="H63" s="87">
        <f t="shared" si="35"/>
        <v>0</v>
      </c>
      <c r="I63" s="65"/>
      <c r="J63" s="89"/>
      <c r="K63" s="86"/>
      <c r="L63" s="137"/>
      <c r="M63" s="110"/>
      <c r="N63" s="86"/>
      <c r="O63" s="90"/>
      <c r="P63" s="235"/>
      <c r="Q63" s="93"/>
      <c r="R63" s="94"/>
      <c r="S63" s="620"/>
      <c r="T63" s="236"/>
      <c r="U63" s="236"/>
      <c r="V63" s="208"/>
      <c r="W63" s="88"/>
      <c r="X63" s="99"/>
      <c r="Y63" s="99"/>
      <c r="Z63" s="100"/>
      <c r="AA63" s="100"/>
      <c r="AB63" s="601"/>
      <c r="AC63" s="601"/>
      <c r="AD63" s="101"/>
      <c r="AE63" s="101"/>
      <c r="AF63" s="92">
        <f t="shared" si="6"/>
        <v>0</v>
      </c>
      <c r="AG63" s="177" t="e">
        <f t="shared" si="7"/>
        <v>#DIV/0!</v>
      </c>
      <c r="AH63" s="620"/>
    </row>
    <row r="64" spans="1:34" ht="19.149999999999999" customHeight="1">
      <c r="A64" s="635"/>
      <c r="B64" s="152">
        <v>0</v>
      </c>
      <c r="C64" s="147"/>
      <c r="D64" s="83"/>
      <c r="E64" s="84"/>
      <c r="F64" s="85" t="s">
        <v>391</v>
      </c>
      <c r="G64" s="200"/>
      <c r="H64" s="87">
        <f t="shared" si="35"/>
        <v>0</v>
      </c>
      <c r="I64" s="65"/>
      <c r="J64" s="239"/>
      <c r="K64" s="108"/>
      <c r="L64" s="137"/>
      <c r="M64" s="110"/>
      <c r="N64" s="86"/>
      <c r="O64" s="90"/>
      <c r="P64" s="235"/>
      <c r="Q64" s="93"/>
      <c r="R64" s="94"/>
      <c r="S64" s="620"/>
      <c r="T64" s="236"/>
      <c r="U64" s="236"/>
      <c r="V64" s="208"/>
      <c r="W64" s="88"/>
      <c r="X64" s="65"/>
      <c r="Y64" s="65"/>
      <c r="Z64" s="100"/>
      <c r="AA64" s="100"/>
      <c r="AB64" s="601"/>
      <c r="AC64" s="601"/>
      <c r="AD64" s="101"/>
      <c r="AE64" s="101"/>
      <c r="AF64" s="92">
        <f t="shared" si="6"/>
        <v>0</v>
      </c>
      <c r="AG64" s="177" t="e">
        <f t="shared" si="7"/>
        <v>#DIV/0!</v>
      </c>
      <c r="AH64" s="620"/>
    </row>
    <row r="65" spans="1:34" ht="19.149999999999999" customHeight="1">
      <c r="A65" s="635"/>
      <c r="B65" s="152">
        <v>0</v>
      </c>
      <c r="C65" s="147"/>
      <c r="D65" s="83"/>
      <c r="E65" s="84"/>
      <c r="F65" s="85" t="s">
        <v>391</v>
      </c>
      <c r="G65" s="200"/>
      <c r="H65" s="87">
        <f t="shared" si="35"/>
        <v>0</v>
      </c>
      <c r="I65" s="65"/>
      <c r="J65" s="239"/>
      <c r="K65" s="108"/>
      <c r="L65" s="137"/>
      <c r="M65" s="110"/>
      <c r="N65" s="108"/>
      <c r="O65" s="127"/>
      <c r="P65" s="92"/>
      <c r="Q65" s="93"/>
      <c r="R65" s="94"/>
      <c r="S65" s="620"/>
      <c r="T65" s="236"/>
      <c r="U65" s="236"/>
      <c r="V65" s="208"/>
      <c r="W65" s="88">
        <f t="shared" ref="W65:W69" si="40">(U65-T65)*24*60</f>
        <v>0</v>
      </c>
      <c r="X65" s="65"/>
      <c r="Y65" s="65"/>
      <c r="Z65" s="100"/>
      <c r="AA65" s="100"/>
      <c r="AB65" s="601"/>
      <c r="AC65" s="601"/>
      <c r="AD65" s="101"/>
      <c r="AE65" s="101"/>
      <c r="AF65" s="92">
        <f t="shared" si="6"/>
        <v>0</v>
      </c>
      <c r="AG65" s="177" t="e">
        <f t="shared" si="7"/>
        <v>#DIV/0!</v>
      </c>
      <c r="AH65" s="620"/>
    </row>
    <row r="66" spans="1:34" ht="19.149999999999999" customHeight="1">
      <c r="A66" s="635"/>
      <c r="B66" s="152">
        <v>0</v>
      </c>
      <c r="C66" s="147"/>
      <c r="D66" s="83"/>
      <c r="E66" s="84"/>
      <c r="F66" s="85" t="s">
        <v>391</v>
      </c>
      <c r="G66" s="200"/>
      <c r="H66" s="87">
        <f t="shared" si="35"/>
        <v>0</v>
      </c>
      <c r="I66" s="65"/>
      <c r="J66" s="239"/>
      <c r="K66" s="108"/>
      <c r="L66" s="137"/>
      <c r="M66" s="110"/>
      <c r="N66" s="108"/>
      <c r="O66" s="127"/>
      <c r="P66" s="92"/>
      <c r="Q66" s="93"/>
      <c r="R66" s="94"/>
      <c r="S66" s="620"/>
      <c r="T66" s="236"/>
      <c r="U66" s="236"/>
      <c r="V66" s="208"/>
      <c r="W66" s="88">
        <f t="shared" si="40"/>
        <v>0</v>
      </c>
      <c r="X66" s="65"/>
      <c r="Y66" s="65"/>
      <c r="Z66" s="100"/>
      <c r="AA66" s="100"/>
      <c r="AB66" s="601"/>
      <c r="AC66" s="601"/>
      <c r="AD66" s="101"/>
      <c r="AE66" s="101"/>
      <c r="AF66" s="92">
        <f t="shared" si="6"/>
        <v>0</v>
      </c>
      <c r="AG66" s="177" t="e">
        <f t="shared" si="7"/>
        <v>#DIV/0!</v>
      </c>
      <c r="AH66" s="620"/>
    </row>
    <row r="67" spans="1:34" ht="19.149999999999999" customHeight="1">
      <c r="A67" s="635"/>
      <c r="B67" s="152">
        <v>0</v>
      </c>
      <c r="C67" s="147"/>
      <c r="D67" s="83"/>
      <c r="E67" s="84"/>
      <c r="F67" s="85" t="s">
        <v>391</v>
      </c>
      <c r="G67" s="200"/>
      <c r="H67" s="87">
        <f>F67*G67</f>
        <v>0</v>
      </c>
      <c r="I67" s="65"/>
      <c r="J67" s="239"/>
      <c r="K67" s="108"/>
      <c r="L67" s="137"/>
      <c r="M67" s="110"/>
      <c r="N67" s="108"/>
      <c r="O67" s="127"/>
      <c r="P67" s="92"/>
      <c r="Q67" s="93"/>
      <c r="R67" s="94"/>
      <c r="S67" s="620"/>
      <c r="T67" s="236"/>
      <c r="U67" s="236"/>
      <c r="V67" s="208"/>
      <c r="W67" s="88">
        <f t="shared" si="40"/>
        <v>0</v>
      </c>
      <c r="X67" s="65"/>
      <c r="Y67" s="65"/>
      <c r="Z67" s="100"/>
      <c r="AA67" s="100"/>
      <c r="AB67" s="601"/>
      <c r="AC67" s="601"/>
      <c r="AD67" s="101"/>
      <c r="AE67" s="101"/>
      <c r="AF67" s="92">
        <f t="shared" si="6"/>
        <v>0</v>
      </c>
      <c r="AG67" s="177" t="e">
        <f t="shared" si="7"/>
        <v>#DIV/0!</v>
      </c>
      <c r="AH67" s="620"/>
    </row>
    <row r="68" spans="1:34" ht="19.149999999999999" customHeight="1">
      <c r="A68" s="635"/>
      <c r="B68" s="65">
        <v>0</v>
      </c>
      <c r="C68" s="147"/>
      <c r="D68" s="83"/>
      <c r="E68" s="84"/>
      <c r="F68" s="199" t="s">
        <v>391</v>
      </c>
      <c r="G68" s="200"/>
      <c r="H68" s="87">
        <f>F68*G68</f>
        <v>0</v>
      </c>
      <c r="I68" s="65"/>
      <c r="J68" s="239"/>
      <c r="K68" s="108"/>
      <c r="L68" s="137"/>
      <c r="M68" s="110"/>
      <c r="N68" s="108"/>
      <c r="O68" s="127"/>
      <c r="P68" s="92"/>
      <c r="Q68" s="93"/>
      <c r="R68" s="94"/>
      <c r="S68" s="620"/>
      <c r="T68" s="236"/>
      <c r="U68" s="236"/>
      <c r="V68" s="208"/>
      <c r="W68" s="88">
        <f t="shared" si="40"/>
        <v>0</v>
      </c>
      <c r="X68" s="65"/>
      <c r="Y68" s="65"/>
      <c r="Z68" s="100"/>
      <c r="AA68" s="100"/>
      <c r="AB68" s="601"/>
      <c r="AC68" s="601"/>
      <c r="AD68" s="101"/>
      <c r="AE68" s="101"/>
      <c r="AF68" s="92"/>
      <c r="AG68" s="94"/>
      <c r="AH68" s="620"/>
    </row>
    <row r="69" spans="1:34" ht="19.149999999999999" customHeight="1">
      <c r="A69" s="635"/>
      <c r="B69" s="240">
        <v>0</v>
      </c>
      <c r="C69" s="12" t="s">
        <v>265</v>
      </c>
      <c r="D69" s="602" t="s">
        <v>256</v>
      </c>
      <c r="E69" s="602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1395.5493635708722</v>
      </c>
      <c r="O69" s="123">
        <f t="shared" si="41"/>
        <v>207.62302578725183</v>
      </c>
      <c r="P69" s="92">
        <f>M69-J69</f>
        <v>0.75</v>
      </c>
      <c r="Q69" s="93">
        <f>N69-K69</f>
        <v>-104.45063642912783</v>
      </c>
      <c r="R69" s="245">
        <f t="shared" ref="R69:R70" si="42">O69/L69</f>
        <v>0.83049210314900734</v>
      </c>
      <c r="S69" s="620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01"/>
      <c r="AC69" s="601"/>
      <c r="AD69" s="164">
        <f>SUM(AD57:AD68)</f>
        <v>1</v>
      </c>
      <c r="AE69" s="164">
        <f>SUM(AE57:AE68)</f>
        <v>0</v>
      </c>
      <c r="AF69" s="92">
        <f t="shared" si="6"/>
        <v>-104.45063642912783</v>
      </c>
      <c r="AG69" s="94">
        <f t="shared" si="7"/>
        <v>0.93036624238058141</v>
      </c>
      <c r="AH69" s="620"/>
    </row>
    <row r="70" spans="1:34" ht="19.149999999999999" customHeight="1">
      <c r="A70" s="632" t="s">
        <v>266</v>
      </c>
      <c r="B70" s="65" t="s">
        <v>387</v>
      </c>
      <c r="C70" s="152"/>
      <c r="D70" s="83" t="s">
        <v>157</v>
      </c>
      <c r="E70" s="84"/>
      <c r="F70" s="85">
        <v>62.13</v>
      </c>
      <c r="G70" s="86">
        <v>471</v>
      </c>
      <c r="H70" s="87">
        <f>F70*G70</f>
        <v>29263.23</v>
      </c>
      <c r="I70" s="65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4" si="43">G70/W70*60</f>
        <v>1130.4000000000003</v>
      </c>
      <c r="O70" s="90">
        <f t="shared" ref="O70:O74" si="44">N70/M70</f>
        <v>86.953846153846172</v>
      </c>
      <c r="P70" s="92">
        <f t="shared" ref="P70:P74" si="45">M70-J70</f>
        <v>-1</v>
      </c>
      <c r="Q70" s="93">
        <f t="shared" ref="Q70" si="46">O70-L70</f>
        <v>-20.189010989010967</v>
      </c>
      <c r="R70" s="94">
        <f t="shared" si="42"/>
        <v>0.81156923076923093</v>
      </c>
      <c r="S70" s="620">
        <f>R82</f>
        <v>0.88477147354270258</v>
      </c>
      <c r="T70" s="96">
        <v>0.29166666666666669</v>
      </c>
      <c r="U70" s="96">
        <v>0.30902777777777779</v>
      </c>
      <c r="V70" s="65">
        <v>5</v>
      </c>
      <c r="W70" s="88">
        <f>(U70-T70)*24*60</f>
        <v>24.999999999999993</v>
      </c>
      <c r="X70" s="65"/>
      <c r="Y70" s="65"/>
      <c r="Z70" s="100"/>
      <c r="AA70" s="100"/>
      <c r="AB70" s="601"/>
      <c r="AC70" s="601"/>
      <c r="AD70" s="101"/>
      <c r="AE70" s="101"/>
      <c r="AF70" s="92">
        <f t="shared" si="6"/>
        <v>-369.59999999999968</v>
      </c>
      <c r="AG70" s="94">
        <f t="shared" si="7"/>
        <v>0.75360000000000016</v>
      </c>
      <c r="AH70" s="620">
        <f>AG82</f>
        <v>0.86466189922974612</v>
      </c>
    </row>
    <row r="71" spans="1:34" ht="19.149999999999999" customHeight="1">
      <c r="A71" s="632"/>
      <c r="B71" s="65" t="s">
        <v>386</v>
      </c>
      <c r="C71" s="82"/>
      <c r="D71" s="246" t="s">
        <v>158</v>
      </c>
      <c r="E71" s="84"/>
      <c r="F71" s="85">
        <v>47.65</v>
      </c>
      <c r="G71" s="86">
        <v>2091</v>
      </c>
      <c r="H71" s="87">
        <f>F71*G71</f>
        <v>99636.15</v>
      </c>
      <c r="I71" s="65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1254.6000000000004</v>
      </c>
      <c r="O71" s="90">
        <f t="shared" si="44"/>
        <v>69.700000000000017</v>
      </c>
      <c r="P71" s="92">
        <f t="shared" si="45"/>
        <v>0</v>
      </c>
      <c r="Q71" s="93">
        <f>O71-L71</f>
        <v>-10.299999999999983</v>
      </c>
      <c r="R71" s="94">
        <f>O71/L71</f>
        <v>0.87125000000000019</v>
      </c>
      <c r="S71" s="620"/>
      <c r="T71" s="96">
        <v>0.31319444444444444</v>
      </c>
      <c r="U71" s="96">
        <v>0.38263888888888886</v>
      </c>
      <c r="V71" s="65">
        <v>6</v>
      </c>
      <c r="W71" s="88">
        <f t="shared" ref="W71:W81" si="47">(U71-T71)*24*60</f>
        <v>99.999999999999972</v>
      </c>
      <c r="X71" s="99"/>
      <c r="Y71" s="99"/>
      <c r="Z71" s="100"/>
      <c r="AA71" s="100"/>
      <c r="AB71" s="601"/>
      <c r="AC71" s="601"/>
      <c r="AD71" s="101"/>
      <c r="AE71" s="101"/>
      <c r="AF71" s="92">
        <f>N71-K71</f>
        <v>-185.39999999999964</v>
      </c>
      <c r="AG71" s="94">
        <f>N71/K71</f>
        <v>0.8712500000000003</v>
      </c>
      <c r="AH71" s="620"/>
    </row>
    <row r="72" spans="1:34" ht="19.149999999999999" customHeight="1">
      <c r="A72" s="632"/>
      <c r="B72" s="65" t="s">
        <v>386</v>
      </c>
      <c r="C72" s="115"/>
      <c r="D72" s="246" t="s">
        <v>160</v>
      </c>
      <c r="E72" s="84"/>
      <c r="F72" s="85">
        <v>53.76</v>
      </c>
      <c r="G72" s="104">
        <v>2267</v>
      </c>
      <c r="H72" s="87">
        <f t="shared" ref="H72:H80" si="48">F72*G72</f>
        <v>121873.92</v>
      </c>
      <c r="I72" s="65"/>
      <c r="J72" s="138">
        <v>16</v>
      </c>
      <c r="K72" s="104">
        <v>1440</v>
      </c>
      <c r="L72" s="137">
        <v>90</v>
      </c>
      <c r="M72" s="91">
        <v>15</v>
      </c>
      <c r="N72" s="86">
        <f t="shared" si="43"/>
        <v>1247.8899082568807</v>
      </c>
      <c r="O72" s="90">
        <f t="shared" si="44"/>
        <v>83.192660550458712</v>
      </c>
      <c r="P72" s="92">
        <f t="shared" si="45"/>
        <v>-1</v>
      </c>
      <c r="Q72" s="93">
        <f>O72-L72</f>
        <v>-6.8073394495412884</v>
      </c>
      <c r="R72" s="94">
        <f>O72/L72</f>
        <v>0.92436289500509683</v>
      </c>
      <c r="S72" s="620"/>
      <c r="T72" s="96">
        <v>0.42291666666666661</v>
      </c>
      <c r="U72" s="96">
        <v>0.49861111111111106</v>
      </c>
      <c r="V72" s="65">
        <v>5</v>
      </c>
      <c r="W72" s="88">
        <f t="shared" si="47"/>
        <v>109.00000000000001</v>
      </c>
      <c r="X72" s="99"/>
      <c r="Y72" s="99"/>
      <c r="Z72" s="100"/>
      <c r="AA72" s="100"/>
      <c r="AB72" s="601"/>
      <c r="AC72" s="601"/>
      <c r="AD72" s="101"/>
      <c r="AE72" s="101"/>
      <c r="AF72" s="92">
        <f>N72-K72</f>
        <v>-192.11009174311926</v>
      </c>
      <c r="AG72" s="94">
        <f>N72/K72</f>
        <v>0.86659021406727832</v>
      </c>
      <c r="AH72" s="620"/>
    </row>
    <row r="73" spans="1:34" ht="19.149999999999999" customHeight="1">
      <c r="A73" s="632"/>
      <c r="B73" s="65" t="s">
        <v>386</v>
      </c>
      <c r="C73" s="248"/>
      <c r="D73" s="249" t="s">
        <v>161</v>
      </c>
      <c r="E73" s="250"/>
      <c r="F73" s="85">
        <v>47.51</v>
      </c>
      <c r="G73" s="104">
        <v>2442</v>
      </c>
      <c r="H73" s="87">
        <f t="shared" si="48"/>
        <v>116019.42</v>
      </c>
      <c r="I73" s="101"/>
      <c r="J73" s="251">
        <v>16</v>
      </c>
      <c r="K73" s="252">
        <v>1440</v>
      </c>
      <c r="L73" s="137">
        <v>90</v>
      </c>
      <c r="M73" s="189">
        <v>16</v>
      </c>
      <c r="N73" s="86">
        <f t="shared" si="43"/>
        <v>1252.3076923076917</v>
      </c>
      <c r="O73" s="90">
        <f t="shared" si="44"/>
        <v>78.269230769230731</v>
      </c>
      <c r="P73" s="92">
        <f t="shared" si="45"/>
        <v>0</v>
      </c>
      <c r="Q73" s="93">
        <f>O73-L73</f>
        <v>-11.730769230769269</v>
      </c>
      <c r="R73" s="94">
        <f>O73/L73</f>
        <v>0.86965811965811923</v>
      </c>
      <c r="S73" s="620"/>
      <c r="T73" s="96">
        <v>0.51458333333333328</v>
      </c>
      <c r="U73" s="96">
        <v>0.59583333333333333</v>
      </c>
      <c r="V73" s="65">
        <v>23</v>
      </c>
      <c r="W73" s="88">
        <f t="shared" si="47"/>
        <v>117.00000000000006</v>
      </c>
      <c r="X73" s="253">
        <v>0.50208333333333333</v>
      </c>
      <c r="Y73" s="253">
        <v>0.51180555555555551</v>
      </c>
      <c r="Z73" s="185"/>
      <c r="AA73" s="185"/>
      <c r="AB73" s="601"/>
      <c r="AC73" s="601"/>
      <c r="AD73" s="101"/>
      <c r="AE73" s="101"/>
      <c r="AF73" s="92">
        <f>N73-K73</f>
        <v>-187.6923076923083</v>
      </c>
      <c r="AG73" s="94">
        <f>N73/K73</f>
        <v>0.86965811965811923</v>
      </c>
      <c r="AH73" s="620"/>
    </row>
    <row r="74" spans="1:34" ht="19.149999999999999" customHeight="1">
      <c r="A74" s="632"/>
      <c r="B74" s="65" t="s">
        <v>386</v>
      </c>
      <c r="C74" s="248"/>
      <c r="D74" s="249" t="s">
        <v>159</v>
      </c>
      <c r="E74" s="250"/>
      <c r="F74" s="85">
        <v>53.36</v>
      </c>
      <c r="G74" s="247">
        <v>2605.9500000000003</v>
      </c>
      <c r="H74" s="87">
        <f t="shared" si="48"/>
        <v>139053.49200000003</v>
      </c>
      <c r="I74" s="65">
        <v>2</v>
      </c>
      <c r="J74" s="89">
        <v>18</v>
      </c>
      <c r="K74" s="247">
        <v>1300</v>
      </c>
      <c r="L74" s="90">
        <v>72.222222222222229</v>
      </c>
      <c r="M74" s="91">
        <v>18</v>
      </c>
      <c r="N74" s="86">
        <f t="shared" si="43"/>
        <v>1271.1951219512191</v>
      </c>
      <c r="O74" s="90">
        <f t="shared" si="44"/>
        <v>70.621951219512169</v>
      </c>
      <c r="P74" s="92">
        <f t="shared" si="45"/>
        <v>0</v>
      </c>
      <c r="Q74" s="93">
        <f>O74-L74</f>
        <v>-1.6002710027100591</v>
      </c>
      <c r="R74" s="94">
        <f>O74/L74</f>
        <v>0.9778424015009376</v>
      </c>
      <c r="S74" s="620"/>
      <c r="T74" s="96">
        <v>0.60069444444444442</v>
      </c>
      <c r="U74" s="96">
        <v>0.68611111111111112</v>
      </c>
      <c r="V74" s="65">
        <v>7</v>
      </c>
      <c r="W74" s="88">
        <f t="shared" si="47"/>
        <v>123.00000000000004</v>
      </c>
      <c r="X74" s="253"/>
      <c r="Y74" s="253"/>
      <c r="Z74" s="185"/>
      <c r="AA74" s="185"/>
      <c r="AB74" s="601"/>
      <c r="AC74" s="601"/>
      <c r="AD74" s="101"/>
      <c r="AE74" s="101"/>
      <c r="AF74" s="92">
        <f>N74-K74</f>
        <v>-28.804878048780893</v>
      </c>
      <c r="AG74" s="94">
        <f>N74/K74</f>
        <v>0.97784240150093782</v>
      </c>
      <c r="AH74" s="620"/>
    </row>
    <row r="75" spans="1:34" ht="19.149999999999999" customHeight="1">
      <c r="A75" s="632"/>
      <c r="B75" s="65">
        <v>0</v>
      </c>
      <c r="C75" s="115"/>
      <c r="D75" s="246"/>
      <c r="E75" s="84"/>
      <c r="F75" s="85" t="s">
        <v>391</v>
      </c>
      <c r="G75" s="104"/>
      <c r="H75" s="87">
        <f t="shared" si="48"/>
        <v>0</v>
      </c>
      <c r="I75" s="65"/>
      <c r="J75" s="138"/>
      <c r="K75" s="104"/>
      <c r="L75" s="137"/>
      <c r="M75" s="91"/>
      <c r="N75" s="86"/>
      <c r="O75" s="90"/>
      <c r="P75" s="92"/>
      <c r="Q75" s="93"/>
      <c r="R75" s="94"/>
      <c r="S75" s="620"/>
      <c r="T75" s="96"/>
      <c r="U75" s="96"/>
      <c r="V75" s="65"/>
      <c r="W75" s="88">
        <f t="shared" si="47"/>
        <v>0</v>
      </c>
      <c r="X75" s="253"/>
      <c r="Y75" s="253"/>
      <c r="Z75" s="185"/>
      <c r="AA75" s="185"/>
      <c r="AB75" s="601"/>
      <c r="AC75" s="601"/>
      <c r="AD75" s="101"/>
      <c r="AE75" s="101"/>
      <c r="AF75" s="92">
        <f>N75-K75</f>
        <v>0</v>
      </c>
      <c r="AG75" s="94" t="e">
        <f>N75/K75</f>
        <v>#DIV/0!</v>
      </c>
      <c r="AH75" s="620"/>
    </row>
    <row r="76" spans="1:34" ht="19.149999999999999" customHeight="1">
      <c r="A76" s="632"/>
      <c r="B76" s="65">
        <v>0</v>
      </c>
      <c r="C76" s="248"/>
      <c r="D76" s="249"/>
      <c r="E76" s="250"/>
      <c r="F76" s="85" t="s">
        <v>391</v>
      </c>
      <c r="G76" s="247"/>
      <c r="H76" s="87">
        <f t="shared" si="48"/>
        <v>0</v>
      </c>
      <c r="I76" s="65"/>
      <c r="J76" s="251"/>
      <c r="K76" s="252"/>
      <c r="L76" s="137"/>
      <c r="M76" s="189" t="s">
        <v>49</v>
      </c>
      <c r="N76" s="86"/>
      <c r="O76" s="90"/>
      <c r="P76" s="92"/>
      <c r="Q76" s="93"/>
      <c r="R76" s="94"/>
      <c r="S76" s="620"/>
      <c r="T76" s="96"/>
      <c r="U76" s="96"/>
      <c r="V76" s="65"/>
      <c r="W76" s="88"/>
      <c r="X76" s="253"/>
      <c r="Y76" s="253"/>
      <c r="Z76" s="185"/>
      <c r="AA76" s="185"/>
      <c r="AB76" s="601"/>
      <c r="AC76" s="601"/>
      <c r="AD76" s="101"/>
      <c r="AE76" s="101"/>
      <c r="AF76" s="92">
        <f t="shared" ref="AF76:AF80" si="49">N76-K76</f>
        <v>0</v>
      </c>
      <c r="AG76" s="94" t="e">
        <f t="shared" ref="AG76:AG80" si="50">N76/K76</f>
        <v>#DIV/0!</v>
      </c>
      <c r="AH76" s="620"/>
    </row>
    <row r="77" spans="1:34" ht="19.149999999999999" customHeight="1">
      <c r="A77" s="632"/>
      <c r="B77" s="65">
        <v>0</v>
      </c>
      <c r="C77" s="147"/>
      <c r="D77" s="249"/>
      <c r="E77" s="84"/>
      <c r="F77" s="85" t="s">
        <v>391</v>
      </c>
      <c r="G77" s="247"/>
      <c r="H77" s="87">
        <f t="shared" si="48"/>
        <v>0</v>
      </c>
      <c r="I77" s="101"/>
      <c r="J77" s="89"/>
      <c r="K77" s="247"/>
      <c r="L77" s="90"/>
      <c r="M77" s="189"/>
      <c r="N77" s="86"/>
      <c r="O77" s="90"/>
      <c r="P77" s="92"/>
      <c r="Q77" s="93"/>
      <c r="R77" s="94"/>
      <c r="S77" s="620"/>
      <c r="T77" s="96"/>
      <c r="U77" s="96"/>
      <c r="V77" s="65"/>
      <c r="W77" s="88"/>
      <c r="X77" s="253"/>
      <c r="Y77" s="253"/>
      <c r="Z77" s="185"/>
      <c r="AA77" s="185"/>
      <c r="AB77" s="601"/>
      <c r="AC77" s="601"/>
      <c r="AD77" s="101"/>
      <c r="AE77" s="101"/>
      <c r="AF77" s="92">
        <f t="shared" si="49"/>
        <v>0</v>
      </c>
      <c r="AG77" s="94" t="e">
        <f t="shared" si="50"/>
        <v>#DIV/0!</v>
      </c>
      <c r="AH77" s="620"/>
    </row>
    <row r="78" spans="1:34" ht="19.149999999999999" customHeight="1">
      <c r="A78" s="632"/>
      <c r="B78" s="65">
        <v>0</v>
      </c>
      <c r="C78" s="147"/>
      <c r="D78" s="83"/>
      <c r="E78" s="84"/>
      <c r="F78" s="85" t="s">
        <v>391</v>
      </c>
      <c r="G78" s="104"/>
      <c r="H78" s="87">
        <f t="shared" si="48"/>
        <v>0</v>
      </c>
      <c r="I78" s="101"/>
      <c r="J78" s="138"/>
      <c r="K78" s="104"/>
      <c r="L78" s="137"/>
      <c r="M78" s="189"/>
      <c r="N78" s="86"/>
      <c r="O78" s="90"/>
      <c r="P78" s="92"/>
      <c r="Q78" s="93"/>
      <c r="R78" s="94"/>
      <c r="S78" s="620"/>
      <c r="T78" s="96"/>
      <c r="U78" s="96"/>
      <c r="V78" s="65"/>
      <c r="W78" s="88"/>
      <c r="X78" s="253"/>
      <c r="Y78" s="253"/>
      <c r="Z78" s="185"/>
      <c r="AA78" s="185"/>
      <c r="AB78" s="601"/>
      <c r="AC78" s="601"/>
      <c r="AD78" s="101"/>
      <c r="AE78" s="101"/>
      <c r="AF78" s="92">
        <f t="shared" si="49"/>
        <v>0</v>
      </c>
      <c r="AG78" s="94" t="e">
        <f t="shared" si="50"/>
        <v>#DIV/0!</v>
      </c>
      <c r="AH78" s="620"/>
    </row>
    <row r="79" spans="1:34" ht="19.149999999999999" customHeight="1">
      <c r="A79" s="632"/>
      <c r="B79" s="65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101"/>
      <c r="J79" s="138"/>
      <c r="K79" s="104"/>
      <c r="L79" s="137"/>
      <c r="M79" s="189"/>
      <c r="N79" s="104"/>
      <c r="O79" s="254"/>
      <c r="P79" s="165"/>
      <c r="Q79" s="255"/>
      <c r="R79" s="166"/>
      <c r="S79" s="620"/>
      <c r="T79" s="96"/>
      <c r="U79" s="96"/>
      <c r="V79" s="65"/>
      <c r="W79" s="88">
        <f t="shared" si="47"/>
        <v>0</v>
      </c>
      <c r="X79" s="253"/>
      <c r="Y79" s="253"/>
      <c r="Z79" s="185"/>
      <c r="AA79" s="185"/>
      <c r="AB79" s="601"/>
      <c r="AC79" s="601"/>
      <c r="AD79" s="101"/>
      <c r="AE79" s="101"/>
      <c r="AF79" s="92">
        <f t="shared" si="49"/>
        <v>0</v>
      </c>
      <c r="AG79" s="94" t="e">
        <f t="shared" si="50"/>
        <v>#DIV/0!</v>
      </c>
      <c r="AH79" s="620"/>
    </row>
    <row r="80" spans="1:34" ht="19.149999999999999" customHeight="1">
      <c r="A80" s="632"/>
      <c r="B80" s="65">
        <v>0</v>
      </c>
      <c r="C80" s="147"/>
      <c r="D80" s="83"/>
      <c r="E80" s="84"/>
      <c r="F80" s="85"/>
      <c r="G80" s="104"/>
      <c r="H80" s="87">
        <f t="shared" si="48"/>
        <v>0</v>
      </c>
      <c r="I80" s="101"/>
      <c r="J80" s="138"/>
      <c r="K80" s="104"/>
      <c r="L80" s="137"/>
      <c r="M80" s="189"/>
      <c r="N80" s="104"/>
      <c r="O80" s="256"/>
      <c r="P80" s="100"/>
      <c r="Q80" s="139"/>
      <c r="R80" s="257"/>
      <c r="S80" s="620"/>
      <c r="T80" s="96"/>
      <c r="U80" s="96"/>
      <c r="V80" s="65"/>
      <c r="W80" s="88">
        <f t="shared" si="47"/>
        <v>0</v>
      </c>
      <c r="X80" s="253"/>
      <c r="Y80" s="253"/>
      <c r="Z80" s="185"/>
      <c r="AA80" s="185"/>
      <c r="AB80" s="601"/>
      <c r="AC80" s="601"/>
      <c r="AD80" s="101"/>
      <c r="AE80" s="101"/>
      <c r="AF80" s="92">
        <f t="shared" si="49"/>
        <v>0</v>
      </c>
      <c r="AG80" s="94" t="e">
        <f t="shared" si="50"/>
        <v>#DIV/0!</v>
      </c>
      <c r="AH80" s="620"/>
    </row>
    <row r="81" spans="1:34" ht="19.149999999999999" customHeight="1">
      <c r="A81" s="632"/>
      <c r="B81" s="65">
        <v>0</v>
      </c>
      <c r="C81" s="147"/>
      <c r="D81" s="83"/>
      <c r="E81" s="84"/>
      <c r="F81" s="199"/>
      <c r="G81" s="104"/>
      <c r="H81" s="135"/>
      <c r="I81" s="101"/>
      <c r="J81" s="138"/>
      <c r="K81" s="104"/>
      <c r="L81" s="137"/>
      <c r="M81" s="189"/>
      <c r="N81" s="104"/>
      <c r="O81" s="256"/>
      <c r="P81" s="100"/>
      <c r="Q81" s="139"/>
      <c r="R81" s="257"/>
      <c r="S81" s="620"/>
      <c r="T81" s="96"/>
      <c r="U81" s="96"/>
      <c r="V81" s="65"/>
      <c r="W81" s="88">
        <f t="shared" si="47"/>
        <v>0</v>
      </c>
      <c r="X81" s="253"/>
      <c r="Y81" s="253"/>
      <c r="Z81" s="185"/>
      <c r="AA81" s="185"/>
      <c r="AB81" s="601"/>
      <c r="AC81" s="601"/>
      <c r="AD81" s="101"/>
      <c r="AE81" s="101"/>
      <c r="AF81" s="92"/>
      <c r="AG81" s="186"/>
      <c r="AH81" s="620"/>
    </row>
    <row r="82" spans="1:34" ht="19.149999999999999" customHeight="1">
      <c r="A82" s="633"/>
      <c r="B82" s="240">
        <v>0</v>
      </c>
      <c r="C82" s="156" t="s">
        <v>267</v>
      </c>
      <c r="D82" s="602" t="s">
        <v>256</v>
      </c>
      <c r="E82" s="602"/>
      <c r="F82" s="258"/>
      <c r="G82" s="158"/>
      <c r="H82" s="159"/>
      <c r="I82" s="160"/>
      <c r="J82" s="158">
        <v>16.399999999999999</v>
      </c>
      <c r="K82" s="158">
        <v>1424</v>
      </c>
      <c r="L82" s="161">
        <v>87.873015873015873</v>
      </c>
      <c r="M82" s="158">
        <f t="shared" ref="M82:O82" si="51">AVERAGE(M70:M81)</f>
        <v>16</v>
      </c>
      <c r="N82" s="158">
        <f t="shared" si="51"/>
        <v>1231.2785445031584</v>
      </c>
      <c r="O82" s="259">
        <f t="shared" si="51"/>
        <v>77.747537738609552</v>
      </c>
      <c r="P82" s="175">
        <f>M82-J82</f>
        <v>-0.39999999999999858</v>
      </c>
      <c r="Q82" s="176">
        <f>N82-K82</f>
        <v>-192.7214554968416</v>
      </c>
      <c r="R82" s="245">
        <f>O82/L82</f>
        <v>0.88477147354270258</v>
      </c>
      <c r="S82" s="620"/>
      <c r="T82" s="96"/>
      <c r="U82" s="96"/>
      <c r="V82" s="65"/>
      <c r="W82" s="86"/>
      <c r="X82" s="90"/>
      <c r="Y82" s="90"/>
      <c r="Z82" s="163">
        <f>SUM(Z70:Z81)</f>
        <v>0</v>
      </c>
      <c r="AA82" s="163">
        <f>SUM(AA70:AA81)</f>
        <v>0</v>
      </c>
      <c r="AB82" s="601"/>
      <c r="AC82" s="601"/>
      <c r="AD82" s="164">
        <f>SUM(AD70:AD81)</f>
        <v>0</v>
      </c>
      <c r="AE82" s="164">
        <f>SUM(AE70:AE81)</f>
        <v>0</v>
      </c>
      <c r="AF82" s="92">
        <f>N82-K82</f>
        <v>-192.7214554968416</v>
      </c>
      <c r="AG82" s="94">
        <f>N82/K82</f>
        <v>0.86466189922974612</v>
      </c>
      <c r="AH82" s="620"/>
    </row>
    <row r="83" spans="1:34" ht="19.149999999999999" customHeight="1">
      <c r="A83" s="630" t="s">
        <v>268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3185.05</v>
      </c>
      <c r="H83" s="135">
        <f t="shared" ref="H83:H94" si="52">F83*G83</f>
        <v>169954.26800000001</v>
      </c>
      <c r="I83" s="101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7" si="53">G83/W83*60</f>
        <v>1257.2565789473683</v>
      </c>
      <c r="O83" s="256">
        <f t="shared" ref="O83:O87" si="54">N83/M83</f>
        <v>69.847587719298247</v>
      </c>
      <c r="P83" s="100">
        <f t="shared" ref="P83:P87" si="55">M83-J83</f>
        <v>0</v>
      </c>
      <c r="Q83" s="139">
        <f t="shared" ref="Q83:Q87" si="56">O83-L83</f>
        <v>-2.3746345029239819</v>
      </c>
      <c r="R83" s="261">
        <f t="shared" ref="R83:R87" si="57">O83/L83</f>
        <v>0.96712044534412944</v>
      </c>
      <c r="S83" s="620">
        <f>R95</f>
        <v>0.87981352079174868</v>
      </c>
      <c r="T83" s="96">
        <v>0.33333333333333331</v>
      </c>
      <c r="U83" s="96">
        <v>0.43888888888888888</v>
      </c>
      <c r="V83" s="65">
        <v>5</v>
      </c>
      <c r="W83" s="88">
        <f t="shared" ref="W83:W93" si="58">(U83-T83)*24*60</f>
        <v>152.00000000000003</v>
      </c>
      <c r="X83" s="99"/>
      <c r="Y83" s="99"/>
      <c r="Z83" s="100"/>
      <c r="AA83" s="100"/>
      <c r="AB83" s="601"/>
      <c r="AC83" s="601"/>
      <c r="AD83" s="101"/>
      <c r="AE83" s="101"/>
      <c r="AF83" s="92">
        <f t="shared" ref="AF83:AF173" si="59">N83-K83</f>
        <v>-42.743421052631675</v>
      </c>
      <c r="AG83" s="94">
        <f t="shared" ref="AG83:AG173" si="60">N83/K83</f>
        <v>0.96712044534412944</v>
      </c>
      <c r="AH83" s="620">
        <f>AG95</f>
        <v>0.84342611102028719</v>
      </c>
    </row>
    <row r="84" spans="1:34" ht="19.149999999999999" customHeight="1">
      <c r="A84" s="631"/>
      <c r="B84" s="167" t="s">
        <v>387</v>
      </c>
      <c r="C84" s="147"/>
      <c r="D84" s="262" t="s">
        <v>164</v>
      </c>
      <c r="E84" s="84"/>
      <c r="F84" s="199">
        <v>56.43</v>
      </c>
      <c r="G84" s="86">
        <v>1059</v>
      </c>
      <c r="H84" s="135">
        <f t="shared" si="52"/>
        <v>59759.37</v>
      </c>
      <c r="I84" s="65"/>
      <c r="J84" s="138">
        <v>19</v>
      </c>
      <c r="K84" s="104">
        <v>1385</v>
      </c>
      <c r="L84" s="137">
        <v>72.89473684210526</v>
      </c>
      <c r="M84" s="189">
        <v>18</v>
      </c>
      <c r="N84" s="104">
        <f t="shared" si="53"/>
        <v>1076.9491525423739</v>
      </c>
      <c r="O84" s="256">
        <f t="shared" si="54"/>
        <v>59.830508474576327</v>
      </c>
      <c r="P84" s="100">
        <f t="shared" si="55"/>
        <v>-1</v>
      </c>
      <c r="Q84" s="139">
        <f t="shared" si="56"/>
        <v>-13.064228367528933</v>
      </c>
      <c r="R84" s="261">
        <f t="shared" si="57"/>
        <v>0.82077953864039732</v>
      </c>
      <c r="S84" s="620"/>
      <c r="T84" s="96">
        <v>0.47986111111111107</v>
      </c>
      <c r="U84" s="96">
        <v>0.52083333333333326</v>
      </c>
      <c r="V84" s="65">
        <v>6</v>
      </c>
      <c r="W84" s="88">
        <f t="shared" si="58"/>
        <v>58.99999999999995</v>
      </c>
      <c r="X84" s="99"/>
      <c r="Y84" s="99"/>
      <c r="Z84" s="100"/>
      <c r="AA84" s="100"/>
      <c r="AB84" s="601"/>
      <c r="AC84" s="601"/>
      <c r="AD84" s="101"/>
      <c r="AE84" s="101"/>
      <c r="AF84" s="92">
        <f t="shared" si="59"/>
        <v>-308.05084745762611</v>
      </c>
      <c r="AG84" s="94">
        <f t="shared" si="60"/>
        <v>0.77758061555406055</v>
      </c>
      <c r="AH84" s="620"/>
    </row>
    <row r="85" spans="1:34" ht="19.149999999999999" customHeight="1">
      <c r="A85" s="631"/>
      <c r="B85" s="167" t="s">
        <v>388</v>
      </c>
      <c r="C85" s="183"/>
      <c r="D85" s="262" t="s">
        <v>150</v>
      </c>
      <c r="E85" s="84"/>
      <c r="F85" s="199">
        <v>31.43</v>
      </c>
      <c r="G85" s="86">
        <v>2227.6</v>
      </c>
      <c r="H85" s="135">
        <f t="shared" si="52"/>
        <v>70013.467999999993</v>
      </c>
      <c r="I85" s="65"/>
      <c r="J85" s="138">
        <v>6</v>
      </c>
      <c r="K85" s="104">
        <v>1500</v>
      </c>
      <c r="L85" s="137">
        <v>250</v>
      </c>
      <c r="M85" s="189">
        <v>6</v>
      </c>
      <c r="N85" s="104">
        <f t="shared" si="53"/>
        <v>1377.8969072164953</v>
      </c>
      <c r="O85" s="256">
        <f t="shared" si="54"/>
        <v>229.64948453608255</v>
      </c>
      <c r="P85" s="100">
        <f t="shared" si="55"/>
        <v>0</v>
      </c>
      <c r="Q85" s="139">
        <f t="shared" si="56"/>
        <v>-20.350515463917446</v>
      </c>
      <c r="R85" s="261">
        <f t="shared" si="57"/>
        <v>0.91859793814433022</v>
      </c>
      <c r="S85" s="620"/>
      <c r="T85" s="96">
        <v>0.53611111111111098</v>
      </c>
      <c r="U85" s="96">
        <v>0.60347222222222208</v>
      </c>
      <c r="V85" s="65">
        <v>22</v>
      </c>
      <c r="W85" s="88">
        <f t="shared" si="58"/>
        <v>96.999999999999972</v>
      </c>
      <c r="X85" s="99">
        <v>0.52430555555555558</v>
      </c>
      <c r="Y85" s="99">
        <v>0.53333333333333333</v>
      </c>
      <c r="Z85" s="100"/>
      <c r="AA85" s="100"/>
      <c r="AB85" s="601"/>
      <c r="AC85" s="601"/>
      <c r="AD85" s="101">
        <v>1</v>
      </c>
      <c r="AE85" s="101"/>
      <c r="AF85" s="92">
        <f t="shared" si="59"/>
        <v>-122.10309278350474</v>
      </c>
      <c r="AG85" s="94">
        <f t="shared" si="60"/>
        <v>0.91859793814433022</v>
      </c>
      <c r="AH85" s="620"/>
    </row>
    <row r="86" spans="1:34" ht="19.149999999999999" customHeight="1">
      <c r="A86" s="631"/>
      <c r="B86" s="167" t="s">
        <v>390</v>
      </c>
      <c r="C86" s="152"/>
      <c r="D86" s="262" t="s">
        <v>165</v>
      </c>
      <c r="E86" s="84"/>
      <c r="F86" s="199">
        <v>58.17</v>
      </c>
      <c r="G86" s="86">
        <v>1093</v>
      </c>
      <c r="H86" s="135">
        <f t="shared" si="52"/>
        <v>63579.810000000005</v>
      </c>
      <c r="I86" s="65"/>
      <c r="J86" s="138">
        <v>19</v>
      </c>
      <c r="K86" s="104">
        <v>1385</v>
      </c>
      <c r="L86" s="137">
        <v>72.89473684210526</v>
      </c>
      <c r="M86" s="189">
        <v>19</v>
      </c>
      <c r="N86" s="104">
        <f t="shared" si="53"/>
        <v>1075.0819672131158</v>
      </c>
      <c r="O86" s="256">
        <f t="shared" si="54"/>
        <v>56.583261432269254</v>
      </c>
      <c r="P86" s="100">
        <f t="shared" si="55"/>
        <v>0</v>
      </c>
      <c r="Q86" s="139">
        <f t="shared" si="56"/>
        <v>-16.311475409836007</v>
      </c>
      <c r="R86" s="261">
        <f t="shared" si="57"/>
        <v>0.77623246730188866</v>
      </c>
      <c r="S86" s="620"/>
      <c r="T86" s="96">
        <v>0.70833333333333337</v>
      </c>
      <c r="U86" s="96">
        <v>0.75069444444444444</v>
      </c>
      <c r="V86" s="65">
        <v>5</v>
      </c>
      <c r="W86" s="88">
        <f t="shared" si="58"/>
        <v>60.999999999999943</v>
      </c>
      <c r="X86" s="99"/>
      <c r="Y86" s="99"/>
      <c r="Z86" s="100"/>
      <c r="AA86" s="100"/>
      <c r="AB86" s="601"/>
      <c r="AC86" s="601"/>
      <c r="AD86" s="101"/>
      <c r="AE86" s="101"/>
      <c r="AF86" s="92">
        <f t="shared" si="59"/>
        <v>-309.91803278688417</v>
      </c>
      <c r="AG86" s="94">
        <f t="shared" si="60"/>
        <v>0.77623246730188866</v>
      </c>
      <c r="AH86" s="620"/>
    </row>
    <row r="87" spans="1:34" ht="19.149999999999999" customHeight="1">
      <c r="A87" s="631"/>
      <c r="B87" s="167" t="s">
        <v>390</v>
      </c>
      <c r="C87" s="152"/>
      <c r="D87" s="262" t="s">
        <v>166</v>
      </c>
      <c r="E87" s="84"/>
      <c r="F87" s="199">
        <v>53.68</v>
      </c>
      <c r="G87" s="86">
        <v>1200</v>
      </c>
      <c r="H87" s="135">
        <f t="shared" si="52"/>
        <v>64416</v>
      </c>
      <c r="I87" s="65"/>
      <c r="J87" s="138">
        <v>20</v>
      </c>
      <c r="K87" s="104">
        <v>1380</v>
      </c>
      <c r="L87" s="137">
        <v>69</v>
      </c>
      <c r="M87" s="189">
        <v>19</v>
      </c>
      <c r="N87" s="104">
        <f t="shared" si="53"/>
        <v>1074.6268656716431</v>
      </c>
      <c r="O87" s="256">
        <f t="shared" si="54"/>
        <v>56.559308719560164</v>
      </c>
      <c r="P87" s="100">
        <f t="shared" si="55"/>
        <v>-1</v>
      </c>
      <c r="Q87" s="139">
        <f t="shared" si="56"/>
        <v>-12.440691280439836</v>
      </c>
      <c r="R87" s="261">
        <f t="shared" si="57"/>
        <v>0.81970012637043721</v>
      </c>
      <c r="S87" s="620"/>
      <c r="T87" s="96">
        <v>0.76527777777777772</v>
      </c>
      <c r="U87" s="96">
        <v>0.81180555555555545</v>
      </c>
      <c r="V87" s="65">
        <v>21</v>
      </c>
      <c r="W87" s="88">
        <f t="shared" si="58"/>
        <v>66.999999999999915</v>
      </c>
      <c r="X87" s="99">
        <v>0.75416666666666676</v>
      </c>
      <c r="Y87" s="99">
        <v>0.76250000000000007</v>
      </c>
      <c r="Z87" s="100"/>
      <c r="AA87" s="100"/>
      <c r="AB87" s="601"/>
      <c r="AC87" s="601"/>
      <c r="AD87" s="101"/>
      <c r="AE87" s="101"/>
      <c r="AF87" s="92">
        <f t="shared" si="59"/>
        <v>-305.37313432835685</v>
      </c>
      <c r="AG87" s="94">
        <f t="shared" si="60"/>
        <v>0.77871512005191534</v>
      </c>
      <c r="AH87" s="620"/>
    </row>
    <row r="88" spans="1:34" ht="19.149999999999999" customHeight="1">
      <c r="A88" s="631"/>
      <c r="B88" s="167">
        <v>0</v>
      </c>
      <c r="C88" s="147"/>
      <c r="D88" s="262"/>
      <c r="E88" s="84"/>
      <c r="F88" s="199" t="s">
        <v>391</v>
      </c>
      <c r="G88" s="104"/>
      <c r="H88" s="135">
        <f t="shared" si="52"/>
        <v>0</v>
      </c>
      <c r="I88" s="65"/>
      <c r="J88" s="138"/>
      <c r="K88" s="104"/>
      <c r="L88" s="137"/>
      <c r="M88" s="189"/>
      <c r="N88" s="104"/>
      <c r="O88" s="256"/>
      <c r="P88" s="100"/>
      <c r="Q88" s="139"/>
      <c r="R88" s="261"/>
      <c r="S88" s="620"/>
      <c r="T88" s="96"/>
      <c r="U88" s="96"/>
      <c r="V88" s="65"/>
      <c r="W88" s="88"/>
      <c r="X88" s="99"/>
      <c r="Y88" s="99"/>
      <c r="Z88" s="100"/>
      <c r="AA88" s="100"/>
      <c r="AB88" s="601"/>
      <c r="AC88" s="601"/>
      <c r="AD88" s="101"/>
      <c r="AE88" s="101"/>
      <c r="AF88" s="92">
        <f t="shared" si="59"/>
        <v>0</v>
      </c>
      <c r="AG88" s="94" t="e">
        <f t="shared" si="60"/>
        <v>#DIV/0!</v>
      </c>
      <c r="AH88" s="620"/>
    </row>
    <row r="89" spans="1:34" ht="19.149999999999999" customHeight="1">
      <c r="A89" s="631"/>
      <c r="B89" s="167">
        <v>0</v>
      </c>
      <c r="C89" s="147"/>
      <c r="D89" s="83"/>
      <c r="E89" s="84"/>
      <c r="F89" s="199" t="s">
        <v>391</v>
      </c>
      <c r="G89" s="173"/>
      <c r="H89" s="135">
        <f t="shared" si="52"/>
        <v>0</v>
      </c>
      <c r="I89" s="65"/>
      <c r="J89" s="138"/>
      <c r="K89" s="104"/>
      <c r="L89" s="137"/>
      <c r="M89" s="189"/>
      <c r="N89" s="104"/>
      <c r="O89" s="256"/>
      <c r="P89" s="100"/>
      <c r="Q89" s="139"/>
      <c r="R89" s="261"/>
      <c r="S89" s="620"/>
      <c r="T89" s="96"/>
      <c r="U89" s="96"/>
      <c r="V89" s="65"/>
      <c r="W89" s="88"/>
      <c r="X89" s="99"/>
      <c r="Y89" s="99"/>
      <c r="Z89" s="100"/>
      <c r="AA89" s="100"/>
      <c r="AB89" s="601"/>
      <c r="AC89" s="601"/>
      <c r="AD89" s="101"/>
      <c r="AE89" s="101"/>
      <c r="AF89" s="92">
        <f t="shared" si="59"/>
        <v>0</v>
      </c>
      <c r="AG89" s="94" t="e">
        <f t="shared" si="60"/>
        <v>#DIV/0!</v>
      </c>
      <c r="AH89" s="620"/>
    </row>
    <row r="90" spans="1:34" ht="19.149999999999999" customHeight="1">
      <c r="A90" s="631"/>
      <c r="B90" s="167">
        <v>0</v>
      </c>
      <c r="C90" s="147"/>
      <c r="D90" s="83"/>
      <c r="E90" s="84"/>
      <c r="F90" s="199" t="s">
        <v>391</v>
      </c>
      <c r="G90" s="188"/>
      <c r="H90" s="135">
        <f t="shared" si="52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0"/>
      <c r="T90" s="96"/>
      <c r="U90" s="96"/>
      <c r="V90" s="65"/>
      <c r="W90" s="88"/>
      <c r="X90" s="264"/>
      <c r="Y90" s="264"/>
      <c r="Z90" s="100"/>
      <c r="AA90" s="100"/>
      <c r="AB90" s="601"/>
      <c r="AC90" s="601"/>
      <c r="AD90" s="101"/>
      <c r="AE90" s="101"/>
      <c r="AF90" s="92">
        <f t="shared" si="59"/>
        <v>0</v>
      </c>
      <c r="AG90" s="94" t="e">
        <f t="shared" si="60"/>
        <v>#DIV/0!</v>
      </c>
      <c r="AH90" s="620"/>
    </row>
    <row r="91" spans="1:34" ht="19.149999999999999" customHeight="1">
      <c r="A91" s="631"/>
      <c r="B91" s="167">
        <v>0</v>
      </c>
      <c r="C91" s="147"/>
      <c r="D91" s="83"/>
      <c r="E91" s="84"/>
      <c r="F91" s="199" t="s">
        <v>391</v>
      </c>
      <c r="G91" s="86"/>
      <c r="H91" s="135">
        <f t="shared" si="52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3"/>
      <c r="T91" s="96"/>
      <c r="U91" s="96"/>
      <c r="V91" s="65"/>
      <c r="W91" s="88"/>
      <c r="X91" s="174"/>
      <c r="Y91" s="174"/>
      <c r="Z91" s="100"/>
      <c r="AA91" s="100"/>
      <c r="AB91" s="601"/>
      <c r="AC91" s="601"/>
      <c r="AD91" s="101"/>
      <c r="AE91" s="101"/>
      <c r="AF91" s="92">
        <f t="shared" si="59"/>
        <v>0</v>
      </c>
      <c r="AG91" s="94" t="e">
        <f t="shared" si="60"/>
        <v>#DIV/0!</v>
      </c>
      <c r="AH91" s="623"/>
    </row>
    <row r="92" spans="1:34" ht="19.149999999999999" customHeight="1">
      <c r="A92" s="631"/>
      <c r="B92" s="167">
        <v>0</v>
      </c>
      <c r="C92" s="147"/>
      <c r="D92" s="83"/>
      <c r="E92" s="84"/>
      <c r="F92" s="199" t="s">
        <v>391</v>
      </c>
      <c r="G92" s="86"/>
      <c r="H92" s="135">
        <f t="shared" si="52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1"/>
      <c r="S92" s="623"/>
      <c r="T92" s="96"/>
      <c r="U92" s="96"/>
      <c r="V92" s="65"/>
      <c r="W92" s="88"/>
      <c r="X92" s="253"/>
      <c r="Y92" s="253"/>
      <c r="Z92" s="185"/>
      <c r="AA92" s="185"/>
      <c r="AB92" s="601"/>
      <c r="AC92" s="601"/>
      <c r="AD92" s="101"/>
      <c r="AE92" s="101"/>
      <c r="AF92" s="92">
        <f t="shared" si="59"/>
        <v>0</v>
      </c>
      <c r="AG92" s="94" t="e">
        <f t="shared" si="60"/>
        <v>#DIV/0!</v>
      </c>
      <c r="AH92" s="623"/>
    </row>
    <row r="93" spans="1:34" ht="19.149999999999999" customHeight="1">
      <c r="A93" s="631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2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0"/>
      <c r="S93" s="629"/>
      <c r="T93" s="111"/>
      <c r="U93" s="111"/>
      <c r="V93" s="109"/>
      <c r="W93" s="88">
        <f t="shared" si="58"/>
        <v>0</v>
      </c>
      <c r="X93" s="275"/>
      <c r="Y93" s="275"/>
      <c r="Z93" s="185"/>
      <c r="AA93" s="185"/>
      <c r="AB93" s="601"/>
      <c r="AC93" s="601"/>
      <c r="AD93" s="101"/>
      <c r="AE93" s="101"/>
      <c r="AF93" s="92">
        <f t="shared" si="59"/>
        <v>0</v>
      </c>
      <c r="AG93" s="94" t="e">
        <f t="shared" si="60"/>
        <v>#DIV/0!</v>
      </c>
      <c r="AH93" s="623"/>
    </row>
    <row r="94" spans="1:34" ht="19.149999999999999" customHeight="1">
      <c r="A94" s="631"/>
      <c r="B94" s="109">
        <v>0</v>
      </c>
      <c r="C94" s="272"/>
      <c r="D94" s="83"/>
      <c r="E94" s="84"/>
      <c r="F94" s="199" t="s">
        <v>391</v>
      </c>
      <c r="G94" s="86"/>
      <c r="H94" s="135">
        <f t="shared" si="52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0"/>
      <c r="S94" s="629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01"/>
      <c r="AC94" s="601"/>
      <c r="AD94" s="101"/>
      <c r="AE94" s="101"/>
      <c r="AF94" s="92">
        <f t="shared" si="59"/>
        <v>0</v>
      </c>
      <c r="AG94" s="94" t="e">
        <f t="shared" si="60"/>
        <v>#DIV/0!</v>
      </c>
      <c r="AH94" s="623"/>
    </row>
    <row r="95" spans="1:34" ht="19.149999999999999" customHeight="1">
      <c r="A95" s="631"/>
      <c r="B95" s="278">
        <v>0</v>
      </c>
      <c r="C95" s="156" t="s">
        <v>269</v>
      </c>
      <c r="D95" s="602" t="s">
        <v>256</v>
      </c>
      <c r="E95" s="602"/>
      <c r="F95" s="119"/>
      <c r="G95" s="120"/>
      <c r="H95" s="279"/>
      <c r="I95" s="160"/>
      <c r="J95" s="280">
        <v>16.399999999999999</v>
      </c>
      <c r="K95" s="280">
        <v>1390</v>
      </c>
      <c r="L95" s="281">
        <v>107.40233918128656</v>
      </c>
      <c r="M95" s="280">
        <f t="shared" ref="M95:O95" si="61">AVERAGE(M83:M94)</f>
        <v>16</v>
      </c>
      <c r="N95" s="280">
        <f t="shared" si="61"/>
        <v>1172.3622943181992</v>
      </c>
      <c r="O95" s="281">
        <f t="shared" si="61"/>
        <v>94.494030176357313</v>
      </c>
      <c r="P95" s="282">
        <f>M95-J95</f>
        <v>-0.39999999999999858</v>
      </c>
      <c r="Q95" s="283">
        <f t="shared" ref="Q95:Q103" si="62">O95-L95</f>
        <v>-12.908309004929251</v>
      </c>
      <c r="R95" s="284">
        <f>O95/L95</f>
        <v>0.87981352079174868</v>
      </c>
      <c r="S95" s="623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01"/>
      <c r="AC95" s="601"/>
      <c r="AD95" s="164">
        <f>SUM(AD83:AD94)</f>
        <v>1</v>
      </c>
      <c r="AE95" s="164">
        <f>SUM(AE83:AE94)</f>
        <v>0</v>
      </c>
      <c r="AF95" s="113">
        <f t="shared" si="59"/>
        <v>-217.63770568180075</v>
      </c>
      <c r="AG95" s="114">
        <f t="shared" si="60"/>
        <v>0.84342611102028719</v>
      </c>
      <c r="AH95" s="623"/>
    </row>
    <row r="96" spans="1:34" ht="19.149999999999999" customHeight="1">
      <c r="A96" s="628" t="s">
        <v>270</v>
      </c>
      <c r="B96" s="65" t="s">
        <v>388</v>
      </c>
      <c r="C96" s="152"/>
      <c r="D96" s="83" t="s">
        <v>168</v>
      </c>
      <c r="E96" s="84"/>
      <c r="F96" s="85">
        <v>36.92</v>
      </c>
      <c r="G96" s="86">
        <v>470</v>
      </c>
      <c r="H96" s="87">
        <f t="shared" ref="H96:H106" si="63">F96*G96</f>
        <v>17352.400000000001</v>
      </c>
      <c r="I96" s="65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3" si="64">G96/W96*60</f>
        <v>1128.0000000000002</v>
      </c>
      <c r="O96" s="90">
        <f t="shared" ref="O96:O103" si="65">N96/M96</f>
        <v>225.60000000000005</v>
      </c>
      <c r="P96" s="92">
        <f t="shared" ref="P96:P103" si="66">M96-J96</f>
        <v>-1</v>
      </c>
      <c r="Q96" s="93">
        <f t="shared" si="62"/>
        <v>-24.399999999999949</v>
      </c>
      <c r="R96" s="94">
        <f t="shared" ref="R96:R103" si="67">O96/L96</f>
        <v>0.9024000000000002</v>
      </c>
      <c r="S96" s="620">
        <f>R108</f>
        <v>0.8165655238938776</v>
      </c>
      <c r="T96" s="142">
        <v>0.29166666666666669</v>
      </c>
      <c r="U96" s="142">
        <v>0.30902777777777779</v>
      </c>
      <c r="V96" s="101">
        <v>5</v>
      </c>
      <c r="W96" s="143">
        <f t="shared" ref="W96:W122" si="68">(U96-T96)*24*60</f>
        <v>24.999999999999993</v>
      </c>
      <c r="X96" s="151"/>
      <c r="Y96" s="151"/>
      <c r="Z96" s="100"/>
      <c r="AA96" s="100"/>
      <c r="AB96" s="601"/>
      <c r="AC96" s="601"/>
      <c r="AD96" s="101"/>
      <c r="AE96" s="101"/>
      <c r="AF96" s="100">
        <f t="shared" si="59"/>
        <v>-371.99999999999977</v>
      </c>
      <c r="AG96" s="140">
        <f t="shared" si="60"/>
        <v>0.75200000000000011</v>
      </c>
      <c r="AH96" s="605">
        <f>AG108</f>
        <v>0.93946401464424145</v>
      </c>
    </row>
    <row r="97" spans="1:34" s="294" customFormat="1" ht="19.149999999999999" customHeight="1">
      <c r="A97" s="628"/>
      <c r="B97" s="65" t="s">
        <v>389</v>
      </c>
      <c r="C97" s="285"/>
      <c r="D97" s="286" t="s">
        <v>169</v>
      </c>
      <c r="E97" s="103"/>
      <c r="F97" s="287">
        <v>24.73</v>
      </c>
      <c r="G97" s="288">
        <v>2131</v>
      </c>
      <c r="H97" s="289">
        <f t="shared" si="63"/>
        <v>52699.63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4"/>
        <v>2130.9999999999991</v>
      </c>
      <c r="O97" s="90">
        <f t="shared" si="65"/>
        <v>426.19999999999982</v>
      </c>
      <c r="P97" s="92">
        <f t="shared" si="66"/>
        <v>1</v>
      </c>
      <c r="Q97" s="93">
        <f t="shared" si="62"/>
        <v>-73.800000000000182</v>
      </c>
      <c r="R97" s="94">
        <f t="shared" si="67"/>
        <v>0.8523999999999996</v>
      </c>
      <c r="S97" s="620"/>
      <c r="T97" s="290">
        <v>0.31388888888888888</v>
      </c>
      <c r="U97" s="290">
        <v>0.35555555555555557</v>
      </c>
      <c r="V97" s="291">
        <v>7</v>
      </c>
      <c r="W97" s="143">
        <f t="shared" si="68"/>
        <v>60.000000000000028</v>
      </c>
      <c r="X97" s="99"/>
      <c r="Y97" s="99"/>
      <c r="Z97" s="100"/>
      <c r="AA97" s="100"/>
      <c r="AB97" s="601"/>
      <c r="AC97" s="601"/>
      <c r="AD97" s="291"/>
      <c r="AE97" s="291"/>
      <c r="AF97" s="292">
        <f t="shared" si="59"/>
        <v>130.99999999999909</v>
      </c>
      <c r="AG97" s="293">
        <f t="shared" si="60"/>
        <v>1.0654999999999994</v>
      </c>
      <c r="AH97" s="605"/>
    </row>
    <row r="98" spans="1:34" s="298" customFormat="1" ht="19.149999999999999" customHeight="1">
      <c r="A98" s="628"/>
      <c r="B98" s="65" t="s">
        <v>389</v>
      </c>
      <c r="C98" s="102"/>
      <c r="D98" s="83" t="s">
        <v>170</v>
      </c>
      <c r="E98" s="133"/>
      <c r="F98" s="287">
        <v>24.73</v>
      </c>
      <c r="G98" s="104">
        <v>1985</v>
      </c>
      <c r="H98" s="289">
        <f t="shared" si="63"/>
        <v>49089.05</v>
      </c>
      <c r="I98" s="101"/>
      <c r="J98" s="89">
        <v>4</v>
      </c>
      <c r="K98" s="86">
        <v>2000</v>
      </c>
      <c r="L98" s="90">
        <v>500</v>
      </c>
      <c r="M98" s="138">
        <v>5</v>
      </c>
      <c r="N98" s="86">
        <f t="shared" si="64"/>
        <v>2165.4545454545469</v>
      </c>
      <c r="O98" s="90">
        <f t="shared" si="65"/>
        <v>433.09090909090935</v>
      </c>
      <c r="P98" s="92">
        <f t="shared" si="66"/>
        <v>1</v>
      </c>
      <c r="Q98" s="93">
        <f t="shared" si="62"/>
        <v>-66.909090909090651</v>
      </c>
      <c r="R98" s="94">
        <f t="shared" si="67"/>
        <v>0.86618181818181872</v>
      </c>
      <c r="S98" s="620"/>
      <c r="T98" s="142">
        <v>0.37152777777777779</v>
      </c>
      <c r="U98" s="142">
        <v>0.40972222222222221</v>
      </c>
      <c r="V98" s="101">
        <v>23</v>
      </c>
      <c r="W98" s="143">
        <f t="shared" si="68"/>
        <v>54.999999999999964</v>
      </c>
      <c r="X98" s="295">
        <v>0.35902777777777778</v>
      </c>
      <c r="Y98" s="295">
        <v>0.36874999999999997</v>
      </c>
      <c r="Z98" s="296"/>
      <c r="AA98" s="296"/>
      <c r="AB98" s="601"/>
      <c r="AC98" s="601"/>
      <c r="AD98" s="101"/>
      <c r="AE98" s="101"/>
      <c r="AF98" s="297">
        <f t="shared" si="59"/>
        <v>165.45454545454686</v>
      </c>
      <c r="AG98" s="94">
        <f t="shared" si="60"/>
        <v>1.0827272727272734</v>
      </c>
      <c r="AH98" s="605"/>
    </row>
    <row r="99" spans="1:34" ht="19.149999999999999" customHeight="1">
      <c r="A99" s="628"/>
      <c r="B99" s="65" t="s">
        <v>389</v>
      </c>
      <c r="C99" s="131"/>
      <c r="D99" s="132" t="s">
        <v>171</v>
      </c>
      <c r="E99" s="133"/>
      <c r="F99" s="287">
        <v>22.83</v>
      </c>
      <c r="G99" s="104">
        <v>420</v>
      </c>
      <c r="H99" s="289">
        <f t="shared" si="63"/>
        <v>9588.5999999999985</v>
      </c>
      <c r="I99" s="101"/>
      <c r="J99" s="89">
        <v>6</v>
      </c>
      <c r="K99" s="86">
        <v>2000</v>
      </c>
      <c r="L99" s="90">
        <v>333.33333333333331</v>
      </c>
      <c r="M99" s="91">
        <v>7</v>
      </c>
      <c r="N99" s="86">
        <f t="shared" si="64"/>
        <v>1799.9999999999961</v>
      </c>
      <c r="O99" s="90">
        <f t="shared" si="65"/>
        <v>257.1428571428566</v>
      </c>
      <c r="P99" s="92">
        <f t="shared" si="66"/>
        <v>1</v>
      </c>
      <c r="Q99" s="93">
        <f t="shared" si="62"/>
        <v>-76.190476190476716</v>
      </c>
      <c r="R99" s="94">
        <f t="shared" si="67"/>
        <v>0.7714285714285698</v>
      </c>
      <c r="S99" s="620"/>
      <c r="T99" s="142">
        <v>0.4145833333333333</v>
      </c>
      <c r="U99" s="142">
        <v>0.42430555555555555</v>
      </c>
      <c r="V99" s="101">
        <v>7</v>
      </c>
      <c r="W99" s="143">
        <f t="shared" si="68"/>
        <v>14.00000000000003</v>
      </c>
      <c r="X99" s="253"/>
      <c r="Y99" s="253"/>
      <c r="Z99" s="185"/>
      <c r="AA99" s="185"/>
      <c r="AB99" s="601"/>
      <c r="AC99" s="601"/>
      <c r="AD99" s="101"/>
      <c r="AE99" s="101"/>
      <c r="AF99" s="92">
        <f t="shared" si="59"/>
        <v>-200.00000000000387</v>
      </c>
      <c r="AG99" s="186">
        <f t="shared" si="60"/>
        <v>0.89999999999999802</v>
      </c>
      <c r="AH99" s="605"/>
    </row>
    <row r="100" spans="1:34" s="298" customFormat="1" ht="19.149999999999999" customHeight="1">
      <c r="A100" s="628"/>
      <c r="B100" s="65" t="s">
        <v>389</v>
      </c>
      <c r="C100" s="102"/>
      <c r="D100" s="83" t="s">
        <v>172</v>
      </c>
      <c r="E100" s="133"/>
      <c r="F100" s="287">
        <v>22.27</v>
      </c>
      <c r="G100" s="104">
        <v>1341</v>
      </c>
      <c r="H100" s="289">
        <f t="shared" si="63"/>
        <v>29864.07</v>
      </c>
      <c r="I100" s="101"/>
      <c r="J100" s="89">
        <v>4</v>
      </c>
      <c r="K100" s="86">
        <v>2000</v>
      </c>
      <c r="L100" s="90">
        <v>500</v>
      </c>
      <c r="M100" s="138">
        <v>5</v>
      </c>
      <c r="N100" s="86">
        <f t="shared" si="64"/>
        <v>2063.076923076922</v>
      </c>
      <c r="O100" s="90">
        <f t="shared" si="65"/>
        <v>412.61538461538441</v>
      </c>
      <c r="P100" s="92">
        <f t="shared" si="66"/>
        <v>1</v>
      </c>
      <c r="Q100" s="93">
        <f t="shared" si="62"/>
        <v>-87.384615384615586</v>
      </c>
      <c r="R100" s="94">
        <f t="shared" si="67"/>
        <v>0.82523076923076888</v>
      </c>
      <c r="S100" s="620"/>
      <c r="T100" s="290">
        <v>0.42777777777777776</v>
      </c>
      <c r="U100" s="290">
        <v>0.4548611111111111</v>
      </c>
      <c r="V100" s="291">
        <v>5</v>
      </c>
      <c r="W100" s="143">
        <f t="shared" si="68"/>
        <v>39.000000000000021</v>
      </c>
      <c r="X100" s="299"/>
      <c r="Y100" s="299"/>
      <c r="Z100" s="296"/>
      <c r="AA100" s="296"/>
      <c r="AB100" s="601"/>
      <c r="AC100" s="601"/>
      <c r="AD100" s="101"/>
      <c r="AE100" s="101"/>
      <c r="AF100" s="297">
        <f t="shared" si="59"/>
        <v>63.076923076921958</v>
      </c>
      <c r="AG100" s="94">
        <f t="shared" si="60"/>
        <v>1.0315384615384611</v>
      </c>
      <c r="AH100" s="605"/>
    </row>
    <row r="101" spans="1:34" s="298" customFormat="1" ht="19.149999999999999" customHeight="1">
      <c r="A101" s="628"/>
      <c r="B101" s="65" t="s">
        <v>389</v>
      </c>
      <c r="C101" s="102"/>
      <c r="D101" s="132" t="s">
        <v>173</v>
      </c>
      <c r="E101" s="133"/>
      <c r="F101" s="287">
        <v>21.74</v>
      </c>
      <c r="G101" s="104">
        <v>258</v>
      </c>
      <c r="H101" s="289">
        <f t="shared" si="63"/>
        <v>5608.9199999999992</v>
      </c>
      <c r="I101" s="101"/>
      <c r="J101" s="89">
        <v>4</v>
      </c>
      <c r="K101" s="86">
        <v>2000</v>
      </c>
      <c r="L101" s="90">
        <v>500</v>
      </c>
      <c r="M101" s="138">
        <v>5</v>
      </c>
      <c r="N101" s="86">
        <f t="shared" si="64"/>
        <v>1720.0000000000061</v>
      </c>
      <c r="O101" s="90">
        <f t="shared" si="65"/>
        <v>344.00000000000125</v>
      </c>
      <c r="P101" s="92">
        <f t="shared" si="66"/>
        <v>1</v>
      </c>
      <c r="Q101" s="93">
        <f t="shared" si="62"/>
        <v>-155.99999999999875</v>
      </c>
      <c r="R101" s="94">
        <f t="shared" si="67"/>
        <v>0.6880000000000025</v>
      </c>
      <c r="S101" s="620"/>
      <c r="T101" s="290">
        <v>0.45902777777777776</v>
      </c>
      <c r="U101" s="142">
        <v>0.46527777777777773</v>
      </c>
      <c r="V101" s="291">
        <v>6</v>
      </c>
      <c r="W101" s="143">
        <f t="shared" si="68"/>
        <v>8.999999999999968</v>
      </c>
      <c r="X101" s="300"/>
      <c r="Y101" s="300"/>
      <c r="Z101" s="296"/>
      <c r="AA101" s="296"/>
      <c r="AB101" s="601"/>
      <c r="AC101" s="601"/>
      <c r="AD101" s="101"/>
      <c r="AE101" s="101"/>
      <c r="AF101" s="92">
        <f t="shared" si="59"/>
        <v>-279.99999999999386</v>
      </c>
      <c r="AG101" s="186">
        <f t="shared" si="60"/>
        <v>0.8600000000000031</v>
      </c>
      <c r="AH101" s="605"/>
    </row>
    <row r="102" spans="1:34" s="298" customFormat="1" ht="19.149999999999999" customHeight="1">
      <c r="A102" s="628"/>
      <c r="B102" s="65" t="s">
        <v>390</v>
      </c>
      <c r="C102" s="248"/>
      <c r="D102" s="249" t="s">
        <v>174</v>
      </c>
      <c r="E102" s="250"/>
      <c r="F102" s="287">
        <v>53.68</v>
      </c>
      <c r="G102" s="104">
        <v>985</v>
      </c>
      <c r="H102" s="289">
        <f t="shared" si="63"/>
        <v>52874.8</v>
      </c>
      <c r="I102" s="65"/>
      <c r="J102" s="89">
        <v>16</v>
      </c>
      <c r="K102" s="86">
        <v>1500</v>
      </c>
      <c r="L102" s="90">
        <v>93.75</v>
      </c>
      <c r="M102" s="138">
        <v>16</v>
      </c>
      <c r="N102" s="86">
        <f t="shared" si="64"/>
        <v>1313.3333333333333</v>
      </c>
      <c r="O102" s="90">
        <f t="shared" si="65"/>
        <v>82.083333333333329</v>
      </c>
      <c r="P102" s="92">
        <f t="shared" si="66"/>
        <v>0</v>
      </c>
      <c r="Q102" s="93">
        <f t="shared" si="62"/>
        <v>-11.666666666666671</v>
      </c>
      <c r="R102" s="94">
        <f t="shared" si="67"/>
        <v>0.87555555555555553</v>
      </c>
      <c r="S102" s="620"/>
      <c r="T102" s="290">
        <v>0.50555555555555542</v>
      </c>
      <c r="U102" s="290">
        <v>0.53680555555555542</v>
      </c>
      <c r="V102" s="291">
        <v>5</v>
      </c>
      <c r="W102" s="143">
        <f t="shared" si="68"/>
        <v>45</v>
      </c>
      <c r="X102" s="300"/>
      <c r="Y102" s="300"/>
      <c r="Z102" s="296"/>
      <c r="AA102" s="296"/>
      <c r="AB102" s="601"/>
      <c r="AC102" s="601"/>
      <c r="AD102" s="101"/>
      <c r="AE102" s="101"/>
      <c r="AF102" s="297">
        <f t="shared" si="59"/>
        <v>-186.66666666666674</v>
      </c>
      <c r="AG102" s="94">
        <f t="shared" si="60"/>
        <v>0.87555555555555553</v>
      </c>
      <c r="AH102" s="605"/>
    </row>
    <row r="103" spans="1:34" s="298" customFormat="1" ht="19.149999999999999" customHeight="1">
      <c r="A103" s="628"/>
      <c r="B103" s="65" t="s">
        <v>390</v>
      </c>
      <c r="C103" s="301"/>
      <c r="D103" s="132" t="s">
        <v>175</v>
      </c>
      <c r="E103" s="133"/>
      <c r="F103" s="287">
        <v>57.734999999999999</v>
      </c>
      <c r="G103" s="104">
        <v>1430.55</v>
      </c>
      <c r="H103" s="289">
        <f t="shared" si="63"/>
        <v>82592.804250000001</v>
      </c>
      <c r="I103" s="302"/>
      <c r="J103" s="89">
        <v>16</v>
      </c>
      <c r="K103" s="86">
        <v>1565</v>
      </c>
      <c r="L103" s="90">
        <v>97.8125</v>
      </c>
      <c r="M103" s="138">
        <v>16</v>
      </c>
      <c r="N103" s="86">
        <f t="shared" si="64"/>
        <v>1362.4285714285729</v>
      </c>
      <c r="O103" s="90">
        <f t="shared" si="65"/>
        <v>85.151785714285808</v>
      </c>
      <c r="P103" s="92">
        <f t="shared" si="66"/>
        <v>0</v>
      </c>
      <c r="Q103" s="93">
        <f t="shared" si="62"/>
        <v>-12.660714285714192</v>
      </c>
      <c r="R103" s="94">
        <f t="shared" si="67"/>
        <v>0.87056138749429579</v>
      </c>
      <c r="S103" s="620"/>
      <c r="T103" s="290">
        <v>0.55138888888888871</v>
      </c>
      <c r="U103" s="290">
        <v>0.59513888888888866</v>
      </c>
      <c r="V103" s="291">
        <v>21</v>
      </c>
      <c r="W103" s="143">
        <f t="shared" si="68"/>
        <v>62.999999999999936</v>
      </c>
      <c r="X103" s="300">
        <v>0.54027777777777775</v>
      </c>
      <c r="Y103" s="300">
        <v>0.54861111111111105</v>
      </c>
      <c r="Z103" s="296"/>
      <c r="AA103" s="296"/>
      <c r="AB103" s="601"/>
      <c r="AC103" s="601"/>
      <c r="AD103" s="101"/>
      <c r="AE103" s="101"/>
      <c r="AF103" s="92">
        <f t="shared" si="59"/>
        <v>-202.57142857142708</v>
      </c>
      <c r="AG103" s="186">
        <f t="shared" si="60"/>
        <v>0.87056138749429579</v>
      </c>
      <c r="AH103" s="605"/>
    </row>
    <row r="104" spans="1:34" s="298" customFormat="1" ht="19.149999999999999" customHeight="1">
      <c r="A104" s="628"/>
      <c r="B104" s="65">
        <v>0</v>
      </c>
      <c r="C104" s="303"/>
      <c r="D104" s="132"/>
      <c r="E104" s="133"/>
      <c r="F104" s="287" t="s">
        <v>391</v>
      </c>
      <c r="G104" s="288"/>
      <c r="H104" s="289">
        <f t="shared" si="63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4"/>
      <c r="S104" s="623"/>
      <c r="T104" s="290"/>
      <c r="U104" s="290"/>
      <c r="V104" s="291"/>
      <c r="W104" s="143"/>
      <c r="X104" s="300"/>
      <c r="Y104" s="300"/>
      <c r="Z104" s="296"/>
      <c r="AA104" s="296"/>
      <c r="AB104" s="601"/>
      <c r="AC104" s="601"/>
      <c r="AD104" s="101"/>
      <c r="AE104" s="101"/>
      <c r="AF104" s="297">
        <f t="shared" si="59"/>
        <v>0</v>
      </c>
      <c r="AG104" s="94" t="e">
        <f t="shared" si="60"/>
        <v>#DIV/0!</v>
      </c>
      <c r="AH104" s="605"/>
    </row>
    <row r="105" spans="1:34" s="298" customFormat="1" ht="19.149999999999999" customHeight="1">
      <c r="A105" s="628"/>
      <c r="B105" s="65">
        <v>0</v>
      </c>
      <c r="C105" s="303"/>
      <c r="D105" s="132"/>
      <c r="E105" s="133"/>
      <c r="F105" s="287" t="s">
        <v>391</v>
      </c>
      <c r="G105" s="288"/>
      <c r="H105" s="289">
        <f t="shared" si="63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4"/>
      <c r="S105" s="623"/>
      <c r="T105" s="290"/>
      <c r="U105" s="290"/>
      <c r="V105" s="291"/>
      <c r="W105" s="143">
        <f t="shared" si="68"/>
        <v>0</v>
      </c>
      <c r="X105" s="300"/>
      <c r="Y105" s="300"/>
      <c r="Z105" s="296"/>
      <c r="AA105" s="296"/>
      <c r="AB105" s="601"/>
      <c r="AC105" s="601"/>
      <c r="AD105" s="101"/>
      <c r="AE105" s="101"/>
      <c r="AF105" s="296"/>
      <c r="AG105" s="140"/>
      <c r="AH105" s="605"/>
    </row>
    <row r="106" spans="1:34" s="298" customFormat="1" ht="19.149999999999999" customHeight="1">
      <c r="A106" s="628"/>
      <c r="B106" s="65">
        <v>0</v>
      </c>
      <c r="C106" s="303"/>
      <c r="D106" s="132"/>
      <c r="E106" s="133"/>
      <c r="F106" s="85" t="s">
        <v>391</v>
      </c>
      <c r="G106" s="288"/>
      <c r="H106" s="289">
        <f t="shared" si="63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0"/>
      <c r="S106" s="629"/>
      <c r="T106" s="290"/>
      <c r="U106" s="290"/>
      <c r="V106" s="291"/>
      <c r="W106" s="143">
        <f t="shared" si="68"/>
        <v>0</v>
      </c>
      <c r="X106" s="300"/>
      <c r="Y106" s="300"/>
      <c r="Z106" s="296"/>
      <c r="AA106" s="296"/>
      <c r="AB106" s="601"/>
      <c r="AC106" s="601"/>
      <c r="AD106" s="101"/>
      <c r="AE106" s="101"/>
      <c r="AF106" s="296"/>
      <c r="AG106" s="140"/>
      <c r="AH106" s="605"/>
    </row>
    <row r="107" spans="1:34" s="298" customFormat="1" ht="19.149999999999999" customHeight="1">
      <c r="A107" s="628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0"/>
      <c r="S107" s="629"/>
      <c r="T107" s="290"/>
      <c r="U107" s="290"/>
      <c r="V107" s="291"/>
      <c r="W107" s="143">
        <f t="shared" si="68"/>
        <v>0</v>
      </c>
      <c r="X107" s="300"/>
      <c r="Y107" s="300"/>
      <c r="Z107" s="296"/>
      <c r="AA107" s="296"/>
      <c r="AB107" s="601"/>
      <c r="AC107" s="601"/>
      <c r="AD107" s="101"/>
      <c r="AE107" s="101"/>
      <c r="AF107" s="296"/>
      <c r="AG107" s="140"/>
      <c r="AH107" s="605"/>
    </row>
    <row r="108" spans="1:34" ht="19.149999999999999" customHeight="1">
      <c r="A108" s="628"/>
      <c r="B108" s="167">
        <v>0</v>
      </c>
      <c r="C108" s="156" t="s">
        <v>271</v>
      </c>
      <c r="D108" s="602" t="s">
        <v>256</v>
      </c>
      <c r="E108" s="602"/>
      <c r="F108" s="307"/>
      <c r="G108" s="158"/>
      <c r="H108" s="159"/>
      <c r="I108" s="160"/>
      <c r="J108" s="158">
        <v>7.5</v>
      </c>
      <c r="K108" s="158">
        <v>1820.625</v>
      </c>
      <c r="L108" s="161">
        <v>346.86197916666663</v>
      </c>
      <c r="M108" s="158">
        <f t="shared" ref="M108:O108" si="69">AVERAGE(M96:M107)</f>
        <v>8</v>
      </c>
      <c r="N108" s="158">
        <f t="shared" si="69"/>
        <v>1710.411671661672</v>
      </c>
      <c r="O108" s="161">
        <f t="shared" si="69"/>
        <v>283.23553373709638</v>
      </c>
      <c r="P108" s="100">
        <f t="shared" ref="P108:P115" si="70">M108-J108</f>
        <v>0.5</v>
      </c>
      <c r="Q108" s="139">
        <f t="shared" ref="Q108:Q115" si="71">O108-L108</f>
        <v>-63.626445429570254</v>
      </c>
      <c r="R108" s="162">
        <f t="shared" ref="R108:R115" si="72">O108/L108</f>
        <v>0.8165655238938776</v>
      </c>
      <c r="S108" s="623"/>
      <c r="T108" s="142"/>
      <c r="U108" s="142"/>
      <c r="V108" s="104"/>
      <c r="W108" s="143">
        <f t="shared" si="68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01"/>
      <c r="AC108" s="601"/>
      <c r="AD108" s="164">
        <f>SUM(AD96:AD107)</f>
        <v>0</v>
      </c>
      <c r="AE108" s="164">
        <f>SUM(AE96:AE107)</f>
        <v>0</v>
      </c>
      <c r="AF108" s="100">
        <f t="shared" si="59"/>
        <v>-110.21332833832798</v>
      </c>
      <c r="AG108" s="140">
        <f t="shared" si="60"/>
        <v>0.93946401464424145</v>
      </c>
      <c r="AH108" s="605"/>
    </row>
    <row r="109" spans="1:34" ht="19.149999999999999" customHeight="1">
      <c r="A109" s="624" t="s">
        <v>272</v>
      </c>
      <c r="B109" s="65" t="s">
        <v>390</v>
      </c>
      <c r="C109" s="147"/>
      <c r="D109" s="249" t="s">
        <v>177</v>
      </c>
      <c r="E109" s="84"/>
      <c r="F109" s="85">
        <v>56.43</v>
      </c>
      <c r="G109" s="86">
        <v>1015</v>
      </c>
      <c r="H109" s="87">
        <f t="shared" ref="H109:H118" si="73">F109*G109</f>
        <v>57276.45</v>
      </c>
      <c r="I109" s="65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5" si="74">G109/W109*60</f>
        <v>1416.2790697674418</v>
      </c>
      <c r="O109" s="90">
        <f t="shared" ref="O109:O115" si="75">N109/M109</f>
        <v>78.68217054263566</v>
      </c>
      <c r="P109" s="92">
        <f t="shared" si="70"/>
        <v>0</v>
      </c>
      <c r="Q109" s="93">
        <f t="shared" si="71"/>
        <v>-4.6511627906976685</v>
      </c>
      <c r="R109" s="94">
        <f t="shared" si="72"/>
        <v>0.94418604651162796</v>
      </c>
      <c r="S109" s="627">
        <f>R121</f>
        <v>0.85251569558044271</v>
      </c>
      <c r="T109" s="308">
        <v>0.5</v>
      </c>
      <c r="U109" s="308">
        <v>0.52986111111111112</v>
      </c>
      <c r="V109" s="309">
        <v>5</v>
      </c>
      <c r="W109" s="88">
        <f t="shared" si="68"/>
        <v>43.000000000000007</v>
      </c>
      <c r="X109" s="99"/>
      <c r="Y109" s="99"/>
      <c r="Z109" s="100"/>
      <c r="AA109" s="100"/>
      <c r="AB109" s="601"/>
      <c r="AC109" s="601"/>
      <c r="AD109" s="101"/>
      <c r="AE109" s="101"/>
      <c r="AF109" s="92">
        <f t="shared" si="59"/>
        <v>-83.720930232558203</v>
      </c>
      <c r="AG109" s="186">
        <f t="shared" si="60"/>
        <v>0.94418604651162785</v>
      </c>
      <c r="AH109" s="605">
        <f>AG121</f>
        <v>0.85502401509925452</v>
      </c>
    </row>
    <row r="110" spans="1:34" ht="19.149999999999999" customHeight="1">
      <c r="A110" s="625"/>
      <c r="B110" s="65" t="s">
        <v>390</v>
      </c>
      <c r="C110" s="248"/>
      <c r="D110" s="83" t="s">
        <v>178</v>
      </c>
      <c r="E110" s="250"/>
      <c r="F110" s="85">
        <v>54.09</v>
      </c>
      <c r="G110" s="247">
        <v>1162</v>
      </c>
      <c r="H110" s="87">
        <f t="shared" si="73"/>
        <v>62852.58</v>
      </c>
      <c r="I110" s="65"/>
      <c r="J110" s="89">
        <v>20</v>
      </c>
      <c r="K110" s="86">
        <v>1500</v>
      </c>
      <c r="L110" s="90">
        <v>75</v>
      </c>
      <c r="M110" s="91">
        <v>20</v>
      </c>
      <c r="N110" s="86">
        <f t="shared" si="74"/>
        <v>1291.1111111111118</v>
      </c>
      <c r="O110" s="90">
        <f t="shared" si="75"/>
        <v>64.555555555555586</v>
      </c>
      <c r="P110" s="92">
        <f t="shared" si="70"/>
        <v>0</v>
      </c>
      <c r="Q110" s="93">
        <f t="shared" si="71"/>
        <v>-10.444444444444414</v>
      </c>
      <c r="R110" s="94">
        <f t="shared" si="72"/>
        <v>0.86074074074074114</v>
      </c>
      <c r="S110" s="616"/>
      <c r="T110" s="308">
        <v>0.53472222222222221</v>
      </c>
      <c r="U110" s="308">
        <v>0.57222222222222219</v>
      </c>
      <c r="V110" s="309">
        <v>7</v>
      </c>
      <c r="W110" s="88">
        <f t="shared" si="68"/>
        <v>53.999999999999972</v>
      </c>
      <c r="X110" s="264"/>
      <c r="Y110" s="264"/>
      <c r="Z110" s="100"/>
      <c r="AA110" s="100"/>
      <c r="AB110" s="601"/>
      <c r="AC110" s="601"/>
      <c r="AD110" s="101"/>
      <c r="AE110" s="101"/>
      <c r="AF110" s="165">
        <f t="shared" si="59"/>
        <v>-208.88888888888823</v>
      </c>
      <c r="AG110" s="186">
        <f t="shared" si="60"/>
        <v>0.86074074074074114</v>
      </c>
      <c r="AH110" s="605"/>
    </row>
    <row r="111" spans="1:34" ht="19.149999999999999" customHeight="1">
      <c r="A111" s="625"/>
      <c r="B111" s="65" t="s">
        <v>390</v>
      </c>
      <c r="C111" s="248"/>
      <c r="D111" s="83" t="s">
        <v>179</v>
      </c>
      <c r="E111" s="250"/>
      <c r="F111" s="85">
        <v>51.75</v>
      </c>
      <c r="G111" s="104">
        <v>1286</v>
      </c>
      <c r="H111" s="87">
        <f t="shared" si="73"/>
        <v>66550.5</v>
      </c>
      <c r="I111" s="65"/>
      <c r="J111" s="89">
        <v>21</v>
      </c>
      <c r="K111" s="86">
        <v>1500</v>
      </c>
      <c r="L111" s="90">
        <v>71.428571428571431</v>
      </c>
      <c r="M111" s="310">
        <v>20</v>
      </c>
      <c r="N111" s="86">
        <f t="shared" si="74"/>
        <v>1169.0909090909104</v>
      </c>
      <c r="O111" s="90">
        <f t="shared" si="75"/>
        <v>58.454545454545517</v>
      </c>
      <c r="P111" s="92">
        <f t="shared" si="70"/>
        <v>-1</v>
      </c>
      <c r="Q111" s="93">
        <f t="shared" si="71"/>
        <v>-12.974025974025913</v>
      </c>
      <c r="R111" s="94">
        <f t="shared" si="72"/>
        <v>0.81836363636363718</v>
      </c>
      <c r="S111" s="616"/>
      <c r="T111" s="308">
        <v>0.58819444444444446</v>
      </c>
      <c r="U111" s="308">
        <v>0.63402777777777775</v>
      </c>
      <c r="V111" s="309">
        <v>23</v>
      </c>
      <c r="W111" s="88">
        <f t="shared" si="68"/>
        <v>65.999999999999929</v>
      </c>
      <c r="X111" s="99">
        <v>0.5756944444444444</v>
      </c>
      <c r="Y111" s="99">
        <v>0.5854166666666667</v>
      </c>
      <c r="Z111" s="100"/>
      <c r="AA111" s="100"/>
      <c r="AB111" s="601"/>
      <c r="AC111" s="601"/>
      <c r="AD111" s="101"/>
      <c r="AE111" s="101"/>
      <c r="AF111" s="92">
        <f t="shared" si="59"/>
        <v>-330.90909090908963</v>
      </c>
      <c r="AG111" s="186">
        <f t="shared" si="60"/>
        <v>0.77939393939394019</v>
      </c>
      <c r="AH111" s="605"/>
    </row>
    <row r="112" spans="1:34" ht="19.149999999999999" customHeight="1">
      <c r="A112" s="625"/>
      <c r="B112" s="65" t="s">
        <v>390</v>
      </c>
      <c r="C112" s="248"/>
      <c r="D112" s="249" t="s">
        <v>180</v>
      </c>
      <c r="E112" s="250"/>
      <c r="F112" s="85">
        <v>54.29</v>
      </c>
      <c r="G112" s="104">
        <v>1134</v>
      </c>
      <c r="H112" s="87">
        <f t="shared" si="73"/>
        <v>61564.86</v>
      </c>
      <c r="I112" s="101"/>
      <c r="J112" s="89">
        <v>16</v>
      </c>
      <c r="K112" s="86">
        <v>1440</v>
      </c>
      <c r="L112" s="90">
        <v>90</v>
      </c>
      <c r="M112" s="310">
        <v>16</v>
      </c>
      <c r="N112" s="86">
        <f t="shared" si="74"/>
        <v>1308.4615384615392</v>
      </c>
      <c r="O112" s="90">
        <f t="shared" si="75"/>
        <v>81.778846153846203</v>
      </c>
      <c r="P112" s="92">
        <f t="shared" si="70"/>
        <v>0</v>
      </c>
      <c r="Q112" s="93">
        <f t="shared" si="71"/>
        <v>-8.221153846153797</v>
      </c>
      <c r="R112" s="94">
        <f t="shared" si="72"/>
        <v>0.9086538461538467</v>
      </c>
      <c r="S112" s="616"/>
      <c r="T112" s="308">
        <v>0.70833333333333337</v>
      </c>
      <c r="U112" s="308">
        <v>0.74444444444444446</v>
      </c>
      <c r="V112" s="309">
        <v>5</v>
      </c>
      <c r="W112" s="88">
        <f t="shared" si="68"/>
        <v>51.999999999999972</v>
      </c>
      <c r="X112" s="99"/>
      <c r="Y112" s="99"/>
      <c r="Z112" s="100"/>
      <c r="AA112" s="100"/>
      <c r="AB112" s="601"/>
      <c r="AC112" s="601"/>
      <c r="AD112" s="101"/>
      <c r="AE112" s="101"/>
      <c r="AF112" s="92">
        <f t="shared" si="59"/>
        <v>-131.53846153846075</v>
      </c>
      <c r="AG112" s="186">
        <f t="shared" si="60"/>
        <v>0.9086538461538467</v>
      </c>
      <c r="AH112" s="605"/>
    </row>
    <row r="113" spans="1:34" s="298" customFormat="1" ht="19.149999999999999" customHeight="1">
      <c r="A113" s="625"/>
      <c r="B113" s="65" t="s">
        <v>390</v>
      </c>
      <c r="C113" s="248"/>
      <c r="D113" s="249" t="s">
        <v>181</v>
      </c>
      <c r="E113" s="250"/>
      <c r="F113" s="85">
        <v>55.32</v>
      </c>
      <c r="G113" s="104">
        <v>541</v>
      </c>
      <c r="H113" s="87">
        <f t="shared" si="73"/>
        <v>29928.12</v>
      </c>
      <c r="I113" s="101"/>
      <c r="J113" s="89">
        <v>15</v>
      </c>
      <c r="K113" s="86">
        <v>1440</v>
      </c>
      <c r="L113" s="90">
        <v>96</v>
      </c>
      <c r="M113" s="310">
        <v>15</v>
      </c>
      <c r="N113" s="86">
        <f t="shared" si="74"/>
        <v>1081.9999999999982</v>
      </c>
      <c r="O113" s="90">
        <f t="shared" si="75"/>
        <v>72.133333333333212</v>
      </c>
      <c r="P113" s="92">
        <f t="shared" si="70"/>
        <v>0</v>
      </c>
      <c r="Q113" s="93">
        <f t="shared" si="71"/>
        <v>-23.866666666666788</v>
      </c>
      <c r="R113" s="94">
        <f t="shared" si="72"/>
        <v>0.75138888888888766</v>
      </c>
      <c r="S113" s="616"/>
      <c r="T113" s="308">
        <v>0.74861111111111112</v>
      </c>
      <c r="U113" s="308">
        <v>0.76944444444444449</v>
      </c>
      <c r="V113" s="309">
        <v>6</v>
      </c>
      <c r="W113" s="88">
        <f t="shared" si="68"/>
        <v>30.000000000000053</v>
      </c>
      <c r="X113" s="295"/>
      <c r="Y113" s="295"/>
      <c r="Z113" s="296"/>
      <c r="AA113" s="296"/>
      <c r="AB113" s="601"/>
      <c r="AC113" s="601"/>
      <c r="AD113" s="301"/>
      <c r="AE113" s="301"/>
      <c r="AF113" s="165">
        <f t="shared" si="59"/>
        <v>-358.00000000000182</v>
      </c>
      <c r="AG113" s="186">
        <f t="shared" si="60"/>
        <v>0.75138888888888766</v>
      </c>
      <c r="AH113" s="605"/>
    </row>
    <row r="114" spans="1:34" s="298" customFormat="1" ht="19.149999999999999" customHeight="1">
      <c r="A114" s="625"/>
      <c r="B114" s="65" t="s">
        <v>390</v>
      </c>
      <c r="C114" s="248"/>
      <c r="D114" s="249" t="s">
        <v>182</v>
      </c>
      <c r="E114" s="250"/>
      <c r="F114" s="85">
        <v>55.56</v>
      </c>
      <c r="G114" s="104">
        <v>771</v>
      </c>
      <c r="H114" s="87">
        <f t="shared" si="73"/>
        <v>42836.76</v>
      </c>
      <c r="I114" s="101"/>
      <c r="J114" s="89">
        <v>16</v>
      </c>
      <c r="K114" s="86">
        <v>1440</v>
      </c>
      <c r="L114" s="90">
        <v>90</v>
      </c>
      <c r="M114" s="310">
        <v>16</v>
      </c>
      <c r="N114" s="86">
        <f t="shared" si="74"/>
        <v>1284.9999999999991</v>
      </c>
      <c r="O114" s="90">
        <f t="shared" si="75"/>
        <v>80.312499999999943</v>
      </c>
      <c r="P114" s="92">
        <f t="shared" si="70"/>
        <v>0</v>
      </c>
      <c r="Q114" s="93">
        <f t="shared" si="71"/>
        <v>-9.6875000000000568</v>
      </c>
      <c r="R114" s="94">
        <f t="shared" si="72"/>
        <v>0.89236111111111049</v>
      </c>
      <c r="S114" s="616"/>
      <c r="T114" s="308">
        <v>0.77500000000000002</v>
      </c>
      <c r="U114" s="308">
        <v>0.8</v>
      </c>
      <c r="V114" s="309">
        <v>8</v>
      </c>
      <c r="W114" s="88">
        <f t="shared" si="68"/>
        <v>36.000000000000028</v>
      </c>
      <c r="X114" s="295"/>
      <c r="Y114" s="295"/>
      <c r="Z114" s="296"/>
      <c r="AA114" s="296"/>
      <c r="AB114" s="601"/>
      <c r="AC114" s="601"/>
      <c r="AD114" s="301"/>
      <c r="AE114" s="301"/>
      <c r="AF114" s="92">
        <f t="shared" si="59"/>
        <v>-155.00000000000091</v>
      </c>
      <c r="AG114" s="186">
        <f t="shared" si="60"/>
        <v>0.89236111111111049</v>
      </c>
      <c r="AH114" s="605"/>
    </row>
    <row r="115" spans="1:34" s="298" customFormat="1" ht="19.149999999999999" customHeight="1">
      <c r="A115" s="625"/>
      <c r="B115" s="65" t="s">
        <v>390</v>
      </c>
      <c r="C115" s="248"/>
      <c r="D115" s="249" t="s">
        <v>183</v>
      </c>
      <c r="E115" s="250"/>
      <c r="F115" s="85">
        <v>57.73</v>
      </c>
      <c r="G115" s="247">
        <v>838</v>
      </c>
      <c r="H115" s="87">
        <f t="shared" si="73"/>
        <v>48377.74</v>
      </c>
      <c r="I115" s="101"/>
      <c r="J115" s="89">
        <v>16</v>
      </c>
      <c r="K115" s="86">
        <v>1380</v>
      </c>
      <c r="L115" s="90">
        <v>86.25</v>
      </c>
      <c r="M115" s="91">
        <v>17</v>
      </c>
      <c r="N115" s="86">
        <f t="shared" si="74"/>
        <v>1169.3023255813951</v>
      </c>
      <c r="O115" s="90">
        <f t="shared" si="75"/>
        <v>68.782489740082056</v>
      </c>
      <c r="P115" s="92">
        <f t="shared" si="70"/>
        <v>1</v>
      </c>
      <c r="Q115" s="93">
        <f t="shared" si="71"/>
        <v>-17.467510259917944</v>
      </c>
      <c r="R115" s="94">
        <f t="shared" si="72"/>
        <v>0.7974781419139948</v>
      </c>
      <c r="S115" s="616"/>
      <c r="T115" s="308">
        <v>0.80486111111111114</v>
      </c>
      <c r="U115" s="308">
        <v>0.83472222222222225</v>
      </c>
      <c r="V115" s="309">
        <v>7</v>
      </c>
      <c r="W115" s="88">
        <f t="shared" si="68"/>
        <v>43.000000000000007</v>
      </c>
      <c r="X115" s="295"/>
      <c r="Y115" s="295"/>
      <c r="Z115" s="296"/>
      <c r="AA115" s="296"/>
      <c r="AB115" s="601"/>
      <c r="AC115" s="601"/>
      <c r="AD115" s="301"/>
      <c r="AE115" s="301"/>
      <c r="AF115" s="92">
        <f t="shared" si="59"/>
        <v>-210.69767441860495</v>
      </c>
      <c r="AG115" s="186">
        <f t="shared" si="60"/>
        <v>0.8473205257836196</v>
      </c>
      <c r="AH115" s="605"/>
    </row>
    <row r="116" spans="1:34" s="298" customFormat="1" ht="19.149999999999999" customHeight="1">
      <c r="A116" s="625"/>
      <c r="B116" s="65">
        <v>0</v>
      </c>
      <c r="C116" s="102"/>
      <c r="D116" s="132"/>
      <c r="E116" s="133"/>
      <c r="F116" s="85"/>
      <c r="G116" s="104"/>
      <c r="H116" s="87">
        <f t="shared" si="73"/>
        <v>0</v>
      </c>
      <c r="I116" s="101"/>
      <c r="J116" s="89"/>
      <c r="K116" s="86"/>
      <c r="L116" s="90"/>
      <c r="M116" s="189"/>
      <c r="N116" s="86"/>
      <c r="O116" s="90"/>
      <c r="P116" s="92"/>
      <c r="Q116" s="93"/>
      <c r="R116" s="94"/>
      <c r="S116" s="616"/>
      <c r="T116" s="308"/>
      <c r="U116" s="308"/>
      <c r="V116" s="309"/>
      <c r="W116" s="88"/>
      <c r="X116" s="295"/>
      <c r="Y116" s="295"/>
      <c r="Z116" s="296"/>
      <c r="AA116" s="296"/>
      <c r="AB116" s="601"/>
      <c r="AC116" s="601"/>
      <c r="AD116" s="301"/>
      <c r="AE116" s="301"/>
      <c r="AF116" s="165">
        <f t="shared" si="59"/>
        <v>0</v>
      </c>
      <c r="AG116" s="186" t="e">
        <f t="shared" si="60"/>
        <v>#DIV/0!</v>
      </c>
      <c r="AH116" s="605"/>
    </row>
    <row r="117" spans="1:34" s="298" customFormat="1" ht="19.149999999999999" customHeight="1">
      <c r="A117" s="625"/>
      <c r="B117" s="65">
        <v>0</v>
      </c>
      <c r="C117" s="102"/>
      <c r="D117" s="249"/>
      <c r="E117" s="133"/>
      <c r="F117" s="85" t="s">
        <v>391</v>
      </c>
      <c r="G117" s="104"/>
      <c r="H117" s="87">
        <f t="shared" si="73"/>
        <v>0</v>
      </c>
      <c r="I117" s="101"/>
      <c r="J117" s="89"/>
      <c r="K117" s="86"/>
      <c r="L117" s="137"/>
      <c r="M117" s="189"/>
      <c r="N117" s="104"/>
      <c r="O117" s="137"/>
      <c r="P117" s="100"/>
      <c r="Q117" s="139"/>
      <c r="R117" s="140"/>
      <c r="S117" s="616"/>
      <c r="T117" s="308"/>
      <c r="U117" s="308"/>
      <c r="V117" s="309"/>
      <c r="W117" s="88">
        <f t="shared" si="68"/>
        <v>0</v>
      </c>
      <c r="X117" s="295"/>
      <c r="Y117" s="295"/>
      <c r="Z117" s="296"/>
      <c r="AA117" s="296"/>
      <c r="AB117" s="601"/>
      <c r="AC117" s="601"/>
      <c r="AD117" s="301"/>
      <c r="AE117" s="301"/>
      <c r="AF117" s="92">
        <f t="shared" si="59"/>
        <v>0</v>
      </c>
      <c r="AG117" s="186" t="e">
        <f t="shared" si="60"/>
        <v>#DIV/0!</v>
      </c>
      <c r="AH117" s="605"/>
    </row>
    <row r="118" spans="1:34" s="298" customFormat="1" ht="19.149999999999999" customHeight="1">
      <c r="A118" s="625"/>
      <c r="B118" s="65">
        <v>0</v>
      </c>
      <c r="C118" s="233"/>
      <c r="D118" s="249"/>
      <c r="E118" s="84"/>
      <c r="F118" s="199" t="s">
        <v>391</v>
      </c>
      <c r="G118" s="86"/>
      <c r="H118" s="87">
        <f t="shared" si="73"/>
        <v>0</v>
      </c>
      <c r="I118" s="101"/>
      <c r="J118" s="89"/>
      <c r="K118" s="86"/>
      <c r="L118" s="90"/>
      <c r="M118" s="189"/>
      <c r="N118" s="86"/>
      <c r="O118" s="90"/>
      <c r="P118" s="92"/>
      <c r="Q118" s="93"/>
      <c r="R118" s="94"/>
      <c r="S118" s="616"/>
      <c r="T118" s="308"/>
      <c r="U118" s="308"/>
      <c r="V118" s="309"/>
      <c r="W118" s="88">
        <f t="shared" si="68"/>
        <v>0</v>
      </c>
      <c r="X118" s="295"/>
      <c r="Y118" s="295"/>
      <c r="Z118" s="296"/>
      <c r="AA118" s="296"/>
      <c r="AB118" s="601"/>
      <c r="AC118" s="601"/>
      <c r="AD118" s="301"/>
      <c r="AE118" s="301"/>
      <c r="AF118" s="297"/>
      <c r="AG118" s="186"/>
      <c r="AH118" s="605"/>
    </row>
    <row r="119" spans="1:34" s="298" customFormat="1" ht="19.149999999999999" customHeight="1">
      <c r="A119" s="625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101"/>
      <c r="J119" s="251"/>
      <c r="K119" s="313"/>
      <c r="L119" s="90"/>
      <c r="M119" s="189"/>
      <c r="N119" s="252"/>
      <c r="O119" s="305"/>
      <c r="P119" s="235"/>
      <c r="Q119" s="93"/>
      <c r="R119" s="94"/>
      <c r="S119" s="616"/>
      <c r="T119" s="308"/>
      <c r="U119" s="308"/>
      <c r="V119" s="309"/>
      <c r="W119" s="88">
        <f t="shared" si="68"/>
        <v>0</v>
      </c>
      <c r="X119" s="295"/>
      <c r="Y119" s="295"/>
      <c r="Z119" s="296"/>
      <c r="AA119" s="296"/>
      <c r="AB119" s="601"/>
      <c r="AC119" s="601"/>
      <c r="AD119" s="301"/>
      <c r="AE119" s="301"/>
      <c r="AF119" s="297"/>
      <c r="AG119" s="186"/>
      <c r="AH119" s="605"/>
    </row>
    <row r="120" spans="1:34" s="298" customFormat="1" ht="19.149999999999999" customHeight="1">
      <c r="A120" s="625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101"/>
      <c r="J120" s="251"/>
      <c r="K120" s="313"/>
      <c r="L120" s="90"/>
      <c r="M120" s="189"/>
      <c r="N120" s="252"/>
      <c r="O120" s="305"/>
      <c r="P120" s="235"/>
      <c r="Q120" s="93"/>
      <c r="R120" s="94"/>
      <c r="S120" s="616"/>
      <c r="T120" s="308"/>
      <c r="U120" s="308"/>
      <c r="V120" s="309"/>
      <c r="W120" s="88">
        <f t="shared" si="68"/>
        <v>0</v>
      </c>
      <c r="X120" s="295"/>
      <c r="Y120" s="295"/>
      <c r="Z120" s="296"/>
      <c r="AA120" s="296"/>
      <c r="AB120" s="601"/>
      <c r="AC120" s="601"/>
      <c r="AD120" s="301"/>
      <c r="AE120" s="301"/>
      <c r="AF120" s="297"/>
      <c r="AG120" s="186"/>
      <c r="AH120" s="605"/>
    </row>
    <row r="121" spans="1:34" ht="19.149999999999999" customHeight="1">
      <c r="A121" s="626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17.428571428571427</v>
      </c>
      <c r="K121" s="280">
        <v>1457.1428571428571</v>
      </c>
      <c r="L121" s="281">
        <v>84.573129251700692</v>
      </c>
      <c r="M121" s="280">
        <f t="shared" ref="M121:O121" si="76">AVERAGE(M109:M120)</f>
        <v>17.428571428571427</v>
      </c>
      <c r="N121" s="280">
        <f t="shared" si="76"/>
        <v>1245.8921362874851</v>
      </c>
      <c r="O121" s="281">
        <f t="shared" si="76"/>
        <v>72.099920111428304</v>
      </c>
      <c r="P121" s="92">
        <f t="shared" ref="P121:P131" si="77">M121-J121</f>
        <v>0</v>
      </c>
      <c r="Q121" s="93">
        <f t="shared" ref="Q121:Q131" si="78">O121-L121</f>
        <v>-12.473209140272388</v>
      </c>
      <c r="R121" s="245">
        <f t="shared" ref="R121:R131" si="79">O121/L121</f>
        <v>0.85251569558044271</v>
      </c>
      <c r="S121" s="622"/>
      <c r="T121" s="96"/>
      <c r="U121" s="96"/>
      <c r="V121" s="86"/>
      <c r="W121" s="88">
        <f t="shared" si="68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01"/>
      <c r="AC121" s="601"/>
      <c r="AD121" s="164">
        <f>SUM(AD109:AD120)</f>
        <v>0</v>
      </c>
      <c r="AE121" s="164">
        <f>SUM(AE109:AE120)</f>
        <v>0</v>
      </c>
      <c r="AF121" s="92">
        <f>N121-K121</f>
        <v>-211.25072085537204</v>
      </c>
      <c r="AG121" s="186">
        <f>N121/K121</f>
        <v>0.85502401509925452</v>
      </c>
      <c r="AH121" s="605"/>
    </row>
    <row r="122" spans="1:34" ht="19.149999999999999" customHeight="1">
      <c r="A122" s="619" t="s">
        <v>274</v>
      </c>
      <c r="B122" s="192" t="s">
        <v>386</v>
      </c>
      <c r="C122" s="233"/>
      <c r="D122" s="249" t="s">
        <v>185</v>
      </c>
      <c r="E122" s="84"/>
      <c r="F122" s="85">
        <v>65.400000000000006</v>
      </c>
      <c r="G122" s="86">
        <v>564</v>
      </c>
      <c r="H122" s="87">
        <f t="shared" ref="H122:H132" si="80">F122*G122</f>
        <v>36885.600000000006</v>
      </c>
      <c r="I122" s="65"/>
      <c r="J122" s="89">
        <v>18</v>
      </c>
      <c r="K122" s="86">
        <v>1440</v>
      </c>
      <c r="L122" s="90">
        <v>80</v>
      </c>
      <c r="M122" s="91">
        <v>19</v>
      </c>
      <c r="N122" s="247">
        <f t="shared" ref="N122:N131" si="81">G122/W122*60</f>
        <v>1091.6129032258045</v>
      </c>
      <c r="O122" s="319">
        <f t="shared" ref="O122:O131" si="82">N122/M122</f>
        <v>57.453310696094974</v>
      </c>
      <c r="P122" s="165">
        <f t="shared" si="77"/>
        <v>1</v>
      </c>
      <c r="Q122" s="255">
        <f t="shared" si="78"/>
        <v>-22.546689303905026</v>
      </c>
      <c r="R122" s="166">
        <f t="shared" si="79"/>
        <v>0.71816638370118713</v>
      </c>
      <c r="S122" s="620">
        <f>R134</f>
        <v>0.81118115008363545</v>
      </c>
      <c r="T122" s="96">
        <v>0.5</v>
      </c>
      <c r="U122" s="96">
        <v>0.52152777777777781</v>
      </c>
      <c r="V122" s="309">
        <v>5</v>
      </c>
      <c r="W122" s="88">
        <f t="shared" si="68"/>
        <v>31.00000000000005</v>
      </c>
      <c r="X122" s="99"/>
      <c r="Y122" s="99"/>
      <c r="Z122" s="100"/>
      <c r="AA122" s="100"/>
      <c r="AB122" s="601"/>
      <c r="AC122" s="601"/>
      <c r="AD122" s="101"/>
      <c r="AE122" s="101"/>
      <c r="AF122" s="92">
        <f t="shared" si="59"/>
        <v>-348.38709677419547</v>
      </c>
      <c r="AG122" s="94">
        <f t="shared" si="60"/>
        <v>0.75806451612903092</v>
      </c>
      <c r="AH122" s="622">
        <f>AG134</f>
        <v>0.81788032732552829</v>
      </c>
    </row>
    <row r="123" spans="1:34" ht="19.149999999999999" customHeight="1">
      <c r="A123" s="619"/>
      <c r="B123" s="192" t="s">
        <v>386</v>
      </c>
      <c r="C123" s="152"/>
      <c r="D123" s="83" t="s">
        <v>186</v>
      </c>
      <c r="E123" s="250"/>
      <c r="F123" s="85">
        <v>59.52</v>
      </c>
      <c r="G123" s="86">
        <v>1660.05</v>
      </c>
      <c r="H123" s="87">
        <f t="shared" si="80"/>
        <v>98806.176000000007</v>
      </c>
      <c r="I123" s="101"/>
      <c r="J123" s="138">
        <v>21</v>
      </c>
      <c r="K123" s="104">
        <v>1385</v>
      </c>
      <c r="L123" s="137">
        <v>65.952380952380949</v>
      </c>
      <c r="M123" s="189">
        <v>20</v>
      </c>
      <c r="N123" s="104">
        <f t="shared" si="81"/>
        <v>1214.6707317073165</v>
      </c>
      <c r="O123" s="137">
        <f t="shared" si="82"/>
        <v>60.733536585365826</v>
      </c>
      <c r="P123" s="100">
        <f t="shared" si="77"/>
        <v>-1</v>
      </c>
      <c r="Q123" s="139">
        <f t="shared" si="78"/>
        <v>-5.218844367015123</v>
      </c>
      <c r="R123" s="140">
        <f t="shared" si="79"/>
        <v>0.9208695077925505</v>
      </c>
      <c r="S123" s="620"/>
      <c r="T123" s="96">
        <v>0.52569444444444446</v>
      </c>
      <c r="U123" s="96">
        <v>0.58263888888888893</v>
      </c>
      <c r="V123" s="309">
        <v>6</v>
      </c>
      <c r="W123" s="88">
        <f>(U123-T123)*24*60</f>
        <v>82.000000000000028</v>
      </c>
      <c r="X123" s="99"/>
      <c r="Y123" s="99"/>
      <c r="Z123" s="100"/>
      <c r="AA123" s="100"/>
      <c r="AB123" s="601"/>
      <c r="AC123" s="601"/>
      <c r="AD123" s="101"/>
      <c r="AE123" s="101"/>
      <c r="AF123" s="92">
        <f t="shared" si="59"/>
        <v>-170.32926829268354</v>
      </c>
      <c r="AG123" s="94">
        <f t="shared" si="60"/>
        <v>0.87701857885004797</v>
      </c>
      <c r="AH123" s="620"/>
    </row>
    <row r="124" spans="1:34" ht="19.149999999999999" customHeight="1">
      <c r="A124" s="619"/>
      <c r="B124" s="192" t="s">
        <v>386</v>
      </c>
      <c r="C124" s="248"/>
      <c r="D124" s="249" t="s">
        <v>187</v>
      </c>
      <c r="E124" s="250"/>
      <c r="F124" s="85">
        <v>58.67</v>
      </c>
      <c r="G124" s="247">
        <v>1403</v>
      </c>
      <c r="H124" s="87">
        <f t="shared" si="80"/>
        <v>82314.010000000009</v>
      </c>
      <c r="I124" s="320"/>
      <c r="J124" s="138">
        <v>19</v>
      </c>
      <c r="K124" s="104">
        <v>1440</v>
      </c>
      <c r="L124" s="137">
        <v>75.78947368421052</v>
      </c>
      <c r="M124" s="91">
        <v>20</v>
      </c>
      <c r="N124" s="247">
        <f t="shared" si="81"/>
        <v>1275.4545454545469</v>
      </c>
      <c r="O124" s="319">
        <f t="shared" si="82"/>
        <v>63.772727272727344</v>
      </c>
      <c r="P124" s="165">
        <f t="shared" si="77"/>
        <v>1</v>
      </c>
      <c r="Q124" s="255">
        <f t="shared" si="78"/>
        <v>-12.016746411483176</v>
      </c>
      <c r="R124" s="166">
        <f t="shared" si="79"/>
        <v>0.84144570707070809</v>
      </c>
      <c r="S124" s="621"/>
      <c r="T124" s="96">
        <v>0.59722222222222221</v>
      </c>
      <c r="U124" s="96">
        <v>0.64305555555555549</v>
      </c>
      <c r="V124" s="309">
        <v>21</v>
      </c>
      <c r="W124" s="322">
        <f>(U124-T124)*24*60</f>
        <v>65.999999999999929</v>
      </c>
      <c r="X124" s="264">
        <v>0.58611111111111114</v>
      </c>
      <c r="Y124" s="264">
        <v>0.59444444444444444</v>
      </c>
      <c r="Z124" s="100"/>
      <c r="AA124" s="100"/>
      <c r="AB124" s="601"/>
      <c r="AC124" s="601"/>
      <c r="AD124" s="101"/>
      <c r="AE124" s="101"/>
      <c r="AF124" s="165">
        <f t="shared" si="59"/>
        <v>-164.54545454545314</v>
      </c>
      <c r="AG124" s="166">
        <f t="shared" si="60"/>
        <v>0.8857323232323242</v>
      </c>
      <c r="AH124" s="620"/>
    </row>
    <row r="125" spans="1:34" ht="19.149999999999999" customHeight="1">
      <c r="A125" s="619"/>
      <c r="B125" s="192" t="s">
        <v>390</v>
      </c>
      <c r="C125" s="152"/>
      <c r="D125" s="83" t="s">
        <v>188</v>
      </c>
      <c r="E125" s="84"/>
      <c r="F125" s="85">
        <v>56.79</v>
      </c>
      <c r="G125" s="86">
        <v>1087</v>
      </c>
      <c r="H125" s="87">
        <f t="shared" si="80"/>
        <v>61730.729999999996</v>
      </c>
      <c r="I125" s="65"/>
      <c r="J125" s="138">
        <v>18</v>
      </c>
      <c r="K125" s="104">
        <v>1636</v>
      </c>
      <c r="L125" s="137">
        <v>90.888888888888886</v>
      </c>
      <c r="M125" s="91">
        <v>18</v>
      </c>
      <c r="N125" s="104">
        <f t="shared" si="81"/>
        <v>1304.4000000000003</v>
      </c>
      <c r="O125" s="137">
        <f t="shared" si="82"/>
        <v>72.466666666666683</v>
      </c>
      <c r="P125" s="100">
        <f t="shared" si="77"/>
        <v>0</v>
      </c>
      <c r="Q125" s="139">
        <f t="shared" si="78"/>
        <v>-18.422222222222203</v>
      </c>
      <c r="R125" s="140">
        <f t="shared" si="79"/>
        <v>0.79731051344743298</v>
      </c>
      <c r="S125" s="621"/>
      <c r="T125" s="96">
        <v>0.70833333333333337</v>
      </c>
      <c r="U125" s="96">
        <v>0.74305555555555558</v>
      </c>
      <c r="V125" s="309">
        <v>5</v>
      </c>
      <c r="W125" s="322">
        <f t="shared" ref="W125:W133" si="83">(U125-T125)*24*60</f>
        <v>49.999999999999986</v>
      </c>
      <c r="X125" s="112"/>
      <c r="Y125" s="112"/>
      <c r="Z125" s="100"/>
      <c r="AA125" s="100"/>
      <c r="AB125" s="601"/>
      <c r="AC125" s="601"/>
      <c r="AD125" s="101"/>
      <c r="AE125" s="101"/>
      <c r="AF125" s="92">
        <f t="shared" si="59"/>
        <v>-331.59999999999968</v>
      </c>
      <c r="AG125" s="94">
        <f t="shared" si="60"/>
        <v>0.79731051344743298</v>
      </c>
      <c r="AH125" s="623"/>
    </row>
    <row r="126" spans="1:34" ht="19.149999999999999" customHeight="1">
      <c r="A126" s="619"/>
      <c r="B126" s="192" t="s">
        <v>390</v>
      </c>
      <c r="C126" s="101"/>
      <c r="D126" s="83" t="s">
        <v>189</v>
      </c>
      <c r="E126" s="250"/>
      <c r="F126" s="85">
        <v>56.87</v>
      </c>
      <c r="G126" s="104">
        <v>845</v>
      </c>
      <c r="H126" s="87">
        <f t="shared" si="80"/>
        <v>48055.15</v>
      </c>
      <c r="I126" s="101"/>
      <c r="J126" s="138">
        <v>18</v>
      </c>
      <c r="K126" s="104">
        <v>1636</v>
      </c>
      <c r="L126" s="137">
        <v>90.888888888888886</v>
      </c>
      <c r="M126" s="189">
        <v>18</v>
      </c>
      <c r="N126" s="104">
        <f t="shared" si="81"/>
        <v>1267.4999999999995</v>
      </c>
      <c r="O126" s="137">
        <f t="shared" si="82"/>
        <v>70.416666666666643</v>
      </c>
      <c r="P126" s="100">
        <f t="shared" si="77"/>
        <v>0</v>
      </c>
      <c r="Q126" s="139">
        <f t="shared" si="78"/>
        <v>-20.472222222222243</v>
      </c>
      <c r="R126" s="140">
        <f t="shared" si="79"/>
        <v>0.7747555012224937</v>
      </c>
      <c r="S126" s="621"/>
      <c r="T126" s="96">
        <v>0.74791666666666667</v>
      </c>
      <c r="U126" s="96">
        <v>0.77569444444444446</v>
      </c>
      <c r="V126" s="309">
        <v>7</v>
      </c>
      <c r="W126" s="322">
        <f t="shared" si="83"/>
        <v>40.000000000000014</v>
      </c>
      <c r="X126" s="112"/>
      <c r="Y126" s="112"/>
      <c r="Z126" s="100"/>
      <c r="AA126" s="100"/>
      <c r="AB126" s="601"/>
      <c r="AC126" s="601"/>
      <c r="AD126" s="101"/>
      <c r="AE126" s="101"/>
      <c r="AF126" s="165">
        <f t="shared" si="59"/>
        <v>-368.50000000000045</v>
      </c>
      <c r="AG126" s="166">
        <f t="shared" si="60"/>
        <v>0.77475550122249359</v>
      </c>
      <c r="AH126" s="623"/>
    </row>
    <row r="127" spans="1:34" ht="19.149999999999999" customHeight="1">
      <c r="A127" s="619"/>
      <c r="B127" s="192" t="s">
        <v>390</v>
      </c>
      <c r="C127" s="303"/>
      <c r="D127" s="132" t="s">
        <v>190</v>
      </c>
      <c r="E127" s="133"/>
      <c r="F127" s="85">
        <v>54.09</v>
      </c>
      <c r="G127" s="288">
        <v>1426</v>
      </c>
      <c r="H127" s="87">
        <f t="shared" si="80"/>
        <v>77132.340000000011</v>
      </c>
      <c r="I127" s="301"/>
      <c r="J127" s="138">
        <v>16</v>
      </c>
      <c r="K127" s="104">
        <v>1565</v>
      </c>
      <c r="L127" s="137">
        <v>97.8125</v>
      </c>
      <c r="M127" s="91">
        <v>17</v>
      </c>
      <c r="N127" s="247">
        <f t="shared" si="81"/>
        <v>1316.3076923076937</v>
      </c>
      <c r="O127" s="319">
        <f t="shared" si="82"/>
        <v>77.429864253393745</v>
      </c>
      <c r="P127" s="165">
        <f t="shared" si="77"/>
        <v>1</v>
      </c>
      <c r="Q127" s="255">
        <f t="shared" si="78"/>
        <v>-20.382635746606255</v>
      </c>
      <c r="R127" s="166">
        <f t="shared" si="79"/>
        <v>0.79161522559380182</v>
      </c>
      <c r="S127" s="621"/>
      <c r="T127" s="96">
        <v>0.77986111111111112</v>
      </c>
      <c r="U127" s="96">
        <v>0.82499999999999996</v>
      </c>
      <c r="V127" s="65">
        <v>6</v>
      </c>
      <c r="W127" s="322">
        <f t="shared" si="83"/>
        <v>64.999999999999929</v>
      </c>
      <c r="X127" s="112"/>
      <c r="Y127" s="112"/>
      <c r="Z127" s="100"/>
      <c r="AA127" s="100"/>
      <c r="AB127" s="601"/>
      <c r="AC127" s="601"/>
      <c r="AD127" s="101"/>
      <c r="AE127" s="101"/>
      <c r="AF127" s="165">
        <f t="shared" si="59"/>
        <v>-248.69230769230626</v>
      </c>
      <c r="AG127" s="166">
        <f t="shared" si="60"/>
        <v>0.84109117719341453</v>
      </c>
      <c r="AH127" s="623"/>
    </row>
    <row r="128" spans="1:34" ht="19.149999999999999" customHeight="1">
      <c r="A128" s="619"/>
      <c r="B128" s="192" t="s">
        <v>390</v>
      </c>
      <c r="C128" s="226"/>
      <c r="D128" s="106" t="s">
        <v>191</v>
      </c>
      <c r="E128" s="133"/>
      <c r="F128" s="85">
        <v>50.67</v>
      </c>
      <c r="G128" s="104">
        <v>552</v>
      </c>
      <c r="H128" s="87">
        <f t="shared" si="80"/>
        <v>27969.84</v>
      </c>
      <c r="I128" s="101"/>
      <c r="J128" s="138">
        <v>18</v>
      </c>
      <c r="K128" s="104">
        <v>1440</v>
      </c>
      <c r="L128" s="137">
        <v>80</v>
      </c>
      <c r="M128" s="138">
        <v>18</v>
      </c>
      <c r="N128" s="104">
        <f t="shared" si="81"/>
        <v>1068.3870967741918</v>
      </c>
      <c r="O128" s="137">
        <f t="shared" si="82"/>
        <v>59.354838709677324</v>
      </c>
      <c r="P128" s="100">
        <f t="shared" si="77"/>
        <v>0</v>
      </c>
      <c r="Q128" s="139">
        <f t="shared" si="78"/>
        <v>-20.645161290322676</v>
      </c>
      <c r="R128" s="140">
        <f t="shared" si="79"/>
        <v>0.74193548387096653</v>
      </c>
      <c r="S128" s="621"/>
      <c r="T128" s="96">
        <v>0.84027777777777768</v>
      </c>
      <c r="U128" s="96">
        <v>0.86180555555555549</v>
      </c>
      <c r="V128" s="65">
        <v>22</v>
      </c>
      <c r="W128" s="322">
        <f t="shared" si="83"/>
        <v>31.00000000000005</v>
      </c>
      <c r="X128" s="112">
        <v>0.82847222222222217</v>
      </c>
      <c r="Y128" s="112">
        <v>0.83750000000000002</v>
      </c>
      <c r="Z128" s="100"/>
      <c r="AA128" s="100"/>
      <c r="AB128" s="601"/>
      <c r="AC128" s="601"/>
      <c r="AD128" s="101"/>
      <c r="AE128" s="101"/>
      <c r="AF128" s="165">
        <f t="shared" si="59"/>
        <v>-371.61290322580817</v>
      </c>
      <c r="AG128" s="166">
        <f t="shared" si="60"/>
        <v>0.74193548387096653</v>
      </c>
      <c r="AH128" s="623"/>
    </row>
    <row r="129" spans="1:34" ht="19.149999999999999" customHeight="1">
      <c r="A129" s="619"/>
      <c r="B129" s="192" t="s">
        <v>390</v>
      </c>
      <c r="C129" s="226"/>
      <c r="D129" s="106" t="s">
        <v>192</v>
      </c>
      <c r="E129" s="107"/>
      <c r="F129" s="85">
        <v>47.6</v>
      </c>
      <c r="G129" s="104">
        <v>1216</v>
      </c>
      <c r="H129" s="87">
        <f t="shared" si="80"/>
        <v>57881.599999999999</v>
      </c>
      <c r="I129" s="101"/>
      <c r="J129" s="138">
        <v>19</v>
      </c>
      <c r="K129" s="104">
        <v>1440</v>
      </c>
      <c r="L129" s="137">
        <v>75.78947368421052</v>
      </c>
      <c r="M129" s="189">
        <v>18</v>
      </c>
      <c r="N129" s="104">
        <f t="shared" si="81"/>
        <v>1280.0000000000009</v>
      </c>
      <c r="O129" s="137">
        <f t="shared" si="82"/>
        <v>71.111111111111157</v>
      </c>
      <c r="P129" s="100">
        <f t="shared" si="77"/>
        <v>-1</v>
      </c>
      <c r="Q129" s="139">
        <f t="shared" si="78"/>
        <v>-4.6783625730993634</v>
      </c>
      <c r="R129" s="140">
        <f t="shared" si="79"/>
        <v>0.93827160493827233</v>
      </c>
      <c r="S129" s="621"/>
      <c r="T129" s="96">
        <v>0.86736111111111103</v>
      </c>
      <c r="U129" s="96">
        <v>0.90694444444444433</v>
      </c>
      <c r="V129" s="65">
        <v>8</v>
      </c>
      <c r="W129" s="322">
        <f t="shared" si="83"/>
        <v>56.999999999999957</v>
      </c>
      <c r="X129" s="112"/>
      <c r="Y129" s="112"/>
      <c r="Z129" s="100"/>
      <c r="AA129" s="100"/>
      <c r="AB129" s="601"/>
      <c r="AC129" s="601"/>
      <c r="AD129" s="101"/>
      <c r="AE129" s="101"/>
      <c r="AF129" s="165"/>
      <c r="AG129" s="166"/>
      <c r="AH129" s="623"/>
    </row>
    <row r="130" spans="1:34" ht="19.149999999999999" customHeight="1">
      <c r="A130" s="619"/>
      <c r="B130" s="278" t="s">
        <v>390</v>
      </c>
      <c r="C130" s="226"/>
      <c r="D130" s="106" t="s">
        <v>193</v>
      </c>
      <c r="E130" s="107"/>
      <c r="F130" s="85">
        <v>57.3</v>
      </c>
      <c r="G130" s="104">
        <v>833</v>
      </c>
      <c r="H130" s="87">
        <f t="shared" si="80"/>
        <v>47730.899999999994</v>
      </c>
      <c r="I130" s="101"/>
      <c r="J130" s="138">
        <v>17</v>
      </c>
      <c r="K130" s="104">
        <v>1385</v>
      </c>
      <c r="L130" s="137">
        <v>81.470588235294116</v>
      </c>
      <c r="M130" s="189">
        <v>18</v>
      </c>
      <c r="N130" s="104">
        <f t="shared" si="81"/>
        <v>1162.3255813953488</v>
      </c>
      <c r="O130" s="137">
        <f t="shared" si="82"/>
        <v>64.573643410852711</v>
      </c>
      <c r="P130" s="100">
        <f t="shared" si="77"/>
        <v>1</v>
      </c>
      <c r="Q130" s="139">
        <f t="shared" si="78"/>
        <v>-16.896944824441405</v>
      </c>
      <c r="R130" s="140">
        <f t="shared" si="79"/>
        <v>0.79260067724512351</v>
      </c>
      <c r="S130" s="621"/>
      <c r="T130" s="96">
        <v>0.91180555555555542</v>
      </c>
      <c r="U130" s="96">
        <v>0.94166666666666654</v>
      </c>
      <c r="V130" s="65">
        <v>7</v>
      </c>
      <c r="W130" s="322">
        <f t="shared" si="83"/>
        <v>43.000000000000007</v>
      </c>
      <c r="X130" s="112"/>
      <c r="Y130" s="112"/>
      <c r="Z130" s="100"/>
      <c r="AA130" s="100"/>
      <c r="AB130" s="601"/>
      <c r="AC130" s="601"/>
      <c r="AD130" s="101"/>
      <c r="AE130" s="101"/>
      <c r="AF130" s="113"/>
      <c r="AG130" s="114"/>
      <c r="AH130" s="623"/>
    </row>
    <row r="131" spans="1:34" ht="19.149999999999999" customHeight="1">
      <c r="A131" s="619"/>
      <c r="B131" s="278" t="s">
        <v>390</v>
      </c>
      <c r="C131" s="226"/>
      <c r="D131" s="106" t="s">
        <v>194</v>
      </c>
      <c r="E131" s="133"/>
      <c r="F131" s="85">
        <v>50.67</v>
      </c>
      <c r="G131" s="288">
        <v>817</v>
      </c>
      <c r="H131" s="87">
        <f t="shared" si="80"/>
        <v>41397.39</v>
      </c>
      <c r="I131" s="301"/>
      <c r="J131" s="138">
        <v>19</v>
      </c>
      <c r="K131" s="104">
        <v>1636</v>
      </c>
      <c r="L131" s="137">
        <v>86.10526315789474</v>
      </c>
      <c r="M131" s="138">
        <v>18</v>
      </c>
      <c r="N131" s="247">
        <f t="shared" si="81"/>
        <v>1289.9999999999989</v>
      </c>
      <c r="O131" s="319">
        <f t="shared" si="82"/>
        <v>71.6666666666666</v>
      </c>
      <c r="P131" s="165">
        <f t="shared" si="77"/>
        <v>-1</v>
      </c>
      <c r="Q131" s="255">
        <f t="shared" si="78"/>
        <v>-14.438596491228139</v>
      </c>
      <c r="R131" s="166">
        <f t="shared" si="79"/>
        <v>0.83231458842705708</v>
      </c>
      <c r="S131" s="621"/>
      <c r="T131" s="96">
        <v>0.94583333333333319</v>
      </c>
      <c r="U131" s="96">
        <v>0.9722222222222221</v>
      </c>
      <c r="V131" s="65">
        <v>6</v>
      </c>
      <c r="W131" s="322">
        <f t="shared" si="83"/>
        <v>38.000000000000028</v>
      </c>
      <c r="X131" s="112"/>
      <c r="Y131" s="112"/>
      <c r="Z131" s="100"/>
      <c r="AA131" s="100"/>
      <c r="AB131" s="601"/>
      <c r="AC131" s="601"/>
      <c r="AD131" s="101"/>
      <c r="AE131" s="101"/>
      <c r="AF131" s="113"/>
      <c r="AG131" s="114"/>
      <c r="AH131" s="623"/>
    </row>
    <row r="132" spans="1:34" ht="19.149999999999999" customHeight="1">
      <c r="A132" s="619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0"/>
        <v>0</v>
      </c>
      <c r="I132" s="101"/>
      <c r="J132" s="138"/>
      <c r="K132" s="104"/>
      <c r="L132" s="137"/>
      <c r="M132" s="189"/>
      <c r="N132" s="104"/>
      <c r="O132" s="137"/>
      <c r="P132" s="100"/>
      <c r="Q132" s="139"/>
      <c r="R132" s="140"/>
      <c r="S132" s="621"/>
      <c r="T132" s="96"/>
      <c r="U132" s="96"/>
      <c r="V132" s="65"/>
      <c r="W132" s="322">
        <f t="shared" si="83"/>
        <v>0</v>
      </c>
      <c r="X132" s="112"/>
      <c r="Y132" s="112"/>
      <c r="Z132" s="100"/>
      <c r="AA132" s="100"/>
      <c r="AB132" s="601"/>
      <c r="AC132" s="601"/>
      <c r="AD132" s="101"/>
      <c r="AE132" s="101"/>
      <c r="AF132" s="113"/>
      <c r="AG132" s="114"/>
      <c r="AH132" s="623"/>
    </row>
    <row r="133" spans="1:34" ht="19.149999999999999" customHeight="1">
      <c r="A133" s="619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101"/>
      <c r="J133" s="138"/>
      <c r="K133" s="104"/>
      <c r="L133" s="137"/>
      <c r="M133" s="189"/>
      <c r="N133" s="104"/>
      <c r="O133" s="137"/>
      <c r="P133" s="100"/>
      <c r="Q133" s="139"/>
      <c r="R133" s="140"/>
      <c r="S133" s="621"/>
      <c r="T133" s="96"/>
      <c r="U133" s="96"/>
      <c r="V133" s="65"/>
      <c r="W133" s="322">
        <f t="shared" si="83"/>
        <v>0</v>
      </c>
      <c r="X133" s="112"/>
      <c r="Y133" s="112"/>
      <c r="Z133" s="100"/>
      <c r="AA133" s="100"/>
      <c r="AB133" s="601"/>
      <c r="AC133" s="601"/>
      <c r="AD133" s="101"/>
      <c r="AE133" s="101"/>
      <c r="AF133" s="113"/>
      <c r="AG133" s="114"/>
      <c r="AH133" s="623"/>
    </row>
    <row r="134" spans="1:34" ht="19.149999999999999" customHeight="1">
      <c r="A134" s="619"/>
      <c r="B134" s="240">
        <v>0</v>
      </c>
      <c r="C134" s="156" t="s">
        <v>275</v>
      </c>
      <c r="D134" s="602" t="s">
        <v>276</v>
      </c>
      <c r="E134" s="602"/>
      <c r="F134" s="258"/>
      <c r="G134" s="158"/>
      <c r="H134" s="159"/>
      <c r="I134" s="325"/>
      <c r="J134" s="326">
        <v>18.3</v>
      </c>
      <c r="K134" s="326">
        <v>1500.3</v>
      </c>
      <c r="L134" s="327">
        <v>82.46974574917688</v>
      </c>
      <c r="M134" s="326">
        <f t="shared" ref="M134:O134" si="84">AVERAGE(M122:M133)</f>
        <v>18.399999999999999</v>
      </c>
      <c r="N134" s="326">
        <f t="shared" si="84"/>
        <v>1227.06585508649</v>
      </c>
      <c r="O134" s="327">
        <f t="shared" si="84"/>
        <v>66.897903203922311</v>
      </c>
      <c r="P134" s="97">
        <f t="shared" ref="P134:P141" si="85">M134-J134</f>
        <v>9.9999999999997868E-2</v>
      </c>
      <c r="Q134" s="205">
        <f t="shared" ref="Q134:Q141" si="86">O134-L134</f>
        <v>-15.571842545254569</v>
      </c>
      <c r="R134" s="328">
        <f t="shared" ref="R134:R141" si="87">O134/L134</f>
        <v>0.81118115008363545</v>
      </c>
      <c r="S134" s="620"/>
      <c r="T134" s="96"/>
      <c r="U134" s="96"/>
      <c r="V134" s="65"/>
      <c r="W134" s="65"/>
      <c r="X134" s="99"/>
      <c r="Y134" s="99"/>
      <c r="Z134" s="163">
        <f>SUM(Z122:Z133)</f>
        <v>0</v>
      </c>
      <c r="AA134" s="163">
        <f>SUM(AA122:AA133)</f>
        <v>0</v>
      </c>
      <c r="AB134" s="601"/>
      <c r="AC134" s="601"/>
      <c r="AD134" s="164">
        <f>SUM(AD122:AD133)</f>
        <v>0</v>
      </c>
      <c r="AE134" s="164">
        <f>SUM(AE122:AE133)</f>
        <v>0</v>
      </c>
      <c r="AF134" s="92">
        <f t="shared" si="59"/>
        <v>-273.23414491350991</v>
      </c>
      <c r="AG134" s="94">
        <f t="shared" si="60"/>
        <v>0.81788032732552829</v>
      </c>
      <c r="AH134" s="623"/>
    </row>
    <row r="135" spans="1:34" ht="19.149999999999999" customHeight="1">
      <c r="A135" s="612" t="s">
        <v>277</v>
      </c>
      <c r="B135" s="65" t="s">
        <v>390</v>
      </c>
      <c r="C135" s="101"/>
      <c r="D135" s="132" t="s">
        <v>196</v>
      </c>
      <c r="E135" s="133"/>
      <c r="F135" s="85">
        <v>50.67</v>
      </c>
      <c r="G135" s="104">
        <v>801</v>
      </c>
      <c r="H135" s="329">
        <f t="shared" ref="H135:H146" si="88">F135*G135</f>
        <v>40586.67</v>
      </c>
      <c r="I135" s="101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89">G135/W135*60</f>
        <v>1264.7368421052622</v>
      </c>
      <c r="O135" s="174">
        <f t="shared" ref="O135:O141" si="90">N135/M135</f>
        <v>74.39628482972131</v>
      </c>
      <c r="P135" s="100">
        <f t="shared" si="85"/>
        <v>0</v>
      </c>
      <c r="Q135" s="139">
        <f t="shared" si="86"/>
        <v>-13.839009287925748</v>
      </c>
      <c r="R135" s="140">
        <f t="shared" si="87"/>
        <v>0.84315789473684155</v>
      </c>
      <c r="S135" s="616">
        <f>R147</f>
        <v>0.87876902426893244</v>
      </c>
      <c r="T135" s="330">
        <v>0.70833333333333337</v>
      </c>
      <c r="U135" s="96">
        <v>0.73472222222222228</v>
      </c>
      <c r="V135" s="208">
        <v>5</v>
      </c>
      <c r="W135" s="331">
        <f t="shared" ref="W135:W147" si="91">(U135-T135)*24*60</f>
        <v>38.000000000000028</v>
      </c>
      <c r="X135" s="230"/>
      <c r="Y135" s="230"/>
      <c r="Z135" s="100"/>
      <c r="AA135" s="100"/>
      <c r="AB135" s="601"/>
      <c r="AC135" s="601"/>
      <c r="AD135" s="101"/>
      <c r="AE135" s="101"/>
      <c r="AF135" s="175">
        <f t="shared" si="59"/>
        <v>-235.26315789473779</v>
      </c>
      <c r="AG135" s="180">
        <f t="shared" si="60"/>
        <v>0.84315789473684144</v>
      </c>
      <c r="AH135" s="605">
        <f>AG147</f>
        <v>0.88279229435730144</v>
      </c>
    </row>
    <row r="136" spans="1:34" ht="19.149999999999999" customHeight="1">
      <c r="A136" s="613"/>
      <c r="B136" s="65" t="s">
        <v>390</v>
      </c>
      <c r="C136" s="101"/>
      <c r="D136" s="132" t="s">
        <v>197</v>
      </c>
      <c r="E136" s="332"/>
      <c r="F136" s="85">
        <v>50.98</v>
      </c>
      <c r="G136" s="104">
        <v>1491</v>
      </c>
      <c r="H136" s="135">
        <f t="shared" si="88"/>
        <v>76011.179999999993</v>
      </c>
      <c r="I136" s="101"/>
      <c r="J136" s="89">
        <v>18</v>
      </c>
      <c r="K136" s="104">
        <v>1440</v>
      </c>
      <c r="L136" s="137">
        <v>80</v>
      </c>
      <c r="M136" s="189">
        <v>19</v>
      </c>
      <c r="N136" s="104">
        <f t="shared" si="89"/>
        <v>1335.2238805970167</v>
      </c>
      <c r="O136" s="137">
        <f t="shared" si="90"/>
        <v>70.274941084053509</v>
      </c>
      <c r="P136" s="100">
        <f t="shared" si="85"/>
        <v>1</v>
      </c>
      <c r="Q136" s="139">
        <f t="shared" si="86"/>
        <v>-9.7250589159464909</v>
      </c>
      <c r="R136" s="140">
        <f t="shared" si="87"/>
        <v>0.87843676355066891</v>
      </c>
      <c r="S136" s="616"/>
      <c r="T136" s="330">
        <v>0.73888888888888893</v>
      </c>
      <c r="U136" s="96">
        <v>0.78541666666666665</v>
      </c>
      <c r="V136" s="208">
        <v>6</v>
      </c>
      <c r="W136" s="88">
        <f t="shared" si="91"/>
        <v>66.999999999999915</v>
      </c>
      <c r="X136" s="99"/>
      <c r="Y136" s="99"/>
      <c r="Z136" s="100"/>
      <c r="AA136" s="100"/>
      <c r="AB136" s="601"/>
      <c r="AC136" s="601"/>
      <c r="AD136" s="101"/>
      <c r="AE136" s="101"/>
      <c r="AF136" s="92">
        <f t="shared" si="59"/>
        <v>-104.77611940298334</v>
      </c>
      <c r="AG136" s="186">
        <f t="shared" si="60"/>
        <v>0.9272388059701504</v>
      </c>
      <c r="AH136" s="605"/>
    </row>
    <row r="137" spans="1:34" ht="19.149999999999999" customHeight="1">
      <c r="A137" s="613"/>
      <c r="B137" s="65" t="s">
        <v>390</v>
      </c>
      <c r="C137" s="101"/>
      <c r="D137" s="132" t="s">
        <v>198</v>
      </c>
      <c r="E137" s="133"/>
      <c r="F137" s="85">
        <v>54.09</v>
      </c>
      <c r="G137" s="288">
        <v>833</v>
      </c>
      <c r="H137" s="135">
        <f t="shared" si="88"/>
        <v>45056.97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89"/>
        <v>1281.5384615384608</v>
      </c>
      <c r="O137" s="137">
        <f t="shared" si="90"/>
        <v>71.19658119658115</v>
      </c>
      <c r="P137" s="100">
        <f t="shared" si="85"/>
        <v>-1</v>
      </c>
      <c r="Q137" s="139">
        <f t="shared" si="86"/>
        <v>-7.7507872244714804</v>
      </c>
      <c r="R137" s="140">
        <f t="shared" si="87"/>
        <v>0.9018233618233612</v>
      </c>
      <c r="S137" s="616"/>
      <c r="T137" s="96">
        <v>0.79097222222222219</v>
      </c>
      <c r="U137" s="96">
        <v>0.81805555555555554</v>
      </c>
      <c r="V137" s="333">
        <v>8</v>
      </c>
      <c r="W137" s="88">
        <f t="shared" si="91"/>
        <v>39.000000000000021</v>
      </c>
      <c r="X137" s="99"/>
      <c r="Y137" s="99"/>
      <c r="Z137" s="100"/>
      <c r="AA137" s="100"/>
      <c r="AB137" s="601"/>
      <c r="AC137" s="601"/>
      <c r="AD137" s="101"/>
      <c r="AE137" s="101"/>
      <c r="AF137" s="92">
        <f t="shared" si="59"/>
        <v>-218.46153846153925</v>
      </c>
      <c r="AG137" s="186">
        <f t="shared" si="60"/>
        <v>0.85435897435897379</v>
      </c>
      <c r="AH137" s="605"/>
    </row>
    <row r="138" spans="1:34" ht="19.149999999999999" customHeight="1">
      <c r="A138" s="613"/>
      <c r="B138" s="65" t="s">
        <v>390</v>
      </c>
      <c r="C138" s="303"/>
      <c r="D138" s="132" t="s">
        <v>199</v>
      </c>
      <c r="E138" s="133"/>
      <c r="F138" s="85">
        <v>50.92</v>
      </c>
      <c r="G138" s="104">
        <v>1775</v>
      </c>
      <c r="H138" s="135">
        <f t="shared" si="88"/>
        <v>90383</v>
      </c>
      <c r="I138" s="101"/>
      <c r="J138" s="138">
        <v>17</v>
      </c>
      <c r="K138" s="104">
        <v>1440</v>
      </c>
      <c r="L138" s="137">
        <v>84.705882352941174</v>
      </c>
      <c r="M138" s="310">
        <v>16</v>
      </c>
      <c r="N138" s="104">
        <f t="shared" si="89"/>
        <v>1348.1012658227839</v>
      </c>
      <c r="O138" s="137">
        <f t="shared" si="90"/>
        <v>84.256329113923996</v>
      </c>
      <c r="P138" s="100">
        <f t="shared" si="85"/>
        <v>-1</v>
      </c>
      <c r="Q138" s="139">
        <f t="shared" si="86"/>
        <v>-0.44955323901717748</v>
      </c>
      <c r="R138" s="257">
        <f t="shared" si="87"/>
        <v>0.99469277426160274</v>
      </c>
      <c r="S138" s="616"/>
      <c r="T138" s="96">
        <v>0.83402777777777781</v>
      </c>
      <c r="U138" s="96">
        <v>0.88888888888888895</v>
      </c>
      <c r="V138" s="333">
        <v>23</v>
      </c>
      <c r="W138" s="88">
        <f t="shared" si="91"/>
        <v>79.000000000000043</v>
      </c>
      <c r="X138" s="99">
        <v>0.82152777777777775</v>
      </c>
      <c r="Y138" s="99">
        <v>0.83124999999999993</v>
      </c>
      <c r="Z138" s="100"/>
      <c r="AA138" s="100"/>
      <c r="AB138" s="601"/>
      <c r="AC138" s="601"/>
      <c r="AD138" s="101"/>
      <c r="AE138" s="101"/>
      <c r="AF138" s="92">
        <f t="shared" si="59"/>
        <v>-91.898734177216056</v>
      </c>
      <c r="AG138" s="186">
        <f t="shared" si="60"/>
        <v>0.93618143459915548</v>
      </c>
      <c r="AH138" s="605"/>
    </row>
    <row r="139" spans="1:34" ht="19.149999999999999" customHeight="1">
      <c r="A139" s="613"/>
      <c r="B139" s="65" t="s">
        <v>390</v>
      </c>
      <c r="C139" s="147"/>
      <c r="D139" s="83" t="s">
        <v>200</v>
      </c>
      <c r="E139" s="84"/>
      <c r="F139" s="85">
        <v>50.29</v>
      </c>
      <c r="G139" s="104">
        <v>614</v>
      </c>
      <c r="H139" s="135">
        <f t="shared" si="88"/>
        <v>30878.059999999998</v>
      </c>
      <c r="I139" s="101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89"/>
        <v>1227.9999999999977</v>
      </c>
      <c r="O139" s="137">
        <f t="shared" si="90"/>
        <v>68.222222222222101</v>
      </c>
      <c r="P139" s="100">
        <f t="shared" si="85"/>
        <v>0</v>
      </c>
      <c r="Q139" s="139">
        <f t="shared" si="86"/>
        <v>-11.777777777777899</v>
      </c>
      <c r="R139" s="140">
        <f t="shared" si="87"/>
        <v>0.8527777777777763</v>
      </c>
      <c r="S139" s="616"/>
      <c r="T139" s="96">
        <v>0.8930555555555556</v>
      </c>
      <c r="U139" s="96">
        <v>0.91388888888888897</v>
      </c>
      <c r="V139" s="334">
        <v>6</v>
      </c>
      <c r="W139" s="88">
        <f t="shared" si="91"/>
        <v>30.000000000000053</v>
      </c>
      <c r="X139" s="99"/>
      <c r="Y139" s="99"/>
      <c r="Z139" s="100"/>
      <c r="AA139" s="100"/>
      <c r="AB139" s="601"/>
      <c r="AC139" s="601"/>
      <c r="AD139" s="101"/>
      <c r="AE139" s="101"/>
      <c r="AF139" s="92">
        <f t="shared" si="59"/>
        <v>-212.00000000000227</v>
      </c>
      <c r="AG139" s="186">
        <f t="shared" si="60"/>
        <v>0.85277777777777619</v>
      </c>
      <c r="AH139" s="605"/>
    </row>
    <row r="140" spans="1:34" ht="19.149999999999999" customHeight="1">
      <c r="A140" s="614"/>
      <c r="B140" s="65" t="s">
        <v>390</v>
      </c>
      <c r="C140" s="147"/>
      <c r="D140" s="335" t="s">
        <v>201</v>
      </c>
      <c r="E140" s="133"/>
      <c r="F140" s="85">
        <v>50.67</v>
      </c>
      <c r="G140" s="104">
        <v>929</v>
      </c>
      <c r="H140" s="135">
        <f t="shared" si="88"/>
        <v>47072.43</v>
      </c>
      <c r="I140" s="101"/>
      <c r="J140" s="89">
        <v>17</v>
      </c>
      <c r="K140" s="104">
        <v>1440</v>
      </c>
      <c r="L140" s="137">
        <v>84.705882352941174</v>
      </c>
      <c r="M140" s="310">
        <v>19</v>
      </c>
      <c r="N140" s="104">
        <f t="shared" si="89"/>
        <v>1238.6666666666667</v>
      </c>
      <c r="O140" s="137">
        <f t="shared" si="90"/>
        <v>65.192982456140356</v>
      </c>
      <c r="P140" s="100">
        <f t="shared" si="85"/>
        <v>2</v>
      </c>
      <c r="Q140" s="139">
        <f t="shared" si="86"/>
        <v>-19.512899896800818</v>
      </c>
      <c r="R140" s="140">
        <f t="shared" si="87"/>
        <v>0.76963937621832368</v>
      </c>
      <c r="S140" s="617"/>
      <c r="T140" s="111">
        <v>0.91875000000000007</v>
      </c>
      <c r="U140" s="336">
        <v>0.95000000000000007</v>
      </c>
      <c r="V140" s="337">
        <v>7</v>
      </c>
      <c r="W140" s="88">
        <f t="shared" si="91"/>
        <v>45</v>
      </c>
      <c r="X140" s="99"/>
      <c r="Y140" s="99"/>
      <c r="Z140" s="100"/>
      <c r="AA140" s="100"/>
      <c r="AB140" s="601"/>
      <c r="AC140" s="601"/>
      <c r="AD140" s="101"/>
      <c r="AE140" s="101"/>
      <c r="AF140" s="92">
        <f t="shared" si="59"/>
        <v>-201.33333333333326</v>
      </c>
      <c r="AG140" s="186">
        <f t="shared" si="60"/>
        <v>0.86018518518518527</v>
      </c>
      <c r="AH140" s="605"/>
    </row>
    <row r="141" spans="1:34" ht="19.149999999999999" customHeight="1">
      <c r="A141" s="614"/>
      <c r="B141" s="65" t="s">
        <v>390</v>
      </c>
      <c r="C141" s="147"/>
      <c r="D141" s="83" t="s">
        <v>202</v>
      </c>
      <c r="E141" s="338"/>
      <c r="F141" s="85">
        <v>50.49</v>
      </c>
      <c r="G141" s="104">
        <v>1221</v>
      </c>
      <c r="H141" s="135">
        <f t="shared" si="88"/>
        <v>61648.29</v>
      </c>
      <c r="I141" s="101"/>
      <c r="J141" s="89">
        <v>15</v>
      </c>
      <c r="K141" s="86">
        <v>1440</v>
      </c>
      <c r="L141" s="90">
        <v>96</v>
      </c>
      <c r="M141" s="310">
        <v>15</v>
      </c>
      <c r="N141" s="104">
        <f t="shared" si="89"/>
        <v>1308.2142857142867</v>
      </c>
      <c r="O141" s="137">
        <f t="shared" si="90"/>
        <v>87.214285714285779</v>
      </c>
      <c r="P141" s="100">
        <f t="shared" si="85"/>
        <v>0</v>
      </c>
      <c r="Q141" s="139">
        <f t="shared" si="86"/>
        <v>-8.7857142857142208</v>
      </c>
      <c r="R141" s="257">
        <f t="shared" si="87"/>
        <v>0.90848214285714357</v>
      </c>
      <c r="S141" s="617"/>
      <c r="T141" s="111">
        <v>0.9555555555555556</v>
      </c>
      <c r="U141" s="336">
        <v>0.99444444444444446</v>
      </c>
      <c r="V141" s="102">
        <v>8</v>
      </c>
      <c r="W141" s="88">
        <f t="shared" si="91"/>
        <v>55.999999999999957</v>
      </c>
      <c r="X141" s="99"/>
      <c r="Y141" s="99"/>
      <c r="Z141" s="100"/>
      <c r="AA141" s="100"/>
      <c r="AB141" s="601"/>
      <c r="AC141" s="601"/>
      <c r="AD141" s="101"/>
      <c r="AE141" s="101"/>
      <c r="AF141" s="92">
        <f t="shared" si="59"/>
        <v>-131.78571428571331</v>
      </c>
      <c r="AG141" s="186">
        <f t="shared" si="60"/>
        <v>0.90848214285714357</v>
      </c>
      <c r="AH141" s="605"/>
    </row>
    <row r="142" spans="1:34" ht="19.149999999999999" customHeight="1">
      <c r="A142" s="614"/>
      <c r="B142" s="65">
        <v>0</v>
      </c>
      <c r="C142" s="147"/>
      <c r="D142" s="83"/>
      <c r="E142" s="338"/>
      <c r="F142" s="85" t="s">
        <v>391</v>
      </c>
      <c r="G142" s="104"/>
      <c r="H142" s="135">
        <f t="shared" si="88"/>
        <v>0</v>
      </c>
      <c r="I142" s="101"/>
      <c r="J142" s="138"/>
      <c r="K142" s="104"/>
      <c r="L142" s="137"/>
      <c r="M142" s="310"/>
      <c r="N142" s="104"/>
      <c r="O142" s="137"/>
      <c r="P142" s="100"/>
      <c r="Q142" s="139"/>
      <c r="R142" s="140"/>
      <c r="S142" s="617"/>
      <c r="T142" s="111"/>
      <c r="U142" s="336"/>
      <c r="V142" s="102"/>
      <c r="W142" s="88"/>
      <c r="X142" s="99"/>
      <c r="Y142" s="99"/>
      <c r="Z142" s="100"/>
      <c r="AA142" s="100"/>
      <c r="AB142" s="601"/>
      <c r="AC142" s="601"/>
      <c r="AD142" s="101"/>
      <c r="AE142" s="101"/>
      <c r="AF142" s="92">
        <f t="shared" si="59"/>
        <v>0</v>
      </c>
      <c r="AG142" s="186" t="e">
        <f t="shared" si="60"/>
        <v>#DIV/0!</v>
      </c>
      <c r="AH142" s="605"/>
    </row>
    <row r="143" spans="1:34" ht="19.149999999999999" customHeight="1">
      <c r="A143" s="614"/>
      <c r="B143" s="65">
        <v>0</v>
      </c>
      <c r="C143" s="339"/>
      <c r="D143" s="132"/>
      <c r="E143" s="133"/>
      <c r="F143" s="85" t="s">
        <v>391</v>
      </c>
      <c r="G143" s="104"/>
      <c r="H143" s="135">
        <f t="shared" si="88"/>
        <v>0</v>
      </c>
      <c r="I143" s="101"/>
      <c r="J143" s="89"/>
      <c r="K143" s="86"/>
      <c r="L143" s="90"/>
      <c r="M143" s="310"/>
      <c r="N143" s="104"/>
      <c r="O143" s="137"/>
      <c r="P143" s="100"/>
      <c r="Q143" s="139"/>
      <c r="R143" s="140"/>
      <c r="S143" s="617"/>
      <c r="T143" s="111"/>
      <c r="U143" s="336"/>
      <c r="V143" s="102"/>
      <c r="W143" s="88"/>
      <c r="X143" s="99"/>
      <c r="Y143" s="99"/>
      <c r="Z143" s="100"/>
      <c r="AA143" s="100"/>
      <c r="AB143" s="601"/>
      <c r="AC143" s="601"/>
      <c r="AD143" s="101"/>
      <c r="AE143" s="101"/>
      <c r="AF143" s="92">
        <f t="shared" si="59"/>
        <v>0</v>
      </c>
      <c r="AG143" s="186" t="e">
        <f t="shared" si="60"/>
        <v>#DIV/0!</v>
      </c>
      <c r="AH143" s="605"/>
    </row>
    <row r="144" spans="1:34" ht="19.149999999999999" customHeight="1">
      <c r="A144" s="614"/>
      <c r="B144" s="65">
        <v>0</v>
      </c>
      <c r="C144" s="147"/>
      <c r="D144" s="83"/>
      <c r="E144" s="338"/>
      <c r="F144" s="85" t="s">
        <v>391</v>
      </c>
      <c r="G144" s="104"/>
      <c r="H144" s="135">
        <f t="shared" si="88"/>
        <v>0</v>
      </c>
      <c r="I144" s="101"/>
      <c r="J144" s="89"/>
      <c r="K144" s="104"/>
      <c r="L144" s="137"/>
      <c r="M144" s="189"/>
      <c r="N144" s="104"/>
      <c r="O144" s="137"/>
      <c r="P144" s="100"/>
      <c r="Q144" s="139"/>
      <c r="R144" s="257"/>
      <c r="S144" s="617"/>
      <c r="T144" s="111"/>
      <c r="U144" s="336"/>
      <c r="V144" s="102"/>
      <c r="W144" s="88"/>
      <c r="X144" s="99"/>
      <c r="Y144" s="99"/>
      <c r="Z144" s="100"/>
      <c r="AA144" s="100"/>
      <c r="AB144" s="601"/>
      <c r="AC144" s="601"/>
      <c r="AD144" s="101"/>
      <c r="AE144" s="101"/>
      <c r="AF144" s="92">
        <f t="shared" si="59"/>
        <v>0</v>
      </c>
      <c r="AG144" s="186" t="e">
        <f t="shared" si="60"/>
        <v>#DIV/0!</v>
      </c>
      <c r="AH144" s="605"/>
    </row>
    <row r="145" spans="1:34" ht="19.149999999999999" customHeight="1">
      <c r="A145" s="614"/>
      <c r="B145" s="65">
        <v>0</v>
      </c>
      <c r="C145" s="147"/>
      <c r="D145" s="83"/>
      <c r="E145" s="338"/>
      <c r="F145" s="85" t="s">
        <v>391</v>
      </c>
      <c r="G145" s="104"/>
      <c r="H145" s="135">
        <f t="shared" si="88"/>
        <v>0</v>
      </c>
      <c r="I145" s="101"/>
      <c r="J145" s="138"/>
      <c r="K145" s="104"/>
      <c r="L145" s="137"/>
      <c r="M145" s="189"/>
      <c r="N145" s="104"/>
      <c r="O145" s="137"/>
      <c r="P145" s="100"/>
      <c r="Q145" s="139"/>
      <c r="R145" s="140"/>
      <c r="S145" s="617"/>
      <c r="T145" s="111"/>
      <c r="U145" s="336"/>
      <c r="V145" s="102"/>
      <c r="W145" s="88">
        <f t="shared" si="91"/>
        <v>0</v>
      </c>
      <c r="X145" s="99"/>
      <c r="Y145" s="99"/>
      <c r="Z145" s="100"/>
      <c r="AA145" s="100"/>
      <c r="AB145" s="601"/>
      <c r="AC145" s="601"/>
      <c r="AD145" s="101"/>
      <c r="AE145" s="101"/>
      <c r="AF145" s="92">
        <f t="shared" si="59"/>
        <v>0</v>
      </c>
      <c r="AG145" s="186" t="e">
        <f t="shared" si="60"/>
        <v>#DIV/0!</v>
      </c>
      <c r="AH145" s="605"/>
    </row>
    <row r="146" spans="1:34" ht="19.149999999999999" customHeight="1">
      <c r="A146" s="614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88"/>
        <v>0</v>
      </c>
      <c r="I146" s="101"/>
      <c r="J146" s="138"/>
      <c r="K146" s="104"/>
      <c r="L146" s="137"/>
      <c r="M146" s="189"/>
      <c r="N146" s="104"/>
      <c r="O146" s="137"/>
      <c r="P146" s="100"/>
      <c r="Q146" s="139"/>
      <c r="R146" s="140"/>
      <c r="S146" s="617"/>
      <c r="T146" s="111"/>
      <c r="U146" s="336"/>
      <c r="V146" s="102"/>
      <c r="W146" s="88">
        <f t="shared" si="91"/>
        <v>0</v>
      </c>
      <c r="X146" s="99"/>
      <c r="Y146" s="99"/>
      <c r="Z146" s="100"/>
      <c r="AA146" s="100"/>
      <c r="AB146" s="601"/>
      <c r="AC146" s="601"/>
      <c r="AD146" s="101"/>
      <c r="AE146" s="101"/>
      <c r="AF146" s="100"/>
      <c r="AG146" s="140"/>
      <c r="AH146" s="605"/>
    </row>
    <row r="147" spans="1:34" ht="19.149999999999999" customHeight="1">
      <c r="A147" s="615"/>
      <c r="B147" s="341">
        <v>0</v>
      </c>
      <c r="C147" s="156" t="s">
        <v>278</v>
      </c>
      <c r="D147" s="602" t="s">
        <v>256</v>
      </c>
      <c r="E147" s="602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2">AVERAGE(M135:M146)</f>
        <v>17.428571428571427</v>
      </c>
      <c r="N147" s="326">
        <f t="shared" si="92"/>
        <v>1286.3544860634963</v>
      </c>
      <c r="O147" s="327">
        <f t="shared" si="92"/>
        <v>74.393375230989747</v>
      </c>
      <c r="P147" s="97">
        <f t="shared" ref="P147:P152" si="93">M147-J147</f>
        <v>0.14285714285714235</v>
      </c>
      <c r="Q147" s="205">
        <f t="shared" ref="Q147:Q152" si="94">O147-L147</f>
        <v>-10.262971518236256</v>
      </c>
      <c r="R147" s="343">
        <f t="shared" ref="R147:R152" si="95">O147/L147</f>
        <v>0.87876902426893244</v>
      </c>
      <c r="S147" s="618"/>
      <c r="T147" s="111"/>
      <c r="U147" s="111"/>
      <c r="V147" s="102"/>
      <c r="W147" s="88">
        <f t="shared" si="91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01"/>
      <c r="AC147" s="601"/>
      <c r="AD147" s="164">
        <f>SUM(AD135:AD146)</f>
        <v>0</v>
      </c>
      <c r="AE147" s="164">
        <f>SUM(AE135:AE146)</f>
        <v>0</v>
      </c>
      <c r="AF147" s="282">
        <f t="shared" si="59"/>
        <v>-170.78837107936079</v>
      </c>
      <c r="AG147" s="344">
        <f t="shared" si="60"/>
        <v>0.88279229435730144</v>
      </c>
      <c r="AH147" s="605"/>
    </row>
    <row r="148" spans="1:34" ht="19.149999999999999" customHeight="1">
      <c r="A148" s="608" t="s">
        <v>279</v>
      </c>
      <c r="B148" s="101" t="s">
        <v>390</v>
      </c>
      <c r="C148" s="182"/>
      <c r="D148" s="246" t="s">
        <v>204</v>
      </c>
      <c r="E148" s="84"/>
      <c r="F148" s="199">
        <v>57.3</v>
      </c>
      <c r="G148" s="104">
        <v>1294</v>
      </c>
      <c r="H148" s="135">
        <f t="shared" ref="H148:H172" si="96">F148*G148</f>
        <v>74146.2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1294.0000000000014</v>
      </c>
      <c r="O148" s="90">
        <f>N148/M148</f>
        <v>71.888888888888971</v>
      </c>
      <c r="P148" s="92">
        <f t="shared" si="93"/>
        <v>-1</v>
      </c>
      <c r="Q148" s="93">
        <f t="shared" si="94"/>
        <v>-3.9005847953215493</v>
      </c>
      <c r="R148" s="94">
        <f t="shared" si="95"/>
        <v>0.94853395061728507</v>
      </c>
      <c r="S148" s="609">
        <f>R160</f>
        <v>0.86268499770143436</v>
      </c>
      <c r="T148" s="330">
        <v>0.70833333333333337</v>
      </c>
      <c r="U148" s="96">
        <v>0.75</v>
      </c>
      <c r="V148" s="65">
        <v>5</v>
      </c>
      <c r="W148" s="88">
        <f>(U148-T148)*24*60</f>
        <v>59.999999999999943</v>
      </c>
      <c r="X148" s="99"/>
      <c r="Y148" s="99"/>
      <c r="Z148" s="100"/>
      <c r="AA148" s="100"/>
      <c r="AB148" s="601"/>
      <c r="AC148" s="601"/>
      <c r="AD148" s="101"/>
      <c r="AE148" s="101"/>
      <c r="AF148" s="92">
        <f t="shared" si="59"/>
        <v>-145.99999999999864</v>
      </c>
      <c r="AG148" s="186">
        <f t="shared" si="60"/>
        <v>0.89861111111111203</v>
      </c>
      <c r="AH148" s="605">
        <f>AG160</f>
        <v>0.85928091591712197</v>
      </c>
    </row>
    <row r="149" spans="1:34" ht="19.149999999999999" customHeight="1">
      <c r="A149" s="608"/>
      <c r="B149" s="101" t="s">
        <v>390</v>
      </c>
      <c r="C149" s="301"/>
      <c r="D149" s="335" t="s">
        <v>205</v>
      </c>
      <c r="E149" s="107"/>
      <c r="F149" s="199">
        <v>50.67</v>
      </c>
      <c r="G149" s="104">
        <v>720</v>
      </c>
      <c r="H149" s="135">
        <f t="shared" si="96"/>
        <v>36482.400000000001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1270.5882352941162</v>
      </c>
      <c r="O149" s="90">
        <f>N149/M149</f>
        <v>74.74048442906566</v>
      </c>
      <c r="P149" s="92">
        <f t="shared" si="93"/>
        <v>1</v>
      </c>
      <c r="Q149" s="93">
        <f t="shared" si="94"/>
        <v>-15.25951557093434</v>
      </c>
      <c r="R149" s="94">
        <f t="shared" si="95"/>
        <v>0.83044982698961844</v>
      </c>
      <c r="S149" s="610"/>
      <c r="T149" s="330">
        <v>0.75416666666666665</v>
      </c>
      <c r="U149" s="96">
        <v>0.77777777777777779</v>
      </c>
      <c r="V149" s="65">
        <v>6</v>
      </c>
      <c r="W149" s="88">
        <f t="shared" ref="W149:W159" si="97">(U149-T149)*24*60</f>
        <v>34.000000000000043</v>
      </c>
      <c r="X149" s="99"/>
      <c r="Y149" s="99"/>
      <c r="Z149" s="100"/>
      <c r="AA149" s="100"/>
      <c r="AB149" s="601"/>
      <c r="AC149" s="601"/>
      <c r="AD149" s="101"/>
      <c r="AE149" s="101">
        <v>1</v>
      </c>
      <c r="AF149" s="92">
        <f t="shared" si="59"/>
        <v>-169.4117647058838</v>
      </c>
      <c r="AG149" s="186">
        <f t="shared" si="60"/>
        <v>0.88235294117646956</v>
      </c>
      <c r="AH149" s="611"/>
    </row>
    <row r="150" spans="1:34" ht="19.149999999999999" customHeight="1">
      <c r="A150" s="608"/>
      <c r="B150" s="101" t="s">
        <v>390</v>
      </c>
      <c r="C150" s="301"/>
      <c r="D150" s="249" t="s">
        <v>175</v>
      </c>
      <c r="E150" s="107"/>
      <c r="F150" s="199">
        <v>57.734999999999999</v>
      </c>
      <c r="G150" s="104">
        <v>252.45</v>
      </c>
      <c r="H150" s="135">
        <f t="shared" si="96"/>
        <v>14575.20075</v>
      </c>
      <c r="I150" s="345">
        <v>2</v>
      </c>
      <c r="J150" s="138">
        <v>16</v>
      </c>
      <c r="K150" s="104">
        <v>1565</v>
      </c>
      <c r="L150" s="137">
        <v>97.8125</v>
      </c>
      <c r="M150" s="310">
        <v>16</v>
      </c>
      <c r="N150" s="86">
        <f>G150/W150*60</f>
        <v>1377.0000000000048</v>
      </c>
      <c r="O150" s="90">
        <f>N150/M150</f>
        <v>86.062500000000298</v>
      </c>
      <c r="P150" s="92">
        <f t="shared" si="93"/>
        <v>0</v>
      </c>
      <c r="Q150" s="93">
        <f t="shared" si="94"/>
        <v>-11.749999999999702</v>
      </c>
      <c r="R150" s="94">
        <f t="shared" si="95"/>
        <v>0.87987220447284653</v>
      </c>
      <c r="S150" s="610"/>
      <c r="T150" s="330">
        <v>0.78333333333333333</v>
      </c>
      <c r="U150" s="96">
        <v>0.79097222222222219</v>
      </c>
      <c r="V150" s="65">
        <v>8</v>
      </c>
      <c r="W150" s="88">
        <f t="shared" si="97"/>
        <v>10.999999999999961</v>
      </c>
      <c r="X150" s="295"/>
      <c r="Y150" s="295"/>
      <c r="Z150" s="296"/>
      <c r="AA150" s="296"/>
      <c r="AB150" s="601"/>
      <c r="AC150" s="601"/>
      <c r="AD150" s="101"/>
      <c r="AE150" s="101"/>
      <c r="AF150" s="92">
        <f t="shared" si="59"/>
        <v>-187.99999999999523</v>
      </c>
      <c r="AG150" s="186">
        <f t="shared" si="60"/>
        <v>0.87987220447284653</v>
      </c>
      <c r="AH150" s="611"/>
    </row>
    <row r="151" spans="1:34" s="298" customFormat="1" ht="19.149999999999999" customHeight="1">
      <c r="A151" s="608"/>
      <c r="B151" s="101" t="s">
        <v>386</v>
      </c>
      <c r="C151" s="301"/>
      <c r="D151" s="106" t="s">
        <v>186</v>
      </c>
      <c r="E151" s="107"/>
      <c r="F151" s="199">
        <v>59.52</v>
      </c>
      <c r="G151" s="104">
        <v>292.95</v>
      </c>
      <c r="H151" s="135">
        <f t="shared" si="96"/>
        <v>17436.384000000002</v>
      </c>
      <c r="I151" s="345">
        <v>2</v>
      </c>
      <c r="J151" s="138">
        <v>21</v>
      </c>
      <c r="K151" s="104">
        <v>1385</v>
      </c>
      <c r="L151" s="137">
        <v>65.952380952380949</v>
      </c>
      <c r="M151" s="310">
        <v>19</v>
      </c>
      <c r="N151" s="86">
        <f>G151/W151*60</f>
        <v>1098.5625000000039</v>
      </c>
      <c r="O151" s="90">
        <f>N151/M151</f>
        <v>57.819078947368624</v>
      </c>
      <c r="P151" s="92">
        <f t="shared" si="93"/>
        <v>-2</v>
      </c>
      <c r="Q151" s="93">
        <f t="shared" si="94"/>
        <v>-8.1333020050123253</v>
      </c>
      <c r="R151" s="94">
        <f t="shared" si="95"/>
        <v>0.87667917537526441</v>
      </c>
      <c r="S151" s="610"/>
      <c r="T151" s="330">
        <v>0.7944444444444444</v>
      </c>
      <c r="U151" s="96">
        <v>0.80555555555555547</v>
      </c>
      <c r="V151" s="65">
        <v>5</v>
      </c>
      <c r="W151" s="88">
        <f t="shared" si="97"/>
        <v>15.999999999999943</v>
      </c>
      <c r="X151" s="295"/>
      <c r="Y151" s="295"/>
      <c r="Z151" s="296"/>
      <c r="AA151" s="296"/>
      <c r="AB151" s="601"/>
      <c r="AC151" s="601"/>
      <c r="AD151" s="301"/>
      <c r="AE151" s="301"/>
      <c r="AF151" s="92">
        <f t="shared" si="59"/>
        <v>-286.43749999999613</v>
      </c>
      <c r="AG151" s="186">
        <f t="shared" si="60"/>
        <v>0.79318592057762016</v>
      </c>
      <c r="AH151" s="611"/>
    </row>
    <row r="152" spans="1:34" s="298" customFormat="1" ht="19.149999999999999" customHeight="1">
      <c r="A152" s="608"/>
      <c r="B152" s="101" t="s">
        <v>390</v>
      </c>
      <c r="C152" s="301"/>
      <c r="D152" s="335" t="s">
        <v>206</v>
      </c>
      <c r="E152" s="107"/>
      <c r="F152" s="199">
        <v>57.3</v>
      </c>
      <c r="G152" s="104">
        <v>1552</v>
      </c>
      <c r="H152" s="135">
        <f t="shared" si="96"/>
        <v>88929.599999999991</v>
      </c>
      <c r="I152" s="345"/>
      <c r="J152" s="138">
        <v>17</v>
      </c>
      <c r="K152" s="104">
        <v>1500</v>
      </c>
      <c r="L152" s="137">
        <v>88.235294117647058</v>
      </c>
      <c r="M152" s="310">
        <v>18</v>
      </c>
      <c r="N152" s="86">
        <f>G152/W152*60</f>
        <v>1258.3783783783774</v>
      </c>
      <c r="O152" s="90">
        <f>N152/M152</f>
        <v>69.909909909909857</v>
      </c>
      <c r="P152" s="92">
        <f t="shared" si="93"/>
        <v>1</v>
      </c>
      <c r="Q152" s="93">
        <f t="shared" si="94"/>
        <v>-18.325384207737201</v>
      </c>
      <c r="R152" s="94">
        <f t="shared" si="95"/>
        <v>0.7923123123123117</v>
      </c>
      <c r="S152" s="610"/>
      <c r="T152" s="346">
        <v>0.82083333333333319</v>
      </c>
      <c r="U152" s="111">
        <v>0.87222222222222212</v>
      </c>
      <c r="V152" s="109">
        <v>22</v>
      </c>
      <c r="W152" s="88">
        <f t="shared" si="97"/>
        <v>74.000000000000057</v>
      </c>
      <c r="X152" s="299">
        <v>0.80902777777777779</v>
      </c>
      <c r="Y152" s="299">
        <v>0.81805555555555554</v>
      </c>
      <c r="Z152" s="296"/>
      <c r="AA152" s="296"/>
      <c r="AB152" s="601"/>
      <c r="AC152" s="601"/>
      <c r="AD152" s="301"/>
      <c r="AE152" s="301"/>
      <c r="AF152" s="92">
        <f t="shared" si="59"/>
        <v>-241.62162162162258</v>
      </c>
      <c r="AG152" s="186">
        <f t="shared" si="60"/>
        <v>0.83891891891891823</v>
      </c>
      <c r="AH152" s="611"/>
    </row>
    <row r="153" spans="1:34" s="298" customFormat="1" ht="19.149999999999999" customHeight="1">
      <c r="A153" s="608"/>
      <c r="B153" s="101">
        <v>0</v>
      </c>
      <c r="C153" s="301"/>
      <c r="D153" s="335"/>
      <c r="E153" s="107"/>
      <c r="F153" s="199" t="s">
        <v>391</v>
      </c>
      <c r="G153" s="104"/>
      <c r="H153" s="135">
        <f t="shared" si="96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4"/>
      <c r="S153" s="610"/>
      <c r="T153" s="346"/>
      <c r="U153" s="111"/>
      <c r="V153" s="109"/>
      <c r="W153" s="88">
        <f t="shared" si="97"/>
        <v>0</v>
      </c>
      <c r="X153" s="299"/>
      <c r="Y153" s="299"/>
      <c r="Z153" s="296"/>
      <c r="AA153" s="296"/>
      <c r="AB153" s="601"/>
      <c r="AC153" s="601"/>
      <c r="AD153" s="301"/>
      <c r="AE153" s="301"/>
      <c r="AF153" s="92">
        <f t="shared" si="59"/>
        <v>0</v>
      </c>
      <c r="AG153" s="186" t="e">
        <f t="shared" si="60"/>
        <v>#DIV/0!</v>
      </c>
      <c r="AH153" s="611"/>
    </row>
    <row r="154" spans="1:34" s="298" customFormat="1" ht="19.149999999999999" customHeight="1">
      <c r="A154" s="608"/>
      <c r="B154" s="101">
        <v>0</v>
      </c>
      <c r="C154" s="301"/>
      <c r="D154" s="335"/>
      <c r="E154" s="107"/>
      <c r="F154" s="199" t="s">
        <v>391</v>
      </c>
      <c r="G154" s="104"/>
      <c r="H154" s="135">
        <f t="shared" si="96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10"/>
      <c r="T154" s="346"/>
      <c r="U154" s="111"/>
      <c r="V154" s="109"/>
      <c r="W154" s="88">
        <f t="shared" si="97"/>
        <v>0</v>
      </c>
      <c r="X154" s="299"/>
      <c r="Y154" s="299"/>
      <c r="Z154" s="296"/>
      <c r="AA154" s="296"/>
      <c r="AB154" s="601"/>
      <c r="AC154" s="601"/>
      <c r="AD154" s="301"/>
      <c r="AE154" s="301"/>
      <c r="AF154" s="92">
        <f t="shared" si="59"/>
        <v>0</v>
      </c>
      <c r="AG154" s="186" t="e">
        <f t="shared" si="60"/>
        <v>#DIV/0!</v>
      </c>
      <c r="AH154" s="611"/>
    </row>
    <row r="155" spans="1:34" s="298" customFormat="1" ht="19.149999999999999" customHeight="1">
      <c r="A155" s="608"/>
      <c r="B155" s="101">
        <v>0</v>
      </c>
      <c r="C155" s="301"/>
      <c r="D155" s="335"/>
      <c r="E155" s="107"/>
      <c r="F155" s="199" t="s">
        <v>391</v>
      </c>
      <c r="G155" s="104"/>
      <c r="H155" s="135">
        <f t="shared" si="96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10"/>
      <c r="T155" s="346"/>
      <c r="U155" s="111"/>
      <c r="V155" s="109"/>
      <c r="W155" s="88">
        <f t="shared" si="97"/>
        <v>0</v>
      </c>
      <c r="X155" s="299"/>
      <c r="Y155" s="299"/>
      <c r="Z155" s="296"/>
      <c r="AA155" s="296"/>
      <c r="AB155" s="601"/>
      <c r="AC155" s="601"/>
      <c r="AD155" s="301"/>
      <c r="AE155" s="301"/>
      <c r="AF155" s="349"/>
      <c r="AG155" s="191"/>
      <c r="AH155" s="611"/>
    </row>
    <row r="156" spans="1:34" s="298" customFormat="1" ht="19.149999999999999" customHeight="1">
      <c r="A156" s="608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6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10"/>
      <c r="T156" s="346"/>
      <c r="U156" s="111"/>
      <c r="V156" s="109"/>
      <c r="W156" s="350">
        <f t="shared" si="97"/>
        <v>0</v>
      </c>
      <c r="X156" s="299"/>
      <c r="Y156" s="299"/>
      <c r="Z156" s="296"/>
      <c r="AA156" s="296"/>
      <c r="AB156" s="601"/>
      <c r="AC156" s="601"/>
      <c r="AD156" s="301"/>
      <c r="AE156" s="301"/>
      <c r="AF156" s="349"/>
      <c r="AG156" s="191"/>
      <c r="AH156" s="611"/>
    </row>
    <row r="157" spans="1:34" s="298" customFormat="1" ht="19.149999999999999" customHeight="1">
      <c r="A157" s="608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6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10"/>
      <c r="T157" s="346"/>
      <c r="U157" s="111"/>
      <c r="V157" s="109"/>
      <c r="W157" s="350">
        <f t="shared" si="97"/>
        <v>0</v>
      </c>
      <c r="X157" s="299"/>
      <c r="Y157" s="299"/>
      <c r="Z157" s="296"/>
      <c r="AA157" s="296"/>
      <c r="AB157" s="601"/>
      <c r="AC157" s="601"/>
      <c r="AD157" s="301"/>
      <c r="AE157" s="301"/>
      <c r="AF157" s="349"/>
      <c r="AG157" s="191"/>
      <c r="AH157" s="611"/>
    </row>
    <row r="158" spans="1:34" s="298" customFormat="1" ht="19.149999999999999" customHeight="1">
      <c r="A158" s="608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6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10"/>
      <c r="T158" s="346"/>
      <c r="U158" s="111"/>
      <c r="V158" s="109"/>
      <c r="W158" s="350">
        <f t="shared" si="97"/>
        <v>0</v>
      </c>
      <c r="X158" s="299"/>
      <c r="Y158" s="299"/>
      <c r="Z158" s="296"/>
      <c r="AA158" s="296"/>
      <c r="AB158" s="601"/>
      <c r="AC158" s="601"/>
      <c r="AD158" s="301"/>
      <c r="AE158" s="301"/>
      <c r="AF158" s="349"/>
      <c r="AG158" s="191"/>
      <c r="AH158" s="611"/>
    </row>
    <row r="159" spans="1:34" s="298" customFormat="1" ht="19.149999999999999" customHeight="1">
      <c r="A159" s="608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6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10"/>
      <c r="T159" s="346"/>
      <c r="U159" s="111"/>
      <c r="V159" s="109"/>
      <c r="W159" s="351">
        <f t="shared" si="97"/>
        <v>0</v>
      </c>
      <c r="X159" s="299"/>
      <c r="Y159" s="299"/>
      <c r="Z159" s="296"/>
      <c r="AA159" s="296"/>
      <c r="AB159" s="601"/>
      <c r="AC159" s="601"/>
      <c r="AD159" s="301"/>
      <c r="AE159" s="301"/>
      <c r="AF159" s="349"/>
      <c r="AG159" s="191"/>
      <c r="AH159" s="611"/>
    </row>
    <row r="160" spans="1:34" ht="19.149999999999999" customHeight="1">
      <c r="A160" s="608"/>
      <c r="B160" s="352">
        <v>0</v>
      </c>
      <c r="C160" s="353" t="s">
        <v>280</v>
      </c>
      <c r="D160" s="606" t="s">
        <v>256</v>
      </c>
      <c r="E160" s="607"/>
      <c r="F160" s="119"/>
      <c r="G160" s="280"/>
      <c r="H160" s="279"/>
      <c r="I160" s="122"/>
      <c r="J160" s="354">
        <v>17.8</v>
      </c>
      <c r="K160" s="354">
        <v>1466</v>
      </c>
      <c r="L160" s="355">
        <v>83.557929750847705</v>
      </c>
      <c r="M160" s="354">
        <f t="shared" ref="M160:O160" si="98">AVERAGE(M148:M159)</f>
        <v>17.600000000000001</v>
      </c>
      <c r="N160" s="354">
        <f t="shared" si="98"/>
        <v>1259.7058227345008</v>
      </c>
      <c r="O160" s="355">
        <f t="shared" si="98"/>
        <v>72.084172435046668</v>
      </c>
      <c r="P160" s="113">
        <f t="shared" ref="P160:P165" si="99">M160-J160</f>
        <v>-0.19999999999999929</v>
      </c>
      <c r="Q160" s="124">
        <f t="shared" ref="Q160:Q165" si="100">O160-L160</f>
        <v>-11.473757315801038</v>
      </c>
      <c r="R160" s="356">
        <f>O160/L160</f>
        <v>0.86268499770143436</v>
      </c>
      <c r="S160" s="610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01"/>
      <c r="AC160" s="601"/>
      <c r="AD160" s="129">
        <f>SUM(AD148:AD159)</f>
        <v>0</v>
      </c>
      <c r="AE160" s="129">
        <f>SUM(AE148:AE159)</f>
        <v>1</v>
      </c>
      <c r="AF160" s="113">
        <f t="shared" si="59"/>
        <v>-206.29417726549923</v>
      </c>
      <c r="AG160" s="191">
        <f t="shared" si="60"/>
        <v>0.85928091591712197</v>
      </c>
      <c r="AH160" s="611"/>
    </row>
    <row r="161" spans="1:36" ht="19.149999999999999" customHeight="1">
      <c r="A161" s="604" t="s">
        <v>281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2481</v>
      </c>
      <c r="H161" s="135">
        <f t="shared" ref="H161:H170" si="101">F161*G161</f>
        <v>84924.62999999999</v>
      </c>
      <c r="I161" s="101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2">G161/W161*60</f>
        <v>2221.7910447761196</v>
      </c>
      <c r="O161" s="137">
        <f t="shared" ref="O161:O165" si="103">N161/M161</f>
        <v>185.14925373134329</v>
      </c>
      <c r="P161" s="100">
        <f t="shared" si="99"/>
        <v>0</v>
      </c>
      <c r="Q161" s="139">
        <f t="shared" si="100"/>
        <v>-2.3507462686567067</v>
      </c>
      <c r="R161" s="140">
        <f t="shared" ref="R161:R165" si="104">O161/L161</f>
        <v>0.98746268656716418</v>
      </c>
      <c r="S161" s="605">
        <f>R173</f>
        <v>0.97985712105572553</v>
      </c>
      <c r="T161" s="142">
        <v>0.16666666666666666</v>
      </c>
      <c r="U161" s="142">
        <v>0.21319444444444444</v>
      </c>
      <c r="V161" s="101">
        <v>5</v>
      </c>
      <c r="W161" s="143">
        <f t="shared" ref="W161:W165" si="105">(U161-T161)*24*60</f>
        <v>67</v>
      </c>
      <c r="X161" s="151"/>
      <c r="Y161" s="151"/>
      <c r="Z161" s="100"/>
      <c r="AA161" s="100"/>
      <c r="AB161" s="601"/>
      <c r="AC161" s="601"/>
      <c r="AD161" s="101"/>
      <c r="AE161" s="101"/>
      <c r="AF161" s="100">
        <f t="shared" si="59"/>
        <v>-28.208955223880366</v>
      </c>
      <c r="AG161" s="140">
        <f t="shared" si="60"/>
        <v>0.98746268656716429</v>
      </c>
      <c r="AH161" s="605">
        <f>AG173</f>
        <v>0.97937934068931343</v>
      </c>
    </row>
    <row r="162" spans="1:36" ht="19.149999999999999" customHeight="1">
      <c r="A162" s="604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3503</v>
      </c>
      <c r="H162" s="135">
        <f t="shared" si="101"/>
        <v>119907.68999999999</v>
      </c>
      <c r="I162" s="101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2"/>
        <v>2189.3750000000005</v>
      </c>
      <c r="O162" s="137">
        <f t="shared" si="103"/>
        <v>168.41346153846158</v>
      </c>
      <c r="P162" s="100">
        <f t="shared" si="99"/>
        <v>0</v>
      </c>
      <c r="Q162" s="139">
        <f t="shared" si="100"/>
        <v>-4.6634615384614904</v>
      </c>
      <c r="R162" s="140">
        <f t="shared" si="104"/>
        <v>0.97305555555555578</v>
      </c>
      <c r="S162" s="605"/>
      <c r="T162" s="142">
        <v>0.21736111111111112</v>
      </c>
      <c r="U162" s="142">
        <v>0.28402777777777777</v>
      </c>
      <c r="V162" s="101">
        <v>6</v>
      </c>
      <c r="W162" s="143">
        <f t="shared" si="105"/>
        <v>95.999999999999972</v>
      </c>
      <c r="X162" s="151"/>
      <c r="Y162" s="151"/>
      <c r="Z162" s="100"/>
      <c r="AA162" s="100"/>
      <c r="AB162" s="601"/>
      <c r="AC162" s="601"/>
      <c r="AD162" s="101"/>
      <c r="AE162" s="101">
        <v>1</v>
      </c>
      <c r="AF162" s="100">
        <f t="shared" si="59"/>
        <v>-60.624999999999545</v>
      </c>
      <c r="AG162" s="140">
        <f t="shared" si="60"/>
        <v>0.97305555555555578</v>
      </c>
      <c r="AH162" s="605"/>
    </row>
    <row r="163" spans="1:36" ht="19.149999999999999" customHeight="1">
      <c r="A163" s="604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2927</v>
      </c>
      <c r="H163" s="135">
        <f t="shared" si="101"/>
        <v>100191.20999999999</v>
      </c>
      <c r="I163" s="101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2"/>
        <v>2168.1481481481474</v>
      </c>
      <c r="O163" s="137">
        <f t="shared" si="103"/>
        <v>180.67901234567896</v>
      </c>
      <c r="P163" s="100">
        <f t="shared" si="99"/>
        <v>0</v>
      </c>
      <c r="Q163" s="139">
        <f t="shared" si="100"/>
        <v>-6.8209876543210441</v>
      </c>
      <c r="R163" s="140">
        <f t="shared" si="104"/>
        <v>0.96362139917695444</v>
      </c>
      <c r="S163" s="605"/>
      <c r="T163" s="142">
        <v>0.3256944444444444</v>
      </c>
      <c r="U163" s="142">
        <v>0.38194444444444442</v>
      </c>
      <c r="V163" s="101">
        <v>7</v>
      </c>
      <c r="W163" s="143">
        <f t="shared" si="105"/>
        <v>81.000000000000028</v>
      </c>
      <c r="X163" s="151"/>
      <c r="Y163" s="151"/>
      <c r="Z163" s="100"/>
      <c r="AA163" s="100"/>
      <c r="AB163" s="601"/>
      <c r="AC163" s="601"/>
      <c r="AD163" s="101"/>
      <c r="AE163" s="101"/>
      <c r="AF163" s="100">
        <f t="shared" si="59"/>
        <v>-81.851851851852643</v>
      </c>
      <c r="AG163" s="140">
        <f t="shared" si="60"/>
        <v>0.96362139917695433</v>
      </c>
      <c r="AH163" s="605"/>
    </row>
    <row r="164" spans="1:36" ht="19.149999999999999" customHeight="1">
      <c r="A164" s="604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4958</v>
      </c>
      <c r="H164" s="135">
        <f t="shared" si="101"/>
        <v>177645.13999999998</v>
      </c>
      <c r="I164" s="101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2"/>
        <v>2220</v>
      </c>
      <c r="O164" s="137">
        <f t="shared" si="103"/>
        <v>201.81818181818181</v>
      </c>
      <c r="P164" s="100">
        <f t="shared" si="99"/>
        <v>0</v>
      </c>
      <c r="Q164" s="139">
        <f t="shared" si="100"/>
        <v>-2.7272727272727195</v>
      </c>
      <c r="R164" s="140">
        <f t="shared" si="104"/>
        <v>0.98666666666666669</v>
      </c>
      <c r="S164" s="605"/>
      <c r="T164" s="142">
        <v>0.3972222222222222</v>
      </c>
      <c r="U164" s="142">
        <v>0.49027777777777776</v>
      </c>
      <c r="V164" s="101">
        <v>22</v>
      </c>
      <c r="W164" s="143">
        <f t="shared" si="105"/>
        <v>134</v>
      </c>
      <c r="X164" s="151">
        <v>0.38541666666666669</v>
      </c>
      <c r="Y164" s="151">
        <v>0.39444444444444443</v>
      </c>
      <c r="Z164" s="100"/>
      <c r="AA164" s="100"/>
      <c r="AB164" s="601"/>
      <c r="AC164" s="601"/>
      <c r="AD164" s="101"/>
      <c r="AE164" s="101"/>
      <c r="AF164" s="100">
        <f t="shared" si="59"/>
        <v>-30</v>
      </c>
      <c r="AG164" s="140">
        <f t="shared" si="60"/>
        <v>0.98666666666666669</v>
      </c>
      <c r="AH164" s="605"/>
    </row>
    <row r="165" spans="1:36" ht="19.149999999999999" customHeight="1">
      <c r="A165" s="604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4363.45</v>
      </c>
      <c r="H165" s="135">
        <f t="shared" si="101"/>
        <v>158873.21449999997</v>
      </c>
      <c r="I165" s="101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2"/>
        <v>2218.7033898305071</v>
      </c>
      <c r="O165" s="137">
        <f t="shared" si="103"/>
        <v>221.87033898305071</v>
      </c>
      <c r="P165" s="100">
        <f t="shared" si="99"/>
        <v>0</v>
      </c>
      <c r="Q165" s="139">
        <f t="shared" si="100"/>
        <v>-3.1296610169492851</v>
      </c>
      <c r="R165" s="140">
        <f t="shared" si="104"/>
        <v>0.98609039548022537</v>
      </c>
      <c r="S165" s="605"/>
      <c r="T165" s="142">
        <v>0.50624999999999998</v>
      </c>
      <c r="U165" s="142">
        <v>0.58819444444444446</v>
      </c>
      <c r="V165" s="101">
        <v>23</v>
      </c>
      <c r="W165" s="143">
        <f t="shared" si="105"/>
        <v>118.00000000000006</v>
      </c>
      <c r="X165" s="151">
        <v>0.49374999999999997</v>
      </c>
      <c r="Y165" s="151">
        <v>0.50347222222222221</v>
      </c>
      <c r="Z165" s="100"/>
      <c r="AA165" s="100"/>
      <c r="AB165" s="601"/>
      <c r="AC165" s="601"/>
      <c r="AD165" s="101"/>
      <c r="AE165" s="101"/>
      <c r="AF165" s="100">
        <f t="shared" si="59"/>
        <v>-31.296610169492851</v>
      </c>
      <c r="AG165" s="140">
        <f t="shared" si="60"/>
        <v>0.98609039548022537</v>
      </c>
      <c r="AH165" s="605"/>
    </row>
    <row r="166" spans="1:36" ht="19.149999999999999" customHeight="1">
      <c r="A166" s="604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1"/>
        <v>0</v>
      </c>
      <c r="I166" s="101"/>
      <c r="J166" s="138"/>
      <c r="K166" s="104"/>
      <c r="L166" s="137"/>
      <c r="M166" s="138"/>
      <c r="N166" s="104"/>
      <c r="O166" s="137"/>
      <c r="P166" s="100"/>
      <c r="Q166" s="139"/>
      <c r="R166" s="140"/>
      <c r="S166" s="605"/>
      <c r="T166" s="142"/>
      <c r="U166" s="142"/>
      <c r="V166" s="101"/>
      <c r="W166" s="143"/>
      <c r="X166" s="151"/>
      <c r="Y166" s="151"/>
      <c r="Z166" s="100"/>
      <c r="AA166" s="100"/>
      <c r="AB166" s="601"/>
      <c r="AC166" s="601"/>
      <c r="AD166" s="101"/>
      <c r="AE166" s="101"/>
      <c r="AF166" s="100">
        <f t="shared" si="59"/>
        <v>0</v>
      </c>
      <c r="AG166" s="140" t="e">
        <f t="shared" si="60"/>
        <v>#DIV/0!</v>
      </c>
      <c r="AH166" s="605"/>
    </row>
    <row r="167" spans="1:36" ht="19.149999999999999" customHeight="1">
      <c r="A167" s="604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1"/>
        <v>0</v>
      </c>
      <c r="I167" s="101"/>
      <c r="J167" s="138"/>
      <c r="K167" s="104"/>
      <c r="L167" s="137"/>
      <c r="M167" s="138"/>
      <c r="N167" s="104"/>
      <c r="O167" s="137"/>
      <c r="P167" s="100"/>
      <c r="Q167" s="139"/>
      <c r="R167" s="140"/>
      <c r="S167" s="605"/>
      <c r="T167" s="142"/>
      <c r="U167" s="142"/>
      <c r="V167" s="101"/>
      <c r="W167" s="143"/>
      <c r="X167" s="151"/>
      <c r="Y167" s="151"/>
      <c r="Z167" s="100"/>
      <c r="AA167" s="100"/>
      <c r="AB167" s="601"/>
      <c r="AC167" s="601"/>
      <c r="AD167" s="101"/>
      <c r="AE167" s="101"/>
      <c r="AF167" s="100">
        <f t="shared" si="59"/>
        <v>0</v>
      </c>
      <c r="AG167" s="140" t="e">
        <f t="shared" si="60"/>
        <v>#DIV/0!</v>
      </c>
      <c r="AH167" s="605"/>
    </row>
    <row r="168" spans="1:36" ht="19.149999999999999" customHeight="1">
      <c r="A168" s="604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1"/>
        <v>0</v>
      </c>
      <c r="I168" s="101"/>
      <c r="J168" s="138"/>
      <c r="K168" s="104"/>
      <c r="L168" s="137"/>
      <c r="M168" s="138"/>
      <c r="N168" s="104"/>
      <c r="O168" s="137"/>
      <c r="P168" s="100"/>
      <c r="Q168" s="139"/>
      <c r="R168" s="140"/>
      <c r="S168" s="605"/>
      <c r="T168" s="142"/>
      <c r="U168" s="142"/>
      <c r="V168" s="101"/>
      <c r="W168" s="143"/>
      <c r="X168" s="151"/>
      <c r="Y168" s="151"/>
      <c r="Z168" s="100"/>
      <c r="AA168" s="100"/>
      <c r="AB168" s="601"/>
      <c r="AC168" s="601"/>
      <c r="AD168" s="101"/>
      <c r="AE168" s="101"/>
      <c r="AF168" s="100">
        <f t="shared" si="59"/>
        <v>0</v>
      </c>
      <c r="AG168" s="140" t="e">
        <f t="shared" si="60"/>
        <v>#DIV/0!</v>
      </c>
      <c r="AH168" s="605"/>
    </row>
    <row r="169" spans="1:36" ht="19.149999999999999" customHeight="1">
      <c r="A169" s="604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1"/>
        <v>0</v>
      </c>
      <c r="I169" s="101"/>
      <c r="J169" s="138"/>
      <c r="K169" s="104"/>
      <c r="L169" s="137"/>
      <c r="M169" s="138"/>
      <c r="N169" s="104"/>
      <c r="O169" s="137"/>
      <c r="P169" s="100"/>
      <c r="Q169" s="139"/>
      <c r="R169" s="140"/>
      <c r="S169" s="605"/>
      <c r="T169" s="142"/>
      <c r="U169" s="142"/>
      <c r="V169" s="101" t="s">
        <v>49</v>
      </c>
      <c r="W169" s="143">
        <f>(U169-T169)*24*60</f>
        <v>0</v>
      </c>
      <c r="X169" s="151"/>
      <c r="Y169" s="151"/>
      <c r="Z169" s="100"/>
      <c r="AA169" s="100"/>
      <c r="AB169" s="601"/>
      <c r="AC169" s="601"/>
      <c r="AD169" s="101"/>
      <c r="AE169" s="101"/>
      <c r="AF169" s="100">
        <f t="shared" si="59"/>
        <v>0</v>
      </c>
      <c r="AG169" s="140" t="e">
        <f t="shared" si="60"/>
        <v>#DIV/0!</v>
      </c>
      <c r="AH169" s="605"/>
    </row>
    <row r="170" spans="1:36" ht="19.149999999999999" customHeight="1">
      <c r="A170" s="604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1"/>
        <v>0</v>
      </c>
      <c r="I170" s="101"/>
      <c r="J170" s="138"/>
      <c r="K170" s="104"/>
      <c r="L170" s="137"/>
      <c r="M170" s="138"/>
      <c r="N170" s="104"/>
      <c r="O170" s="137"/>
      <c r="P170" s="100"/>
      <c r="Q170" s="139"/>
      <c r="R170" s="140"/>
      <c r="S170" s="605"/>
      <c r="T170" s="142"/>
      <c r="U170" s="142"/>
      <c r="V170" s="101"/>
      <c r="W170" s="143">
        <f>(U170-T170)*24*60</f>
        <v>0</v>
      </c>
      <c r="X170" s="151"/>
      <c r="Y170" s="151"/>
      <c r="Z170" s="100"/>
      <c r="AA170" s="100"/>
      <c r="AB170" s="601"/>
      <c r="AC170" s="601"/>
      <c r="AD170" s="101"/>
      <c r="AE170" s="101"/>
      <c r="AF170" s="100">
        <f t="shared" si="59"/>
        <v>0</v>
      </c>
      <c r="AG170" s="140" t="e">
        <f t="shared" si="60"/>
        <v>#DIV/0!</v>
      </c>
      <c r="AH170" s="605"/>
    </row>
    <row r="171" spans="1:36" ht="19.149999999999999" customHeight="1">
      <c r="A171" s="604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6"/>
        <v>0</v>
      </c>
      <c r="I171" s="101"/>
      <c r="J171" s="138"/>
      <c r="K171" s="104"/>
      <c r="L171" s="137"/>
      <c r="M171" s="138"/>
      <c r="N171" s="104"/>
      <c r="O171" s="137"/>
      <c r="P171" s="100"/>
      <c r="Q171" s="139"/>
      <c r="R171" s="140"/>
      <c r="S171" s="605"/>
      <c r="T171" s="142"/>
      <c r="U171" s="142"/>
      <c r="V171" s="101"/>
      <c r="W171" s="143">
        <f>(U171-T171)*24*60</f>
        <v>0</v>
      </c>
      <c r="X171" s="151"/>
      <c r="Y171" s="151"/>
      <c r="Z171" s="100"/>
      <c r="AA171" s="100"/>
      <c r="AB171" s="601"/>
      <c r="AC171" s="601"/>
      <c r="AD171" s="101"/>
      <c r="AE171" s="101"/>
      <c r="AF171" s="100"/>
      <c r="AG171" s="140"/>
      <c r="AH171" s="605"/>
    </row>
    <row r="172" spans="1:36" ht="19.149999999999999" customHeight="1">
      <c r="A172" s="604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6"/>
        <v>0</v>
      </c>
      <c r="I172" s="101"/>
      <c r="J172" s="138"/>
      <c r="K172" s="104"/>
      <c r="L172" s="137"/>
      <c r="M172" s="138"/>
      <c r="N172" s="104"/>
      <c r="O172" s="137"/>
      <c r="P172" s="100"/>
      <c r="Q172" s="139"/>
      <c r="R172" s="140"/>
      <c r="S172" s="605"/>
      <c r="T172" s="142"/>
      <c r="U172" s="142"/>
      <c r="V172" s="101"/>
      <c r="W172" s="143">
        <f>(U172-T172)*24*60</f>
        <v>0</v>
      </c>
      <c r="X172" s="151"/>
      <c r="Y172" s="151"/>
      <c r="Z172" s="100"/>
      <c r="AA172" s="100"/>
      <c r="AB172" s="601"/>
      <c r="AC172" s="601"/>
      <c r="AD172" s="101"/>
      <c r="AE172" s="101"/>
      <c r="AF172" s="100"/>
      <c r="AG172" s="140"/>
      <c r="AH172" s="605"/>
    </row>
    <row r="173" spans="1:36" ht="19.149999999999999" customHeight="1">
      <c r="A173" s="604"/>
      <c r="B173" s="182">
        <v>0</v>
      </c>
      <c r="C173" s="156" t="s">
        <v>282</v>
      </c>
      <c r="D173" s="602" t="s">
        <v>256</v>
      </c>
      <c r="E173" s="602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6">AVERAGE(M161:M172)</f>
        <v>11.6</v>
      </c>
      <c r="N173" s="158">
        <f t="shared" si="106"/>
        <v>2203.6035165509552</v>
      </c>
      <c r="O173" s="161">
        <f t="shared" si="106"/>
        <v>191.58604968334325</v>
      </c>
      <c r="P173" s="100">
        <f>M173-J173</f>
        <v>0</v>
      </c>
      <c r="Q173" s="139">
        <f>O173-L173</f>
        <v>-3.9384258411322719</v>
      </c>
      <c r="R173" s="162">
        <f>O173/L173</f>
        <v>0.97985712105572553</v>
      </c>
      <c r="S173" s="605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03"/>
      <c r="AC173" s="603"/>
      <c r="AD173" s="164">
        <f>SUM(AD161:AD172)</f>
        <v>0</v>
      </c>
      <c r="AE173" s="164">
        <f>SUM(AE161:AE172)</f>
        <v>1</v>
      </c>
      <c r="AF173" s="100">
        <f t="shared" si="59"/>
        <v>-46.396483449044808</v>
      </c>
      <c r="AG173" s="140">
        <f t="shared" si="60"/>
        <v>0.97937934068931343</v>
      </c>
      <c r="AH173" s="605"/>
    </row>
    <row r="174" spans="1:36" ht="19.149999999999999" customHeight="1">
      <c r="AJ174" s="361" t="s">
        <v>212</v>
      </c>
    </row>
    <row r="175" spans="1:36" ht="19.149999999999999" customHeight="1">
      <c r="AJ175" s="361" t="s">
        <v>214</v>
      </c>
    </row>
    <row r="176" spans="1:36" ht="19.149999999999999" customHeight="1">
      <c r="AJ176" s="361" t="s">
        <v>283</v>
      </c>
    </row>
    <row r="177" spans="23:36" ht="19.149999999999999" customHeight="1">
      <c r="W177" s="71"/>
      <c r="AJ177" s="361" t="s">
        <v>216</v>
      </c>
    </row>
    <row r="178" spans="23:36" ht="19.149999999999999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284</v>
      </c>
    </row>
    <row r="186" spans="23:36">
      <c r="W186" s="71"/>
      <c r="AJ186" s="361" t="s">
        <v>285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4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27639" priority="3391" operator="lessThan">
      <formula>0</formula>
    </cfRule>
  </conditionalFormatting>
  <conditionalFormatting sqref="AH57 AH70 S43 S123 S95 AH95 S5:S9 AH5:AH9 S134 AH17:AH18 S17:S18 S32 S82 AH82 S57:S70">
    <cfRule type="cellIs" dxfId="27638" priority="3390" operator="lessThan">
      <formula>0.8</formula>
    </cfRule>
  </conditionalFormatting>
  <conditionalFormatting sqref="R147 R173 R30 R121 R95 R43 R134 R82 R154:R159 R17:R18 R57:R70">
    <cfRule type="cellIs" dxfId="27637" priority="3388" operator="lessThan">
      <formula>0.8</formula>
    </cfRule>
    <cfRule type="cellIs" dxfId="27636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27635" priority="3386" operator="greaterThan">
      <formula>1</formula>
    </cfRule>
    <cfRule type="cellIs" dxfId="27634" priority="3387" operator="lessThan">
      <formula>0.8</formula>
    </cfRule>
  </conditionalFormatting>
  <conditionalFormatting sqref="P147 P30 P121 P95 P43 P134 P82 P154:P159 P17:P18 P57:P70">
    <cfRule type="cellIs" dxfId="27633" priority="3385" operator="greaterThan">
      <formula>0</formula>
    </cfRule>
  </conditionalFormatting>
  <conditionalFormatting sqref="S161">
    <cfRule type="cellIs" dxfId="27632" priority="3384" operator="lessThan">
      <formula>0.8</formula>
    </cfRule>
  </conditionalFormatting>
  <conditionalFormatting sqref="Q161:Q166">
    <cfRule type="cellIs" dxfId="27631" priority="3383" operator="lessThan">
      <formula>0</formula>
    </cfRule>
  </conditionalFormatting>
  <conditionalFormatting sqref="R161:R166">
    <cfRule type="cellIs" dxfId="27630" priority="3381" operator="lessThan">
      <formula>0.8</formula>
    </cfRule>
    <cfRule type="cellIs" dxfId="27629" priority="3382" operator="greaterThan">
      <formula>1</formula>
    </cfRule>
  </conditionalFormatting>
  <conditionalFormatting sqref="R161:R166">
    <cfRule type="cellIs" dxfId="27628" priority="3379" operator="greaterThan">
      <formula>1</formula>
    </cfRule>
    <cfRule type="cellIs" dxfId="27627" priority="3380" operator="lessThan">
      <formula>0.8</formula>
    </cfRule>
  </conditionalFormatting>
  <conditionalFormatting sqref="P161:P166">
    <cfRule type="cellIs" dxfId="27626" priority="3378" operator="greaterThan">
      <formula>0</formula>
    </cfRule>
  </conditionalFormatting>
  <conditionalFormatting sqref="Q169:Q172 AF161:AF172">
    <cfRule type="cellIs" dxfId="27625" priority="3377" operator="lessThan">
      <formula>0</formula>
    </cfRule>
  </conditionalFormatting>
  <conditionalFormatting sqref="R169:R172">
    <cfRule type="cellIs" dxfId="27624" priority="3375" operator="lessThan">
      <formula>0.8</formula>
    </cfRule>
    <cfRule type="cellIs" dxfId="27623" priority="3376" operator="greaterThan">
      <formula>1</formula>
    </cfRule>
  </conditionalFormatting>
  <conditionalFormatting sqref="R169:R172 AG161:AG172">
    <cfRule type="cellIs" dxfId="27622" priority="3373" operator="greaterThan">
      <formula>1</formula>
    </cfRule>
    <cfRule type="cellIs" dxfId="27621" priority="3374" operator="lessThan">
      <formula>0.8</formula>
    </cfRule>
  </conditionalFormatting>
  <conditionalFormatting sqref="P169:P172">
    <cfRule type="cellIs" dxfId="27620" priority="3372" operator="greaterThan">
      <formula>0</formula>
    </cfRule>
  </conditionalFormatting>
  <conditionalFormatting sqref="AF145">
    <cfRule type="cellIs" dxfId="27619" priority="3371" operator="lessThan">
      <formula>0</formula>
    </cfRule>
  </conditionalFormatting>
  <conditionalFormatting sqref="AG145">
    <cfRule type="cellIs" dxfId="27618" priority="3369" operator="greaterThan">
      <formula>1</formula>
    </cfRule>
    <cfRule type="cellIs" dxfId="27617" priority="3370" operator="lessThan">
      <formula>0.8</formula>
    </cfRule>
  </conditionalFormatting>
  <conditionalFormatting sqref="AF44:AF52">
    <cfRule type="cellIs" dxfId="27616" priority="3368" operator="lessThan">
      <formula>0</formula>
    </cfRule>
  </conditionalFormatting>
  <conditionalFormatting sqref="AG44:AG52">
    <cfRule type="cellIs" dxfId="27615" priority="3366" operator="greaterThan">
      <formula>1</formula>
    </cfRule>
    <cfRule type="cellIs" dxfId="27614" priority="3367" operator="lessThan">
      <formula>0.8</formula>
    </cfRule>
  </conditionalFormatting>
  <conditionalFormatting sqref="AF83:AF94">
    <cfRule type="cellIs" dxfId="27613" priority="3365" operator="lessThan">
      <formula>0</formula>
    </cfRule>
  </conditionalFormatting>
  <conditionalFormatting sqref="AH83">
    <cfRule type="cellIs" dxfId="27612" priority="3364" operator="lessThan">
      <formula>0.8</formula>
    </cfRule>
  </conditionalFormatting>
  <conditionalFormatting sqref="AG83:AG94">
    <cfRule type="cellIs" dxfId="27611" priority="3362" operator="greaterThan">
      <formula>1</formula>
    </cfRule>
    <cfRule type="cellIs" dxfId="27610" priority="3363" operator="lessThan">
      <formula>0.8</formula>
    </cfRule>
  </conditionalFormatting>
  <conditionalFormatting sqref="S83">
    <cfRule type="cellIs" dxfId="27609" priority="3361" operator="lessThan">
      <formula>0.8</formula>
    </cfRule>
  </conditionalFormatting>
  <conditionalFormatting sqref="AH84">
    <cfRule type="cellIs" dxfId="27608" priority="3360" operator="lessThan">
      <formula>0.8</formula>
    </cfRule>
  </conditionalFormatting>
  <conditionalFormatting sqref="S84">
    <cfRule type="cellIs" dxfId="27607" priority="3359" operator="lessThan">
      <formula>0.8</formula>
    </cfRule>
  </conditionalFormatting>
  <conditionalFormatting sqref="S90">
    <cfRule type="cellIs" dxfId="27606" priority="3358" operator="lessThan">
      <formula>0.8</formula>
    </cfRule>
  </conditionalFormatting>
  <conditionalFormatting sqref="AH90">
    <cfRule type="cellIs" dxfId="27605" priority="3357" operator="lessThan">
      <formula>0.8</formula>
    </cfRule>
  </conditionalFormatting>
  <conditionalFormatting sqref="AF122">
    <cfRule type="cellIs" dxfId="27604" priority="3356" operator="lessThan">
      <formula>0</formula>
    </cfRule>
  </conditionalFormatting>
  <conditionalFormatting sqref="S122">
    <cfRule type="cellIs" dxfId="27603" priority="3355" operator="lessThan">
      <formula>0.8</formula>
    </cfRule>
  </conditionalFormatting>
  <conditionalFormatting sqref="AG122">
    <cfRule type="cellIs" dxfId="27602" priority="3353" operator="greaterThan">
      <formula>1</formula>
    </cfRule>
    <cfRule type="cellIs" dxfId="27601" priority="3354" operator="lessThan">
      <formula>0.8</formula>
    </cfRule>
  </conditionalFormatting>
  <conditionalFormatting sqref="P162:P168">
    <cfRule type="cellIs" dxfId="27600" priority="3347" operator="greaterThan">
      <formula>0</formula>
    </cfRule>
  </conditionalFormatting>
  <conditionalFormatting sqref="R162:R168">
    <cfRule type="cellIs" dxfId="27599" priority="3350" operator="lessThan">
      <formula>0.8</formula>
    </cfRule>
    <cfRule type="cellIs" dxfId="27598" priority="3351" operator="greaterThan">
      <formula>1</formula>
    </cfRule>
  </conditionalFormatting>
  <conditionalFormatting sqref="R162:R168">
    <cfRule type="cellIs" dxfId="27597" priority="3348" operator="greaterThan">
      <formula>1</formula>
    </cfRule>
    <cfRule type="cellIs" dxfId="27596" priority="3349" operator="lessThan">
      <formula>0.8</formula>
    </cfRule>
  </conditionalFormatting>
  <conditionalFormatting sqref="Q162:Q168">
    <cfRule type="cellIs" dxfId="27595" priority="3352" operator="lessThan">
      <formula>0</formula>
    </cfRule>
  </conditionalFormatting>
  <conditionalFormatting sqref="P132:P133">
    <cfRule type="cellIs" dxfId="27594" priority="3340" operator="greaterThan">
      <formula>0</formula>
    </cfRule>
  </conditionalFormatting>
  <conditionalFormatting sqref="AF124 Q132:Q133 AF126:AF133">
    <cfRule type="cellIs" dxfId="27593" priority="3346" operator="lessThan">
      <formula>0</formula>
    </cfRule>
  </conditionalFormatting>
  <conditionalFormatting sqref="S124:S133">
    <cfRule type="cellIs" dxfId="27592" priority="3345" operator="lessThan">
      <formula>0.8</formula>
    </cfRule>
  </conditionalFormatting>
  <conditionalFormatting sqref="R132:R133">
    <cfRule type="cellIs" dxfId="27591" priority="3343" operator="lessThan">
      <formula>0.8</formula>
    </cfRule>
    <cfRule type="cellIs" dxfId="27590" priority="3344" operator="greaterThan">
      <formula>1</formula>
    </cfRule>
  </conditionalFormatting>
  <conditionalFormatting sqref="AG124 R132:R133 AG126:AG133">
    <cfRule type="cellIs" dxfId="27589" priority="3341" operator="greaterThan">
      <formula>1</formula>
    </cfRule>
    <cfRule type="cellIs" dxfId="27588" priority="3342" operator="lessThan">
      <formula>0.8</formula>
    </cfRule>
  </conditionalFormatting>
  <conditionalFormatting sqref="AF112 AF115">
    <cfRule type="cellIs" dxfId="27587" priority="3339" operator="lessThan">
      <formula>0</formula>
    </cfRule>
  </conditionalFormatting>
  <conditionalFormatting sqref="AG112 AG115">
    <cfRule type="cellIs" dxfId="27586" priority="3337" operator="greaterThan">
      <formula>1</formula>
    </cfRule>
    <cfRule type="cellIs" dxfId="27585" priority="3338" operator="lessThan">
      <formula>0.8</formula>
    </cfRule>
  </conditionalFormatting>
  <conditionalFormatting sqref="AF111 AF114 AF117">
    <cfRule type="cellIs" dxfId="27584" priority="3336" operator="lessThan">
      <formula>0</formula>
    </cfRule>
  </conditionalFormatting>
  <conditionalFormatting sqref="AH109">
    <cfRule type="cellIs" dxfId="27583" priority="3335" operator="lessThan">
      <formula>0.8</formula>
    </cfRule>
  </conditionalFormatting>
  <conditionalFormatting sqref="AG111 AG114 AG117">
    <cfRule type="cellIs" dxfId="27582" priority="3333" operator="greaterThan">
      <formula>1</formula>
    </cfRule>
    <cfRule type="cellIs" dxfId="27581" priority="3334" operator="lessThan">
      <formula>0.8</formula>
    </cfRule>
  </conditionalFormatting>
  <conditionalFormatting sqref="R160 AG160">
    <cfRule type="cellIs" dxfId="27580" priority="3328" operator="greaterThan">
      <formula>1</formula>
    </cfRule>
    <cfRule type="cellIs" dxfId="27579" priority="3329" operator="lessThan">
      <formula>0.8</formula>
    </cfRule>
  </conditionalFormatting>
  <conditionalFormatting sqref="R160">
    <cfRule type="cellIs" dxfId="27578" priority="3330" operator="lessThan">
      <formula>0.8</formula>
    </cfRule>
    <cfRule type="cellIs" dxfId="27577" priority="3331" operator="greaterThan">
      <formula>1</formula>
    </cfRule>
  </conditionalFormatting>
  <conditionalFormatting sqref="P160">
    <cfRule type="cellIs" dxfId="27576" priority="3327" operator="greaterThan">
      <formula>0</formula>
    </cfRule>
  </conditionalFormatting>
  <conditionalFormatting sqref="AH148">
    <cfRule type="cellIs" dxfId="27575" priority="3326" operator="lessThan">
      <formula>0.8</formula>
    </cfRule>
  </conditionalFormatting>
  <conditionalFormatting sqref="Q160 AF160">
    <cfRule type="cellIs" dxfId="27574" priority="3332" operator="lessThan">
      <formula>0</formula>
    </cfRule>
  </conditionalFormatting>
  <conditionalFormatting sqref="AF148:AF154">
    <cfRule type="cellIs" dxfId="27573" priority="3325" operator="lessThan">
      <formula>0</formula>
    </cfRule>
  </conditionalFormatting>
  <conditionalFormatting sqref="S148">
    <cfRule type="cellIs" dxfId="27572" priority="3324" operator="lessThan">
      <formula>0.8</formula>
    </cfRule>
  </conditionalFormatting>
  <conditionalFormatting sqref="AG148:AG154">
    <cfRule type="cellIs" dxfId="27571" priority="3322" operator="greaterThan">
      <formula>1</formula>
    </cfRule>
    <cfRule type="cellIs" dxfId="27570" priority="3323" operator="lessThan">
      <formula>0.8</formula>
    </cfRule>
  </conditionalFormatting>
  <conditionalFormatting sqref="S86">
    <cfRule type="cellIs" dxfId="27569" priority="3321" operator="lessThan">
      <formula>0.8</formula>
    </cfRule>
  </conditionalFormatting>
  <conditionalFormatting sqref="S88 AH88">
    <cfRule type="cellIs" dxfId="27568" priority="3316" operator="lessThan">
      <formula>0.8</formula>
    </cfRule>
  </conditionalFormatting>
  <conditionalFormatting sqref="AH86">
    <cfRule type="cellIs" dxfId="27567" priority="3320" operator="lessThan">
      <formula>0.8</formula>
    </cfRule>
  </conditionalFormatting>
  <conditionalFormatting sqref="S87">
    <cfRule type="cellIs" dxfId="27566" priority="3319" operator="lessThan">
      <formula>0.8</formula>
    </cfRule>
  </conditionalFormatting>
  <conditionalFormatting sqref="AH87">
    <cfRule type="cellIs" dxfId="27565" priority="3318" operator="lessThan">
      <formula>0.8</formula>
    </cfRule>
  </conditionalFormatting>
  <conditionalFormatting sqref="S89 AH89">
    <cfRule type="cellIs" dxfId="27564" priority="3317" operator="lessThan">
      <formula>0.8</formula>
    </cfRule>
  </conditionalFormatting>
  <conditionalFormatting sqref="AF31">
    <cfRule type="cellIs" dxfId="27563" priority="3315" operator="lessThan">
      <formula>0</formula>
    </cfRule>
  </conditionalFormatting>
  <conditionalFormatting sqref="AH31 S31">
    <cfRule type="cellIs" dxfId="27562" priority="3314" operator="lessThan">
      <formula>0.8</formula>
    </cfRule>
  </conditionalFormatting>
  <conditionalFormatting sqref="AG31">
    <cfRule type="cellIs" dxfId="27561" priority="3312" operator="greaterThan">
      <formula>1</formula>
    </cfRule>
    <cfRule type="cellIs" dxfId="27560" priority="3313" operator="lessThan">
      <formula>0.8</formula>
    </cfRule>
  </conditionalFormatting>
  <conditionalFormatting sqref="AF135">
    <cfRule type="cellIs" dxfId="27559" priority="3311" operator="lessThan">
      <formula>0</formula>
    </cfRule>
  </conditionalFormatting>
  <conditionalFormatting sqref="AH135 S135">
    <cfRule type="cellIs" dxfId="27558" priority="3310" operator="lessThan">
      <formula>0.8</formula>
    </cfRule>
  </conditionalFormatting>
  <conditionalFormatting sqref="AG135">
    <cfRule type="cellIs" dxfId="27557" priority="3308" operator="greaterThan">
      <formula>1</formula>
    </cfRule>
    <cfRule type="cellIs" dxfId="27556" priority="3309" operator="lessThan">
      <formula>0.8</formula>
    </cfRule>
  </conditionalFormatting>
  <conditionalFormatting sqref="AF110 AF113 AF116">
    <cfRule type="cellIs" dxfId="27555" priority="3307" operator="lessThan">
      <formula>0</formula>
    </cfRule>
  </conditionalFormatting>
  <conditionalFormatting sqref="AG110 AG113 AG116">
    <cfRule type="cellIs" dxfId="27554" priority="3305" operator="greaterThan">
      <formula>1</formula>
    </cfRule>
    <cfRule type="cellIs" dxfId="27553" priority="3306" operator="lessThan">
      <formula>0.8</formula>
    </cfRule>
  </conditionalFormatting>
  <conditionalFormatting sqref="AF108 Q108">
    <cfRule type="cellIs" dxfId="27552" priority="3304" operator="lessThan">
      <formula>0</formula>
    </cfRule>
  </conditionalFormatting>
  <conditionalFormatting sqref="R108">
    <cfRule type="cellIs" dxfId="27551" priority="3302" operator="lessThan">
      <formula>0.8</formula>
    </cfRule>
    <cfRule type="cellIs" dxfId="27550" priority="3303" operator="greaterThan">
      <formula>1</formula>
    </cfRule>
  </conditionalFormatting>
  <conditionalFormatting sqref="AG108 R108">
    <cfRule type="cellIs" dxfId="27549" priority="3300" operator="greaterThan">
      <formula>1</formula>
    </cfRule>
    <cfRule type="cellIs" dxfId="27548" priority="3301" operator="lessThan">
      <formula>0.8</formula>
    </cfRule>
  </conditionalFormatting>
  <conditionalFormatting sqref="P108">
    <cfRule type="cellIs" dxfId="27547" priority="3299" operator="greaterThan">
      <formula>0</formula>
    </cfRule>
  </conditionalFormatting>
  <conditionalFormatting sqref="AH97">
    <cfRule type="cellIs" dxfId="27546" priority="3294" operator="lessThan">
      <formula>0.8</formula>
    </cfRule>
  </conditionalFormatting>
  <conditionalFormatting sqref="AG96">
    <cfRule type="cellIs" dxfId="27545" priority="3296" operator="greaterThan">
      <formula>1</formula>
    </cfRule>
    <cfRule type="cellIs" dxfId="27544" priority="3297" operator="lessThan">
      <formula>0.8</formula>
    </cfRule>
  </conditionalFormatting>
  <conditionalFormatting sqref="AF96">
    <cfRule type="cellIs" dxfId="27543" priority="3298" operator="lessThan">
      <formula>0</formula>
    </cfRule>
  </conditionalFormatting>
  <conditionalFormatting sqref="AG97">
    <cfRule type="cellIs" dxfId="27542" priority="3292" operator="greaterThan">
      <formula>1</formula>
    </cfRule>
    <cfRule type="cellIs" dxfId="27541" priority="3293" operator="lessThan">
      <formula>0.8</formula>
    </cfRule>
  </conditionalFormatting>
  <conditionalFormatting sqref="AF97">
    <cfRule type="cellIs" dxfId="27540" priority="3295" operator="lessThan">
      <formula>0</formula>
    </cfRule>
  </conditionalFormatting>
  <conditionalFormatting sqref="AF71 AF73 AF75 AF77 AF79">
    <cfRule type="cellIs" dxfId="27539" priority="3289" operator="lessThan">
      <formula>0</formula>
    </cfRule>
  </conditionalFormatting>
  <conditionalFormatting sqref="S71 AH71">
    <cfRule type="cellIs" dxfId="27538" priority="3288" operator="lessThan">
      <formula>0.8</formula>
    </cfRule>
  </conditionalFormatting>
  <conditionalFormatting sqref="AG71 AG73 AG75 AG77 AG79">
    <cfRule type="cellIs" dxfId="27537" priority="3286" operator="greaterThan">
      <formula>1</formula>
    </cfRule>
    <cfRule type="cellIs" dxfId="27536" priority="3287" operator="lessThan">
      <formula>0.8</formula>
    </cfRule>
  </conditionalFormatting>
  <conditionalFormatting sqref="AF72 AF74 AF76 AF78 AF80">
    <cfRule type="cellIs" dxfId="27535" priority="3285" operator="lessThan">
      <formula>0</formula>
    </cfRule>
  </conditionalFormatting>
  <conditionalFormatting sqref="S72 AH72">
    <cfRule type="cellIs" dxfId="27534" priority="3284" operator="lessThan">
      <formula>0.8</formula>
    </cfRule>
  </conditionalFormatting>
  <conditionalFormatting sqref="S11">
    <cfRule type="cellIs" dxfId="27533" priority="3291" operator="lessThan">
      <formula>0.8</formula>
    </cfRule>
  </conditionalFormatting>
  <conditionalFormatting sqref="S10">
    <cfRule type="cellIs" dxfId="27532" priority="3290" operator="lessThan">
      <formula>0.8</formula>
    </cfRule>
  </conditionalFormatting>
  <conditionalFormatting sqref="AG72 AG74 AG76 AG78 AG80">
    <cfRule type="cellIs" dxfId="27531" priority="3282" operator="greaterThan">
      <formula>1</formula>
    </cfRule>
    <cfRule type="cellIs" dxfId="27530" priority="3283" operator="lessThan">
      <formula>0.8</formula>
    </cfRule>
  </conditionalFormatting>
  <conditionalFormatting sqref="AF13:AF16 Q15:Q16">
    <cfRule type="cellIs" dxfId="27529" priority="3281" operator="lessThan">
      <formula>0</formula>
    </cfRule>
  </conditionalFormatting>
  <conditionalFormatting sqref="R15:R16">
    <cfRule type="cellIs" dxfId="27528" priority="3279" operator="lessThan">
      <formula>0.8</formula>
    </cfRule>
    <cfRule type="cellIs" dxfId="27527" priority="3280" operator="greaterThan">
      <formula>1</formula>
    </cfRule>
  </conditionalFormatting>
  <conditionalFormatting sqref="AG12:AG16 R15:R16">
    <cfRule type="cellIs" dxfId="27526" priority="3277" operator="greaterThan">
      <formula>1</formula>
    </cfRule>
    <cfRule type="cellIs" dxfId="27525" priority="3278" operator="lessThan">
      <formula>0.8</formula>
    </cfRule>
  </conditionalFormatting>
  <conditionalFormatting sqref="P15:P16">
    <cfRule type="cellIs" dxfId="27524" priority="3276" operator="greaterThan">
      <formula>0</formula>
    </cfRule>
  </conditionalFormatting>
  <conditionalFormatting sqref="AF98 AF100 AF102 AF104">
    <cfRule type="cellIs" dxfId="27523" priority="3275" operator="lessThan">
      <formula>0</formula>
    </cfRule>
  </conditionalFormatting>
  <conditionalFormatting sqref="AH98">
    <cfRule type="cellIs" dxfId="27522" priority="3274" operator="lessThan">
      <formula>0.8</formula>
    </cfRule>
  </conditionalFormatting>
  <conditionalFormatting sqref="AG98 AG100 AG102 AG104">
    <cfRule type="cellIs" dxfId="27521" priority="3272" operator="greaterThan">
      <formula>1</formula>
    </cfRule>
    <cfRule type="cellIs" dxfId="27520" priority="3273" operator="lessThan">
      <formula>0.8</formula>
    </cfRule>
  </conditionalFormatting>
  <conditionalFormatting sqref="AF20 AF22 AF24 AF26 AF28">
    <cfRule type="cellIs" dxfId="27519" priority="3271" operator="lessThan">
      <formula>0</formula>
    </cfRule>
  </conditionalFormatting>
  <conditionalFormatting sqref="AG20 AG22 AG24 AG26 AG28">
    <cfRule type="cellIs" dxfId="27518" priority="3269" operator="greaterThan">
      <formula>1</formula>
    </cfRule>
    <cfRule type="cellIs" dxfId="27517" priority="3270" operator="lessThan">
      <formula>0.8</formula>
    </cfRule>
  </conditionalFormatting>
  <conditionalFormatting sqref="AF33">
    <cfRule type="cellIs" dxfId="27516" priority="3268" operator="lessThan">
      <formula>0</formula>
    </cfRule>
  </conditionalFormatting>
  <conditionalFormatting sqref="AG33">
    <cfRule type="cellIs" dxfId="27515" priority="3266" operator="greaterThan">
      <formula>1</formula>
    </cfRule>
    <cfRule type="cellIs" dxfId="27514" priority="3267" operator="lessThan">
      <formula>0.8</formula>
    </cfRule>
  </conditionalFormatting>
  <conditionalFormatting sqref="P41:P42">
    <cfRule type="cellIs" dxfId="27513" priority="3260" operator="greaterThan">
      <formula>0</formula>
    </cfRule>
  </conditionalFormatting>
  <conditionalFormatting sqref="Q41:Q42 AF34:AF42">
    <cfRule type="cellIs" dxfId="27512" priority="3265" operator="lessThan">
      <formula>0</formula>
    </cfRule>
  </conditionalFormatting>
  <conditionalFormatting sqref="R41:R42">
    <cfRule type="cellIs" dxfId="27511" priority="3263" operator="lessThan">
      <formula>0.8</formula>
    </cfRule>
    <cfRule type="cellIs" dxfId="27510" priority="3264" operator="greaterThan">
      <formula>1</formula>
    </cfRule>
  </conditionalFormatting>
  <conditionalFormatting sqref="R41:R42 AG34:AG42">
    <cfRule type="cellIs" dxfId="27509" priority="3261" operator="greaterThan">
      <formula>1</formula>
    </cfRule>
    <cfRule type="cellIs" dxfId="27508" priority="3262" operator="lessThan">
      <formula>0.8</formula>
    </cfRule>
  </conditionalFormatting>
  <conditionalFormatting sqref="AF137:AF144">
    <cfRule type="cellIs" dxfId="27507" priority="3259" operator="lessThan">
      <formula>0</formula>
    </cfRule>
  </conditionalFormatting>
  <conditionalFormatting sqref="AH137 S137">
    <cfRule type="cellIs" dxfId="27506" priority="3258" operator="lessThan">
      <formula>0.8</formula>
    </cfRule>
  </conditionalFormatting>
  <conditionalFormatting sqref="AG137:AG144">
    <cfRule type="cellIs" dxfId="27505" priority="3256" operator="greaterThan">
      <formula>1</formula>
    </cfRule>
    <cfRule type="cellIs" dxfId="27504" priority="3257" operator="lessThan">
      <formula>0.8</formula>
    </cfRule>
  </conditionalFormatting>
  <conditionalFormatting sqref="AF53:AF55">
    <cfRule type="cellIs" dxfId="27503" priority="3255" operator="lessThan">
      <formula>0</formula>
    </cfRule>
  </conditionalFormatting>
  <conditionalFormatting sqref="AG53:AG55">
    <cfRule type="cellIs" dxfId="27502" priority="3253" operator="greaterThan">
      <formula>1</formula>
    </cfRule>
    <cfRule type="cellIs" dxfId="27501" priority="3254" operator="lessThan">
      <formula>0.8</formula>
    </cfRule>
  </conditionalFormatting>
  <conditionalFormatting sqref="AF56 Q56">
    <cfRule type="cellIs" dxfId="27500" priority="3252" operator="lessThan">
      <formula>0</formula>
    </cfRule>
  </conditionalFormatting>
  <conditionalFormatting sqref="R56">
    <cfRule type="cellIs" dxfId="27499" priority="3250" operator="lessThan">
      <formula>0.8</formula>
    </cfRule>
    <cfRule type="cellIs" dxfId="27498" priority="3251" operator="greaterThan">
      <formula>1</formula>
    </cfRule>
  </conditionalFormatting>
  <conditionalFormatting sqref="AG56 R56">
    <cfRule type="cellIs" dxfId="27497" priority="3248" operator="greaterThan">
      <formula>1</formula>
    </cfRule>
    <cfRule type="cellIs" dxfId="27496" priority="3249" operator="lessThan">
      <formula>0.8</formula>
    </cfRule>
  </conditionalFormatting>
  <conditionalFormatting sqref="P56">
    <cfRule type="cellIs" dxfId="27495" priority="3247" operator="greaterThan">
      <formula>0</formula>
    </cfRule>
  </conditionalFormatting>
  <conditionalFormatting sqref="P52:P55">
    <cfRule type="cellIs" dxfId="27494" priority="3241" operator="greaterThan">
      <formula>0</formula>
    </cfRule>
  </conditionalFormatting>
  <conditionalFormatting sqref="Q52:Q55">
    <cfRule type="cellIs" dxfId="27493" priority="3246" operator="lessThan">
      <formula>0</formula>
    </cfRule>
  </conditionalFormatting>
  <conditionalFormatting sqref="R52:R55">
    <cfRule type="cellIs" dxfId="27492" priority="3244" operator="lessThan">
      <formula>0.8</formula>
    </cfRule>
    <cfRule type="cellIs" dxfId="27491" priority="3245" operator="greaterThan">
      <formula>1</formula>
    </cfRule>
  </conditionalFormatting>
  <conditionalFormatting sqref="R52:R55">
    <cfRule type="cellIs" dxfId="27490" priority="3242" operator="greaterThan">
      <formula>1</formula>
    </cfRule>
    <cfRule type="cellIs" dxfId="27489" priority="3243" operator="lessThan">
      <formula>0.8</formula>
    </cfRule>
  </conditionalFormatting>
  <conditionalFormatting sqref="P80:P81">
    <cfRule type="cellIs" dxfId="27488" priority="3235" operator="greaterThan">
      <formula>0</formula>
    </cfRule>
  </conditionalFormatting>
  <conditionalFormatting sqref="AF81 Q80:Q81">
    <cfRule type="cellIs" dxfId="27487" priority="3240" operator="lessThan">
      <formula>0</formula>
    </cfRule>
  </conditionalFormatting>
  <conditionalFormatting sqref="R80:R81">
    <cfRule type="cellIs" dxfId="27486" priority="3238" operator="lessThan">
      <formula>0.8</formula>
    </cfRule>
    <cfRule type="cellIs" dxfId="27485" priority="3239" operator="greaterThan">
      <formula>1</formula>
    </cfRule>
  </conditionalFormatting>
  <conditionalFormatting sqref="AG81 R80:R81">
    <cfRule type="cellIs" dxfId="27484" priority="3236" operator="greaterThan">
      <formula>1</formula>
    </cfRule>
    <cfRule type="cellIs" dxfId="27483" priority="3237" operator="lessThan">
      <formula>0.8</formula>
    </cfRule>
  </conditionalFormatting>
  <conditionalFormatting sqref="AH85">
    <cfRule type="cellIs" dxfId="27482" priority="3234" operator="lessThan">
      <formula>0.8</formula>
    </cfRule>
  </conditionalFormatting>
  <conditionalFormatting sqref="S85">
    <cfRule type="cellIs" dxfId="27481" priority="3233" operator="lessThan">
      <formula>0.8</formula>
    </cfRule>
  </conditionalFormatting>
  <conditionalFormatting sqref="AF99 AF101 AF103">
    <cfRule type="cellIs" dxfId="27480" priority="3232" operator="lessThan">
      <formula>0</formula>
    </cfRule>
  </conditionalFormatting>
  <conditionalFormatting sqref="AG99 AG101 AG103">
    <cfRule type="cellIs" dxfId="27479" priority="3230" operator="greaterThan">
      <formula>1</formula>
    </cfRule>
    <cfRule type="cellIs" dxfId="27478" priority="3231" operator="lessThan">
      <formula>0.8</formula>
    </cfRule>
  </conditionalFormatting>
  <conditionalFormatting sqref="AF105:AF107">
    <cfRule type="cellIs" dxfId="27477" priority="3229" operator="lessThan">
      <formula>0</formula>
    </cfRule>
  </conditionalFormatting>
  <conditionalFormatting sqref="AH100:AH107">
    <cfRule type="cellIs" dxfId="27476" priority="3228" operator="lessThan">
      <formula>0.8</formula>
    </cfRule>
  </conditionalFormatting>
  <conditionalFormatting sqref="AG105:AG107">
    <cfRule type="cellIs" dxfId="27475" priority="3226" operator="greaterThan">
      <formula>1</formula>
    </cfRule>
    <cfRule type="cellIs" dxfId="27474" priority="3227" operator="lessThan">
      <formula>0.8</formula>
    </cfRule>
  </conditionalFormatting>
  <conditionalFormatting sqref="P106:P107">
    <cfRule type="cellIs" dxfId="27473" priority="3220" operator="greaterThan">
      <formula>0</formula>
    </cfRule>
  </conditionalFormatting>
  <conditionalFormatting sqref="Q106:Q107">
    <cfRule type="cellIs" dxfId="27472" priority="3225" operator="lessThan">
      <formula>0</formula>
    </cfRule>
  </conditionalFormatting>
  <conditionalFormatting sqref="R106:R107">
    <cfRule type="cellIs" dxfId="27471" priority="3223" operator="lessThan">
      <formula>0.8</formula>
    </cfRule>
    <cfRule type="cellIs" dxfId="27470" priority="3224" operator="greaterThan">
      <formula>1</formula>
    </cfRule>
  </conditionalFormatting>
  <conditionalFormatting sqref="R106:R107">
    <cfRule type="cellIs" dxfId="27469" priority="3221" operator="greaterThan">
      <formula>1</formula>
    </cfRule>
    <cfRule type="cellIs" dxfId="27468" priority="3222" operator="lessThan">
      <formula>0.8</formula>
    </cfRule>
  </conditionalFormatting>
  <conditionalFormatting sqref="AF109">
    <cfRule type="cellIs" dxfId="27467" priority="3219" operator="lessThan">
      <formula>0</formula>
    </cfRule>
  </conditionalFormatting>
  <conditionalFormatting sqref="S109">
    <cfRule type="cellIs" dxfId="27466" priority="3218" operator="lessThan">
      <formula>0.8</formula>
    </cfRule>
  </conditionalFormatting>
  <conditionalFormatting sqref="AG109">
    <cfRule type="cellIs" dxfId="27465" priority="3216" operator="greaterThan">
      <formula>1</formula>
    </cfRule>
    <cfRule type="cellIs" dxfId="27464" priority="3217" operator="lessThan">
      <formula>0.8</formula>
    </cfRule>
  </conditionalFormatting>
  <conditionalFormatting sqref="S150">
    <cfRule type="cellIs" dxfId="27463" priority="3215" operator="lessThan">
      <formula>0.8</formula>
    </cfRule>
  </conditionalFormatting>
  <conditionalFormatting sqref="AH150">
    <cfRule type="cellIs" dxfId="27462" priority="3214" operator="lessThan">
      <formula>0.8</formula>
    </cfRule>
  </conditionalFormatting>
  <conditionalFormatting sqref="S149">
    <cfRule type="cellIs" dxfId="27461" priority="3213" operator="lessThan">
      <formula>0.8</formula>
    </cfRule>
  </conditionalFormatting>
  <conditionalFormatting sqref="Q26:Q29">
    <cfRule type="cellIs" dxfId="27460" priority="3212" operator="lessThan">
      <formula>0</formula>
    </cfRule>
  </conditionalFormatting>
  <conditionalFormatting sqref="S21:S29 AH21:AH29">
    <cfRule type="cellIs" dxfId="27459" priority="3211" operator="lessThan">
      <formula>0.8</formula>
    </cfRule>
  </conditionalFormatting>
  <conditionalFormatting sqref="R26:R29">
    <cfRule type="cellIs" dxfId="27458" priority="3209" operator="lessThan">
      <formula>0.8</formula>
    </cfRule>
    <cfRule type="cellIs" dxfId="27457" priority="3210" operator="greaterThan">
      <formula>1</formula>
    </cfRule>
  </conditionalFormatting>
  <conditionalFormatting sqref="R26:R29">
    <cfRule type="cellIs" dxfId="27456" priority="3207" operator="greaterThan">
      <formula>1</formula>
    </cfRule>
    <cfRule type="cellIs" dxfId="27455" priority="3208" operator="lessThan">
      <formula>0.8</formula>
    </cfRule>
  </conditionalFormatting>
  <conditionalFormatting sqref="P26:P29">
    <cfRule type="cellIs" dxfId="27454" priority="3206" operator="greaterThan">
      <formula>0</formula>
    </cfRule>
  </conditionalFormatting>
  <conditionalFormatting sqref="AH91 S91">
    <cfRule type="cellIs" dxfId="27453" priority="3205" operator="lessThan">
      <formula>0.8</formula>
    </cfRule>
  </conditionalFormatting>
  <conditionalFormatting sqref="P92:P94">
    <cfRule type="cellIs" dxfId="27452" priority="3199" operator="greaterThan">
      <formula>0</formula>
    </cfRule>
  </conditionalFormatting>
  <conditionalFormatting sqref="Q92:Q94">
    <cfRule type="cellIs" dxfId="27451" priority="3204" operator="lessThan">
      <formula>0</formula>
    </cfRule>
  </conditionalFormatting>
  <conditionalFormatting sqref="R92:R94">
    <cfRule type="cellIs" dxfId="27450" priority="3202" operator="lessThan">
      <formula>0.8</formula>
    </cfRule>
    <cfRule type="cellIs" dxfId="27449" priority="3203" operator="greaterThan">
      <formula>1</formula>
    </cfRule>
  </conditionalFormatting>
  <conditionalFormatting sqref="R92:R94">
    <cfRule type="cellIs" dxfId="27448" priority="3200" operator="greaterThan">
      <formula>1</formula>
    </cfRule>
    <cfRule type="cellIs" dxfId="27447" priority="3201" operator="lessThan">
      <formula>0.8</formula>
    </cfRule>
  </conditionalFormatting>
  <conditionalFormatting sqref="AF146 Q145:Q146">
    <cfRule type="cellIs" dxfId="27446" priority="3198" operator="lessThan">
      <formula>0</formula>
    </cfRule>
  </conditionalFormatting>
  <conditionalFormatting sqref="AH139:AH146 S139:S146">
    <cfRule type="cellIs" dxfId="27445" priority="3197" operator="lessThan">
      <formula>0.8</formula>
    </cfRule>
  </conditionalFormatting>
  <conditionalFormatting sqref="R145:R146">
    <cfRule type="cellIs" dxfId="27444" priority="3195" operator="lessThan">
      <formula>0.8</formula>
    </cfRule>
    <cfRule type="cellIs" dxfId="27443" priority="3196" operator="greaterThan">
      <formula>1</formula>
    </cfRule>
  </conditionalFormatting>
  <conditionalFormatting sqref="AG146 R145:R146">
    <cfRule type="cellIs" dxfId="27442" priority="3193" operator="greaterThan">
      <formula>1</formula>
    </cfRule>
    <cfRule type="cellIs" dxfId="27441" priority="3194" operator="lessThan">
      <formula>0.8</formula>
    </cfRule>
  </conditionalFormatting>
  <conditionalFormatting sqref="P145:P146">
    <cfRule type="cellIs" dxfId="27440" priority="3192" operator="greaterThan">
      <formula>0</formula>
    </cfRule>
  </conditionalFormatting>
  <conditionalFormatting sqref="Q119:Q120">
    <cfRule type="cellIs" dxfId="27439" priority="3191" operator="lessThan">
      <formula>0</formula>
    </cfRule>
  </conditionalFormatting>
  <conditionalFormatting sqref="R119:R120">
    <cfRule type="cellIs" dxfId="27438" priority="3189" operator="lessThan">
      <formula>0.8</formula>
    </cfRule>
    <cfRule type="cellIs" dxfId="27437" priority="3190" operator="greaterThan">
      <formula>1</formula>
    </cfRule>
  </conditionalFormatting>
  <conditionalFormatting sqref="R119:R120">
    <cfRule type="cellIs" dxfId="27436" priority="3187" operator="greaterThan">
      <formula>1</formula>
    </cfRule>
    <cfRule type="cellIs" dxfId="27435" priority="3188" operator="lessThan">
      <formula>0.8</formula>
    </cfRule>
  </conditionalFormatting>
  <conditionalFormatting sqref="P119:P120">
    <cfRule type="cellIs" dxfId="27434" priority="3186" operator="greaterThan">
      <formula>0</formula>
    </cfRule>
  </conditionalFormatting>
  <conditionalFormatting sqref="AF118:AF120">
    <cfRule type="cellIs" dxfId="27433" priority="3185" operator="lessThan">
      <formula>0</formula>
    </cfRule>
  </conditionalFormatting>
  <conditionalFormatting sqref="AG118:AG120">
    <cfRule type="cellIs" dxfId="27432" priority="3183" operator="greaterThan">
      <formula>1</formula>
    </cfRule>
    <cfRule type="cellIs" dxfId="27431" priority="3184" operator="lessThan">
      <formula>0.8</formula>
    </cfRule>
  </conditionalFormatting>
  <conditionalFormatting sqref="S44:S56">
    <cfRule type="cellIs" dxfId="27430" priority="3182" operator="lessThan">
      <formula>0.8</formula>
    </cfRule>
  </conditionalFormatting>
  <conditionalFormatting sqref="S108">
    <cfRule type="cellIs" dxfId="27429" priority="3181" operator="lessThan">
      <formula>0.8</formula>
    </cfRule>
  </conditionalFormatting>
  <conditionalFormatting sqref="S96">
    <cfRule type="cellIs" dxfId="27428" priority="3180" operator="lessThan">
      <formula>0.8</formula>
    </cfRule>
  </conditionalFormatting>
  <conditionalFormatting sqref="S97">
    <cfRule type="cellIs" dxfId="27427" priority="3179" operator="lessThan">
      <formula>0.8</formula>
    </cfRule>
  </conditionalFormatting>
  <conditionalFormatting sqref="S103">
    <cfRule type="cellIs" dxfId="27426" priority="3178" operator="lessThan">
      <formula>0.8</formula>
    </cfRule>
  </conditionalFormatting>
  <conditionalFormatting sqref="S99">
    <cfRule type="cellIs" dxfId="27425" priority="3177" operator="lessThan">
      <formula>0.8</formula>
    </cfRule>
  </conditionalFormatting>
  <conditionalFormatting sqref="S101">
    <cfRule type="cellIs" dxfId="27424" priority="3174" operator="lessThan">
      <formula>0.8</formula>
    </cfRule>
  </conditionalFormatting>
  <conditionalFormatting sqref="S100">
    <cfRule type="cellIs" dxfId="27423" priority="3176" operator="lessThan">
      <formula>0.8</formula>
    </cfRule>
  </conditionalFormatting>
  <conditionalFormatting sqref="S102">
    <cfRule type="cellIs" dxfId="27422" priority="3175" operator="lessThan">
      <formula>0.8</formula>
    </cfRule>
  </conditionalFormatting>
  <conditionalFormatting sqref="S98">
    <cfRule type="cellIs" dxfId="27421" priority="3173" operator="lessThan">
      <formula>0.8</formula>
    </cfRule>
  </conditionalFormatting>
  <conditionalFormatting sqref="S104">
    <cfRule type="cellIs" dxfId="27420" priority="3172" operator="lessThan">
      <formula>0.8</formula>
    </cfRule>
  </conditionalFormatting>
  <conditionalFormatting sqref="P118">
    <cfRule type="cellIs" dxfId="27419" priority="3166" operator="greaterThan">
      <formula>0</formula>
    </cfRule>
  </conditionalFormatting>
  <conditionalFormatting sqref="Q118">
    <cfRule type="cellIs" dxfId="27418" priority="3171" operator="lessThan">
      <formula>0</formula>
    </cfRule>
  </conditionalFormatting>
  <conditionalFormatting sqref="R118">
    <cfRule type="cellIs" dxfId="27417" priority="3169" operator="lessThan">
      <formula>0.8</formula>
    </cfRule>
    <cfRule type="cellIs" dxfId="27416" priority="3170" operator="greaterThan">
      <formula>1</formula>
    </cfRule>
  </conditionalFormatting>
  <conditionalFormatting sqref="R118">
    <cfRule type="cellIs" dxfId="27415" priority="3167" operator="greaterThan">
      <formula>1</formula>
    </cfRule>
    <cfRule type="cellIs" dxfId="27414" priority="3168" operator="lessThan">
      <formula>0.8</formula>
    </cfRule>
  </conditionalFormatting>
  <conditionalFormatting sqref="Q162:Q166">
    <cfRule type="cellIs" dxfId="27413" priority="3165" operator="lessThan">
      <formula>0</formula>
    </cfRule>
  </conditionalFormatting>
  <conditionalFormatting sqref="R162:R166">
    <cfRule type="cellIs" dxfId="27412" priority="3163" operator="lessThan">
      <formula>0.8</formula>
    </cfRule>
    <cfRule type="cellIs" dxfId="27411" priority="3164" operator="greaterThan">
      <formula>1</formula>
    </cfRule>
  </conditionalFormatting>
  <conditionalFormatting sqref="R162:R166">
    <cfRule type="cellIs" dxfId="27410" priority="3161" operator="greaterThan">
      <formula>1</formula>
    </cfRule>
    <cfRule type="cellIs" dxfId="27409" priority="3162" operator="lessThan">
      <formula>0.8</formula>
    </cfRule>
  </conditionalFormatting>
  <conditionalFormatting sqref="P162:P166">
    <cfRule type="cellIs" dxfId="27408" priority="3160" operator="greaterThan">
      <formula>0</formula>
    </cfRule>
  </conditionalFormatting>
  <conditionalFormatting sqref="P167:P168">
    <cfRule type="cellIs" dxfId="27407" priority="3154" operator="greaterThan">
      <formula>0</formula>
    </cfRule>
  </conditionalFormatting>
  <conditionalFormatting sqref="R167:R168">
    <cfRule type="cellIs" dxfId="27406" priority="3157" operator="lessThan">
      <formula>0.8</formula>
    </cfRule>
    <cfRule type="cellIs" dxfId="27405" priority="3158" operator="greaterThan">
      <formula>1</formula>
    </cfRule>
  </conditionalFormatting>
  <conditionalFormatting sqref="R167:R168">
    <cfRule type="cellIs" dxfId="27404" priority="3155" operator="greaterThan">
      <formula>1</formula>
    </cfRule>
    <cfRule type="cellIs" dxfId="27403" priority="3156" operator="lessThan">
      <formula>0.8</formula>
    </cfRule>
  </conditionalFormatting>
  <conditionalFormatting sqref="Q167:Q168">
    <cfRule type="cellIs" dxfId="27402" priority="3159" operator="lessThan">
      <formula>0</formula>
    </cfRule>
  </conditionalFormatting>
  <conditionalFormatting sqref="Q117">
    <cfRule type="cellIs" dxfId="27401" priority="3153" operator="lessThan">
      <formula>0</formula>
    </cfRule>
  </conditionalFormatting>
  <conditionalFormatting sqref="R117">
    <cfRule type="cellIs" dxfId="27400" priority="3151" operator="lessThan">
      <formula>0.8</formula>
    </cfRule>
    <cfRule type="cellIs" dxfId="27399" priority="3152" operator="greaterThan">
      <formula>1</formula>
    </cfRule>
  </conditionalFormatting>
  <conditionalFormatting sqref="R117">
    <cfRule type="cellIs" dxfId="27398" priority="3149" operator="greaterThan">
      <formula>1</formula>
    </cfRule>
    <cfRule type="cellIs" dxfId="27397" priority="3150" operator="lessThan">
      <formula>0.8</formula>
    </cfRule>
  </conditionalFormatting>
  <conditionalFormatting sqref="P117">
    <cfRule type="cellIs" dxfId="27396" priority="3148" operator="greaterThan">
      <formula>0</formula>
    </cfRule>
  </conditionalFormatting>
  <conditionalFormatting sqref="Q117">
    <cfRule type="cellIs" dxfId="27395" priority="3147" operator="lessThan">
      <formula>0</formula>
    </cfRule>
  </conditionalFormatting>
  <conditionalFormatting sqref="R117">
    <cfRule type="cellIs" dxfId="27394" priority="3145" operator="lessThan">
      <formula>0.8</formula>
    </cfRule>
    <cfRule type="cellIs" dxfId="27393" priority="3146" operator="greaterThan">
      <formula>1</formula>
    </cfRule>
  </conditionalFormatting>
  <conditionalFormatting sqref="R117">
    <cfRule type="cellIs" dxfId="27392" priority="3143" operator="greaterThan">
      <formula>1</formula>
    </cfRule>
    <cfRule type="cellIs" dxfId="27391" priority="3144" operator="lessThan">
      <formula>0.8</formula>
    </cfRule>
  </conditionalFormatting>
  <conditionalFormatting sqref="P117">
    <cfRule type="cellIs" dxfId="27390" priority="3142" operator="greaterThan">
      <formula>0</formula>
    </cfRule>
  </conditionalFormatting>
  <conditionalFormatting sqref="P117">
    <cfRule type="cellIs" dxfId="27389" priority="3136" operator="greaterThan">
      <formula>0</formula>
    </cfRule>
  </conditionalFormatting>
  <conditionalFormatting sqref="Q117">
    <cfRule type="cellIs" dxfId="27388" priority="3141" operator="lessThan">
      <formula>0</formula>
    </cfRule>
  </conditionalFormatting>
  <conditionalFormatting sqref="R117">
    <cfRule type="cellIs" dxfId="27387" priority="3139" operator="lessThan">
      <formula>0.8</formula>
    </cfRule>
    <cfRule type="cellIs" dxfId="27386" priority="3140" operator="greaterThan">
      <formula>1</formula>
    </cfRule>
  </conditionalFormatting>
  <conditionalFormatting sqref="R117">
    <cfRule type="cellIs" dxfId="27385" priority="3137" operator="greaterThan">
      <formula>1</formula>
    </cfRule>
    <cfRule type="cellIs" dxfId="27384" priority="3138" operator="lessThan">
      <formula>0.8</formula>
    </cfRule>
  </conditionalFormatting>
  <conditionalFormatting sqref="P117">
    <cfRule type="cellIs" dxfId="27383" priority="3130" operator="greaterThan">
      <formula>0</formula>
    </cfRule>
  </conditionalFormatting>
  <conditionalFormatting sqref="Q117">
    <cfRule type="cellIs" dxfId="27382" priority="3135" operator="lessThan">
      <formula>0</formula>
    </cfRule>
  </conditionalFormatting>
  <conditionalFormatting sqref="R117">
    <cfRule type="cellIs" dxfId="27381" priority="3133" operator="lessThan">
      <formula>0.8</formula>
    </cfRule>
    <cfRule type="cellIs" dxfId="27380" priority="3134" operator="greaterThan">
      <formula>1</formula>
    </cfRule>
  </conditionalFormatting>
  <conditionalFormatting sqref="R117">
    <cfRule type="cellIs" dxfId="27379" priority="3131" operator="greaterThan">
      <formula>1</formula>
    </cfRule>
    <cfRule type="cellIs" dxfId="27378" priority="3132" operator="lessThan">
      <formula>0.8</formula>
    </cfRule>
  </conditionalFormatting>
  <conditionalFormatting sqref="P117">
    <cfRule type="cellIs" dxfId="27377" priority="3124" operator="greaterThan">
      <formula>0</formula>
    </cfRule>
  </conditionalFormatting>
  <conditionalFormatting sqref="Q117">
    <cfRule type="cellIs" dxfId="27376" priority="3129" operator="lessThan">
      <formula>0</formula>
    </cfRule>
  </conditionalFormatting>
  <conditionalFormatting sqref="R117">
    <cfRule type="cellIs" dxfId="27375" priority="3127" operator="lessThan">
      <formula>0.8</formula>
    </cfRule>
    <cfRule type="cellIs" dxfId="27374" priority="3128" operator="greaterThan">
      <formula>1</formula>
    </cfRule>
  </conditionalFormatting>
  <conditionalFormatting sqref="R117">
    <cfRule type="cellIs" dxfId="27373" priority="3125" operator="greaterThan">
      <formula>1</formula>
    </cfRule>
    <cfRule type="cellIs" dxfId="27372" priority="3126" operator="lessThan">
      <formula>0.8</formula>
    </cfRule>
  </conditionalFormatting>
  <conditionalFormatting sqref="Q117">
    <cfRule type="cellIs" dxfId="27371" priority="3123" operator="lessThan">
      <formula>0</formula>
    </cfRule>
  </conditionalFormatting>
  <conditionalFormatting sqref="R117">
    <cfRule type="cellIs" dxfId="27370" priority="3121" operator="lessThan">
      <formula>0.8</formula>
    </cfRule>
    <cfRule type="cellIs" dxfId="27369" priority="3122" operator="greaterThan">
      <formula>1</formula>
    </cfRule>
  </conditionalFormatting>
  <conditionalFormatting sqref="R117">
    <cfRule type="cellIs" dxfId="27368" priority="3119" operator="greaterThan">
      <formula>1</formula>
    </cfRule>
    <cfRule type="cellIs" dxfId="27367" priority="3120" operator="lessThan">
      <formula>0.8</formula>
    </cfRule>
  </conditionalFormatting>
  <conditionalFormatting sqref="P117">
    <cfRule type="cellIs" dxfId="27366" priority="3118" operator="greaterThan">
      <formula>0</formula>
    </cfRule>
  </conditionalFormatting>
  <conditionalFormatting sqref="P117">
    <cfRule type="cellIs" dxfId="27365" priority="3112" operator="greaterThan">
      <formula>0</formula>
    </cfRule>
  </conditionalFormatting>
  <conditionalFormatting sqref="Q117">
    <cfRule type="cellIs" dxfId="27364" priority="3117" operator="lessThan">
      <formula>0</formula>
    </cfRule>
  </conditionalFormatting>
  <conditionalFormatting sqref="R117">
    <cfRule type="cellIs" dxfId="27363" priority="3115" operator="lessThan">
      <formula>0.8</formula>
    </cfRule>
    <cfRule type="cellIs" dxfId="27362" priority="3116" operator="greaterThan">
      <formula>1</formula>
    </cfRule>
  </conditionalFormatting>
  <conditionalFormatting sqref="R117">
    <cfRule type="cellIs" dxfId="27361" priority="3113" operator="greaterThan">
      <formula>1</formula>
    </cfRule>
    <cfRule type="cellIs" dxfId="27360" priority="3114" operator="lessThan">
      <formula>0.8</formula>
    </cfRule>
  </conditionalFormatting>
  <conditionalFormatting sqref="P117">
    <cfRule type="cellIs" dxfId="27359" priority="3106" operator="greaterThan">
      <formula>0</formula>
    </cfRule>
  </conditionalFormatting>
  <conditionalFormatting sqref="Q117">
    <cfRule type="cellIs" dxfId="27358" priority="3111" operator="lessThan">
      <formula>0</formula>
    </cfRule>
  </conditionalFormatting>
  <conditionalFormatting sqref="R117">
    <cfRule type="cellIs" dxfId="27357" priority="3109" operator="lessThan">
      <formula>0.8</formula>
    </cfRule>
    <cfRule type="cellIs" dxfId="27356" priority="3110" operator="greaterThan">
      <formula>1</formula>
    </cfRule>
  </conditionalFormatting>
  <conditionalFormatting sqref="R117">
    <cfRule type="cellIs" dxfId="27355" priority="3107" operator="greaterThan">
      <formula>1</formula>
    </cfRule>
    <cfRule type="cellIs" dxfId="27354" priority="3108" operator="lessThan">
      <formula>0.8</formula>
    </cfRule>
  </conditionalFormatting>
  <conditionalFormatting sqref="Q117">
    <cfRule type="cellIs" dxfId="27353" priority="3105" operator="lessThan">
      <formula>0</formula>
    </cfRule>
  </conditionalFormatting>
  <conditionalFormatting sqref="R117">
    <cfRule type="cellIs" dxfId="27352" priority="3103" operator="lessThan">
      <formula>0.8</formula>
    </cfRule>
    <cfRule type="cellIs" dxfId="27351" priority="3104" operator="greaterThan">
      <formula>1</formula>
    </cfRule>
  </conditionalFormatting>
  <conditionalFormatting sqref="R117">
    <cfRule type="cellIs" dxfId="27350" priority="3101" operator="greaterThan">
      <formula>1</formula>
    </cfRule>
    <cfRule type="cellIs" dxfId="27349" priority="3102" operator="lessThan">
      <formula>0.8</formula>
    </cfRule>
  </conditionalFormatting>
  <conditionalFormatting sqref="P117">
    <cfRule type="cellIs" dxfId="27348" priority="3100" operator="greaterThan">
      <formula>0</formula>
    </cfRule>
  </conditionalFormatting>
  <conditionalFormatting sqref="P117">
    <cfRule type="cellIs" dxfId="27347" priority="3094" operator="greaterThan">
      <formula>0</formula>
    </cfRule>
  </conditionalFormatting>
  <conditionalFormatting sqref="Q117">
    <cfRule type="cellIs" dxfId="27346" priority="3099" operator="lessThan">
      <formula>0</formula>
    </cfRule>
  </conditionalFormatting>
  <conditionalFormatting sqref="R117">
    <cfRule type="cellIs" dxfId="27345" priority="3097" operator="lessThan">
      <formula>0.8</formula>
    </cfRule>
    <cfRule type="cellIs" dxfId="27344" priority="3098" operator="greaterThan">
      <formula>1</formula>
    </cfRule>
  </conditionalFormatting>
  <conditionalFormatting sqref="R117">
    <cfRule type="cellIs" dxfId="27343" priority="3095" operator="greaterThan">
      <formula>1</formula>
    </cfRule>
    <cfRule type="cellIs" dxfId="27342" priority="3096" operator="lessThan">
      <formula>0.8</formula>
    </cfRule>
  </conditionalFormatting>
  <conditionalFormatting sqref="Q117">
    <cfRule type="cellIs" dxfId="27341" priority="3093" operator="lessThan">
      <formula>0</formula>
    </cfRule>
  </conditionalFormatting>
  <conditionalFormatting sqref="R117">
    <cfRule type="cellIs" dxfId="27340" priority="3091" operator="lessThan">
      <formula>0.8</formula>
    </cfRule>
    <cfRule type="cellIs" dxfId="27339" priority="3092" operator="greaterThan">
      <formula>1</formula>
    </cfRule>
  </conditionalFormatting>
  <conditionalFormatting sqref="R117">
    <cfRule type="cellIs" dxfId="27338" priority="3089" operator="greaterThan">
      <formula>1</formula>
    </cfRule>
    <cfRule type="cellIs" dxfId="27337" priority="3090" operator="lessThan">
      <formula>0.8</formula>
    </cfRule>
  </conditionalFormatting>
  <conditionalFormatting sqref="P117">
    <cfRule type="cellIs" dxfId="27336" priority="3088" operator="greaterThan">
      <formula>0</formula>
    </cfRule>
  </conditionalFormatting>
  <conditionalFormatting sqref="Q117">
    <cfRule type="cellIs" dxfId="27335" priority="3087" operator="lessThan">
      <formula>0</formula>
    </cfRule>
  </conditionalFormatting>
  <conditionalFormatting sqref="R117">
    <cfRule type="cellIs" dxfId="27334" priority="3085" operator="lessThan">
      <formula>0.8</formula>
    </cfRule>
    <cfRule type="cellIs" dxfId="27333" priority="3086" operator="greaterThan">
      <formula>1</formula>
    </cfRule>
  </conditionalFormatting>
  <conditionalFormatting sqref="R117">
    <cfRule type="cellIs" dxfId="27332" priority="3083" operator="greaterThan">
      <formula>1</formula>
    </cfRule>
    <cfRule type="cellIs" dxfId="27331" priority="3084" operator="lessThan">
      <formula>0.8</formula>
    </cfRule>
  </conditionalFormatting>
  <conditionalFormatting sqref="P117">
    <cfRule type="cellIs" dxfId="27330" priority="3082" operator="greaterThan">
      <formula>0</formula>
    </cfRule>
  </conditionalFormatting>
  <conditionalFormatting sqref="Q83">
    <cfRule type="cellIs" dxfId="27329" priority="3081" operator="lessThan">
      <formula>0</formula>
    </cfRule>
  </conditionalFormatting>
  <conditionalFormatting sqref="R83">
    <cfRule type="cellIs" dxfId="27328" priority="3079" operator="lessThan">
      <formula>0.8</formula>
    </cfRule>
    <cfRule type="cellIs" dxfId="27327" priority="3080" operator="greaterThan">
      <formula>1</formula>
    </cfRule>
  </conditionalFormatting>
  <conditionalFormatting sqref="R83">
    <cfRule type="cellIs" dxfId="27326" priority="3077" operator="greaterThan">
      <formula>1</formula>
    </cfRule>
    <cfRule type="cellIs" dxfId="27325" priority="3078" operator="lessThan">
      <formula>0.8</formula>
    </cfRule>
  </conditionalFormatting>
  <conditionalFormatting sqref="P83">
    <cfRule type="cellIs" dxfId="27324" priority="3076" operator="greaterThan">
      <formula>0</formula>
    </cfRule>
  </conditionalFormatting>
  <conditionalFormatting sqref="Q83">
    <cfRule type="cellIs" dxfId="27323" priority="3075" operator="lessThan">
      <formula>0</formula>
    </cfRule>
  </conditionalFormatting>
  <conditionalFormatting sqref="R83">
    <cfRule type="cellIs" dxfId="27322" priority="3073" operator="lessThan">
      <formula>0.8</formula>
    </cfRule>
    <cfRule type="cellIs" dxfId="27321" priority="3074" operator="greaterThan">
      <formula>1</formula>
    </cfRule>
  </conditionalFormatting>
  <conditionalFormatting sqref="R83">
    <cfRule type="cellIs" dxfId="27320" priority="3071" operator="greaterThan">
      <formula>1</formula>
    </cfRule>
    <cfRule type="cellIs" dxfId="27319" priority="3072" operator="lessThan">
      <formula>0.8</formula>
    </cfRule>
  </conditionalFormatting>
  <conditionalFormatting sqref="P83">
    <cfRule type="cellIs" dxfId="27318" priority="3070" operator="greaterThan">
      <formula>0</formula>
    </cfRule>
  </conditionalFormatting>
  <conditionalFormatting sqref="Q83">
    <cfRule type="cellIs" dxfId="27317" priority="3069" operator="lessThan">
      <formula>0</formula>
    </cfRule>
  </conditionalFormatting>
  <conditionalFormatting sqref="R83">
    <cfRule type="cellIs" dxfId="27316" priority="3067" operator="lessThan">
      <formula>0.8</formula>
    </cfRule>
    <cfRule type="cellIs" dxfId="27315" priority="3068" operator="greaterThan">
      <formula>1</formula>
    </cfRule>
  </conditionalFormatting>
  <conditionalFormatting sqref="R83">
    <cfRule type="cellIs" dxfId="27314" priority="3065" operator="greaterThan">
      <formula>1</formula>
    </cfRule>
    <cfRule type="cellIs" dxfId="27313" priority="3066" operator="lessThan">
      <formula>0.8</formula>
    </cfRule>
  </conditionalFormatting>
  <conditionalFormatting sqref="P83">
    <cfRule type="cellIs" dxfId="27312" priority="3064" operator="greaterThan">
      <formula>0</formula>
    </cfRule>
  </conditionalFormatting>
  <conditionalFormatting sqref="Q83">
    <cfRule type="cellIs" dxfId="27311" priority="3063" operator="lessThan">
      <formula>0</formula>
    </cfRule>
  </conditionalFormatting>
  <conditionalFormatting sqref="R83">
    <cfRule type="cellIs" dxfId="27310" priority="3061" operator="lessThan">
      <formula>0.8</formula>
    </cfRule>
    <cfRule type="cellIs" dxfId="27309" priority="3062" operator="greaterThan">
      <formula>1</formula>
    </cfRule>
  </conditionalFormatting>
  <conditionalFormatting sqref="R83">
    <cfRule type="cellIs" dxfId="27308" priority="3059" operator="greaterThan">
      <formula>1</formula>
    </cfRule>
    <cfRule type="cellIs" dxfId="27307" priority="3060" operator="lessThan">
      <formula>0.8</formula>
    </cfRule>
  </conditionalFormatting>
  <conditionalFormatting sqref="P83">
    <cfRule type="cellIs" dxfId="27306" priority="3058" operator="greaterThan">
      <formula>0</formula>
    </cfRule>
  </conditionalFormatting>
  <conditionalFormatting sqref="P83">
    <cfRule type="cellIs" dxfId="27305" priority="3052" operator="greaterThan">
      <formula>0</formula>
    </cfRule>
  </conditionalFormatting>
  <conditionalFormatting sqref="Q83">
    <cfRule type="cellIs" dxfId="27304" priority="3057" operator="lessThan">
      <formula>0</formula>
    </cfRule>
  </conditionalFormatting>
  <conditionalFormatting sqref="R83">
    <cfRule type="cellIs" dxfId="27303" priority="3055" operator="lessThan">
      <formula>0.8</formula>
    </cfRule>
    <cfRule type="cellIs" dxfId="27302" priority="3056" operator="greaterThan">
      <formula>1</formula>
    </cfRule>
  </conditionalFormatting>
  <conditionalFormatting sqref="R83">
    <cfRule type="cellIs" dxfId="27301" priority="3053" operator="greaterThan">
      <formula>1</formula>
    </cfRule>
    <cfRule type="cellIs" dxfId="27300" priority="3054" operator="lessThan">
      <formula>0.8</formula>
    </cfRule>
  </conditionalFormatting>
  <conditionalFormatting sqref="P83">
    <cfRule type="cellIs" dxfId="27299" priority="3046" operator="greaterThan">
      <formula>0</formula>
    </cfRule>
  </conditionalFormatting>
  <conditionalFormatting sqref="Q83">
    <cfRule type="cellIs" dxfId="27298" priority="3051" operator="lessThan">
      <formula>0</formula>
    </cfRule>
  </conditionalFormatting>
  <conditionalFormatting sqref="R83">
    <cfRule type="cellIs" dxfId="27297" priority="3049" operator="lessThan">
      <formula>0.8</formula>
    </cfRule>
    <cfRule type="cellIs" dxfId="27296" priority="3050" operator="greaterThan">
      <formula>1</formula>
    </cfRule>
  </conditionalFormatting>
  <conditionalFormatting sqref="R83">
    <cfRule type="cellIs" dxfId="27295" priority="3047" operator="greaterThan">
      <formula>1</formula>
    </cfRule>
    <cfRule type="cellIs" dxfId="27294" priority="3048" operator="lessThan">
      <formula>0.8</formula>
    </cfRule>
  </conditionalFormatting>
  <conditionalFormatting sqref="R83">
    <cfRule type="cellIs" dxfId="27293" priority="3043" operator="lessThan">
      <formula>0.8</formula>
    </cfRule>
    <cfRule type="cellIs" dxfId="27292" priority="3044" operator="greaterThan">
      <formula>1</formula>
    </cfRule>
  </conditionalFormatting>
  <conditionalFormatting sqref="R83">
    <cfRule type="cellIs" dxfId="27291" priority="3041" operator="greaterThan">
      <formula>1</formula>
    </cfRule>
    <cfRule type="cellIs" dxfId="27290" priority="3042" operator="lessThan">
      <formula>0.8</formula>
    </cfRule>
  </conditionalFormatting>
  <conditionalFormatting sqref="P83">
    <cfRule type="cellIs" dxfId="27289" priority="3040" operator="greaterThan">
      <formula>0</formula>
    </cfRule>
  </conditionalFormatting>
  <conditionalFormatting sqref="Q83">
    <cfRule type="cellIs" dxfId="27288" priority="3045" operator="lessThan">
      <formula>0</formula>
    </cfRule>
  </conditionalFormatting>
  <conditionalFormatting sqref="Q83">
    <cfRule type="cellIs" dxfId="27287" priority="3039" operator="lessThan">
      <formula>0</formula>
    </cfRule>
  </conditionalFormatting>
  <conditionalFormatting sqref="R83">
    <cfRule type="cellIs" dxfId="27286" priority="3037" operator="lessThan">
      <formula>0.8</formula>
    </cfRule>
    <cfRule type="cellIs" dxfId="27285" priority="3038" operator="greaterThan">
      <formula>1</formula>
    </cfRule>
  </conditionalFormatting>
  <conditionalFormatting sqref="R83">
    <cfRule type="cellIs" dxfId="27284" priority="3035" operator="greaterThan">
      <formula>1</formula>
    </cfRule>
    <cfRule type="cellIs" dxfId="27283" priority="3036" operator="lessThan">
      <formula>0.8</formula>
    </cfRule>
  </conditionalFormatting>
  <conditionalFormatting sqref="P83">
    <cfRule type="cellIs" dxfId="27282" priority="3034" operator="greaterThan">
      <formula>0</formula>
    </cfRule>
  </conditionalFormatting>
  <conditionalFormatting sqref="P83">
    <cfRule type="cellIs" dxfId="27281" priority="3028" operator="greaterThan">
      <formula>0</formula>
    </cfRule>
  </conditionalFormatting>
  <conditionalFormatting sqref="Q83">
    <cfRule type="cellIs" dxfId="27280" priority="3033" operator="lessThan">
      <formula>0</formula>
    </cfRule>
  </conditionalFormatting>
  <conditionalFormatting sqref="R83">
    <cfRule type="cellIs" dxfId="27279" priority="3031" operator="lessThan">
      <formula>0.8</formula>
    </cfRule>
    <cfRule type="cellIs" dxfId="27278" priority="3032" operator="greaterThan">
      <formula>1</formula>
    </cfRule>
  </conditionalFormatting>
  <conditionalFormatting sqref="R83">
    <cfRule type="cellIs" dxfId="27277" priority="3029" operator="greaterThan">
      <formula>1</formula>
    </cfRule>
    <cfRule type="cellIs" dxfId="27276" priority="3030" operator="lessThan">
      <formula>0.8</formula>
    </cfRule>
  </conditionalFormatting>
  <conditionalFormatting sqref="P83">
    <cfRule type="cellIs" dxfId="27275" priority="3022" operator="greaterThan">
      <formula>0</formula>
    </cfRule>
  </conditionalFormatting>
  <conditionalFormatting sqref="Q83">
    <cfRule type="cellIs" dxfId="27274" priority="3027" operator="lessThan">
      <formula>0</formula>
    </cfRule>
  </conditionalFormatting>
  <conditionalFormatting sqref="R83">
    <cfRule type="cellIs" dxfId="27273" priority="3025" operator="lessThan">
      <formula>0.8</formula>
    </cfRule>
    <cfRule type="cellIs" dxfId="27272" priority="3026" operator="greaterThan">
      <formula>1</formula>
    </cfRule>
  </conditionalFormatting>
  <conditionalFormatting sqref="R83">
    <cfRule type="cellIs" dxfId="27271" priority="3023" operator="greaterThan">
      <formula>1</formula>
    </cfRule>
    <cfRule type="cellIs" dxfId="27270" priority="3024" operator="lessThan">
      <formula>0.8</formula>
    </cfRule>
  </conditionalFormatting>
  <conditionalFormatting sqref="R83">
    <cfRule type="cellIs" dxfId="27269" priority="3019" operator="lessThan">
      <formula>0.8</formula>
    </cfRule>
    <cfRule type="cellIs" dxfId="27268" priority="3020" operator="greaterThan">
      <formula>1</formula>
    </cfRule>
  </conditionalFormatting>
  <conditionalFormatting sqref="R83">
    <cfRule type="cellIs" dxfId="27267" priority="3017" operator="greaterThan">
      <formula>1</formula>
    </cfRule>
    <cfRule type="cellIs" dxfId="27266" priority="3018" operator="lessThan">
      <formula>0.8</formula>
    </cfRule>
  </conditionalFormatting>
  <conditionalFormatting sqref="P83">
    <cfRule type="cellIs" dxfId="27265" priority="3016" operator="greaterThan">
      <formula>0</formula>
    </cfRule>
  </conditionalFormatting>
  <conditionalFormatting sqref="Q83">
    <cfRule type="cellIs" dxfId="27264" priority="3021" operator="lessThan">
      <formula>0</formula>
    </cfRule>
  </conditionalFormatting>
  <conditionalFormatting sqref="P83">
    <cfRule type="cellIs" dxfId="27263" priority="3010" operator="greaterThan">
      <formula>0</formula>
    </cfRule>
  </conditionalFormatting>
  <conditionalFormatting sqref="Q83">
    <cfRule type="cellIs" dxfId="27262" priority="3015" operator="lessThan">
      <formula>0</formula>
    </cfRule>
  </conditionalFormatting>
  <conditionalFormatting sqref="R83">
    <cfRule type="cellIs" dxfId="27261" priority="3013" operator="lessThan">
      <formula>0.8</formula>
    </cfRule>
    <cfRule type="cellIs" dxfId="27260" priority="3014" operator="greaterThan">
      <formula>1</formula>
    </cfRule>
  </conditionalFormatting>
  <conditionalFormatting sqref="R83">
    <cfRule type="cellIs" dxfId="27259" priority="3011" operator="greaterThan">
      <formula>1</formula>
    </cfRule>
    <cfRule type="cellIs" dxfId="27258" priority="3012" operator="lessThan">
      <formula>0.8</formula>
    </cfRule>
  </conditionalFormatting>
  <conditionalFormatting sqref="R83">
    <cfRule type="cellIs" dxfId="27257" priority="3007" operator="lessThan">
      <formula>0.8</formula>
    </cfRule>
    <cfRule type="cellIs" dxfId="27256" priority="3008" operator="greaterThan">
      <formula>1</formula>
    </cfRule>
  </conditionalFormatting>
  <conditionalFormatting sqref="R83">
    <cfRule type="cellIs" dxfId="27255" priority="3005" operator="greaterThan">
      <formula>1</formula>
    </cfRule>
    <cfRule type="cellIs" dxfId="27254" priority="3006" operator="lessThan">
      <formula>0.8</formula>
    </cfRule>
  </conditionalFormatting>
  <conditionalFormatting sqref="P83">
    <cfRule type="cellIs" dxfId="27253" priority="3004" operator="greaterThan">
      <formula>0</formula>
    </cfRule>
  </conditionalFormatting>
  <conditionalFormatting sqref="Q83">
    <cfRule type="cellIs" dxfId="27252" priority="3009" operator="lessThan">
      <formula>0</formula>
    </cfRule>
  </conditionalFormatting>
  <conditionalFormatting sqref="R83">
    <cfRule type="cellIs" dxfId="27251" priority="3001" operator="lessThan">
      <formula>0.8</formula>
    </cfRule>
    <cfRule type="cellIs" dxfId="27250" priority="3002" operator="greaterThan">
      <formula>1</formula>
    </cfRule>
  </conditionalFormatting>
  <conditionalFormatting sqref="R83">
    <cfRule type="cellIs" dxfId="27249" priority="2999" operator="greaterThan">
      <formula>1</formula>
    </cfRule>
    <cfRule type="cellIs" dxfId="27248" priority="3000" operator="lessThan">
      <formula>0.8</formula>
    </cfRule>
  </conditionalFormatting>
  <conditionalFormatting sqref="P83">
    <cfRule type="cellIs" dxfId="27247" priority="2998" operator="greaterThan">
      <formula>0</formula>
    </cfRule>
  </conditionalFormatting>
  <conditionalFormatting sqref="Q83">
    <cfRule type="cellIs" dxfId="27246" priority="3003" operator="lessThan">
      <formula>0</formula>
    </cfRule>
  </conditionalFormatting>
  <conditionalFormatting sqref="Q83">
    <cfRule type="cellIs" dxfId="27245" priority="2997" operator="lessThan">
      <formula>0</formula>
    </cfRule>
  </conditionalFormatting>
  <conditionalFormatting sqref="R83">
    <cfRule type="cellIs" dxfId="27244" priority="2995" operator="lessThan">
      <formula>0.8</formula>
    </cfRule>
    <cfRule type="cellIs" dxfId="27243" priority="2996" operator="greaterThan">
      <formula>1</formula>
    </cfRule>
  </conditionalFormatting>
  <conditionalFormatting sqref="R83">
    <cfRule type="cellIs" dxfId="27242" priority="2993" operator="greaterThan">
      <formula>1</formula>
    </cfRule>
    <cfRule type="cellIs" dxfId="27241" priority="2994" operator="lessThan">
      <formula>0.8</formula>
    </cfRule>
  </conditionalFormatting>
  <conditionalFormatting sqref="P83">
    <cfRule type="cellIs" dxfId="27240" priority="2992" operator="greaterThan">
      <formula>0</formula>
    </cfRule>
  </conditionalFormatting>
  <conditionalFormatting sqref="Q83">
    <cfRule type="cellIs" dxfId="27239" priority="2986" operator="lessThan">
      <formula>0</formula>
    </cfRule>
  </conditionalFormatting>
  <conditionalFormatting sqref="R83">
    <cfRule type="cellIs" dxfId="27238" priority="2990" operator="lessThan">
      <formula>0.8</formula>
    </cfRule>
    <cfRule type="cellIs" dxfId="27237" priority="2991" operator="greaterThan">
      <formula>1</formula>
    </cfRule>
  </conditionalFormatting>
  <conditionalFormatting sqref="R83">
    <cfRule type="cellIs" dxfId="27236" priority="2988" operator="greaterThan">
      <formula>1</formula>
    </cfRule>
    <cfRule type="cellIs" dxfId="27235" priority="2989" operator="lessThan">
      <formula>0.8</formula>
    </cfRule>
  </conditionalFormatting>
  <conditionalFormatting sqref="P83">
    <cfRule type="cellIs" dxfId="27234" priority="2987" operator="greaterThan">
      <formula>0</formula>
    </cfRule>
  </conditionalFormatting>
  <conditionalFormatting sqref="Q83">
    <cfRule type="cellIs" dxfId="27233" priority="2985" operator="lessThan">
      <formula>0</formula>
    </cfRule>
  </conditionalFormatting>
  <conditionalFormatting sqref="R83">
    <cfRule type="cellIs" dxfId="27232" priority="2983" operator="lessThan">
      <formula>0.8</formula>
    </cfRule>
    <cfRule type="cellIs" dxfId="27231" priority="2984" operator="greaterThan">
      <formula>1</formula>
    </cfRule>
  </conditionalFormatting>
  <conditionalFormatting sqref="R83">
    <cfRule type="cellIs" dxfId="27230" priority="2981" operator="greaterThan">
      <formula>1</formula>
    </cfRule>
    <cfRule type="cellIs" dxfId="27229" priority="2982" operator="lessThan">
      <formula>0.8</formula>
    </cfRule>
  </conditionalFormatting>
  <conditionalFormatting sqref="P83">
    <cfRule type="cellIs" dxfId="27228" priority="2980" operator="greaterThan">
      <formula>0</formula>
    </cfRule>
  </conditionalFormatting>
  <conditionalFormatting sqref="Q83">
    <cfRule type="cellIs" dxfId="27227" priority="2979" operator="lessThan">
      <formula>0</formula>
    </cfRule>
  </conditionalFormatting>
  <conditionalFormatting sqref="R83">
    <cfRule type="cellIs" dxfId="27226" priority="2977" operator="lessThan">
      <formula>0.8</formula>
    </cfRule>
    <cfRule type="cellIs" dxfId="27225" priority="2978" operator="greaterThan">
      <formula>1</formula>
    </cfRule>
  </conditionalFormatting>
  <conditionalFormatting sqref="R83">
    <cfRule type="cellIs" dxfId="27224" priority="2975" operator="greaterThan">
      <formula>1</formula>
    </cfRule>
    <cfRule type="cellIs" dxfId="27223" priority="2976" operator="lessThan">
      <formula>0.8</formula>
    </cfRule>
  </conditionalFormatting>
  <conditionalFormatting sqref="P83">
    <cfRule type="cellIs" dxfId="27222" priority="2974" operator="greaterThan">
      <formula>0</formula>
    </cfRule>
  </conditionalFormatting>
  <conditionalFormatting sqref="Q83">
    <cfRule type="cellIs" dxfId="27221" priority="2973" operator="lessThan">
      <formula>0</formula>
    </cfRule>
  </conditionalFormatting>
  <conditionalFormatting sqref="R83">
    <cfRule type="cellIs" dxfId="27220" priority="2971" operator="lessThan">
      <formula>0.8</formula>
    </cfRule>
    <cfRule type="cellIs" dxfId="27219" priority="2972" operator="greaterThan">
      <formula>1</formula>
    </cfRule>
  </conditionalFormatting>
  <conditionalFormatting sqref="R83">
    <cfRule type="cellIs" dxfId="27218" priority="2969" operator="greaterThan">
      <formula>1</formula>
    </cfRule>
    <cfRule type="cellIs" dxfId="27217" priority="2970" operator="lessThan">
      <formula>0.8</formula>
    </cfRule>
  </conditionalFormatting>
  <conditionalFormatting sqref="P83">
    <cfRule type="cellIs" dxfId="27216" priority="2968" operator="greaterThan">
      <formula>0</formula>
    </cfRule>
  </conditionalFormatting>
  <conditionalFormatting sqref="Q83">
    <cfRule type="cellIs" dxfId="27215" priority="2967" operator="lessThan">
      <formula>0</formula>
    </cfRule>
  </conditionalFormatting>
  <conditionalFormatting sqref="R83">
    <cfRule type="cellIs" dxfId="27214" priority="2965" operator="lessThan">
      <formula>0.8</formula>
    </cfRule>
    <cfRule type="cellIs" dxfId="27213" priority="2966" operator="greaterThan">
      <formula>1</formula>
    </cfRule>
  </conditionalFormatting>
  <conditionalFormatting sqref="R83">
    <cfRule type="cellIs" dxfId="27212" priority="2963" operator="greaterThan">
      <formula>1</formula>
    </cfRule>
    <cfRule type="cellIs" dxfId="27211" priority="2964" operator="lessThan">
      <formula>0.8</formula>
    </cfRule>
  </conditionalFormatting>
  <conditionalFormatting sqref="P83">
    <cfRule type="cellIs" dxfId="27210" priority="2962" operator="greaterThan">
      <formula>0</formula>
    </cfRule>
  </conditionalFormatting>
  <conditionalFormatting sqref="Q83">
    <cfRule type="cellIs" dxfId="27209" priority="2961" operator="lessThan">
      <formula>0</formula>
    </cfRule>
  </conditionalFormatting>
  <conditionalFormatting sqref="R83">
    <cfRule type="cellIs" dxfId="27208" priority="2959" operator="lessThan">
      <formula>0.8</formula>
    </cfRule>
    <cfRule type="cellIs" dxfId="27207" priority="2960" operator="greaterThan">
      <formula>1</formula>
    </cfRule>
  </conditionalFormatting>
  <conditionalFormatting sqref="R83">
    <cfRule type="cellIs" dxfId="27206" priority="2957" operator="greaterThan">
      <formula>1</formula>
    </cfRule>
    <cfRule type="cellIs" dxfId="27205" priority="2958" operator="lessThan">
      <formula>0.8</formula>
    </cfRule>
  </conditionalFormatting>
  <conditionalFormatting sqref="P83">
    <cfRule type="cellIs" dxfId="27204" priority="2956" operator="greaterThan">
      <formula>0</formula>
    </cfRule>
  </conditionalFormatting>
  <conditionalFormatting sqref="P83">
    <cfRule type="cellIs" dxfId="27203" priority="2950" operator="greaterThan">
      <formula>0</formula>
    </cfRule>
  </conditionalFormatting>
  <conditionalFormatting sqref="Q83">
    <cfRule type="cellIs" dxfId="27202" priority="2955" operator="lessThan">
      <formula>0</formula>
    </cfRule>
  </conditionalFormatting>
  <conditionalFormatting sqref="R83">
    <cfRule type="cellIs" dxfId="27201" priority="2953" operator="lessThan">
      <formula>0.8</formula>
    </cfRule>
    <cfRule type="cellIs" dxfId="27200" priority="2954" operator="greaterThan">
      <formula>1</formula>
    </cfRule>
  </conditionalFormatting>
  <conditionalFormatting sqref="R83">
    <cfRule type="cellIs" dxfId="27199" priority="2951" operator="greaterThan">
      <formula>1</formula>
    </cfRule>
    <cfRule type="cellIs" dxfId="27198" priority="2952" operator="lessThan">
      <formula>0.8</formula>
    </cfRule>
  </conditionalFormatting>
  <conditionalFormatting sqref="P83">
    <cfRule type="cellIs" dxfId="27197" priority="2944" operator="greaterThan">
      <formula>0</formula>
    </cfRule>
  </conditionalFormatting>
  <conditionalFormatting sqref="Q83">
    <cfRule type="cellIs" dxfId="27196" priority="2949" operator="lessThan">
      <formula>0</formula>
    </cfRule>
  </conditionalFormatting>
  <conditionalFormatting sqref="R83">
    <cfRule type="cellIs" dxfId="27195" priority="2947" operator="lessThan">
      <formula>0.8</formula>
    </cfRule>
    <cfRule type="cellIs" dxfId="27194" priority="2948" operator="greaterThan">
      <formula>1</formula>
    </cfRule>
  </conditionalFormatting>
  <conditionalFormatting sqref="R83">
    <cfRule type="cellIs" dxfId="27193" priority="2945" operator="greaterThan">
      <formula>1</formula>
    </cfRule>
    <cfRule type="cellIs" dxfId="27192" priority="2946" operator="lessThan">
      <formula>0.8</formula>
    </cfRule>
  </conditionalFormatting>
  <conditionalFormatting sqref="R83">
    <cfRule type="cellIs" dxfId="27191" priority="2941" operator="lessThan">
      <formula>0.8</formula>
    </cfRule>
    <cfRule type="cellIs" dxfId="27190" priority="2942" operator="greaterThan">
      <formula>1</formula>
    </cfRule>
  </conditionalFormatting>
  <conditionalFormatting sqref="R83">
    <cfRule type="cellIs" dxfId="27189" priority="2939" operator="greaterThan">
      <formula>1</formula>
    </cfRule>
    <cfRule type="cellIs" dxfId="27188" priority="2940" operator="lessThan">
      <formula>0.8</formula>
    </cfRule>
  </conditionalFormatting>
  <conditionalFormatting sqref="P83">
    <cfRule type="cellIs" dxfId="27187" priority="2938" operator="greaterThan">
      <formula>0</formula>
    </cfRule>
  </conditionalFormatting>
  <conditionalFormatting sqref="Q83">
    <cfRule type="cellIs" dxfId="27186" priority="2943" operator="lessThan">
      <formula>0</formula>
    </cfRule>
  </conditionalFormatting>
  <conditionalFormatting sqref="Q83">
    <cfRule type="cellIs" dxfId="27185" priority="2937" operator="lessThan">
      <formula>0</formula>
    </cfRule>
  </conditionalFormatting>
  <conditionalFormatting sqref="R83">
    <cfRule type="cellIs" dxfId="27184" priority="2935" operator="lessThan">
      <formula>0.8</formula>
    </cfRule>
    <cfRule type="cellIs" dxfId="27183" priority="2936" operator="greaterThan">
      <formula>1</formula>
    </cfRule>
  </conditionalFormatting>
  <conditionalFormatting sqref="R83">
    <cfRule type="cellIs" dxfId="27182" priority="2933" operator="greaterThan">
      <formula>1</formula>
    </cfRule>
    <cfRule type="cellIs" dxfId="27181" priority="2934" operator="lessThan">
      <formula>0.8</formula>
    </cfRule>
  </conditionalFormatting>
  <conditionalFormatting sqref="P83">
    <cfRule type="cellIs" dxfId="27180" priority="2932" operator="greaterThan">
      <formula>0</formula>
    </cfRule>
  </conditionalFormatting>
  <conditionalFormatting sqref="Q83">
    <cfRule type="cellIs" dxfId="27179" priority="2931" operator="lessThan">
      <formula>0</formula>
    </cfRule>
  </conditionalFormatting>
  <conditionalFormatting sqref="R83">
    <cfRule type="cellIs" dxfId="27178" priority="2929" operator="lessThan">
      <formula>0.8</formula>
    </cfRule>
    <cfRule type="cellIs" dxfId="27177" priority="2930" operator="greaterThan">
      <formula>1</formula>
    </cfRule>
  </conditionalFormatting>
  <conditionalFormatting sqref="R83">
    <cfRule type="cellIs" dxfId="27176" priority="2927" operator="greaterThan">
      <formula>1</formula>
    </cfRule>
    <cfRule type="cellIs" dxfId="27175" priority="2928" operator="lessThan">
      <formula>0.8</formula>
    </cfRule>
  </conditionalFormatting>
  <conditionalFormatting sqref="P83">
    <cfRule type="cellIs" dxfId="27174" priority="2926" operator="greaterThan">
      <formula>0</formula>
    </cfRule>
  </conditionalFormatting>
  <conditionalFormatting sqref="Q83">
    <cfRule type="cellIs" dxfId="27173" priority="2925" operator="lessThan">
      <formula>0</formula>
    </cfRule>
  </conditionalFormatting>
  <conditionalFormatting sqref="R83">
    <cfRule type="cellIs" dxfId="27172" priority="2923" operator="lessThan">
      <formula>0.8</formula>
    </cfRule>
    <cfRule type="cellIs" dxfId="27171" priority="2924" operator="greaterThan">
      <formula>1</formula>
    </cfRule>
  </conditionalFormatting>
  <conditionalFormatting sqref="R83">
    <cfRule type="cellIs" dxfId="27170" priority="2921" operator="greaterThan">
      <formula>1</formula>
    </cfRule>
    <cfRule type="cellIs" dxfId="27169" priority="2922" operator="lessThan">
      <formula>0.8</formula>
    </cfRule>
  </conditionalFormatting>
  <conditionalFormatting sqref="P83">
    <cfRule type="cellIs" dxfId="27168" priority="2920" operator="greaterThan">
      <formula>0</formula>
    </cfRule>
  </conditionalFormatting>
  <conditionalFormatting sqref="Q83">
    <cfRule type="cellIs" dxfId="27167" priority="2919" operator="lessThan">
      <formula>0</formula>
    </cfRule>
  </conditionalFormatting>
  <conditionalFormatting sqref="R83">
    <cfRule type="cellIs" dxfId="27166" priority="2917" operator="lessThan">
      <formula>0.8</formula>
    </cfRule>
    <cfRule type="cellIs" dxfId="27165" priority="2918" operator="greaterThan">
      <formula>1</formula>
    </cfRule>
  </conditionalFormatting>
  <conditionalFormatting sqref="R83">
    <cfRule type="cellIs" dxfId="27164" priority="2915" operator="greaterThan">
      <formula>1</formula>
    </cfRule>
    <cfRule type="cellIs" dxfId="27163" priority="2916" operator="lessThan">
      <formula>0.8</formula>
    </cfRule>
  </conditionalFormatting>
  <conditionalFormatting sqref="P83">
    <cfRule type="cellIs" dxfId="27162" priority="2914" operator="greaterThan">
      <formula>0</formula>
    </cfRule>
  </conditionalFormatting>
  <conditionalFormatting sqref="P83">
    <cfRule type="cellIs" dxfId="27161" priority="2908" operator="greaterThan">
      <formula>0</formula>
    </cfRule>
  </conditionalFormatting>
  <conditionalFormatting sqref="Q83">
    <cfRule type="cellIs" dxfId="27160" priority="2913" operator="lessThan">
      <formula>0</formula>
    </cfRule>
  </conditionalFormatting>
  <conditionalFormatting sqref="R83">
    <cfRule type="cellIs" dxfId="27159" priority="2911" operator="lessThan">
      <formula>0.8</formula>
    </cfRule>
    <cfRule type="cellIs" dxfId="27158" priority="2912" operator="greaterThan">
      <formula>1</formula>
    </cfRule>
  </conditionalFormatting>
  <conditionalFormatting sqref="R83">
    <cfRule type="cellIs" dxfId="27157" priority="2909" operator="greaterThan">
      <formula>1</formula>
    </cfRule>
    <cfRule type="cellIs" dxfId="27156" priority="2910" operator="lessThan">
      <formula>0.8</formula>
    </cfRule>
  </conditionalFormatting>
  <conditionalFormatting sqref="P83">
    <cfRule type="cellIs" dxfId="27155" priority="2902" operator="greaterThan">
      <formula>0</formula>
    </cfRule>
  </conditionalFormatting>
  <conditionalFormatting sqref="Q83">
    <cfRule type="cellIs" dxfId="27154" priority="2907" operator="lessThan">
      <formula>0</formula>
    </cfRule>
  </conditionalFormatting>
  <conditionalFormatting sqref="R83">
    <cfRule type="cellIs" dxfId="27153" priority="2905" operator="lessThan">
      <formula>0.8</formula>
    </cfRule>
    <cfRule type="cellIs" dxfId="27152" priority="2906" operator="greaterThan">
      <formula>1</formula>
    </cfRule>
  </conditionalFormatting>
  <conditionalFormatting sqref="R83">
    <cfRule type="cellIs" dxfId="27151" priority="2903" operator="greaterThan">
      <formula>1</formula>
    </cfRule>
    <cfRule type="cellIs" dxfId="27150" priority="2904" operator="lessThan">
      <formula>0.8</formula>
    </cfRule>
  </conditionalFormatting>
  <conditionalFormatting sqref="R83">
    <cfRule type="cellIs" dxfId="27149" priority="2899" operator="lessThan">
      <formula>0.8</formula>
    </cfRule>
    <cfRule type="cellIs" dxfId="27148" priority="2900" operator="greaterThan">
      <formula>1</formula>
    </cfRule>
  </conditionalFormatting>
  <conditionalFormatting sqref="R83">
    <cfRule type="cellIs" dxfId="27147" priority="2897" operator="greaterThan">
      <formula>1</formula>
    </cfRule>
    <cfRule type="cellIs" dxfId="27146" priority="2898" operator="lessThan">
      <formula>0.8</formula>
    </cfRule>
  </conditionalFormatting>
  <conditionalFormatting sqref="P83">
    <cfRule type="cellIs" dxfId="27145" priority="2896" operator="greaterThan">
      <formula>0</formula>
    </cfRule>
  </conditionalFormatting>
  <conditionalFormatting sqref="Q83">
    <cfRule type="cellIs" dxfId="27144" priority="2901" operator="lessThan">
      <formula>0</formula>
    </cfRule>
  </conditionalFormatting>
  <conditionalFormatting sqref="Q83">
    <cfRule type="cellIs" dxfId="27143" priority="2895" operator="lessThan">
      <formula>0</formula>
    </cfRule>
  </conditionalFormatting>
  <conditionalFormatting sqref="R83">
    <cfRule type="cellIs" dxfId="27142" priority="2893" operator="lessThan">
      <formula>0.8</formula>
    </cfRule>
    <cfRule type="cellIs" dxfId="27141" priority="2894" operator="greaterThan">
      <formula>1</formula>
    </cfRule>
  </conditionalFormatting>
  <conditionalFormatting sqref="R83">
    <cfRule type="cellIs" dxfId="27140" priority="2891" operator="greaterThan">
      <formula>1</formula>
    </cfRule>
    <cfRule type="cellIs" dxfId="27139" priority="2892" operator="lessThan">
      <formula>0.8</formula>
    </cfRule>
  </conditionalFormatting>
  <conditionalFormatting sqref="P83">
    <cfRule type="cellIs" dxfId="27138" priority="2890" operator="greaterThan">
      <formula>0</formula>
    </cfRule>
  </conditionalFormatting>
  <conditionalFormatting sqref="P83">
    <cfRule type="cellIs" dxfId="27137" priority="2884" operator="greaterThan">
      <formula>0</formula>
    </cfRule>
  </conditionalFormatting>
  <conditionalFormatting sqref="Q83">
    <cfRule type="cellIs" dxfId="27136" priority="2889" operator="lessThan">
      <formula>0</formula>
    </cfRule>
  </conditionalFormatting>
  <conditionalFormatting sqref="R83">
    <cfRule type="cellIs" dxfId="27135" priority="2887" operator="lessThan">
      <formula>0.8</formula>
    </cfRule>
    <cfRule type="cellIs" dxfId="27134" priority="2888" operator="greaterThan">
      <formula>1</formula>
    </cfRule>
  </conditionalFormatting>
  <conditionalFormatting sqref="R83">
    <cfRule type="cellIs" dxfId="27133" priority="2885" operator="greaterThan">
      <formula>1</formula>
    </cfRule>
    <cfRule type="cellIs" dxfId="27132" priority="2886" operator="lessThan">
      <formula>0.8</formula>
    </cfRule>
  </conditionalFormatting>
  <conditionalFormatting sqref="P83">
    <cfRule type="cellIs" dxfId="27131" priority="2878" operator="greaterThan">
      <formula>0</formula>
    </cfRule>
  </conditionalFormatting>
  <conditionalFormatting sqref="Q83">
    <cfRule type="cellIs" dxfId="27130" priority="2883" operator="lessThan">
      <formula>0</formula>
    </cfRule>
  </conditionalFormatting>
  <conditionalFormatting sqref="R83">
    <cfRule type="cellIs" dxfId="27129" priority="2881" operator="lessThan">
      <formula>0.8</formula>
    </cfRule>
    <cfRule type="cellIs" dxfId="27128" priority="2882" operator="greaterThan">
      <formula>1</formula>
    </cfRule>
  </conditionalFormatting>
  <conditionalFormatting sqref="R83">
    <cfRule type="cellIs" dxfId="27127" priority="2879" operator="greaterThan">
      <formula>1</formula>
    </cfRule>
    <cfRule type="cellIs" dxfId="27126" priority="2880" operator="lessThan">
      <formula>0.8</formula>
    </cfRule>
  </conditionalFormatting>
  <conditionalFormatting sqref="R83">
    <cfRule type="cellIs" dxfId="27125" priority="2875" operator="lessThan">
      <formula>0.8</formula>
    </cfRule>
    <cfRule type="cellIs" dxfId="27124" priority="2876" operator="greaterThan">
      <formula>1</formula>
    </cfRule>
  </conditionalFormatting>
  <conditionalFormatting sqref="R83">
    <cfRule type="cellIs" dxfId="27123" priority="2873" operator="greaterThan">
      <formula>1</formula>
    </cfRule>
    <cfRule type="cellIs" dxfId="27122" priority="2874" operator="lessThan">
      <formula>0.8</formula>
    </cfRule>
  </conditionalFormatting>
  <conditionalFormatting sqref="P83">
    <cfRule type="cellIs" dxfId="27121" priority="2872" operator="greaterThan">
      <formula>0</formula>
    </cfRule>
  </conditionalFormatting>
  <conditionalFormatting sqref="Q83">
    <cfRule type="cellIs" dxfId="27120" priority="2877" operator="lessThan">
      <formula>0</formula>
    </cfRule>
  </conditionalFormatting>
  <conditionalFormatting sqref="P83">
    <cfRule type="cellIs" dxfId="27119" priority="2866" operator="greaterThan">
      <formula>0</formula>
    </cfRule>
  </conditionalFormatting>
  <conditionalFormatting sqref="Q83">
    <cfRule type="cellIs" dxfId="27118" priority="2871" operator="lessThan">
      <formula>0</formula>
    </cfRule>
  </conditionalFormatting>
  <conditionalFormatting sqref="R83">
    <cfRule type="cellIs" dxfId="27117" priority="2869" operator="lessThan">
      <formula>0.8</formula>
    </cfRule>
    <cfRule type="cellIs" dxfId="27116" priority="2870" operator="greaterThan">
      <formula>1</formula>
    </cfRule>
  </conditionalFormatting>
  <conditionalFormatting sqref="R83">
    <cfRule type="cellIs" dxfId="27115" priority="2867" operator="greaterThan">
      <formula>1</formula>
    </cfRule>
    <cfRule type="cellIs" dxfId="27114" priority="2868" operator="lessThan">
      <formula>0.8</formula>
    </cfRule>
  </conditionalFormatting>
  <conditionalFormatting sqref="R83">
    <cfRule type="cellIs" dxfId="27113" priority="2863" operator="lessThan">
      <formula>0.8</formula>
    </cfRule>
    <cfRule type="cellIs" dxfId="27112" priority="2864" operator="greaterThan">
      <formula>1</formula>
    </cfRule>
  </conditionalFormatting>
  <conditionalFormatting sqref="R83">
    <cfRule type="cellIs" dxfId="27111" priority="2861" operator="greaterThan">
      <formula>1</formula>
    </cfRule>
    <cfRule type="cellIs" dxfId="27110" priority="2862" operator="lessThan">
      <formula>0.8</formula>
    </cfRule>
  </conditionalFormatting>
  <conditionalFormatting sqref="P83">
    <cfRule type="cellIs" dxfId="27109" priority="2860" operator="greaterThan">
      <formula>0</formula>
    </cfRule>
  </conditionalFormatting>
  <conditionalFormatting sqref="Q83">
    <cfRule type="cellIs" dxfId="27108" priority="2865" operator="lessThan">
      <formula>0</formula>
    </cfRule>
  </conditionalFormatting>
  <conditionalFormatting sqref="R83">
    <cfRule type="cellIs" dxfId="27107" priority="2857" operator="lessThan">
      <formula>0.8</formula>
    </cfRule>
    <cfRule type="cellIs" dxfId="27106" priority="2858" operator="greaterThan">
      <formula>1</formula>
    </cfRule>
  </conditionalFormatting>
  <conditionalFormatting sqref="R83">
    <cfRule type="cellIs" dxfId="27105" priority="2855" operator="greaterThan">
      <formula>1</formula>
    </cfRule>
    <cfRule type="cellIs" dxfId="27104" priority="2856" operator="lessThan">
      <formula>0.8</formula>
    </cfRule>
  </conditionalFormatting>
  <conditionalFormatting sqref="P83">
    <cfRule type="cellIs" dxfId="27103" priority="2854" operator="greaterThan">
      <formula>0</formula>
    </cfRule>
  </conditionalFormatting>
  <conditionalFormatting sqref="Q83">
    <cfRule type="cellIs" dxfId="27102" priority="2859" operator="lessThan">
      <formula>0</formula>
    </cfRule>
  </conditionalFormatting>
  <conditionalFormatting sqref="Q83">
    <cfRule type="cellIs" dxfId="27101" priority="2853" operator="lessThan">
      <formula>0</formula>
    </cfRule>
  </conditionalFormatting>
  <conditionalFormatting sqref="R83">
    <cfRule type="cellIs" dxfId="27100" priority="2851" operator="lessThan">
      <formula>0.8</formula>
    </cfRule>
    <cfRule type="cellIs" dxfId="27099" priority="2852" operator="greaterThan">
      <formula>1</formula>
    </cfRule>
  </conditionalFormatting>
  <conditionalFormatting sqref="R83">
    <cfRule type="cellIs" dxfId="27098" priority="2849" operator="greaterThan">
      <formula>1</formula>
    </cfRule>
    <cfRule type="cellIs" dxfId="27097" priority="2850" operator="lessThan">
      <formula>0.8</formula>
    </cfRule>
  </conditionalFormatting>
  <conditionalFormatting sqref="P83">
    <cfRule type="cellIs" dxfId="27096" priority="2848" operator="greaterThan">
      <formula>0</formula>
    </cfRule>
  </conditionalFormatting>
  <conditionalFormatting sqref="Q83">
    <cfRule type="cellIs" dxfId="27095" priority="2842" operator="lessThan">
      <formula>0</formula>
    </cfRule>
  </conditionalFormatting>
  <conditionalFormatting sqref="R83">
    <cfRule type="cellIs" dxfId="27094" priority="2846" operator="lessThan">
      <formula>0.8</formula>
    </cfRule>
    <cfRule type="cellIs" dxfId="27093" priority="2847" operator="greaterThan">
      <formula>1</formula>
    </cfRule>
  </conditionalFormatting>
  <conditionalFormatting sqref="R83">
    <cfRule type="cellIs" dxfId="27092" priority="2844" operator="greaterThan">
      <formula>1</formula>
    </cfRule>
    <cfRule type="cellIs" dxfId="27091" priority="2845" operator="lessThan">
      <formula>0.8</formula>
    </cfRule>
  </conditionalFormatting>
  <conditionalFormatting sqref="P83">
    <cfRule type="cellIs" dxfId="27090" priority="2843" operator="greaterThan">
      <formula>0</formula>
    </cfRule>
  </conditionalFormatting>
  <conditionalFormatting sqref="Q83">
    <cfRule type="cellIs" dxfId="27089" priority="2841" operator="lessThan">
      <formula>0</formula>
    </cfRule>
  </conditionalFormatting>
  <conditionalFormatting sqref="R83">
    <cfRule type="cellIs" dxfId="27088" priority="2839" operator="lessThan">
      <formula>0.8</formula>
    </cfRule>
    <cfRule type="cellIs" dxfId="27087" priority="2840" operator="greaterThan">
      <formula>1</formula>
    </cfRule>
  </conditionalFormatting>
  <conditionalFormatting sqref="R83">
    <cfRule type="cellIs" dxfId="27086" priority="2837" operator="greaterThan">
      <formula>1</formula>
    </cfRule>
    <cfRule type="cellIs" dxfId="27085" priority="2838" operator="lessThan">
      <formula>0.8</formula>
    </cfRule>
  </conditionalFormatting>
  <conditionalFormatting sqref="P83">
    <cfRule type="cellIs" dxfId="27084" priority="2836" operator="greaterThan">
      <formula>0</formula>
    </cfRule>
  </conditionalFormatting>
  <conditionalFormatting sqref="Q83">
    <cfRule type="cellIs" dxfId="27083" priority="2835" operator="lessThan">
      <formula>0</formula>
    </cfRule>
  </conditionalFormatting>
  <conditionalFormatting sqref="R83">
    <cfRule type="cellIs" dxfId="27082" priority="2833" operator="lessThan">
      <formula>0.8</formula>
    </cfRule>
    <cfRule type="cellIs" dxfId="27081" priority="2834" operator="greaterThan">
      <formula>1</formula>
    </cfRule>
  </conditionalFormatting>
  <conditionalFormatting sqref="R83">
    <cfRule type="cellIs" dxfId="27080" priority="2831" operator="greaterThan">
      <formula>1</formula>
    </cfRule>
    <cfRule type="cellIs" dxfId="27079" priority="2832" operator="lessThan">
      <formula>0.8</formula>
    </cfRule>
  </conditionalFormatting>
  <conditionalFormatting sqref="P83">
    <cfRule type="cellIs" dxfId="27078" priority="2830" operator="greaterThan">
      <formula>0</formula>
    </cfRule>
  </conditionalFormatting>
  <conditionalFormatting sqref="Q83">
    <cfRule type="cellIs" dxfId="27077" priority="2829" operator="lessThan">
      <formula>0</formula>
    </cfRule>
  </conditionalFormatting>
  <conditionalFormatting sqref="R83">
    <cfRule type="cellIs" dxfId="27076" priority="2827" operator="lessThan">
      <formula>0.8</formula>
    </cfRule>
    <cfRule type="cellIs" dxfId="27075" priority="2828" operator="greaterThan">
      <formula>1</formula>
    </cfRule>
  </conditionalFormatting>
  <conditionalFormatting sqref="R83">
    <cfRule type="cellIs" dxfId="27074" priority="2825" operator="greaterThan">
      <formula>1</formula>
    </cfRule>
    <cfRule type="cellIs" dxfId="27073" priority="2826" operator="lessThan">
      <formula>0.8</formula>
    </cfRule>
  </conditionalFormatting>
  <conditionalFormatting sqref="P83">
    <cfRule type="cellIs" dxfId="27072" priority="2824" operator="greaterThan">
      <formula>0</formula>
    </cfRule>
  </conditionalFormatting>
  <conditionalFormatting sqref="Q83">
    <cfRule type="cellIs" dxfId="27071" priority="2823" operator="lessThan">
      <formula>0</formula>
    </cfRule>
  </conditionalFormatting>
  <conditionalFormatting sqref="R83">
    <cfRule type="cellIs" dxfId="27070" priority="2821" operator="lessThan">
      <formula>0.8</formula>
    </cfRule>
    <cfRule type="cellIs" dxfId="27069" priority="2822" operator="greaterThan">
      <formula>1</formula>
    </cfRule>
  </conditionalFormatting>
  <conditionalFormatting sqref="R83">
    <cfRule type="cellIs" dxfId="27068" priority="2819" operator="greaterThan">
      <formula>1</formula>
    </cfRule>
    <cfRule type="cellIs" dxfId="27067" priority="2820" operator="lessThan">
      <formula>0.8</formula>
    </cfRule>
  </conditionalFormatting>
  <conditionalFormatting sqref="P83">
    <cfRule type="cellIs" dxfId="27066" priority="2818" operator="greaterThan">
      <formula>0</formula>
    </cfRule>
  </conditionalFormatting>
  <conditionalFormatting sqref="Q83">
    <cfRule type="cellIs" dxfId="27065" priority="2817" operator="lessThan">
      <formula>0</formula>
    </cfRule>
  </conditionalFormatting>
  <conditionalFormatting sqref="R83">
    <cfRule type="cellIs" dxfId="27064" priority="2815" operator="lessThan">
      <formula>0.8</formula>
    </cfRule>
    <cfRule type="cellIs" dxfId="27063" priority="2816" operator="greaterThan">
      <formula>1</formula>
    </cfRule>
  </conditionalFormatting>
  <conditionalFormatting sqref="R83">
    <cfRule type="cellIs" dxfId="27062" priority="2813" operator="greaterThan">
      <formula>1</formula>
    </cfRule>
    <cfRule type="cellIs" dxfId="27061" priority="2814" operator="lessThan">
      <formula>0.8</formula>
    </cfRule>
  </conditionalFormatting>
  <conditionalFormatting sqref="P83">
    <cfRule type="cellIs" dxfId="27060" priority="2812" operator="greaterThan">
      <formula>0</formula>
    </cfRule>
  </conditionalFormatting>
  <conditionalFormatting sqref="P83">
    <cfRule type="cellIs" dxfId="27059" priority="2806" operator="greaterThan">
      <formula>0</formula>
    </cfRule>
  </conditionalFormatting>
  <conditionalFormatting sqref="Q83">
    <cfRule type="cellIs" dxfId="27058" priority="2811" operator="lessThan">
      <formula>0</formula>
    </cfRule>
  </conditionalFormatting>
  <conditionalFormatting sqref="R83">
    <cfRule type="cellIs" dxfId="27057" priority="2809" operator="lessThan">
      <formula>0.8</formula>
    </cfRule>
    <cfRule type="cellIs" dxfId="27056" priority="2810" operator="greaterThan">
      <formula>1</formula>
    </cfRule>
  </conditionalFormatting>
  <conditionalFormatting sqref="R83">
    <cfRule type="cellIs" dxfId="27055" priority="2807" operator="greaterThan">
      <formula>1</formula>
    </cfRule>
    <cfRule type="cellIs" dxfId="27054" priority="2808" operator="lessThan">
      <formula>0.8</formula>
    </cfRule>
  </conditionalFormatting>
  <conditionalFormatting sqref="P83">
    <cfRule type="cellIs" dxfId="27053" priority="2800" operator="greaterThan">
      <formula>0</formula>
    </cfRule>
  </conditionalFormatting>
  <conditionalFormatting sqref="Q83">
    <cfRule type="cellIs" dxfId="27052" priority="2805" operator="lessThan">
      <formula>0</formula>
    </cfRule>
  </conditionalFormatting>
  <conditionalFormatting sqref="R83">
    <cfRule type="cellIs" dxfId="27051" priority="2803" operator="lessThan">
      <formula>0.8</formula>
    </cfRule>
    <cfRule type="cellIs" dxfId="27050" priority="2804" operator="greaterThan">
      <formula>1</formula>
    </cfRule>
  </conditionalFormatting>
  <conditionalFormatting sqref="R83">
    <cfRule type="cellIs" dxfId="27049" priority="2801" operator="greaterThan">
      <formula>1</formula>
    </cfRule>
    <cfRule type="cellIs" dxfId="27048" priority="2802" operator="lessThan">
      <formula>0.8</formula>
    </cfRule>
  </conditionalFormatting>
  <conditionalFormatting sqref="R83">
    <cfRule type="cellIs" dxfId="27047" priority="2797" operator="lessThan">
      <formula>0.8</formula>
    </cfRule>
    <cfRule type="cellIs" dxfId="27046" priority="2798" operator="greaterThan">
      <formula>1</formula>
    </cfRule>
  </conditionalFormatting>
  <conditionalFormatting sqref="R83">
    <cfRule type="cellIs" dxfId="27045" priority="2795" operator="greaterThan">
      <formula>1</formula>
    </cfRule>
    <cfRule type="cellIs" dxfId="27044" priority="2796" operator="lessThan">
      <formula>0.8</formula>
    </cfRule>
  </conditionalFormatting>
  <conditionalFormatting sqref="P83">
    <cfRule type="cellIs" dxfId="27043" priority="2794" operator="greaterThan">
      <formula>0</formula>
    </cfRule>
  </conditionalFormatting>
  <conditionalFormatting sqref="Q83">
    <cfRule type="cellIs" dxfId="27042" priority="2799" operator="lessThan">
      <formula>0</formula>
    </cfRule>
  </conditionalFormatting>
  <conditionalFormatting sqref="Q83">
    <cfRule type="cellIs" dxfId="27041" priority="2788" operator="lessThan">
      <formula>0</formula>
    </cfRule>
  </conditionalFormatting>
  <conditionalFormatting sqref="P83">
    <cfRule type="cellIs" dxfId="27040" priority="2789" operator="greaterThan">
      <formula>0</formula>
    </cfRule>
  </conditionalFormatting>
  <conditionalFormatting sqref="R83">
    <cfRule type="cellIs" dxfId="27039" priority="2792" operator="lessThan">
      <formula>0.8</formula>
    </cfRule>
    <cfRule type="cellIs" dxfId="27038" priority="2793" operator="greaterThan">
      <formula>1</formula>
    </cfRule>
  </conditionalFormatting>
  <conditionalFormatting sqref="R83">
    <cfRule type="cellIs" dxfId="27037" priority="2790" operator="greaterThan">
      <formula>1</formula>
    </cfRule>
    <cfRule type="cellIs" dxfId="27036" priority="2791" operator="lessThan">
      <formula>0.8</formula>
    </cfRule>
  </conditionalFormatting>
  <conditionalFormatting sqref="Q83">
    <cfRule type="cellIs" dxfId="27035" priority="2782" operator="lessThan">
      <formula>0</formula>
    </cfRule>
  </conditionalFormatting>
  <conditionalFormatting sqref="R83">
    <cfRule type="cellIs" dxfId="27034" priority="2786" operator="lessThan">
      <formula>0.8</formula>
    </cfRule>
    <cfRule type="cellIs" dxfId="27033" priority="2787" operator="greaterThan">
      <formula>1</formula>
    </cfRule>
  </conditionalFormatting>
  <conditionalFormatting sqref="R83">
    <cfRule type="cellIs" dxfId="27032" priority="2784" operator="greaterThan">
      <formula>1</formula>
    </cfRule>
    <cfRule type="cellIs" dxfId="27031" priority="2785" operator="lessThan">
      <formula>0.8</formula>
    </cfRule>
  </conditionalFormatting>
  <conditionalFormatting sqref="P83">
    <cfRule type="cellIs" dxfId="27030" priority="2783" operator="greaterThan">
      <formula>0</formula>
    </cfRule>
  </conditionalFormatting>
  <conditionalFormatting sqref="Q83">
    <cfRule type="cellIs" dxfId="27029" priority="2781" operator="lessThan">
      <formula>0</formula>
    </cfRule>
  </conditionalFormatting>
  <conditionalFormatting sqref="R83">
    <cfRule type="cellIs" dxfId="27028" priority="2779" operator="lessThan">
      <formula>0.8</formula>
    </cfRule>
    <cfRule type="cellIs" dxfId="27027" priority="2780" operator="greaterThan">
      <formula>1</formula>
    </cfRule>
  </conditionalFormatting>
  <conditionalFormatting sqref="R83">
    <cfRule type="cellIs" dxfId="27026" priority="2777" operator="greaterThan">
      <formula>1</formula>
    </cfRule>
    <cfRule type="cellIs" dxfId="27025" priority="2778" operator="lessThan">
      <formula>0.8</formula>
    </cfRule>
  </conditionalFormatting>
  <conditionalFormatting sqref="P83">
    <cfRule type="cellIs" dxfId="27024" priority="2776" operator="greaterThan">
      <formula>0</formula>
    </cfRule>
  </conditionalFormatting>
  <conditionalFormatting sqref="Q83">
    <cfRule type="cellIs" dxfId="27023" priority="2775" operator="lessThan">
      <formula>0</formula>
    </cfRule>
  </conditionalFormatting>
  <conditionalFormatting sqref="R83">
    <cfRule type="cellIs" dxfId="27022" priority="2773" operator="lessThan">
      <formula>0.8</formula>
    </cfRule>
    <cfRule type="cellIs" dxfId="27021" priority="2774" operator="greaterThan">
      <formula>1</formula>
    </cfRule>
  </conditionalFormatting>
  <conditionalFormatting sqref="R83">
    <cfRule type="cellIs" dxfId="27020" priority="2771" operator="greaterThan">
      <formula>1</formula>
    </cfRule>
    <cfRule type="cellIs" dxfId="27019" priority="2772" operator="lessThan">
      <formula>0.8</formula>
    </cfRule>
  </conditionalFormatting>
  <conditionalFormatting sqref="P83">
    <cfRule type="cellIs" dxfId="27018" priority="2770" operator="greaterThan">
      <formula>0</formula>
    </cfRule>
  </conditionalFormatting>
  <conditionalFormatting sqref="Q83">
    <cfRule type="cellIs" dxfId="27017" priority="2769" operator="lessThan">
      <formula>0</formula>
    </cfRule>
  </conditionalFormatting>
  <conditionalFormatting sqref="R83">
    <cfRule type="cellIs" dxfId="27016" priority="2767" operator="lessThan">
      <formula>0.8</formula>
    </cfRule>
    <cfRule type="cellIs" dxfId="27015" priority="2768" operator="greaterThan">
      <formula>1</formula>
    </cfRule>
  </conditionalFormatting>
  <conditionalFormatting sqref="R83">
    <cfRule type="cellIs" dxfId="27014" priority="2765" operator="greaterThan">
      <formula>1</formula>
    </cfRule>
    <cfRule type="cellIs" dxfId="27013" priority="2766" operator="lessThan">
      <formula>0.8</formula>
    </cfRule>
  </conditionalFormatting>
  <conditionalFormatting sqref="P83">
    <cfRule type="cellIs" dxfId="27012" priority="2764" operator="greaterThan">
      <formula>0</formula>
    </cfRule>
  </conditionalFormatting>
  <conditionalFormatting sqref="Q83">
    <cfRule type="cellIs" dxfId="27011" priority="2763" operator="lessThan">
      <formula>0</formula>
    </cfRule>
  </conditionalFormatting>
  <conditionalFormatting sqref="R83">
    <cfRule type="cellIs" dxfId="27010" priority="2761" operator="lessThan">
      <formula>0.8</formula>
    </cfRule>
    <cfRule type="cellIs" dxfId="27009" priority="2762" operator="greaterThan">
      <formula>1</formula>
    </cfRule>
  </conditionalFormatting>
  <conditionalFormatting sqref="R83">
    <cfRule type="cellIs" dxfId="27008" priority="2759" operator="greaterThan">
      <formula>1</formula>
    </cfRule>
    <cfRule type="cellIs" dxfId="27007" priority="2760" operator="lessThan">
      <formula>0.8</formula>
    </cfRule>
  </conditionalFormatting>
  <conditionalFormatting sqref="P83">
    <cfRule type="cellIs" dxfId="27006" priority="2758" operator="greaterThan">
      <formula>0</formula>
    </cfRule>
  </conditionalFormatting>
  <conditionalFormatting sqref="Q83">
    <cfRule type="cellIs" dxfId="27005" priority="2757" operator="lessThan">
      <formula>0</formula>
    </cfRule>
  </conditionalFormatting>
  <conditionalFormatting sqref="R83">
    <cfRule type="cellIs" dxfId="27004" priority="2755" operator="lessThan">
      <formula>0.8</formula>
    </cfRule>
    <cfRule type="cellIs" dxfId="27003" priority="2756" operator="greaterThan">
      <formula>1</formula>
    </cfRule>
  </conditionalFormatting>
  <conditionalFormatting sqref="R83">
    <cfRule type="cellIs" dxfId="27002" priority="2753" operator="greaterThan">
      <formula>1</formula>
    </cfRule>
    <cfRule type="cellIs" dxfId="27001" priority="2754" operator="lessThan">
      <formula>0.8</formula>
    </cfRule>
  </conditionalFormatting>
  <conditionalFormatting sqref="P83">
    <cfRule type="cellIs" dxfId="27000" priority="2752" operator="greaterThan">
      <formula>0</formula>
    </cfRule>
  </conditionalFormatting>
  <conditionalFormatting sqref="Q83">
    <cfRule type="cellIs" dxfId="26999" priority="2751" operator="lessThan">
      <formula>0</formula>
    </cfRule>
  </conditionalFormatting>
  <conditionalFormatting sqref="R83">
    <cfRule type="cellIs" dxfId="26998" priority="2749" operator="lessThan">
      <formula>0.8</formula>
    </cfRule>
    <cfRule type="cellIs" dxfId="26997" priority="2750" operator="greaterThan">
      <formula>1</formula>
    </cfRule>
  </conditionalFormatting>
  <conditionalFormatting sqref="R83">
    <cfRule type="cellIs" dxfId="26996" priority="2747" operator="greaterThan">
      <formula>1</formula>
    </cfRule>
    <cfRule type="cellIs" dxfId="26995" priority="2748" operator="lessThan">
      <formula>0.8</formula>
    </cfRule>
  </conditionalFormatting>
  <conditionalFormatting sqref="P83">
    <cfRule type="cellIs" dxfId="26994" priority="2746" operator="greaterThan">
      <formula>0</formula>
    </cfRule>
  </conditionalFormatting>
  <conditionalFormatting sqref="Q83">
    <cfRule type="cellIs" dxfId="26993" priority="2745" operator="lessThan">
      <formula>0</formula>
    </cfRule>
  </conditionalFormatting>
  <conditionalFormatting sqref="R83">
    <cfRule type="cellIs" dxfId="26992" priority="2743" operator="lessThan">
      <formula>0.8</formula>
    </cfRule>
    <cfRule type="cellIs" dxfId="26991" priority="2744" operator="greaterThan">
      <formula>1</formula>
    </cfRule>
  </conditionalFormatting>
  <conditionalFormatting sqref="R83">
    <cfRule type="cellIs" dxfId="26990" priority="2741" operator="greaterThan">
      <formula>1</formula>
    </cfRule>
    <cfRule type="cellIs" dxfId="26989" priority="2742" operator="lessThan">
      <formula>0.8</formula>
    </cfRule>
  </conditionalFormatting>
  <conditionalFormatting sqref="P83">
    <cfRule type="cellIs" dxfId="26988" priority="2740" operator="greaterThan">
      <formula>0</formula>
    </cfRule>
  </conditionalFormatting>
  <conditionalFormatting sqref="P83">
    <cfRule type="cellIs" dxfId="26987" priority="2734" operator="greaterThan">
      <formula>0</formula>
    </cfRule>
  </conditionalFormatting>
  <conditionalFormatting sqref="Q83">
    <cfRule type="cellIs" dxfId="26986" priority="2739" operator="lessThan">
      <formula>0</formula>
    </cfRule>
  </conditionalFormatting>
  <conditionalFormatting sqref="R83">
    <cfRule type="cellIs" dxfId="26985" priority="2737" operator="lessThan">
      <formula>0.8</formula>
    </cfRule>
    <cfRule type="cellIs" dxfId="26984" priority="2738" operator="greaterThan">
      <formula>1</formula>
    </cfRule>
  </conditionalFormatting>
  <conditionalFormatting sqref="R83">
    <cfRule type="cellIs" dxfId="26983" priority="2735" operator="greaterThan">
      <formula>1</formula>
    </cfRule>
    <cfRule type="cellIs" dxfId="26982" priority="2736" operator="lessThan">
      <formula>0.8</formula>
    </cfRule>
  </conditionalFormatting>
  <conditionalFormatting sqref="P83">
    <cfRule type="cellIs" dxfId="26981" priority="2728" operator="greaterThan">
      <formula>0</formula>
    </cfRule>
  </conditionalFormatting>
  <conditionalFormatting sqref="Q83">
    <cfRule type="cellIs" dxfId="26980" priority="2733" operator="lessThan">
      <formula>0</formula>
    </cfRule>
  </conditionalFormatting>
  <conditionalFormatting sqref="R83">
    <cfRule type="cellIs" dxfId="26979" priority="2731" operator="lessThan">
      <formula>0.8</formula>
    </cfRule>
    <cfRule type="cellIs" dxfId="26978" priority="2732" operator="greaterThan">
      <formula>1</formula>
    </cfRule>
  </conditionalFormatting>
  <conditionalFormatting sqref="R83">
    <cfRule type="cellIs" dxfId="26977" priority="2729" operator="greaterThan">
      <formula>1</formula>
    </cfRule>
    <cfRule type="cellIs" dxfId="26976" priority="2730" operator="lessThan">
      <formula>0.8</formula>
    </cfRule>
  </conditionalFormatting>
  <conditionalFormatting sqref="R83">
    <cfRule type="cellIs" dxfId="26975" priority="2725" operator="lessThan">
      <formula>0.8</formula>
    </cfRule>
    <cfRule type="cellIs" dxfId="26974" priority="2726" operator="greaterThan">
      <formula>1</formula>
    </cfRule>
  </conditionalFormatting>
  <conditionalFormatting sqref="R83">
    <cfRule type="cellIs" dxfId="26973" priority="2723" operator="greaterThan">
      <formula>1</formula>
    </cfRule>
    <cfRule type="cellIs" dxfId="26972" priority="2724" operator="lessThan">
      <formula>0.8</formula>
    </cfRule>
  </conditionalFormatting>
  <conditionalFormatting sqref="P83">
    <cfRule type="cellIs" dxfId="26971" priority="2722" operator="greaterThan">
      <formula>0</formula>
    </cfRule>
  </conditionalFormatting>
  <conditionalFormatting sqref="Q83">
    <cfRule type="cellIs" dxfId="26970" priority="2727" operator="lessThan">
      <formula>0</formula>
    </cfRule>
  </conditionalFormatting>
  <conditionalFormatting sqref="Q83">
    <cfRule type="cellIs" dxfId="26969" priority="2721" operator="lessThan">
      <formula>0</formula>
    </cfRule>
  </conditionalFormatting>
  <conditionalFormatting sqref="R83">
    <cfRule type="cellIs" dxfId="26968" priority="2719" operator="lessThan">
      <formula>0.8</formula>
    </cfRule>
    <cfRule type="cellIs" dxfId="26967" priority="2720" operator="greaterThan">
      <formula>1</formula>
    </cfRule>
  </conditionalFormatting>
  <conditionalFormatting sqref="R83">
    <cfRule type="cellIs" dxfId="26966" priority="2717" operator="greaterThan">
      <formula>1</formula>
    </cfRule>
    <cfRule type="cellIs" dxfId="26965" priority="2718" operator="lessThan">
      <formula>0.8</formula>
    </cfRule>
  </conditionalFormatting>
  <conditionalFormatting sqref="P83">
    <cfRule type="cellIs" dxfId="26964" priority="2716" operator="greaterThan">
      <formula>0</formula>
    </cfRule>
  </conditionalFormatting>
  <conditionalFormatting sqref="P83">
    <cfRule type="cellIs" dxfId="26963" priority="2710" operator="greaterThan">
      <formula>0</formula>
    </cfRule>
  </conditionalFormatting>
  <conditionalFormatting sqref="Q83">
    <cfRule type="cellIs" dxfId="26962" priority="2715" operator="lessThan">
      <formula>0</formula>
    </cfRule>
  </conditionalFormatting>
  <conditionalFormatting sqref="R83">
    <cfRule type="cellIs" dxfId="26961" priority="2713" operator="lessThan">
      <formula>0.8</formula>
    </cfRule>
    <cfRule type="cellIs" dxfId="26960" priority="2714" operator="greaterThan">
      <formula>1</formula>
    </cfRule>
  </conditionalFormatting>
  <conditionalFormatting sqref="R83">
    <cfRule type="cellIs" dxfId="26959" priority="2711" operator="greaterThan">
      <formula>1</formula>
    </cfRule>
    <cfRule type="cellIs" dxfId="26958" priority="2712" operator="lessThan">
      <formula>0.8</formula>
    </cfRule>
  </conditionalFormatting>
  <conditionalFormatting sqref="P83">
    <cfRule type="cellIs" dxfId="26957" priority="2704" operator="greaterThan">
      <formula>0</formula>
    </cfRule>
  </conditionalFormatting>
  <conditionalFormatting sqref="Q83">
    <cfRule type="cellIs" dxfId="26956" priority="2709" operator="lessThan">
      <formula>0</formula>
    </cfRule>
  </conditionalFormatting>
  <conditionalFormatting sqref="R83">
    <cfRule type="cellIs" dxfId="26955" priority="2707" operator="lessThan">
      <formula>0.8</formula>
    </cfRule>
    <cfRule type="cellIs" dxfId="26954" priority="2708" operator="greaterThan">
      <formula>1</formula>
    </cfRule>
  </conditionalFormatting>
  <conditionalFormatting sqref="R83">
    <cfRule type="cellIs" dxfId="26953" priority="2705" operator="greaterThan">
      <formula>1</formula>
    </cfRule>
    <cfRule type="cellIs" dxfId="26952" priority="2706" operator="lessThan">
      <formula>0.8</formula>
    </cfRule>
  </conditionalFormatting>
  <conditionalFormatting sqref="R83">
    <cfRule type="cellIs" dxfId="26951" priority="2701" operator="lessThan">
      <formula>0.8</formula>
    </cfRule>
    <cfRule type="cellIs" dxfId="26950" priority="2702" operator="greaterThan">
      <formula>1</formula>
    </cfRule>
  </conditionalFormatting>
  <conditionalFormatting sqref="R83">
    <cfRule type="cellIs" dxfId="26949" priority="2699" operator="greaterThan">
      <formula>1</formula>
    </cfRule>
    <cfRule type="cellIs" dxfId="26948" priority="2700" operator="lessThan">
      <formula>0.8</formula>
    </cfRule>
  </conditionalFormatting>
  <conditionalFormatting sqref="P83">
    <cfRule type="cellIs" dxfId="26947" priority="2698" operator="greaterThan">
      <formula>0</formula>
    </cfRule>
  </conditionalFormatting>
  <conditionalFormatting sqref="Q83">
    <cfRule type="cellIs" dxfId="26946" priority="2703" operator="lessThan">
      <formula>0</formula>
    </cfRule>
  </conditionalFormatting>
  <conditionalFormatting sqref="P83">
    <cfRule type="cellIs" dxfId="26945" priority="2692" operator="greaterThan">
      <formula>0</formula>
    </cfRule>
  </conditionalFormatting>
  <conditionalFormatting sqref="Q83">
    <cfRule type="cellIs" dxfId="26944" priority="2697" operator="lessThan">
      <formula>0</formula>
    </cfRule>
  </conditionalFormatting>
  <conditionalFormatting sqref="R83">
    <cfRule type="cellIs" dxfId="26943" priority="2695" operator="lessThan">
      <formula>0.8</formula>
    </cfRule>
    <cfRule type="cellIs" dxfId="26942" priority="2696" operator="greaterThan">
      <formula>1</formula>
    </cfRule>
  </conditionalFormatting>
  <conditionalFormatting sqref="R83">
    <cfRule type="cellIs" dxfId="26941" priority="2693" operator="greaterThan">
      <formula>1</formula>
    </cfRule>
    <cfRule type="cellIs" dxfId="26940" priority="2694" operator="lessThan">
      <formula>0.8</formula>
    </cfRule>
  </conditionalFormatting>
  <conditionalFormatting sqref="R83">
    <cfRule type="cellIs" dxfId="26939" priority="2689" operator="lessThan">
      <formula>0.8</formula>
    </cfRule>
    <cfRule type="cellIs" dxfId="26938" priority="2690" operator="greaterThan">
      <formula>1</formula>
    </cfRule>
  </conditionalFormatting>
  <conditionalFormatting sqref="R83">
    <cfRule type="cellIs" dxfId="26937" priority="2687" operator="greaterThan">
      <formula>1</formula>
    </cfRule>
    <cfRule type="cellIs" dxfId="26936" priority="2688" operator="lessThan">
      <formula>0.8</formula>
    </cfRule>
  </conditionalFormatting>
  <conditionalFormatting sqref="P83">
    <cfRule type="cellIs" dxfId="26935" priority="2686" operator="greaterThan">
      <formula>0</formula>
    </cfRule>
  </conditionalFormatting>
  <conditionalFormatting sqref="Q83">
    <cfRule type="cellIs" dxfId="26934" priority="2691" operator="lessThan">
      <formula>0</formula>
    </cfRule>
  </conditionalFormatting>
  <conditionalFormatting sqref="R83">
    <cfRule type="cellIs" dxfId="26933" priority="2683" operator="lessThan">
      <formula>0.8</formula>
    </cfRule>
    <cfRule type="cellIs" dxfId="26932" priority="2684" operator="greaterThan">
      <formula>1</formula>
    </cfRule>
  </conditionalFormatting>
  <conditionalFormatting sqref="R83">
    <cfRule type="cellIs" dxfId="26931" priority="2681" operator="greaterThan">
      <formula>1</formula>
    </cfRule>
    <cfRule type="cellIs" dxfId="26930" priority="2682" operator="lessThan">
      <formula>0.8</formula>
    </cfRule>
  </conditionalFormatting>
  <conditionalFormatting sqref="P83">
    <cfRule type="cellIs" dxfId="26929" priority="2680" operator="greaterThan">
      <formula>0</formula>
    </cfRule>
  </conditionalFormatting>
  <conditionalFormatting sqref="Q83">
    <cfRule type="cellIs" dxfId="26928" priority="2685" operator="lessThan">
      <formula>0</formula>
    </cfRule>
  </conditionalFormatting>
  <conditionalFormatting sqref="Q83">
    <cfRule type="cellIs" dxfId="26927" priority="2679" operator="lessThan">
      <formula>0</formula>
    </cfRule>
  </conditionalFormatting>
  <conditionalFormatting sqref="R83">
    <cfRule type="cellIs" dxfId="26926" priority="2677" operator="lessThan">
      <formula>0.8</formula>
    </cfRule>
    <cfRule type="cellIs" dxfId="26925" priority="2678" operator="greaterThan">
      <formula>1</formula>
    </cfRule>
  </conditionalFormatting>
  <conditionalFormatting sqref="R83">
    <cfRule type="cellIs" dxfId="26924" priority="2675" operator="greaterThan">
      <formula>1</formula>
    </cfRule>
    <cfRule type="cellIs" dxfId="26923" priority="2676" operator="lessThan">
      <formula>0.8</formula>
    </cfRule>
  </conditionalFormatting>
  <conditionalFormatting sqref="P83">
    <cfRule type="cellIs" dxfId="26922" priority="2674" operator="greaterThan">
      <formula>0</formula>
    </cfRule>
  </conditionalFormatting>
  <conditionalFormatting sqref="Q83">
    <cfRule type="cellIs" dxfId="26921" priority="2668" operator="lessThan">
      <formula>0</formula>
    </cfRule>
  </conditionalFormatting>
  <conditionalFormatting sqref="R83">
    <cfRule type="cellIs" dxfId="26920" priority="2672" operator="lessThan">
      <formula>0.8</formula>
    </cfRule>
    <cfRule type="cellIs" dxfId="26919" priority="2673" operator="greaterThan">
      <formula>1</formula>
    </cfRule>
  </conditionalFormatting>
  <conditionalFormatting sqref="R83">
    <cfRule type="cellIs" dxfId="26918" priority="2670" operator="greaterThan">
      <formula>1</formula>
    </cfRule>
    <cfRule type="cellIs" dxfId="26917" priority="2671" operator="lessThan">
      <formula>0.8</formula>
    </cfRule>
  </conditionalFormatting>
  <conditionalFormatting sqref="P83">
    <cfRule type="cellIs" dxfId="26916" priority="2669" operator="greaterThan">
      <formula>0</formula>
    </cfRule>
  </conditionalFormatting>
  <conditionalFormatting sqref="Q83">
    <cfRule type="cellIs" dxfId="26915" priority="2667" operator="lessThan">
      <formula>0</formula>
    </cfRule>
  </conditionalFormatting>
  <conditionalFormatting sqref="R83">
    <cfRule type="cellIs" dxfId="26914" priority="2665" operator="lessThan">
      <formula>0.8</formula>
    </cfRule>
    <cfRule type="cellIs" dxfId="26913" priority="2666" operator="greaterThan">
      <formula>1</formula>
    </cfRule>
  </conditionalFormatting>
  <conditionalFormatting sqref="R83">
    <cfRule type="cellIs" dxfId="26912" priority="2663" operator="greaterThan">
      <formula>1</formula>
    </cfRule>
    <cfRule type="cellIs" dxfId="26911" priority="2664" operator="lessThan">
      <formula>0.8</formula>
    </cfRule>
  </conditionalFormatting>
  <conditionalFormatting sqref="P83">
    <cfRule type="cellIs" dxfId="26910" priority="2662" operator="greaterThan">
      <formula>0</formula>
    </cfRule>
  </conditionalFormatting>
  <conditionalFormatting sqref="Q83">
    <cfRule type="cellIs" dxfId="26909" priority="2661" operator="lessThan">
      <formula>0</formula>
    </cfRule>
  </conditionalFormatting>
  <conditionalFormatting sqref="R83">
    <cfRule type="cellIs" dxfId="26908" priority="2659" operator="lessThan">
      <formula>0.8</formula>
    </cfRule>
    <cfRule type="cellIs" dxfId="26907" priority="2660" operator="greaterThan">
      <formula>1</formula>
    </cfRule>
  </conditionalFormatting>
  <conditionalFormatting sqref="R83">
    <cfRule type="cellIs" dxfId="26906" priority="2657" operator="greaterThan">
      <formula>1</formula>
    </cfRule>
    <cfRule type="cellIs" dxfId="26905" priority="2658" operator="lessThan">
      <formula>0.8</formula>
    </cfRule>
  </conditionalFormatting>
  <conditionalFormatting sqref="P83">
    <cfRule type="cellIs" dxfId="26904" priority="2656" operator="greaterThan">
      <formula>0</formula>
    </cfRule>
  </conditionalFormatting>
  <conditionalFormatting sqref="Q83">
    <cfRule type="cellIs" dxfId="26903" priority="2655" operator="lessThan">
      <formula>0</formula>
    </cfRule>
  </conditionalFormatting>
  <conditionalFormatting sqref="R83">
    <cfRule type="cellIs" dxfId="26902" priority="2653" operator="lessThan">
      <formula>0.8</formula>
    </cfRule>
    <cfRule type="cellIs" dxfId="26901" priority="2654" operator="greaterThan">
      <formula>1</formula>
    </cfRule>
  </conditionalFormatting>
  <conditionalFormatting sqref="R83">
    <cfRule type="cellIs" dxfId="26900" priority="2651" operator="greaterThan">
      <formula>1</formula>
    </cfRule>
    <cfRule type="cellIs" dxfId="26899" priority="2652" operator="lessThan">
      <formula>0.8</formula>
    </cfRule>
  </conditionalFormatting>
  <conditionalFormatting sqref="P83">
    <cfRule type="cellIs" dxfId="26898" priority="2650" operator="greaterThan">
      <formula>0</formula>
    </cfRule>
  </conditionalFormatting>
  <conditionalFormatting sqref="Q83">
    <cfRule type="cellIs" dxfId="26897" priority="2649" operator="lessThan">
      <formula>0</formula>
    </cfRule>
  </conditionalFormatting>
  <conditionalFormatting sqref="R83">
    <cfRule type="cellIs" dxfId="26896" priority="2647" operator="lessThan">
      <formula>0.8</formula>
    </cfRule>
    <cfRule type="cellIs" dxfId="26895" priority="2648" operator="greaterThan">
      <formula>1</formula>
    </cfRule>
  </conditionalFormatting>
  <conditionalFormatting sqref="R83">
    <cfRule type="cellIs" dxfId="26894" priority="2645" operator="greaterThan">
      <formula>1</formula>
    </cfRule>
    <cfRule type="cellIs" dxfId="26893" priority="2646" operator="lessThan">
      <formula>0.8</formula>
    </cfRule>
  </conditionalFormatting>
  <conditionalFormatting sqref="P83">
    <cfRule type="cellIs" dxfId="26892" priority="2644" operator="greaterThan">
      <formula>0</formula>
    </cfRule>
  </conditionalFormatting>
  <conditionalFormatting sqref="Q83">
    <cfRule type="cellIs" dxfId="26891" priority="2643" operator="lessThan">
      <formula>0</formula>
    </cfRule>
  </conditionalFormatting>
  <conditionalFormatting sqref="R83">
    <cfRule type="cellIs" dxfId="26890" priority="2641" operator="lessThan">
      <formula>0.8</formula>
    </cfRule>
    <cfRule type="cellIs" dxfId="26889" priority="2642" operator="greaterThan">
      <formula>1</formula>
    </cfRule>
  </conditionalFormatting>
  <conditionalFormatting sqref="R83">
    <cfRule type="cellIs" dxfId="26888" priority="2639" operator="greaterThan">
      <formula>1</formula>
    </cfRule>
    <cfRule type="cellIs" dxfId="26887" priority="2640" operator="lessThan">
      <formula>0.8</formula>
    </cfRule>
  </conditionalFormatting>
  <conditionalFormatting sqref="P83">
    <cfRule type="cellIs" dxfId="26886" priority="2638" operator="greaterThan">
      <formula>0</formula>
    </cfRule>
  </conditionalFormatting>
  <conditionalFormatting sqref="P83">
    <cfRule type="cellIs" dxfId="26885" priority="2632" operator="greaterThan">
      <formula>0</formula>
    </cfRule>
  </conditionalFormatting>
  <conditionalFormatting sqref="Q83">
    <cfRule type="cellIs" dxfId="26884" priority="2637" operator="lessThan">
      <formula>0</formula>
    </cfRule>
  </conditionalFormatting>
  <conditionalFormatting sqref="R83">
    <cfRule type="cellIs" dxfId="26883" priority="2635" operator="lessThan">
      <formula>0.8</formula>
    </cfRule>
    <cfRule type="cellIs" dxfId="26882" priority="2636" operator="greaterThan">
      <formula>1</formula>
    </cfRule>
  </conditionalFormatting>
  <conditionalFormatting sqref="R83">
    <cfRule type="cellIs" dxfId="26881" priority="2633" operator="greaterThan">
      <formula>1</formula>
    </cfRule>
    <cfRule type="cellIs" dxfId="26880" priority="2634" operator="lessThan">
      <formula>0.8</formula>
    </cfRule>
  </conditionalFormatting>
  <conditionalFormatting sqref="P83">
    <cfRule type="cellIs" dxfId="26879" priority="2626" operator="greaterThan">
      <formula>0</formula>
    </cfRule>
  </conditionalFormatting>
  <conditionalFormatting sqref="Q83">
    <cfRule type="cellIs" dxfId="26878" priority="2631" operator="lessThan">
      <formula>0</formula>
    </cfRule>
  </conditionalFormatting>
  <conditionalFormatting sqref="R83">
    <cfRule type="cellIs" dxfId="26877" priority="2629" operator="lessThan">
      <formula>0.8</formula>
    </cfRule>
    <cfRule type="cellIs" dxfId="26876" priority="2630" operator="greaterThan">
      <formula>1</formula>
    </cfRule>
  </conditionalFormatting>
  <conditionalFormatting sqref="R83">
    <cfRule type="cellIs" dxfId="26875" priority="2627" operator="greaterThan">
      <formula>1</formula>
    </cfRule>
    <cfRule type="cellIs" dxfId="26874" priority="2628" operator="lessThan">
      <formula>0.8</formula>
    </cfRule>
  </conditionalFormatting>
  <conditionalFormatting sqref="R83">
    <cfRule type="cellIs" dxfId="26873" priority="2623" operator="lessThan">
      <formula>0.8</formula>
    </cfRule>
    <cfRule type="cellIs" dxfId="26872" priority="2624" operator="greaterThan">
      <formula>1</formula>
    </cfRule>
  </conditionalFormatting>
  <conditionalFormatting sqref="R83">
    <cfRule type="cellIs" dxfId="26871" priority="2621" operator="greaterThan">
      <formula>1</formula>
    </cfRule>
    <cfRule type="cellIs" dxfId="26870" priority="2622" operator="lessThan">
      <formula>0.8</formula>
    </cfRule>
  </conditionalFormatting>
  <conditionalFormatting sqref="P83">
    <cfRule type="cellIs" dxfId="26869" priority="2620" operator="greaterThan">
      <formula>0</formula>
    </cfRule>
  </conditionalFormatting>
  <conditionalFormatting sqref="Q83">
    <cfRule type="cellIs" dxfId="26868" priority="2625" operator="lessThan">
      <formula>0</formula>
    </cfRule>
  </conditionalFormatting>
  <conditionalFormatting sqref="P123 P125:P126 P128:P130">
    <cfRule type="cellIs" dxfId="26867" priority="2614" operator="greaterThan">
      <formula>0</formula>
    </cfRule>
  </conditionalFormatting>
  <conditionalFormatting sqref="Q123 Q125:Q126 Q128:Q130">
    <cfRule type="cellIs" dxfId="26866" priority="2619" operator="lessThan">
      <formula>0</formula>
    </cfRule>
  </conditionalFormatting>
  <conditionalFormatting sqref="R123 R125:R126 R128:R130">
    <cfRule type="cellIs" dxfId="26865" priority="2617" operator="lessThan">
      <formula>0.8</formula>
    </cfRule>
    <cfRule type="cellIs" dxfId="26864" priority="2618" operator="greaterThan">
      <formula>1</formula>
    </cfRule>
  </conditionalFormatting>
  <conditionalFormatting sqref="R123 R125:R126 R128:R130">
    <cfRule type="cellIs" dxfId="26863" priority="2615" operator="greaterThan">
      <formula>1</formula>
    </cfRule>
    <cfRule type="cellIs" dxfId="26862" priority="2616" operator="lessThan">
      <formula>0.8</formula>
    </cfRule>
  </conditionalFormatting>
  <conditionalFormatting sqref="Q123 Q125:Q126 Q128:Q130">
    <cfRule type="cellIs" dxfId="26861" priority="2613" operator="lessThan">
      <formula>0</formula>
    </cfRule>
  </conditionalFormatting>
  <conditionalFormatting sqref="R123 R125:R126 R128:R130">
    <cfRule type="cellIs" dxfId="26860" priority="2611" operator="lessThan">
      <formula>0.8</formula>
    </cfRule>
    <cfRule type="cellIs" dxfId="26859" priority="2612" operator="greaterThan">
      <formula>1</formula>
    </cfRule>
  </conditionalFormatting>
  <conditionalFormatting sqref="R123 R125:R126 R128:R130">
    <cfRule type="cellIs" dxfId="26858" priority="2609" operator="greaterThan">
      <formula>1</formula>
    </cfRule>
    <cfRule type="cellIs" dxfId="26857" priority="2610" operator="lessThan">
      <formula>0.8</formula>
    </cfRule>
  </conditionalFormatting>
  <conditionalFormatting sqref="P123 P125:P126 P128:P130">
    <cfRule type="cellIs" dxfId="26856" priority="2608" operator="greaterThan">
      <formula>0</formula>
    </cfRule>
  </conditionalFormatting>
  <conditionalFormatting sqref="Q31">
    <cfRule type="cellIs" dxfId="26855" priority="2607" operator="lessThan">
      <formula>0</formula>
    </cfRule>
  </conditionalFormatting>
  <conditionalFormatting sqref="R31">
    <cfRule type="cellIs" dxfId="26854" priority="2605" operator="lessThan">
      <formula>0.8</formula>
    </cfRule>
    <cfRule type="cellIs" dxfId="26853" priority="2606" operator="greaterThan">
      <formula>1</formula>
    </cfRule>
  </conditionalFormatting>
  <conditionalFormatting sqref="R31">
    <cfRule type="cellIs" dxfId="26852" priority="2603" operator="greaterThan">
      <formula>1</formula>
    </cfRule>
    <cfRule type="cellIs" dxfId="26851" priority="2604" operator="lessThan">
      <formula>0.8</formula>
    </cfRule>
  </conditionalFormatting>
  <conditionalFormatting sqref="P31">
    <cfRule type="cellIs" dxfId="26850" priority="2602" operator="greaterThan">
      <formula>0</formula>
    </cfRule>
  </conditionalFormatting>
  <conditionalFormatting sqref="Q31">
    <cfRule type="cellIs" dxfId="26849" priority="2601" operator="lessThan">
      <formula>0</formula>
    </cfRule>
  </conditionalFormatting>
  <conditionalFormatting sqref="R31">
    <cfRule type="cellIs" dxfId="26848" priority="2599" operator="lessThan">
      <formula>0.8</formula>
    </cfRule>
    <cfRule type="cellIs" dxfId="26847" priority="2600" operator="greaterThan">
      <formula>1</formula>
    </cfRule>
  </conditionalFormatting>
  <conditionalFormatting sqref="R31">
    <cfRule type="cellIs" dxfId="26846" priority="2597" operator="greaterThan">
      <formula>1</formula>
    </cfRule>
    <cfRule type="cellIs" dxfId="26845" priority="2598" operator="lessThan">
      <formula>0.8</formula>
    </cfRule>
  </conditionalFormatting>
  <conditionalFormatting sqref="P31">
    <cfRule type="cellIs" dxfId="26844" priority="2596" operator="greaterThan">
      <formula>0</formula>
    </cfRule>
  </conditionalFormatting>
  <conditionalFormatting sqref="Q31">
    <cfRule type="cellIs" dxfId="26843" priority="2595" operator="lessThan">
      <formula>0</formula>
    </cfRule>
  </conditionalFormatting>
  <conditionalFormatting sqref="R31">
    <cfRule type="cellIs" dxfId="26842" priority="2593" operator="lessThan">
      <formula>0.8</formula>
    </cfRule>
    <cfRule type="cellIs" dxfId="26841" priority="2594" operator="greaterThan">
      <formula>1</formula>
    </cfRule>
  </conditionalFormatting>
  <conditionalFormatting sqref="R31">
    <cfRule type="cellIs" dxfId="26840" priority="2591" operator="greaterThan">
      <formula>1</formula>
    </cfRule>
    <cfRule type="cellIs" dxfId="26839" priority="2592" operator="lessThan">
      <formula>0.8</formula>
    </cfRule>
  </conditionalFormatting>
  <conditionalFormatting sqref="P31">
    <cfRule type="cellIs" dxfId="26838" priority="2590" operator="greaterThan">
      <formula>0</formula>
    </cfRule>
  </conditionalFormatting>
  <conditionalFormatting sqref="Q31">
    <cfRule type="cellIs" dxfId="26837" priority="2589" operator="lessThan">
      <formula>0</formula>
    </cfRule>
  </conditionalFormatting>
  <conditionalFormatting sqref="R31">
    <cfRule type="cellIs" dxfId="26836" priority="2587" operator="lessThan">
      <formula>0.8</formula>
    </cfRule>
    <cfRule type="cellIs" dxfId="26835" priority="2588" operator="greaterThan">
      <formula>1</formula>
    </cfRule>
  </conditionalFormatting>
  <conditionalFormatting sqref="R31">
    <cfRule type="cellIs" dxfId="26834" priority="2585" operator="greaterThan">
      <formula>1</formula>
    </cfRule>
    <cfRule type="cellIs" dxfId="26833" priority="2586" operator="lessThan">
      <formula>0.8</formula>
    </cfRule>
  </conditionalFormatting>
  <conditionalFormatting sqref="P31">
    <cfRule type="cellIs" dxfId="26832" priority="2584" operator="greaterThan">
      <formula>0</formula>
    </cfRule>
  </conditionalFormatting>
  <conditionalFormatting sqref="P31">
    <cfRule type="cellIs" dxfId="26831" priority="2578" operator="greaterThan">
      <formula>0</formula>
    </cfRule>
  </conditionalFormatting>
  <conditionalFormatting sqref="Q31">
    <cfRule type="cellIs" dxfId="26830" priority="2583" operator="lessThan">
      <formula>0</formula>
    </cfRule>
  </conditionalFormatting>
  <conditionalFormatting sqref="R31">
    <cfRule type="cellIs" dxfId="26829" priority="2581" operator="lessThan">
      <formula>0.8</formula>
    </cfRule>
    <cfRule type="cellIs" dxfId="26828" priority="2582" operator="greaterThan">
      <formula>1</formula>
    </cfRule>
  </conditionalFormatting>
  <conditionalFormatting sqref="R31">
    <cfRule type="cellIs" dxfId="26827" priority="2579" operator="greaterThan">
      <formula>1</formula>
    </cfRule>
    <cfRule type="cellIs" dxfId="26826" priority="2580" operator="lessThan">
      <formula>0.8</formula>
    </cfRule>
  </conditionalFormatting>
  <conditionalFormatting sqref="P31">
    <cfRule type="cellIs" dxfId="26825" priority="2572" operator="greaterThan">
      <formula>0</formula>
    </cfRule>
  </conditionalFormatting>
  <conditionalFormatting sqref="Q31">
    <cfRule type="cellIs" dxfId="26824" priority="2577" operator="lessThan">
      <formula>0</formula>
    </cfRule>
  </conditionalFormatting>
  <conditionalFormatting sqref="R31">
    <cfRule type="cellIs" dxfId="26823" priority="2575" operator="lessThan">
      <formula>0.8</formula>
    </cfRule>
    <cfRule type="cellIs" dxfId="26822" priority="2576" operator="greaterThan">
      <formula>1</formula>
    </cfRule>
  </conditionalFormatting>
  <conditionalFormatting sqref="R31">
    <cfRule type="cellIs" dxfId="26821" priority="2573" operator="greaterThan">
      <formula>1</formula>
    </cfRule>
    <cfRule type="cellIs" dxfId="26820" priority="2574" operator="lessThan">
      <formula>0.8</formula>
    </cfRule>
  </conditionalFormatting>
  <conditionalFormatting sqref="R31">
    <cfRule type="cellIs" dxfId="26819" priority="2569" operator="lessThan">
      <formula>0.8</formula>
    </cfRule>
    <cfRule type="cellIs" dxfId="26818" priority="2570" operator="greaterThan">
      <formula>1</formula>
    </cfRule>
  </conditionalFormatting>
  <conditionalFormatting sqref="R31">
    <cfRule type="cellIs" dxfId="26817" priority="2567" operator="greaterThan">
      <formula>1</formula>
    </cfRule>
    <cfRule type="cellIs" dxfId="26816" priority="2568" operator="lessThan">
      <formula>0.8</formula>
    </cfRule>
  </conditionalFormatting>
  <conditionalFormatting sqref="P31">
    <cfRule type="cellIs" dxfId="26815" priority="2566" operator="greaterThan">
      <formula>0</formula>
    </cfRule>
  </conditionalFormatting>
  <conditionalFormatting sqref="Q31">
    <cfRule type="cellIs" dxfId="26814" priority="2571" operator="lessThan">
      <formula>0</formula>
    </cfRule>
  </conditionalFormatting>
  <conditionalFormatting sqref="Q31">
    <cfRule type="cellIs" dxfId="26813" priority="2565" operator="lessThan">
      <formula>0</formula>
    </cfRule>
  </conditionalFormatting>
  <conditionalFormatting sqref="R31">
    <cfRule type="cellIs" dxfId="26812" priority="2563" operator="lessThan">
      <formula>0.8</formula>
    </cfRule>
    <cfRule type="cellIs" dxfId="26811" priority="2564" operator="greaterThan">
      <formula>1</formula>
    </cfRule>
  </conditionalFormatting>
  <conditionalFormatting sqref="R31">
    <cfRule type="cellIs" dxfId="26810" priority="2561" operator="greaterThan">
      <formula>1</formula>
    </cfRule>
    <cfRule type="cellIs" dxfId="26809" priority="2562" operator="lessThan">
      <formula>0.8</formula>
    </cfRule>
  </conditionalFormatting>
  <conditionalFormatting sqref="P31">
    <cfRule type="cellIs" dxfId="26808" priority="2560" operator="greaterThan">
      <formula>0</formula>
    </cfRule>
  </conditionalFormatting>
  <conditionalFormatting sqref="P31">
    <cfRule type="cellIs" dxfId="26807" priority="2554" operator="greaterThan">
      <formula>0</formula>
    </cfRule>
  </conditionalFormatting>
  <conditionalFormatting sqref="Q31">
    <cfRule type="cellIs" dxfId="26806" priority="2559" operator="lessThan">
      <formula>0</formula>
    </cfRule>
  </conditionalFormatting>
  <conditionalFormatting sqref="R31">
    <cfRule type="cellIs" dxfId="26805" priority="2557" operator="lessThan">
      <formula>0.8</formula>
    </cfRule>
    <cfRule type="cellIs" dxfId="26804" priority="2558" operator="greaterThan">
      <formula>1</formula>
    </cfRule>
  </conditionalFormatting>
  <conditionalFormatting sqref="R31">
    <cfRule type="cellIs" dxfId="26803" priority="2555" operator="greaterThan">
      <formula>1</formula>
    </cfRule>
    <cfRule type="cellIs" dxfId="26802" priority="2556" operator="lessThan">
      <formula>0.8</formula>
    </cfRule>
  </conditionalFormatting>
  <conditionalFormatting sqref="P31">
    <cfRule type="cellIs" dxfId="26801" priority="2548" operator="greaterThan">
      <formula>0</formula>
    </cfRule>
  </conditionalFormatting>
  <conditionalFormatting sqref="Q31">
    <cfRule type="cellIs" dxfId="26800" priority="2553" operator="lessThan">
      <formula>0</formula>
    </cfRule>
  </conditionalFormatting>
  <conditionalFormatting sqref="R31">
    <cfRule type="cellIs" dxfId="26799" priority="2551" operator="lessThan">
      <formula>0.8</formula>
    </cfRule>
    <cfRule type="cellIs" dxfId="26798" priority="2552" operator="greaterThan">
      <formula>1</formula>
    </cfRule>
  </conditionalFormatting>
  <conditionalFormatting sqref="R31">
    <cfRule type="cellIs" dxfId="26797" priority="2549" operator="greaterThan">
      <formula>1</formula>
    </cfRule>
    <cfRule type="cellIs" dxfId="26796" priority="2550" operator="lessThan">
      <formula>0.8</formula>
    </cfRule>
  </conditionalFormatting>
  <conditionalFormatting sqref="R31">
    <cfRule type="cellIs" dxfId="26795" priority="2545" operator="lessThan">
      <formula>0.8</formula>
    </cfRule>
    <cfRule type="cellIs" dxfId="26794" priority="2546" operator="greaterThan">
      <formula>1</formula>
    </cfRule>
  </conditionalFormatting>
  <conditionalFormatting sqref="R31">
    <cfRule type="cellIs" dxfId="26793" priority="2543" operator="greaterThan">
      <formula>1</formula>
    </cfRule>
    <cfRule type="cellIs" dxfId="26792" priority="2544" operator="lessThan">
      <formula>0.8</formula>
    </cfRule>
  </conditionalFormatting>
  <conditionalFormatting sqref="P31">
    <cfRule type="cellIs" dxfId="26791" priority="2542" operator="greaterThan">
      <formula>0</formula>
    </cfRule>
  </conditionalFormatting>
  <conditionalFormatting sqref="Q31">
    <cfRule type="cellIs" dxfId="26790" priority="2547" operator="lessThan">
      <formula>0</formula>
    </cfRule>
  </conditionalFormatting>
  <conditionalFormatting sqref="P31">
    <cfRule type="cellIs" dxfId="26789" priority="2536" operator="greaterThan">
      <formula>0</formula>
    </cfRule>
  </conditionalFormatting>
  <conditionalFormatting sqref="Q31">
    <cfRule type="cellIs" dxfId="26788" priority="2541" operator="lessThan">
      <formula>0</formula>
    </cfRule>
  </conditionalFormatting>
  <conditionalFormatting sqref="R31">
    <cfRule type="cellIs" dxfId="26787" priority="2539" operator="lessThan">
      <formula>0.8</formula>
    </cfRule>
    <cfRule type="cellIs" dxfId="26786" priority="2540" operator="greaterThan">
      <formula>1</formula>
    </cfRule>
  </conditionalFormatting>
  <conditionalFormatting sqref="R31">
    <cfRule type="cellIs" dxfId="26785" priority="2537" operator="greaterThan">
      <formula>1</formula>
    </cfRule>
    <cfRule type="cellIs" dxfId="26784" priority="2538" operator="lessThan">
      <formula>0.8</formula>
    </cfRule>
  </conditionalFormatting>
  <conditionalFormatting sqref="R31">
    <cfRule type="cellIs" dxfId="26783" priority="2533" operator="lessThan">
      <formula>0.8</formula>
    </cfRule>
    <cfRule type="cellIs" dxfId="26782" priority="2534" operator="greaterThan">
      <formula>1</formula>
    </cfRule>
  </conditionalFormatting>
  <conditionalFormatting sqref="R31">
    <cfRule type="cellIs" dxfId="26781" priority="2531" operator="greaterThan">
      <formula>1</formula>
    </cfRule>
    <cfRule type="cellIs" dxfId="26780" priority="2532" operator="lessThan">
      <formula>0.8</formula>
    </cfRule>
  </conditionalFormatting>
  <conditionalFormatting sqref="P31">
    <cfRule type="cellIs" dxfId="26779" priority="2530" operator="greaterThan">
      <formula>0</formula>
    </cfRule>
  </conditionalFormatting>
  <conditionalFormatting sqref="Q31">
    <cfRule type="cellIs" dxfId="26778" priority="2535" operator="lessThan">
      <formula>0</formula>
    </cfRule>
  </conditionalFormatting>
  <conditionalFormatting sqref="R31">
    <cfRule type="cellIs" dxfId="26777" priority="2527" operator="lessThan">
      <formula>0.8</formula>
    </cfRule>
    <cfRule type="cellIs" dxfId="26776" priority="2528" operator="greaterThan">
      <formula>1</formula>
    </cfRule>
  </conditionalFormatting>
  <conditionalFormatting sqref="R31">
    <cfRule type="cellIs" dxfId="26775" priority="2525" operator="greaterThan">
      <formula>1</formula>
    </cfRule>
    <cfRule type="cellIs" dxfId="26774" priority="2526" operator="lessThan">
      <formula>0.8</formula>
    </cfRule>
  </conditionalFormatting>
  <conditionalFormatting sqref="P31">
    <cfRule type="cellIs" dxfId="26773" priority="2524" operator="greaterThan">
      <formula>0</formula>
    </cfRule>
  </conditionalFormatting>
  <conditionalFormatting sqref="Q31">
    <cfRule type="cellIs" dxfId="26772" priority="2529" operator="lessThan">
      <formula>0</formula>
    </cfRule>
  </conditionalFormatting>
  <conditionalFormatting sqref="Q31">
    <cfRule type="cellIs" dxfId="26771" priority="2523" operator="lessThan">
      <formula>0</formula>
    </cfRule>
  </conditionalFormatting>
  <conditionalFormatting sqref="R31">
    <cfRule type="cellIs" dxfId="26770" priority="2521" operator="lessThan">
      <formula>0.8</formula>
    </cfRule>
    <cfRule type="cellIs" dxfId="26769" priority="2522" operator="greaterThan">
      <formula>1</formula>
    </cfRule>
  </conditionalFormatting>
  <conditionalFormatting sqref="R31">
    <cfRule type="cellIs" dxfId="26768" priority="2519" operator="greaterThan">
      <formula>1</formula>
    </cfRule>
    <cfRule type="cellIs" dxfId="26767" priority="2520" operator="lessThan">
      <formula>0.8</formula>
    </cfRule>
  </conditionalFormatting>
  <conditionalFormatting sqref="P31">
    <cfRule type="cellIs" dxfId="26766" priority="2518" operator="greaterThan">
      <formula>0</formula>
    </cfRule>
  </conditionalFormatting>
  <conditionalFormatting sqref="Q31">
    <cfRule type="cellIs" dxfId="26765" priority="2512" operator="lessThan">
      <formula>0</formula>
    </cfRule>
  </conditionalFormatting>
  <conditionalFormatting sqref="R31">
    <cfRule type="cellIs" dxfId="26764" priority="2516" operator="lessThan">
      <formula>0.8</formula>
    </cfRule>
    <cfRule type="cellIs" dxfId="26763" priority="2517" operator="greaterThan">
      <formula>1</formula>
    </cfRule>
  </conditionalFormatting>
  <conditionalFormatting sqref="R31">
    <cfRule type="cellIs" dxfId="26762" priority="2514" operator="greaterThan">
      <formula>1</formula>
    </cfRule>
    <cfRule type="cellIs" dxfId="26761" priority="2515" operator="lessThan">
      <formula>0.8</formula>
    </cfRule>
  </conditionalFormatting>
  <conditionalFormatting sqref="P31">
    <cfRule type="cellIs" dxfId="26760" priority="2513" operator="greaterThan">
      <formula>0</formula>
    </cfRule>
  </conditionalFormatting>
  <conditionalFormatting sqref="Q31">
    <cfRule type="cellIs" dxfId="26759" priority="2511" operator="lessThan">
      <formula>0</formula>
    </cfRule>
  </conditionalFormatting>
  <conditionalFormatting sqref="R31">
    <cfRule type="cellIs" dxfId="26758" priority="2509" operator="lessThan">
      <formula>0.8</formula>
    </cfRule>
    <cfRule type="cellIs" dxfId="26757" priority="2510" operator="greaterThan">
      <formula>1</formula>
    </cfRule>
  </conditionalFormatting>
  <conditionalFormatting sqref="R31">
    <cfRule type="cellIs" dxfId="26756" priority="2507" operator="greaterThan">
      <formula>1</formula>
    </cfRule>
    <cfRule type="cellIs" dxfId="26755" priority="2508" operator="lessThan">
      <formula>0.8</formula>
    </cfRule>
  </conditionalFormatting>
  <conditionalFormatting sqref="P31">
    <cfRule type="cellIs" dxfId="26754" priority="2506" operator="greaterThan">
      <formula>0</formula>
    </cfRule>
  </conditionalFormatting>
  <conditionalFormatting sqref="Q31">
    <cfRule type="cellIs" dxfId="26753" priority="2505" operator="lessThan">
      <formula>0</formula>
    </cfRule>
  </conditionalFormatting>
  <conditionalFormatting sqref="R31">
    <cfRule type="cellIs" dxfId="26752" priority="2503" operator="lessThan">
      <formula>0.8</formula>
    </cfRule>
    <cfRule type="cellIs" dxfId="26751" priority="2504" operator="greaterThan">
      <formula>1</formula>
    </cfRule>
  </conditionalFormatting>
  <conditionalFormatting sqref="R31">
    <cfRule type="cellIs" dxfId="26750" priority="2501" operator="greaterThan">
      <formula>1</formula>
    </cfRule>
    <cfRule type="cellIs" dxfId="26749" priority="2502" operator="lessThan">
      <formula>0.8</formula>
    </cfRule>
  </conditionalFormatting>
  <conditionalFormatting sqref="P31">
    <cfRule type="cellIs" dxfId="26748" priority="2500" operator="greaterThan">
      <formula>0</formula>
    </cfRule>
  </conditionalFormatting>
  <conditionalFormatting sqref="Q31">
    <cfRule type="cellIs" dxfId="26747" priority="2499" operator="lessThan">
      <formula>0</formula>
    </cfRule>
  </conditionalFormatting>
  <conditionalFormatting sqref="R31">
    <cfRule type="cellIs" dxfId="26746" priority="2497" operator="lessThan">
      <formula>0.8</formula>
    </cfRule>
    <cfRule type="cellIs" dxfId="26745" priority="2498" operator="greaterThan">
      <formula>1</formula>
    </cfRule>
  </conditionalFormatting>
  <conditionalFormatting sqref="R31">
    <cfRule type="cellIs" dxfId="26744" priority="2495" operator="greaterThan">
      <formula>1</formula>
    </cfRule>
    <cfRule type="cellIs" dxfId="26743" priority="2496" operator="lessThan">
      <formula>0.8</formula>
    </cfRule>
  </conditionalFormatting>
  <conditionalFormatting sqref="P31">
    <cfRule type="cellIs" dxfId="26742" priority="2494" operator="greaterThan">
      <formula>0</formula>
    </cfRule>
  </conditionalFormatting>
  <conditionalFormatting sqref="Q31">
    <cfRule type="cellIs" dxfId="26741" priority="2493" operator="lessThan">
      <formula>0</formula>
    </cfRule>
  </conditionalFormatting>
  <conditionalFormatting sqref="R31">
    <cfRule type="cellIs" dxfId="26740" priority="2491" operator="lessThan">
      <formula>0.8</formula>
    </cfRule>
    <cfRule type="cellIs" dxfId="26739" priority="2492" operator="greaterThan">
      <formula>1</formula>
    </cfRule>
  </conditionalFormatting>
  <conditionalFormatting sqref="R31">
    <cfRule type="cellIs" dxfId="26738" priority="2489" operator="greaterThan">
      <formula>1</formula>
    </cfRule>
    <cfRule type="cellIs" dxfId="26737" priority="2490" operator="lessThan">
      <formula>0.8</formula>
    </cfRule>
  </conditionalFormatting>
  <conditionalFormatting sqref="P31">
    <cfRule type="cellIs" dxfId="26736" priority="2488" operator="greaterThan">
      <formula>0</formula>
    </cfRule>
  </conditionalFormatting>
  <conditionalFormatting sqref="Q31">
    <cfRule type="cellIs" dxfId="26735" priority="2487" operator="lessThan">
      <formula>0</formula>
    </cfRule>
  </conditionalFormatting>
  <conditionalFormatting sqref="R31">
    <cfRule type="cellIs" dxfId="26734" priority="2485" operator="lessThan">
      <formula>0.8</formula>
    </cfRule>
    <cfRule type="cellIs" dxfId="26733" priority="2486" operator="greaterThan">
      <formula>1</formula>
    </cfRule>
  </conditionalFormatting>
  <conditionalFormatting sqref="R31">
    <cfRule type="cellIs" dxfId="26732" priority="2483" operator="greaterThan">
      <formula>1</formula>
    </cfRule>
    <cfRule type="cellIs" dxfId="26731" priority="2484" operator="lessThan">
      <formula>0.8</formula>
    </cfRule>
  </conditionalFormatting>
  <conditionalFormatting sqref="P31">
    <cfRule type="cellIs" dxfId="26730" priority="2482" operator="greaterThan">
      <formula>0</formula>
    </cfRule>
  </conditionalFormatting>
  <conditionalFormatting sqref="P31">
    <cfRule type="cellIs" dxfId="26729" priority="2476" operator="greaterThan">
      <formula>0</formula>
    </cfRule>
  </conditionalFormatting>
  <conditionalFormatting sqref="Q31">
    <cfRule type="cellIs" dxfId="26728" priority="2481" operator="lessThan">
      <formula>0</formula>
    </cfRule>
  </conditionalFormatting>
  <conditionalFormatting sqref="R31">
    <cfRule type="cellIs" dxfId="26727" priority="2479" operator="lessThan">
      <formula>0.8</formula>
    </cfRule>
    <cfRule type="cellIs" dxfId="26726" priority="2480" operator="greaterThan">
      <formula>1</formula>
    </cfRule>
  </conditionalFormatting>
  <conditionalFormatting sqref="R31">
    <cfRule type="cellIs" dxfId="26725" priority="2477" operator="greaterThan">
      <formula>1</formula>
    </cfRule>
    <cfRule type="cellIs" dxfId="26724" priority="2478" operator="lessThan">
      <formula>0.8</formula>
    </cfRule>
  </conditionalFormatting>
  <conditionalFormatting sqref="P31">
    <cfRule type="cellIs" dxfId="26723" priority="2470" operator="greaterThan">
      <formula>0</formula>
    </cfRule>
  </conditionalFormatting>
  <conditionalFormatting sqref="Q31">
    <cfRule type="cellIs" dxfId="26722" priority="2475" operator="lessThan">
      <formula>0</formula>
    </cfRule>
  </conditionalFormatting>
  <conditionalFormatting sqref="R31">
    <cfRule type="cellIs" dxfId="26721" priority="2473" operator="lessThan">
      <formula>0.8</formula>
    </cfRule>
    <cfRule type="cellIs" dxfId="26720" priority="2474" operator="greaterThan">
      <formula>1</formula>
    </cfRule>
  </conditionalFormatting>
  <conditionalFormatting sqref="R31">
    <cfRule type="cellIs" dxfId="26719" priority="2471" operator="greaterThan">
      <formula>1</formula>
    </cfRule>
    <cfRule type="cellIs" dxfId="26718" priority="2472" operator="lessThan">
      <formula>0.8</formula>
    </cfRule>
  </conditionalFormatting>
  <conditionalFormatting sqref="R31">
    <cfRule type="cellIs" dxfId="26717" priority="2467" operator="lessThan">
      <formula>0.8</formula>
    </cfRule>
    <cfRule type="cellIs" dxfId="26716" priority="2468" operator="greaterThan">
      <formula>1</formula>
    </cfRule>
  </conditionalFormatting>
  <conditionalFormatting sqref="R31">
    <cfRule type="cellIs" dxfId="26715" priority="2465" operator="greaterThan">
      <formula>1</formula>
    </cfRule>
    <cfRule type="cellIs" dxfId="26714" priority="2466" operator="lessThan">
      <formula>0.8</formula>
    </cfRule>
  </conditionalFormatting>
  <conditionalFormatting sqref="P31">
    <cfRule type="cellIs" dxfId="26713" priority="2464" operator="greaterThan">
      <formula>0</formula>
    </cfRule>
  </conditionalFormatting>
  <conditionalFormatting sqref="Q31">
    <cfRule type="cellIs" dxfId="26712" priority="2469" operator="lessThan">
      <formula>0</formula>
    </cfRule>
  </conditionalFormatting>
  <conditionalFormatting sqref="Q31">
    <cfRule type="cellIs" dxfId="26711" priority="2463" operator="lessThan">
      <formula>0</formula>
    </cfRule>
  </conditionalFormatting>
  <conditionalFormatting sqref="R31">
    <cfRule type="cellIs" dxfId="26710" priority="2461" operator="lessThan">
      <formula>0.8</formula>
    </cfRule>
    <cfRule type="cellIs" dxfId="26709" priority="2462" operator="greaterThan">
      <formula>1</formula>
    </cfRule>
  </conditionalFormatting>
  <conditionalFormatting sqref="R31">
    <cfRule type="cellIs" dxfId="26708" priority="2459" operator="greaterThan">
      <formula>1</formula>
    </cfRule>
    <cfRule type="cellIs" dxfId="26707" priority="2460" operator="lessThan">
      <formula>0.8</formula>
    </cfRule>
  </conditionalFormatting>
  <conditionalFormatting sqref="P31">
    <cfRule type="cellIs" dxfId="26706" priority="2458" operator="greaterThan">
      <formula>0</formula>
    </cfRule>
  </conditionalFormatting>
  <conditionalFormatting sqref="Q31">
    <cfRule type="cellIs" dxfId="26705" priority="2457" operator="lessThan">
      <formula>0</formula>
    </cfRule>
  </conditionalFormatting>
  <conditionalFormatting sqref="R31">
    <cfRule type="cellIs" dxfId="26704" priority="2455" operator="lessThan">
      <formula>0.8</formula>
    </cfRule>
    <cfRule type="cellIs" dxfId="26703" priority="2456" operator="greaterThan">
      <formula>1</formula>
    </cfRule>
  </conditionalFormatting>
  <conditionalFormatting sqref="R31">
    <cfRule type="cellIs" dxfId="26702" priority="2453" operator="greaterThan">
      <formula>1</formula>
    </cfRule>
    <cfRule type="cellIs" dxfId="26701" priority="2454" operator="lessThan">
      <formula>0.8</formula>
    </cfRule>
  </conditionalFormatting>
  <conditionalFormatting sqref="P31">
    <cfRule type="cellIs" dxfId="26700" priority="2452" operator="greaterThan">
      <formula>0</formula>
    </cfRule>
  </conditionalFormatting>
  <conditionalFormatting sqref="Q31">
    <cfRule type="cellIs" dxfId="26699" priority="2451" operator="lessThan">
      <formula>0</formula>
    </cfRule>
  </conditionalFormatting>
  <conditionalFormatting sqref="R31">
    <cfRule type="cellIs" dxfId="26698" priority="2449" operator="lessThan">
      <formula>0.8</formula>
    </cfRule>
    <cfRule type="cellIs" dxfId="26697" priority="2450" operator="greaterThan">
      <formula>1</formula>
    </cfRule>
  </conditionalFormatting>
  <conditionalFormatting sqref="R31">
    <cfRule type="cellIs" dxfId="26696" priority="2447" operator="greaterThan">
      <formula>1</formula>
    </cfRule>
    <cfRule type="cellIs" dxfId="26695" priority="2448" operator="lessThan">
      <formula>0.8</formula>
    </cfRule>
  </conditionalFormatting>
  <conditionalFormatting sqref="P31">
    <cfRule type="cellIs" dxfId="26694" priority="2446" operator="greaterThan">
      <formula>0</formula>
    </cfRule>
  </conditionalFormatting>
  <conditionalFormatting sqref="Q31">
    <cfRule type="cellIs" dxfId="26693" priority="2445" operator="lessThan">
      <formula>0</formula>
    </cfRule>
  </conditionalFormatting>
  <conditionalFormatting sqref="R31">
    <cfRule type="cellIs" dxfId="26692" priority="2443" operator="lessThan">
      <formula>0.8</formula>
    </cfRule>
    <cfRule type="cellIs" dxfId="26691" priority="2444" operator="greaterThan">
      <formula>1</formula>
    </cfRule>
  </conditionalFormatting>
  <conditionalFormatting sqref="R31">
    <cfRule type="cellIs" dxfId="26690" priority="2441" operator="greaterThan">
      <formula>1</formula>
    </cfRule>
    <cfRule type="cellIs" dxfId="26689" priority="2442" operator="lessThan">
      <formula>0.8</formula>
    </cfRule>
  </conditionalFormatting>
  <conditionalFormatting sqref="P31">
    <cfRule type="cellIs" dxfId="26688" priority="2440" operator="greaterThan">
      <formula>0</formula>
    </cfRule>
  </conditionalFormatting>
  <conditionalFormatting sqref="P31">
    <cfRule type="cellIs" dxfId="26687" priority="2434" operator="greaterThan">
      <formula>0</formula>
    </cfRule>
  </conditionalFormatting>
  <conditionalFormatting sqref="Q31">
    <cfRule type="cellIs" dxfId="26686" priority="2439" operator="lessThan">
      <formula>0</formula>
    </cfRule>
  </conditionalFormatting>
  <conditionalFormatting sqref="R31">
    <cfRule type="cellIs" dxfId="26685" priority="2437" operator="lessThan">
      <formula>0.8</formula>
    </cfRule>
    <cfRule type="cellIs" dxfId="26684" priority="2438" operator="greaterThan">
      <formula>1</formula>
    </cfRule>
  </conditionalFormatting>
  <conditionalFormatting sqref="R31">
    <cfRule type="cellIs" dxfId="26683" priority="2435" operator="greaterThan">
      <formula>1</formula>
    </cfRule>
    <cfRule type="cellIs" dxfId="26682" priority="2436" operator="lessThan">
      <formula>0.8</formula>
    </cfRule>
  </conditionalFormatting>
  <conditionalFormatting sqref="P31">
    <cfRule type="cellIs" dxfId="26681" priority="2428" operator="greaterThan">
      <formula>0</formula>
    </cfRule>
  </conditionalFormatting>
  <conditionalFormatting sqref="Q31">
    <cfRule type="cellIs" dxfId="26680" priority="2433" operator="lessThan">
      <formula>0</formula>
    </cfRule>
  </conditionalFormatting>
  <conditionalFormatting sqref="R31">
    <cfRule type="cellIs" dxfId="26679" priority="2431" operator="lessThan">
      <formula>0.8</formula>
    </cfRule>
    <cfRule type="cellIs" dxfId="26678" priority="2432" operator="greaterThan">
      <formula>1</formula>
    </cfRule>
  </conditionalFormatting>
  <conditionalFormatting sqref="R31">
    <cfRule type="cellIs" dxfId="26677" priority="2429" operator="greaterThan">
      <formula>1</formula>
    </cfRule>
    <cfRule type="cellIs" dxfId="26676" priority="2430" operator="lessThan">
      <formula>0.8</formula>
    </cfRule>
  </conditionalFormatting>
  <conditionalFormatting sqref="R31">
    <cfRule type="cellIs" dxfId="26675" priority="2425" operator="lessThan">
      <formula>0.8</formula>
    </cfRule>
    <cfRule type="cellIs" dxfId="26674" priority="2426" operator="greaterThan">
      <formula>1</formula>
    </cfRule>
  </conditionalFormatting>
  <conditionalFormatting sqref="R31">
    <cfRule type="cellIs" dxfId="26673" priority="2423" operator="greaterThan">
      <formula>1</formula>
    </cfRule>
    <cfRule type="cellIs" dxfId="26672" priority="2424" operator="lessThan">
      <formula>0.8</formula>
    </cfRule>
  </conditionalFormatting>
  <conditionalFormatting sqref="P31">
    <cfRule type="cellIs" dxfId="26671" priority="2422" operator="greaterThan">
      <formula>0</formula>
    </cfRule>
  </conditionalFormatting>
  <conditionalFormatting sqref="Q31">
    <cfRule type="cellIs" dxfId="26670" priority="2427" operator="lessThan">
      <formula>0</formula>
    </cfRule>
  </conditionalFormatting>
  <conditionalFormatting sqref="Q31">
    <cfRule type="cellIs" dxfId="26669" priority="2421" operator="lessThan">
      <formula>0</formula>
    </cfRule>
  </conditionalFormatting>
  <conditionalFormatting sqref="R31">
    <cfRule type="cellIs" dxfId="26668" priority="2419" operator="lessThan">
      <formula>0.8</formula>
    </cfRule>
    <cfRule type="cellIs" dxfId="26667" priority="2420" operator="greaterThan">
      <formula>1</formula>
    </cfRule>
  </conditionalFormatting>
  <conditionalFormatting sqref="R31">
    <cfRule type="cellIs" dxfId="26666" priority="2417" operator="greaterThan">
      <formula>1</formula>
    </cfRule>
    <cfRule type="cellIs" dxfId="26665" priority="2418" operator="lessThan">
      <formula>0.8</formula>
    </cfRule>
  </conditionalFormatting>
  <conditionalFormatting sqref="P31">
    <cfRule type="cellIs" dxfId="26664" priority="2416" operator="greaterThan">
      <formula>0</formula>
    </cfRule>
  </conditionalFormatting>
  <conditionalFormatting sqref="P31">
    <cfRule type="cellIs" dxfId="26663" priority="2410" operator="greaterThan">
      <formula>0</formula>
    </cfRule>
  </conditionalFormatting>
  <conditionalFormatting sqref="Q31">
    <cfRule type="cellIs" dxfId="26662" priority="2415" operator="lessThan">
      <formula>0</formula>
    </cfRule>
  </conditionalFormatting>
  <conditionalFormatting sqref="R31">
    <cfRule type="cellIs" dxfId="26661" priority="2413" operator="lessThan">
      <formula>0.8</formula>
    </cfRule>
    <cfRule type="cellIs" dxfId="26660" priority="2414" operator="greaterThan">
      <formula>1</formula>
    </cfRule>
  </conditionalFormatting>
  <conditionalFormatting sqref="R31">
    <cfRule type="cellIs" dxfId="26659" priority="2411" operator="greaterThan">
      <formula>1</formula>
    </cfRule>
    <cfRule type="cellIs" dxfId="26658" priority="2412" operator="lessThan">
      <formula>0.8</formula>
    </cfRule>
  </conditionalFormatting>
  <conditionalFormatting sqref="P31">
    <cfRule type="cellIs" dxfId="26657" priority="2404" operator="greaterThan">
      <formula>0</formula>
    </cfRule>
  </conditionalFormatting>
  <conditionalFormatting sqref="Q31">
    <cfRule type="cellIs" dxfId="26656" priority="2409" operator="lessThan">
      <formula>0</formula>
    </cfRule>
  </conditionalFormatting>
  <conditionalFormatting sqref="R31">
    <cfRule type="cellIs" dxfId="26655" priority="2407" operator="lessThan">
      <formula>0.8</formula>
    </cfRule>
    <cfRule type="cellIs" dxfId="26654" priority="2408" operator="greaterThan">
      <formula>1</formula>
    </cfRule>
  </conditionalFormatting>
  <conditionalFormatting sqref="R31">
    <cfRule type="cellIs" dxfId="26653" priority="2405" operator="greaterThan">
      <formula>1</formula>
    </cfRule>
    <cfRule type="cellIs" dxfId="26652" priority="2406" operator="lessThan">
      <formula>0.8</formula>
    </cfRule>
  </conditionalFormatting>
  <conditionalFormatting sqref="R31">
    <cfRule type="cellIs" dxfId="26651" priority="2401" operator="lessThan">
      <formula>0.8</formula>
    </cfRule>
    <cfRule type="cellIs" dxfId="26650" priority="2402" operator="greaterThan">
      <formula>1</formula>
    </cfRule>
  </conditionalFormatting>
  <conditionalFormatting sqref="R31">
    <cfRule type="cellIs" dxfId="26649" priority="2399" operator="greaterThan">
      <formula>1</formula>
    </cfRule>
    <cfRule type="cellIs" dxfId="26648" priority="2400" operator="lessThan">
      <formula>0.8</formula>
    </cfRule>
  </conditionalFormatting>
  <conditionalFormatting sqref="P31">
    <cfRule type="cellIs" dxfId="26647" priority="2398" operator="greaterThan">
      <formula>0</formula>
    </cfRule>
  </conditionalFormatting>
  <conditionalFormatting sqref="Q31">
    <cfRule type="cellIs" dxfId="26646" priority="2403" operator="lessThan">
      <formula>0</formula>
    </cfRule>
  </conditionalFormatting>
  <conditionalFormatting sqref="P31">
    <cfRule type="cellIs" dxfId="26645" priority="2392" operator="greaterThan">
      <formula>0</formula>
    </cfRule>
  </conditionalFormatting>
  <conditionalFormatting sqref="Q31">
    <cfRule type="cellIs" dxfId="26644" priority="2397" operator="lessThan">
      <formula>0</formula>
    </cfRule>
  </conditionalFormatting>
  <conditionalFormatting sqref="R31">
    <cfRule type="cellIs" dxfId="26643" priority="2395" operator="lessThan">
      <formula>0.8</formula>
    </cfRule>
    <cfRule type="cellIs" dxfId="26642" priority="2396" operator="greaterThan">
      <formula>1</formula>
    </cfRule>
  </conditionalFormatting>
  <conditionalFormatting sqref="R31">
    <cfRule type="cellIs" dxfId="26641" priority="2393" operator="greaterThan">
      <formula>1</formula>
    </cfRule>
    <cfRule type="cellIs" dxfId="26640" priority="2394" operator="lessThan">
      <formula>0.8</formula>
    </cfRule>
  </conditionalFormatting>
  <conditionalFormatting sqref="R31">
    <cfRule type="cellIs" dxfId="26639" priority="2389" operator="lessThan">
      <formula>0.8</formula>
    </cfRule>
    <cfRule type="cellIs" dxfId="26638" priority="2390" operator="greaterThan">
      <formula>1</formula>
    </cfRule>
  </conditionalFormatting>
  <conditionalFormatting sqref="R31">
    <cfRule type="cellIs" dxfId="26637" priority="2387" operator="greaterThan">
      <formula>1</formula>
    </cfRule>
    <cfRule type="cellIs" dxfId="26636" priority="2388" operator="lessThan">
      <formula>0.8</formula>
    </cfRule>
  </conditionalFormatting>
  <conditionalFormatting sqref="P31">
    <cfRule type="cellIs" dxfId="26635" priority="2386" operator="greaterThan">
      <formula>0</formula>
    </cfRule>
  </conditionalFormatting>
  <conditionalFormatting sqref="Q31">
    <cfRule type="cellIs" dxfId="26634" priority="2391" operator="lessThan">
      <formula>0</formula>
    </cfRule>
  </conditionalFormatting>
  <conditionalFormatting sqref="R31">
    <cfRule type="cellIs" dxfId="26633" priority="2383" operator="lessThan">
      <formula>0.8</formula>
    </cfRule>
    <cfRule type="cellIs" dxfId="26632" priority="2384" operator="greaterThan">
      <formula>1</formula>
    </cfRule>
  </conditionalFormatting>
  <conditionalFormatting sqref="R31">
    <cfRule type="cellIs" dxfId="26631" priority="2381" operator="greaterThan">
      <formula>1</formula>
    </cfRule>
    <cfRule type="cellIs" dxfId="26630" priority="2382" operator="lessThan">
      <formula>0.8</formula>
    </cfRule>
  </conditionalFormatting>
  <conditionalFormatting sqref="P31">
    <cfRule type="cellIs" dxfId="26629" priority="2380" operator="greaterThan">
      <formula>0</formula>
    </cfRule>
  </conditionalFormatting>
  <conditionalFormatting sqref="Q31">
    <cfRule type="cellIs" dxfId="26628" priority="2385" operator="lessThan">
      <formula>0</formula>
    </cfRule>
  </conditionalFormatting>
  <conditionalFormatting sqref="Q31">
    <cfRule type="cellIs" dxfId="26627" priority="2379" operator="lessThan">
      <formula>0</formula>
    </cfRule>
  </conditionalFormatting>
  <conditionalFormatting sqref="R31">
    <cfRule type="cellIs" dxfId="26626" priority="2377" operator="lessThan">
      <formula>0.8</formula>
    </cfRule>
    <cfRule type="cellIs" dxfId="26625" priority="2378" operator="greaterThan">
      <formula>1</formula>
    </cfRule>
  </conditionalFormatting>
  <conditionalFormatting sqref="R31">
    <cfRule type="cellIs" dxfId="26624" priority="2375" operator="greaterThan">
      <formula>1</formula>
    </cfRule>
    <cfRule type="cellIs" dxfId="26623" priority="2376" operator="lessThan">
      <formula>0.8</formula>
    </cfRule>
  </conditionalFormatting>
  <conditionalFormatting sqref="P31">
    <cfRule type="cellIs" dxfId="26622" priority="2374" operator="greaterThan">
      <formula>0</formula>
    </cfRule>
  </conditionalFormatting>
  <conditionalFormatting sqref="Q31">
    <cfRule type="cellIs" dxfId="26621" priority="2368" operator="lessThan">
      <formula>0</formula>
    </cfRule>
  </conditionalFormatting>
  <conditionalFormatting sqref="R31">
    <cfRule type="cellIs" dxfId="26620" priority="2372" operator="lessThan">
      <formula>0.8</formula>
    </cfRule>
    <cfRule type="cellIs" dxfId="26619" priority="2373" operator="greaterThan">
      <formula>1</formula>
    </cfRule>
  </conditionalFormatting>
  <conditionalFormatting sqref="R31">
    <cfRule type="cellIs" dxfId="26618" priority="2370" operator="greaterThan">
      <formula>1</formula>
    </cfRule>
    <cfRule type="cellIs" dxfId="26617" priority="2371" operator="lessThan">
      <formula>0.8</formula>
    </cfRule>
  </conditionalFormatting>
  <conditionalFormatting sqref="P31">
    <cfRule type="cellIs" dxfId="26616" priority="2369" operator="greaterThan">
      <formula>0</formula>
    </cfRule>
  </conditionalFormatting>
  <conditionalFormatting sqref="Q31">
    <cfRule type="cellIs" dxfId="26615" priority="2367" operator="lessThan">
      <formula>0</formula>
    </cfRule>
  </conditionalFormatting>
  <conditionalFormatting sqref="R31">
    <cfRule type="cellIs" dxfId="26614" priority="2365" operator="lessThan">
      <formula>0.8</formula>
    </cfRule>
    <cfRule type="cellIs" dxfId="26613" priority="2366" operator="greaterThan">
      <formula>1</formula>
    </cfRule>
  </conditionalFormatting>
  <conditionalFormatting sqref="R31">
    <cfRule type="cellIs" dxfId="26612" priority="2363" operator="greaterThan">
      <formula>1</formula>
    </cfRule>
    <cfRule type="cellIs" dxfId="26611" priority="2364" operator="lessThan">
      <formula>0.8</formula>
    </cfRule>
  </conditionalFormatting>
  <conditionalFormatting sqref="P31">
    <cfRule type="cellIs" dxfId="26610" priority="2362" operator="greaterThan">
      <formula>0</formula>
    </cfRule>
  </conditionalFormatting>
  <conditionalFormatting sqref="Q31">
    <cfRule type="cellIs" dxfId="26609" priority="2361" operator="lessThan">
      <formula>0</formula>
    </cfRule>
  </conditionalFormatting>
  <conditionalFormatting sqref="R31">
    <cfRule type="cellIs" dxfId="26608" priority="2359" operator="lessThan">
      <formula>0.8</formula>
    </cfRule>
    <cfRule type="cellIs" dxfId="26607" priority="2360" operator="greaterThan">
      <formula>1</formula>
    </cfRule>
  </conditionalFormatting>
  <conditionalFormatting sqref="R31">
    <cfRule type="cellIs" dxfId="26606" priority="2357" operator="greaterThan">
      <formula>1</formula>
    </cfRule>
    <cfRule type="cellIs" dxfId="26605" priority="2358" operator="lessThan">
      <formula>0.8</formula>
    </cfRule>
  </conditionalFormatting>
  <conditionalFormatting sqref="P31">
    <cfRule type="cellIs" dxfId="26604" priority="2356" operator="greaterThan">
      <formula>0</formula>
    </cfRule>
  </conditionalFormatting>
  <conditionalFormatting sqref="Q31">
    <cfRule type="cellIs" dxfId="26603" priority="2355" operator="lessThan">
      <formula>0</formula>
    </cfRule>
  </conditionalFormatting>
  <conditionalFormatting sqref="R31">
    <cfRule type="cellIs" dxfId="26602" priority="2353" operator="lessThan">
      <formula>0.8</formula>
    </cfRule>
    <cfRule type="cellIs" dxfId="26601" priority="2354" operator="greaterThan">
      <formula>1</formula>
    </cfRule>
  </conditionalFormatting>
  <conditionalFormatting sqref="R31">
    <cfRule type="cellIs" dxfId="26600" priority="2351" operator="greaterThan">
      <formula>1</formula>
    </cfRule>
    <cfRule type="cellIs" dxfId="26599" priority="2352" operator="lessThan">
      <formula>0.8</formula>
    </cfRule>
  </conditionalFormatting>
  <conditionalFormatting sqref="P31">
    <cfRule type="cellIs" dxfId="26598" priority="2350" operator="greaterThan">
      <formula>0</formula>
    </cfRule>
  </conditionalFormatting>
  <conditionalFormatting sqref="Q31">
    <cfRule type="cellIs" dxfId="26597" priority="2349" operator="lessThan">
      <formula>0</formula>
    </cfRule>
  </conditionalFormatting>
  <conditionalFormatting sqref="R31">
    <cfRule type="cellIs" dxfId="26596" priority="2347" operator="lessThan">
      <formula>0.8</formula>
    </cfRule>
    <cfRule type="cellIs" dxfId="26595" priority="2348" operator="greaterThan">
      <formula>1</formula>
    </cfRule>
  </conditionalFormatting>
  <conditionalFormatting sqref="R31">
    <cfRule type="cellIs" dxfId="26594" priority="2345" operator="greaterThan">
      <formula>1</formula>
    </cfRule>
    <cfRule type="cellIs" dxfId="26593" priority="2346" operator="lessThan">
      <formula>0.8</formula>
    </cfRule>
  </conditionalFormatting>
  <conditionalFormatting sqref="P31">
    <cfRule type="cellIs" dxfId="26592" priority="2344" operator="greaterThan">
      <formula>0</formula>
    </cfRule>
  </conditionalFormatting>
  <conditionalFormatting sqref="Q31">
    <cfRule type="cellIs" dxfId="26591" priority="2343" operator="lessThan">
      <formula>0</formula>
    </cfRule>
  </conditionalFormatting>
  <conditionalFormatting sqref="R31">
    <cfRule type="cellIs" dxfId="26590" priority="2341" operator="lessThan">
      <formula>0.8</formula>
    </cfRule>
    <cfRule type="cellIs" dxfId="26589" priority="2342" operator="greaterThan">
      <formula>1</formula>
    </cfRule>
  </conditionalFormatting>
  <conditionalFormatting sqref="R31">
    <cfRule type="cellIs" dxfId="26588" priority="2339" operator="greaterThan">
      <formula>1</formula>
    </cfRule>
    <cfRule type="cellIs" dxfId="26587" priority="2340" operator="lessThan">
      <formula>0.8</formula>
    </cfRule>
  </conditionalFormatting>
  <conditionalFormatting sqref="P31">
    <cfRule type="cellIs" dxfId="26586" priority="2338" operator="greaterThan">
      <formula>0</formula>
    </cfRule>
  </conditionalFormatting>
  <conditionalFormatting sqref="P31">
    <cfRule type="cellIs" dxfId="26585" priority="2332" operator="greaterThan">
      <formula>0</formula>
    </cfRule>
  </conditionalFormatting>
  <conditionalFormatting sqref="Q31">
    <cfRule type="cellIs" dxfId="26584" priority="2337" operator="lessThan">
      <formula>0</formula>
    </cfRule>
  </conditionalFormatting>
  <conditionalFormatting sqref="R31">
    <cfRule type="cellIs" dxfId="26583" priority="2335" operator="lessThan">
      <formula>0.8</formula>
    </cfRule>
    <cfRule type="cellIs" dxfId="26582" priority="2336" operator="greaterThan">
      <formula>1</formula>
    </cfRule>
  </conditionalFormatting>
  <conditionalFormatting sqref="R31">
    <cfRule type="cellIs" dxfId="26581" priority="2333" operator="greaterThan">
      <formula>1</formula>
    </cfRule>
    <cfRule type="cellIs" dxfId="26580" priority="2334" operator="lessThan">
      <formula>0.8</formula>
    </cfRule>
  </conditionalFormatting>
  <conditionalFormatting sqref="P31">
    <cfRule type="cellIs" dxfId="26579" priority="2326" operator="greaterThan">
      <formula>0</formula>
    </cfRule>
  </conditionalFormatting>
  <conditionalFormatting sqref="Q31">
    <cfRule type="cellIs" dxfId="26578" priority="2331" operator="lessThan">
      <formula>0</formula>
    </cfRule>
  </conditionalFormatting>
  <conditionalFormatting sqref="R31">
    <cfRule type="cellIs" dxfId="26577" priority="2329" operator="lessThan">
      <formula>0.8</formula>
    </cfRule>
    <cfRule type="cellIs" dxfId="26576" priority="2330" operator="greaterThan">
      <formula>1</formula>
    </cfRule>
  </conditionalFormatting>
  <conditionalFormatting sqref="R31">
    <cfRule type="cellIs" dxfId="26575" priority="2327" operator="greaterThan">
      <formula>1</formula>
    </cfRule>
    <cfRule type="cellIs" dxfId="26574" priority="2328" operator="lessThan">
      <formula>0.8</formula>
    </cfRule>
  </conditionalFormatting>
  <conditionalFormatting sqref="R31">
    <cfRule type="cellIs" dxfId="26573" priority="2323" operator="lessThan">
      <formula>0.8</formula>
    </cfRule>
    <cfRule type="cellIs" dxfId="26572" priority="2324" operator="greaterThan">
      <formula>1</formula>
    </cfRule>
  </conditionalFormatting>
  <conditionalFormatting sqref="R31">
    <cfRule type="cellIs" dxfId="26571" priority="2321" operator="greaterThan">
      <formula>1</formula>
    </cfRule>
    <cfRule type="cellIs" dxfId="26570" priority="2322" operator="lessThan">
      <formula>0.8</formula>
    </cfRule>
  </conditionalFormatting>
  <conditionalFormatting sqref="P31">
    <cfRule type="cellIs" dxfId="26569" priority="2320" operator="greaterThan">
      <formula>0</formula>
    </cfRule>
  </conditionalFormatting>
  <conditionalFormatting sqref="Q31">
    <cfRule type="cellIs" dxfId="26568" priority="2325" operator="lessThan">
      <formula>0</formula>
    </cfRule>
  </conditionalFormatting>
  <conditionalFormatting sqref="P79">
    <cfRule type="cellIs" dxfId="26567" priority="2314" operator="greaterThan">
      <formula>0</formula>
    </cfRule>
  </conditionalFormatting>
  <conditionalFormatting sqref="Q79">
    <cfRule type="cellIs" dxfId="26566" priority="2319" operator="lessThan">
      <formula>0</formula>
    </cfRule>
  </conditionalFormatting>
  <conditionalFormatting sqref="R79">
    <cfRule type="cellIs" dxfId="26565" priority="2317" operator="lessThan">
      <formula>0.8</formula>
    </cfRule>
    <cfRule type="cellIs" dxfId="26564" priority="2318" operator="greaterThan">
      <formula>1</formula>
    </cfRule>
  </conditionalFormatting>
  <conditionalFormatting sqref="R79">
    <cfRule type="cellIs" dxfId="26563" priority="2315" operator="greaterThan">
      <formula>1</formula>
    </cfRule>
    <cfRule type="cellIs" dxfId="26562" priority="2316" operator="lessThan">
      <formula>0.8</formula>
    </cfRule>
  </conditionalFormatting>
  <conditionalFormatting sqref="Q79">
    <cfRule type="cellIs" dxfId="26561" priority="2313" operator="lessThan">
      <formula>0</formula>
    </cfRule>
  </conditionalFormatting>
  <conditionalFormatting sqref="R79">
    <cfRule type="cellIs" dxfId="26560" priority="2311" operator="lessThan">
      <formula>0.8</formula>
    </cfRule>
    <cfRule type="cellIs" dxfId="26559" priority="2312" operator="greaterThan">
      <formula>1</formula>
    </cfRule>
  </conditionalFormatting>
  <conditionalFormatting sqref="R79">
    <cfRule type="cellIs" dxfId="26558" priority="2309" operator="greaterThan">
      <formula>1</formula>
    </cfRule>
    <cfRule type="cellIs" dxfId="26557" priority="2310" operator="lessThan">
      <formula>0.8</formula>
    </cfRule>
  </conditionalFormatting>
  <conditionalFormatting sqref="P79">
    <cfRule type="cellIs" dxfId="26556" priority="2308" operator="greaterThan">
      <formula>0</formula>
    </cfRule>
  </conditionalFormatting>
  <conditionalFormatting sqref="P79">
    <cfRule type="cellIs" dxfId="26555" priority="2302" operator="greaterThan">
      <formula>0</formula>
    </cfRule>
  </conditionalFormatting>
  <conditionalFormatting sqref="Q79">
    <cfRule type="cellIs" dxfId="26554" priority="2307" operator="lessThan">
      <formula>0</formula>
    </cfRule>
  </conditionalFormatting>
  <conditionalFormatting sqref="R79">
    <cfRule type="cellIs" dxfId="26553" priority="2305" operator="lessThan">
      <formula>0.8</formula>
    </cfRule>
    <cfRule type="cellIs" dxfId="26552" priority="2306" operator="greaterThan">
      <formula>1</formula>
    </cfRule>
  </conditionalFormatting>
  <conditionalFormatting sqref="R79">
    <cfRule type="cellIs" dxfId="26551" priority="2303" operator="greaterThan">
      <formula>1</formula>
    </cfRule>
    <cfRule type="cellIs" dxfId="26550" priority="2304" operator="lessThan">
      <formula>0.8</formula>
    </cfRule>
  </conditionalFormatting>
  <conditionalFormatting sqref="Q79">
    <cfRule type="cellIs" dxfId="26549" priority="2296" operator="lessThan">
      <formula>0</formula>
    </cfRule>
  </conditionalFormatting>
  <conditionalFormatting sqref="P79">
    <cfRule type="cellIs" dxfId="26548" priority="2297" operator="greaterThan">
      <formula>0</formula>
    </cfRule>
  </conditionalFormatting>
  <conditionalFormatting sqref="R79">
    <cfRule type="cellIs" dxfId="26547" priority="2300" operator="lessThan">
      <formula>0.8</formula>
    </cfRule>
    <cfRule type="cellIs" dxfId="26546" priority="2301" operator="greaterThan">
      <formula>1</formula>
    </cfRule>
  </conditionalFormatting>
  <conditionalFormatting sqref="R79">
    <cfRule type="cellIs" dxfId="26545" priority="2298" operator="greaterThan">
      <formula>1</formula>
    </cfRule>
    <cfRule type="cellIs" dxfId="26544" priority="2299" operator="lessThan">
      <formula>0.8</formula>
    </cfRule>
  </conditionalFormatting>
  <conditionalFormatting sqref="Q79">
    <cfRule type="cellIs" dxfId="26543" priority="2290" operator="lessThan">
      <formula>0</formula>
    </cfRule>
  </conditionalFormatting>
  <conditionalFormatting sqref="R79">
    <cfRule type="cellIs" dxfId="26542" priority="2294" operator="lessThan">
      <formula>0.8</formula>
    </cfRule>
    <cfRule type="cellIs" dxfId="26541" priority="2295" operator="greaterThan">
      <formula>1</formula>
    </cfRule>
  </conditionalFormatting>
  <conditionalFormatting sqref="R79">
    <cfRule type="cellIs" dxfId="26540" priority="2292" operator="greaterThan">
      <formula>1</formula>
    </cfRule>
    <cfRule type="cellIs" dxfId="26539" priority="2293" operator="lessThan">
      <formula>0.8</formula>
    </cfRule>
  </conditionalFormatting>
  <conditionalFormatting sqref="P79">
    <cfRule type="cellIs" dxfId="26538" priority="2291" operator="greaterThan">
      <formula>0</formula>
    </cfRule>
  </conditionalFormatting>
  <conditionalFormatting sqref="Q79">
    <cfRule type="cellIs" dxfId="26537" priority="2289" operator="lessThan">
      <formula>0</formula>
    </cfRule>
  </conditionalFormatting>
  <conditionalFormatting sqref="R79">
    <cfRule type="cellIs" dxfId="26536" priority="2287" operator="lessThan">
      <formula>0.8</formula>
    </cfRule>
    <cfRule type="cellIs" dxfId="26535" priority="2288" operator="greaterThan">
      <formula>1</formula>
    </cfRule>
  </conditionalFormatting>
  <conditionalFormatting sqref="R79">
    <cfRule type="cellIs" dxfId="26534" priority="2285" operator="greaterThan">
      <formula>1</formula>
    </cfRule>
    <cfRule type="cellIs" dxfId="26533" priority="2286" operator="lessThan">
      <formula>0.8</formula>
    </cfRule>
  </conditionalFormatting>
  <conditionalFormatting sqref="P79">
    <cfRule type="cellIs" dxfId="26532" priority="2284" operator="greaterThan">
      <formula>0</formula>
    </cfRule>
  </conditionalFormatting>
  <conditionalFormatting sqref="Q79">
    <cfRule type="cellIs" dxfId="26531" priority="2283" operator="lessThan">
      <formula>0</formula>
    </cfRule>
  </conditionalFormatting>
  <conditionalFormatting sqref="R79">
    <cfRule type="cellIs" dxfId="26530" priority="2281" operator="lessThan">
      <formula>0.8</formula>
    </cfRule>
    <cfRule type="cellIs" dxfId="26529" priority="2282" operator="greaterThan">
      <formula>1</formula>
    </cfRule>
  </conditionalFormatting>
  <conditionalFormatting sqref="R79">
    <cfRule type="cellIs" dxfId="26528" priority="2279" operator="greaterThan">
      <formula>1</formula>
    </cfRule>
    <cfRule type="cellIs" dxfId="26527" priority="2280" operator="lessThan">
      <formula>0.8</formula>
    </cfRule>
  </conditionalFormatting>
  <conditionalFormatting sqref="P79">
    <cfRule type="cellIs" dxfId="26526" priority="2278" operator="greaterThan">
      <formula>0</formula>
    </cfRule>
  </conditionalFormatting>
  <conditionalFormatting sqref="P79">
    <cfRule type="cellIs" dxfId="26525" priority="2272" operator="greaterThan">
      <formula>0</formula>
    </cfRule>
  </conditionalFormatting>
  <conditionalFormatting sqref="Q79">
    <cfRule type="cellIs" dxfId="26524" priority="2277" operator="lessThan">
      <formula>0</formula>
    </cfRule>
  </conditionalFormatting>
  <conditionalFormatting sqref="R79">
    <cfRule type="cellIs" dxfId="26523" priority="2275" operator="lessThan">
      <formula>0.8</formula>
    </cfRule>
    <cfRule type="cellIs" dxfId="26522" priority="2276" operator="greaterThan">
      <formula>1</formula>
    </cfRule>
  </conditionalFormatting>
  <conditionalFormatting sqref="R79">
    <cfRule type="cellIs" dxfId="26521" priority="2273" operator="greaterThan">
      <formula>1</formula>
    </cfRule>
    <cfRule type="cellIs" dxfId="26520" priority="2274" operator="lessThan">
      <formula>0.8</formula>
    </cfRule>
  </conditionalFormatting>
  <conditionalFormatting sqref="P71:P78">
    <cfRule type="cellIs" dxfId="26519" priority="2266" operator="greaterThan">
      <formula>0</formula>
    </cfRule>
  </conditionalFormatting>
  <conditionalFormatting sqref="Q71:Q78">
    <cfRule type="cellIs" dxfId="26518" priority="2271" operator="lessThan">
      <formula>0</formula>
    </cfRule>
  </conditionalFormatting>
  <conditionalFormatting sqref="R71:R78">
    <cfRule type="cellIs" dxfId="26517" priority="2269" operator="lessThan">
      <formula>0.8</formula>
    </cfRule>
    <cfRule type="cellIs" dxfId="26516" priority="2270" operator="greaterThan">
      <formula>1</formula>
    </cfRule>
  </conditionalFormatting>
  <conditionalFormatting sqref="R71:R78">
    <cfRule type="cellIs" dxfId="26515" priority="2267" operator="greaterThan">
      <formula>1</formula>
    </cfRule>
    <cfRule type="cellIs" dxfId="26514" priority="2268" operator="lessThan">
      <formula>0.8</formula>
    </cfRule>
  </conditionalFormatting>
  <conditionalFormatting sqref="Q148:Q153">
    <cfRule type="cellIs" dxfId="26513" priority="2265" operator="lessThan">
      <formula>0</formula>
    </cfRule>
  </conditionalFormatting>
  <conditionalFormatting sqref="R148:R153">
    <cfRule type="cellIs" dxfId="26512" priority="2263" operator="lessThan">
      <formula>0.8</formula>
    </cfRule>
    <cfRule type="cellIs" dxfId="26511" priority="2264" operator="greaterThan">
      <formula>1</formula>
    </cfRule>
  </conditionalFormatting>
  <conditionalFormatting sqref="R148:R153">
    <cfRule type="cellIs" dxfId="26510" priority="2261" operator="greaterThan">
      <formula>1</formula>
    </cfRule>
    <cfRule type="cellIs" dxfId="26509" priority="2262" operator="lessThan">
      <formula>0.8</formula>
    </cfRule>
  </conditionalFormatting>
  <conditionalFormatting sqref="P148:P153">
    <cfRule type="cellIs" dxfId="26508" priority="2260" operator="greaterThan">
      <formula>0</formula>
    </cfRule>
  </conditionalFormatting>
  <conditionalFormatting sqref="Q148:Q153">
    <cfRule type="cellIs" dxfId="26507" priority="2259" operator="lessThan">
      <formula>0</formula>
    </cfRule>
  </conditionalFormatting>
  <conditionalFormatting sqref="R148:R153">
    <cfRule type="cellIs" dxfId="26506" priority="2257" operator="lessThan">
      <formula>0.8</formula>
    </cfRule>
    <cfRule type="cellIs" dxfId="26505" priority="2258" operator="greaterThan">
      <formula>1</formula>
    </cfRule>
  </conditionalFormatting>
  <conditionalFormatting sqref="R148:R153">
    <cfRule type="cellIs" dxfId="26504" priority="2255" operator="greaterThan">
      <formula>1</formula>
    </cfRule>
    <cfRule type="cellIs" dxfId="26503" priority="2256" operator="lessThan">
      <formula>0.8</formula>
    </cfRule>
  </conditionalFormatting>
  <conditionalFormatting sqref="P148:P153">
    <cfRule type="cellIs" dxfId="26502" priority="2254" operator="greaterThan">
      <formula>0</formula>
    </cfRule>
  </conditionalFormatting>
  <conditionalFormatting sqref="Q148:Q153">
    <cfRule type="cellIs" dxfId="26501" priority="2253" operator="lessThan">
      <formula>0</formula>
    </cfRule>
  </conditionalFormatting>
  <conditionalFormatting sqref="R148:R153">
    <cfRule type="cellIs" dxfId="26500" priority="2251" operator="lessThan">
      <formula>0.8</formula>
    </cfRule>
    <cfRule type="cellIs" dxfId="26499" priority="2252" operator="greaterThan">
      <formula>1</formula>
    </cfRule>
  </conditionalFormatting>
  <conditionalFormatting sqref="R148:R153">
    <cfRule type="cellIs" dxfId="26498" priority="2249" operator="greaterThan">
      <formula>1</formula>
    </cfRule>
    <cfRule type="cellIs" dxfId="26497" priority="2250" operator="lessThan">
      <formula>0.8</formula>
    </cfRule>
  </conditionalFormatting>
  <conditionalFormatting sqref="P148:P153">
    <cfRule type="cellIs" dxfId="26496" priority="2248" operator="greaterThan">
      <formula>0</formula>
    </cfRule>
  </conditionalFormatting>
  <conditionalFormatting sqref="Q148:Q153">
    <cfRule type="cellIs" dxfId="26495" priority="2247" operator="lessThan">
      <formula>0</formula>
    </cfRule>
  </conditionalFormatting>
  <conditionalFormatting sqref="R148:R153">
    <cfRule type="cellIs" dxfId="26494" priority="2245" operator="lessThan">
      <formula>0.8</formula>
    </cfRule>
    <cfRule type="cellIs" dxfId="26493" priority="2246" operator="greaterThan">
      <formula>1</formula>
    </cfRule>
  </conditionalFormatting>
  <conditionalFormatting sqref="R148:R153">
    <cfRule type="cellIs" dxfId="26492" priority="2243" operator="greaterThan">
      <formula>1</formula>
    </cfRule>
    <cfRule type="cellIs" dxfId="26491" priority="2244" operator="lessThan">
      <formula>0.8</formula>
    </cfRule>
  </conditionalFormatting>
  <conditionalFormatting sqref="P148:P153">
    <cfRule type="cellIs" dxfId="26490" priority="2242" operator="greaterThan">
      <formula>0</formula>
    </cfRule>
  </conditionalFormatting>
  <conditionalFormatting sqref="P148:P153">
    <cfRule type="cellIs" dxfId="26489" priority="2236" operator="greaterThan">
      <formula>0</formula>
    </cfRule>
  </conditionalFormatting>
  <conditionalFormatting sqref="Q148:Q153">
    <cfRule type="cellIs" dxfId="26488" priority="2241" operator="lessThan">
      <formula>0</formula>
    </cfRule>
  </conditionalFormatting>
  <conditionalFormatting sqref="R148:R153">
    <cfRule type="cellIs" dxfId="26487" priority="2239" operator="lessThan">
      <formula>0.8</formula>
    </cfRule>
    <cfRule type="cellIs" dxfId="26486" priority="2240" operator="greaterThan">
      <formula>1</formula>
    </cfRule>
  </conditionalFormatting>
  <conditionalFormatting sqref="R148:R153">
    <cfRule type="cellIs" dxfId="26485" priority="2237" operator="greaterThan">
      <formula>1</formula>
    </cfRule>
    <cfRule type="cellIs" dxfId="26484" priority="2238" operator="lessThan">
      <formula>0.8</formula>
    </cfRule>
  </conditionalFormatting>
  <conditionalFormatting sqref="P148:P153">
    <cfRule type="cellIs" dxfId="26483" priority="2230" operator="greaterThan">
      <formula>0</formula>
    </cfRule>
  </conditionalFormatting>
  <conditionalFormatting sqref="Q148:Q153">
    <cfRule type="cellIs" dxfId="26482" priority="2235" operator="lessThan">
      <formula>0</formula>
    </cfRule>
  </conditionalFormatting>
  <conditionalFormatting sqref="R148:R153">
    <cfRule type="cellIs" dxfId="26481" priority="2233" operator="lessThan">
      <formula>0.8</formula>
    </cfRule>
    <cfRule type="cellIs" dxfId="26480" priority="2234" operator="greaterThan">
      <formula>1</formula>
    </cfRule>
  </conditionalFormatting>
  <conditionalFormatting sqref="R148:R153">
    <cfRule type="cellIs" dxfId="26479" priority="2231" operator="greaterThan">
      <formula>1</formula>
    </cfRule>
    <cfRule type="cellIs" dxfId="26478" priority="2232" operator="lessThan">
      <formula>0.8</formula>
    </cfRule>
  </conditionalFormatting>
  <conditionalFormatting sqref="R148:R153">
    <cfRule type="cellIs" dxfId="26477" priority="2227" operator="lessThan">
      <formula>0.8</formula>
    </cfRule>
    <cfRule type="cellIs" dxfId="26476" priority="2228" operator="greaterThan">
      <formula>1</formula>
    </cfRule>
  </conditionalFormatting>
  <conditionalFormatting sqref="R148:R153">
    <cfRule type="cellIs" dxfId="26475" priority="2225" operator="greaterThan">
      <formula>1</formula>
    </cfRule>
    <cfRule type="cellIs" dxfId="26474" priority="2226" operator="lessThan">
      <formula>0.8</formula>
    </cfRule>
  </conditionalFormatting>
  <conditionalFormatting sqref="P148:P153">
    <cfRule type="cellIs" dxfId="26473" priority="2224" operator="greaterThan">
      <formula>0</formula>
    </cfRule>
  </conditionalFormatting>
  <conditionalFormatting sqref="Q148:Q153">
    <cfRule type="cellIs" dxfId="26472" priority="2229" operator="lessThan">
      <formula>0</formula>
    </cfRule>
  </conditionalFormatting>
  <conditionalFormatting sqref="Q148:Q153">
    <cfRule type="cellIs" dxfId="26471" priority="2223" operator="lessThan">
      <formula>0</formula>
    </cfRule>
  </conditionalFormatting>
  <conditionalFormatting sqref="R148:R153">
    <cfRule type="cellIs" dxfId="26470" priority="2221" operator="lessThan">
      <formula>0.8</formula>
    </cfRule>
    <cfRule type="cellIs" dxfId="26469" priority="2222" operator="greaterThan">
      <formula>1</formula>
    </cfRule>
  </conditionalFormatting>
  <conditionalFormatting sqref="R148:R153">
    <cfRule type="cellIs" dxfId="26468" priority="2219" operator="greaterThan">
      <formula>1</formula>
    </cfRule>
    <cfRule type="cellIs" dxfId="26467" priority="2220" operator="lessThan">
      <formula>0.8</formula>
    </cfRule>
  </conditionalFormatting>
  <conditionalFormatting sqref="P148:P153">
    <cfRule type="cellIs" dxfId="26466" priority="2218" operator="greaterThan">
      <formula>0</formula>
    </cfRule>
  </conditionalFormatting>
  <conditionalFormatting sqref="P148:P153">
    <cfRule type="cellIs" dxfId="26465" priority="2212" operator="greaterThan">
      <formula>0</formula>
    </cfRule>
  </conditionalFormatting>
  <conditionalFormatting sqref="Q148:Q153">
    <cfRule type="cellIs" dxfId="26464" priority="2217" operator="lessThan">
      <formula>0</formula>
    </cfRule>
  </conditionalFormatting>
  <conditionalFormatting sqref="R148:R153">
    <cfRule type="cellIs" dxfId="26463" priority="2215" operator="lessThan">
      <formula>0.8</formula>
    </cfRule>
    <cfRule type="cellIs" dxfId="26462" priority="2216" operator="greaterThan">
      <formula>1</formula>
    </cfRule>
  </conditionalFormatting>
  <conditionalFormatting sqref="R148:R153">
    <cfRule type="cellIs" dxfId="26461" priority="2213" operator="greaterThan">
      <formula>1</formula>
    </cfRule>
    <cfRule type="cellIs" dxfId="26460" priority="2214" operator="lessThan">
      <formula>0.8</formula>
    </cfRule>
  </conditionalFormatting>
  <conditionalFormatting sqref="P148:P153">
    <cfRule type="cellIs" dxfId="26459" priority="2206" operator="greaterThan">
      <formula>0</formula>
    </cfRule>
  </conditionalFormatting>
  <conditionalFormatting sqref="Q148:Q153">
    <cfRule type="cellIs" dxfId="26458" priority="2211" operator="lessThan">
      <formula>0</formula>
    </cfRule>
  </conditionalFormatting>
  <conditionalFormatting sqref="R148:R153">
    <cfRule type="cellIs" dxfId="26457" priority="2209" operator="lessThan">
      <formula>0.8</formula>
    </cfRule>
    <cfRule type="cellIs" dxfId="26456" priority="2210" operator="greaterThan">
      <formula>1</formula>
    </cfRule>
  </conditionalFormatting>
  <conditionalFormatting sqref="R148:R153">
    <cfRule type="cellIs" dxfId="26455" priority="2207" operator="greaterThan">
      <formula>1</formula>
    </cfRule>
    <cfRule type="cellIs" dxfId="26454" priority="2208" operator="lessThan">
      <formula>0.8</formula>
    </cfRule>
  </conditionalFormatting>
  <conditionalFormatting sqref="R148:R153">
    <cfRule type="cellIs" dxfId="26453" priority="2203" operator="lessThan">
      <formula>0.8</formula>
    </cfRule>
    <cfRule type="cellIs" dxfId="26452" priority="2204" operator="greaterThan">
      <formula>1</formula>
    </cfRule>
  </conditionalFormatting>
  <conditionalFormatting sqref="R148:R153">
    <cfRule type="cellIs" dxfId="26451" priority="2201" operator="greaterThan">
      <formula>1</formula>
    </cfRule>
    <cfRule type="cellIs" dxfId="26450" priority="2202" operator="lessThan">
      <formula>0.8</formula>
    </cfRule>
  </conditionalFormatting>
  <conditionalFormatting sqref="P148:P153">
    <cfRule type="cellIs" dxfId="26449" priority="2200" operator="greaterThan">
      <formula>0</formula>
    </cfRule>
  </conditionalFormatting>
  <conditionalFormatting sqref="Q148:Q153">
    <cfRule type="cellIs" dxfId="26448" priority="2205" operator="lessThan">
      <formula>0</formula>
    </cfRule>
  </conditionalFormatting>
  <conditionalFormatting sqref="P148:P153">
    <cfRule type="cellIs" dxfId="26447" priority="2194" operator="greaterThan">
      <formula>0</formula>
    </cfRule>
  </conditionalFormatting>
  <conditionalFormatting sqref="Q148:Q153">
    <cfRule type="cellIs" dxfId="26446" priority="2199" operator="lessThan">
      <formula>0</formula>
    </cfRule>
  </conditionalFormatting>
  <conditionalFormatting sqref="R148:R153">
    <cfRule type="cellIs" dxfId="26445" priority="2197" operator="lessThan">
      <formula>0.8</formula>
    </cfRule>
    <cfRule type="cellIs" dxfId="26444" priority="2198" operator="greaterThan">
      <formula>1</formula>
    </cfRule>
  </conditionalFormatting>
  <conditionalFormatting sqref="R148:R153">
    <cfRule type="cellIs" dxfId="26443" priority="2195" operator="greaterThan">
      <formula>1</formula>
    </cfRule>
    <cfRule type="cellIs" dxfId="26442" priority="2196" operator="lessThan">
      <formula>0.8</formula>
    </cfRule>
  </conditionalFormatting>
  <conditionalFormatting sqref="R148:R153">
    <cfRule type="cellIs" dxfId="26441" priority="2191" operator="lessThan">
      <formula>0.8</formula>
    </cfRule>
    <cfRule type="cellIs" dxfId="26440" priority="2192" operator="greaterThan">
      <formula>1</formula>
    </cfRule>
  </conditionalFormatting>
  <conditionalFormatting sqref="R148:R153">
    <cfRule type="cellIs" dxfId="26439" priority="2189" operator="greaterThan">
      <formula>1</formula>
    </cfRule>
    <cfRule type="cellIs" dxfId="26438" priority="2190" operator="lessThan">
      <formula>0.8</formula>
    </cfRule>
  </conditionalFormatting>
  <conditionalFormatting sqref="P148:P153">
    <cfRule type="cellIs" dxfId="26437" priority="2188" operator="greaterThan">
      <formula>0</formula>
    </cfRule>
  </conditionalFormatting>
  <conditionalFormatting sqref="Q148:Q153">
    <cfRule type="cellIs" dxfId="26436" priority="2193" operator="lessThan">
      <formula>0</formula>
    </cfRule>
  </conditionalFormatting>
  <conditionalFormatting sqref="R148:R153">
    <cfRule type="cellIs" dxfId="26435" priority="2185" operator="lessThan">
      <formula>0.8</formula>
    </cfRule>
    <cfRule type="cellIs" dxfId="26434" priority="2186" operator="greaterThan">
      <formula>1</formula>
    </cfRule>
  </conditionalFormatting>
  <conditionalFormatting sqref="R148:R153">
    <cfRule type="cellIs" dxfId="26433" priority="2183" operator="greaterThan">
      <formula>1</formula>
    </cfRule>
    <cfRule type="cellIs" dxfId="26432" priority="2184" operator="lessThan">
      <formula>0.8</formula>
    </cfRule>
  </conditionalFormatting>
  <conditionalFormatting sqref="P148:P153">
    <cfRule type="cellIs" dxfId="26431" priority="2182" operator="greaterThan">
      <formula>0</formula>
    </cfRule>
  </conditionalFormatting>
  <conditionalFormatting sqref="Q148:Q153">
    <cfRule type="cellIs" dxfId="26430" priority="2187" operator="lessThan">
      <formula>0</formula>
    </cfRule>
  </conditionalFormatting>
  <conditionalFormatting sqref="Q148:Q153">
    <cfRule type="cellIs" dxfId="26429" priority="2181" operator="lessThan">
      <formula>0</formula>
    </cfRule>
  </conditionalFormatting>
  <conditionalFormatting sqref="R148:R153">
    <cfRule type="cellIs" dxfId="26428" priority="2179" operator="lessThan">
      <formula>0.8</formula>
    </cfRule>
    <cfRule type="cellIs" dxfId="26427" priority="2180" operator="greaterThan">
      <formula>1</formula>
    </cfRule>
  </conditionalFormatting>
  <conditionalFormatting sqref="R148:R153">
    <cfRule type="cellIs" dxfId="26426" priority="2177" operator="greaterThan">
      <formula>1</formula>
    </cfRule>
    <cfRule type="cellIs" dxfId="26425" priority="2178" operator="lessThan">
      <formula>0.8</formula>
    </cfRule>
  </conditionalFormatting>
  <conditionalFormatting sqref="P148:P153">
    <cfRule type="cellIs" dxfId="26424" priority="2176" operator="greaterThan">
      <formula>0</formula>
    </cfRule>
  </conditionalFormatting>
  <conditionalFormatting sqref="Q148:Q153">
    <cfRule type="cellIs" dxfId="26423" priority="2170" operator="lessThan">
      <formula>0</formula>
    </cfRule>
  </conditionalFormatting>
  <conditionalFormatting sqref="R148:R153">
    <cfRule type="cellIs" dxfId="26422" priority="2174" operator="lessThan">
      <formula>0.8</formula>
    </cfRule>
    <cfRule type="cellIs" dxfId="26421" priority="2175" operator="greaterThan">
      <formula>1</formula>
    </cfRule>
  </conditionalFormatting>
  <conditionalFormatting sqref="R148:R153">
    <cfRule type="cellIs" dxfId="26420" priority="2172" operator="greaterThan">
      <formula>1</formula>
    </cfRule>
    <cfRule type="cellIs" dxfId="26419" priority="2173" operator="lessThan">
      <formula>0.8</formula>
    </cfRule>
  </conditionalFormatting>
  <conditionalFormatting sqref="P148:P153">
    <cfRule type="cellIs" dxfId="26418" priority="2171" operator="greaterThan">
      <formula>0</formula>
    </cfRule>
  </conditionalFormatting>
  <conditionalFormatting sqref="Q148:Q153">
    <cfRule type="cellIs" dxfId="26417" priority="2169" operator="lessThan">
      <formula>0</formula>
    </cfRule>
  </conditionalFormatting>
  <conditionalFormatting sqref="R148:R153">
    <cfRule type="cellIs" dxfId="26416" priority="2167" operator="lessThan">
      <formula>0.8</formula>
    </cfRule>
    <cfRule type="cellIs" dxfId="26415" priority="2168" operator="greaterThan">
      <formula>1</formula>
    </cfRule>
  </conditionalFormatting>
  <conditionalFormatting sqref="R148:R153">
    <cfRule type="cellIs" dxfId="26414" priority="2165" operator="greaterThan">
      <formula>1</formula>
    </cfRule>
    <cfRule type="cellIs" dxfId="26413" priority="2166" operator="lessThan">
      <formula>0.8</formula>
    </cfRule>
  </conditionalFormatting>
  <conditionalFormatting sqref="P148:P153">
    <cfRule type="cellIs" dxfId="26412" priority="2164" operator="greaterThan">
      <formula>0</formula>
    </cfRule>
  </conditionalFormatting>
  <conditionalFormatting sqref="Q148:Q153">
    <cfRule type="cellIs" dxfId="26411" priority="2163" operator="lessThan">
      <formula>0</formula>
    </cfRule>
  </conditionalFormatting>
  <conditionalFormatting sqref="R148:R153">
    <cfRule type="cellIs" dxfId="26410" priority="2161" operator="lessThan">
      <formula>0.8</formula>
    </cfRule>
    <cfRule type="cellIs" dxfId="26409" priority="2162" operator="greaterThan">
      <formula>1</formula>
    </cfRule>
  </conditionalFormatting>
  <conditionalFormatting sqref="R148:R153">
    <cfRule type="cellIs" dxfId="26408" priority="2159" operator="greaterThan">
      <formula>1</formula>
    </cfRule>
    <cfRule type="cellIs" dxfId="26407" priority="2160" operator="lessThan">
      <formula>0.8</formula>
    </cfRule>
  </conditionalFormatting>
  <conditionalFormatting sqref="P148:P153">
    <cfRule type="cellIs" dxfId="26406" priority="2158" operator="greaterThan">
      <formula>0</formula>
    </cfRule>
  </conditionalFormatting>
  <conditionalFormatting sqref="Q148:Q153">
    <cfRule type="cellIs" dxfId="26405" priority="2157" operator="lessThan">
      <formula>0</formula>
    </cfRule>
  </conditionalFormatting>
  <conditionalFormatting sqref="R148:R153">
    <cfRule type="cellIs" dxfId="26404" priority="2155" operator="lessThan">
      <formula>0.8</formula>
    </cfRule>
    <cfRule type="cellIs" dxfId="26403" priority="2156" operator="greaterThan">
      <formula>1</formula>
    </cfRule>
  </conditionalFormatting>
  <conditionalFormatting sqref="R148:R153">
    <cfRule type="cellIs" dxfId="26402" priority="2153" operator="greaterThan">
      <formula>1</formula>
    </cfRule>
    <cfRule type="cellIs" dxfId="26401" priority="2154" operator="lessThan">
      <formula>0.8</formula>
    </cfRule>
  </conditionalFormatting>
  <conditionalFormatting sqref="P148:P153">
    <cfRule type="cellIs" dxfId="26400" priority="2152" operator="greaterThan">
      <formula>0</formula>
    </cfRule>
  </conditionalFormatting>
  <conditionalFormatting sqref="Q148:Q153">
    <cfRule type="cellIs" dxfId="26399" priority="2151" operator="lessThan">
      <formula>0</formula>
    </cfRule>
  </conditionalFormatting>
  <conditionalFormatting sqref="R148:R153">
    <cfRule type="cellIs" dxfId="26398" priority="2149" operator="lessThan">
      <formula>0.8</formula>
    </cfRule>
    <cfRule type="cellIs" dxfId="26397" priority="2150" operator="greaterThan">
      <formula>1</formula>
    </cfRule>
  </conditionalFormatting>
  <conditionalFormatting sqref="R148:R153">
    <cfRule type="cellIs" dxfId="26396" priority="2147" operator="greaterThan">
      <formula>1</formula>
    </cfRule>
    <cfRule type="cellIs" dxfId="26395" priority="2148" operator="lessThan">
      <formula>0.8</formula>
    </cfRule>
  </conditionalFormatting>
  <conditionalFormatting sqref="P148:P153">
    <cfRule type="cellIs" dxfId="26394" priority="2146" operator="greaterThan">
      <formula>0</formula>
    </cfRule>
  </conditionalFormatting>
  <conditionalFormatting sqref="Q148:Q153">
    <cfRule type="cellIs" dxfId="26393" priority="2145" operator="lessThan">
      <formula>0</formula>
    </cfRule>
  </conditionalFormatting>
  <conditionalFormatting sqref="R148:R153">
    <cfRule type="cellIs" dxfId="26392" priority="2143" operator="lessThan">
      <formula>0.8</formula>
    </cfRule>
    <cfRule type="cellIs" dxfId="26391" priority="2144" operator="greaterThan">
      <formula>1</formula>
    </cfRule>
  </conditionalFormatting>
  <conditionalFormatting sqref="R148:R153">
    <cfRule type="cellIs" dxfId="26390" priority="2141" operator="greaterThan">
      <formula>1</formula>
    </cfRule>
    <cfRule type="cellIs" dxfId="26389" priority="2142" operator="lessThan">
      <formula>0.8</formula>
    </cfRule>
  </conditionalFormatting>
  <conditionalFormatting sqref="P148:P153">
    <cfRule type="cellIs" dxfId="26388" priority="2140" operator="greaterThan">
      <formula>0</formula>
    </cfRule>
  </conditionalFormatting>
  <conditionalFormatting sqref="P148:P153">
    <cfRule type="cellIs" dxfId="26387" priority="2134" operator="greaterThan">
      <formula>0</formula>
    </cfRule>
  </conditionalFormatting>
  <conditionalFormatting sqref="Q148:Q153">
    <cfRule type="cellIs" dxfId="26386" priority="2139" operator="lessThan">
      <formula>0</formula>
    </cfRule>
  </conditionalFormatting>
  <conditionalFormatting sqref="R148:R153">
    <cfRule type="cellIs" dxfId="26385" priority="2137" operator="lessThan">
      <formula>0.8</formula>
    </cfRule>
    <cfRule type="cellIs" dxfId="26384" priority="2138" operator="greaterThan">
      <formula>1</formula>
    </cfRule>
  </conditionalFormatting>
  <conditionalFormatting sqref="R148:R153">
    <cfRule type="cellIs" dxfId="26383" priority="2135" operator="greaterThan">
      <formula>1</formula>
    </cfRule>
    <cfRule type="cellIs" dxfId="26382" priority="2136" operator="lessThan">
      <formula>0.8</formula>
    </cfRule>
  </conditionalFormatting>
  <conditionalFormatting sqref="P148:P153">
    <cfRule type="cellIs" dxfId="26381" priority="2128" operator="greaterThan">
      <formula>0</formula>
    </cfRule>
  </conditionalFormatting>
  <conditionalFormatting sqref="Q148:Q153">
    <cfRule type="cellIs" dxfId="26380" priority="2133" operator="lessThan">
      <formula>0</formula>
    </cfRule>
  </conditionalFormatting>
  <conditionalFormatting sqref="R148:R153">
    <cfRule type="cellIs" dxfId="26379" priority="2131" operator="lessThan">
      <formula>0.8</formula>
    </cfRule>
    <cfRule type="cellIs" dxfId="26378" priority="2132" operator="greaterThan">
      <formula>1</formula>
    </cfRule>
  </conditionalFormatting>
  <conditionalFormatting sqref="R148:R153">
    <cfRule type="cellIs" dxfId="26377" priority="2129" operator="greaterThan">
      <formula>1</formula>
    </cfRule>
    <cfRule type="cellIs" dxfId="26376" priority="2130" operator="lessThan">
      <formula>0.8</formula>
    </cfRule>
  </conditionalFormatting>
  <conditionalFormatting sqref="R148:R153">
    <cfRule type="cellIs" dxfId="26375" priority="2125" operator="lessThan">
      <formula>0.8</formula>
    </cfRule>
    <cfRule type="cellIs" dxfId="26374" priority="2126" operator="greaterThan">
      <formula>1</formula>
    </cfRule>
  </conditionalFormatting>
  <conditionalFormatting sqref="R148:R153">
    <cfRule type="cellIs" dxfId="26373" priority="2123" operator="greaterThan">
      <formula>1</formula>
    </cfRule>
    <cfRule type="cellIs" dxfId="26372" priority="2124" operator="lessThan">
      <formula>0.8</formula>
    </cfRule>
  </conditionalFormatting>
  <conditionalFormatting sqref="P148:P153">
    <cfRule type="cellIs" dxfId="26371" priority="2122" operator="greaterThan">
      <formula>0</formula>
    </cfRule>
  </conditionalFormatting>
  <conditionalFormatting sqref="Q148:Q153">
    <cfRule type="cellIs" dxfId="26370" priority="2127" operator="lessThan">
      <formula>0</formula>
    </cfRule>
  </conditionalFormatting>
  <conditionalFormatting sqref="Q148:Q153">
    <cfRule type="cellIs" dxfId="26369" priority="2116" operator="lessThan">
      <formula>0</formula>
    </cfRule>
  </conditionalFormatting>
  <conditionalFormatting sqref="P148:P153">
    <cfRule type="cellIs" dxfId="26368" priority="2117" operator="greaterThan">
      <formula>0</formula>
    </cfRule>
  </conditionalFormatting>
  <conditionalFormatting sqref="R148:R153">
    <cfRule type="cellIs" dxfId="26367" priority="2120" operator="lessThan">
      <formula>0.8</formula>
    </cfRule>
    <cfRule type="cellIs" dxfId="26366" priority="2121" operator="greaterThan">
      <formula>1</formula>
    </cfRule>
  </conditionalFormatting>
  <conditionalFormatting sqref="R148:R153">
    <cfRule type="cellIs" dxfId="26365" priority="2118" operator="greaterThan">
      <formula>1</formula>
    </cfRule>
    <cfRule type="cellIs" dxfId="26364" priority="2119" operator="lessThan">
      <formula>0.8</formula>
    </cfRule>
  </conditionalFormatting>
  <conditionalFormatting sqref="Q148:Q153">
    <cfRule type="cellIs" dxfId="26363" priority="2110" operator="lessThan">
      <formula>0</formula>
    </cfRule>
  </conditionalFormatting>
  <conditionalFormatting sqref="R148:R153">
    <cfRule type="cellIs" dxfId="26362" priority="2114" operator="lessThan">
      <formula>0.8</formula>
    </cfRule>
    <cfRule type="cellIs" dxfId="26361" priority="2115" operator="greaterThan">
      <formula>1</formula>
    </cfRule>
  </conditionalFormatting>
  <conditionalFormatting sqref="R148:R153">
    <cfRule type="cellIs" dxfId="26360" priority="2112" operator="greaterThan">
      <formula>1</formula>
    </cfRule>
    <cfRule type="cellIs" dxfId="26359" priority="2113" operator="lessThan">
      <formula>0.8</formula>
    </cfRule>
  </conditionalFormatting>
  <conditionalFormatting sqref="P148:P153">
    <cfRule type="cellIs" dxfId="26358" priority="2111" operator="greaterThan">
      <formula>0</formula>
    </cfRule>
  </conditionalFormatting>
  <conditionalFormatting sqref="Q148:Q153">
    <cfRule type="cellIs" dxfId="26357" priority="2109" operator="lessThan">
      <formula>0</formula>
    </cfRule>
  </conditionalFormatting>
  <conditionalFormatting sqref="R148:R153">
    <cfRule type="cellIs" dxfId="26356" priority="2107" operator="lessThan">
      <formula>0.8</formula>
    </cfRule>
    <cfRule type="cellIs" dxfId="26355" priority="2108" operator="greaterThan">
      <formula>1</formula>
    </cfRule>
  </conditionalFormatting>
  <conditionalFormatting sqref="R148:R153">
    <cfRule type="cellIs" dxfId="26354" priority="2105" operator="greaterThan">
      <formula>1</formula>
    </cfRule>
    <cfRule type="cellIs" dxfId="26353" priority="2106" operator="lessThan">
      <formula>0.8</formula>
    </cfRule>
  </conditionalFormatting>
  <conditionalFormatting sqref="P148:P153">
    <cfRule type="cellIs" dxfId="26352" priority="2104" operator="greaterThan">
      <formula>0</formula>
    </cfRule>
  </conditionalFormatting>
  <conditionalFormatting sqref="Q148:Q153">
    <cfRule type="cellIs" dxfId="26351" priority="2103" operator="lessThan">
      <formula>0</formula>
    </cfRule>
  </conditionalFormatting>
  <conditionalFormatting sqref="R148:R153">
    <cfRule type="cellIs" dxfId="26350" priority="2101" operator="lessThan">
      <formula>0.8</formula>
    </cfRule>
    <cfRule type="cellIs" dxfId="26349" priority="2102" operator="greaterThan">
      <formula>1</formula>
    </cfRule>
  </conditionalFormatting>
  <conditionalFormatting sqref="R148:R153">
    <cfRule type="cellIs" dxfId="26348" priority="2099" operator="greaterThan">
      <formula>1</formula>
    </cfRule>
    <cfRule type="cellIs" dxfId="26347" priority="2100" operator="lessThan">
      <formula>0.8</formula>
    </cfRule>
  </conditionalFormatting>
  <conditionalFormatting sqref="P148:P153">
    <cfRule type="cellIs" dxfId="26346" priority="2098" operator="greaterThan">
      <formula>0</formula>
    </cfRule>
  </conditionalFormatting>
  <conditionalFormatting sqref="Q148:Q153">
    <cfRule type="cellIs" dxfId="26345" priority="2097" operator="lessThan">
      <formula>0</formula>
    </cfRule>
  </conditionalFormatting>
  <conditionalFormatting sqref="R148:R153">
    <cfRule type="cellIs" dxfId="26344" priority="2095" operator="lessThan">
      <formula>0.8</formula>
    </cfRule>
    <cfRule type="cellIs" dxfId="26343" priority="2096" operator="greaterThan">
      <formula>1</formula>
    </cfRule>
  </conditionalFormatting>
  <conditionalFormatting sqref="R148:R153">
    <cfRule type="cellIs" dxfId="26342" priority="2093" operator="greaterThan">
      <formula>1</formula>
    </cfRule>
    <cfRule type="cellIs" dxfId="26341" priority="2094" operator="lessThan">
      <formula>0.8</formula>
    </cfRule>
  </conditionalFormatting>
  <conditionalFormatting sqref="P148:P153">
    <cfRule type="cellIs" dxfId="26340" priority="2092" operator="greaterThan">
      <formula>0</formula>
    </cfRule>
  </conditionalFormatting>
  <conditionalFormatting sqref="Q148:Q153">
    <cfRule type="cellIs" dxfId="26339" priority="2091" operator="lessThan">
      <formula>0</formula>
    </cfRule>
  </conditionalFormatting>
  <conditionalFormatting sqref="R148:R153">
    <cfRule type="cellIs" dxfId="26338" priority="2089" operator="lessThan">
      <formula>0.8</formula>
    </cfRule>
    <cfRule type="cellIs" dxfId="26337" priority="2090" operator="greaterThan">
      <formula>1</formula>
    </cfRule>
  </conditionalFormatting>
  <conditionalFormatting sqref="R148:R153">
    <cfRule type="cellIs" dxfId="26336" priority="2087" operator="greaterThan">
      <formula>1</formula>
    </cfRule>
    <cfRule type="cellIs" dxfId="26335" priority="2088" operator="lessThan">
      <formula>0.8</formula>
    </cfRule>
  </conditionalFormatting>
  <conditionalFormatting sqref="P148:P153">
    <cfRule type="cellIs" dxfId="26334" priority="2086" operator="greaterThan">
      <formula>0</formula>
    </cfRule>
  </conditionalFormatting>
  <conditionalFormatting sqref="Q124 Q127 Q131">
    <cfRule type="cellIs" dxfId="26333" priority="2080" operator="lessThan">
      <formula>0</formula>
    </cfRule>
  </conditionalFormatting>
  <conditionalFormatting sqref="P124 P127 P131">
    <cfRule type="cellIs" dxfId="26332" priority="2081" operator="greaterThan">
      <formula>0</formula>
    </cfRule>
  </conditionalFormatting>
  <conditionalFormatting sqref="R124 R127 R131">
    <cfRule type="cellIs" dxfId="26331" priority="2084" operator="lessThan">
      <formula>0.8</formula>
    </cfRule>
    <cfRule type="cellIs" dxfId="26330" priority="2085" operator="greaterThan">
      <formula>1</formula>
    </cfRule>
  </conditionalFormatting>
  <conditionalFormatting sqref="R124 R127 R131">
    <cfRule type="cellIs" dxfId="26329" priority="2082" operator="greaterThan">
      <formula>1</formula>
    </cfRule>
    <cfRule type="cellIs" dxfId="26328" priority="2083" operator="lessThan">
      <formula>0.8</formula>
    </cfRule>
  </conditionalFormatting>
  <conditionalFormatting sqref="Q124 Q127 Q131">
    <cfRule type="cellIs" dxfId="26327" priority="2074" operator="lessThan">
      <formula>0</formula>
    </cfRule>
  </conditionalFormatting>
  <conditionalFormatting sqref="R124 R127 R131">
    <cfRule type="cellIs" dxfId="26326" priority="2078" operator="lessThan">
      <formula>0.8</formula>
    </cfRule>
    <cfRule type="cellIs" dxfId="26325" priority="2079" operator="greaterThan">
      <formula>1</formula>
    </cfRule>
  </conditionalFormatting>
  <conditionalFormatting sqref="R124 R127 R131">
    <cfRule type="cellIs" dxfId="26324" priority="2076" operator="greaterThan">
      <formula>1</formula>
    </cfRule>
    <cfRule type="cellIs" dxfId="26323" priority="2077" operator="lessThan">
      <formula>0.8</formula>
    </cfRule>
  </conditionalFormatting>
  <conditionalFormatting sqref="P124 P127 P131">
    <cfRule type="cellIs" dxfId="26322" priority="2075" operator="greaterThan">
      <formula>0</formula>
    </cfRule>
  </conditionalFormatting>
  <conditionalFormatting sqref="Q124 Q127 Q131">
    <cfRule type="cellIs" dxfId="26321" priority="2073" operator="lessThan">
      <formula>0</formula>
    </cfRule>
  </conditionalFormatting>
  <conditionalFormatting sqref="R124 R127 R131">
    <cfRule type="cellIs" dxfId="26320" priority="2071" operator="lessThan">
      <formula>0.8</formula>
    </cfRule>
    <cfRule type="cellIs" dxfId="26319" priority="2072" operator="greaterThan">
      <formula>1</formula>
    </cfRule>
  </conditionalFormatting>
  <conditionalFormatting sqref="R124 R127 R131">
    <cfRule type="cellIs" dxfId="26318" priority="2069" operator="greaterThan">
      <formula>1</formula>
    </cfRule>
    <cfRule type="cellIs" dxfId="26317" priority="2070" operator="lessThan">
      <formula>0.8</formula>
    </cfRule>
  </conditionalFormatting>
  <conditionalFormatting sqref="P124 P127 P131">
    <cfRule type="cellIs" dxfId="26316" priority="2068" operator="greaterThan">
      <formula>0</formula>
    </cfRule>
  </conditionalFormatting>
  <conditionalFormatting sqref="Q124 Q127 Q131">
    <cfRule type="cellIs" dxfId="26315" priority="2067" operator="lessThan">
      <formula>0</formula>
    </cfRule>
  </conditionalFormatting>
  <conditionalFormatting sqref="R124 R127 R131">
    <cfRule type="cellIs" dxfId="26314" priority="2065" operator="lessThan">
      <formula>0.8</formula>
    </cfRule>
    <cfRule type="cellIs" dxfId="26313" priority="2066" operator="greaterThan">
      <formula>1</formula>
    </cfRule>
  </conditionalFormatting>
  <conditionalFormatting sqref="R124 R127 R131">
    <cfRule type="cellIs" dxfId="26312" priority="2063" operator="greaterThan">
      <formula>1</formula>
    </cfRule>
    <cfRule type="cellIs" dxfId="26311" priority="2064" operator="lessThan">
      <formula>0.8</formula>
    </cfRule>
  </conditionalFormatting>
  <conditionalFormatting sqref="P124 P127 P131">
    <cfRule type="cellIs" dxfId="26310" priority="2062" operator="greaterThan">
      <formula>0</formula>
    </cfRule>
  </conditionalFormatting>
  <conditionalFormatting sqref="Q124 Q127 Q131">
    <cfRule type="cellIs" dxfId="26309" priority="2061" operator="lessThan">
      <formula>0</formula>
    </cfRule>
  </conditionalFormatting>
  <conditionalFormatting sqref="R124 R127 R131">
    <cfRule type="cellIs" dxfId="26308" priority="2059" operator="lessThan">
      <formula>0.8</formula>
    </cfRule>
    <cfRule type="cellIs" dxfId="26307" priority="2060" operator="greaterThan">
      <formula>1</formula>
    </cfRule>
  </conditionalFormatting>
  <conditionalFormatting sqref="R124 R127 R131">
    <cfRule type="cellIs" dxfId="26306" priority="2057" operator="greaterThan">
      <formula>1</formula>
    </cfRule>
    <cfRule type="cellIs" dxfId="26305" priority="2058" operator="lessThan">
      <formula>0.8</formula>
    </cfRule>
  </conditionalFormatting>
  <conditionalFormatting sqref="P124 P127 P131">
    <cfRule type="cellIs" dxfId="26304" priority="2056" operator="greaterThan">
      <formula>0</formula>
    </cfRule>
  </conditionalFormatting>
  <conditionalFormatting sqref="Q124 Q127 Q131">
    <cfRule type="cellIs" dxfId="26303" priority="2055" operator="lessThan">
      <formula>0</formula>
    </cfRule>
  </conditionalFormatting>
  <conditionalFormatting sqref="R124 R127 R131">
    <cfRule type="cellIs" dxfId="26302" priority="2053" operator="lessThan">
      <formula>0.8</formula>
    </cfRule>
    <cfRule type="cellIs" dxfId="26301" priority="2054" operator="greaterThan">
      <formula>1</formula>
    </cfRule>
  </conditionalFormatting>
  <conditionalFormatting sqref="R124 R127 R131">
    <cfRule type="cellIs" dxfId="26300" priority="2051" operator="greaterThan">
      <formula>1</formula>
    </cfRule>
    <cfRule type="cellIs" dxfId="26299" priority="2052" operator="lessThan">
      <formula>0.8</formula>
    </cfRule>
  </conditionalFormatting>
  <conditionalFormatting sqref="P124 P127 P131">
    <cfRule type="cellIs" dxfId="26298" priority="2050" operator="greaterThan">
      <formula>0</formula>
    </cfRule>
  </conditionalFormatting>
  <conditionalFormatting sqref="Q124 Q127 Q131">
    <cfRule type="cellIs" dxfId="26297" priority="2049" operator="lessThan">
      <formula>0</formula>
    </cfRule>
  </conditionalFormatting>
  <conditionalFormatting sqref="R124 R127 R131">
    <cfRule type="cellIs" dxfId="26296" priority="2047" operator="lessThan">
      <formula>0.8</formula>
    </cfRule>
    <cfRule type="cellIs" dxfId="26295" priority="2048" operator="greaterThan">
      <formula>1</formula>
    </cfRule>
  </conditionalFormatting>
  <conditionalFormatting sqref="R124 R127 R131">
    <cfRule type="cellIs" dxfId="26294" priority="2045" operator="greaterThan">
      <formula>1</formula>
    </cfRule>
    <cfRule type="cellIs" dxfId="26293" priority="2046" operator="lessThan">
      <formula>0.8</formula>
    </cfRule>
  </conditionalFormatting>
  <conditionalFormatting sqref="P124 P127 P131">
    <cfRule type="cellIs" dxfId="26292" priority="2044" operator="greaterThan">
      <formula>0</formula>
    </cfRule>
  </conditionalFormatting>
  <conditionalFormatting sqref="Q124 Q127 Q131">
    <cfRule type="cellIs" dxfId="26291" priority="2043" operator="lessThan">
      <formula>0</formula>
    </cfRule>
  </conditionalFormatting>
  <conditionalFormatting sqref="R124 R127 R131">
    <cfRule type="cellIs" dxfId="26290" priority="2041" operator="lessThan">
      <formula>0.8</formula>
    </cfRule>
    <cfRule type="cellIs" dxfId="26289" priority="2042" operator="greaterThan">
      <formula>1</formula>
    </cfRule>
  </conditionalFormatting>
  <conditionalFormatting sqref="R124 R127 R131">
    <cfRule type="cellIs" dxfId="26288" priority="2039" operator="greaterThan">
      <formula>1</formula>
    </cfRule>
    <cfRule type="cellIs" dxfId="26287" priority="2040" operator="lessThan">
      <formula>0.8</formula>
    </cfRule>
  </conditionalFormatting>
  <conditionalFormatting sqref="P124 P127 P131">
    <cfRule type="cellIs" dxfId="26286" priority="2038" operator="greaterThan">
      <formula>0</formula>
    </cfRule>
  </conditionalFormatting>
  <conditionalFormatting sqref="Q124 Q127 Q131">
    <cfRule type="cellIs" dxfId="26285" priority="2037" operator="lessThan">
      <formula>0</formula>
    </cfRule>
  </conditionalFormatting>
  <conditionalFormatting sqref="R124 R127 R131">
    <cfRule type="cellIs" dxfId="26284" priority="2035" operator="lessThan">
      <formula>0.8</formula>
    </cfRule>
    <cfRule type="cellIs" dxfId="26283" priority="2036" operator="greaterThan">
      <formula>1</formula>
    </cfRule>
  </conditionalFormatting>
  <conditionalFormatting sqref="R124 R127 R131">
    <cfRule type="cellIs" dxfId="26282" priority="2033" operator="greaterThan">
      <formula>1</formula>
    </cfRule>
    <cfRule type="cellIs" dxfId="26281" priority="2034" operator="lessThan">
      <formula>0.8</formula>
    </cfRule>
  </conditionalFormatting>
  <conditionalFormatting sqref="P124 P127 P131">
    <cfRule type="cellIs" dxfId="26280" priority="2032" operator="greaterThan">
      <formula>0</formula>
    </cfRule>
  </conditionalFormatting>
  <conditionalFormatting sqref="P124 P127 P131">
    <cfRule type="cellIs" dxfId="26279" priority="2026" operator="greaterThan">
      <formula>0</formula>
    </cfRule>
  </conditionalFormatting>
  <conditionalFormatting sqref="Q124 Q127 Q131">
    <cfRule type="cellIs" dxfId="26278" priority="2031" operator="lessThan">
      <formula>0</formula>
    </cfRule>
  </conditionalFormatting>
  <conditionalFormatting sqref="R124 R127 R131">
    <cfRule type="cellIs" dxfId="26277" priority="2029" operator="lessThan">
      <formula>0.8</formula>
    </cfRule>
    <cfRule type="cellIs" dxfId="26276" priority="2030" operator="greaterThan">
      <formula>1</formula>
    </cfRule>
  </conditionalFormatting>
  <conditionalFormatting sqref="R124 R127 R131">
    <cfRule type="cellIs" dxfId="26275" priority="2027" operator="greaterThan">
      <formula>1</formula>
    </cfRule>
    <cfRule type="cellIs" dxfId="26274" priority="2028" operator="lessThan">
      <formula>0.8</formula>
    </cfRule>
  </conditionalFormatting>
  <conditionalFormatting sqref="P124 P127 P131">
    <cfRule type="cellIs" dxfId="26273" priority="2020" operator="greaterThan">
      <formula>0</formula>
    </cfRule>
  </conditionalFormatting>
  <conditionalFormatting sqref="Q124 Q127 Q131">
    <cfRule type="cellIs" dxfId="26272" priority="2025" operator="lessThan">
      <formula>0</formula>
    </cfRule>
  </conditionalFormatting>
  <conditionalFormatting sqref="R124 R127 R131">
    <cfRule type="cellIs" dxfId="26271" priority="2023" operator="lessThan">
      <formula>0.8</formula>
    </cfRule>
    <cfRule type="cellIs" dxfId="26270" priority="2024" operator="greaterThan">
      <formula>1</formula>
    </cfRule>
  </conditionalFormatting>
  <conditionalFormatting sqref="R124 R127 R131">
    <cfRule type="cellIs" dxfId="26269" priority="2021" operator="greaterThan">
      <formula>1</formula>
    </cfRule>
    <cfRule type="cellIs" dxfId="26268" priority="2022" operator="lessThan">
      <formula>0.8</formula>
    </cfRule>
  </conditionalFormatting>
  <conditionalFormatting sqref="R124 R127 R131">
    <cfRule type="cellIs" dxfId="26267" priority="2017" operator="lessThan">
      <formula>0.8</formula>
    </cfRule>
    <cfRule type="cellIs" dxfId="26266" priority="2018" operator="greaterThan">
      <formula>1</formula>
    </cfRule>
  </conditionalFormatting>
  <conditionalFormatting sqref="R124 R127 R131">
    <cfRule type="cellIs" dxfId="26265" priority="2015" operator="greaterThan">
      <formula>1</formula>
    </cfRule>
    <cfRule type="cellIs" dxfId="26264" priority="2016" operator="lessThan">
      <formula>0.8</formula>
    </cfRule>
  </conditionalFormatting>
  <conditionalFormatting sqref="P124 P127 P131">
    <cfRule type="cellIs" dxfId="26263" priority="2014" operator="greaterThan">
      <formula>0</formula>
    </cfRule>
  </conditionalFormatting>
  <conditionalFormatting sqref="Q124 Q127 Q131">
    <cfRule type="cellIs" dxfId="26262" priority="2019" operator="lessThan">
      <formula>0</formula>
    </cfRule>
  </conditionalFormatting>
  <conditionalFormatting sqref="Q124 Q127 Q131">
    <cfRule type="cellIs" dxfId="26261" priority="2013" operator="lessThan">
      <formula>0</formula>
    </cfRule>
  </conditionalFormatting>
  <conditionalFormatting sqref="R124 R127 R131">
    <cfRule type="cellIs" dxfId="26260" priority="2011" operator="lessThan">
      <formula>0.8</formula>
    </cfRule>
    <cfRule type="cellIs" dxfId="26259" priority="2012" operator="greaterThan">
      <formula>1</formula>
    </cfRule>
  </conditionalFormatting>
  <conditionalFormatting sqref="R124 R127 R131">
    <cfRule type="cellIs" dxfId="26258" priority="2009" operator="greaterThan">
      <formula>1</formula>
    </cfRule>
    <cfRule type="cellIs" dxfId="26257" priority="2010" operator="lessThan">
      <formula>0.8</formula>
    </cfRule>
  </conditionalFormatting>
  <conditionalFormatting sqref="P124 P127 P131">
    <cfRule type="cellIs" dxfId="26256" priority="2008" operator="greaterThan">
      <formula>0</formula>
    </cfRule>
  </conditionalFormatting>
  <conditionalFormatting sqref="P124 P127 P131">
    <cfRule type="cellIs" dxfId="26255" priority="2002" operator="greaterThan">
      <formula>0</formula>
    </cfRule>
  </conditionalFormatting>
  <conditionalFormatting sqref="Q124 Q127 Q131">
    <cfRule type="cellIs" dxfId="26254" priority="2007" operator="lessThan">
      <formula>0</formula>
    </cfRule>
  </conditionalFormatting>
  <conditionalFormatting sqref="R124 R127 R131">
    <cfRule type="cellIs" dxfId="26253" priority="2005" operator="lessThan">
      <formula>0.8</formula>
    </cfRule>
    <cfRule type="cellIs" dxfId="26252" priority="2006" operator="greaterThan">
      <formula>1</formula>
    </cfRule>
  </conditionalFormatting>
  <conditionalFormatting sqref="R124 R127 R131">
    <cfRule type="cellIs" dxfId="26251" priority="2003" operator="greaterThan">
      <formula>1</formula>
    </cfRule>
    <cfRule type="cellIs" dxfId="26250" priority="2004" operator="lessThan">
      <formula>0.8</formula>
    </cfRule>
  </conditionalFormatting>
  <conditionalFormatting sqref="P124 P127 P131">
    <cfRule type="cellIs" dxfId="26249" priority="1996" operator="greaterThan">
      <formula>0</formula>
    </cfRule>
  </conditionalFormatting>
  <conditionalFormatting sqref="Q124 Q127 Q131">
    <cfRule type="cellIs" dxfId="26248" priority="2001" operator="lessThan">
      <formula>0</formula>
    </cfRule>
  </conditionalFormatting>
  <conditionalFormatting sqref="R124 R127 R131">
    <cfRule type="cellIs" dxfId="26247" priority="1999" operator="lessThan">
      <formula>0.8</formula>
    </cfRule>
    <cfRule type="cellIs" dxfId="26246" priority="2000" operator="greaterThan">
      <formula>1</formula>
    </cfRule>
  </conditionalFormatting>
  <conditionalFormatting sqref="R124 R127 R131">
    <cfRule type="cellIs" dxfId="26245" priority="1997" operator="greaterThan">
      <formula>1</formula>
    </cfRule>
    <cfRule type="cellIs" dxfId="26244" priority="1998" operator="lessThan">
      <formula>0.8</formula>
    </cfRule>
  </conditionalFormatting>
  <conditionalFormatting sqref="R124 R127 R131">
    <cfRule type="cellIs" dxfId="26243" priority="1993" operator="lessThan">
      <formula>0.8</formula>
    </cfRule>
    <cfRule type="cellIs" dxfId="26242" priority="1994" operator="greaterThan">
      <formula>1</formula>
    </cfRule>
  </conditionalFormatting>
  <conditionalFormatting sqref="R124 R127 R131">
    <cfRule type="cellIs" dxfId="26241" priority="1991" operator="greaterThan">
      <formula>1</formula>
    </cfRule>
    <cfRule type="cellIs" dxfId="26240" priority="1992" operator="lessThan">
      <formula>0.8</formula>
    </cfRule>
  </conditionalFormatting>
  <conditionalFormatting sqref="P124 P127 P131">
    <cfRule type="cellIs" dxfId="26239" priority="1990" operator="greaterThan">
      <formula>0</formula>
    </cfRule>
  </conditionalFormatting>
  <conditionalFormatting sqref="Q124 Q127 Q131">
    <cfRule type="cellIs" dxfId="26238" priority="1995" operator="lessThan">
      <formula>0</formula>
    </cfRule>
  </conditionalFormatting>
  <conditionalFormatting sqref="P124 P127 P131">
    <cfRule type="cellIs" dxfId="26237" priority="1984" operator="greaterThan">
      <formula>0</formula>
    </cfRule>
  </conditionalFormatting>
  <conditionalFormatting sqref="Q124 Q127 Q131">
    <cfRule type="cellIs" dxfId="26236" priority="1989" operator="lessThan">
      <formula>0</formula>
    </cfRule>
  </conditionalFormatting>
  <conditionalFormatting sqref="R124 R127 R131">
    <cfRule type="cellIs" dxfId="26235" priority="1987" operator="lessThan">
      <formula>0.8</formula>
    </cfRule>
    <cfRule type="cellIs" dxfId="26234" priority="1988" operator="greaterThan">
      <formula>1</formula>
    </cfRule>
  </conditionalFormatting>
  <conditionalFormatting sqref="R124 R127 R131">
    <cfRule type="cellIs" dxfId="26233" priority="1985" operator="greaterThan">
      <formula>1</formula>
    </cfRule>
    <cfRule type="cellIs" dxfId="26232" priority="1986" operator="lessThan">
      <formula>0.8</formula>
    </cfRule>
  </conditionalFormatting>
  <conditionalFormatting sqref="R124 R127 R131">
    <cfRule type="cellIs" dxfId="26231" priority="1981" operator="lessThan">
      <formula>0.8</formula>
    </cfRule>
    <cfRule type="cellIs" dxfId="26230" priority="1982" operator="greaterThan">
      <formula>1</formula>
    </cfRule>
  </conditionalFormatting>
  <conditionalFormatting sqref="R124 R127 R131">
    <cfRule type="cellIs" dxfId="26229" priority="1979" operator="greaterThan">
      <formula>1</formula>
    </cfRule>
    <cfRule type="cellIs" dxfId="26228" priority="1980" operator="lessThan">
      <formula>0.8</formula>
    </cfRule>
  </conditionalFormatting>
  <conditionalFormatting sqref="P124 P127 P131">
    <cfRule type="cellIs" dxfId="26227" priority="1978" operator="greaterThan">
      <formula>0</formula>
    </cfRule>
  </conditionalFormatting>
  <conditionalFormatting sqref="Q124 Q127 Q131">
    <cfRule type="cellIs" dxfId="26226" priority="1983" operator="lessThan">
      <formula>0</formula>
    </cfRule>
  </conditionalFormatting>
  <conditionalFormatting sqref="R124 R127 R131">
    <cfRule type="cellIs" dxfId="26225" priority="1975" operator="lessThan">
      <formula>0.8</formula>
    </cfRule>
    <cfRule type="cellIs" dxfId="26224" priority="1976" operator="greaterThan">
      <formula>1</formula>
    </cfRule>
  </conditionalFormatting>
  <conditionalFormatting sqref="R124 R127 R131">
    <cfRule type="cellIs" dxfId="26223" priority="1973" operator="greaterThan">
      <formula>1</formula>
    </cfRule>
    <cfRule type="cellIs" dxfId="26222" priority="1974" operator="lessThan">
      <formula>0.8</formula>
    </cfRule>
  </conditionalFormatting>
  <conditionalFormatting sqref="P124 P127 P131">
    <cfRule type="cellIs" dxfId="26221" priority="1972" operator="greaterThan">
      <formula>0</formula>
    </cfRule>
  </conditionalFormatting>
  <conditionalFormatting sqref="Q124 Q127 Q131">
    <cfRule type="cellIs" dxfId="26220" priority="1977" operator="lessThan">
      <formula>0</formula>
    </cfRule>
  </conditionalFormatting>
  <conditionalFormatting sqref="Q124 Q127 Q131">
    <cfRule type="cellIs" dxfId="26219" priority="1971" operator="lessThan">
      <formula>0</formula>
    </cfRule>
  </conditionalFormatting>
  <conditionalFormatting sqref="R124 R127 R131">
    <cfRule type="cellIs" dxfId="26218" priority="1969" operator="lessThan">
      <formula>0.8</formula>
    </cfRule>
    <cfRule type="cellIs" dxfId="26217" priority="1970" operator="greaterThan">
      <formula>1</formula>
    </cfRule>
  </conditionalFormatting>
  <conditionalFormatting sqref="R124 R127 R131">
    <cfRule type="cellIs" dxfId="26216" priority="1967" operator="greaterThan">
      <formula>1</formula>
    </cfRule>
    <cfRule type="cellIs" dxfId="26215" priority="1968" operator="lessThan">
      <formula>0.8</formula>
    </cfRule>
  </conditionalFormatting>
  <conditionalFormatting sqref="P124 P127 P131">
    <cfRule type="cellIs" dxfId="26214" priority="1966" operator="greaterThan">
      <formula>0</formula>
    </cfRule>
  </conditionalFormatting>
  <conditionalFormatting sqref="Q124 Q127 Q131">
    <cfRule type="cellIs" dxfId="26213" priority="1960" operator="lessThan">
      <formula>0</formula>
    </cfRule>
  </conditionalFormatting>
  <conditionalFormatting sqref="R124 R127 R131">
    <cfRule type="cellIs" dxfId="26212" priority="1964" operator="lessThan">
      <formula>0.8</formula>
    </cfRule>
    <cfRule type="cellIs" dxfId="26211" priority="1965" operator="greaterThan">
      <formula>1</formula>
    </cfRule>
  </conditionalFormatting>
  <conditionalFormatting sqref="R124 R127 R131">
    <cfRule type="cellIs" dxfId="26210" priority="1962" operator="greaterThan">
      <formula>1</formula>
    </cfRule>
    <cfRule type="cellIs" dxfId="26209" priority="1963" operator="lessThan">
      <formula>0.8</formula>
    </cfRule>
  </conditionalFormatting>
  <conditionalFormatting sqref="P124 P127 P131">
    <cfRule type="cellIs" dxfId="26208" priority="1961" operator="greaterThan">
      <formula>0</formula>
    </cfRule>
  </conditionalFormatting>
  <conditionalFormatting sqref="Q124 Q127 Q131">
    <cfRule type="cellIs" dxfId="26207" priority="1959" operator="lessThan">
      <formula>0</formula>
    </cfRule>
  </conditionalFormatting>
  <conditionalFormatting sqref="R124 R127 R131">
    <cfRule type="cellIs" dxfId="26206" priority="1957" operator="lessThan">
      <formula>0.8</formula>
    </cfRule>
    <cfRule type="cellIs" dxfId="26205" priority="1958" operator="greaterThan">
      <formula>1</formula>
    </cfRule>
  </conditionalFormatting>
  <conditionalFormatting sqref="R124 R127 R131">
    <cfRule type="cellIs" dxfId="26204" priority="1955" operator="greaterThan">
      <formula>1</formula>
    </cfRule>
    <cfRule type="cellIs" dxfId="26203" priority="1956" operator="lessThan">
      <formula>0.8</formula>
    </cfRule>
  </conditionalFormatting>
  <conditionalFormatting sqref="P124 P127 P131">
    <cfRule type="cellIs" dxfId="26202" priority="1954" operator="greaterThan">
      <formula>0</formula>
    </cfRule>
  </conditionalFormatting>
  <conditionalFormatting sqref="Q124 Q127 Q131">
    <cfRule type="cellIs" dxfId="26201" priority="1953" operator="lessThan">
      <formula>0</formula>
    </cfRule>
  </conditionalFormatting>
  <conditionalFormatting sqref="R124 R127 R131">
    <cfRule type="cellIs" dxfId="26200" priority="1951" operator="lessThan">
      <formula>0.8</formula>
    </cfRule>
    <cfRule type="cellIs" dxfId="26199" priority="1952" operator="greaterThan">
      <formula>1</formula>
    </cfRule>
  </conditionalFormatting>
  <conditionalFormatting sqref="R124 R127 R131">
    <cfRule type="cellIs" dxfId="26198" priority="1949" operator="greaterThan">
      <formula>1</formula>
    </cfRule>
    <cfRule type="cellIs" dxfId="26197" priority="1950" operator="lessThan">
      <formula>0.8</formula>
    </cfRule>
  </conditionalFormatting>
  <conditionalFormatting sqref="P124 P127 P131">
    <cfRule type="cellIs" dxfId="26196" priority="1948" operator="greaterThan">
      <formula>0</formula>
    </cfRule>
  </conditionalFormatting>
  <conditionalFormatting sqref="Q124 Q127 Q131">
    <cfRule type="cellIs" dxfId="26195" priority="1947" operator="lessThan">
      <formula>0</formula>
    </cfRule>
  </conditionalFormatting>
  <conditionalFormatting sqref="R124 R127 R131">
    <cfRule type="cellIs" dxfId="26194" priority="1945" operator="lessThan">
      <formula>0.8</formula>
    </cfRule>
    <cfRule type="cellIs" dxfId="26193" priority="1946" operator="greaterThan">
      <formula>1</formula>
    </cfRule>
  </conditionalFormatting>
  <conditionalFormatting sqref="R124 R127 R131">
    <cfRule type="cellIs" dxfId="26192" priority="1943" operator="greaterThan">
      <formula>1</formula>
    </cfRule>
    <cfRule type="cellIs" dxfId="26191" priority="1944" operator="lessThan">
      <formula>0.8</formula>
    </cfRule>
  </conditionalFormatting>
  <conditionalFormatting sqref="P124 P127 P131">
    <cfRule type="cellIs" dxfId="26190" priority="1942" operator="greaterThan">
      <formula>0</formula>
    </cfRule>
  </conditionalFormatting>
  <conditionalFormatting sqref="Q124 Q127 Q131">
    <cfRule type="cellIs" dxfId="26189" priority="1941" operator="lessThan">
      <formula>0</formula>
    </cfRule>
  </conditionalFormatting>
  <conditionalFormatting sqref="R124 R127 R131">
    <cfRule type="cellIs" dxfId="26188" priority="1939" operator="lessThan">
      <formula>0.8</formula>
    </cfRule>
    <cfRule type="cellIs" dxfId="26187" priority="1940" operator="greaterThan">
      <formula>1</formula>
    </cfRule>
  </conditionalFormatting>
  <conditionalFormatting sqref="R124 R127 R131">
    <cfRule type="cellIs" dxfId="26186" priority="1937" operator="greaterThan">
      <formula>1</formula>
    </cfRule>
    <cfRule type="cellIs" dxfId="26185" priority="1938" operator="lessThan">
      <formula>0.8</formula>
    </cfRule>
  </conditionalFormatting>
  <conditionalFormatting sqref="P124 P127 P131">
    <cfRule type="cellIs" dxfId="26184" priority="1936" operator="greaterThan">
      <formula>0</formula>
    </cfRule>
  </conditionalFormatting>
  <conditionalFormatting sqref="Q124 Q127 Q131">
    <cfRule type="cellIs" dxfId="26183" priority="1935" operator="lessThan">
      <formula>0</formula>
    </cfRule>
  </conditionalFormatting>
  <conditionalFormatting sqref="R124 R127 R131">
    <cfRule type="cellIs" dxfId="26182" priority="1933" operator="lessThan">
      <formula>0.8</formula>
    </cfRule>
    <cfRule type="cellIs" dxfId="26181" priority="1934" operator="greaterThan">
      <formula>1</formula>
    </cfRule>
  </conditionalFormatting>
  <conditionalFormatting sqref="R124 R127 R131">
    <cfRule type="cellIs" dxfId="26180" priority="1931" operator="greaterThan">
      <formula>1</formula>
    </cfRule>
    <cfRule type="cellIs" dxfId="26179" priority="1932" operator="lessThan">
      <formula>0.8</formula>
    </cfRule>
  </conditionalFormatting>
  <conditionalFormatting sqref="P124 P127 P131">
    <cfRule type="cellIs" dxfId="26178" priority="1930" operator="greaterThan">
      <formula>0</formula>
    </cfRule>
  </conditionalFormatting>
  <conditionalFormatting sqref="P124 P127 P131">
    <cfRule type="cellIs" dxfId="26177" priority="1924" operator="greaterThan">
      <formula>0</formula>
    </cfRule>
  </conditionalFormatting>
  <conditionalFormatting sqref="Q124 Q127 Q131">
    <cfRule type="cellIs" dxfId="26176" priority="1929" operator="lessThan">
      <formula>0</formula>
    </cfRule>
  </conditionalFormatting>
  <conditionalFormatting sqref="R124 R127 R131">
    <cfRule type="cellIs" dxfId="26175" priority="1927" operator="lessThan">
      <formula>0.8</formula>
    </cfRule>
    <cfRule type="cellIs" dxfId="26174" priority="1928" operator="greaterThan">
      <formula>1</formula>
    </cfRule>
  </conditionalFormatting>
  <conditionalFormatting sqref="R124 R127 R131">
    <cfRule type="cellIs" dxfId="26173" priority="1925" operator="greaterThan">
      <formula>1</formula>
    </cfRule>
    <cfRule type="cellIs" dxfId="26172" priority="1926" operator="lessThan">
      <formula>0.8</formula>
    </cfRule>
  </conditionalFormatting>
  <conditionalFormatting sqref="P124 P127 P131">
    <cfRule type="cellIs" dxfId="26171" priority="1918" operator="greaterThan">
      <formula>0</formula>
    </cfRule>
  </conditionalFormatting>
  <conditionalFormatting sqref="Q124 Q127 Q131">
    <cfRule type="cellIs" dxfId="26170" priority="1923" operator="lessThan">
      <formula>0</formula>
    </cfRule>
  </conditionalFormatting>
  <conditionalFormatting sqref="R124 R127 R131">
    <cfRule type="cellIs" dxfId="26169" priority="1921" operator="lessThan">
      <formula>0.8</formula>
    </cfRule>
    <cfRule type="cellIs" dxfId="26168" priority="1922" operator="greaterThan">
      <formula>1</formula>
    </cfRule>
  </conditionalFormatting>
  <conditionalFormatting sqref="R124 R127 R131">
    <cfRule type="cellIs" dxfId="26167" priority="1919" operator="greaterThan">
      <formula>1</formula>
    </cfRule>
    <cfRule type="cellIs" dxfId="26166" priority="1920" operator="lessThan">
      <formula>0.8</formula>
    </cfRule>
  </conditionalFormatting>
  <conditionalFormatting sqref="R124 R127 R131">
    <cfRule type="cellIs" dxfId="26165" priority="1915" operator="lessThan">
      <formula>0.8</formula>
    </cfRule>
    <cfRule type="cellIs" dxfId="26164" priority="1916" operator="greaterThan">
      <formula>1</formula>
    </cfRule>
  </conditionalFormatting>
  <conditionalFormatting sqref="R124 R127 R131">
    <cfRule type="cellIs" dxfId="26163" priority="1913" operator="greaterThan">
      <formula>1</formula>
    </cfRule>
    <cfRule type="cellIs" dxfId="26162" priority="1914" operator="lessThan">
      <formula>0.8</formula>
    </cfRule>
  </conditionalFormatting>
  <conditionalFormatting sqref="P124 P127 P131">
    <cfRule type="cellIs" dxfId="26161" priority="1912" operator="greaterThan">
      <formula>0</formula>
    </cfRule>
  </conditionalFormatting>
  <conditionalFormatting sqref="Q124 Q127 Q131">
    <cfRule type="cellIs" dxfId="26160" priority="1917" operator="lessThan">
      <formula>0</formula>
    </cfRule>
  </conditionalFormatting>
  <conditionalFormatting sqref="Q5:Q14">
    <cfRule type="cellIs" dxfId="26159" priority="1911" operator="lessThan">
      <formula>0</formula>
    </cfRule>
  </conditionalFormatting>
  <conditionalFormatting sqref="R5:R14">
    <cfRule type="cellIs" dxfId="26158" priority="1909" operator="lessThan">
      <formula>0.8</formula>
    </cfRule>
    <cfRule type="cellIs" dxfId="26157" priority="1910" operator="greaterThan">
      <formula>1</formula>
    </cfRule>
  </conditionalFormatting>
  <conditionalFormatting sqref="R5:R14">
    <cfRule type="cellIs" dxfId="26156" priority="1907" operator="greaterThan">
      <formula>1</formula>
    </cfRule>
    <cfRule type="cellIs" dxfId="26155" priority="1908" operator="lessThan">
      <formula>0.8</formula>
    </cfRule>
  </conditionalFormatting>
  <conditionalFormatting sqref="P5:P14">
    <cfRule type="cellIs" dxfId="26154" priority="1906" operator="greaterThan">
      <formula>0</formula>
    </cfRule>
  </conditionalFormatting>
  <conditionalFormatting sqref="Q83">
    <cfRule type="cellIs" dxfId="26153" priority="1905" operator="lessThan">
      <formula>0</formula>
    </cfRule>
  </conditionalFormatting>
  <conditionalFormatting sqref="R83">
    <cfRule type="cellIs" dxfId="26152" priority="1903" operator="lessThan">
      <formula>0.8</formula>
    </cfRule>
    <cfRule type="cellIs" dxfId="26151" priority="1904" operator="greaterThan">
      <formula>1</formula>
    </cfRule>
  </conditionalFormatting>
  <conditionalFormatting sqref="R83">
    <cfRule type="cellIs" dxfId="26150" priority="1901" operator="greaterThan">
      <formula>1</formula>
    </cfRule>
    <cfRule type="cellIs" dxfId="26149" priority="1902" operator="lessThan">
      <formula>0.8</formula>
    </cfRule>
  </conditionalFormatting>
  <conditionalFormatting sqref="P83">
    <cfRule type="cellIs" dxfId="26148" priority="1900" operator="greaterThan">
      <formula>0</formula>
    </cfRule>
  </conditionalFormatting>
  <conditionalFormatting sqref="Q83">
    <cfRule type="cellIs" dxfId="26147" priority="1899" operator="lessThan">
      <formula>0</formula>
    </cfRule>
  </conditionalFormatting>
  <conditionalFormatting sqref="R83">
    <cfRule type="cellIs" dxfId="26146" priority="1897" operator="lessThan">
      <formula>0.8</formula>
    </cfRule>
    <cfRule type="cellIs" dxfId="26145" priority="1898" operator="greaterThan">
      <formula>1</formula>
    </cfRule>
  </conditionalFormatting>
  <conditionalFormatting sqref="R83">
    <cfRule type="cellIs" dxfId="26144" priority="1895" operator="greaterThan">
      <formula>1</formula>
    </cfRule>
    <cfRule type="cellIs" dxfId="26143" priority="1896" operator="lessThan">
      <formula>0.8</formula>
    </cfRule>
  </conditionalFormatting>
  <conditionalFormatting sqref="P83">
    <cfRule type="cellIs" dxfId="26142" priority="1894" operator="greaterThan">
      <formula>0</formula>
    </cfRule>
  </conditionalFormatting>
  <conditionalFormatting sqref="Q83">
    <cfRule type="cellIs" dxfId="26141" priority="1893" operator="lessThan">
      <formula>0</formula>
    </cfRule>
  </conditionalFormatting>
  <conditionalFormatting sqref="R83">
    <cfRule type="cellIs" dxfId="26140" priority="1891" operator="lessThan">
      <formula>0.8</formula>
    </cfRule>
    <cfRule type="cellIs" dxfId="26139" priority="1892" operator="greaterThan">
      <formula>1</formula>
    </cfRule>
  </conditionalFormatting>
  <conditionalFormatting sqref="R83">
    <cfRule type="cellIs" dxfId="26138" priority="1889" operator="greaterThan">
      <formula>1</formula>
    </cfRule>
    <cfRule type="cellIs" dxfId="26137" priority="1890" operator="lessThan">
      <formula>0.8</formula>
    </cfRule>
  </conditionalFormatting>
  <conditionalFormatting sqref="P83">
    <cfRule type="cellIs" dxfId="26136" priority="1888" operator="greaterThan">
      <formula>0</formula>
    </cfRule>
  </conditionalFormatting>
  <conditionalFormatting sqref="Q83">
    <cfRule type="cellIs" dxfId="26135" priority="1887" operator="lessThan">
      <formula>0</formula>
    </cfRule>
  </conditionalFormatting>
  <conditionalFormatting sqref="R83">
    <cfRule type="cellIs" dxfId="26134" priority="1885" operator="lessThan">
      <formula>0.8</formula>
    </cfRule>
    <cfRule type="cellIs" dxfId="26133" priority="1886" operator="greaterThan">
      <formula>1</formula>
    </cfRule>
  </conditionalFormatting>
  <conditionalFormatting sqref="R83">
    <cfRule type="cellIs" dxfId="26132" priority="1883" operator="greaterThan">
      <formula>1</formula>
    </cfRule>
    <cfRule type="cellIs" dxfId="26131" priority="1884" operator="lessThan">
      <formula>0.8</formula>
    </cfRule>
  </conditionalFormatting>
  <conditionalFormatting sqref="P83">
    <cfRule type="cellIs" dxfId="26130" priority="1882" operator="greaterThan">
      <formula>0</formula>
    </cfRule>
  </conditionalFormatting>
  <conditionalFormatting sqref="P83">
    <cfRule type="cellIs" dxfId="26129" priority="1876" operator="greaterThan">
      <formula>0</formula>
    </cfRule>
  </conditionalFormatting>
  <conditionalFormatting sqref="Q83">
    <cfRule type="cellIs" dxfId="26128" priority="1881" operator="lessThan">
      <formula>0</formula>
    </cfRule>
  </conditionalFormatting>
  <conditionalFormatting sqref="R83">
    <cfRule type="cellIs" dxfId="26127" priority="1879" operator="lessThan">
      <formula>0.8</formula>
    </cfRule>
    <cfRule type="cellIs" dxfId="26126" priority="1880" operator="greaterThan">
      <formula>1</formula>
    </cfRule>
  </conditionalFormatting>
  <conditionalFormatting sqref="R83">
    <cfRule type="cellIs" dxfId="26125" priority="1877" operator="greaterThan">
      <formula>1</formula>
    </cfRule>
    <cfRule type="cellIs" dxfId="26124" priority="1878" operator="lessThan">
      <formula>0.8</formula>
    </cfRule>
  </conditionalFormatting>
  <conditionalFormatting sqref="P83">
    <cfRule type="cellIs" dxfId="26123" priority="1870" operator="greaterThan">
      <formula>0</formula>
    </cfRule>
  </conditionalFormatting>
  <conditionalFormatting sqref="Q83">
    <cfRule type="cellIs" dxfId="26122" priority="1875" operator="lessThan">
      <formula>0</formula>
    </cfRule>
  </conditionalFormatting>
  <conditionalFormatting sqref="R83">
    <cfRule type="cellIs" dxfId="26121" priority="1873" operator="lessThan">
      <formula>0.8</formula>
    </cfRule>
    <cfRule type="cellIs" dxfId="26120" priority="1874" operator="greaterThan">
      <formula>1</formula>
    </cfRule>
  </conditionalFormatting>
  <conditionalFormatting sqref="R83">
    <cfRule type="cellIs" dxfId="26119" priority="1871" operator="greaterThan">
      <formula>1</formula>
    </cfRule>
    <cfRule type="cellIs" dxfId="26118" priority="1872" operator="lessThan">
      <formula>0.8</formula>
    </cfRule>
  </conditionalFormatting>
  <conditionalFormatting sqref="R83">
    <cfRule type="cellIs" dxfId="26117" priority="1867" operator="lessThan">
      <formula>0.8</formula>
    </cfRule>
    <cfRule type="cellIs" dxfId="26116" priority="1868" operator="greaterThan">
      <formula>1</formula>
    </cfRule>
  </conditionalFormatting>
  <conditionalFormatting sqref="R83">
    <cfRule type="cellIs" dxfId="26115" priority="1865" operator="greaterThan">
      <formula>1</formula>
    </cfRule>
    <cfRule type="cellIs" dxfId="26114" priority="1866" operator="lessThan">
      <formula>0.8</formula>
    </cfRule>
  </conditionalFormatting>
  <conditionalFormatting sqref="P83">
    <cfRule type="cellIs" dxfId="26113" priority="1864" operator="greaterThan">
      <formula>0</formula>
    </cfRule>
  </conditionalFormatting>
  <conditionalFormatting sqref="Q83">
    <cfRule type="cellIs" dxfId="26112" priority="1869" operator="lessThan">
      <formula>0</formula>
    </cfRule>
  </conditionalFormatting>
  <conditionalFormatting sqref="Q83">
    <cfRule type="cellIs" dxfId="26111" priority="1863" operator="lessThan">
      <formula>0</formula>
    </cfRule>
  </conditionalFormatting>
  <conditionalFormatting sqref="R83">
    <cfRule type="cellIs" dxfId="26110" priority="1861" operator="lessThan">
      <formula>0.8</formula>
    </cfRule>
    <cfRule type="cellIs" dxfId="26109" priority="1862" operator="greaterThan">
      <formula>1</formula>
    </cfRule>
  </conditionalFormatting>
  <conditionalFormatting sqref="R83">
    <cfRule type="cellIs" dxfId="26108" priority="1859" operator="greaterThan">
      <formula>1</formula>
    </cfRule>
    <cfRule type="cellIs" dxfId="26107" priority="1860" operator="lessThan">
      <formula>0.8</formula>
    </cfRule>
  </conditionalFormatting>
  <conditionalFormatting sqref="P83">
    <cfRule type="cellIs" dxfId="26106" priority="1858" operator="greaterThan">
      <formula>0</formula>
    </cfRule>
  </conditionalFormatting>
  <conditionalFormatting sqref="P83">
    <cfRule type="cellIs" dxfId="26105" priority="1852" operator="greaterThan">
      <formula>0</formula>
    </cfRule>
  </conditionalFormatting>
  <conditionalFormatting sqref="Q83">
    <cfRule type="cellIs" dxfId="26104" priority="1857" operator="lessThan">
      <formula>0</formula>
    </cfRule>
  </conditionalFormatting>
  <conditionalFormatting sqref="R83">
    <cfRule type="cellIs" dxfId="26103" priority="1855" operator="lessThan">
      <formula>0.8</formula>
    </cfRule>
    <cfRule type="cellIs" dxfId="26102" priority="1856" operator="greaterThan">
      <formula>1</formula>
    </cfRule>
  </conditionalFormatting>
  <conditionalFormatting sqref="R83">
    <cfRule type="cellIs" dxfId="26101" priority="1853" operator="greaterThan">
      <formula>1</formula>
    </cfRule>
    <cfRule type="cellIs" dxfId="26100" priority="1854" operator="lessThan">
      <formula>0.8</formula>
    </cfRule>
  </conditionalFormatting>
  <conditionalFormatting sqref="P83">
    <cfRule type="cellIs" dxfId="26099" priority="1846" operator="greaterThan">
      <formula>0</formula>
    </cfRule>
  </conditionalFormatting>
  <conditionalFormatting sqref="Q83">
    <cfRule type="cellIs" dxfId="26098" priority="1851" operator="lessThan">
      <formula>0</formula>
    </cfRule>
  </conditionalFormatting>
  <conditionalFormatting sqref="R83">
    <cfRule type="cellIs" dxfId="26097" priority="1849" operator="lessThan">
      <formula>0.8</formula>
    </cfRule>
    <cfRule type="cellIs" dxfId="26096" priority="1850" operator="greaterThan">
      <formula>1</formula>
    </cfRule>
  </conditionalFormatting>
  <conditionalFormatting sqref="R83">
    <cfRule type="cellIs" dxfId="26095" priority="1847" operator="greaterThan">
      <formula>1</formula>
    </cfRule>
    <cfRule type="cellIs" dxfId="26094" priority="1848" operator="lessThan">
      <formula>0.8</formula>
    </cfRule>
  </conditionalFormatting>
  <conditionalFormatting sqref="R83">
    <cfRule type="cellIs" dxfId="26093" priority="1843" operator="lessThan">
      <formula>0.8</formula>
    </cfRule>
    <cfRule type="cellIs" dxfId="26092" priority="1844" operator="greaterThan">
      <formula>1</formula>
    </cfRule>
  </conditionalFormatting>
  <conditionalFormatting sqref="R83">
    <cfRule type="cellIs" dxfId="26091" priority="1841" operator="greaterThan">
      <formula>1</formula>
    </cfRule>
    <cfRule type="cellIs" dxfId="26090" priority="1842" operator="lessThan">
      <formula>0.8</formula>
    </cfRule>
  </conditionalFormatting>
  <conditionalFormatting sqref="P83">
    <cfRule type="cellIs" dxfId="26089" priority="1840" operator="greaterThan">
      <formula>0</formula>
    </cfRule>
  </conditionalFormatting>
  <conditionalFormatting sqref="Q83">
    <cfRule type="cellIs" dxfId="26088" priority="1845" operator="lessThan">
      <formula>0</formula>
    </cfRule>
  </conditionalFormatting>
  <conditionalFormatting sqref="P83">
    <cfRule type="cellIs" dxfId="26087" priority="1834" operator="greaterThan">
      <formula>0</formula>
    </cfRule>
  </conditionalFormatting>
  <conditionalFormatting sqref="Q83">
    <cfRule type="cellIs" dxfId="26086" priority="1839" operator="lessThan">
      <formula>0</formula>
    </cfRule>
  </conditionalFormatting>
  <conditionalFormatting sqref="R83">
    <cfRule type="cellIs" dxfId="26085" priority="1837" operator="lessThan">
      <formula>0.8</formula>
    </cfRule>
    <cfRule type="cellIs" dxfId="26084" priority="1838" operator="greaterThan">
      <formula>1</formula>
    </cfRule>
  </conditionalFormatting>
  <conditionalFormatting sqref="R83">
    <cfRule type="cellIs" dxfId="26083" priority="1835" operator="greaterThan">
      <formula>1</formula>
    </cfRule>
    <cfRule type="cellIs" dxfId="26082" priority="1836" operator="lessThan">
      <formula>0.8</formula>
    </cfRule>
  </conditionalFormatting>
  <conditionalFormatting sqref="R83">
    <cfRule type="cellIs" dxfId="26081" priority="1831" operator="lessThan">
      <formula>0.8</formula>
    </cfRule>
    <cfRule type="cellIs" dxfId="26080" priority="1832" operator="greaterThan">
      <formula>1</formula>
    </cfRule>
  </conditionalFormatting>
  <conditionalFormatting sqref="R83">
    <cfRule type="cellIs" dxfId="26079" priority="1829" operator="greaterThan">
      <formula>1</formula>
    </cfRule>
    <cfRule type="cellIs" dxfId="26078" priority="1830" operator="lessThan">
      <formula>0.8</formula>
    </cfRule>
  </conditionalFormatting>
  <conditionalFormatting sqref="P83">
    <cfRule type="cellIs" dxfId="26077" priority="1828" operator="greaterThan">
      <formula>0</formula>
    </cfRule>
  </conditionalFormatting>
  <conditionalFormatting sqref="Q83">
    <cfRule type="cellIs" dxfId="26076" priority="1833" operator="lessThan">
      <formula>0</formula>
    </cfRule>
  </conditionalFormatting>
  <conditionalFormatting sqref="R83">
    <cfRule type="cellIs" dxfId="26075" priority="1825" operator="lessThan">
      <formula>0.8</formula>
    </cfRule>
    <cfRule type="cellIs" dxfId="26074" priority="1826" operator="greaterThan">
      <formula>1</formula>
    </cfRule>
  </conditionalFormatting>
  <conditionalFormatting sqref="R83">
    <cfRule type="cellIs" dxfId="26073" priority="1823" operator="greaterThan">
      <formula>1</formula>
    </cfRule>
    <cfRule type="cellIs" dxfId="26072" priority="1824" operator="lessThan">
      <formula>0.8</formula>
    </cfRule>
  </conditionalFormatting>
  <conditionalFormatting sqref="P83">
    <cfRule type="cellIs" dxfId="26071" priority="1822" operator="greaterThan">
      <formula>0</formula>
    </cfRule>
  </conditionalFormatting>
  <conditionalFormatting sqref="Q83">
    <cfRule type="cellIs" dxfId="26070" priority="1827" operator="lessThan">
      <formula>0</formula>
    </cfRule>
  </conditionalFormatting>
  <conditionalFormatting sqref="Q83">
    <cfRule type="cellIs" dxfId="26069" priority="1821" operator="lessThan">
      <formula>0</formula>
    </cfRule>
  </conditionalFormatting>
  <conditionalFormatting sqref="R83">
    <cfRule type="cellIs" dxfId="26068" priority="1819" operator="lessThan">
      <formula>0.8</formula>
    </cfRule>
    <cfRule type="cellIs" dxfId="26067" priority="1820" operator="greaterThan">
      <formula>1</formula>
    </cfRule>
  </conditionalFormatting>
  <conditionalFormatting sqref="R83">
    <cfRule type="cellIs" dxfId="26066" priority="1817" operator="greaterThan">
      <formula>1</formula>
    </cfRule>
    <cfRule type="cellIs" dxfId="26065" priority="1818" operator="lessThan">
      <formula>0.8</formula>
    </cfRule>
  </conditionalFormatting>
  <conditionalFormatting sqref="P83">
    <cfRule type="cellIs" dxfId="26064" priority="1816" operator="greaterThan">
      <formula>0</formula>
    </cfRule>
  </conditionalFormatting>
  <conditionalFormatting sqref="Q83">
    <cfRule type="cellIs" dxfId="26063" priority="1810" operator="lessThan">
      <formula>0</formula>
    </cfRule>
  </conditionalFormatting>
  <conditionalFormatting sqref="R83">
    <cfRule type="cellIs" dxfId="26062" priority="1814" operator="lessThan">
      <formula>0.8</formula>
    </cfRule>
    <cfRule type="cellIs" dxfId="26061" priority="1815" operator="greaterThan">
      <formula>1</formula>
    </cfRule>
  </conditionalFormatting>
  <conditionalFormatting sqref="R83">
    <cfRule type="cellIs" dxfId="26060" priority="1812" operator="greaterThan">
      <formula>1</formula>
    </cfRule>
    <cfRule type="cellIs" dxfId="26059" priority="1813" operator="lessThan">
      <formula>0.8</formula>
    </cfRule>
  </conditionalFormatting>
  <conditionalFormatting sqref="P83">
    <cfRule type="cellIs" dxfId="26058" priority="1811" operator="greaterThan">
      <formula>0</formula>
    </cfRule>
  </conditionalFormatting>
  <conditionalFormatting sqref="Q83">
    <cfRule type="cellIs" dxfId="26057" priority="1809" operator="lessThan">
      <formula>0</formula>
    </cfRule>
  </conditionalFormatting>
  <conditionalFormatting sqref="R83">
    <cfRule type="cellIs" dxfId="26056" priority="1807" operator="lessThan">
      <formula>0.8</formula>
    </cfRule>
    <cfRule type="cellIs" dxfId="26055" priority="1808" operator="greaterThan">
      <formula>1</formula>
    </cfRule>
  </conditionalFormatting>
  <conditionalFormatting sqref="R83">
    <cfRule type="cellIs" dxfId="26054" priority="1805" operator="greaterThan">
      <formula>1</formula>
    </cfRule>
    <cfRule type="cellIs" dxfId="26053" priority="1806" operator="lessThan">
      <formula>0.8</formula>
    </cfRule>
  </conditionalFormatting>
  <conditionalFormatting sqref="P83">
    <cfRule type="cellIs" dxfId="26052" priority="1804" operator="greaterThan">
      <formula>0</formula>
    </cfRule>
  </conditionalFormatting>
  <conditionalFormatting sqref="Q83">
    <cfRule type="cellIs" dxfId="26051" priority="1803" operator="lessThan">
      <formula>0</formula>
    </cfRule>
  </conditionalFormatting>
  <conditionalFormatting sqref="R83">
    <cfRule type="cellIs" dxfId="26050" priority="1801" operator="lessThan">
      <formula>0.8</formula>
    </cfRule>
    <cfRule type="cellIs" dxfId="26049" priority="1802" operator="greaterThan">
      <formula>1</formula>
    </cfRule>
  </conditionalFormatting>
  <conditionalFormatting sqref="R83">
    <cfRule type="cellIs" dxfId="26048" priority="1799" operator="greaterThan">
      <formula>1</formula>
    </cfRule>
    <cfRule type="cellIs" dxfId="26047" priority="1800" operator="lessThan">
      <formula>0.8</formula>
    </cfRule>
  </conditionalFormatting>
  <conditionalFormatting sqref="P83">
    <cfRule type="cellIs" dxfId="26046" priority="1798" operator="greaterThan">
      <formula>0</formula>
    </cfRule>
  </conditionalFormatting>
  <conditionalFormatting sqref="Q83">
    <cfRule type="cellIs" dxfId="26045" priority="1797" operator="lessThan">
      <formula>0</formula>
    </cfRule>
  </conditionalFormatting>
  <conditionalFormatting sqref="R83">
    <cfRule type="cellIs" dxfId="26044" priority="1795" operator="lessThan">
      <formula>0.8</formula>
    </cfRule>
    <cfRule type="cellIs" dxfId="26043" priority="1796" operator="greaterThan">
      <formula>1</formula>
    </cfRule>
  </conditionalFormatting>
  <conditionalFormatting sqref="R83">
    <cfRule type="cellIs" dxfId="26042" priority="1793" operator="greaterThan">
      <formula>1</formula>
    </cfRule>
    <cfRule type="cellIs" dxfId="26041" priority="1794" operator="lessThan">
      <formula>0.8</formula>
    </cfRule>
  </conditionalFormatting>
  <conditionalFormatting sqref="P83">
    <cfRule type="cellIs" dxfId="26040" priority="1792" operator="greaterThan">
      <formula>0</formula>
    </cfRule>
  </conditionalFormatting>
  <conditionalFormatting sqref="Q83">
    <cfRule type="cellIs" dxfId="26039" priority="1791" operator="lessThan">
      <formula>0</formula>
    </cfRule>
  </conditionalFormatting>
  <conditionalFormatting sqref="R83">
    <cfRule type="cellIs" dxfId="26038" priority="1789" operator="lessThan">
      <formula>0.8</formula>
    </cfRule>
    <cfRule type="cellIs" dxfId="26037" priority="1790" operator="greaterThan">
      <formula>1</formula>
    </cfRule>
  </conditionalFormatting>
  <conditionalFormatting sqref="R83">
    <cfRule type="cellIs" dxfId="26036" priority="1787" operator="greaterThan">
      <formula>1</formula>
    </cfRule>
    <cfRule type="cellIs" dxfId="26035" priority="1788" operator="lessThan">
      <formula>0.8</formula>
    </cfRule>
  </conditionalFormatting>
  <conditionalFormatting sqref="P83">
    <cfRule type="cellIs" dxfId="26034" priority="1786" operator="greaterThan">
      <formula>0</formula>
    </cfRule>
  </conditionalFormatting>
  <conditionalFormatting sqref="Q83">
    <cfRule type="cellIs" dxfId="26033" priority="1785" operator="lessThan">
      <formula>0</formula>
    </cfRule>
  </conditionalFormatting>
  <conditionalFormatting sqref="R83">
    <cfRule type="cellIs" dxfId="26032" priority="1783" operator="lessThan">
      <formula>0.8</formula>
    </cfRule>
    <cfRule type="cellIs" dxfId="26031" priority="1784" operator="greaterThan">
      <formula>1</formula>
    </cfRule>
  </conditionalFormatting>
  <conditionalFormatting sqref="R83">
    <cfRule type="cellIs" dxfId="26030" priority="1781" operator="greaterThan">
      <formula>1</formula>
    </cfRule>
    <cfRule type="cellIs" dxfId="26029" priority="1782" operator="lessThan">
      <formula>0.8</formula>
    </cfRule>
  </conditionalFormatting>
  <conditionalFormatting sqref="P83">
    <cfRule type="cellIs" dxfId="26028" priority="1780" operator="greaterThan">
      <formula>0</formula>
    </cfRule>
  </conditionalFormatting>
  <conditionalFormatting sqref="P83">
    <cfRule type="cellIs" dxfId="26027" priority="1774" operator="greaterThan">
      <formula>0</formula>
    </cfRule>
  </conditionalFormatting>
  <conditionalFormatting sqref="Q83">
    <cfRule type="cellIs" dxfId="26026" priority="1779" operator="lessThan">
      <formula>0</formula>
    </cfRule>
  </conditionalFormatting>
  <conditionalFormatting sqref="R83">
    <cfRule type="cellIs" dxfId="26025" priority="1777" operator="lessThan">
      <formula>0.8</formula>
    </cfRule>
    <cfRule type="cellIs" dxfId="26024" priority="1778" operator="greaterThan">
      <formula>1</formula>
    </cfRule>
  </conditionalFormatting>
  <conditionalFormatting sqref="R83">
    <cfRule type="cellIs" dxfId="26023" priority="1775" operator="greaterThan">
      <formula>1</formula>
    </cfRule>
    <cfRule type="cellIs" dxfId="26022" priority="1776" operator="lessThan">
      <formula>0.8</formula>
    </cfRule>
  </conditionalFormatting>
  <conditionalFormatting sqref="P83">
    <cfRule type="cellIs" dxfId="26021" priority="1768" operator="greaterThan">
      <formula>0</formula>
    </cfRule>
  </conditionalFormatting>
  <conditionalFormatting sqref="Q83">
    <cfRule type="cellIs" dxfId="26020" priority="1773" operator="lessThan">
      <formula>0</formula>
    </cfRule>
  </conditionalFormatting>
  <conditionalFormatting sqref="R83">
    <cfRule type="cellIs" dxfId="26019" priority="1771" operator="lessThan">
      <formula>0.8</formula>
    </cfRule>
    <cfRule type="cellIs" dxfId="26018" priority="1772" operator="greaterThan">
      <formula>1</formula>
    </cfRule>
  </conditionalFormatting>
  <conditionalFormatting sqref="R83">
    <cfRule type="cellIs" dxfId="26017" priority="1769" operator="greaterThan">
      <formula>1</formula>
    </cfRule>
    <cfRule type="cellIs" dxfId="26016" priority="1770" operator="lessThan">
      <formula>0.8</formula>
    </cfRule>
  </conditionalFormatting>
  <conditionalFormatting sqref="R83">
    <cfRule type="cellIs" dxfId="26015" priority="1765" operator="lessThan">
      <formula>0.8</formula>
    </cfRule>
    <cfRule type="cellIs" dxfId="26014" priority="1766" operator="greaterThan">
      <formula>1</formula>
    </cfRule>
  </conditionalFormatting>
  <conditionalFormatting sqref="R83">
    <cfRule type="cellIs" dxfId="26013" priority="1763" operator="greaterThan">
      <formula>1</formula>
    </cfRule>
    <cfRule type="cellIs" dxfId="26012" priority="1764" operator="lessThan">
      <formula>0.8</formula>
    </cfRule>
  </conditionalFormatting>
  <conditionalFormatting sqref="P83">
    <cfRule type="cellIs" dxfId="26011" priority="1762" operator="greaterThan">
      <formula>0</formula>
    </cfRule>
  </conditionalFormatting>
  <conditionalFormatting sqref="Q83">
    <cfRule type="cellIs" dxfId="26010" priority="1767" operator="lessThan">
      <formula>0</formula>
    </cfRule>
  </conditionalFormatting>
  <conditionalFormatting sqref="Q83">
    <cfRule type="cellIs" dxfId="26009" priority="1756" operator="lessThan">
      <formula>0</formula>
    </cfRule>
  </conditionalFormatting>
  <conditionalFormatting sqref="P83">
    <cfRule type="cellIs" dxfId="26008" priority="1757" operator="greaterThan">
      <formula>0</formula>
    </cfRule>
  </conditionalFormatting>
  <conditionalFormatting sqref="R83">
    <cfRule type="cellIs" dxfId="26007" priority="1760" operator="lessThan">
      <formula>0.8</formula>
    </cfRule>
    <cfRule type="cellIs" dxfId="26006" priority="1761" operator="greaterThan">
      <formula>1</formula>
    </cfRule>
  </conditionalFormatting>
  <conditionalFormatting sqref="R83">
    <cfRule type="cellIs" dxfId="26005" priority="1758" operator="greaterThan">
      <formula>1</formula>
    </cfRule>
    <cfRule type="cellIs" dxfId="26004" priority="1759" operator="lessThan">
      <formula>0.8</formula>
    </cfRule>
  </conditionalFormatting>
  <conditionalFormatting sqref="Q83">
    <cfRule type="cellIs" dxfId="26003" priority="1750" operator="lessThan">
      <formula>0</formula>
    </cfRule>
  </conditionalFormatting>
  <conditionalFormatting sqref="R83">
    <cfRule type="cellIs" dxfId="26002" priority="1754" operator="lessThan">
      <formula>0.8</formula>
    </cfRule>
    <cfRule type="cellIs" dxfId="26001" priority="1755" operator="greaterThan">
      <formula>1</formula>
    </cfRule>
  </conditionalFormatting>
  <conditionalFormatting sqref="R83">
    <cfRule type="cellIs" dxfId="26000" priority="1752" operator="greaterThan">
      <formula>1</formula>
    </cfRule>
    <cfRule type="cellIs" dxfId="25999" priority="1753" operator="lessThan">
      <formula>0.8</formula>
    </cfRule>
  </conditionalFormatting>
  <conditionalFormatting sqref="P83">
    <cfRule type="cellIs" dxfId="25998" priority="1751" operator="greaterThan">
      <formula>0</formula>
    </cfRule>
  </conditionalFormatting>
  <conditionalFormatting sqref="Q83">
    <cfRule type="cellIs" dxfId="25997" priority="1749" operator="lessThan">
      <formula>0</formula>
    </cfRule>
  </conditionalFormatting>
  <conditionalFormatting sqref="R83">
    <cfRule type="cellIs" dxfId="25996" priority="1747" operator="lessThan">
      <formula>0.8</formula>
    </cfRule>
    <cfRule type="cellIs" dxfId="25995" priority="1748" operator="greaterThan">
      <formula>1</formula>
    </cfRule>
  </conditionalFormatting>
  <conditionalFormatting sqref="R83">
    <cfRule type="cellIs" dxfId="25994" priority="1745" operator="greaterThan">
      <formula>1</formula>
    </cfRule>
    <cfRule type="cellIs" dxfId="25993" priority="1746" operator="lessThan">
      <formula>0.8</formula>
    </cfRule>
  </conditionalFormatting>
  <conditionalFormatting sqref="P83">
    <cfRule type="cellIs" dxfId="25992" priority="1744" operator="greaterThan">
      <formula>0</formula>
    </cfRule>
  </conditionalFormatting>
  <conditionalFormatting sqref="Q83">
    <cfRule type="cellIs" dxfId="25991" priority="1743" operator="lessThan">
      <formula>0</formula>
    </cfRule>
  </conditionalFormatting>
  <conditionalFormatting sqref="R83">
    <cfRule type="cellIs" dxfId="25990" priority="1741" operator="lessThan">
      <formula>0.8</formula>
    </cfRule>
    <cfRule type="cellIs" dxfId="25989" priority="1742" operator="greaterThan">
      <formula>1</formula>
    </cfRule>
  </conditionalFormatting>
  <conditionalFormatting sqref="R83">
    <cfRule type="cellIs" dxfId="25988" priority="1739" operator="greaterThan">
      <formula>1</formula>
    </cfRule>
    <cfRule type="cellIs" dxfId="25987" priority="1740" operator="lessThan">
      <formula>0.8</formula>
    </cfRule>
  </conditionalFormatting>
  <conditionalFormatting sqref="P83">
    <cfRule type="cellIs" dxfId="25986" priority="1738" operator="greaterThan">
      <formula>0</formula>
    </cfRule>
  </conditionalFormatting>
  <conditionalFormatting sqref="Q83">
    <cfRule type="cellIs" dxfId="25985" priority="1737" operator="lessThan">
      <formula>0</formula>
    </cfRule>
  </conditionalFormatting>
  <conditionalFormatting sqref="R83">
    <cfRule type="cellIs" dxfId="25984" priority="1735" operator="lessThan">
      <formula>0.8</formula>
    </cfRule>
    <cfRule type="cellIs" dxfId="25983" priority="1736" operator="greaterThan">
      <formula>1</formula>
    </cfRule>
  </conditionalFormatting>
  <conditionalFormatting sqref="R83">
    <cfRule type="cellIs" dxfId="25982" priority="1733" operator="greaterThan">
      <formula>1</formula>
    </cfRule>
    <cfRule type="cellIs" dxfId="25981" priority="1734" operator="lessThan">
      <formula>0.8</formula>
    </cfRule>
  </conditionalFormatting>
  <conditionalFormatting sqref="P83">
    <cfRule type="cellIs" dxfId="25980" priority="1732" operator="greaterThan">
      <formula>0</formula>
    </cfRule>
  </conditionalFormatting>
  <conditionalFormatting sqref="Q32:Q39">
    <cfRule type="cellIs" dxfId="25979" priority="1726" operator="lessThan">
      <formula>0</formula>
    </cfRule>
  </conditionalFormatting>
  <conditionalFormatting sqref="P32:P39">
    <cfRule type="cellIs" dxfId="25978" priority="1727" operator="greaterThan">
      <formula>0</formula>
    </cfRule>
  </conditionalFormatting>
  <conditionalFormatting sqref="R32:R39">
    <cfRule type="cellIs" dxfId="25977" priority="1730" operator="lessThan">
      <formula>0.8</formula>
    </cfRule>
    <cfRule type="cellIs" dxfId="25976" priority="1731" operator="greaterThan">
      <formula>1</formula>
    </cfRule>
  </conditionalFormatting>
  <conditionalFormatting sqref="R32:R39">
    <cfRule type="cellIs" dxfId="25975" priority="1728" operator="greaterThan">
      <formula>1</formula>
    </cfRule>
    <cfRule type="cellIs" dxfId="25974" priority="1729" operator="lessThan">
      <formula>0.8</formula>
    </cfRule>
  </conditionalFormatting>
  <conditionalFormatting sqref="Q32:Q39">
    <cfRule type="cellIs" dxfId="25973" priority="1720" operator="lessThan">
      <formula>0</formula>
    </cfRule>
  </conditionalFormatting>
  <conditionalFormatting sqref="R32:R39">
    <cfRule type="cellIs" dxfId="25972" priority="1724" operator="lessThan">
      <formula>0.8</formula>
    </cfRule>
    <cfRule type="cellIs" dxfId="25971" priority="1725" operator="greaterThan">
      <formula>1</formula>
    </cfRule>
  </conditionalFormatting>
  <conditionalFormatting sqref="R32:R39">
    <cfRule type="cellIs" dxfId="25970" priority="1722" operator="greaterThan">
      <formula>1</formula>
    </cfRule>
    <cfRule type="cellIs" dxfId="25969" priority="1723" operator="lessThan">
      <formula>0.8</formula>
    </cfRule>
  </conditionalFormatting>
  <conditionalFormatting sqref="P32:P39">
    <cfRule type="cellIs" dxfId="25968" priority="1721" operator="greaterThan">
      <formula>0</formula>
    </cfRule>
  </conditionalFormatting>
  <conditionalFormatting sqref="Q32:Q39">
    <cfRule type="cellIs" dxfId="25967" priority="1719" operator="lessThan">
      <formula>0</formula>
    </cfRule>
  </conditionalFormatting>
  <conditionalFormatting sqref="R32:R39">
    <cfRule type="cellIs" dxfId="25966" priority="1717" operator="lessThan">
      <formula>0.8</formula>
    </cfRule>
    <cfRule type="cellIs" dxfId="25965" priority="1718" operator="greaterThan">
      <formula>1</formula>
    </cfRule>
  </conditionalFormatting>
  <conditionalFormatting sqref="R32:R39">
    <cfRule type="cellIs" dxfId="25964" priority="1715" operator="greaterThan">
      <formula>1</formula>
    </cfRule>
    <cfRule type="cellIs" dxfId="25963" priority="1716" operator="lessThan">
      <formula>0.8</formula>
    </cfRule>
  </conditionalFormatting>
  <conditionalFormatting sqref="P32:P39">
    <cfRule type="cellIs" dxfId="25962" priority="1714" operator="greaterThan">
      <formula>0</formula>
    </cfRule>
  </conditionalFormatting>
  <conditionalFormatting sqref="Q32:Q39">
    <cfRule type="cellIs" dxfId="25961" priority="1713" operator="lessThan">
      <formula>0</formula>
    </cfRule>
  </conditionalFormatting>
  <conditionalFormatting sqref="R32:R39">
    <cfRule type="cellIs" dxfId="25960" priority="1711" operator="lessThan">
      <formula>0.8</formula>
    </cfRule>
    <cfRule type="cellIs" dxfId="25959" priority="1712" operator="greaterThan">
      <formula>1</formula>
    </cfRule>
  </conditionalFormatting>
  <conditionalFormatting sqref="R32:R39">
    <cfRule type="cellIs" dxfId="25958" priority="1709" operator="greaterThan">
      <formula>1</formula>
    </cfRule>
    <cfRule type="cellIs" dxfId="25957" priority="1710" operator="lessThan">
      <formula>0.8</formula>
    </cfRule>
  </conditionalFormatting>
  <conditionalFormatting sqref="P32:P39">
    <cfRule type="cellIs" dxfId="25956" priority="1708" operator="greaterThan">
      <formula>0</formula>
    </cfRule>
  </conditionalFormatting>
  <conditionalFormatting sqref="Q32:Q39">
    <cfRule type="cellIs" dxfId="25955" priority="1702" operator="lessThan">
      <formula>0</formula>
    </cfRule>
  </conditionalFormatting>
  <conditionalFormatting sqref="R32:R39">
    <cfRule type="cellIs" dxfId="25954" priority="1706" operator="lessThan">
      <formula>0.8</formula>
    </cfRule>
    <cfRule type="cellIs" dxfId="25953" priority="1707" operator="greaterThan">
      <formula>1</formula>
    </cfRule>
  </conditionalFormatting>
  <conditionalFormatting sqref="R32:R39">
    <cfRule type="cellIs" dxfId="25952" priority="1704" operator="greaterThan">
      <formula>1</formula>
    </cfRule>
    <cfRule type="cellIs" dxfId="25951" priority="1705" operator="lessThan">
      <formula>0.8</formula>
    </cfRule>
  </conditionalFormatting>
  <conditionalFormatting sqref="P32:P39">
    <cfRule type="cellIs" dxfId="25950" priority="1703" operator="greaterThan">
      <formula>0</formula>
    </cfRule>
  </conditionalFormatting>
  <conditionalFormatting sqref="Q32:Q39">
    <cfRule type="cellIs" dxfId="25949" priority="1701" operator="lessThan">
      <formula>0</formula>
    </cfRule>
  </conditionalFormatting>
  <conditionalFormatting sqref="R32:R39">
    <cfRule type="cellIs" dxfId="25948" priority="1699" operator="lessThan">
      <formula>0.8</formula>
    </cfRule>
    <cfRule type="cellIs" dxfId="25947" priority="1700" operator="greaterThan">
      <formula>1</formula>
    </cfRule>
  </conditionalFormatting>
  <conditionalFormatting sqref="R32:R39">
    <cfRule type="cellIs" dxfId="25946" priority="1697" operator="greaterThan">
      <formula>1</formula>
    </cfRule>
    <cfRule type="cellIs" dxfId="25945" priority="1698" operator="lessThan">
      <formula>0.8</formula>
    </cfRule>
  </conditionalFormatting>
  <conditionalFormatting sqref="P32:P39">
    <cfRule type="cellIs" dxfId="25944" priority="1696" operator="greaterThan">
      <formula>0</formula>
    </cfRule>
  </conditionalFormatting>
  <conditionalFormatting sqref="Q32:Q39">
    <cfRule type="cellIs" dxfId="25943" priority="1695" operator="lessThan">
      <formula>0</formula>
    </cfRule>
  </conditionalFormatting>
  <conditionalFormatting sqref="R32:R39">
    <cfRule type="cellIs" dxfId="25942" priority="1693" operator="lessThan">
      <formula>0.8</formula>
    </cfRule>
    <cfRule type="cellIs" dxfId="25941" priority="1694" operator="greaterThan">
      <formula>1</formula>
    </cfRule>
  </conditionalFormatting>
  <conditionalFormatting sqref="R32:R39">
    <cfRule type="cellIs" dxfId="25940" priority="1691" operator="greaterThan">
      <formula>1</formula>
    </cfRule>
    <cfRule type="cellIs" dxfId="25939" priority="1692" operator="lessThan">
      <formula>0.8</formula>
    </cfRule>
  </conditionalFormatting>
  <conditionalFormatting sqref="P32:P39">
    <cfRule type="cellIs" dxfId="25938" priority="1690" operator="greaterThan">
      <formula>0</formula>
    </cfRule>
  </conditionalFormatting>
  <conditionalFormatting sqref="Q32:Q39">
    <cfRule type="cellIs" dxfId="25937" priority="1689" operator="lessThan">
      <formula>0</formula>
    </cfRule>
  </conditionalFormatting>
  <conditionalFormatting sqref="R32:R39">
    <cfRule type="cellIs" dxfId="25936" priority="1687" operator="lessThan">
      <formula>0.8</formula>
    </cfRule>
    <cfRule type="cellIs" dxfId="25935" priority="1688" operator="greaterThan">
      <formula>1</formula>
    </cfRule>
  </conditionalFormatting>
  <conditionalFormatting sqref="R32:R39">
    <cfRule type="cellIs" dxfId="25934" priority="1685" operator="greaterThan">
      <formula>1</formula>
    </cfRule>
    <cfRule type="cellIs" dxfId="25933" priority="1686" operator="lessThan">
      <formula>0.8</formula>
    </cfRule>
  </conditionalFormatting>
  <conditionalFormatting sqref="P32:P39">
    <cfRule type="cellIs" dxfId="25932" priority="1684" operator="greaterThan">
      <formula>0</formula>
    </cfRule>
  </conditionalFormatting>
  <conditionalFormatting sqref="Q32:Q39">
    <cfRule type="cellIs" dxfId="25931" priority="1683" operator="lessThan">
      <formula>0</formula>
    </cfRule>
  </conditionalFormatting>
  <conditionalFormatting sqref="R32:R39">
    <cfRule type="cellIs" dxfId="25930" priority="1681" operator="lessThan">
      <formula>0.8</formula>
    </cfRule>
    <cfRule type="cellIs" dxfId="25929" priority="1682" operator="greaterThan">
      <formula>1</formula>
    </cfRule>
  </conditionalFormatting>
  <conditionalFormatting sqref="R32:R39">
    <cfRule type="cellIs" dxfId="25928" priority="1679" operator="greaterThan">
      <formula>1</formula>
    </cfRule>
    <cfRule type="cellIs" dxfId="25927" priority="1680" operator="lessThan">
      <formula>0.8</formula>
    </cfRule>
  </conditionalFormatting>
  <conditionalFormatting sqref="P32:P39">
    <cfRule type="cellIs" dxfId="25926" priority="1678" operator="greaterThan">
      <formula>0</formula>
    </cfRule>
  </conditionalFormatting>
  <conditionalFormatting sqref="Q32:Q39">
    <cfRule type="cellIs" dxfId="25925" priority="1677" operator="lessThan">
      <formula>0</formula>
    </cfRule>
  </conditionalFormatting>
  <conditionalFormatting sqref="R32:R39">
    <cfRule type="cellIs" dxfId="25924" priority="1675" operator="lessThan">
      <formula>0.8</formula>
    </cfRule>
    <cfRule type="cellIs" dxfId="25923" priority="1676" operator="greaterThan">
      <formula>1</formula>
    </cfRule>
  </conditionalFormatting>
  <conditionalFormatting sqref="R32:R39">
    <cfRule type="cellIs" dxfId="25922" priority="1673" operator="greaterThan">
      <formula>1</formula>
    </cfRule>
    <cfRule type="cellIs" dxfId="25921" priority="1674" operator="lessThan">
      <formula>0.8</formula>
    </cfRule>
  </conditionalFormatting>
  <conditionalFormatting sqref="P32:P39">
    <cfRule type="cellIs" dxfId="25920" priority="1672" operator="greaterThan">
      <formula>0</formula>
    </cfRule>
  </conditionalFormatting>
  <conditionalFormatting sqref="P32:P39">
    <cfRule type="cellIs" dxfId="25919" priority="1666" operator="greaterThan">
      <formula>0</formula>
    </cfRule>
  </conditionalFormatting>
  <conditionalFormatting sqref="Q32:Q39">
    <cfRule type="cellIs" dxfId="25918" priority="1671" operator="lessThan">
      <formula>0</formula>
    </cfRule>
  </conditionalFormatting>
  <conditionalFormatting sqref="R32:R39">
    <cfRule type="cellIs" dxfId="25917" priority="1669" operator="lessThan">
      <formula>0.8</formula>
    </cfRule>
    <cfRule type="cellIs" dxfId="25916" priority="1670" operator="greaterThan">
      <formula>1</formula>
    </cfRule>
  </conditionalFormatting>
  <conditionalFormatting sqref="R32:R39">
    <cfRule type="cellIs" dxfId="25915" priority="1667" operator="greaterThan">
      <formula>1</formula>
    </cfRule>
    <cfRule type="cellIs" dxfId="25914" priority="1668" operator="lessThan">
      <formula>0.8</formula>
    </cfRule>
  </conditionalFormatting>
  <conditionalFormatting sqref="P32:P39">
    <cfRule type="cellIs" dxfId="25913" priority="1660" operator="greaterThan">
      <formula>0</formula>
    </cfRule>
  </conditionalFormatting>
  <conditionalFormatting sqref="Q32:Q39">
    <cfRule type="cellIs" dxfId="25912" priority="1665" operator="lessThan">
      <formula>0</formula>
    </cfRule>
  </conditionalFormatting>
  <conditionalFormatting sqref="R32:R39">
    <cfRule type="cellIs" dxfId="25911" priority="1663" operator="lessThan">
      <formula>0.8</formula>
    </cfRule>
    <cfRule type="cellIs" dxfId="25910" priority="1664" operator="greaterThan">
      <formula>1</formula>
    </cfRule>
  </conditionalFormatting>
  <conditionalFormatting sqref="R32:R39">
    <cfRule type="cellIs" dxfId="25909" priority="1661" operator="greaterThan">
      <formula>1</formula>
    </cfRule>
    <cfRule type="cellIs" dxfId="25908" priority="1662" operator="lessThan">
      <formula>0.8</formula>
    </cfRule>
  </conditionalFormatting>
  <conditionalFormatting sqref="R32:R39">
    <cfRule type="cellIs" dxfId="25907" priority="1657" operator="lessThan">
      <formula>0.8</formula>
    </cfRule>
    <cfRule type="cellIs" dxfId="25906" priority="1658" operator="greaterThan">
      <formula>1</formula>
    </cfRule>
  </conditionalFormatting>
  <conditionalFormatting sqref="R32:R39">
    <cfRule type="cellIs" dxfId="25905" priority="1655" operator="greaterThan">
      <formula>1</formula>
    </cfRule>
    <cfRule type="cellIs" dxfId="25904" priority="1656" operator="lessThan">
      <formula>0.8</formula>
    </cfRule>
  </conditionalFormatting>
  <conditionalFormatting sqref="P32:P39">
    <cfRule type="cellIs" dxfId="25903" priority="1654" operator="greaterThan">
      <formula>0</formula>
    </cfRule>
  </conditionalFormatting>
  <conditionalFormatting sqref="Q32:Q39">
    <cfRule type="cellIs" dxfId="25902" priority="1659" operator="lessThan">
      <formula>0</formula>
    </cfRule>
  </conditionalFormatting>
  <conditionalFormatting sqref="Q32:Q39">
    <cfRule type="cellIs" dxfId="25901" priority="1648" operator="lessThan">
      <formula>0</formula>
    </cfRule>
  </conditionalFormatting>
  <conditionalFormatting sqref="P32:P39">
    <cfRule type="cellIs" dxfId="25900" priority="1649" operator="greaterThan">
      <formula>0</formula>
    </cfRule>
  </conditionalFormatting>
  <conditionalFormatting sqref="R32:R39">
    <cfRule type="cellIs" dxfId="25899" priority="1652" operator="lessThan">
      <formula>0.8</formula>
    </cfRule>
    <cfRule type="cellIs" dxfId="25898" priority="1653" operator="greaterThan">
      <formula>1</formula>
    </cfRule>
  </conditionalFormatting>
  <conditionalFormatting sqref="R32:R39">
    <cfRule type="cellIs" dxfId="25897" priority="1650" operator="greaterThan">
      <formula>1</formula>
    </cfRule>
    <cfRule type="cellIs" dxfId="25896" priority="1651" operator="lessThan">
      <formula>0.8</formula>
    </cfRule>
  </conditionalFormatting>
  <conditionalFormatting sqref="Q32:Q39">
    <cfRule type="cellIs" dxfId="25895" priority="1642" operator="lessThan">
      <formula>0</formula>
    </cfRule>
  </conditionalFormatting>
  <conditionalFormatting sqref="R32:R39">
    <cfRule type="cellIs" dxfId="25894" priority="1646" operator="lessThan">
      <formula>0.8</formula>
    </cfRule>
    <cfRule type="cellIs" dxfId="25893" priority="1647" operator="greaterThan">
      <formula>1</formula>
    </cfRule>
  </conditionalFormatting>
  <conditionalFormatting sqref="R32:R39">
    <cfRule type="cellIs" dxfId="25892" priority="1644" operator="greaterThan">
      <formula>1</formula>
    </cfRule>
    <cfRule type="cellIs" dxfId="25891" priority="1645" operator="lessThan">
      <formula>0.8</formula>
    </cfRule>
  </conditionalFormatting>
  <conditionalFormatting sqref="P32:P39">
    <cfRule type="cellIs" dxfId="25890" priority="1643" operator="greaterThan">
      <formula>0</formula>
    </cfRule>
  </conditionalFormatting>
  <conditionalFormatting sqref="Q32:Q39">
    <cfRule type="cellIs" dxfId="25889" priority="1641" operator="lessThan">
      <formula>0</formula>
    </cfRule>
  </conditionalFormatting>
  <conditionalFormatting sqref="R32:R39">
    <cfRule type="cellIs" dxfId="25888" priority="1639" operator="lessThan">
      <formula>0.8</formula>
    </cfRule>
    <cfRule type="cellIs" dxfId="25887" priority="1640" operator="greaterThan">
      <formula>1</formula>
    </cfRule>
  </conditionalFormatting>
  <conditionalFormatting sqref="R32:R39">
    <cfRule type="cellIs" dxfId="25886" priority="1637" operator="greaterThan">
      <formula>1</formula>
    </cfRule>
    <cfRule type="cellIs" dxfId="25885" priority="1638" operator="lessThan">
      <formula>0.8</formula>
    </cfRule>
  </conditionalFormatting>
  <conditionalFormatting sqref="P32:P39">
    <cfRule type="cellIs" dxfId="25884" priority="1636" operator="greaterThan">
      <formula>0</formula>
    </cfRule>
  </conditionalFormatting>
  <conditionalFormatting sqref="Q32:Q39">
    <cfRule type="cellIs" dxfId="25883" priority="1635" operator="lessThan">
      <formula>0</formula>
    </cfRule>
  </conditionalFormatting>
  <conditionalFormatting sqref="R32:R39">
    <cfRule type="cellIs" dxfId="25882" priority="1633" operator="lessThan">
      <formula>0.8</formula>
    </cfRule>
    <cfRule type="cellIs" dxfId="25881" priority="1634" operator="greaterThan">
      <formula>1</formula>
    </cfRule>
  </conditionalFormatting>
  <conditionalFormatting sqref="R32:R39">
    <cfRule type="cellIs" dxfId="25880" priority="1631" operator="greaterThan">
      <formula>1</formula>
    </cfRule>
    <cfRule type="cellIs" dxfId="25879" priority="1632" operator="lessThan">
      <formula>0.8</formula>
    </cfRule>
  </conditionalFormatting>
  <conditionalFormatting sqref="P32:P39">
    <cfRule type="cellIs" dxfId="25878" priority="1630" operator="greaterThan">
      <formula>0</formula>
    </cfRule>
  </conditionalFormatting>
  <conditionalFormatting sqref="Q32:Q39">
    <cfRule type="cellIs" dxfId="25877" priority="1624" operator="lessThan">
      <formula>0</formula>
    </cfRule>
  </conditionalFormatting>
  <conditionalFormatting sqref="P32:P39">
    <cfRule type="cellIs" dxfId="25876" priority="1625" operator="greaterThan">
      <formula>0</formula>
    </cfRule>
  </conditionalFormatting>
  <conditionalFormatting sqref="R32:R39">
    <cfRule type="cellIs" dxfId="25875" priority="1628" operator="lessThan">
      <formula>0.8</formula>
    </cfRule>
    <cfRule type="cellIs" dxfId="25874" priority="1629" operator="greaterThan">
      <formula>1</formula>
    </cfRule>
  </conditionalFormatting>
  <conditionalFormatting sqref="R32:R39">
    <cfRule type="cellIs" dxfId="25873" priority="1626" operator="greaterThan">
      <formula>1</formula>
    </cfRule>
    <cfRule type="cellIs" dxfId="25872" priority="1627" operator="lessThan">
      <formula>0.8</formula>
    </cfRule>
  </conditionalFormatting>
  <conditionalFormatting sqref="Q32:Q39">
    <cfRule type="cellIs" dxfId="25871" priority="1618" operator="lessThan">
      <formula>0</formula>
    </cfRule>
  </conditionalFormatting>
  <conditionalFormatting sqref="R32:R39">
    <cfRule type="cellIs" dxfId="25870" priority="1622" operator="lessThan">
      <formula>0.8</formula>
    </cfRule>
    <cfRule type="cellIs" dxfId="25869" priority="1623" operator="greaterThan">
      <formula>1</formula>
    </cfRule>
  </conditionalFormatting>
  <conditionalFormatting sqref="R32:R39">
    <cfRule type="cellIs" dxfId="25868" priority="1620" operator="greaterThan">
      <formula>1</formula>
    </cfRule>
    <cfRule type="cellIs" dxfId="25867" priority="1621" operator="lessThan">
      <formula>0.8</formula>
    </cfRule>
  </conditionalFormatting>
  <conditionalFormatting sqref="P32:P39">
    <cfRule type="cellIs" dxfId="25866" priority="1619" operator="greaterThan">
      <formula>0</formula>
    </cfRule>
  </conditionalFormatting>
  <conditionalFormatting sqref="Q32:Q39">
    <cfRule type="cellIs" dxfId="25865" priority="1617" operator="lessThan">
      <formula>0</formula>
    </cfRule>
  </conditionalFormatting>
  <conditionalFormatting sqref="R32:R39">
    <cfRule type="cellIs" dxfId="25864" priority="1615" operator="lessThan">
      <formula>0.8</formula>
    </cfRule>
    <cfRule type="cellIs" dxfId="25863" priority="1616" operator="greaterThan">
      <formula>1</formula>
    </cfRule>
  </conditionalFormatting>
  <conditionalFormatting sqref="R32:R39">
    <cfRule type="cellIs" dxfId="25862" priority="1613" operator="greaterThan">
      <formula>1</formula>
    </cfRule>
    <cfRule type="cellIs" dxfId="25861" priority="1614" operator="lessThan">
      <formula>0.8</formula>
    </cfRule>
  </conditionalFormatting>
  <conditionalFormatting sqref="P32:P39">
    <cfRule type="cellIs" dxfId="25860" priority="1612" operator="greaterThan">
      <formula>0</formula>
    </cfRule>
  </conditionalFormatting>
  <conditionalFormatting sqref="Q32:Q39">
    <cfRule type="cellIs" dxfId="25859" priority="1611" operator="lessThan">
      <formula>0</formula>
    </cfRule>
  </conditionalFormatting>
  <conditionalFormatting sqref="R32:R39">
    <cfRule type="cellIs" dxfId="25858" priority="1609" operator="lessThan">
      <formula>0.8</formula>
    </cfRule>
    <cfRule type="cellIs" dxfId="25857" priority="1610" operator="greaterThan">
      <formula>1</formula>
    </cfRule>
  </conditionalFormatting>
  <conditionalFormatting sqref="R32:R39">
    <cfRule type="cellIs" dxfId="25856" priority="1607" operator="greaterThan">
      <formula>1</formula>
    </cfRule>
    <cfRule type="cellIs" dxfId="25855" priority="1608" operator="lessThan">
      <formula>0.8</formula>
    </cfRule>
  </conditionalFormatting>
  <conditionalFormatting sqref="P32:P39">
    <cfRule type="cellIs" dxfId="25854" priority="1606" operator="greaterThan">
      <formula>0</formula>
    </cfRule>
  </conditionalFormatting>
  <conditionalFormatting sqref="Q19:Q24">
    <cfRule type="cellIs" dxfId="25853" priority="1605" operator="lessThan">
      <formula>0</formula>
    </cfRule>
  </conditionalFormatting>
  <conditionalFormatting sqref="R19:R24">
    <cfRule type="cellIs" dxfId="25852" priority="1603" operator="lessThan">
      <formula>0.8</formula>
    </cfRule>
    <cfRule type="cellIs" dxfId="25851" priority="1604" operator="greaterThan">
      <formula>1</formula>
    </cfRule>
  </conditionalFormatting>
  <conditionalFormatting sqref="R19:R24">
    <cfRule type="cellIs" dxfId="25850" priority="1601" operator="greaterThan">
      <formula>1</formula>
    </cfRule>
    <cfRule type="cellIs" dxfId="25849" priority="1602" operator="lessThan">
      <formula>0.8</formula>
    </cfRule>
  </conditionalFormatting>
  <conditionalFormatting sqref="P19:P24">
    <cfRule type="cellIs" dxfId="25848" priority="1600" operator="greaterThan">
      <formula>0</formula>
    </cfRule>
  </conditionalFormatting>
  <conditionalFormatting sqref="R19:R24">
    <cfRule type="cellIs" dxfId="25847" priority="1597" operator="lessThan">
      <formula>0.8</formula>
    </cfRule>
    <cfRule type="cellIs" dxfId="25846" priority="1598" operator="greaterThan">
      <formula>1</formula>
    </cfRule>
  </conditionalFormatting>
  <conditionalFormatting sqref="R19:R24">
    <cfRule type="cellIs" dxfId="25845" priority="1595" operator="greaterThan">
      <formula>1</formula>
    </cfRule>
    <cfRule type="cellIs" dxfId="25844" priority="1596" operator="lessThan">
      <formula>0.8</formula>
    </cfRule>
  </conditionalFormatting>
  <conditionalFormatting sqref="P19:P24">
    <cfRule type="cellIs" dxfId="25843" priority="1594" operator="greaterThan">
      <formula>0</formula>
    </cfRule>
  </conditionalFormatting>
  <conditionalFormatting sqref="Q19:Q24">
    <cfRule type="cellIs" dxfId="25842" priority="1599" operator="lessThan">
      <formula>0</formula>
    </cfRule>
  </conditionalFormatting>
  <conditionalFormatting sqref="R19:R24">
    <cfRule type="cellIs" dxfId="25841" priority="1591" operator="lessThan">
      <formula>0.8</formula>
    </cfRule>
    <cfRule type="cellIs" dxfId="25840" priority="1592" operator="greaterThan">
      <formula>1</formula>
    </cfRule>
  </conditionalFormatting>
  <conditionalFormatting sqref="R19:R24">
    <cfRule type="cellIs" dxfId="25839" priority="1589" operator="greaterThan">
      <formula>1</formula>
    </cfRule>
    <cfRule type="cellIs" dxfId="25838" priority="1590" operator="lessThan">
      <formula>0.8</formula>
    </cfRule>
  </conditionalFormatting>
  <conditionalFormatting sqref="P19:P24">
    <cfRule type="cellIs" dxfId="25837" priority="1588" operator="greaterThan">
      <formula>0</formula>
    </cfRule>
  </conditionalFormatting>
  <conditionalFormatting sqref="Q19:Q24">
    <cfRule type="cellIs" dxfId="25836" priority="1593" operator="lessThan">
      <formula>0</formula>
    </cfRule>
  </conditionalFormatting>
  <conditionalFormatting sqref="Q19:Q24">
    <cfRule type="cellIs" dxfId="25835" priority="1587" operator="lessThan">
      <formula>0</formula>
    </cfRule>
  </conditionalFormatting>
  <conditionalFormatting sqref="R19:R24">
    <cfRule type="cellIs" dxfId="25834" priority="1585" operator="lessThan">
      <formula>0.8</formula>
    </cfRule>
    <cfRule type="cellIs" dxfId="25833" priority="1586" operator="greaterThan">
      <formula>1</formula>
    </cfRule>
  </conditionalFormatting>
  <conditionalFormatting sqref="R19:R24">
    <cfRule type="cellIs" dxfId="25832" priority="1583" operator="greaterThan">
      <formula>1</formula>
    </cfRule>
    <cfRule type="cellIs" dxfId="25831" priority="1584" operator="lessThan">
      <formula>0.8</formula>
    </cfRule>
  </conditionalFormatting>
  <conditionalFormatting sqref="P19:P24">
    <cfRule type="cellIs" dxfId="25830" priority="1582" operator="greaterThan">
      <formula>0</formula>
    </cfRule>
  </conditionalFormatting>
  <conditionalFormatting sqref="Q135:Q136 Q139 Q142">
    <cfRule type="cellIs" dxfId="25829" priority="1581" operator="lessThan">
      <formula>0</formula>
    </cfRule>
  </conditionalFormatting>
  <conditionalFormatting sqref="R135:R136 R139 R142">
    <cfRule type="cellIs" dxfId="25828" priority="1579" operator="lessThan">
      <formula>0.8</formula>
    </cfRule>
    <cfRule type="cellIs" dxfId="25827" priority="1580" operator="greaterThan">
      <formula>1</formula>
    </cfRule>
  </conditionalFormatting>
  <conditionalFormatting sqref="R135:R136 R139 R142">
    <cfRule type="cellIs" dxfId="25826" priority="1577" operator="greaterThan">
      <formula>1</formula>
    </cfRule>
    <cfRule type="cellIs" dxfId="25825" priority="1578" operator="lessThan">
      <formula>0.8</formula>
    </cfRule>
  </conditionalFormatting>
  <conditionalFormatting sqref="P135:P136 P139 P142">
    <cfRule type="cellIs" dxfId="25824" priority="1576" operator="greaterThan">
      <formula>0</formula>
    </cfRule>
  </conditionalFormatting>
  <conditionalFormatting sqref="P135:P136 P139 P142">
    <cfRule type="cellIs" dxfId="25823" priority="1570" operator="greaterThan">
      <formula>0</formula>
    </cfRule>
  </conditionalFormatting>
  <conditionalFormatting sqref="Q135:Q136 Q139 Q142">
    <cfRule type="cellIs" dxfId="25822" priority="1575" operator="lessThan">
      <formula>0</formula>
    </cfRule>
  </conditionalFormatting>
  <conditionalFormatting sqref="R135:R136 R139 R142">
    <cfRule type="cellIs" dxfId="25821" priority="1573" operator="lessThan">
      <formula>0.8</formula>
    </cfRule>
    <cfRule type="cellIs" dxfId="25820" priority="1574" operator="greaterThan">
      <formula>1</formula>
    </cfRule>
  </conditionalFormatting>
  <conditionalFormatting sqref="R135:R136 R139 R142">
    <cfRule type="cellIs" dxfId="25819" priority="1571" operator="greaterThan">
      <formula>1</formula>
    </cfRule>
    <cfRule type="cellIs" dxfId="25818" priority="1572" operator="lessThan">
      <formula>0.8</formula>
    </cfRule>
  </conditionalFormatting>
  <conditionalFormatting sqref="Q25">
    <cfRule type="cellIs" dxfId="25817" priority="1569" operator="lessThan">
      <formula>0</formula>
    </cfRule>
  </conditionalFormatting>
  <conditionalFormatting sqref="R25">
    <cfRule type="cellIs" dxfId="25816" priority="1567" operator="lessThan">
      <formula>0.8</formula>
    </cfRule>
    <cfRule type="cellIs" dxfId="25815" priority="1568" operator="greaterThan">
      <formula>1</formula>
    </cfRule>
  </conditionalFormatting>
  <conditionalFormatting sqref="R25">
    <cfRule type="cellIs" dxfId="25814" priority="1565" operator="greaterThan">
      <formula>1</formula>
    </cfRule>
    <cfRule type="cellIs" dxfId="25813" priority="1566" operator="lessThan">
      <formula>0.8</formula>
    </cfRule>
  </conditionalFormatting>
  <conditionalFormatting sqref="P25">
    <cfRule type="cellIs" dxfId="25812" priority="1564" operator="greaterThan">
      <formula>0</formula>
    </cfRule>
  </conditionalFormatting>
  <conditionalFormatting sqref="R25">
    <cfRule type="cellIs" dxfId="25811" priority="1561" operator="lessThan">
      <formula>0.8</formula>
    </cfRule>
    <cfRule type="cellIs" dxfId="25810" priority="1562" operator="greaterThan">
      <formula>1</formula>
    </cfRule>
  </conditionalFormatting>
  <conditionalFormatting sqref="R25">
    <cfRule type="cellIs" dxfId="25809" priority="1559" operator="greaterThan">
      <formula>1</formula>
    </cfRule>
    <cfRule type="cellIs" dxfId="25808" priority="1560" operator="lessThan">
      <formula>0.8</formula>
    </cfRule>
  </conditionalFormatting>
  <conditionalFormatting sqref="P25">
    <cfRule type="cellIs" dxfId="25807" priority="1558" operator="greaterThan">
      <formula>0</formula>
    </cfRule>
  </conditionalFormatting>
  <conditionalFormatting sqref="Q25">
    <cfRule type="cellIs" dxfId="25806" priority="1563" operator="lessThan">
      <formula>0</formula>
    </cfRule>
  </conditionalFormatting>
  <conditionalFormatting sqref="R25">
    <cfRule type="cellIs" dxfId="25805" priority="1555" operator="lessThan">
      <formula>0.8</formula>
    </cfRule>
    <cfRule type="cellIs" dxfId="25804" priority="1556" operator="greaterThan">
      <formula>1</formula>
    </cfRule>
  </conditionalFormatting>
  <conditionalFormatting sqref="R25">
    <cfRule type="cellIs" dxfId="25803" priority="1553" operator="greaterThan">
      <formula>1</formula>
    </cfRule>
    <cfRule type="cellIs" dxfId="25802" priority="1554" operator="lessThan">
      <formula>0.8</formula>
    </cfRule>
  </conditionalFormatting>
  <conditionalFormatting sqref="P25">
    <cfRule type="cellIs" dxfId="25801" priority="1552" operator="greaterThan">
      <formula>0</formula>
    </cfRule>
  </conditionalFormatting>
  <conditionalFormatting sqref="Q25">
    <cfRule type="cellIs" dxfId="25800" priority="1557" operator="lessThan">
      <formula>0</formula>
    </cfRule>
  </conditionalFormatting>
  <conditionalFormatting sqref="Q25">
    <cfRule type="cellIs" dxfId="25799" priority="1551" operator="lessThan">
      <formula>0</formula>
    </cfRule>
  </conditionalFormatting>
  <conditionalFormatting sqref="R25">
    <cfRule type="cellIs" dxfId="25798" priority="1549" operator="lessThan">
      <formula>0.8</formula>
    </cfRule>
    <cfRule type="cellIs" dxfId="25797" priority="1550" operator="greaterThan">
      <formula>1</formula>
    </cfRule>
  </conditionalFormatting>
  <conditionalFormatting sqref="R25">
    <cfRule type="cellIs" dxfId="25796" priority="1547" operator="greaterThan">
      <formula>1</formula>
    </cfRule>
    <cfRule type="cellIs" dxfId="25795" priority="1548" operator="lessThan">
      <formula>0.8</formula>
    </cfRule>
  </conditionalFormatting>
  <conditionalFormatting sqref="P25">
    <cfRule type="cellIs" dxfId="25794" priority="1546" operator="greaterThan">
      <formula>0</formula>
    </cfRule>
  </conditionalFormatting>
  <conditionalFormatting sqref="Q25">
    <cfRule type="cellIs" dxfId="25793" priority="1545" operator="lessThan">
      <formula>0</formula>
    </cfRule>
  </conditionalFormatting>
  <conditionalFormatting sqref="R25">
    <cfRule type="cellIs" dxfId="25792" priority="1543" operator="lessThan">
      <formula>0.8</formula>
    </cfRule>
    <cfRule type="cellIs" dxfId="25791" priority="1544" operator="greaterThan">
      <formula>1</formula>
    </cfRule>
  </conditionalFormatting>
  <conditionalFormatting sqref="R25">
    <cfRule type="cellIs" dxfId="25790" priority="1541" operator="greaterThan">
      <formula>1</formula>
    </cfRule>
    <cfRule type="cellIs" dxfId="25789" priority="1542" operator="lessThan">
      <formula>0.8</formula>
    </cfRule>
  </conditionalFormatting>
  <conditionalFormatting sqref="P25">
    <cfRule type="cellIs" dxfId="25788" priority="1540" operator="greaterThan">
      <formula>0</formula>
    </cfRule>
  </conditionalFormatting>
  <conditionalFormatting sqref="P19:P24">
    <cfRule type="cellIs" dxfId="25787" priority="1534" operator="greaterThan">
      <formula>0</formula>
    </cfRule>
  </conditionalFormatting>
  <conditionalFormatting sqref="Q19:Q24">
    <cfRule type="cellIs" dxfId="25786" priority="1539" operator="lessThan">
      <formula>0</formula>
    </cfRule>
  </conditionalFormatting>
  <conditionalFormatting sqref="R19:R24">
    <cfRule type="cellIs" dxfId="25785" priority="1537" operator="lessThan">
      <formula>0.8</formula>
    </cfRule>
    <cfRule type="cellIs" dxfId="25784" priority="1538" operator="greaterThan">
      <formula>1</formula>
    </cfRule>
  </conditionalFormatting>
  <conditionalFormatting sqref="R19:R24">
    <cfRule type="cellIs" dxfId="25783" priority="1535" operator="greaterThan">
      <formula>1</formula>
    </cfRule>
    <cfRule type="cellIs" dxfId="25782" priority="1536" operator="lessThan">
      <formula>0.8</formula>
    </cfRule>
  </conditionalFormatting>
  <conditionalFormatting sqref="Q19:Q24">
    <cfRule type="cellIs" dxfId="25781" priority="1533" operator="lessThan">
      <formula>0</formula>
    </cfRule>
  </conditionalFormatting>
  <conditionalFormatting sqref="R19:R24">
    <cfRule type="cellIs" dxfId="25780" priority="1531" operator="lessThan">
      <formula>0.8</formula>
    </cfRule>
    <cfRule type="cellIs" dxfId="25779" priority="1532" operator="greaterThan">
      <formula>1</formula>
    </cfRule>
  </conditionalFormatting>
  <conditionalFormatting sqref="R19:R24">
    <cfRule type="cellIs" dxfId="25778" priority="1529" operator="greaterThan">
      <formula>1</formula>
    </cfRule>
    <cfRule type="cellIs" dxfId="25777" priority="1530" operator="lessThan">
      <formula>0.8</formula>
    </cfRule>
  </conditionalFormatting>
  <conditionalFormatting sqref="P19:P24">
    <cfRule type="cellIs" dxfId="25776" priority="1528" operator="greaterThan">
      <formula>0</formula>
    </cfRule>
  </conditionalFormatting>
  <conditionalFormatting sqref="Q19:Q24">
    <cfRule type="cellIs" dxfId="25775" priority="1527" operator="lessThan">
      <formula>0</formula>
    </cfRule>
  </conditionalFormatting>
  <conditionalFormatting sqref="R19:R24">
    <cfRule type="cellIs" dxfId="25774" priority="1525" operator="lessThan">
      <formula>0.8</formula>
    </cfRule>
    <cfRule type="cellIs" dxfId="25773" priority="1526" operator="greaterThan">
      <formula>1</formula>
    </cfRule>
  </conditionalFormatting>
  <conditionalFormatting sqref="R19:R24">
    <cfRule type="cellIs" dxfId="25772" priority="1523" operator="greaterThan">
      <formula>1</formula>
    </cfRule>
    <cfRule type="cellIs" dxfId="25771" priority="1524" operator="lessThan">
      <formula>0.8</formula>
    </cfRule>
  </conditionalFormatting>
  <conditionalFormatting sqref="P19:P24">
    <cfRule type="cellIs" dxfId="25770" priority="1522" operator="greaterThan">
      <formula>0</formula>
    </cfRule>
  </conditionalFormatting>
  <conditionalFormatting sqref="Q19:Q24">
    <cfRule type="cellIs" dxfId="25769" priority="1521" operator="lessThan">
      <formula>0</formula>
    </cfRule>
  </conditionalFormatting>
  <conditionalFormatting sqref="R19:R24">
    <cfRule type="cellIs" dxfId="25768" priority="1519" operator="lessThan">
      <formula>0.8</formula>
    </cfRule>
    <cfRule type="cellIs" dxfId="25767" priority="1520" operator="greaterThan">
      <formula>1</formula>
    </cfRule>
  </conditionalFormatting>
  <conditionalFormatting sqref="R19:R24">
    <cfRule type="cellIs" dxfId="25766" priority="1517" operator="greaterThan">
      <formula>1</formula>
    </cfRule>
    <cfRule type="cellIs" dxfId="25765" priority="1518" operator="lessThan">
      <formula>0.8</formula>
    </cfRule>
  </conditionalFormatting>
  <conditionalFormatting sqref="P19:P24">
    <cfRule type="cellIs" dxfId="25764" priority="1516" operator="greaterThan">
      <formula>0</formula>
    </cfRule>
  </conditionalFormatting>
  <conditionalFormatting sqref="R19:R24">
    <cfRule type="cellIs" dxfId="25763" priority="1513" operator="lessThan">
      <formula>0.8</formula>
    </cfRule>
    <cfRule type="cellIs" dxfId="25762" priority="1514" operator="greaterThan">
      <formula>1</formula>
    </cfRule>
  </conditionalFormatting>
  <conditionalFormatting sqref="R19:R24">
    <cfRule type="cellIs" dxfId="25761" priority="1511" operator="greaterThan">
      <formula>1</formula>
    </cfRule>
    <cfRule type="cellIs" dxfId="25760" priority="1512" operator="lessThan">
      <formula>0.8</formula>
    </cfRule>
  </conditionalFormatting>
  <conditionalFormatting sqref="P19:P24">
    <cfRule type="cellIs" dxfId="25759" priority="1510" operator="greaterThan">
      <formula>0</formula>
    </cfRule>
  </conditionalFormatting>
  <conditionalFormatting sqref="Q19:Q24">
    <cfRule type="cellIs" dxfId="25758" priority="1515" operator="lessThan">
      <formula>0</formula>
    </cfRule>
  </conditionalFormatting>
  <conditionalFormatting sqref="Q19:Q24">
    <cfRule type="cellIs" dxfId="25757" priority="1509" operator="lessThan">
      <formula>0</formula>
    </cfRule>
  </conditionalFormatting>
  <conditionalFormatting sqref="R19:R24">
    <cfRule type="cellIs" dxfId="25756" priority="1507" operator="lessThan">
      <formula>0.8</formula>
    </cfRule>
    <cfRule type="cellIs" dxfId="25755" priority="1508" operator="greaterThan">
      <formula>1</formula>
    </cfRule>
  </conditionalFormatting>
  <conditionalFormatting sqref="R19:R24">
    <cfRule type="cellIs" dxfId="25754" priority="1505" operator="greaterThan">
      <formula>1</formula>
    </cfRule>
    <cfRule type="cellIs" dxfId="25753" priority="1506" operator="lessThan">
      <formula>0.8</formula>
    </cfRule>
  </conditionalFormatting>
  <conditionalFormatting sqref="P19:P24">
    <cfRule type="cellIs" dxfId="25752" priority="1504" operator="greaterThan">
      <formula>0</formula>
    </cfRule>
  </conditionalFormatting>
  <conditionalFormatting sqref="P19:P24">
    <cfRule type="cellIs" dxfId="25751" priority="1498" operator="greaterThan">
      <formula>0</formula>
    </cfRule>
  </conditionalFormatting>
  <conditionalFormatting sqref="Q19:Q24">
    <cfRule type="cellIs" dxfId="25750" priority="1503" operator="lessThan">
      <formula>0</formula>
    </cfRule>
  </conditionalFormatting>
  <conditionalFormatting sqref="R19:R24">
    <cfRule type="cellIs" dxfId="25749" priority="1501" operator="lessThan">
      <formula>0.8</formula>
    </cfRule>
    <cfRule type="cellIs" dxfId="25748" priority="1502" operator="greaterThan">
      <formula>1</formula>
    </cfRule>
  </conditionalFormatting>
  <conditionalFormatting sqref="R19:R24">
    <cfRule type="cellIs" dxfId="25747" priority="1499" operator="greaterThan">
      <formula>1</formula>
    </cfRule>
    <cfRule type="cellIs" dxfId="25746" priority="1500" operator="lessThan">
      <formula>0.8</formula>
    </cfRule>
  </conditionalFormatting>
  <conditionalFormatting sqref="P19:P24">
    <cfRule type="cellIs" dxfId="25745" priority="1492" operator="greaterThan">
      <formula>0</formula>
    </cfRule>
  </conditionalFormatting>
  <conditionalFormatting sqref="Q19:Q24">
    <cfRule type="cellIs" dxfId="25744" priority="1497" operator="lessThan">
      <formula>0</formula>
    </cfRule>
  </conditionalFormatting>
  <conditionalFormatting sqref="R19:R24">
    <cfRule type="cellIs" dxfId="25743" priority="1495" operator="lessThan">
      <formula>0.8</formula>
    </cfRule>
    <cfRule type="cellIs" dxfId="25742" priority="1496" operator="greaterThan">
      <formula>1</formula>
    </cfRule>
  </conditionalFormatting>
  <conditionalFormatting sqref="R19:R24">
    <cfRule type="cellIs" dxfId="25741" priority="1493" operator="greaterThan">
      <formula>1</formula>
    </cfRule>
    <cfRule type="cellIs" dxfId="25740" priority="1494" operator="lessThan">
      <formula>0.8</formula>
    </cfRule>
  </conditionalFormatting>
  <conditionalFormatting sqref="Q19:Q24">
    <cfRule type="cellIs" dxfId="25739" priority="1491" operator="lessThan">
      <formula>0</formula>
    </cfRule>
  </conditionalFormatting>
  <conditionalFormatting sqref="R19:R24">
    <cfRule type="cellIs" dxfId="25738" priority="1489" operator="lessThan">
      <formula>0.8</formula>
    </cfRule>
    <cfRule type="cellIs" dxfId="25737" priority="1490" operator="greaterThan">
      <formula>1</formula>
    </cfRule>
  </conditionalFormatting>
  <conditionalFormatting sqref="R19:R24">
    <cfRule type="cellIs" dxfId="25736" priority="1487" operator="greaterThan">
      <formula>1</formula>
    </cfRule>
    <cfRule type="cellIs" dxfId="25735" priority="1488" operator="lessThan">
      <formula>0.8</formula>
    </cfRule>
  </conditionalFormatting>
  <conditionalFormatting sqref="P19:P24">
    <cfRule type="cellIs" dxfId="25734" priority="1486" operator="greaterThan">
      <formula>0</formula>
    </cfRule>
  </conditionalFormatting>
  <conditionalFormatting sqref="Q19:Q24">
    <cfRule type="cellIs" dxfId="25733" priority="1485" operator="lessThan">
      <formula>0</formula>
    </cfRule>
  </conditionalFormatting>
  <conditionalFormatting sqref="R19:R24">
    <cfRule type="cellIs" dxfId="25732" priority="1483" operator="lessThan">
      <formula>0.8</formula>
    </cfRule>
    <cfRule type="cellIs" dxfId="25731" priority="1484" operator="greaterThan">
      <formula>1</formula>
    </cfRule>
  </conditionalFormatting>
  <conditionalFormatting sqref="R19:R24">
    <cfRule type="cellIs" dxfId="25730" priority="1481" operator="greaterThan">
      <formula>1</formula>
    </cfRule>
    <cfRule type="cellIs" dxfId="25729" priority="1482" operator="lessThan">
      <formula>0.8</formula>
    </cfRule>
  </conditionalFormatting>
  <conditionalFormatting sqref="P19:P24">
    <cfRule type="cellIs" dxfId="25728" priority="1480" operator="greaterThan">
      <formula>0</formula>
    </cfRule>
  </conditionalFormatting>
  <conditionalFormatting sqref="P19:P24">
    <cfRule type="cellIs" dxfId="25727" priority="1474" operator="greaterThan">
      <formula>0</formula>
    </cfRule>
  </conditionalFormatting>
  <conditionalFormatting sqref="Q19:Q24">
    <cfRule type="cellIs" dxfId="25726" priority="1479" operator="lessThan">
      <formula>0</formula>
    </cfRule>
  </conditionalFormatting>
  <conditionalFormatting sqref="R19:R24">
    <cfRule type="cellIs" dxfId="25725" priority="1477" operator="lessThan">
      <formula>0.8</formula>
    </cfRule>
    <cfRule type="cellIs" dxfId="25724" priority="1478" operator="greaterThan">
      <formula>1</formula>
    </cfRule>
  </conditionalFormatting>
  <conditionalFormatting sqref="R19:R24">
    <cfRule type="cellIs" dxfId="25723" priority="1475" operator="greaterThan">
      <formula>1</formula>
    </cfRule>
    <cfRule type="cellIs" dxfId="25722" priority="1476" operator="lessThan">
      <formula>0.8</formula>
    </cfRule>
  </conditionalFormatting>
  <conditionalFormatting sqref="Q19:Q24">
    <cfRule type="cellIs" dxfId="25721" priority="1473" operator="lessThan">
      <formula>0</formula>
    </cfRule>
  </conditionalFormatting>
  <conditionalFormatting sqref="R19:R24">
    <cfRule type="cellIs" dxfId="25720" priority="1471" operator="lessThan">
      <formula>0.8</formula>
    </cfRule>
    <cfRule type="cellIs" dxfId="25719" priority="1472" operator="greaterThan">
      <formula>1</formula>
    </cfRule>
  </conditionalFormatting>
  <conditionalFormatting sqref="R19:R24">
    <cfRule type="cellIs" dxfId="25718" priority="1469" operator="greaterThan">
      <formula>1</formula>
    </cfRule>
    <cfRule type="cellIs" dxfId="25717" priority="1470" operator="lessThan">
      <formula>0.8</formula>
    </cfRule>
  </conditionalFormatting>
  <conditionalFormatting sqref="P19:P24">
    <cfRule type="cellIs" dxfId="25716" priority="1468" operator="greaterThan">
      <formula>0</formula>
    </cfRule>
  </conditionalFormatting>
  <conditionalFormatting sqref="Q19:Q24">
    <cfRule type="cellIs" dxfId="25715" priority="1467" operator="lessThan">
      <formula>0</formula>
    </cfRule>
  </conditionalFormatting>
  <conditionalFormatting sqref="R19:R24">
    <cfRule type="cellIs" dxfId="25714" priority="1465" operator="lessThan">
      <formula>0.8</formula>
    </cfRule>
    <cfRule type="cellIs" dxfId="25713" priority="1466" operator="greaterThan">
      <formula>1</formula>
    </cfRule>
  </conditionalFormatting>
  <conditionalFormatting sqref="R19:R24">
    <cfRule type="cellIs" dxfId="25712" priority="1463" operator="greaterThan">
      <formula>1</formula>
    </cfRule>
    <cfRule type="cellIs" dxfId="25711" priority="1464" operator="lessThan">
      <formula>0.8</formula>
    </cfRule>
  </conditionalFormatting>
  <conditionalFormatting sqref="P19:P24">
    <cfRule type="cellIs" dxfId="25710" priority="1462" operator="greaterThan">
      <formula>0</formula>
    </cfRule>
  </conditionalFormatting>
  <conditionalFormatting sqref="Q19:Q24">
    <cfRule type="cellIs" dxfId="25709" priority="1461" operator="lessThan">
      <formula>0</formula>
    </cfRule>
  </conditionalFormatting>
  <conditionalFormatting sqref="R19:R24">
    <cfRule type="cellIs" dxfId="25708" priority="1459" operator="lessThan">
      <formula>0.8</formula>
    </cfRule>
    <cfRule type="cellIs" dxfId="25707" priority="1460" operator="greaterThan">
      <formula>1</formula>
    </cfRule>
  </conditionalFormatting>
  <conditionalFormatting sqref="R19:R24">
    <cfRule type="cellIs" dxfId="25706" priority="1457" operator="greaterThan">
      <formula>1</formula>
    </cfRule>
    <cfRule type="cellIs" dxfId="25705" priority="1458" operator="lessThan">
      <formula>0.8</formula>
    </cfRule>
  </conditionalFormatting>
  <conditionalFormatting sqref="P19:P24">
    <cfRule type="cellIs" dxfId="25704" priority="1456" operator="greaterThan">
      <formula>0</formula>
    </cfRule>
  </conditionalFormatting>
  <conditionalFormatting sqref="R19:R24">
    <cfRule type="cellIs" dxfId="25703" priority="1453" operator="lessThan">
      <formula>0.8</formula>
    </cfRule>
    <cfRule type="cellIs" dxfId="25702" priority="1454" operator="greaterThan">
      <formula>1</formula>
    </cfRule>
  </conditionalFormatting>
  <conditionalFormatting sqref="R19:R24">
    <cfRule type="cellIs" dxfId="25701" priority="1451" operator="greaterThan">
      <formula>1</formula>
    </cfRule>
    <cfRule type="cellIs" dxfId="25700" priority="1452" operator="lessThan">
      <formula>0.8</formula>
    </cfRule>
  </conditionalFormatting>
  <conditionalFormatting sqref="P19:P24">
    <cfRule type="cellIs" dxfId="25699" priority="1450" operator="greaterThan">
      <formula>0</formula>
    </cfRule>
  </conditionalFormatting>
  <conditionalFormatting sqref="Q19:Q24">
    <cfRule type="cellIs" dxfId="25698" priority="1455" operator="lessThan">
      <formula>0</formula>
    </cfRule>
  </conditionalFormatting>
  <conditionalFormatting sqref="Q40">
    <cfRule type="cellIs" dxfId="25697" priority="1449" operator="lessThan">
      <formula>0</formula>
    </cfRule>
  </conditionalFormatting>
  <conditionalFormatting sqref="R40">
    <cfRule type="cellIs" dxfId="25696" priority="1447" operator="lessThan">
      <formula>0.8</formula>
    </cfRule>
    <cfRule type="cellIs" dxfId="25695" priority="1448" operator="greaterThan">
      <formula>1</formula>
    </cfRule>
  </conditionalFormatting>
  <conditionalFormatting sqref="R40">
    <cfRule type="cellIs" dxfId="25694" priority="1445" operator="greaterThan">
      <formula>1</formula>
    </cfRule>
    <cfRule type="cellIs" dxfId="25693" priority="1446" operator="lessThan">
      <formula>0.8</formula>
    </cfRule>
  </conditionalFormatting>
  <conditionalFormatting sqref="P40">
    <cfRule type="cellIs" dxfId="25692" priority="1444" operator="greaterThan">
      <formula>0</formula>
    </cfRule>
  </conditionalFormatting>
  <conditionalFormatting sqref="P40">
    <cfRule type="cellIs" dxfId="25691" priority="1438" operator="greaterThan">
      <formula>0</formula>
    </cfRule>
  </conditionalFormatting>
  <conditionalFormatting sqref="Q40">
    <cfRule type="cellIs" dxfId="25690" priority="1443" operator="lessThan">
      <formula>0</formula>
    </cfRule>
  </conditionalFormatting>
  <conditionalFormatting sqref="R40">
    <cfRule type="cellIs" dxfId="25689" priority="1441" operator="lessThan">
      <formula>0.8</formula>
    </cfRule>
    <cfRule type="cellIs" dxfId="25688" priority="1442" operator="greaterThan">
      <formula>1</formula>
    </cfRule>
  </conditionalFormatting>
  <conditionalFormatting sqref="R40">
    <cfRule type="cellIs" dxfId="25687" priority="1439" operator="greaterThan">
      <formula>1</formula>
    </cfRule>
    <cfRule type="cellIs" dxfId="25686" priority="1440" operator="lessThan">
      <formula>0.8</formula>
    </cfRule>
  </conditionalFormatting>
  <conditionalFormatting sqref="P40">
    <cfRule type="cellIs" dxfId="25685" priority="1432" operator="greaterThan">
      <formula>0</formula>
    </cfRule>
  </conditionalFormatting>
  <conditionalFormatting sqref="Q40">
    <cfRule type="cellIs" dxfId="25684" priority="1437" operator="lessThan">
      <formula>0</formula>
    </cfRule>
  </conditionalFormatting>
  <conditionalFormatting sqref="R40">
    <cfRule type="cellIs" dxfId="25683" priority="1435" operator="lessThan">
      <formula>0.8</formula>
    </cfRule>
    <cfRule type="cellIs" dxfId="25682" priority="1436" operator="greaterThan">
      <formula>1</formula>
    </cfRule>
  </conditionalFormatting>
  <conditionalFormatting sqref="R40">
    <cfRule type="cellIs" dxfId="25681" priority="1433" operator="greaterThan">
      <formula>1</formula>
    </cfRule>
    <cfRule type="cellIs" dxfId="25680" priority="1434" operator="lessThan">
      <formula>0.8</formula>
    </cfRule>
  </conditionalFormatting>
  <conditionalFormatting sqref="Q40">
    <cfRule type="cellIs" dxfId="25679" priority="1431" operator="lessThan">
      <formula>0</formula>
    </cfRule>
  </conditionalFormatting>
  <conditionalFormatting sqref="R40">
    <cfRule type="cellIs" dxfId="25678" priority="1429" operator="lessThan">
      <formula>0.8</formula>
    </cfRule>
    <cfRule type="cellIs" dxfId="25677" priority="1430" operator="greaterThan">
      <formula>1</formula>
    </cfRule>
  </conditionalFormatting>
  <conditionalFormatting sqref="R40">
    <cfRule type="cellIs" dxfId="25676" priority="1427" operator="greaterThan">
      <formula>1</formula>
    </cfRule>
    <cfRule type="cellIs" dxfId="25675" priority="1428" operator="lessThan">
      <formula>0.8</formula>
    </cfRule>
  </conditionalFormatting>
  <conditionalFormatting sqref="P40">
    <cfRule type="cellIs" dxfId="25674" priority="1426" operator="greaterThan">
      <formula>0</formula>
    </cfRule>
  </conditionalFormatting>
  <conditionalFormatting sqref="P40">
    <cfRule type="cellIs" dxfId="25673" priority="1420" operator="greaterThan">
      <formula>0</formula>
    </cfRule>
  </conditionalFormatting>
  <conditionalFormatting sqref="Q40">
    <cfRule type="cellIs" dxfId="25672" priority="1425" operator="lessThan">
      <formula>0</formula>
    </cfRule>
  </conditionalFormatting>
  <conditionalFormatting sqref="R40">
    <cfRule type="cellIs" dxfId="25671" priority="1423" operator="lessThan">
      <formula>0.8</formula>
    </cfRule>
    <cfRule type="cellIs" dxfId="25670" priority="1424" operator="greaterThan">
      <formula>1</formula>
    </cfRule>
  </conditionalFormatting>
  <conditionalFormatting sqref="R40">
    <cfRule type="cellIs" dxfId="25669" priority="1421" operator="greaterThan">
      <formula>1</formula>
    </cfRule>
    <cfRule type="cellIs" dxfId="25668" priority="1422" operator="lessThan">
      <formula>0.8</formula>
    </cfRule>
  </conditionalFormatting>
  <conditionalFormatting sqref="P40">
    <cfRule type="cellIs" dxfId="25667" priority="1414" operator="greaterThan">
      <formula>0</formula>
    </cfRule>
  </conditionalFormatting>
  <conditionalFormatting sqref="Q40">
    <cfRule type="cellIs" dxfId="25666" priority="1419" operator="lessThan">
      <formula>0</formula>
    </cfRule>
  </conditionalFormatting>
  <conditionalFormatting sqref="R40">
    <cfRule type="cellIs" dxfId="25665" priority="1417" operator="lessThan">
      <formula>0.8</formula>
    </cfRule>
    <cfRule type="cellIs" dxfId="25664" priority="1418" operator="greaterThan">
      <formula>1</formula>
    </cfRule>
  </conditionalFormatting>
  <conditionalFormatting sqref="R40">
    <cfRule type="cellIs" dxfId="25663" priority="1415" operator="greaterThan">
      <formula>1</formula>
    </cfRule>
    <cfRule type="cellIs" dxfId="25662" priority="1416" operator="lessThan">
      <formula>0.8</formula>
    </cfRule>
  </conditionalFormatting>
  <conditionalFormatting sqref="P40">
    <cfRule type="cellIs" dxfId="25661" priority="1408" operator="greaterThan">
      <formula>0</formula>
    </cfRule>
  </conditionalFormatting>
  <conditionalFormatting sqref="Q40">
    <cfRule type="cellIs" dxfId="25660" priority="1413" operator="lessThan">
      <formula>0</formula>
    </cfRule>
  </conditionalFormatting>
  <conditionalFormatting sqref="R40">
    <cfRule type="cellIs" dxfId="25659" priority="1411" operator="lessThan">
      <formula>0.8</formula>
    </cfRule>
    <cfRule type="cellIs" dxfId="25658" priority="1412" operator="greaterThan">
      <formula>1</formula>
    </cfRule>
  </conditionalFormatting>
  <conditionalFormatting sqref="R40">
    <cfRule type="cellIs" dxfId="25657" priority="1409" operator="greaterThan">
      <formula>1</formula>
    </cfRule>
    <cfRule type="cellIs" dxfId="25656" priority="1410" operator="lessThan">
      <formula>0.8</formula>
    </cfRule>
  </conditionalFormatting>
  <conditionalFormatting sqref="Q40">
    <cfRule type="cellIs" dxfId="25655" priority="1402" operator="lessThan">
      <formula>0</formula>
    </cfRule>
  </conditionalFormatting>
  <conditionalFormatting sqref="P40">
    <cfRule type="cellIs" dxfId="25654" priority="1403" operator="greaterThan">
      <formula>0</formula>
    </cfRule>
  </conditionalFormatting>
  <conditionalFormatting sqref="R40">
    <cfRule type="cellIs" dxfId="25653" priority="1406" operator="lessThan">
      <formula>0.8</formula>
    </cfRule>
    <cfRule type="cellIs" dxfId="25652" priority="1407" operator="greaterThan">
      <formula>1</formula>
    </cfRule>
  </conditionalFormatting>
  <conditionalFormatting sqref="R40">
    <cfRule type="cellIs" dxfId="25651" priority="1404" operator="greaterThan">
      <formula>1</formula>
    </cfRule>
    <cfRule type="cellIs" dxfId="25650" priority="1405" operator="lessThan">
      <formula>0.8</formula>
    </cfRule>
  </conditionalFormatting>
  <conditionalFormatting sqref="Q40">
    <cfRule type="cellIs" dxfId="25649" priority="1396" operator="lessThan">
      <formula>0</formula>
    </cfRule>
  </conditionalFormatting>
  <conditionalFormatting sqref="R40">
    <cfRule type="cellIs" dxfId="25648" priority="1400" operator="lessThan">
      <formula>0.8</formula>
    </cfRule>
    <cfRule type="cellIs" dxfId="25647" priority="1401" operator="greaterThan">
      <formula>1</formula>
    </cfRule>
  </conditionalFormatting>
  <conditionalFormatting sqref="R40">
    <cfRule type="cellIs" dxfId="25646" priority="1398" operator="greaterThan">
      <formula>1</formula>
    </cfRule>
    <cfRule type="cellIs" dxfId="25645" priority="1399" operator="lessThan">
      <formula>0.8</formula>
    </cfRule>
  </conditionalFormatting>
  <conditionalFormatting sqref="P40">
    <cfRule type="cellIs" dxfId="25644" priority="1397" operator="greaterThan">
      <formula>0</formula>
    </cfRule>
  </conditionalFormatting>
  <conditionalFormatting sqref="Q40">
    <cfRule type="cellIs" dxfId="25643" priority="1395" operator="lessThan">
      <formula>0</formula>
    </cfRule>
  </conditionalFormatting>
  <conditionalFormatting sqref="R40">
    <cfRule type="cellIs" dxfId="25642" priority="1393" operator="lessThan">
      <formula>0.8</formula>
    </cfRule>
    <cfRule type="cellIs" dxfId="25641" priority="1394" operator="greaterThan">
      <formula>1</formula>
    </cfRule>
  </conditionalFormatting>
  <conditionalFormatting sqref="R40">
    <cfRule type="cellIs" dxfId="25640" priority="1391" operator="greaterThan">
      <formula>1</formula>
    </cfRule>
    <cfRule type="cellIs" dxfId="25639" priority="1392" operator="lessThan">
      <formula>0.8</formula>
    </cfRule>
  </conditionalFormatting>
  <conditionalFormatting sqref="P40">
    <cfRule type="cellIs" dxfId="25638" priority="1390" operator="greaterThan">
      <formula>0</formula>
    </cfRule>
  </conditionalFormatting>
  <conditionalFormatting sqref="Q40">
    <cfRule type="cellIs" dxfId="25637" priority="1389" operator="lessThan">
      <formula>0</formula>
    </cfRule>
  </conditionalFormatting>
  <conditionalFormatting sqref="R40">
    <cfRule type="cellIs" dxfId="25636" priority="1387" operator="lessThan">
      <formula>0.8</formula>
    </cfRule>
    <cfRule type="cellIs" dxfId="25635" priority="1388" operator="greaterThan">
      <formula>1</formula>
    </cfRule>
  </conditionalFormatting>
  <conditionalFormatting sqref="R40">
    <cfRule type="cellIs" dxfId="25634" priority="1385" operator="greaterThan">
      <formula>1</formula>
    </cfRule>
    <cfRule type="cellIs" dxfId="25633" priority="1386" operator="lessThan">
      <formula>0.8</formula>
    </cfRule>
  </conditionalFormatting>
  <conditionalFormatting sqref="P40">
    <cfRule type="cellIs" dxfId="25632" priority="1384" operator="greaterThan">
      <formula>0</formula>
    </cfRule>
  </conditionalFormatting>
  <conditionalFormatting sqref="Q32:Q39">
    <cfRule type="cellIs" dxfId="25631" priority="1383" operator="lessThan">
      <formula>0</formula>
    </cfRule>
  </conditionalFormatting>
  <conditionalFormatting sqref="R32:R39">
    <cfRule type="cellIs" dxfId="25630" priority="1381" operator="lessThan">
      <formula>0.8</formula>
    </cfRule>
    <cfRule type="cellIs" dxfId="25629" priority="1382" operator="greaterThan">
      <formula>1</formula>
    </cfRule>
  </conditionalFormatting>
  <conditionalFormatting sqref="R32:R39">
    <cfRule type="cellIs" dxfId="25628" priority="1379" operator="greaterThan">
      <formula>1</formula>
    </cfRule>
    <cfRule type="cellIs" dxfId="25627" priority="1380" operator="lessThan">
      <formula>0.8</formula>
    </cfRule>
  </conditionalFormatting>
  <conditionalFormatting sqref="P32:P39">
    <cfRule type="cellIs" dxfId="25626" priority="1378" operator="greaterThan">
      <formula>0</formula>
    </cfRule>
  </conditionalFormatting>
  <conditionalFormatting sqref="Q32:Q39">
    <cfRule type="cellIs" dxfId="25625" priority="1377" operator="lessThan">
      <formula>0</formula>
    </cfRule>
  </conditionalFormatting>
  <conditionalFormatting sqref="R32:R39">
    <cfRule type="cellIs" dxfId="25624" priority="1375" operator="lessThan">
      <formula>0.8</formula>
    </cfRule>
    <cfRule type="cellIs" dxfId="25623" priority="1376" operator="greaterThan">
      <formula>1</formula>
    </cfRule>
  </conditionalFormatting>
  <conditionalFormatting sqref="R32:R39">
    <cfRule type="cellIs" dxfId="25622" priority="1373" operator="greaterThan">
      <formula>1</formula>
    </cfRule>
    <cfRule type="cellIs" dxfId="25621" priority="1374" operator="lessThan">
      <formula>0.8</formula>
    </cfRule>
  </conditionalFormatting>
  <conditionalFormatting sqref="P32:P39">
    <cfRule type="cellIs" dxfId="25620" priority="1372" operator="greaterThan">
      <formula>0</formula>
    </cfRule>
  </conditionalFormatting>
  <conditionalFormatting sqref="Q32:Q39">
    <cfRule type="cellIs" dxfId="25619" priority="1371" operator="lessThan">
      <formula>0</formula>
    </cfRule>
  </conditionalFormatting>
  <conditionalFormatting sqref="R32:R39">
    <cfRule type="cellIs" dxfId="25618" priority="1369" operator="lessThan">
      <formula>0.8</formula>
    </cfRule>
    <cfRule type="cellIs" dxfId="25617" priority="1370" operator="greaterThan">
      <formula>1</formula>
    </cfRule>
  </conditionalFormatting>
  <conditionalFormatting sqref="R32:R39">
    <cfRule type="cellIs" dxfId="25616" priority="1367" operator="greaterThan">
      <formula>1</formula>
    </cfRule>
    <cfRule type="cellIs" dxfId="25615" priority="1368" operator="lessThan">
      <formula>0.8</formula>
    </cfRule>
  </conditionalFormatting>
  <conditionalFormatting sqref="P32:P39">
    <cfRule type="cellIs" dxfId="25614" priority="1366" operator="greaterThan">
      <formula>0</formula>
    </cfRule>
  </conditionalFormatting>
  <conditionalFormatting sqref="Q32:Q39">
    <cfRule type="cellIs" dxfId="25613" priority="1365" operator="lessThan">
      <formula>0</formula>
    </cfRule>
  </conditionalFormatting>
  <conditionalFormatting sqref="R32:R39">
    <cfRule type="cellIs" dxfId="25612" priority="1363" operator="lessThan">
      <formula>0.8</formula>
    </cfRule>
    <cfRule type="cellIs" dxfId="25611" priority="1364" operator="greaterThan">
      <formula>1</formula>
    </cfRule>
  </conditionalFormatting>
  <conditionalFormatting sqref="R32:R39">
    <cfRule type="cellIs" dxfId="25610" priority="1361" operator="greaterThan">
      <formula>1</formula>
    </cfRule>
    <cfRule type="cellIs" dxfId="25609" priority="1362" operator="lessThan">
      <formula>0.8</formula>
    </cfRule>
  </conditionalFormatting>
  <conditionalFormatting sqref="P32:P39">
    <cfRule type="cellIs" dxfId="25608" priority="1360" operator="greaterThan">
      <formula>0</formula>
    </cfRule>
  </conditionalFormatting>
  <conditionalFormatting sqref="P32:P39">
    <cfRule type="cellIs" dxfId="25607" priority="1354" operator="greaterThan">
      <formula>0</formula>
    </cfRule>
  </conditionalFormatting>
  <conditionalFormatting sqref="Q32:Q39">
    <cfRule type="cellIs" dxfId="25606" priority="1359" operator="lessThan">
      <formula>0</formula>
    </cfRule>
  </conditionalFormatting>
  <conditionalFormatting sqref="R32:R39">
    <cfRule type="cellIs" dxfId="25605" priority="1357" operator="lessThan">
      <formula>0.8</formula>
    </cfRule>
    <cfRule type="cellIs" dxfId="25604" priority="1358" operator="greaterThan">
      <formula>1</formula>
    </cfRule>
  </conditionalFormatting>
  <conditionalFormatting sqref="R32:R39">
    <cfRule type="cellIs" dxfId="25603" priority="1355" operator="greaterThan">
      <formula>1</formula>
    </cfRule>
    <cfRule type="cellIs" dxfId="25602" priority="1356" operator="lessThan">
      <formula>0.8</formula>
    </cfRule>
  </conditionalFormatting>
  <conditionalFormatting sqref="P32:P39">
    <cfRule type="cellIs" dxfId="25601" priority="1348" operator="greaterThan">
      <formula>0</formula>
    </cfRule>
  </conditionalFormatting>
  <conditionalFormatting sqref="Q32:Q39">
    <cfRule type="cellIs" dxfId="25600" priority="1353" operator="lessThan">
      <formula>0</formula>
    </cfRule>
  </conditionalFormatting>
  <conditionalFormatting sqref="R32:R39">
    <cfRule type="cellIs" dxfId="25599" priority="1351" operator="lessThan">
      <formula>0.8</formula>
    </cfRule>
    <cfRule type="cellIs" dxfId="25598" priority="1352" operator="greaterThan">
      <formula>1</formula>
    </cfRule>
  </conditionalFormatting>
  <conditionalFormatting sqref="R32:R39">
    <cfRule type="cellIs" dxfId="25597" priority="1349" operator="greaterThan">
      <formula>1</formula>
    </cfRule>
    <cfRule type="cellIs" dxfId="25596" priority="1350" operator="lessThan">
      <formula>0.8</formula>
    </cfRule>
  </conditionalFormatting>
  <conditionalFormatting sqref="R32:R39">
    <cfRule type="cellIs" dxfId="25595" priority="1345" operator="lessThan">
      <formula>0.8</formula>
    </cfRule>
    <cfRule type="cellIs" dxfId="25594" priority="1346" operator="greaterThan">
      <formula>1</formula>
    </cfRule>
  </conditionalFormatting>
  <conditionalFormatting sqref="R32:R39">
    <cfRule type="cellIs" dxfId="25593" priority="1343" operator="greaterThan">
      <formula>1</formula>
    </cfRule>
    <cfRule type="cellIs" dxfId="25592" priority="1344" operator="lessThan">
      <formula>0.8</formula>
    </cfRule>
  </conditionalFormatting>
  <conditionalFormatting sqref="P32:P39">
    <cfRule type="cellIs" dxfId="25591" priority="1342" operator="greaterThan">
      <formula>0</formula>
    </cfRule>
  </conditionalFormatting>
  <conditionalFormatting sqref="Q32:Q39">
    <cfRule type="cellIs" dxfId="25590" priority="1347" operator="lessThan">
      <formula>0</formula>
    </cfRule>
  </conditionalFormatting>
  <conditionalFormatting sqref="Q32:Q39">
    <cfRule type="cellIs" dxfId="25589" priority="1341" operator="lessThan">
      <formula>0</formula>
    </cfRule>
  </conditionalFormatting>
  <conditionalFormatting sqref="R32:R39">
    <cfRule type="cellIs" dxfId="25588" priority="1339" operator="lessThan">
      <formula>0.8</formula>
    </cfRule>
    <cfRule type="cellIs" dxfId="25587" priority="1340" operator="greaterThan">
      <formula>1</formula>
    </cfRule>
  </conditionalFormatting>
  <conditionalFormatting sqref="R32:R39">
    <cfRule type="cellIs" dxfId="25586" priority="1337" operator="greaterThan">
      <formula>1</formula>
    </cfRule>
    <cfRule type="cellIs" dxfId="25585" priority="1338" operator="lessThan">
      <formula>0.8</formula>
    </cfRule>
  </conditionalFormatting>
  <conditionalFormatting sqref="P32:P39">
    <cfRule type="cellIs" dxfId="25584" priority="1336" operator="greaterThan">
      <formula>0</formula>
    </cfRule>
  </conditionalFormatting>
  <conditionalFormatting sqref="P32:P39">
    <cfRule type="cellIs" dxfId="25583" priority="1330" operator="greaterThan">
      <formula>0</formula>
    </cfRule>
  </conditionalFormatting>
  <conditionalFormatting sqref="Q32:Q39">
    <cfRule type="cellIs" dxfId="25582" priority="1335" operator="lessThan">
      <formula>0</formula>
    </cfRule>
  </conditionalFormatting>
  <conditionalFormatting sqref="R32:R39">
    <cfRule type="cellIs" dxfId="25581" priority="1333" operator="lessThan">
      <formula>0.8</formula>
    </cfRule>
    <cfRule type="cellIs" dxfId="25580" priority="1334" operator="greaterThan">
      <formula>1</formula>
    </cfRule>
  </conditionalFormatting>
  <conditionalFormatting sqref="R32:R39">
    <cfRule type="cellIs" dxfId="25579" priority="1331" operator="greaterThan">
      <formula>1</formula>
    </cfRule>
    <cfRule type="cellIs" dxfId="25578" priority="1332" operator="lessThan">
      <formula>0.8</formula>
    </cfRule>
  </conditionalFormatting>
  <conditionalFormatting sqref="P32:P39">
    <cfRule type="cellIs" dxfId="25577" priority="1324" operator="greaterThan">
      <formula>0</formula>
    </cfRule>
  </conditionalFormatting>
  <conditionalFormatting sqref="Q32:Q39">
    <cfRule type="cellIs" dxfId="25576" priority="1329" operator="lessThan">
      <formula>0</formula>
    </cfRule>
  </conditionalFormatting>
  <conditionalFormatting sqref="R32:R39">
    <cfRule type="cellIs" dxfId="25575" priority="1327" operator="lessThan">
      <formula>0.8</formula>
    </cfRule>
    <cfRule type="cellIs" dxfId="25574" priority="1328" operator="greaterThan">
      <formula>1</formula>
    </cfRule>
  </conditionalFormatting>
  <conditionalFormatting sqref="R32:R39">
    <cfRule type="cellIs" dxfId="25573" priority="1325" operator="greaterThan">
      <formula>1</formula>
    </cfRule>
    <cfRule type="cellIs" dxfId="25572" priority="1326" operator="lessThan">
      <formula>0.8</formula>
    </cfRule>
  </conditionalFormatting>
  <conditionalFormatting sqref="R32:R39">
    <cfRule type="cellIs" dxfId="25571" priority="1321" operator="lessThan">
      <formula>0.8</formula>
    </cfRule>
    <cfRule type="cellIs" dxfId="25570" priority="1322" operator="greaterThan">
      <formula>1</formula>
    </cfRule>
  </conditionalFormatting>
  <conditionalFormatting sqref="R32:R39">
    <cfRule type="cellIs" dxfId="25569" priority="1319" operator="greaterThan">
      <formula>1</formula>
    </cfRule>
    <cfRule type="cellIs" dxfId="25568" priority="1320" operator="lessThan">
      <formula>0.8</formula>
    </cfRule>
  </conditionalFormatting>
  <conditionalFormatting sqref="P32:P39">
    <cfRule type="cellIs" dxfId="25567" priority="1318" operator="greaterThan">
      <formula>0</formula>
    </cfRule>
  </conditionalFormatting>
  <conditionalFormatting sqref="Q32:Q39">
    <cfRule type="cellIs" dxfId="25566" priority="1323" operator="lessThan">
      <formula>0</formula>
    </cfRule>
  </conditionalFormatting>
  <conditionalFormatting sqref="P32:P39">
    <cfRule type="cellIs" dxfId="25565" priority="1312" operator="greaterThan">
      <formula>0</formula>
    </cfRule>
  </conditionalFormatting>
  <conditionalFormatting sqref="Q32:Q39">
    <cfRule type="cellIs" dxfId="25564" priority="1317" operator="lessThan">
      <formula>0</formula>
    </cfRule>
  </conditionalFormatting>
  <conditionalFormatting sqref="R32:R39">
    <cfRule type="cellIs" dxfId="25563" priority="1315" operator="lessThan">
      <formula>0.8</formula>
    </cfRule>
    <cfRule type="cellIs" dxfId="25562" priority="1316" operator="greaterThan">
      <formula>1</formula>
    </cfRule>
  </conditionalFormatting>
  <conditionalFormatting sqref="R32:R39">
    <cfRule type="cellIs" dxfId="25561" priority="1313" operator="greaterThan">
      <formula>1</formula>
    </cfRule>
    <cfRule type="cellIs" dxfId="25560" priority="1314" operator="lessThan">
      <formula>0.8</formula>
    </cfRule>
  </conditionalFormatting>
  <conditionalFormatting sqref="R32:R39">
    <cfRule type="cellIs" dxfId="25559" priority="1309" operator="lessThan">
      <formula>0.8</formula>
    </cfRule>
    <cfRule type="cellIs" dxfId="25558" priority="1310" operator="greaterThan">
      <formula>1</formula>
    </cfRule>
  </conditionalFormatting>
  <conditionalFormatting sqref="R32:R39">
    <cfRule type="cellIs" dxfId="25557" priority="1307" operator="greaterThan">
      <formula>1</formula>
    </cfRule>
    <cfRule type="cellIs" dxfId="25556" priority="1308" operator="lessThan">
      <formula>0.8</formula>
    </cfRule>
  </conditionalFormatting>
  <conditionalFormatting sqref="P32:P39">
    <cfRule type="cellIs" dxfId="25555" priority="1306" operator="greaterThan">
      <formula>0</formula>
    </cfRule>
  </conditionalFormatting>
  <conditionalFormatting sqref="Q32:Q39">
    <cfRule type="cellIs" dxfId="25554" priority="1311" operator="lessThan">
      <formula>0</formula>
    </cfRule>
  </conditionalFormatting>
  <conditionalFormatting sqref="R32:R39">
    <cfRule type="cellIs" dxfId="25553" priority="1303" operator="lessThan">
      <formula>0.8</formula>
    </cfRule>
    <cfRule type="cellIs" dxfId="25552" priority="1304" operator="greaterThan">
      <formula>1</formula>
    </cfRule>
  </conditionalFormatting>
  <conditionalFormatting sqref="R32:R39">
    <cfRule type="cellIs" dxfId="25551" priority="1301" operator="greaterThan">
      <formula>1</formula>
    </cfRule>
    <cfRule type="cellIs" dxfId="25550" priority="1302" operator="lessThan">
      <formula>0.8</formula>
    </cfRule>
  </conditionalFormatting>
  <conditionalFormatting sqref="P32:P39">
    <cfRule type="cellIs" dxfId="25549" priority="1300" operator="greaterThan">
      <formula>0</formula>
    </cfRule>
  </conditionalFormatting>
  <conditionalFormatting sqref="Q32:Q39">
    <cfRule type="cellIs" dxfId="25548" priority="1305" operator="lessThan">
      <formula>0</formula>
    </cfRule>
  </conditionalFormatting>
  <conditionalFormatting sqref="Q32:Q39">
    <cfRule type="cellIs" dxfId="25547" priority="1299" operator="lessThan">
      <formula>0</formula>
    </cfRule>
  </conditionalFormatting>
  <conditionalFormatting sqref="R32:R39">
    <cfRule type="cellIs" dxfId="25546" priority="1297" operator="lessThan">
      <formula>0.8</formula>
    </cfRule>
    <cfRule type="cellIs" dxfId="25545" priority="1298" operator="greaterThan">
      <formula>1</formula>
    </cfRule>
  </conditionalFormatting>
  <conditionalFormatting sqref="R32:R39">
    <cfRule type="cellIs" dxfId="25544" priority="1295" operator="greaterThan">
      <formula>1</formula>
    </cfRule>
    <cfRule type="cellIs" dxfId="25543" priority="1296" operator="lessThan">
      <formula>0.8</formula>
    </cfRule>
  </conditionalFormatting>
  <conditionalFormatting sqref="P32:P39">
    <cfRule type="cellIs" dxfId="25542" priority="1294" operator="greaterThan">
      <formula>0</formula>
    </cfRule>
  </conditionalFormatting>
  <conditionalFormatting sqref="Q32:Q39">
    <cfRule type="cellIs" dxfId="25541" priority="1288" operator="lessThan">
      <formula>0</formula>
    </cfRule>
  </conditionalFormatting>
  <conditionalFormatting sqref="R32:R39">
    <cfRule type="cellIs" dxfId="25540" priority="1292" operator="lessThan">
      <formula>0.8</formula>
    </cfRule>
    <cfRule type="cellIs" dxfId="25539" priority="1293" operator="greaterThan">
      <formula>1</formula>
    </cfRule>
  </conditionalFormatting>
  <conditionalFormatting sqref="R32:R39">
    <cfRule type="cellIs" dxfId="25538" priority="1290" operator="greaterThan">
      <formula>1</formula>
    </cfRule>
    <cfRule type="cellIs" dxfId="25537" priority="1291" operator="lessThan">
      <formula>0.8</formula>
    </cfRule>
  </conditionalFormatting>
  <conditionalFormatting sqref="P32:P39">
    <cfRule type="cellIs" dxfId="25536" priority="1289" operator="greaterThan">
      <formula>0</formula>
    </cfRule>
  </conditionalFormatting>
  <conditionalFormatting sqref="Q32:Q39">
    <cfRule type="cellIs" dxfId="25535" priority="1287" operator="lessThan">
      <formula>0</formula>
    </cfRule>
  </conditionalFormatting>
  <conditionalFormatting sqref="R32:R39">
    <cfRule type="cellIs" dxfId="25534" priority="1285" operator="lessThan">
      <formula>0.8</formula>
    </cfRule>
    <cfRule type="cellIs" dxfId="25533" priority="1286" operator="greaterThan">
      <formula>1</formula>
    </cfRule>
  </conditionalFormatting>
  <conditionalFormatting sqref="R32:R39">
    <cfRule type="cellIs" dxfId="25532" priority="1283" operator="greaterThan">
      <formula>1</formula>
    </cfRule>
    <cfRule type="cellIs" dxfId="25531" priority="1284" operator="lessThan">
      <formula>0.8</formula>
    </cfRule>
  </conditionalFormatting>
  <conditionalFormatting sqref="P32:P39">
    <cfRule type="cellIs" dxfId="25530" priority="1282" operator="greaterThan">
      <formula>0</formula>
    </cfRule>
  </conditionalFormatting>
  <conditionalFormatting sqref="Q32:Q39">
    <cfRule type="cellIs" dxfId="25529" priority="1281" operator="lessThan">
      <formula>0</formula>
    </cfRule>
  </conditionalFormatting>
  <conditionalFormatting sqref="R32:R39">
    <cfRule type="cellIs" dxfId="25528" priority="1279" operator="lessThan">
      <formula>0.8</formula>
    </cfRule>
    <cfRule type="cellIs" dxfId="25527" priority="1280" operator="greaterThan">
      <formula>1</formula>
    </cfRule>
  </conditionalFormatting>
  <conditionalFormatting sqref="R32:R39">
    <cfRule type="cellIs" dxfId="25526" priority="1277" operator="greaterThan">
      <formula>1</formula>
    </cfRule>
    <cfRule type="cellIs" dxfId="25525" priority="1278" operator="lessThan">
      <formula>0.8</formula>
    </cfRule>
  </conditionalFormatting>
  <conditionalFormatting sqref="P32:P39">
    <cfRule type="cellIs" dxfId="25524" priority="1276" operator="greaterThan">
      <formula>0</formula>
    </cfRule>
  </conditionalFormatting>
  <conditionalFormatting sqref="Q32:Q39">
    <cfRule type="cellIs" dxfId="25523" priority="1275" operator="lessThan">
      <formula>0</formula>
    </cfRule>
  </conditionalFormatting>
  <conditionalFormatting sqref="R32:R39">
    <cfRule type="cellIs" dxfId="25522" priority="1273" operator="lessThan">
      <formula>0.8</formula>
    </cfRule>
    <cfRule type="cellIs" dxfId="25521" priority="1274" operator="greaterThan">
      <formula>1</formula>
    </cfRule>
  </conditionalFormatting>
  <conditionalFormatting sqref="R32:R39">
    <cfRule type="cellIs" dxfId="25520" priority="1271" operator="greaterThan">
      <formula>1</formula>
    </cfRule>
    <cfRule type="cellIs" dxfId="25519" priority="1272" operator="lessThan">
      <formula>0.8</formula>
    </cfRule>
  </conditionalFormatting>
  <conditionalFormatting sqref="P32:P39">
    <cfRule type="cellIs" dxfId="25518" priority="1270" operator="greaterThan">
      <formula>0</formula>
    </cfRule>
  </conditionalFormatting>
  <conditionalFormatting sqref="Q32:Q39">
    <cfRule type="cellIs" dxfId="25517" priority="1269" operator="lessThan">
      <formula>0</formula>
    </cfRule>
  </conditionalFormatting>
  <conditionalFormatting sqref="R32:R39">
    <cfRule type="cellIs" dxfId="25516" priority="1267" operator="lessThan">
      <formula>0.8</formula>
    </cfRule>
    <cfRule type="cellIs" dxfId="25515" priority="1268" operator="greaterThan">
      <formula>1</formula>
    </cfRule>
  </conditionalFormatting>
  <conditionalFormatting sqref="R32:R39">
    <cfRule type="cellIs" dxfId="25514" priority="1265" operator="greaterThan">
      <formula>1</formula>
    </cfRule>
    <cfRule type="cellIs" dxfId="25513" priority="1266" operator="lessThan">
      <formula>0.8</formula>
    </cfRule>
  </conditionalFormatting>
  <conditionalFormatting sqref="P32:P39">
    <cfRule type="cellIs" dxfId="25512" priority="1264" operator="greaterThan">
      <formula>0</formula>
    </cfRule>
  </conditionalFormatting>
  <conditionalFormatting sqref="Q32:Q39">
    <cfRule type="cellIs" dxfId="25511" priority="1263" operator="lessThan">
      <formula>0</formula>
    </cfRule>
  </conditionalFormatting>
  <conditionalFormatting sqref="R32:R39">
    <cfRule type="cellIs" dxfId="25510" priority="1261" operator="lessThan">
      <formula>0.8</formula>
    </cfRule>
    <cfRule type="cellIs" dxfId="25509" priority="1262" operator="greaterThan">
      <formula>1</formula>
    </cfRule>
  </conditionalFormatting>
  <conditionalFormatting sqref="R32:R39">
    <cfRule type="cellIs" dxfId="25508" priority="1259" operator="greaterThan">
      <formula>1</formula>
    </cfRule>
    <cfRule type="cellIs" dxfId="25507" priority="1260" operator="lessThan">
      <formula>0.8</formula>
    </cfRule>
  </conditionalFormatting>
  <conditionalFormatting sqref="P32:P39">
    <cfRule type="cellIs" dxfId="25506" priority="1258" operator="greaterThan">
      <formula>0</formula>
    </cfRule>
  </conditionalFormatting>
  <conditionalFormatting sqref="P32:P39">
    <cfRule type="cellIs" dxfId="25505" priority="1252" operator="greaterThan">
      <formula>0</formula>
    </cfRule>
  </conditionalFormatting>
  <conditionalFormatting sqref="Q32:Q39">
    <cfRule type="cellIs" dxfId="25504" priority="1257" operator="lessThan">
      <formula>0</formula>
    </cfRule>
  </conditionalFormatting>
  <conditionalFormatting sqref="R32:R39">
    <cfRule type="cellIs" dxfId="25503" priority="1255" operator="lessThan">
      <formula>0.8</formula>
    </cfRule>
    <cfRule type="cellIs" dxfId="25502" priority="1256" operator="greaterThan">
      <formula>1</formula>
    </cfRule>
  </conditionalFormatting>
  <conditionalFormatting sqref="R32:R39">
    <cfRule type="cellIs" dxfId="25501" priority="1253" operator="greaterThan">
      <formula>1</formula>
    </cfRule>
    <cfRule type="cellIs" dxfId="25500" priority="1254" operator="lessThan">
      <formula>0.8</formula>
    </cfRule>
  </conditionalFormatting>
  <conditionalFormatting sqref="P32:P39">
    <cfRule type="cellIs" dxfId="25499" priority="1246" operator="greaterThan">
      <formula>0</formula>
    </cfRule>
  </conditionalFormatting>
  <conditionalFormatting sqref="Q32:Q39">
    <cfRule type="cellIs" dxfId="25498" priority="1251" operator="lessThan">
      <formula>0</formula>
    </cfRule>
  </conditionalFormatting>
  <conditionalFormatting sqref="R32:R39">
    <cfRule type="cellIs" dxfId="25497" priority="1249" operator="lessThan">
      <formula>0.8</formula>
    </cfRule>
    <cfRule type="cellIs" dxfId="25496" priority="1250" operator="greaterThan">
      <formula>1</formula>
    </cfRule>
  </conditionalFormatting>
  <conditionalFormatting sqref="R32:R39">
    <cfRule type="cellIs" dxfId="25495" priority="1247" operator="greaterThan">
      <formula>1</formula>
    </cfRule>
    <cfRule type="cellIs" dxfId="25494" priority="1248" operator="lessThan">
      <formula>0.8</formula>
    </cfRule>
  </conditionalFormatting>
  <conditionalFormatting sqref="R32:R39">
    <cfRule type="cellIs" dxfId="25493" priority="1243" operator="lessThan">
      <formula>0.8</formula>
    </cfRule>
    <cfRule type="cellIs" dxfId="25492" priority="1244" operator="greaterThan">
      <formula>1</formula>
    </cfRule>
  </conditionalFormatting>
  <conditionalFormatting sqref="R32:R39">
    <cfRule type="cellIs" dxfId="25491" priority="1241" operator="greaterThan">
      <formula>1</formula>
    </cfRule>
    <cfRule type="cellIs" dxfId="25490" priority="1242" operator="lessThan">
      <formula>0.8</formula>
    </cfRule>
  </conditionalFormatting>
  <conditionalFormatting sqref="P32:P39">
    <cfRule type="cellIs" dxfId="25489" priority="1240" operator="greaterThan">
      <formula>0</formula>
    </cfRule>
  </conditionalFormatting>
  <conditionalFormatting sqref="Q32:Q39">
    <cfRule type="cellIs" dxfId="25488" priority="1245" operator="lessThan">
      <formula>0</formula>
    </cfRule>
  </conditionalFormatting>
  <conditionalFormatting sqref="Q32:Q39">
    <cfRule type="cellIs" dxfId="25487" priority="1234" operator="lessThan">
      <formula>0</formula>
    </cfRule>
  </conditionalFormatting>
  <conditionalFormatting sqref="P32:P39">
    <cfRule type="cellIs" dxfId="25486" priority="1235" operator="greaterThan">
      <formula>0</formula>
    </cfRule>
  </conditionalFormatting>
  <conditionalFormatting sqref="R32:R39">
    <cfRule type="cellIs" dxfId="25485" priority="1238" operator="lessThan">
      <formula>0.8</formula>
    </cfRule>
    <cfRule type="cellIs" dxfId="25484" priority="1239" operator="greaterThan">
      <formula>1</formula>
    </cfRule>
  </conditionalFormatting>
  <conditionalFormatting sqref="R32:R39">
    <cfRule type="cellIs" dxfId="25483" priority="1236" operator="greaterThan">
      <formula>1</formula>
    </cfRule>
    <cfRule type="cellIs" dxfId="25482" priority="1237" operator="lessThan">
      <formula>0.8</formula>
    </cfRule>
  </conditionalFormatting>
  <conditionalFormatting sqref="Q32:Q39">
    <cfRule type="cellIs" dxfId="25481" priority="1228" operator="lessThan">
      <formula>0</formula>
    </cfRule>
  </conditionalFormatting>
  <conditionalFormatting sqref="R32:R39">
    <cfRule type="cellIs" dxfId="25480" priority="1232" operator="lessThan">
      <formula>0.8</formula>
    </cfRule>
    <cfRule type="cellIs" dxfId="25479" priority="1233" operator="greaterThan">
      <formula>1</formula>
    </cfRule>
  </conditionalFormatting>
  <conditionalFormatting sqref="R32:R39">
    <cfRule type="cellIs" dxfId="25478" priority="1230" operator="greaterThan">
      <formula>1</formula>
    </cfRule>
    <cfRule type="cellIs" dxfId="25477" priority="1231" operator="lessThan">
      <formula>0.8</formula>
    </cfRule>
  </conditionalFormatting>
  <conditionalFormatting sqref="P32:P39">
    <cfRule type="cellIs" dxfId="25476" priority="1229" operator="greaterThan">
      <formula>0</formula>
    </cfRule>
  </conditionalFormatting>
  <conditionalFormatting sqref="Q32:Q39">
    <cfRule type="cellIs" dxfId="25475" priority="1227" operator="lessThan">
      <formula>0</formula>
    </cfRule>
  </conditionalFormatting>
  <conditionalFormatting sqref="R32:R39">
    <cfRule type="cellIs" dxfId="25474" priority="1225" operator="lessThan">
      <formula>0.8</formula>
    </cfRule>
    <cfRule type="cellIs" dxfId="25473" priority="1226" operator="greaterThan">
      <formula>1</formula>
    </cfRule>
  </conditionalFormatting>
  <conditionalFormatting sqref="R32:R39">
    <cfRule type="cellIs" dxfId="25472" priority="1223" operator="greaterThan">
      <formula>1</formula>
    </cfRule>
    <cfRule type="cellIs" dxfId="25471" priority="1224" operator="lessThan">
      <formula>0.8</formula>
    </cfRule>
  </conditionalFormatting>
  <conditionalFormatting sqref="P32:P39">
    <cfRule type="cellIs" dxfId="25470" priority="1222" operator="greaterThan">
      <formula>0</formula>
    </cfRule>
  </conditionalFormatting>
  <conditionalFormatting sqref="Q32:Q39">
    <cfRule type="cellIs" dxfId="25469" priority="1221" operator="lessThan">
      <formula>0</formula>
    </cfRule>
  </conditionalFormatting>
  <conditionalFormatting sqref="R32:R39">
    <cfRule type="cellIs" dxfId="25468" priority="1219" operator="lessThan">
      <formula>0.8</formula>
    </cfRule>
    <cfRule type="cellIs" dxfId="25467" priority="1220" operator="greaterThan">
      <formula>1</formula>
    </cfRule>
  </conditionalFormatting>
  <conditionalFormatting sqref="R32:R39">
    <cfRule type="cellIs" dxfId="25466" priority="1217" operator="greaterThan">
      <formula>1</formula>
    </cfRule>
    <cfRule type="cellIs" dxfId="25465" priority="1218" operator="lessThan">
      <formula>0.8</formula>
    </cfRule>
  </conditionalFormatting>
  <conditionalFormatting sqref="P32:P39">
    <cfRule type="cellIs" dxfId="25464" priority="1216" operator="greaterThan">
      <formula>0</formula>
    </cfRule>
  </conditionalFormatting>
  <conditionalFormatting sqref="Q32:Q39">
    <cfRule type="cellIs" dxfId="25463" priority="1215" operator="lessThan">
      <formula>0</formula>
    </cfRule>
  </conditionalFormatting>
  <conditionalFormatting sqref="R32:R39">
    <cfRule type="cellIs" dxfId="25462" priority="1213" operator="lessThan">
      <formula>0.8</formula>
    </cfRule>
    <cfRule type="cellIs" dxfId="25461" priority="1214" operator="greaterThan">
      <formula>1</formula>
    </cfRule>
  </conditionalFormatting>
  <conditionalFormatting sqref="R32:R39">
    <cfRule type="cellIs" dxfId="25460" priority="1211" operator="greaterThan">
      <formula>1</formula>
    </cfRule>
    <cfRule type="cellIs" dxfId="25459" priority="1212" operator="lessThan">
      <formula>0.8</formula>
    </cfRule>
  </conditionalFormatting>
  <conditionalFormatting sqref="P32:P39">
    <cfRule type="cellIs" dxfId="25458" priority="1210" operator="greaterThan">
      <formula>0</formula>
    </cfRule>
  </conditionalFormatting>
  <conditionalFormatting sqref="Q32:Q39">
    <cfRule type="cellIs" dxfId="25457" priority="1209" operator="lessThan">
      <formula>0</formula>
    </cfRule>
  </conditionalFormatting>
  <conditionalFormatting sqref="R32:R39">
    <cfRule type="cellIs" dxfId="25456" priority="1207" operator="lessThan">
      <formula>0.8</formula>
    </cfRule>
    <cfRule type="cellIs" dxfId="25455" priority="1208" operator="greaterThan">
      <formula>1</formula>
    </cfRule>
  </conditionalFormatting>
  <conditionalFormatting sqref="R32:R39">
    <cfRule type="cellIs" dxfId="25454" priority="1205" operator="greaterThan">
      <formula>1</formula>
    </cfRule>
    <cfRule type="cellIs" dxfId="25453" priority="1206" operator="lessThan">
      <formula>0.8</formula>
    </cfRule>
  </conditionalFormatting>
  <conditionalFormatting sqref="P32:P39">
    <cfRule type="cellIs" dxfId="25452" priority="1204" operator="greaterThan">
      <formula>0</formula>
    </cfRule>
  </conditionalFormatting>
  <conditionalFormatting sqref="Q105">
    <cfRule type="cellIs" dxfId="25451" priority="1203" operator="lessThan">
      <formula>0</formula>
    </cfRule>
  </conditionalFormatting>
  <conditionalFormatting sqref="P105">
    <cfRule type="cellIs" dxfId="25450" priority="1202" operator="greaterThan">
      <formula>0</formula>
    </cfRule>
  </conditionalFormatting>
  <conditionalFormatting sqref="P105">
    <cfRule type="cellIs" dxfId="25449" priority="1200" operator="greaterThan">
      <formula>0</formula>
    </cfRule>
  </conditionalFormatting>
  <conditionalFormatting sqref="Q105">
    <cfRule type="cellIs" dxfId="25448" priority="1201" operator="lessThan">
      <formula>0</formula>
    </cfRule>
  </conditionalFormatting>
  <conditionalFormatting sqref="Q105">
    <cfRule type="cellIs" dxfId="25447" priority="1199" operator="lessThan">
      <formula>0</formula>
    </cfRule>
  </conditionalFormatting>
  <conditionalFormatting sqref="P105">
    <cfRule type="cellIs" dxfId="25446" priority="1198" operator="greaterThan">
      <formula>0</formula>
    </cfRule>
  </conditionalFormatting>
  <conditionalFormatting sqref="Q96:Q104">
    <cfRule type="cellIs" dxfId="25445" priority="1192" operator="lessThan">
      <formula>0</formula>
    </cfRule>
  </conditionalFormatting>
  <conditionalFormatting sqref="P96:P104">
    <cfRule type="cellIs" dxfId="25444" priority="1193" operator="greaterThan">
      <formula>0</formula>
    </cfRule>
  </conditionalFormatting>
  <conditionalFormatting sqref="R96:R105">
    <cfRule type="cellIs" dxfId="25443" priority="1196" operator="lessThan">
      <formula>0.8</formula>
    </cfRule>
    <cfRule type="cellIs" dxfId="25442" priority="1197" operator="greaterThan">
      <formula>1</formula>
    </cfRule>
  </conditionalFormatting>
  <conditionalFormatting sqref="R96:R105">
    <cfRule type="cellIs" dxfId="25441" priority="1194" operator="greaterThan">
      <formula>1</formula>
    </cfRule>
    <cfRule type="cellIs" dxfId="25440" priority="1195" operator="lessThan">
      <formula>0.8</formula>
    </cfRule>
  </conditionalFormatting>
  <conditionalFormatting sqref="Q96:Q104">
    <cfRule type="cellIs" dxfId="25439" priority="1186" operator="lessThan">
      <formula>0</formula>
    </cfRule>
  </conditionalFormatting>
  <conditionalFormatting sqref="R96:R105">
    <cfRule type="cellIs" dxfId="25438" priority="1190" operator="lessThan">
      <formula>0.8</formula>
    </cfRule>
    <cfRule type="cellIs" dxfId="25437" priority="1191" operator="greaterThan">
      <formula>1</formula>
    </cfRule>
  </conditionalFormatting>
  <conditionalFormatting sqref="R96:R105">
    <cfRule type="cellIs" dxfId="25436" priority="1188" operator="greaterThan">
      <formula>1</formula>
    </cfRule>
    <cfRule type="cellIs" dxfId="25435" priority="1189" operator="lessThan">
      <formula>0.8</formula>
    </cfRule>
  </conditionalFormatting>
  <conditionalFormatting sqref="P96:P104">
    <cfRule type="cellIs" dxfId="25434" priority="1187" operator="greaterThan">
      <formula>0</formula>
    </cfRule>
  </conditionalFormatting>
  <conditionalFormatting sqref="Q96:Q104">
    <cfRule type="cellIs" dxfId="25433" priority="1185" operator="lessThan">
      <formula>0</formula>
    </cfRule>
  </conditionalFormatting>
  <conditionalFormatting sqref="R96:R105">
    <cfRule type="cellIs" dxfId="25432" priority="1183" operator="lessThan">
      <formula>0.8</formula>
    </cfRule>
    <cfRule type="cellIs" dxfId="25431" priority="1184" operator="greaterThan">
      <formula>1</formula>
    </cfRule>
  </conditionalFormatting>
  <conditionalFormatting sqref="R96:R105">
    <cfRule type="cellIs" dxfId="25430" priority="1181" operator="greaterThan">
      <formula>1</formula>
    </cfRule>
    <cfRule type="cellIs" dxfId="25429" priority="1182" operator="lessThan">
      <formula>0.8</formula>
    </cfRule>
  </conditionalFormatting>
  <conditionalFormatting sqref="P96:P104">
    <cfRule type="cellIs" dxfId="25428" priority="1180" operator="greaterThan">
      <formula>0</formula>
    </cfRule>
  </conditionalFormatting>
  <conditionalFormatting sqref="Q96:Q104">
    <cfRule type="cellIs" dxfId="25427" priority="1179" operator="lessThan">
      <formula>0</formula>
    </cfRule>
  </conditionalFormatting>
  <conditionalFormatting sqref="R96:R105">
    <cfRule type="cellIs" dxfId="25426" priority="1177" operator="lessThan">
      <formula>0.8</formula>
    </cfRule>
    <cfRule type="cellIs" dxfId="25425" priority="1178" operator="greaterThan">
      <formula>1</formula>
    </cfRule>
  </conditionalFormatting>
  <conditionalFormatting sqref="R96:R105">
    <cfRule type="cellIs" dxfId="25424" priority="1175" operator="greaterThan">
      <formula>1</formula>
    </cfRule>
    <cfRule type="cellIs" dxfId="25423" priority="1176" operator="lessThan">
      <formula>0.8</formula>
    </cfRule>
  </conditionalFormatting>
  <conditionalFormatting sqref="P96:P104">
    <cfRule type="cellIs" dxfId="25422" priority="1174" operator="greaterThan">
      <formula>0</formula>
    </cfRule>
  </conditionalFormatting>
  <conditionalFormatting sqref="Q96:Q104">
    <cfRule type="cellIs" dxfId="25421" priority="1168" operator="lessThan">
      <formula>0</formula>
    </cfRule>
  </conditionalFormatting>
  <conditionalFormatting sqref="R96:R105">
    <cfRule type="cellIs" dxfId="25420" priority="1172" operator="lessThan">
      <formula>0.8</formula>
    </cfRule>
    <cfRule type="cellIs" dxfId="25419" priority="1173" operator="greaterThan">
      <formula>1</formula>
    </cfRule>
  </conditionalFormatting>
  <conditionalFormatting sqref="R96:R105">
    <cfRule type="cellIs" dxfId="25418" priority="1170" operator="greaterThan">
      <formula>1</formula>
    </cfRule>
    <cfRule type="cellIs" dxfId="25417" priority="1171" operator="lessThan">
      <formula>0.8</formula>
    </cfRule>
  </conditionalFormatting>
  <conditionalFormatting sqref="P96:P104">
    <cfRule type="cellIs" dxfId="25416" priority="1169" operator="greaterThan">
      <formula>0</formula>
    </cfRule>
  </conditionalFormatting>
  <conditionalFormatting sqref="Q96:Q104">
    <cfRule type="cellIs" dxfId="25415" priority="1167" operator="lessThan">
      <formula>0</formula>
    </cfRule>
  </conditionalFormatting>
  <conditionalFormatting sqref="R96:R105">
    <cfRule type="cellIs" dxfId="25414" priority="1165" operator="lessThan">
      <formula>0.8</formula>
    </cfRule>
    <cfRule type="cellIs" dxfId="25413" priority="1166" operator="greaterThan">
      <formula>1</formula>
    </cfRule>
  </conditionalFormatting>
  <conditionalFormatting sqref="R96:R105">
    <cfRule type="cellIs" dxfId="25412" priority="1163" operator="greaterThan">
      <formula>1</formula>
    </cfRule>
    <cfRule type="cellIs" dxfId="25411" priority="1164" operator="lessThan">
      <formula>0.8</formula>
    </cfRule>
  </conditionalFormatting>
  <conditionalFormatting sqref="P96:P104">
    <cfRule type="cellIs" dxfId="25410" priority="1162" operator="greaterThan">
      <formula>0</formula>
    </cfRule>
  </conditionalFormatting>
  <conditionalFormatting sqref="Q96:Q104">
    <cfRule type="cellIs" dxfId="25409" priority="1161" operator="lessThan">
      <formula>0</formula>
    </cfRule>
  </conditionalFormatting>
  <conditionalFormatting sqref="R96:R105">
    <cfRule type="cellIs" dxfId="25408" priority="1159" operator="lessThan">
      <formula>0.8</formula>
    </cfRule>
    <cfRule type="cellIs" dxfId="25407" priority="1160" operator="greaterThan">
      <formula>1</formula>
    </cfRule>
  </conditionalFormatting>
  <conditionalFormatting sqref="R96:R105">
    <cfRule type="cellIs" dxfId="25406" priority="1157" operator="greaterThan">
      <formula>1</formula>
    </cfRule>
    <cfRule type="cellIs" dxfId="25405" priority="1158" operator="lessThan">
      <formula>0.8</formula>
    </cfRule>
  </conditionalFormatting>
  <conditionalFormatting sqref="P96:P104">
    <cfRule type="cellIs" dxfId="25404" priority="1156" operator="greaterThan">
      <formula>0</formula>
    </cfRule>
  </conditionalFormatting>
  <conditionalFormatting sqref="Q96:Q104">
    <cfRule type="cellIs" dxfId="25403" priority="1155" operator="lessThan">
      <formula>0</formula>
    </cfRule>
  </conditionalFormatting>
  <conditionalFormatting sqref="R96:R105">
    <cfRule type="cellIs" dxfId="25402" priority="1153" operator="lessThan">
      <formula>0.8</formula>
    </cfRule>
    <cfRule type="cellIs" dxfId="25401" priority="1154" operator="greaterThan">
      <formula>1</formula>
    </cfRule>
  </conditionalFormatting>
  <conditionalFormatting sqref="R96:R105">
    <cfRule type="cellIs" dxfId="25400" priority="1151" operator="greaterThan">
      <formula>1</formula>
    </cfRule>
    <cfRule type="cellIs" dxfId="25399" priority="1152" operator="lessThan">
      <formula>0.8</formula>
    </cfRule>
  </conditionalFormatting>
  <conditionalFormatting sqref="P96:P104">
    <cfRule type="cellIs" dxfId="25398" priority="1150" operator="greaterThan">
      <formula>0</formula>
    </cfRule>
  </conditionalFormatting>
  <conditionalFormatting sqref="Q96:Q104">
    <cfRule type="cellIs" dxfId="25397" priority="1149" operator="lessThan">
      <formula>0</formula>
    </cfRule>
  </conditionalFormatting>
  <conditionalFormatting sqref="R96:R105">
    <cfRule type="cellIs" dxfId="25396" priority="1147" operator="lessThan">
      <formula>0.8</formula>
    </cfRule>
    <cfRule type="cellIs" dxfId="25395" priority="1148" operator="greaterThan">
      <formula>1</formula>
    </cfRule>
  </conditionalFormatting>
  <conditionalFormatting sqref="R96:R105">
    <cfRule type="cellIs" dxfId="25394" priority="1145" operator="greaterThan">
      <formula>1</formula>
    </cfRule>
    <cfRule type="cellIs" dxfId="25393" priority="1146" operator="lessThan">
      <formula>0.8</formula>
    </cfRule>
  </conditionalFormatting>
  <conditionalFormatting sqref="P96:P104">
    <cfRule type="cellIs" dxfId="25392" priority="1144" operator="greaterThan">
      <formula>0</formula>
    </cfRule>
  </conditionalFormatting>
  <conditionalFormatting sqref="Q96:Q104">
    <cfRule type="cellIs" dxfId="25391" priority="1143" operator="lessThan">
      <formula>0</formula>
    </cfRule>
  </conditionalFormatting>
  <conditionalFormatting sqref="R96:R105">
    <cfRule type="cellIs" dxfId="25390" priority="1141" operator="lessThan">
      <formula>0.8</formula>
    </cfRule>
    <cfRule type="cellIs" dxfId="25389" priority="1142" operator="greaterThan">
      <formula>1</formula>
    </cfRule>
  </conditionalFormatting>
  <conditionalFormatting sqref="R96:R105">
    <cfRule type="cellIs" dxfId="25388" priority="1139" operator="greaterThan">
      <formula>1</formula>
    </cfRule>
    <cfRule type="cellIs" dxfId="25387" priority="1140" operator="lessThan">
      <formula>0.8</formula>
    </cfRule>
  </conditionalFormatting>
  <conditionalFormatting sqref="P96:P104">
    <cfRule type="cellIs" dxfId="25386" priority="1138" operator="greaterThan">
      <formula>0</formula>
    </cfRule>
  </conditionalFormatting>
  <conditionalFormatting sqref="P96:P104">
    <cfRule type="cellIs" dxfId="25385" priority="1132" operator="greaterThan">
      <formula>0</formula>
    </cfRule>
  </conditionalFormatting>
  <conditionalFormatting sqref="Q96:Q104">
    <cfRule type="cellIs" dxfId="25384" priority="1137" operator="lessThan">
      <formula>0</formula>
    </cfRule>
  </conditionalFormatting>
  <conditionalFormatting sqref="R96:R105">
    <cfRule type="cellIs" dxfId="25383" priority="1135" operator="lessThan">
      <formula>0.8</formula>
    </cfRule>
    <cfRule type="cellIs" dxfId="25382" priority="1136" operator="greaterThan">
      <formula>1</formula>
    </cfRule>
  </conditionalFormatting>
  <conditionalFormatting sqref="R96:R105">
    <cfRule type="cellIs" dxfId="25381" priority="1133" operator="greaterThan">
      <formula>1</formula>
    </cfRule>
    <cfRule type="cellIs" dxfId="25380" priority="1134" operator="lessThan">
      <formula>0.8</formula>
    </cfRule>
  </conditionalFormatting>
  <conditionalFormatting sqref="P96:P104">
    <cfRule type="cellIs" dxfId="25379" priority="1126" operator="greaterThan">
      <formula>0</formula>
    </cfRule>
  </conditionalFormatting>
  <conditionalFormatting sqref="Q96:Q104">
    <cfRule type="cellIs" dxfId="25378" priority="1131" operator="lessThan">
      <formula>0</formula>
    </cfRule>
  </conditionalFormatting>
  <conditionalFormatting sqref="R96:R105">
    <cfRule type="cellIs" dxfId="25377" priority="1129" operator="lessThan">
      <formula>0.8</formula>
    </cfRule>
    <cfRule type="cellIs" dxfId="25376" priority="1130" operator="greaterThan">
      <formula>1</formula>
    </cfRule>
  </conditionalFormatting>
  <conditionalFormatting sqref="R96:R105">
    <cfRule type="cellIs" dxfId="25375" priority="1127" operator="greaterThan">
      <formula>1</formula>
    </cfRule>
    <cfRule type="cellIs" dxfId="25374" priority="1128" operator="lessThan">
      <formula>0.8</formula>
    </cfRule>
  </conditionalFormatting>
  <conditionalFormatting sqref="R96:R105">
    <cfRule type="cellIs" dxfId="25373" priority="1123" operator="lessThan">
      <formula>0.8</formula>
    </cfRule>
    <cfRule type="cellIs" dxfId="25372" priority="1124" operator="greaterThan">
      <formula>1</formula>
    </cfRule>
  </conditionalFormatting>
  <conditionalFormatting sqref="R96:R105">
    <cfRule type="cellIs" dxfId="25371" priority="1121" operator="greaterThan">
      <formula>1</formula>
    </cfRule>
    <cfRule type="cellIs" dxfId="25370" priority="1122" operator="lessThan">
      <formula>0.8</formula>
    </cfRule>
  </conditionalFormatting>
  <conditionalFormatting sqref="P96:P104">
    <cfRule type="cellIs" dxfId="25369" priority="1120" operator="greaterThan">
      <formula>0</formula>
    </cfRule>
  </conditionalFormatting>
  <conditionalFormatting sqref="Q96:Q104">
    <cfRule type="cellIs" dxfId="25368" priority="1125" operator="lessThan">
      <formula>0</formula>
    </cfRule>
  </conditionalFormatting>
  <conditionalFormatting sqref="Q96:Q104">
    <cfRule type="cellIs" dxfId="25367" priority="1114" operator="lessThan">
      <formula>0</formula>
    </cfRule>
  </conditionalFormatting>
  <conditionalFormatting sqref="P96:P104">
    <cfRule type="cellIs" dxfId="25366" priority="1115" operator="greaterThan">
      <formula>0</formula>
    </cfRule>
  </conditionalFormatting>
  <conditionalFormatting sqref="R96:R105">
    <cfRule type="cellIs" dxfId="25365" priority="1118" operator="lessThan">
      <formula>0.8</formula>
    </cfRule>
    <cfRule type="cellIs" dxfId="25364" priority="1119" operator="greaterThan">
      <formula>1</formula>
    </cfRule>
  </conditionalFormatting>
  <conditionalFormatting sqref="R96:R105">
    <cfRule type="cellIs" dxfId="25363" priority="1116" operator="greaterThan">
      <formula>1</formula>
    </cfRule>
    <cfRule type="cellIs" dxfId="25362" priority="1117" operator="lessThan">
      <formula>0.8</formula>
    </cfRule>
  </conditionalFormatting>
  <conditionalFormatting sqref="Q96:Q104">
    <cfRule type="cellIs" dxfId="25361" priority="1108" operator="lessThan">
      <formula>0</formula>
    </cfRule>
  </conditionalFormatting>
  <conditionalFormatting sqref="R96:R105">
    <cfRule type="cellIs" dxfId="25360" priority="1112" operator="lessThan">
      <formula>0.8</formula>
    </cfRule>
    <cfRule type="cellIs" dxfId="25359" priority="1113" operator="greaterThan">
      <formula>1</formula>
    </cfRule>
  </conditionalFormatting>
  <conditionalFormatting sqref="R96:R105">
    <cfRule type="cellIs" dxfId="25358" priority="1110" operator="greaterThan">
      <formula>1</formula>
    </cfRule>
    <cfRule type="cellIs" dxfId="25357" priority="1111" operator="lessThan">
      <formula>0.8</formula>
    </cfRule>
  </conditionalFormatting>
  <conditionalFormatting sqref="P96:P104">
    <cfRule type="cellIs" dxfId="25356" priority="1109" operator="greaterThan">
      <formula>0</formula>
    </cfRule>
  </conditionalFormatting>
  <conditionalFormatting sqref="Q96:Q104">
    <cfRule type="cellIs" dxfId="25355" priority="1107" operator="lessThan">
      <formula>0</formula>
    </cfRule>
  </conditionalFormatting>
  <conditionalFormatting sqref="R96:R105">
    <cfRule type="cellIs" dxfId="25354" priority="1105" operator="lessThan">
      <formula>0.8</formula>
    </cfRule>
    <cfRule type="cellIs" dxfId="25353" priority="1106" operator="greaterThan">
      <formula>1</formula>
    </cfRule>
  </conditionalFormatting>
  <conditionalFormatting sqref="R96:R105">
    <cfRule type="cellIs" dxfId="25352" priority="1103" operator="greaterThan">
      <formula>1</formula>
    </cfRule>
    <cfRule type="cellIs" dxfId="25351" priority="1104" operator="lessThan">
      <formula>0.8</formula>
    </cfRule>
  </conditionalFormatting>
  <conditionalFormatting sqref="P96:P104">
    <cfRule type="cellIs" dxfId="25350" priority="1102" operator="greaterThan">
      <formula>0</formula>
    </cfRule>
  </conditionalFormatting>
  <conditionalFormatting sqref="Q96:Q104">
    <cfRule type="cellIs" dxfId="25349" priority="1101" operator="lessThan">
      <formula>0</formula>
    </cfRule>
  </conditionalFormatting>
  <conditionalFormatting sqref="R96:R105">
    <cfRule type="cellIs" dxfId="25348" priority="1099" operator="lessThan">
      <formula>0.8</formula>
    </cfRule>
    <cfRule type="cellIs" dxfId="25347" priority="1100" operator="greaterThan">
      <formula>1</formula>
    </cfRule>
  </conditionalFormatting>
  <conditionalFormatting sqref="R96:R105">
    <cfRule type="cellIs" dxfId="25346" priority="1097" operator="greaterThan">
      <formula>1</formula>
    </cfRule>
    <cfRule type="cellIs" dxfId="25345" priority="1098" operator="lessThan">
      <formula>0.8</formula>
    </cfRule>
  </conditionalFormatting>
  <conditionalFormatting sqref="P96:P104">
    <cfRule type="cellIs" dxfId="25344" priority="1096" operator="greaterThan">
      <formula>0</formula>
    </cfRule>
  </conditionalFormatting>
  <conditionalFormatting sqref="Q96:Q104">
    <cfRule type="cellIs" dxfId="25343" priority="1090" operator="lessThan">
      <formula>0</formula>
    </cfRule>
  </conditionalFormatting>
  <conditionalFormatting sqref="P96:P104">
    <cfRule type="cellIs" dxfId="25342" priority="1091" operator="greaterThan">
      <formula>0</formula>
    </cfRule>
  </conditionalFormatting>
  <conditionalFormatting sqref="R96:R105">
    <cfRule type="cellIs" dxfId="25341" priority="1094" operator="lessThan">
      <formula>0.8</formula>
    </cfRule>
    <cfRule type="cellIs" dxfId="25340" priority="1095" operator="greaterThan">
      <formula>1</formula>
    </cfRule>
  </conditionalFormatting>
  <conditionalFormatting sqref="R96:R105">
    <cfRule type="cellIs" dxfId="25339" priority="1092" operator="greaterThan">
      <formula>1</formula>
    </cfRule>
    <cfRule type="cellIs" dxfId="25338" priority="1093" operator="lessThan">
      <formula>0.8</formula>
    </cfRule>
  </conditionalFormatting>
  <conditionalFormatting sqref="Q96:Q104">
    <cfRule type="cellIs" dxfId="25337" priority="1084" operator="lessThan">
      <formula>0</formula>
    </cfRule>
  </conditionalFormatting>
  <conditionalFormatting sqref="R96:R105">
    <cfRule type="cellIs" dxfId="25336" priority="1088" operator="lessThan">
      <formula>0.8</formula>
    </cfRule>
    <cfRule type="cellIs" dxfId="25335" priority="1089" operator="greaterThan">
      <formula>1</formula>
    </cfRule>
  </conditionalFormatting>
  <conditionalFormatting sqref="R96:R105">
    <cfRule type="cellIs" dxfId="25334" priority="1086" operator="greaterThan">
      <formula>1</formula>
    </cfRule>
    <cfRule type="cellIs" dxfId="25333" priority="1087" operator="lessThan">
      <formula>0.8</formula>
    </cfRule>
  </conditionalFormatting>
  <conditionalFormatting sqref="P96:P104">
    <cfRule type="cellIs" dxfId="25332" priority="1085" operator="greaterThan">
      <formula>0</formula>
    </cfRule>
  </conditionalFormatting>
  <conditionalFormatting sqref="Q96:Q104">
    <cfRule type="cellIs" dxfId="25331" priority="1083" operator="lessThan">
      <formula>0</formula>
    </cfRule>
  </conditionalFormatting>
  <conditionalFormatting sqref="R96:R105">
    <cfRule type="cellIs" dxfId="25330" priority="1081" operator="lessThan">
      <formula>0.8</formula>
    </cfRule>
    <cfRule type="cellIs" dxfId="25329" priority="1082" operator="greaterThan">
      <formula>1</formula>
    </cfRule>
  </conditionalFormatting>
  <conditionalFormatting sqref="R96:R105">
    <cfRule type="cellIs" dxfId="25328" priority="1079" operator="greaterThan">
      <formula>1</formula>
    </cfRule>
    <cfRule type="cellIs" dxfId="25327" priority="1080" operator="lessThan">
      <formula>0.8</formula>
    </cfRule>
  </conditionalFormatting>
  <conditionalFormatting sqref="P96:P104">
    <cfRule type="cellIs" dxfId="25326" priority="1078" operator="greaterThan">
      <formula>0</formula>
    </cfRule>
  </conditionalFormatting>
  <conditionalFormatting sqref="Q96:Q104">
    <cfRule type="cellIs" dxfId="25325" priority="1077" operator="lessThan">
      <formula>0</formula>
    </cfRule>
  </conditionalFormatting>
  <conditionalFormatting sqref="R96:R105">
    <cfRule type="cellIs" dxfId="25324" priority="1075" operator="lessThan">
      <formula>0.8</formula>
    </cfRule>
    <cfRule type="cellIs" dxfId="25323" priority="1076" operator="greaterThan">
      <formula>1</formula>
    </cfRule>
  </conditionalFormatting>
  <conditionalFormatting sqref="R96:R105">
    <cfRule type="cellIs" dxfId="25322" priority="1073" operator="greaterThan">
      <formula>1</formula>
    </cfRule>
    <cfRule type="cellIs" dxfId="25321" priority="1074" operator="lessThan">
      <formula>0.8</formula>
    </cfRule>
  </conditionalFormatting>
  <conditionalFormatting sqref="P96:P104">
    <cfRule type="cellIs" dxfId="25320" priority="1072" operator="greaterThan">
      <formula>0</formula>
    </cfRule>
  </conditionalFormatting>
  <conditionalFormatting sqref="P124 P127 P131">
    <cfRule type="cellIs" dxfId="25319" priority="1066" operator="greaterThan">
      <formula>0</formula>
    </cfRule>
  </conditionalFormatting>
  <conditionalFormatting sqref="Q124 Q127 Q131">
    <cfRule type="cellIs" dxfId="25318" priority="1071" operator="lessThan">
      <formula>0</formula>
    </cfRule>
  </conditionalFormatting>
  <conditionalFormatting sqref="R124 R127 R131">
    <cfRule type="cellIs" dxfId="25317" priority="1069" operator="lessThan">
      <formula>0.8</formula>
    </cfRule>
    <cfRule type="cellIs" dxfId="25316" priority="1070" operator="greaterThan">
      <formula>1</formula>
    </cfRule>
  </conditionalFormatting>
  <conditionalFormatting sqref="R124 R127 R131">
    <cfRule type="cellIs" dxfId="25315" priority="1067" operator="greaterThan">
      <formula>1</formula>
    </cfRule>
    <cfRule type="cellIs" dxfId="25314" priority="1068" operator="lessThan">
      <formula>0.8</formula>
    </cfRule>
  </conditionalFormatting>
  <conditionalFormatting sqref="Q124 Q127 Q131">
    <cfRule type="cellIs" dxfId="25313" priority="1065" operator="lessThan">
      <formula>0</formula>
    </cfRule>
  </conditionalFormatting>
  <conditionalFormatting sqref="R124 R127 R131">
    <cfRule type="cellIs" dxfId="25312" priority="1063" operator="lessThan">
      <formula>0.8</formula>
    </cfRule>
    <cfRule type="cellIs" dxfId="25311" priority="1064" operator="greaterThan">
      <formula>1</formula>
    </cfRule>
  </conditionalFormatting>
  <conditionalFormatting sqref="R124 R127 R131">
    <cfRule type="cellIs" dxfId="25310" priority="1061" operator="greaterThan">
      <formula>1</formula>
    </cfRule>
    <cfRule type="cellIs" dxfId="25309" priority="1062" operator="lessThan">
      <formula>0.8</formula>
    </cfRule>
  </conditionalFormatting>
  <conditionalFormatting sqref="P124 P127 P131">
    <cfRule type="cellIs" dxfId="25308" priority="1060" operator="greaterThan">
      <formula>0</formula>
    </cfRule>
  </conditionalFormatting>
  <conditionalFormatting sqref="Q123 Q125:Q126 Q128:Q130">
    <cfRule type="cellIs" dxfId="25307" priority="1059" operator="lessThan">
      <formula>0</formula>
    </cfRule>
  </conditionalFormatting>
  <conditionalFormatting sqref="R123 R125:R126 R128:R130">
    <cfRule type="cellIs" dxfId="25306" priority="1057" operator="lessThan">
      <formula>0.8</formula>
    </cfRule>
    <cfRule type="cellIs" dxfId="25305" priority="1058" operator="greaterThan">
      <formula>1</formula>
    </cfRule>
  </conditionalFormatting>
  <conditionalFormatting sqref="R123 R125:R126 R128:R130">
    <cfRule type="cellIs" dxfId="25304" priority="1055" operator="greaterThan">
      <formula>1</formula>
    </cfRule>
    <cfRule type="cellIs" dxfId="25303" priority="1056" operator="lessThan">
      <formula>0.8</formula>
    </cfRule>
  </conditionalFormatting>
  <conditionalFormatting sqref="P123 P125:P126 P128:P130">
    <cfRule type="cellIs" dxfId="25302" priority="1054" operator="greaterThan">
      <formula>0</formula>
    </cfRule>
  </conditionalFormatting>
  <conditionalFormatting sqref="P123 P125:P126 P128:P130">
    <cfRule type="cellIs" dxfId="25301" priority="1048" operator="greaterThan">
      <formula>0</formula>
    </cfRule>
  </conditionalFormatting>
  <conditionalFormatting sqref="Q123 Q125:Q126 Q128:Q130">
    <cfRule type="cellIs" dxfId="25300" priority="1053" operator="lessThan">
      <formula>0</formula>
    </cfRule>
  </conditionalFormatting>
  <conditionalFormatting sqref="R123 R125:R126 R128:R130">
    <cfRule type="cellIs" dxfId="25299" priority="1051" operator="lessThan">
      <formula>0.8</formula>
    </cfRule>
    <cfRule type="cellIs" dxfId="25298" priority="1052" operator="greaterThan">
      <formula>1</formula>
    </cfRule>
  </conditionalFormatting>
  <conditionalFormatting sqref="R123 R125:R126 R128:R130">
    <cfRule type="cellIs" dxfId="25297" priority="1049" operator="greaterThan">
      <formula>1</formula>
    </cfRule>
    <cfRule type="cellIs" dxfId="25296" priority="1050" operator="lessThan">
      <formula>0.8</formula>
    </cfRule>
  </conditionalFormatting>
  <conditionalFormatting sqref="P122">
    <cfRule type="cellIs" dxfId="25295" priority="1042" operator="greaterThan">
      <formula>0</formula>
    </cfRule>
  </conditionalFormatting>
  <conditionalFormatting sqref="Q122">
    <cfRule type="cellIs" dxfId="25294" priority="1047" operator="lessThan">
      <formula>0</formula>
    </cfRule>
  </conditionalFormatting>
  <conditionalFormatting sqref="R122">
    <cfRule type="cellIs" dxfId="25293" priority="1045" operator="lessThan">
      <formula>0.8</formula>
    </cfRule>
    <cfRule type="cellIs" dxfId="25292" priority="1046" operator="greaterThan">
      <formula>1</formula>
    </cfRule>
  </conditionalFormatting>
  <conditionalFormatting sqref="R122">
    <cfRule type="cellIs" dxfId="25291" priority="1043" operator="greaterThan">
      <formula>1</formula>
    </cfRule>
    <cfRule type="cellIs" dxfId="25290" priority="1044" operator="lessThan">
      <formula>0.8</formula>
    </cfRule>
  </conditionalFormatting>
  <conditionalFormatting sqref="Q109:Q116">
    <cfRule type="cellIs" dxfId="25289" priority="1041" operator="lessThan">
      <formula>0</formula>
    </cfRule>
  </conditionalFormatting>
  <conditionalFormatting sqref="R109:R116">
    <cfRule type="cellIs" dxfId="25288" priority="1039" operator="lessThan">
      <formula>0.8</formula>
    </cfRule>
    <cfRule type="cellIs" dxfId="25287" priority="1040" operator="greaterThan">
      <formula>1</formula>
    </cfRule>
  </conditionalFormatting>
  <conditionalFormatting sqref="R109:R116">
    <cfRule type="cellIs" dxfId="25286" priority="1037" operator="greaterThan">
      <formula>1</formula>
    </cfRule>
    <cfRule type="cellIs" dxfId="25285" priority="1038" operator="lessThan">
      <formula>0.8</formula>
    </cfRule>
  </conditionalFormatting>
  <conditionalFormatting sqref="P109:P116">
    <cfRule type="cellIs" dxfId="25284" priority="1036" operator="greaterThan">
      <formula>0</formula>
    </cfRule>
  </conditionalFormatting>
  <conditionalFormatting sqref="P137 P140 P143">
    <cfRule type="cellIs" dxfId="25283" priority="1035" operator="greaterThan">
      <formula>0</formula>
    </cfRule>
  </conditionalFormatting>
  <conditionalFormatting sqref="Q137 Q140 Q143">
    <cfRule type="cellIs" dxfId="25282" priority="1034" operator="lessThan">
      <formula>0</formula>
    </cfRule>
  </conditionalFormatting>
  <conditionalFormatting sqref="R137 R140 R143">
    <cfRule type="cellIs" dxfId="25281" priority="1032" operator="lessThan">
      <formula>0.8</formula>
    </cfRule>
    <cfRule type="cellIs" dxfId="25280" priority="1033" operator="greaterThan">
      <formula>1</formula>
    </cfRule>
  </conditionalFormatting>
  <conditionalFormatting sqref="R137 R140 R143">
    <cfRule type="cellIs" dxfId="25279" priority="1030" operator="greaterThan">
      <formula>1</formula>
    </cfRule>
    <cfRule type="cellIs" dxfId="25278" priority="1031" operator="lessThan">
      <formula>0.8</formula>
    </cfRule>
  </conditionalFormatting>
  <conditionalFormatting sqref="P137 P140 P143">
    <cfRule type="cellIs" dxfId="25277" priority="1029" operator="greaterThan">
      <formula>0</formula>
    </cfRule>
  </conditionalFormatting>
  <conditionalFormatting sqref="Q137 Q140 Q143">
    <cfRule type="cellIs" dxfId="25276" priority="1028" operator="lessThan">
      <formula>0</formula>
    </cfRule>
  </conditionalFormatting>
  <conditionalFormatting sqref="R137 R140 R143">
    <cfRule type="cellIs" dxfId="25275" priority="1026" operator="lessThan">
      <formula>0.8</formula>
    </cfRule>
    <cfRule type="cellIs" dxfId="25274" priority="1027" operator="greaterThan">
      <formula>1</formula>
    </cfRule>
  </conditionalFormatting>
  <conditionalFormatting sqref="R137 R140 R143">
    <cfRule type="cellIs" dxfId="25273" priority="1024" operator="greaterThan">
      <formula>1</formula>
    </cfRule>
    <cfRule type="cellIs" dxfId="25272" priority="1025" operator="lessThan">
      <formula>0.8</formula>
    </cfRule>
  </conditionalFormatting>
  <conditionalFormatting sqref="P137 P140 P143">
    <cfRule type="cellIs" dxfId="25271" priority="1023" operator="greaterThan">
      <formula>0</formula>
    </cfRule>
  </conditionalFormatting>
  <conditionalFormatting sqref="P137 P140 P143">
    <cfRule type="cellIs" dxfId="25270" priority="1017" operator="greaterThan">
      <formula>0</formula>
    </cfRule>
  </conditionalFormatting>
  <conditionalFormatting sqref="Q137 Q140 Q143">
    <cfRule type="cellIs" dxfId="25269" priority="1022" operator="lessThan">
      <formula>0</formula>
    </cfRule>
  </conditionalFormatting>
  <conditionalFormatting sqref="R137 R140 R143">
    <cfRule type="cellIs" dxfId="25268" priority="1020" operator="lessThan">
      <formula>0.8</formula>
    </cfRule>
    <cfRule type="cellIs" dxfId="25267" priority="1021" operator="greaterThan">
      <formula>1</formula>
    </cfRule>
  </conditionalFormatting>
  <conditionalFormatting sqref="R137 R140 R143">
    <cfRule type="cellIs" dxfId="25266" priority="1018" operator="greaterThan">
      <formula>1</formula>
    </cfRule>
    <cfRule type="cellIs" dxfId="25265" priority="1019" operator="lessThan">
      <formula>0.8</formula>
    </cfRule>
  </conditionalFormatting>
  <conditionalFormatting sqref="Q137 Q140 Q143">
    <cfRule type="cellIs" dxfId="25264" priority="1016" operator="lessThan">
      <formula>0</formula>
    </cfRule>
  </conditionalFormatting>
  <conditionalFormatting sqref="R137 R140 R143">
    <cfRule type="cellIs" dxfId="25263" priority="1014" operator="lessThan">
      <formula>0.8</formula>
    </cfRule>
    <cfRule type="cellIs" dxfId="25262" priority="1015" operator="greaterThan">
      <formula>1</formula>
    </cfRule>
  </conditionalFormatting>
  <conditionalFormatting sqref="R137 R140 R143">
    <cfRule type="cellIs" dxfId="25261" priority="1012" operator="greaterThan">
      <formula>1</formula>
    </cfRule>
    <cfRule type="cellIs" dxfId="25260" priority="1013" operator="lessThan">
      <formula>0.8</formula>
    </cfRule>
  </conditionalFormatting>
  <conditionalFormatting sqref="P137 P140 P143">
    <cfRule type="cellIs" dxfId="25259" priority="1011" operator="greaterThan">
      <formula>0</formula>
    </cfRule>
  </conditionalFormatting>
  <conditionalFormatting sqref="Q137 Q140 Q143">
    <cfRule type="cellIs" dxfId="25258" priority="1010" operator="lessThan">
      <formula>0</formula>
    </cfRule>
  </conditionalFormatting>
  <conditionalFormatting sqref="R137 R140 R143">
    <cfRule type="cellIs" dxfId="25257" priority="1008" operator="lessThan">
      <formula>0.8</formula>
    </cfRule>
    <cfRule type="cellIs" dxfId="25256" priority="1009" operator="greaterThan">
      <formula>1</formula>
    </cfRule>
  </conditionalFormatting>
  <conditionalFormatting sqref="R137 R140 R143">
    <cfRule type="cellIs" dxfId="25255" priority="1006" operator="greaterThan">
      <formula>1</formula>
    </cfRule>
    <cfRule type="cellIs" dxfId="25254" priority="1007" operator="lessThan">
      <formula>0.8</formula>
    </cfRule>
  </conditionalFormatting>
  <conditionalFormatting sqref="P137 P140 P143">
    <cfRule type="cellIs" dxfId="25253" priority="1005" operator="greaterThan">
      <formula>0</formula>
    </cfRule>
  </conditionalFormatting>
  <conditionalFormatting sqref="P137 P140 P143">
    <cfRule type="cellIs" dxfId="25252" priority="999" operator="greaterThan">
      <formula>0</formula>
    </cfRule>
  </conditionalFormatting>
  <conditionalFormatting sqref="Q137 Q140 Q143">
    <cfRule type="cellIs" dxfId="25251" priority="1004" operator="lessThan">
      <formula>0</formula>
    </cfRule>
  </conditionalFormatting>
  <conditionalFormatting sqref="R137 R140 R143">
    <cfRule type="cellIs" dxfId="25250" priority="1002" operator="lessThan">
      <formula>0.8</formula>
    </cfRule>
    <cfRule type="cellIs" dxfId="25249" priority="1003" operator="greaterThan">
      <formula>1</formula>
    </cfRule>
  </conditionalFormatting>
  <conditionalFormatting sqref="R137 R140 R143">
    <cfRule type="cellIs" dxfId="25248" priority="1000" operator="greaterThan">
      <formula>1</formula>
    </cfRule>
    <cfRule type="cellIs" dxfId="25247" priority="1001" operator="lessThan">
      <formula>0.8</formula>
    </cfRule>
  </conditionalFormatting>
  <conditionalFormatting sqref="Q137 Q140 Q143">
    <cfRule type="cellIs" dxfId="25246" priority="998" operator="lessThan">
      <formula>0</formula>
    </cfRule>
  </conditionalFormatting>
  <conditionalFormatting sqref="R137 R140 R143">
    <cfRule type="cellIs" dxfId="25245" priority="996" operator="lessThan">
      <formula>0.8</formula>
    </cfRule>
    <cfRule type="cellIs" dxfId="25244" priority="997" operator="greaterThan">
      <formula>1</formula>
    </cfRule>
  </conditionalFormatting>
  <conditionalFormatting sqref="R137 R140 R143">
    <cfRule type="cellIs" dxfId="25243" priority="994" operator="greaterThan">
      <formula>1</formula>
    </cfRule>
    <cfRule type="cellIs" dxfId="25242" priority="995" operator="lessThan">
      <formula>0.8</formula>
    </cfRule>
  </conditionalFormatting>
  <conditionalFormatting sqref="P137 P140 P143">
    <cfRule type="cellIs" dxfId="25241" priority="993" operator="greaterThan">
      <formula>0</formula>
    </cfRule>
  </conditionalFormatting>
  <conditionalFormatting sqref="Q137 Q140 Q143">
    <cfRule type="cellIs" dxfId="25240" priority="992" operator="lessThan">
      <formula>0</formula>
    </cfRule>
  </conditionalFormatting>
  <conditionalFormatting sqref="R137 R140 R143">
    <cfRule type="cellIs" dxfId="25239" priority="990" operator="lessThan">
      <formula>0.8</formula>
    </cfRule>
    <cfRule type="cellIs" dxfId="25238" priority="991" operator="greaterThan">
      <formula>1</formula>
    </cfRule>
  </conditionalFormatting>
  <conditionalFormatting sqref="R137 R140 R143">
    <cfRule type="cellIs" dxfId="25237" priority="988" operator="greaterThan">
      <formula>1</formula>
    </cfRule>
    <cfRule type="cellIs" dxfId="25236" priority="989" operator="lessThan">
      <formula>0.8</formula>
    </cfRule>
  </conditionalFormatting>
  <conditionalFormatting sqref="P137 P140 P143">
    <cfRule type="cellIs" dxfId="25235" priority="987" operator="greaterThan">
      <formula>0</formula>
    </cfRule>
  </conditionalFormatting>
  <conditionalFormatting sqref="P137 P140 P143">
    <cfRule type="cellIs" dxfId="25234" priority="981" operator="greaterThan">
      <formula>0</formula>
    </cfRule>
  </conditionalFormatting>
  <conditionalFormatting sqref="Q137 Q140 Q143">
    <cfRule type="cellIs" dxfId="25233" priority="986" operator="lessThan">
      <formula>0</formula>
    </cfRule>
  </conditionalFormatting>
  <conditionalFormatting sqref="R137 R140 R143">
    <cfRule type="cellIs" dxfId="25232" priority="984" operator="lessThan">
      <formula>0.8</formula>
    </cfRule>
    <cfRule type="cellIs" dxfId="25231" priority="985" operator="greaterThan">
      <formula>1</formula>
    </cfRule>
  </conditionalFormatting>
  <conditionalFormatting sqref="R137 R140 R143">
    <cfRule type="cellIs" dxfId="25230" priority="982" operator="greaterThan">
      <formula>1</formula>
    </cfRule>
    <cfRule type="cellIs" dxfId="25229" priority="983" operator="lessThan">
      <formula>0.8</formula>
    </cfRule>
  </conditionalFormatting>
  <conditionalFormatting sqref="Q137 Q140 Q143">
    <cfRule type="cellIs" dxfId="25228" priority="980" operator="lessThan">
      <formula>0</formula>
    </cfRule>
  </conditionalFormatting>
  <conditionalFormatting sqref="R137 R140 R143">
    <cfRule type="cellIs" dxfId="25227" priority="978" operator="lessThan">
      <formula>0.8</formula>
    </cfRule>
    <cfRule type="cellIs" dxfId="25226" priority="979" operator="greaterThan">
      <formula>1</formula>
    </cfRule>
  </conditionalFormatting>
  <conditionalFormatting sqref="R137 R140 R143">
    <cfRule type="cellIs" dxfId="25225" priority="976" operator="greaterThan">
      <formula>1</formula>
    </cfRule>
    <cfRule type="cellIs" dxfId="25224" priority="977" operator="lessThan">
      <formula>0.8</formula>
    </cfRule>
  </conditionalFormatting>
  <conditionalFormatting sqref="P137 P140 P143">
    <cfRule type="cellIs" dxfId="25223" priority="975" operator="greaterThan">
      <formula>0</formula>
    </cfRule>
  </conditionalFormatting>
  <conditionalFormatting sqref="P138 P141 P144">
    <cfRule type="cellIs" dxfId="25222" priority="969" operator="greaterThan">
      <formula>0</formula>
    </cfRule>
  </conditionalFormatting>
  <conditionalFormatting sqref="Q138 Q141 Q144">
    <cfRule type="cellIs" dxfId="25221" priority="974" operator="lessThan">
      <formula>0</formula>
    </cfRule>
  </conditionalFormatting>
  <conditionalFormatting sqref="R138 R141 R144">
    <cfRule type="cellIs" dxfId="25220" priority="972" operator="lessThan">
      <formula>0.8</formula>
    </cfRule>
    <cfRule type="cellIs" dxfId="25219" priority="973" operator="greaterThan">
      <formula>1</formula>
    </cfRule>
  </conditionalFormatting>
  <conditionalFormatting sqref="R138 R141 R144">
    <cfRule type="cellIs" dxfId="25218" priority="970" operator="greaterThan">
      <formula>1</formula>
    </cfRule>
    <cfRule type="cellIs" dxfId="25217" priority="971" operator="lessThan">
      <formula>0.8</formula>
    </cfRule>
  </conditionalFormatting>
  <conditionalFormatting sqref="Q138 Q141 Q144">
    <cfRule type="cellIs" dxfId="25216" priority="968" operator="lessThan">
      <formula>0</formula>
    </cfRule>
  </conditionalFormatting>
  <conditionalFormatting sqref="R138 R141 R144">
    <cfRule type="cellIs" dxfId="25215" priority="966" operator="lessThan">
      <formula>0.8</formula>
    </cfRule>
    <cfRule type="cellIs" dxfId="25214" priority="967" operator="greaterThan">
      <formula>1</formula>
    </cfRule>
  </conditionalFormatting>
  <conditionalFormatting sqref="R138 R141 R144">
    <cfRule type="cellIs" dxfId="25213" priority="964" operator="greaterThan">
      <formula>1</formula>
    </cfRule>
    <cfRule type="cellIs" dxfId="25212" priority="965" operator="lessThan">
      <formula>0.8</formula>
    </cfRule>
  </conditionalFormatting>
  <conditionalFormatting sqref="P138 P141 P144">
    <cfRule type="cellIs" dxfId="25211" priority="963" operator="greaterThan">
      <formula>0</formula>
    </cfRule>
  </conditionalFormatting>
  <conditionalFormatting sqref="Q138 Q141 Q144">
    <cfRule type="cellIs" dxfId="25210" priority="962" operator="lessThan">
      <formula>0</formula>
    </cfRule>
  </conditionalFormatting>
  <conditionalFormatting sqref="R138 R141 R144">
    <cfRule type="cellIs" dxfId="25209" priority="960" operator="lessThan">
      <formula>0.8</formula>
    </cfRule>
    <cfRule type="cellIs" dxfId="25208" priority="961" operator="greaterThan">
      <formula>1</formula>
    </cfRule>
  </conditionalFormatting>
  <conditionalFormatting sqref="R138 R141 R144">
    <cfRule type="cellIs" dxfId="25207" priority="958" operator="greaterThan">
      <formula>1</formula>
    </cfRule>
    <cfRule type="cellIs" dxfId="25206" priority="959" operator="lessThan">
      <formula>0.8</formula>
    </cfRule>
  </conditionalFormatting>
  <conditionalFormatting sqref="P138 P141 P144">
    <cfRule type="cellIs" dxfId="25205" priority="957" operator="greaterThan">
      <formula>0</formula>
    </cfRule>
  </conditionalFormatting>
  <conditionalFormatting sqref="Q138 Q141 Q144">
    <cfRule type="cellIs" dxfId="25204" priority="956" operator="lessThan">
      <formula>0</formula>
    </cfRule>
  </conditionalFormatting>
  <conditionalFormatting sqref="R138 R141 R144">
    <cfRule type="cellIs" dxfId="25203" priority="954" operator="lessThan">
      <formula>0.8</formula>
    </cfRule>
    <cfRule type="cellIs" dxfId="25202" priority="955" operator="greaterThan">
      <formula>1</formula>
    </cfRule>
  </conditionalFormatting>
  <conditionalFormatting sqref="R138 R141 R144">
    <cfRule type="cellIs" dxfId="25201" priority="952" operator="greaterThan">
      <formula>1</formula>
    </cfRule>
    <cfRule type="cellIs" dxfId="25200" priority="953" operator="lessThan">
      <formula>0.8</formula>
    </cfRule>
  </conditionalFormatting>
  <conditionalFormatting sqref="P138 P141 P144">
    <cfRule type="cellIs" dxfId="25199" priority="951" operator="greaterThan">
      <formula>0</formula>
    </cfRule>
  </conditionalFormatting>
  <conditionalFormatting sqref="Q138 Q141 Q144">
    <cfRule type="cellIs" dxfId="25198" priority="950" operator="lessThan">
      <formula>0</formula>
    </cfRule>
  </conditionalFormatting>
  <conditionalFormatting sqref="R138 R141 R144">
    <cfRule type="cellIs" dxfId="25197" priority="948" operator="lessThan">
      <formula>0.8</formula>
    </cfRule>
    <cfRule type="cellIs" dxfId="25196" priority="949" operator="greaterThan">
      <formula>1</formula>
    </cfRule>
  </conditionalFormatting>
  <conditionalFormatting sqref="R138 R141 R144">
    <cfRule type="cellIs" dxfId="25195" priority="946" operator="greaterThan">
      <formula>1</formula>
    </cfRule>
    <cfRule type="cellIs" dxfId="25194" priority="947" operator="lessThan">
      <formula>0.8</formula>
    </cfRule>
  </conditionalFormatting>
  <conditionalFormatting sqref="Q138 Q141 Q144">
    <cfRule type="cellIs" dxfId="25193" priority="945" operator="lessThan">
      <formula>0</formula>
    </cfRule>
  </conditionalFormatting>
  <conditionalFormatting sqref="R138 R141 R144">
    <cfRule type="cellIs" dxfId="25192" priority="943" operator="lessThan">
      <formula>0.8</formula>
    </cfRule>
    <cfRule type="cellIs" dxfId="25191" priority="944" operator="greaterThan">
      <formula>1</formula>
    </cfRule>
  </conditionalFormatting>
  <conditionalFormatting sqref="R138 R141 R144">
    <cfRule type="cellIs" dxfId="25190" priority="941" operator="greaterThan">
      <formula>1</formula>
    </cfRule>
    <cfRule type="cellIs" dxfId="25189" priority="942" operator="lessThan">
      <formula>0.8</formula>
    </cfRule>
  </conditionalFormatting>
  <conditionalFormatting sqref="P138 P141 P144">
    <cfRule type="cellIs" dxfId="25188" priority="940" operator="greaterThan">
      <formula>0</formula>
    </cfRule>
  </conditionalFormatting>
  <conditionalFormatting sqref="P138 P141 P144">
    <cfRule type="cellIs" dxfId="25187" priority="934" operator="greaterThan">
      <formula>0</formula>
    </cfRule>
  </conditionalFormatting>
  <conditionalFormatting sqref="Q138 Q141 Q144">
    <cfRule type="cellIs" dxfId="25186" priority="939" operator="lessThan">
      <formula>0</formula>
    </cfRule>
  </conditionalFormatting>
  <conditionalFormatting sqref="R138 R141 R144">
    <cfRule type="cellIs" dxfId="25185" priority="937" operator="lessThan">
      <formula>0.8</formula>
    </cfRule>
    <cfRule type="cellIs" dxfId="25184" priority="938" operator="greaterThan">
      <formula>1</formula>
    </cfRule>
  </conditionalFormatting>
  <conditionalFormatting sqref="R138 R141 R144">
    <cfRule type="cellIs" dxfId="25183" priority="935" operator="greaterThan">
      <formula>1</formula>
    </cfRule>
    <cfRule type="cellIs" dxfId="25182" priority="936" operator="lessThan">
      <formula>0.8</formula>
    </cfRule>
  </conditionalFormatting>
  <conditionalFormatting sqref="Q138 Q141 Q144">
    <cfRule type="cellIs" dxfId="25181" priority="933" operator="lessThan">
      <formula>0</formula>
    </cfRule>
  </conditionalFormatting>
  <conditionalFormatting sqref="R138 R141 R144">
    <cfRule type="cellIs" dxfId="25180" priority="931" operator="lessThan">
      <formula>0.8</formula>
    </cfRule>
    <cfRule type="cellIs" dxfId="25179" priority="932" operator="greaterThan">
      <formula>1</formula>
    </cfRule>
  </conditionalFormatting>
  <conditionalFormatting sqref="R138 R141 R144">
    <cfRule type="cellIs" dxfId="25178" priority="929" operator="greaterThan">
      <formula>1</formula>
    </cfRule>
    <cfRule type="cellIs" dxfId="25177" priority="930" operator="lessThan">
      <formula>0.8</formula>
    </cfRule>
  </conditionalFormatting>
  <conditionalFormatting sqref="P138 P141 P144">
    <cfRule type="cellIs" dxfId="25176" priority="928" operator="greaterThan">
      <formula>0</formula>
    </cfRule>
  </conditionalFormatting>
  <conditionalFormatting sqref="Q148:Q153">
    <cfRule type="cellIs" dxfId="25175" priority="927" operator="lessThan">
      <formula>0</formula>
    </cfRule>
  </conditionalFormatting>
  <conditionalFormatting sqref="R148:R153">
    <cfRule type="cellIs" dxfId="25174" priority="925" operator="lessThan">
      <formula>0.8</formula>
    </cfRule>
    <cfRule type="cellIs" dxfId="25173" priority="926" operator="greaterThan">
      <formula>1</formula>
    </cfRule>
  </conditionalFormatting>
  <conditionalFormatting sqref="R148:R153">
    <cfRule type="cellIs" dxfId="25172" priority="923" operator="greaterThan">
      <formula>1</formula>
    </cfRule>
    <cfRule type="cellIs" dxfId="25171" priority="924" operator="lessThan">
      <formula>0.8</formula>
    </cfRule>
  </conditionalFormatting>
  <conditionalFormatting sqref="P148:P153">
    <cfRule type="cellIs" dxfId="25170" priority="922" operator="greaterThan">
      <formula>0</formula>
    </cfRule>
  </conditionalFormatting>
  <conditionalFormatting sqref="P148:P153">
    <cfRule type="cellIs" dxfId="25169" priority="916" operator="greaterThan">
      <formula>0</formula>
    </cfRule>
  </conditionalFormatting>
  <conditionalFormatting sqref="Q148:Q153">
    <cfRule type="cellIs" dxfId="25168" priority="921" operator="lessThan">
      <formula>0</formula>
    </cfRule>
  </conditionalFormatting>
  <conditionalFormatting sqref="R148:R153">
    <cfRule type="cellIs" dxfId="25167" priority="919" operator="lessThan">
      <formula>0.8</formula>
    </cfRule>
    <cfRule type="cellIs" dxfId="25166" priority="920" operator="greaterThan">
      <formula>1</formula>
    </cfRule>
  </conditionalFormatting>
  <conditionalFormatting sqref="R148:R153">
    <cfRule type="cellIs" dxfId="25165" priority="917" operator="greaterThan">
      <formula>1</formula>
    </cfRule>
    <cfRule type="cellIs" dxfId="25164" priority="918" operator="lessThan">
      <formula>0.8</formula>
    </cfRule>
  </conditionalFormatting>
  <conditionalFormatting sqref="Q148:Q153">
    <cfRule type="cellIs" dxfId="25163" priority="915" operator="lessThan">
      <formula>0</formula>
    </cfRule>
  </conditionalFormatting>
  <conditionalFormatting sqref="R148:R153">
    <cfRule type="cellIs" dxfId="25162" priority="913" operator="lessThan">
      <formula>0.8</formula>
    </cfRule>
    <cfRule type="cellIs" dxfId="25161" priority="914" operator="greaterThan">
      <formula>1</formula>
    </cfRule>
  </conditionalFormatting>
  <conditionalFormatting sqref="R148:R153">
    <cfRule type="cellIs" dxfId="25160" priority="911" operator="greaterThan">
      <formula>1</formula>
    </cfRule>
    <cfRule type="cellIs" dxfId="25159" priority="912" operator="lessThan">
      <formula>0.8</formula>
    </cfRule>
  </conditionalFormatting>
  <conditionalFormatting sqref="P148:P153">
    <cfRule type="cellIs" dxfId="25158" priority="910" operator="greaterThan">
      <formula>0</formula>
    </cfRule>
  </conditionalFormatting>
  <conditionalFormatting sqref="Q148:Q153">
    <cfRule type="cellIs" dxfId="25157" priority="909" operator="lessThan">
      <formula>0</formula>
    </cfRule>
  </conditionalFormatting>
  <conditionalFormatting sqref="R148:R153">
    <cfRule type="cellIs" dxfId="25156" priority="907" operator="lessThan">
      <formula>0.8</formula>
    </cfRule>
    <cfRule type="cellIs" dxfId="25155" priority="908" operator="greaterThan">
      <formula>1</formula>
    </cfRule>
  </conditionalFormatting>
  <conditionalFormatting sqref="R148:R153">
    <cfRule type="cellIs" dxfId="25154" priority="905" operator="greaterThan">
      <formula>1</formula>
    </cfRule>
    <cfRule type="cellIs" dxfId="25153" priority="906" operator="lessThan">
      <formula>0.8</formula>
    </cfRule>
  </conditionalFormatting>
  <conditionalFormatting sqref="P148:P153">
    <cfRule type="cellIs" dxfId="25152" priority="904" operator="greaterThan">
      <formula>0</formula>
    </cfRule>
  </conditionalFormatting>
  <conditionalFormatting sqref="P148:P153">
    <cfRule type="cellIs" dxfId="25151" priority="898" operator="greaterThan">
      <formula>0</formula>
    </cfRule>
  </conditionalFormatting>
  <conditionalFormatting sqref="Q148:Q153">
    <cfRule type="cellIs" dxfId="25150" priority="903" operator="lessThan">
      <formula>0</formula>
    </cfRule>
  </conditionalFormatting>
  <conditionalFormatting sqref="R148:R153">
    <cfRule type="cellIs" dxfId="25149" priority="901" operator="lessThan">
      <formula>0.8</formula>
    </cfRule>
    <cfRule type="cellIs" dxfId="25148" priority="902" operator="greaterThan">
      <formula>1</formula>
    </cfRule>
  </conditionalFormatting>
  <conditionalFormatting sqref="R148:R153">
    <cfRule type="cellIs" dxfId="25147" priority="899" operator="greaterThan">
      <formula>1</formula>
    </cfRule>
    <cfRule type="cellIs" dxfId="25146" priority="900" operator="lessThan">
      <formula>0.8</formula>
    </cfRule>
  </conditionalFormatting>
  <conditionalFormatting sqref="Q148:Q153">
    <cfRule type="cellIs" dxfId="25145" priority="897" operator="lessThan">
      <formula>0</formula>
    </cfRule>
  </conditionalFormatting>
  <conditionalFormatting sqref="R148:R153">
    <cfRule type="cellIs" dxfId="25144" priority="895" operator="lessThan">
      <formula>0.8</formula>
    </cfRule>
    <cfRule type="cellIs" dxfId="25143" priority="896" operator="greaterThan">
      <formula>1</formula>
    </cfRule>
  </conditionalFormatting>
  <conditionalFormatting sqref="R148:R153">
    <cfRule type="cellIs" dxfId="25142" priority="893" operator="greaterThan">
      <formula>1</formula>
    </cfRule>
    <cfRule type="cellIs" dxfId="25141" priority="894" operator="lessThan">
      <formula>0.8</formula>
    </cfRule>
  </conditionalFormatting>
  <conditionalFormatting sqref="P148:P153">
    <cfRule type="cellIs" dxfId="25140" priority="892" operator="greaterThan">
      <formula>0</formula>
    </cfRule>
  </conditionalFormatting>
  <conditionalFormatting sqref="Q148:Q153">
    <cfRule type="cellIs" dxfId="25139" priority="886" operator="lessThan">
      <formula>0</formula>
    </cfRule>
  </conditionalFormatting>
  <conditionalFormatting sqref="P148:P153">
    <cfRule type="cellIs" dxfId="25138" priority="887" operator="greaterThan">
      <formula>0</formula>
    </cfRule>
  </conditionalFormatting>
  <conditionalFormatting sqref="R148:R153">
    <cfRule type="cellIs" dxfId="25137" priority="890" operator="lessThan">
      <formula>0.8</formula>
    </cfRule>
    <cfRule type="cellIs" dxfId="25136" priority="891" operator="greaterThan">
      <formula>1</formula>
    </cfRule>
  </conditionalFormatting>
  <conditionalFormatting sqref="R148:R153">
    <cfRule type="cellIs" dxfId="25135" priority="888" operator="greaterThan">
      <formula>1</formula>
    </cfRule>
    <cfRule type="cellIs" dxfId="25134" priority="889" operator="lessThan">
      <formula>0.8</formula>
    </cfRule>
  </conditionalFormatting>
  <conditionalFormatting sqref="Q148:Q153">
    <cfRule type="cellIs" dxfId="25133" priority="880" operator="lessThan">
      <formula>0</formula>
    </cfRule>
  </conditionalFormatting>
  <conditionalFormatting sqref="R148:R153">
    <cfRule type="cellIs" dxfId="25132" priority="884" operator="lessThan">
      <formula>0.8</formula>
    </cfRule>
    <cfRule type="cellIs" dxfId="25131" priority="885" operator="greaterThan">
      <formula>1</formula>
    </cfRule>
  </conditionalFormatting>
  <conditionalFormatting sqref="R148:R153">
    <cfRule type="cellIs" dxfId="25130" priority="882" operator="greaterThan">
      <formula>1</formula>
    </cfRule>
    <cfRule type="cellIs" dxfId="25129" priority="883" operator="lessThan">
      <formula>0.8</formula>
    </cfRule>
  </conditionalFormatting>
  <conditionalFormatting sqref="P148:P153">
    <cfRule type="cellIs" dxfId="25128" priority="881" operator="greaterThan">
      <formula>0</formula>
    </cfRule>
  </conditionalFormatting>
  <conditionalFormatting sqref="Q148:Q153">
    <cfRule type="cellIs" dxfId="25127" priority="879" operator="lessThan">
      <formula>0</formula>
    </cfRule>
  </conditionalFormatting>
  <conditionalFormatting sqref="R148:R153">
    <cfRule type="cellIs" dxfId="25126" priority="877" operator="lessThan">
      <formula>0.8</formula>
    </cfRule>
    <cfRule type="cellIs" dxfId="25125" priority="878" operator="greaterThan">
      <formula>1</formula>
    </cfRule>
  </conditionalFormatting>
  <conditionalFormatting sqref="R148:R153">
    <cfRule type="cellIs" dxfId="25124" priority="875" operator="greaterThan">
      <formula>1</formula>
    </cfRule>
    <cfRule type="cellIs" dxfId="25123" priority="876" operator="lessThan">
      <formula>0.8</formula>
    </cfRule>
  </conditionalFormatting>
  <conditionalFormatting sqref="P148:P153">
    <cfRule type="cellIs" dxfId="25122" priority="874" operator="greaterThan">
      <formula>0</formula>
    </cfRule>
  </conditionalFormatting>
  <conditionalFormatting sqref="Q148:Q153">
    <cfRule type="cellIs" dxfId="25121" priority="873" operator="lessThan">
      <formula>0</formula>
    </cfRule>
  </conditionalFormatting>
  <conditionalFormatting sqref="R148:R153">
    <cfRule type="cellIs" dxfId="25120" priority="871" operator="lessThan">
      <formula>0.8</formula>
    </cfRule>
    <cfRule type="cellIs" dxfId="25119" priority="872" operator="greaterThan">
      <formula>1</formula>
    </cfRule>
  </conditionalFormatting>
  <conditionalFormatting sqref="R148:R153">
    <cfRule type="cellIs" dxfId="25118" priority="869" operator="greaterThan">
      <formula>1</formula>
    </cfRule>
    <cfRule type="cellIs" dxfId="25117" priority="870" operator="lessThan">
      <formula>0.8</formula>
    </cfRule>
  </conditionalFormatting>
  <conditionalFormatting sqref="P148:P153">
    <cfRule type="cellIs" dxfId="25116" priority="868" operator="greaterThan">
      <formula>0</formula>
    </cfRule>
  </conditionalFormatting>
  <conditionalFormatting sqref="Q148:Q153">
    <cfRule type="cellIs" dxfId="25115" priority="867" operator="lessThan">
      <formula>0</formula>
    </cfRule>
  </conditionalFormatting>
  <conditionalFormatting sqref="R148:R153">
    <cfRule type="cellIs" dxfId="25114" priority="865" operator="lessThan">
      <formula>0.8</formula>
    </cfRule>
    <cfRule type="cellIs" dxfId="25113" priority="866" operator="greaterThan">
      <formula>1</formula>
    </cfRule>
  </conditionalFormatting>
  <conditionalFormatting sqref="R148:R153">
    <cfRule type="cellIs" dxfId="25112" priority="863" operator="greaterThan">
      <formula>1</formula>
    </cfRule>
    <cfRule type="cellIs" dxfId="25111" priority="864" operator="lessThan">
      <formula>0.8</formula>
    </cfRule>
  </conditionalFormatting>
  <conditionalFormatting sqref="P148:P153">
    <cfRule type="cellIs" dxfId="25110" priority="862" operator="greaterThan">
      <formula>0</formula>
    </cfRule>
  </conditionalFormatting>
  <conditionalFormatting sqref="Q148:Q153">
    <cfRule type="cellIs" dxfId="25109" priority="861" operator="lessThan">
      <formula>0</formula>
    </cfRule>
  </conditionalFormatting>
  <conditionalFormatting sqref="R148:R153">
    <cfRule type="cellIs" dxfId="25108" priority="859" operator="lessThan">
      <formula>0.8</formula>
    </cfRule>
    <cfRule type="cellIs" dxfId="25107" priority="860" operator="greaterThan">
      <formula>1</formula>
    </cfRule>
  </conditionalFormatting>
  <conditionalFormatting sqref="R148:R153">
    <cfRule type="cellIs" dxfId="25106" priority="857" operator="greaterThan">
      <formula>1</formula>
    </cfRule>
    <cfRule type="cellIs" dxfId="25105" priority="858" operator="lessThan">
      <formula>0.8</formula>
    </cfRule>
  </conditionalFormatting>
  <conditionalFormatting sqref="P148:P153">
    <cfRule type="cellIs" dxfId="25104" priority="856" operator="greaterThan">
      <formula>0</formula>
    </cfRule>
  </conditionalFormatting>
  <conditionalFormatting sqref="Q148:Q153">
    <cfRule type="cellIs" dxfId="25103" priority="855" operator="lessThan">
      <formula>0</formula>
    </cfRule>
  </conditionalFormatting>
  <conditionalFormatting sqref="R148:R153">
    <cfRule type="cellIs" dxfId="25102" priority="853" operator="lessThan">
      <formula>0.8</formula>
    </cfRule>
    <cfRule type="cellIs" dxfId="25101" priority="854" operator="greaterThan">
      <formula>1</formula>
    </cfRule>
  </conditionalFormatting>
  <conditionalFormatting sqref="R148:R153">
    <cfRule type="cellIs" dxfId="25100" priority="851" operator="greaterThan">
      <formula>1</formula>
    </cfRule>
    <cfRule type="cellIs" dxfId="25099" priority="852" operator="lessThan">
      <formula>0.8</formula>
    </cfRule>
  </conditionalFormatting>
  <conditionalFormatting sqref="P148:P153">
    <cfRule type="cellIs" dxfId="25098" priority="850" operator="greaterThan">
      <formula>0</formula>
    </cfRule>
  </conditionalFormatting>
  <conditionalFormatting sqref="Q148:Q153">
    <cfRule type="cellIs" dxfId="25097" priority="849" operator="lessThan">
      <formula>0</formula>
    </cfRule>
  </conditionalFormatting>
  <conditionalFormatting sqref="R148:R153">
    <cfRule type="cellIs" dxfId="25096" priority="847" operator="lessThan">
      <formula>0.8</formula>
    </cfRule>
    <cfRule type="cellIs" dxfId="25095" priority="848" operator="greaterThan">
      <formula>1</formula>
    </cfRule>
  </conditionalFormatting>
  <conditionalFormatting sqref="R148:R153">
    <cfRule type="cellIs" dxfId="25094" priority="845" operator="greaterThan">
      <formula>1</formula>
    </cfRule>
    <cfRule type="cellIs" dxfId="25093" priority="846" operator="lessThan">
      <formula>0.8</formula>
    </cfRule>
  </conditionalFormatting>
  <conditionalFormatting sqref="P148:P153">
    <cfRule type="cellIs" dxfId="25092" priority="844" operator="greaterThan">
      <formula>0</formula>
    </cfRule>
  </conditionalFormatting>
  <conditionalFormatting sqref="Q148:Q153">
    <cfRule type="cellIs" dxfId="25091" priority="843" operator="lessThan">
      <formula>0</formula>
    </cfRule>
  </conditionalFormatting>
  <conditionalFormatting sqref="R148:R153">
    <cfRule type="cellIs" dxfId="25090" priority="841" operator="lessThan">
      <formula>0.8</formula>
    </cfRule>
    <cfRule type="cellIs" dxfId="25089" priority="842" operator="greaterThan">
      <formula>1</formula>
    </cfRule>
  </conditionalFormatting>
  <conditionalFormatting sqref="R148:R153">
    <cfRule type="cellIs" dxfId="25088" priority="839" operator="greaterThan">
      <formula>1</formula>
    </cfRule>
    <cfRule type="cellIs" dxfId="25087" priority="840" operator="lessThan">
      <formula>0.8</formula>
    </cfRule>
  </conditionalFormatting>
  <conditionalFormatting sqref="P148:P153">
    <cfRule type="cellIs" dxfId="25086" priority="838" operator="greaterThan">
      <formula>0</formula>
    </cfRule>
  </conditionalFormatting>
  <conditionalFormatting sqref="P148:P153">
    <cfRule type="cellIs" dxfId="25085" priority="832" operator="greaterThan">
      <formula>0</formula>
    </cfRule>
  </conditionalFormatting>
  <conditionalFormatting sqref="Q148:Q153">
    <cfRule type="cellIs" dxfId="25084" priority="837" operator="lessThan">
      <formula>0</formula>
    </cfRule>
  </conditionalFormatting>
  <conditionalFormatting sqref="R148:R153">
    <cfRule type="cellIs" dxfId="25083" priority="835" operator="lessThan">
      <formula>0.8</formula>
    </cfRule>
    <cfRule type="cellIs" dxfId="25082" priority="836" operator="greaterThan">
      <formula>1</formula>
    </cfRule>
  </conditionalFormatting>
  <conditionalFormatting sqref="R148:R153">
    <cfRule type="cellIs" dxfId="25081" priority="833" operator="greaterThan">
      <formula>1</formula>
    </cfRule>
    <cfRule type="cellIs" dxfId="25080" priority="834" operator="lessThan">
      <formula>0.8</formula>
    </cfRule>
  </conditionalFormatting>
  <conditionalFormatting sqref="P148:P153">
    <cfRule type="cellIs" dxfId="25079" priority="826" operator="greaterThan">
      <formula>0</formula>
    </cfRule>
  </conditionalFormatting>
  <conditionalFormatting sqref="Q148:Q153">
    <cfRule type="cellIs" dxfId="25078" priority="831" operator="lessThan">
      <formula>0</formula>
    </cfRule>
  </conditionalFormatting>
  <conditionalFormatting sqref="R148:R153">
    <cfRule type="cellIs" dxfId="25077" priority="829" operator="lessThan">
      <formula>0.8</formula>
    </cfRule>
    <cfRule type="cellIs" dxfId="25076" priority="830" operator="greaterThan">
      <formula>1</formula>
    </cfRule>
  </conditionalFormatting>
  <conditionalFormatting sqref="R148:R153">
    <cfRule type="cellIs" dxfId="25075" priority="827" operator="greaterThan">
      <formula>1</formula>
    </cfRule>
    <cfRule type="cellIs" dxfId="25074" priority="828" operator="lessThan">
      <formula>0.8</formula>
    </cfRule>
  </conditionalFormatting>
  <conditionalFormatting sqref="R148:R153">
    <cfRule type="cellIs" dxfId="25073" priority="823" operator="lessThan">
      <formula>0.8</formula>
    </cfRule>
    <cfRule type="cellIs" dxfId="25072" priority="824" operator="greaterThan">
      <formula>1</formula>
    </cfRule>
  </conditionalFormatting>
  <conditionalFormatting sqref="R148:R153">
    <cfRule type="cellIs" dxfId="25071" priority="821" operator="greaterThan">
      <formula>1</formula>
    </cfRule>
    <cfRule type="cellIs" dxfId="25070" priority="822" operator="lessThan">
      <formula>0.8</formula>
    </cfRule>
  </conditionalFormatting>
  <conditionalFormatting sqref="P148:P153">
    <cfRule type="cellIs" dxfId="25069" priority="820" operator="greaterThan">
      <formula>0</formula>
    </cfRule>
  </conditionalFormatting>
  <conditionalFormatting sqref="Q148:Q153">
    <cfRule type="cellIs" dxfId="25068" priority="825" operator="lessThan">
      <formula>0</formula>
    </cfRule>
  </conditionalFormatting>
  <conditionalFormatting sqref="Q148:Q153">
    <cfRule type="cellIs" dxfId="25067" priority="819" operator="lessThan">
      <formula>0</formula>
    </cfRule>
  </conditionalFormatting>
  <conditionalFormatting sqref="R148:R153">
    <cfRule type="cellIs" dxfId="25066" priority="817" operator="lessThan">
      <formula>0.8</formula>
    </cfRule>
    <cfRule type="cellIs" dxfId="25065" priority="818" operator="greaterThan">
      <formula>1</formula>
    </cfRule>
  </conditionalFormatting>
  <conditionalFormatting sqref="R148:R153">
    <cfRule type="cellIs" dxfId="25064" priority="815" operator="greaterThan">
      <formula>1</formula>
    </cfRule>
    <cfRule type="cellIs" dxfId="25063" priority="816" operator="lessThan">
      <formula>0.8</formula>
    </cfRule>
  </conditionalFormatting>
  <conditionalFormatting sqref="P148:P153">
    <cfRule type="cellIs" dxfId="25062" priority="814" operator="greaterThan">
      <formula>0</formula>
    </cfRule>
  </conditionalFormatting>
  <conditionalFormatting sqref="P148:P153">
    <cfRule type="cellIs" dxfId="25061" priority="808" operator="greaterThan">
      <formula>0</formula>
    </cfRule>
  </conditionalFormatting>
  <conditionalFormatting sqref="Q148:Q153">
    <cfRule type="cellIs" dxfId="25060" priority="813" operator="lessThan">
      <formula>0</formula>
    </cfRule>
  </conditionalFormatting>
  <conditionalFormatting sqref="R148:R153">
    <cfRule type="cellIs" dxfId="25059" priority="811" operator="lessThan">
      <formula>0.8</formula>
    </cfRule>
    <cfRule type="cellIs" dxfId="25058" priority="812" operator="greaterThan">
      <formula>1</formula>
    </cfRule>
  </conditionalFormatting>
  <conditionalFormatting sqref="R148:R153">
    <cfRule type="cellIs" dxfId="25057" priority="809" operator="greaterThan">
      <formula>1</formula>
    </cfRule>
    <cfRule type="cellIs" dxfId="25056" priority="810" operator="lessThan">
      <formula>0.8</formula>
    </cfRule>
  </conditionalFormatting>
  <conditionalFormatting sqref="P148:P153">
    <cfRule type="cellIs" dxfId="25055" priority="802" operator="greaterThan">
      <formula>0</formula>
    </cfRule>
  </conditionalFormatting>
  <conditionalFormatting sqref="Q148:Q153">
    <cfRule type="cellIs" dxfId="25054" priority="807" operator="lessThan">
      <formula>0</formula>
    </cfRule>
  </conditionalFormatting>
  <conditionalFormatting sqref="R148:R153">
    <cfRule type="cellIs" dxfId="25053" priority="805" operator="lessThan">
      <formula>0.8</formula>
    </cfRule>
    <cfRule type="cellIs" dxfId="25052" priority="806" operator="greaterThan">
      <formula>1</formula>
    </cfRule>
  </conditionalFormatting>
  <conditionalFormatting sqref="R148:R153">
    <cfRule type="cellIs" dxfId="25051" priority="803" operator="greaterThan">
      <formula>1</formula>
    </cfRule>
    <cfRule type="cellIs" dxfId="25050" priority="804" operator="lessThan">
      <formula>0.8</formula>
    </cfRule>
  </conditionalFormatting>
  <conditionalFormatting sqref="R148:R153">
    <cfRule type="cellIs" dxfId="25049" priority="799" operator="lessThan">
      <formula>0.8</formula>
    </cfRule>
    <cfRule type="cellIs" dxfId="25048" priority="800" operator="greaterThan">
      <formula>1</formula>
    </cfRule>
  </conditionalFormatting>
  <conditionalFormatting sqref="R148:R153">
    <cfRule type="cellIs" dxfId="25047" priority="797" operator="greaterThan">
      <formula>1</formula>
    </cfRule>
    <cfRule type="cellIs" dxfId="25046" priority="798" operator="lessThan">
      <formula>0.8</formula>
    </cfRule>
  </conditionalFormatting>
  <conditionalFormatting sqref="P148:P153">
    <cfRule type="cellIs" dxfId="25045" priority="796" operator="greaterThan">
      <formula>0</formula>
    </cfRule>
  </conditionalFormatting>
  <conditionalFormatting sqref="Q148:Q153">
    <cfRule type="cellIs" dxfId="25044" priority="801" operator="lessThan">
      <formula>0</formula>
    </cfRule>
  </conditionalFormatting>
  <conditionalFormatting sqref="P148:P153">
    <cfRule type="cellIs" dxfId="25043" priority="790" operator="greaterThan">
      <formula>0</formula>
    </cfRule>
  </conditionalFormatting>
  <conditionalFormatting sqref="Q148:Q153">
    <cfRule type="cellIs" dxfId="25042" priority="795" operator="lessThan">
      <formula>0</formula>
    </cfRule>
  </conditionalFormatting>
  <conditionalFormatting sqref="R148:R153">
    <cfRule type="cellIs" dxfId="25041" priority="793" operator="lessThan">
      <formula>0.8</formula>
    </cfRule>
    <cfRule type="cellIs" dxfId="25040" priority="794" operator="greaterThan">
      <formula>1</formula>
    </cfRule>
  </conditionalFormatting>
  <conditionalFormatting sqref="R148:R153">
    <cfRule type="cellIs" dxfId="25039" priority="791" operator="greaterThan">
      <formula>1</formula>
    </cfRule>
    <cfRule type="cellIs" dxfId="25038" priority="792" operator="lessThan">
      <formula>0.8</formula>
    </cfRule>
  </conditionalFormatting>
  <conditionalFormatting sqref="R148:R153">
    <cfRule type="cellIs" dxfId="25037" priority="787" operator="lessThan">
      <formula>0.8</formula>
    </cfRule>
    <cfRule type="cellIs" dxfId="25036" priority="788" operator="greaterThan">
      <formula>1</formula>
    </cfRule>
  </conditionalFormatting>
  <conditionalFormatting sqref="R148:R153">
    <cfRule type="cellIs" dxfId="25035" priority="785" operator="greaterThan">
      <formula>1</formula>
    </cfRule>
    <cfRule type="cellIs" dxfId="25034" priority="786" operator="lessThan">
      <formula>0.8</formula>
    </cfRule>
  </conditionalFormatting>
  <conditionalFormatting sqref="P148:P153">
    <cfRule type="cellIs" dxfId="25033" priority="784" operator="greaterThan">
      <formula>0</formula>
    </cfRule>
  </conditionalFormatting>
  <conditionalFormatting sqref="Q148:Q153">
    <cfRule type="cellIs" dxfId="25032" priority="789" operator="lessThan">
      <formula>0</formula>
    </cfRule>
  </conditionalFormatting>
  <conditionalFormatting sqref="R148:R153">
    <cfRule type="cellIs" dxfId="25031" priority="781" operator="lessThan">
      <formula>0.8</formula>
    </cfRule>
    <cfRule type="cellIs" dxfId="25030" priority="782" operator="greaterThan">
      <formula>1</formula>
    </cfRule>
  </conditionalFormatting>
  <conditionalFormatting sqref="R148:R153">
    <cfRule type="cellIs" dxfId="25029" priority="779" operator="greaterThan">
      <formula>1</formula>
    </cfRule>
    <cfRule type="cellIs" dxfId="25028" priority="780" operator="lessThan">
      <formula>0.8</formula>
    </cfRule>
  </conditionalFormatting>
  <conditionalFormatting sqref="P148:P153">
    <cfRule type="cellIs" dxfId="25027" priority="778" operator="greaterThan">
      <formula>0</formula>
    </cfRule>
  </conditionalFormatting>
  <conditionalFormatting sqref="Q148:Q153">
    <cfRule type="cellIs" dxfId="25026" priority="783" operator="lessThan">
      <formula>0</formula>
    </cfRule>
  </conditionalFormatting>
  <conditionalFormatting sqref="Q148:Q153">
    <cfRule type="cellIs" dxfId="25025" priority="777" operator="lessThan">
      <formula>0</formula>
    </cfRule>
  </conditionalFormatting>
  <conditionalFormatting sqref="R148:R153">
    <cfRule type="cellIs" dxfId="25024" priority="775" operator="lessThan">
      <formula>0.8</formula>
    </cfRule>
    <cfRule type="cellIs" dxfId="25023" priority="776" operator="greaterThan">
      <formula>1</formula>
    </cfRule>
  </conditionalFormatting>
  <conditionalFormatting sqref="R148:R153">
    <cfRule type="cellIs" dxfId="25022" priority="773" operator="greaterThan">
      <formula>1</formula>
    </cfRule>
    <cfRule type="cellIs" dxfId="25021" priority="774" operator="lessThan">
      <formula>0.8</formula>
    </cfRule>
  </conditionalFormatting>
  <conditionalFormatting sqref="P148:P153">
    <cfRule type="cellIs" dxfId="25020" priority="772" operator="greaterThan">
      <formula>0</formula>
    </cfRule>
  </conditionalFormatting>
  <conditionalFormatting sqref="Q148:Q153">
    <cfRule type="cellIs" dxfId="25019" priority="766" operator="lessThan">
      <formula>0</formula>
    </cfRule>
  </conditionalFormatting>
  <conditionalFormatting sqref="R148:R153">
    <cfRule type="cellIs" dxfId="25018" priority="770" operator="lessThan">
      <formula>0.8</formula>
    </cfRule>
    <cfRule type="cellIs" dxfId="25017" priority="771" operator="greaterThan">
      <formula>1</formula>
    </cfRule>
  </conditionalFormatting>
  <conditionalFormatting sqref="R148:R153">
    <cfRule type="cellIs" dxfId="25016" priority="768" operator="greaterThan">
      <formula>1</formula>
    </cfRule>
    <cfRule type="cellIs" dxfId="25015" priority="769" operator="lessThan">
      <formula>0.8</formula>
    </cfRule>
  </conditionalFormatting>
  <conditionalFormatting sqref="P148:P153">
    <cfRule type="cellIs" dxfId="25014" priority="767" operator="greaterThan">
      <formula>0</formula>
    </cfRule>
  </conditionalFormatting>
  <conditionalFormatting sqref="Q148:Q153">
    <cfRule type="cellIs" dxfId="25013" priority="765" operator="lessThan">
      <formula>0</formula>
    </cfRule>
  </conditionalFormatting>
  <conditionalFormatting sqref="R148:R153">
    <cfRule type="cellIs" dxfId="25012" priority="763" operator="lessThan">
      <formula>0.8</formula>
    </cfRule>
    <cfRule type="cellIs" dxfId="25011" priority="764" operator="greaterThan">
      <formula>1</formula>
    </cfRule>
  </conditionalFormatting>
  <conditionalFormatting sqref="R148:R153">
    <cfRule type="cellIs" dxfId="25010" priority="761" operator="greaterThan">
      <formula>1</formula>
    </cfRule>
    <cfRule type="cellIs" dxfId="25009" priority="762" operator="lessThan">
      <formula>0.8</formula>
    </cfRule>
  </conditionalFormatting>
  <conditionalFormatting sqref="P148:P153">
    <cfRule type="cellIs" dxfId="25008" priority="760" operator="greaterThan">
      <formula>0</formula>
    </cfRule>
  </conditionalFormatting>
  <conditionalFormatting sqref="Q148:Q153">
    <cfRule type="cellIs" dxfId="25007" priority="759" operator="lessThan">
      <formula>0</formula>
    </cfRule>
  </conditionalFormatting>
  <conditionalFormatting sqref="R148:R153">
    <cfRule type="cellIs" dxfId="25006" priority="757" operator="lessThan">
      <formula>0.8</formula>
    </cfRule>
    <cfRule type="cellIs" dxfId="25005" priority="758" operator="greaterThan">
      <formula>1</formula>
    </cfRule>
  </conditionalFormatting>
  <conditionalFormatting sqref="R148:R153">
    <cfRule type="cellIs" dxfId="25004" priority="755" operator="greaterThan">
      <formula>1</formula>
    </cfRule>
    <cfRule type="cellIs" dxfId="25003" priority="756" operator="lessThan">
      <formula>0.8</formula>
    </cfRule>
  </conditionalFormatting>
  <conditionalFormatting sqref="P148:P153">
    <cfRule type="cellIs" dxfId="25002" priority="754" operator="greaterThan">
      <formula>0</formula>
    </cfRule>
  </conditionalFormatting>
  <conditionalFormatting sqref="Q148:Q153">
    <cfRule type="cellIs" dxfId="25001" priority="753" operator="lessThan">
      <formula>0</formula>
    </cfRule>
  </conditionalFormatting>
  <conditionalFormatting sqref="R148:R153">
    <cfRule type="cellIs" dxfId="25000" priority="751" operator="lessThan">
      <formula>0.8</formula>
    </cfRule>
    <cfRule type="cellIs" dxfId="24999" priority="752" operator="greaterThan">
      <formula>1</formula>
    </cfRule>
  </conditionalFormatting>
  <conditionalFormatting sqref="R148:R153">
    <cfRule type="cellIs" dxfId="24998" priority="749" operator="greaterThan">
      <formula>1</formula>
    </cfRule>
    <cfRule type="cellIs" dxfId="24997" priority="750" operator="lessThan">
      <formula>0.8</formula>
    </cfRule>
  </conditionalFormatting>
  <conditionalFormatting sqref="P148:P153">
    <cfRule type="cellIs" dxfId="24996" priority="748" operator="greaterThan">
      <formula>0</formula>
    </cfRule>
  </conditionalFormatting>
  <conditionalFormatting sqref="Q148:Q153">
    <cfRule type="cellIs" dxfId="24995" priority="747" operator="lessThan">
      <formula>0</formula>
    </cfRule>
  </conditionalFormatting>
  <conditionalFormatting sqref="R148:R153">
    <cfRule type="cellIs" dxfId="24994" priority="745" operator="lessThan">
      <formula>0.8</formula>
    </cfRule>
    <cfRule type="cellIs" dxfId="24993" priority="746" operator="greaterThan">
      <formula>1</formula>
    </cfRule>
  </conditionalFormatting>
  <conditionalFormatting sqref="R148:R153">
    <cfRule type="cellIs" dxfId="24992" priority="743" operator="greaterThan">
      <formula>1</formula>
    </cfRule>
    <cfRule type="cellIs" dxfId="24991" priority="744" operator="lessThan">
      <formula>0.8</formula>
    </cfRule>
  </conditionalFormatting>
  <conditionalFormatting sqref="P148:P153">
    <cfRule type="cellIs" dxfId="24990" priority="742" operator="greaterThan">
      <formula>0</formula>
    </cfRule>
  </conditionalFormatting>
  <conditionalFormatting sqref="Q148:Q153">
    <cfRule type="cellIs" dxfId="24989" priority="741" operator="lessThan">
      <formula>0</formula>
    </cfRule>
  </conditionalFormatting>
  <conditionalFormatting sqref="R148:R153">
    <cfRule type="cellIs" dxfId="24988" priority="739" operator="lessThan">
      <formula>0.8</formula>
    </cfRule>
    <cfRule type="cellIs" dxfId="24987" priority="740" operator="greaterThan">
      <formula>1</formula>
    </cfRule>
  </conditionalFormatting>
  <conditionalFormatting sqref="R148:R153">
    <cfRule type="cellIs" dxfId="24986" priority="737" operator="greaterThan">
      <formula>1</formula>
    </cfRule>
    <cfRule type="cellIs" dxfId="24985" priority="738" operator="lessThan">
      <formula>0.8</formula>
    </cfRule>
  </conditionalFormatting>
  <conditionalFormatting sqref="P148:P153">
    <cfRule type="cellIs" dxfId="24984" priority="736" operator="greaterThan">
      <formula>0</formula>
    </cfRule>
  </conditionalFormatting>
  <conditionalFormatting sqref="P148:P153">
    <cfRule type="cellIs" dxfId="24983" priority="730" operator="greaterThan">
      <formula>0</formula>
    </cfRule>
  </conditionalFormatting>
  <conditionalFormatting sqref="Q148:Q153">
    <cfRule type="cellIs" dxfId="24982" priority="735" operator="lessThan">
      <formula>0</formula>
    </cfRule>
  </conditionalFormatting>
  <conditionalFormatting sqref="R148:R153">
    <cfRule type="cellIs" dxfId="24981" priority="733" operator="lessThan">
      <formula>0.8</formula>
    </cfRule>
    <cfRule type="cellIs" dxfId="24980" priority="734" operator="greaterThan">
      <formula>1</formula>
    </cfRule>
  </conditionalFormatting>
  <conditionalFormatting sqref="R148:R153">
    <cfRule type="cellIs" dxfId="24979" priority="731" operator="greaterThan">
      <formula>1</formula>
    </cfRule>
    <cfRule type="cellIs" dxfId="24978" priority="732" operator="lessThan">
      <formula>0.8</formula>
    </cfRule>
  </conditionalFormatting>
  <conditionalFormatting sqref="P148:P153">
    <cfRule type="cellIs" dxfId="24977" priority="724" operator="greaterThan">
      <formula>0</formula>
    </cfRule>
  </conditionalFormatting>
  <conditionalFormatting sqref="Q148:Q153">
    <cfRule type="cellIs" dxfId="24976" priority="729" operator="lessThan">
      <formula>0</formula>
    </cfRule>
  </conditionalFormatting>
  <conditionalFormatting sqref="R148:R153">
    <cfRule type="cellIs" dxfId="24975" priority="727" operator="lessThan">
      <formula>0.8</formula>
    </cfRule>
    <cfRule type="cellIs" dxfId="24974" priority="728" operator="greaterThan">
      <formula>1</formula>
    </cfRule>
  </conditionalFormatting>
  <conditionalFormatting sqref="R148:R153">
    <cfRule type="cellIs" dxfId="24973" priority="725" operator="greaterThan">
      <formula>1</formula>
    </cfRule>
    <cfRule type="cellIs" dxfId="24972" priority="726" operator="lessThan">
      <formula>0.8</formula>
    </cfRule>
  </conditionalFormatting>
  <conditionalFormatting sqref="R148:R153">
    <cfRule type="cellIs" dxfId="24971" priority="721" operator="lessThan">
      <formula>0.8</formula>
    </cfRule>
    <cfRule type="cellIs" dxfId="24970" priority="722" operator="greaterThan">
      <formula>1</formula>
    </cfRule>
  </conditionalFormatting>
  <conditionalFormatting sqref="R148:R153">
    <cfRule type="cellIs" dxfId="24969" priority="719" operator="greaterThan">
      <formula>1</formula>
    </cfRule>
    <cfRule type="cellIs" dxfId="24968" priority="720" operator="lessThan">
      <formula>0.8</formula>
    </cfRule>
  </conditionalFormatting>
  <conditionalFormatting sqref="P148:P153">
    <cfRule type="cellIs" dxfId="24967" priority="718" operator="greaterThan">
      <formula>0</formula>
    </cfRule>
  </conditionalFormatting>
  <conditionalFormatting sqref="Q148:Q153">
    <cfRule type="cellIs" dxfId="24966" priority="723" operator="lessThan">
      <formula>0</formula>
    </cfRule>
  </conditionalFormatting>
  <conditionalFormatting sqref="P44:P51">
    <cfRule type="cellIs" dxfId="24965" priority="712" operator="greaterThan">
      <formula>0</formula>
    </cfRule>
  </conditionalFormatting>
  <conditionalFormatting sqref="Q44:Q51">
    <cfRule type="cellIs" dxfId="24964" priority="717" operator="lessThan">
      <formula>0</formula>
    </cfRule>
  </conditionalFormatting>
  <conditionalFormatting sqref="R44:R51">
    <cfRule type="cellIs" dxfId="24963" priority="715" operator="lessThan">
      <formula>0.8</formula>
    </cfRule>
    <cfRule type="cellIs" dxfId="24962" priority="716" operator="greaterThan">
      <formula>1</formula>
    </cfRule>
  </conditionalFormatting>
  <conditionalFormatting sqref="R44:R51">
    <cfRule type="cellIs" dxfId="24961" priority="713" operator="greaterThan">
      <formula>1</formula>
    </cfRule>
    <cfRule type="cellIs" dxfId="24960" priority="714" operator="lessThan">
      <formula>0.8</formula>
    </cfRule>
  </conditionalFormatting>
  <conditionalFormatting sqref="Q84:Q91">
    <cfRule type="cellIs" dxfId="24959" priority="711" operator="lessThan">
      <formula>0</formula>
    </cfRule>
  </conditionalFormatting>
  <conditionalFormatting sqref="R84:R91">
    <cfRule type="cellIs" dxfId="24958" priority="709" operator="lessThan">
      <formula>0.8</formula>
    </cfRule>
    <cfRule type="cellIs" dxfId="24957" priority="710" operator="greaterThan">
      <formula>1</formula>
    </cfRule>
  </conditionalFormatting>
  <conditionalFormatting sqref="R84:R91">
    <cfRule type="cellIs" dxfId="24956" priority="707" operator="greaterThan">
      <formula>1</formula>
    </cfRule>
    <cfRule type="cellIs" dxfId="24955" priority="708" operator="lessThan">
      <formula>0.8</formula>
    </cfRule>
  </conditionalFormatting>
  <conditionalFormatting sqref="P84:P91">
    <cfRule type="cellIs" dxfId="24954" priority="706" operator="greaterThan">
      <formula>0</formula>
    </cfRule>
  </conditionalFormatting>
  <conditionalFormatting sqref="Q84:Q91">
    <cfRule type="cellIs" dxfId="24953" priority="705" operator="lessThan">
      <formula>0</formula>
    </cfRule>
  </conditionalFormatting>
  <conditionalFormatting sqref="R84:R91">
    <cfRule type="cellIs" dxfId="24952" priority="703" operator="lessThan">
      <formula>0.8</formula>
    </cfRule>
    <cfRule type="cellIs" dxfId="24951" priority="704" operator="greaterThan">
      <formula>1</formula>
    </cfRule>
  </conditionalFormatting>
  <conditionalFormatting sqref="R84:R91">
    <cfRule type="cellIs" dxfId="24950" priority="701" operator="greaterThan">
      <formula>1</formula>
    </cfRule>
    <cfRule type="cellIs" dxfId="24949" priority="702" operator="lessThan">
      <formula>0.8</formula>
    </cfRule>
  </conditionalFormatting>
  <conditionalFormatting sqref="P84:P91">
    <cfRule type="cellIs" dxfId="24948" priority="700" operator="greaterThan">
      <formula>0</formula>
    </cfRule>
  </conditionalFormatting>
  <conditionalFormatting sqref="Q84:Q91">
    <cfRule type="cellIs" dxfId="24947" priority="699" operator="lessThan">
      <formula>0</formula>
    </cfRule>
  </conditionalFormatting>
  <conditionalFormatting sqref="R84:R91">
    <cfRule type="cellIs" dxfId="24946" priority="697" operator="lessThan">
      <formula>0.8</formula>
    </cfRule>
    <cfRule type="cellIs" dxfId="24945" priority="698" operator="greaterThan">
      <formula>1</formula>
    </cfRule>
  </conditionalFormatting>
  <conditionalFormatting sqref="R84:R91">
    <cfRule type="cellIs" dxfId="24944" priority="695" operator="greaterThan">
      <formula>1</formula>
    </cfRule>
    <cfRule type="cellIs" dxfId="24943" priority="696" operator="lessThan">
      <formula>0.8</formula>
    </cfRule>
  </conditionalFormatting>
  <conditionalFormatting sqref="P84:P91">
    <cfRule type="cellIs" dxfId="24942" priority="694" operator="greaterThan">
      <formula>0</formula>
    </cfRule>
  </conditionalFormatting>
  <conditionalFormatting sqref="Q84:Q91">
    <cfRule type="cellIs" dxfId="24941" priority="693" operator="lessThan">
      <formula>0</formula>
    </cfRule>
  </conditionalFormatting>
  <conditionalFormatting sqref="R84:R91">
    <cfRule type="cellIs" dxfId="24940" priority="691" operator="lessThan">
      <formula>0.8</formula>
    </cfRule>
    <cfRule type="cellIs" dxfId="24939" priority="692" operator="greaterThan">
      <formula>1</formula>
    </cfRule>
  </conditionalFormatting>
  <conditionalFormatting sqref="R84:R91">
    <cfRule type="cellIs" dxfId="24938" priority="689" operator="greaterThan">
      <formula>1</formula>
    </cfRule>
    <cfRule type="cellIs" dxfId="24937" priority="690" operator="lessThan">
      <formula>0.8</formula>
    </cfRule>
  </conditionalFormatting>
  <conditionalFormatting sqref="P84:P91">
    <cfRule type="cellIs" dxfId="24936" priority="688" operator="greaterThan">
      <formula>0</formula>
    </cfRule>
  </conditionalFormatting>
  <conditionalFormatting sqref="P84:P91">
    <cfRule type="cellIs" dxfId="24935" priority="682" operator="greaterThan">
      <formula>0</formula>
    </cfRule>
  </conditionalFormatting>
  <conditionalFormatting sqref="Q84:Q91">
    <cfRule type="cellIs" dxfId="24934" priority="687" operator="lessThan">
      <formula>0</formula>
    </cfRule>
  </conditionalFormatting>
  <conditionalFormatting sqref="R84:R91">
    <cfRule type="cellIs" dxfId="24933" priority="685" operator="lessThan">
      <formula>0.8</formula>
    </cfRule>
    <cfRule type="cellIs" dxfId="24932" priority="686" operator="greaterThan">
      <formula>1</formula>
    </cfRule>
  </conditionalFormatting>
  <conditionalFormatting sqref="R84:R91">
    <cfRule type="cellIs" dxfId="24931" priority="683" operator="greaterThan">
      <formula>1</formula>
    </cfRule>
    <cfRule type="cellIs" dxfId="24930" priority="684" operator="lessThan">
      <formula>0.8</formula>
    </cfRule>
  </conditionalFormatting>
  <conditionalFormatting sqref="P84:P91">
    <cfRule type="cellIs" dxfId="24929" priority="676" operator="greaterThan">
      <formula>0</formula>
    </cfRule>
  </conditionalFormatting>
  <conditionalFormatting sqref="Q84:Q91">
    <cfRule type="cellIs" dxfId="24928" priority="681" operator="lessThan">
      <formula>0</formula>
    </cfRule>
  </conditionalFormatting>
  <conditionalFormatting sqref="R84:R91">
    <cfRule type="cellIs" dxfId="24927" priority="679" operator="lessThan">
      <formula>0.8</formula>
    </cfRule>
    <cfRule type="cellIs" dxfId="24926" priority="680" operator="greaterThan">
      <formula>1</formula>
    </cfRule>
  </conditionalFormatting>
  <conditionalFormatting sqref="R84:R91">
    <cfRule type="cellIs" dxfId="24925" priority="677" operator="greaterThan">
      <formula>1</formula>
    </cfRule>
    <cfRule type="cellIs" dxfId="24924" priority="678" operator="lessThan">
      <formula>0.8</formula>
    </cfRule>
  </conditionalFormatting>
  <conditionalFormatting sqref="R84:R91">
    <cfRule type="cellIs" dxfId="24923" priority="673" operator="lessThan">
      <formula>0.8</formula>
    </cfRule>
    <cfRule type="cellIs" dxfId="24922" priority="674" operator="greaterThan">
      <formula>1</formula>
    </cfRule>
  </conditionalFormatting>
  <conditionalFormatting sqref="R84:R91">
    <cfRule type="cellIs" dxfId="24921" priority="671" operator="greaterThan">
      <formula>1</formula>
    </cfRule>
    <cfRule type="cellIs" dxfId="24920" priority="672" operator="lessThan">
      <formula>0.8</formula>
    </cfRule>
  </conditionalFormatting>
  <conditionalFormatting sqref="P84:P91">
    <cfRule type="cellIs" dxfId="24919" priority="670" operator="greaterThan">
      <formula>0</formula>
    </cfRule>
  </conditionalFormatting>
  <conditionalFormatting sqref="Q84:Q91">
    <cfRule type="cellIs" dxfId="24918" priority="675" operator="lessThan">
      <formula>0</formula>
    </cfRule>
  </conditionalFormatting>
  <conditionalFormatting sqref="Q84:Q91">
    <cfRule type="cellIs" dxfId="24917" priority="669" operator="lessThan">
      <formula>0</formula>
    </cfRule>
  </conditionalFormatting>
  <conditionalFormatting sqref="R84:R91">
    <cfRule type="cellIs" dxfId="24916" priority="667" operator="lessThan">
      <formula>0.8</formula>
    </cfRule>
    <cfRule type="cellIs" dxfId="24915" priority="668" operator="greaterThan">
      <formula>1</formula>
    </cfRule>
  </conditionalFormatting>
  <conditionalFormatting sqref="R84:R91">
    <cfRule type="cellIs" dxfId="24914" priority="665" operator="greaterThan">
      <formula>1</formula>
    </cfRule>
    <cfRule type="cellIs" dxfId="24913" priority="666" operator="lessThan">
      <formula>0.8</formula>
    </cfRule>
  </conditionalFormatting>
  <conditionalFormatting sqref="P84:P91">
    <cfRule type="cellIs" dxfId="24912" priority="664" operator="greaterThan">
      <formula>0</formula>
    </cfRule>
  </conditionalFormatting>
  <conditionalFormatting sqref="P84:P91">
    <cfRule type="cellIs" dxfId="24911" priority="658" operator="greaterThan">
      <formula>0</formula>
    </cfRule>
  </conditionalFormatting>
  <conditionalFormatting sqref="Q84:Q91">
    <cfRule type="cellIs" dxfId="24910" priority="663" operator="lessThan">
      <formula>0</formula>
    </cfRule>
  </conditionalFormatting>
  <conditionalFormatting sqref="R84:R91">
    <cfRule type="cellIs" dxfId="24909" priority="661" operator="lessThan">
      <formula>0.8</formula>
    </cfRule>
    <cfRule type="cellIs" dxfId="24908" priority="662" operator="greaterThan">
      <formula>1</formula>
    </cfRule>
  </conditionalFormatting>
  <conditionalFormatting sqref="R84:R91">
    <cfRule type="cellIs" dxfId="24907" priority="659" operator="greaterThan">
      <formula>1</formula>
    </cfRule>
    <cfRule type="cellIs" dxfId="24906" priority="660" operator="lessThan">
      <formula>0.8</formula>
    </cfRule>
  </conditionalFormatting>
  <conditionalFormatting sqref="P84:P91">
    <cfRule type="cellIs" dxfId="24905" priority="652" operator="greaterThan">
      <formula>0</formula>
    </cfRule>
  </conditionalFormatting>
  <conditionalFormatting sqref="Q84:Q91">
    <cfRule type="cellIs" dxfId="24904" priority="657" operator="lessThan">
      <formula>0</formula>
    </cfRule>
  </conditionalFormatting>
  <conditionalFormatting sqref="R84:R91">
    <cfRule type="cellIs" dxfId="24903" priority="655" operator="lessThan">
      <formula>0.8</formula>
    </cfRule>
    <cfRule type="cellIs" dxfId="24902" priority="656" operator="greaterThan">
      <formula>1</formula>
    </cfRule>
  </conditionalFormatting>
  <conditionalFormatting sqref="R84:R91">
    <cfRule type="cellIs" dxfId="24901" priority="653" operator="greaterThan">
      <formula>1</formula>
    </cfRule>
    <cfRule type="cellIs" dxfId="24900" priority="654" operator="lessThan">
      <formula>0.8</formula>
    </cfRule>
  </conditionalFormatting>
  <conditionalFormatting sqref="R84:R91">
    <cfRule type="cellIs" dxfId="24899" priority="649" operator="lessThan">
      <formula>0.8</formula>
    </cfRule>
    <cfRule type="cellIs" dxfId="24898" priority="650" operator="greaterThan">
      <formula>1</formula>
    </cfRule>
  </conditionalFormatting>
  <conditionalFormatting sqref="R84:R91">
    <cfRule type="cellIs" dxfId="24897" priority="647" operator="greaterThan">
      <formula>1</formula>
    </cfRule>
    <cfRule type="cellIs" dxfId="24896" priority="648" operator="lessThan">
      <formula>0.8</formula>
    </cfRule>
  </conditionalFormatting>
  <conditionalFormatting sqref="P84:P91">
    <cfRule type="cellIs" dxfId="24895" priority="646" operator="greaterThan">
      <formula>0</formula>
    </cfRule>
  </conditionalFormatting>
  <conditionalFormatting sqref="Q84:Q91">
    <cfRule type="cellIs" dxfId="24894" priority="651" operator="lessThan">
      <formula>0</formula>
    </cfRule>
  </conditionalFormatting>
  <conditionalFormatting sqref="P84:P91">
    <cfRule type="cellIs" dxfId="24893" priority="640" operator="greaterThan">
      <formula>0</formula>
    </cfRule>
  </conditionalFormatting>
  <conditionalFormatting sqref="Q84:Q91">
    <cfRule type="cellIs" dxfId="24892" priority="645" operator="lessThan">
      <formula>0</formula>
    </cfRule>
  </conditionalFormatting>
  <conditionalFormatting sqref="R84:R91">
    <cfRule type="cellIs" dxfId="24891" priority="643" operator="lessThan">
      <formula>0.8</formula>
    </cfRule>
    <cfRule type="cellIs" dxfId="24890" priority="644" operator="greaterThan">
      <formula>1</formula>
    </cfRule>
  </conditionalFormatting>
  <conditionalFormatting sqref="R84:R91">
    <cfRule type="cellIs" dxfId="24889" priority="641" operator="greaterThan">
      <formula>1</formula>
    </cfRule>
    <cfRule type="cellIs" dxfId="24888" priority="642" operator="lessThan">
      <formula>0.8</formula>
    </cfRule>
  </conditionalFormatting>
  <conditionalFormatting sqref="R84:R91">
    <cfRule type="cellIs" dxfId="24887" priority="637" operator="lessThan">
      <formula>0.8</formula>
    </cfRule>
    <cfRule type="cellIs" dxfId="24886" priority="638" operator="greaterThan">
      <formula>1</formula>
    </cfRule>
  </conditionalFormatting>
  <conditionalFormatting sqref="R84:R91">
    <cfRule type="cellIs" dxfId="24885" priority="635" operator="greaterThan">
      <formula>1</formula>
    </cfRule>
    <cfRule type="cellIs" dxfId="24884" priority="636" operator="lessThan">
      <formula>0.8</formula>
    </cfRule>
  </conditionalFormatting>
  <conditionalFormatting sqref="P84:P91">
    <cfRule type="cellIs" dxfId="24883" priority="634" operator="greaterThan">
      <formula>0</formula>
    </cfRule>
  </conditionalFormatting>
  <conditionalFormatting sqref="Q84:Q91">
    <cfRule type="cellIs" dxfId="24882" priority="639" operator="lessThan">
      <formula>0</formula>
    </cfRule>
  </conditionalFormatting>
  <conditionalFormatting sqref="R84:R91">
    <cfRule type="cellIs" dxfId="24881" priority="631" operator="lessThan">
      <formula>0.8</formula>
    </cfRule>
    <cfRule type="cellIs" dxfId="24880" priority="632" operator="greaterThan">
      <formula>1</formula>
    </cfRule>
  </conditionalFormatting>
  <conditionalFormatting sqref="R84:R91">
    <cfRule type="cellIs" dxfId="24879" priority="629" operator="greaterThan">
      <formula>1</formula>
    </cfRule>
    <cfRule type="cellIs" dxfId="24878" priority="630" operator="lessThan">
      <formula>0.8</formula>
    </cfRule>
  </conditionalFormatting>
  <conditionalFormatting sqref="P84:P91">
    <cfRule type="cellIs" dxfId="24877" priority="628" operator="greaterThan">
      <formula>0</formula>
    </cfRule>
  </conditionalFormatting>
  <conditionalFormatting sqref="Q84:Q91">
    <cfRule type="cellIs" dxfId="24876" priority="633" operator="lessThan">
      <formula>0</formula>
    </cfRule>
  </conditionalFormatting>
  <conditionalFormatting sqref="Q84:Q91">
    <cfRule type="cellIs" dxfId="24875" priority="627" operator="lessThan">
      <formula>0</formula>
    </cfRule>
  </conditionalFormatting>
  <conditionalFormatting sqref="R84:R91">
    <cfRule type="cellIs" dxfId="24874" priority="625" operator="lessThan">
      <formula>0.8</formula>
    </cfRule>
    <cfRule type="cellIs" dxfId="24873" priority="626" operator="greaterThan">
      <formula>1</formula>
    </cfRule>
  </conditionalFormatting>
  <conditionalFormatting sqref="R84:R91">
    <cfRule type="cellIs" dxfId="24872" priority="623" operator="greaterThan">
      <formula>1</formula>
    </cfRule>
    <cfRule type="cellIs" dxfId="24871" priority="624" operator="lessThan">
      <formula>0.8</formula>
    </cfRule>
  </conditionalFormatting>
  <conditionalFormatting sqref="P84:P91">
    <cfRule type="cellIs" dxfId="24870" priority="622" operator="greaterThan">
      <formula>0</formula>
    </cfRule>
  </conditionalFormatting>
  <conditionalFormatting sqref="Q84:Q91">
    <cfRule type="cellIs" dxfId="24869" priority="616" operator="lessThan">
      <formula>0</formula>
    </cfRule>
  </conditionalFormatting>
  <conditionalFormatting sqref="R84:R91">
    <cfRule type="cellIs" dxfId="24868" priority="620" operator="lessThan">
      <formula>0.8</formula>
    </cfRule>
    <cfRule type="cellIs" dxfId="24867" priority="621" operator="greaterThan">
      <formula>1</formula>
    </cfRule>
  </conditionalFormatting>
  <conditionalFormatting sqref="R84:R91">
    <cfRule type="cellIs" dxfId="24866" priority="618" operator="greaterThan">
      <formula>1</formula>
    </cfRule>
    <cfRule type="cellIs" dxfId="24865" priority="619" operator="lessThan">
      <formula>0.8</formula>
    </cfRule>
  </conditionalFormatting>
  <conditionalFormatting sqref="P84:P91">
    <cfRule type="cellIs" dxfId="24864" priority="617" operator="greaterThan">
      <formula>0</formula>
    </cfRule>
  </conditionalFormatting>
  <conditionalFormatting sqref="Q84:Q91">
    <cfRule type="cellIs" dxfId="24863" priority="615" operator="lessThan">
      <formula>0</formula>
    </cfRule>
  </conditionalFormatting>
  <conditionalFormatting sqref="R84:R91">
    <cfRule type="cellIs" dxfId="24862" priority="613" operator="lessThan">
      <formula>0.8</formula>
    </cfRule>
    <cfRule type="cellIs" dxfId="24861" priority="614" operator="greaterThan">
      <formula>1</formula>
    </cfRule>
  </conditionalFormatting>
  <conditionalFormatting sqref="R84:R91">
    <cfRule type="cellIs" dxfId="24860" priority="611" operator="greaterThan">
      <formula>1</formula>
    </cfRule>
    <cfRule type="cellIs" dxfId="24859" priority="612" operator="lessThan">
      <formula>0.8</formula>
    </cfRule>
  </conditionalFormatting>
  <conditionalFormatting sqref="P84:P91">
    <cfRule type="cellIs" dxfId="24858" priority="610" operator="greaterThan">
      <formula>0</formula>
    </cfRule>
  </conditionalFormatting>
  <conditionalFormatting sqref="Q84:Q91">
    <cfRule type="cellIs" dxfId="24857" priority="609" operator="lessThan">
      <formula>0</formula>
    </cfRule>
  </conditionalFormatting>
  <conditionalFormatting sqref="R84:R91">
    <cfRule type="cellIs" dxfId="24856" priority="607" operator="lessThan">
      <formula>0.8</formula>
    </cfRule>
    <cfRule type="cellIs" dxfId="24855" priority="608" operator="greaterThan">
      <formula>1</formula>
    </cfRule>
  </conditionalFormatting>
  <conditionalFormatting sqref="R84:R91">
    <cfRule type="cellIs" dxfId="24854" priority="605" operator="greaterThan">
      <formula>1</formula>
    </cfRule>
    <cfRule type="cellIs" dxfId="24853" priority="606" operator="lessThan">
      <formula>0.8</formula>
    </cfRule>
  </conditionalFormatting>
  <conditionalFormatting sqref="P84:P91">
    <cfRule type="cellIs" dxfId="24852" priority="604" operator="greaterThan">
      <formula>0</formula>
    </cfRule>
  </conditionalFormatting>
  <conditionalFormatting sqref="Q84:Q91">
    <cfRule type="cellIs" dxfId="24851" priority="603" operator="lessThan">
      <formula>0</formula>
    </cfRule>
  </conditionalFormatting>
  <conditionalFormatting sqref="R84:R91">
    <cfRule type="cellIs" dxfId="24850" priority="601" operator="lessThan">
      <formula>0.8</formula>
    </cfRule>
    <cfRule type="cellIs" dxfId="24849" priority="602" operator="greaterThan">
      <formula>1</formula>
    </cfRule>
  </conditionalFormatting>
  <conditionalFormatting sqref="R84:R91">
    <cfRule type="cellIs" dxfId="24848" priority="599" operator="greaterThan">
      <formula>1</formula>
    </cfRule>
    <cfRule type="cellIs" dxfId="24847" priority="600" operator="lessThan">
      <formula>0.8</formula>
    </cfRule>
  </conditionalFormatting>
  <conditionalFormatting sqref="P84:P91">
    <cfRule type="cellIs" dxfId="24846" priority="598" operator="greaterThan">
      <formula>0</formula>
    </cfRule>
  </conditionalFormatting>
  <conditionalFormatting sqref="Q84:Q91">
    <cfRule type="cellIs" dxfId="24845" priority="597" operator="lessThan">
      <formula>0</formula>
    </cfRule>
  </conditionalFormatting>
  <conditionalFormatting sqref="R84:R91">
    <cfRule type="cellIs" dxfId="24844" priority="595" operator="lessThan">
      <formula>0.8</formula>
    </cfRule>
    <cfRule type="cellIs" dxfId="24843" priority="596" operator="greaterThan">
      <formula>1</formula>
    </cfRule>
  </conditionalFormatting>
  <conditionalFormatting sqref="R84:R91">
    <cfRule type="cellIs" dxfId="24842" priority="593" operator="greaterThan">
      <formula>1</formula>
    </cfRule>
    <cfRule type="cellIs" dxfId="24841" priority="594" operator="lessThan">
      <formula>0.8</formula>
    </cfRule>
  </conditionalFormatting>
  <conditionalFormatting sqref="P84:P91">
    <cfRule type="cellIs" dxfId="24840" priority="592" operator="greaterThan">
      <formula>0</formula>
    </cfRule>
  </conditionalFormatting>
  <conditionalFormatting sqref="Q84:Q91">
    <cfRule type="cellIs" dxfId="24839" priority="591" operator="lessThan">
      <formula>0</formula>
    </cfRule>
  </conditionalFormatting>
  <conditionalFormatting sqref="R84:R91">
    <cfRule type="cellIs" dxfId="24838" priority="589" operator="lessThan">
      <formula>0.8</formula>
    </cfRule>
    <cfRule type="cellIs" dxfId="24837" priority="590" operator="greaterThan">
      <formula>1</formula>
    </cfRule>
  </conditionalFormatting>
  <conditionalFormatting sqref="R84:R91">
    <cfRule type="cellIs" dxfId="24836" priority="587" operator="greaterThan">
      <formula>1</formula>
    </cfRule>
    <cfRule type="cellIs" dxfId="24835" priority="588" operator="lessThan">
      <formula>0.8</formula>
    </cfRule>
  </conditionalFormatting>
  <conditionalFormatting sqref="P84:P91">
    <cfRule type="cellIs" dxfId="24834" priority="586" operator="greaterThan">
      <formula>0</formula>
    </cfRule>
  </conditionalFormatting>
  <conditionalFormatting sqref="P84:P91">
    <cfRule type="cellIs" dxfId="24833" priority="580" operator="greaterThan">
      <formula>0</formula>
    </cfRule>
  </conditionalFormatting>
  <conditionalFormatting sqref="Q84:Q91">
    <cfRule type="cellIs" dxfId="24832" priority="585" operator="lessThan">
      <formula>0</formula>
    </cfRule>
  </conditionalFormatting>
  <conditionalFormatting sqref="R84:R91">
    <cfRule type="cellIs" dxfId="24831" priority="583" operator="lessThan">
      <formula>0.8</formula>
    </cfRule>
    <cfRule type="cellIs" dxfId="24830" priority="584" operator="greaterThan">
      <formula>1</formula>
    </cfRule>
  </conditionalFormatting>
  <conditionalFormatting sqref="R84:R91">
    <cfRule type="cellIs" dxfId="24829" priority="581" operator="greaterThan">
      <formula>1</formula>
    </cfRule>
    <cfRule type="cellIs" dxfId="24828" priority="582" operator="lessThan">
      <formula>0.8</formula>
    </cfRule>
  </conditionalFormatting>
  <conditionalFormatting sqref="P84:P91">
    <cfRule type="cellIs" dxfId="24827" priority="574" operator="greaterThan">
      <formula>0</formula>
    </cfRule>
  </conditionalFormatting>
  <conditionalFormatting sqref="Q84:Q91">
    <cfRule type="cellIs" dxfId="24826" priority="579" operator="lessThan">
      <formula>0</formula>
    </cfRule>
  </conditionalFormatting>
  <conditionalFormatting sqref="R84:R91">
    <cfRule type="cellIs" dxfId="24825" priority="577" operator="lessThan">
      <formula>0.8</formula>
    </cfRule>
    <cfRule type="cellIs" dxfId="24824" priority="578" operator="greaterThan">
      <formula>1</formula>
    </cfRule>
  </conditionalFormatting>
  <conditionalFormatting sqref="R84:R91">
    <cfRule type="cellIs" dxfId="24823" priority="575" operator="greaterThan">
      <formula>1</formula>
    </cfRule>
    <cfRule type="cellIs" dxfId="24822" priority="576" operator="lessThan">
      <formula>0.8</formula>
    </cfRule>
  </conditionalFormatting>
  <conditionalFormatting sqref="R84:R91">
    <cfRule type="cellIs" dxfId="24821" priority="571" operator="lessThan">
      <formula>0.8</formula>
    </cfRule>
    <cfRule type="cellIs" dxfId="24820" priority="572" operator="greaterThan">
      <formula>1</formula>
    </cfRule>
  </conditionalFormatting>
  <conditionalFormatting sqref="R84:R91">
    <cfRule type="cellIs" dxfId="24819" priority="569" operator="greaterThan">
      <formula>1</formula>
    </cfRule>
    <cfRule type="cellIs" dxfId="24818" priority="570" operator="lessThan">
      <formula>0.8</formula>
    </cfRule>
  </conditionalFormatting>
  <conditionalFormatting sqref="P84:P91">
    <cfRule type="cellIs" dxfId="24817" priority="568" operator="greaterThan">
      <formula>0</formula>
    </cfRule>
  </conditionalFormatting>
  <conditionalFormatting sqref="Q84:Q91">
    <cfRule type="cellIs" dxfId="24816" priority="573" operator="lessThan">
      <formula>0</formula>
    </cfRule>
  </conditionalFormatting>
  <conditionalFormatting sqref="Q84:Q91">
    <cfRule type="cellIs" dxfId="24815" priority="567" operator="lessThan">
      <formula>0</formula>
    </cfRule>
  </conditionalFormatting>
  <conditionalFormatting sqref="R84:R91">
    <cfRule type="cellIs" dxfId="24814" priority="565" operator="lessThan">
      <formula>0.8</formula>
    </cfRule>
    <cfRule type="cellIs" dxfId="24813" priority="566" operator="greaterThan">
      <formula>1</formula>
    </cfRule>
  </conditionalFormatting>
  <conditionalFormatting sqref="R84:R91">
    <cfRule type="cellIs" dxfId="24812" priority="563" operator="greaterThan">
      <formula>1</formula>
    </cfRule>
    <cfRule type="cellIs" dxfId="24811" priority="564" operator="lessThan">
      <formula>0.8</formula>
    </cfRule>
  </conditionalFormatting>
  <conditionalFormatting sqref="P84:P91">
    <cfRule type="cellIs" dxfId="24810" priority="562" operator="greaterThan">
      <formula>0</formula>
    </cfRule>
  </conditionalFormatting>
  <conditionalFormatting sqref="Q84:Q91">
    <cfRule type="cellIs" dxfId="24809" priority="561" operator="lessThan">
      <formula>0</formula>
    </cfRule>
  </conditionalFormatting>
  <conditionalFormatting sqref="R84:R91">
    <cfRule type="cellIs" dxfId="24808" priority="559" operator="lessThan">
      <formula>0.8</formula>
    </cfRule>
    <cfRule type="cellIs" dxfId="24807" priority="560" operator="greaterThan">
      <formula>1</formula>
    </cfRule>
  </conditionalFormatting>
  <conditionalFormatting sqref="R84:R91">
    <cfRule type="cellIs" dxfId="24806" priority="557" operator="greaterThan">
      <formula>1</formula>
    </cfRule>
    <cfRule type="cellIs" dxfId="24805" priority="558" operator="lessThan">
      <formula>0.8</formula>
    </cfRule>
  </conditionalFormatting>
  <conditionalFormatting sqref="P84:P91">
    <cfRule type="cellIs" dxfId="24804" priority="556" operator="greaterThan">
      <formula>0</formula>
    </cfRule>
  </conditionalFormatting>
  <conditionalFormatting sqref="Q84:Q91">
    <cfRule type="cellIs" dxfId="24803" priority="555" operator="lessThan">
      <formula>0</formula>
    </cfRule>
  </conditionalFormatting>
  <conditionalFormatting sqref="R84:R91">
    <cfRule type="cellIs" dxfId="24802" priority="553" operator="lessThan">
      <formula>0.8</formula>
    </cfRule>
    <cfRule type="cellIs" dxfId="24801" priority="554" operator="greaterThan">
      <formula>1</formula>
    </cfRule>
  </conditionalFormatting>
  <conditionalFormatting sqref="R84:R91">
    <cfRule type="cellIs" dxfId="24800" priority="551" operator="greaterThan">
      <formula>1</formula>
    </cfRule>
    <cfRule type="cellIs" dxfId="24799" priority="552" operator="lessThan">
      <formula>0.8</formula>
    </cfRule>
  </conditionalFormatting>
  <conditionalFormatting sqref="P84:P91">
    <cfRule type="cellIs" dxfId="24798" priority="550" operator="greaterThan">
      <formula>0</formula>
    </cfRule>
  </conditionalFormatting>
  <conditionalFormatting sqref="Q84:Q91">
    <cfRule type="cellIs" dxfId="24797" priority="549" operator="lessThan">
      <formula>0</formula>
    </cfRule>
  </conditionalFormatting>
  <conditionalFormatting sqref="R84:R91">
    <cfRule type="cellIs" dxfId="24796" priority="547" operator="lessThan">
      <formula>0.8</formula>
    </cfRule>
    <cfRule type="cellIs" dxfId="24795" priority="548" operator="greaterThan">
      <formula>1</formula>
    </cfRule>
  </conditionalFormatting>
  <conditionalFormatting sqref="R84:R91">
    <cfRule type="cellIs" dxfId="24794" priority="545" operator="greaterThan">
      <formula>1</formula>
    </cfRule>
    <cfRule type="cellIs" dxfId="24793" priority="546" operator="lessThan">
      <formula>0.8</formula>
    </cfRule>
  </conditionalFormatting>
  <conditionalFormatting sqref="P84:P91">
    <cfRule type="cellIs" dxfId="24792" priority="544" operator="greaterThan">
      <formula>0</formula>
    </cfRule>
  </conditionalFormatting>
  <conditionalFormatting sqref="P84:P91">
    <cfRule type="cellIs" dxfId="24791" priority="538" operator="greaterThan">
      <formula>0</formula>
    </cfRule>
  </conditionalFormatting>
  <conditionalFormatting sqref="Q84:Q91">
    <cfRule type="cellIs" dxfId="24790" priority="543" operator="lessThan">
      <formula>0</formula>
    </cfRule>
  </conditionalFormatting>
  <conditionalFormatting sqref="R84:R91">
    <cfRule type="cellIs" dxfId="24789" priority="541" operator="lessThan">
      <formula>0.8</formula>
    </cfRule>
    <cfRule type="cellIs" dxfId="24788" priority="542" operator="greaterThan">
      <formula>1</formula>
    </cfRule>
  </conditionalFormatting>
  <conditionalFormatting sqref="R84:R91">
    <cfRule type="cellIs" dxfId="24787" priority="539" operator="greaterThan">
      <formula>1</formula>
    </cfRule>
    <cfRule type="cellIs" dxfId="24786" priority="540" operator="lessThan">
      <formula>0.8</formula>
    </cfRule>
  </conditionalFormatting>
  <conditionalFormatting sqref="P84:P91">
    <cfRule type="cellIs" dxfId="24785" priority="532" operator="greaterThan">
      <formula>0</formula>
    </cfRule>
  </conditionalFormatting>
  <conditionalFormatting sqref="Q84:Q91">
    <cfRule type="cellIs" dxfId="24784" priority="537" operator="lessThan">
      <formula>0</formula>
    </cfRule>
  </conditionalFormatting>
  <conditionalFormatting sqref="R84:R91">
    <cfRule type="cellIs" dxfId="24783" priority="535" operator="lessThan">
      <formula>0.8</formula>
    </cfRule>
    <cfRule type="cellIs" dxfId="24782" priority="536" operator="greaterThan">
      <formula>1</formula>
    </cfRule>
  </conditionalFormatting>
  <conditionalFormatting sqref="R84:R91">
    <cfRule type="cellIs" dxfId="24781" priority="533" operator="greaterThan">
      <formula>1</formula>
    </cfRule>
    <cfRule type="cellIs" dxfId="24780" priority="534" operator="lessThan">
      <formula>0.8</formula>
    </cfRule>
  </conditionalFormatting>
  <conditionalFormatting sqref="R84:R91">
    <cfRule type="cellIs" dxfId="24779" priority="529" operator="lessThan">
      <formula>0.8</formula>
    </cfRule>
    <cfRule type="cellIs" dxfId="24778" priority="530" operator="greaterThan">
      <formula>1</formula>
    </cfRule>
  </conditionalFormatting>
  <conditionalFormatting sqref="R84:R91">
    <cfRule type="cellIs" dxfId="24777" priority="527" operator="greaterThan">
      <formula>1</formula>
    </cfRule>
    <cfRule type="cellIs" dxfId="24776" priority="528" operator="lessThan">
      <formula>0.8</formula>
    </cfRule>
  </conditionalFormatting>
  <conditionalFormatting sqref="P84:P91">
    <cfRule type="cellIs" dxfId="24775" priority="526" operator="greaterThan">
      <formula>0</formula>
    </cfRule>
  </conditionalFormatting>
  <conditionalFormatting sqref="Q84:Q91">
    <cfRule type="cellIs" dxfId="24774" priority="531" operator="lessThan">
      <formula>0</formula>
    </cfRule>
  </conditionalFormatting>
  <conditionalFormatting sqref="Q84:Q91">
    <cfRule type="cellIs" dxfId="24773" priority="525" operator="lessThan">
      <formula>0</formula>
    </cfRule>
  </conditionalFormatting>
  <conditionalFormatting sqref="R84:R91">
    <cfRule type="cellIs" dxfId="24772" priority="523" operator="lessThan">
      <formula>0.8</formula>
    </cfRule>
    <cfRule type="cellIs" dxfId="24771" priority="524" operator="greaterThan">
      <formula>1</formula>
    </cfRule>
  </conditionalFormatting>
  <conditionalFormatting sqref="R84:R91">
    <cfRule type="cellIs" dxfId="24770" priority="521" operator="greaterThan">
      <formula>1</formula>
    </cfRule>
    <cfRule type="cellIs" dxfId="24769" priority="522" operator="lessThan">
      <formula>0.8</formula>
    </cfRule>
  </conditionalFormatting>
  <conditionalFormatting sqref="P84:P91">
    <cfRule type="cellIs" dxfId="24768" priority="520" operator="greaterThan">
      <formula>0</formula>
    </cfRule>
  </conditionalFormatting>
  <conditionalFormatting sqref="P84:P91">
    <cfRule type="cellIs" dxfId="24767" priority="514" operator="greaterThan">
      <formula>0</formula>
    </cfRule>
  </conditionalFormatting>
  <conditionalFormatting sqref="Q84:Q91">
    <cfRule type="cellIs" dxfId="24766" priority="519" operator="lessThan">
      <formula>0</formula>
    </cfRule>
  </conditionalFormatting>
  <conditionalFormatting sqref="R84:R91">
    <cfRule type="cellIs" dxfId="24765" priority="517" operator="lessThan">
      <formula>0.8</formula>
    </cfRule>
    <cfRule type="cellIs" dxfId="24764" priority="518" operator="greaterThan">
      <formula>1</formula>
    </cfRule>
  </conditionalFormatting>
  <conditionalFormatting sqref="R84:R91">
    <cfRule type="cellIs" dxfId="24763" priority="515" operator="greaterThan">
      <formula>1</formula>
    </cfRule>
    <cfRule type="cellIs" dxfId="24762" priority="516" operator="lessThan">
      <formula>0.8</formula>
    </cfRule>
  </conditionalFormatting>
  <conditionalFormatting sqref="P84:P91">
    <cfRule type="cellIs" dxfId="24761" priority="508" operator="greaterThan">
      <formula>0</formula>
    </cfRule>
  </conditionalFormatting>
  <conditionalFormatting sqref="Q84:Q91">
    <cfRule type="cellIs" dxfId="24760" priority="513" operator="lessThan">
      <formula>0</formula>
    </cfRule>
  </conditionalFormatting>
  <conditionalFormatting sqref="R84:R91">
    <cfRule type="cellIs" dxfId="24759" priority="511" operator="lessThan">
      <formula>0.8</formula>
    </cfRule>
    <cfRule type="cellIs" dxfId="24758" priority="512" operator="greaterThan">
      <formula>1</formula>
    </cfRule>
  </conditionalFormatting>
  <conditionalFormatting sqref="R84:R91">
    <cfRule type="cellIs" dxfId="24757" priority="509" operator="greaterThan">
      <formula>1</formula>
    </cfRule>
    <cfRule type="cellIs" dxfId="24756" priority="510" operator="lessThan">
      <formula>0.8</formula>
    </cfRule>
  </conditionalFormatting>
  <conditionalFormatting sqref="R84:R91">
    <cfRule type="cellIs" dxfId="24755" priority="505" operator="lessThan">
      <formula>0.8</formula>
    </cfRule>
    <cfRule type="cellIs" dxfId="24754" priority="506" operator="greaterThan">
      <formula>1</formula>
    </cfRule>
  </conditionalFormatting>
  <conditionalFormatting sqref="R84:R91">
    <cfRule type="cellIs" dxfId="24753" priority="503" operator="greaterThan">
      <formula>1</formula>
    </cfRule>
    <cfRule type="cellIs" dxfId="24752" priority="504" operator="lessThan">
      <formula>0.8</formula>
    </cfRule>
  </conditionalFormatting>
  <conditionalFormatting sqref="P84:P91">
    <cfRule type="cellIs" dxfId="24751" priority="502" operator="greaterThan">
      <formula>0</formula>
    </cfRule>
  </conditionalFormatting>
  <conditionalFormatting sqref="Q84:Q91">
    <cfRule type="cellIs" dxfId="24750" priority="507" operator="lessThan">
      <formula>0</formula>
    </cfRule>
  </conditionalFormatting>
  <conditionalFormatting sqref="P84:P91">
    <cfRule type="cellIs" dxfId="24749" priority="496" operator="greaterThan">
      <formula>0</formula>
    </cfRule>
  </conditionalFormatting>
  <conditionalFormatting sqref="Q84:Q91">
    <cfRule type="cellIs" dxfId="24748" priority="501" operator="lessThan">
      <formula>0</formula>
    </cfRule>
  </conditionalFormatting>
  <conditionalFormatting sqref="R84:R91">
    <cfRule type="cellIs" dxfId="24747" priority="499" operator="lessThan">
      <formula>0.8</formula>
    </cfRule>
    <cfRule type="cellIs" dxfId="24746" priority="500" operator="greaterThan">
      <formula>1</formula>
    </cfRule>
  </conditionalFormatting>
  <conditionalFormatting sqref="R84:R91">
    <cfRule type="cellIs" dxfId="24745" priority="497" operator="greaterThan">
      <formula>1</formula>
    </cfRule>
    <cfRule type="cellIs" dxfId="24744" priority="498" operator="lessThan">
      <formula>0.8</formula>
    </cfRule>
  </conditionalFormatting>
  <conditionalFormatting sqref="R84:R91">
    <cfRule type="cellIs" dxfId="24743" priority="493" operator="lessThan">
      <formula>0.8</formula>
    </cfRule>
    <cfRule type="cellIs" dxfId="24742" priority="494" operator="greaterThan">
      <formula>1</formula>
    </cfRule>
  </conditionalFormatting>
  <conditionalFormatting sqref="R84:R91">
    <cfRule type="cellIs" dxfId="24741" priority="491" operator="greaterThan">
      <formula>1</formula>
    </cfRule>
    <cfRule type="cellIs" dxfId="24740" priority="492" operator="lessThan">
      <formula>0.8</formula>
    </cfRule>
  </conditionalFormatting>
  <conditionalFormatting sqref="P84:P91">
    <cfRule type="cellIs" dxfId="24739" priority="490" operator="greaterThan">
      <formula>0</formula>
    </cfRule>
  </conditionalFormatting>
  <conditionalFormatting sqref="Q84:Q91">
    <cfRule type="cellIs" dxfId="24738" priority="495" operator="lessThan">
      <formula>0</formula>
    </cfRule>
  </conditionalFormatting>
  <conditionalFormatting sqref="R84:R91">
    <cfRule type="cellIs" dxfId="24737" priority="487" operator="lessThan">
      <formula>0.8</formula>
    </cfRule>
    <cfRule type="cellIs" dxfId="24736" priority="488" operator="greaterThan">
      <formula>1</formula>
    </cfRule>
  </conditionalFormatting>
  <conditionalFormatting sqref="R84:R91">
    <cfRule type="cellIs" dxfId="24735" priority="485" operator="greaterThan">
      <formula>1</formula>
    </cfRule>
    <cfRule type="cellIs" dxfId="24734" priority="486" operator="lessThan">
      <formula>0.8</formula>
    </cfRule>
  </conditionalFormatting>
  <conditionalFormatting sqref="P84:P91">
    <cfRule type="cellIs" dxfId="24733" priority="484" operator="greaterThan">
      <formula>0</formula>
    </cfRule>
  </conditionalFormatting>
  <conditionalFormatting sqref="Q84:Q91">
    <cfRule type="cellIs" dxfId="24732" priority="489" operator="lessThan">
      <formula>0</formula>
    </cfRule>
  </conditionalFormatting>
  <conditionalFormatting sqref="Q84:Q91">
    <cfRule type="cellIs" dxfId="24731" priority="483" operator="lessThan">
      <formula>0</formula>
    </cfRule>
  </conditionalFormatting>
  <conditionalFormatting sqref="R84:R91">
    <cfRule type="cellIs" dxfId="24730" priority="481" operator="lessThan">
      <formula>0.8</formula>
    </cfRule>
    <cfRule type="cellIs" dxfId="24729" priority="482" operator="greaterThan">
      <formula>1</formula>
    </cfRule>
  </conditionalFormatting>
  <conditionalFormatting sqref="R84:R91">
    <cfRule type="cellIs" dxfId="24728" priority="479" operator="greaterThan">
      <formula>1</formula>
    </cfRule>
    <cfRule type="cellIs" dxfId="24727" priority="480" operator="lessThan">
      <formula>0.8</formula>
    </cfRule>
  </conditionalFormatting>
  <conditionalFormatting sqref="P84:P91">
    <cfRule type="cellIs" dxfId="24726" priority="478" operator="greaterThan">
      <formula>0</formula>
    </cfRule>
  </conditionalFormatting>
  <conditionalFormatting sqref="Q84:Q91">
    <cfRule type="cellIs" dxfId="24725" priority="472" operator="lessThan">
      <formula>0</formula>
    </cfRule>
  </conditionalFormatting>
  <conditionalFormatting sqref="R84:R91">
    <cfRule type="cellIs" dxfId="24724" priority="476" operator="lessThan">
      <formula>0.8</formula>
    </cfRule>
    <cfRule type="cellIs" dxfId="24723" priority="477" operator="greaterThan">
      <formula>1</formula>
    </cfRule>
  </conditionalFormatting>
  <conditionalFormatting sqref="R84:R91">
    <cfRule type="cellIs" dxfId="24722" priority="474" operator="greaterThan">
      <formula>1</formula>
    </cfRule>
    <cfRule type="cellIs" dxfId="24721" priority="475" operator="lessThan">
      <formula>0.8</formula>
    </cfRule>
  </conditionalFormatting>
  <conditionalFormatting sqref="P84:P91">
    <cfRule type="cellIs" dxfId="24720" priority="473" operator="greaterThan">
      <formula>0</formula>
    </cfRule>
  </conditionalFormatting>
  <conditionalFormatting sqref="Q84:Q91">
    <cfRule type="cellIs" dxfId="24719" priority="471" operator="lessThan">
      <formula>0</formula>
    </cfRule>
  </conditionalFormatting>
  <conditionalFormatting sqref="R84:R91">
    <cfRule type="cellIs" dxfId="24718" priority="469" operator="lessThan">
      <formula>0.8</formula>
    </cfRule>
    <cfRule type="cellIs" dxfId="24717" priority="470" operator="greaterThan">
      <formula>1</formula>
    </cfRule>
  </conditionalFormatting>
  <conditionalFormatting sqref="R84:R91">
    <cfRule type="cellIs" dxfId="24716" priority="467" operator="greaterThan">
      <formula>1</formula>
    </cfRule>
    <cfRule type="cellIs" dxfId="24715" priority="468" operator="lessThan">
      <formula>0.8</formula>
    </cfRule>
  </conditionalFormatting>
  <conditionalFormatting sqref="P84:P91">
    <cfRule type="cellIs" dxfId="24714" priority="466" operator="greaterThan">
      <formula>0</formula>
    </cfRule>
  </conditionalFormatting>
  <conditionalFormatting sqref="Q84:Q91">
    <cfRule type="cellIs" dxfId="24713" priority="465" operator="lessThan">
      <formula>0</formula>
    </cfRule>
  </conditionalFormatting>
  <conditionalFormatting sqref="R84:R91">
    <cfRule type="cellIs" dxfId="24712" priority="463" operator="lessThan">
      <formula>0.8</formula>
    </cfRule>
    <cfRule type="cellIs" dxfId="24711" priority="464" operator="greaterThan">
      <formula>1</formula>
    </cfRule>
  </conditionalFormatting>
  <conditionalFormatting sqref="R84:R91">
    <cfRule type="cellIs" dxfId="24710" priority="461" operator="greaterThan">
      <formula>1</formula>
    </cfRule>
    <cfRule type="cellIs" dxfId="24709" priority="462" operator="lessThan">
      <formula>0.8</formula>
    </cfRule>
  </conditionalFormatting>
  <conditionalFormatting sqref="P84:P91">
    <cfRule type="cellIs" dxfId="24708" priority="460" operator="greaterThan">
      <formula>0</formula>
    </cfRule>
  </conditionalFormatting>
  <conditionalFormatting sqref="Q84:Q91">
    <cfRule type="cellIs" dxfId="24707" priority="459" operator="lessThan">
      <formula>0</formula>
    </cfRule>
  </conditionalFormatting>
  <conditionalFormatting sqref="R84:R91">
    <cfRule type="cellIs" dxfId="24706" priority="457" operator="lessThan">
      <formula>0.8</formula>
    </cfRule>
    <cfRule type="cellIs" dxfId="24705" priority="458" operator="greaterThan">
      <formula>1</formula>
    </cfRule>
  </conditionalFormatting>
  <conditionalFormatting sqref="R84:R91">
    <cfRule type="cellIs" dxfId="24704" priority="455" operator="greaterThan">
      <formula>1</formula>
    </cfRule>
    <cfRule type="cellIs" dxfId="24703" priority="456" operator="lessThan">
      <formula>0.8</formula>
    </cfRule>
  </conditionalFormatting>
  <conditionalFormatting sqref="P84:P91">
    <cfRule type="cellIs" dxfId="24702" priority="454" operator="greaterThan">
      <formula>0</formula>
    </cfRule>
  </conditionalFormatting>
  <conditionalFormatting sqref="Q84:Q91">
    <cfRule type="cellIs" dxfId="24701" priority="453" operator="lessThan">
      <formula>0</formula>
    </cfRule>
  </conditionalFormatting>
  <conditionalFormatting sqref="R84:R91">
    <cfRule type="cellIs" dxfId="24700" priority="451" operator="lessThan">
      <formula>0.8</formula>
    </cfRule>
    <cfRule type="cellIs" dxfId="24699" priority="452" operator="greaterThan">
      <formula>1</formula>
    </cfRule>
  </conditionalFormatting>
  <conditionalFormatting sqref="R84:R91">
    <cfRule type="cellIs" dxfId="24698" priority="449" operator="greaterThan">
      <formula>1</formula>
    </cfRule>
    <cfRule type="cellIs" dxfId="24697" priority="450" operator="lessThan">
      <formula>0.8</formula>
    </cfRule>
  </conditionalFormatting>
  <conditionalFormatting sqref="P84:P91">
    <cfRule type="cellIs" dxfId="24696" priority="448" operator="greaterThan">
      <formula>0</formula>
    </cfRule>
  </conditionalFormatting>
  <conditionalFormatting sqref="Q84:Q91">
    <cfRule type="cellIs" dxfId="24695" priority="447" operator="lessThan">
      <formula>0</formula>
    </cfRule>
  </conditionalFormatting>
  <conditionalFormatting sqref="R84:R91">
    <cfRule type="cellIs" dxfId="24694" priority="445" operator="lessThan">
      <formula>0.8</formula>
    </cfRule>
    <cfRule type="cellIs" dxfId="24693" priority="446" operator="greaterThan">
      <formula>1</formula>
    </cfRule>
  </conditionalFormatting>
  <conditionalFormatting sqref="R84:R91">
    <cfRule type="cellIs" dxfId="24692" priority="443" operator="greaterThan">
      <formula>1</formula>
    </cfRule>
    <cfRule type="cellIs" dxfId="24691" priority="444" operator="lessThan">
      <formula>0.8</formula>
    </cfRule>
  </conditionalFormatting>
  <conditionalFormatting sqref="P84:P91">
    <cfRule type="cellIs" dxfId="24690" priority="442" operator="greaterThan">
      <formula>0</formula>
    </cfRule>
  </conditionalFormatting>
  <conditionalFormatting sqref="P84:P91">
    <cfRule type="cellIs" dxfId="24689" priority="436" operator="greaterThan">
      <formula>0</formula>
    </cfRule>
  </conditionalFormatting>
  <conditionalFormatting sqref="Q84:Q91">
    <cfRule type="cellIs" dxfId="24688" priority="441" operator="lessThan">
      <formula>0</formula>
    </cfRule>
  </conditionalFormatting>
  <conditionalFormatting sqref="R84:R91">
    <cfRule type="cellIs" dxfId="24687" priority="439" operator="lessThan">
      <formula>0.8</formula>
    </cfRule>
    <cfRule type="cellIs" dxfId="24686" priority="440" operator="greaterThan">
      <formula>1</formula>
    </cfRule>
  </conditionalFormatting>
  <conditionalFormatting sqref="R84:R91">
    <cfRule type="cellIs" dxfId="24685" priority="437" operator="greaterThan">
      <formula>1</formula>
    </cfRule>
    <cfRule type="cellIs" dxfId="24684" priority="438" operator="lessThan">
      <formula>0.8</formula>
    </cfRule>
  </conditionalFormatting>
  <conditionalFormatting sqref="P84:P91">
    <cfRule type="cellIs" dxfId="24683" priority="430" operator="greaterThan">
      <formula>0</formula>
    </cfRule>
  </conditionalFormatting>
  <conditionalFormatting sqref="Q84:Q91">
    <cfRule type="cellIs" dxfId="24682" priority="435" operator="lessThan">
      <formula>0</formula>
    </cfRule>
  </conditionalFormatting>
  <conditionalFormatting sqref="R84:R91">
    <cfRule type="cellIs" dxfId="24681" priority="433" operator="lessThan">
      <formula>0.8</formula>
    </cfRule>
    <cfRule type="cellIs" dxfId="24680" priority="434" operator="greaterThan">
      <formula>1</formula>
    </cfRule>
  </conditionalFormatting>
  <conditionalFormatting sqref="R84:R91">
    <cfRule type="cellIs" dxfId="24679" priority="431" operator="greaterThan">
      <formula>1</formula>
    </cfRule>
    <cfRule type="cellIs" dxfId="24678" priority="432" operator="lessThan">
      <formula>0.8</formula>
    </cfRule>
  </conditionalFormatting>
  <conditionalFormatting sqref="R84:R91">
    <cfRule type="cellIs" dxfId="24677" priority="427" operator="lessThan">
      <formula>0.8</formula>
    </cfRule>
    <cfRule type="cellIs" dxfId="24676" priority="428" operator="greaterThan">
      <formula>1</formula>
    </cfRule>
  </conditionalFormatting>
  <conditionalFormatting sqref="R84:R91">
    <cfRule type="cellIs" dxfId="24675" priority="425" operator="greaterThan">
      <formula>1</formula>
    </cfRule>
    <cfRule type="cellIs" dxfId="24674" priority="426" operator="lessThan">
      <formula>0.8</formula>
    </cfRule>
  </conditionalFormatting>
  <conditionalFormatting sqref="P84:P91">
    <cfRule type="cellIs" dxfId="24673" priority="424" operator="greaterThan">
      <formula>0</formula>
    </cfRule>
  </conditionalFormatting>
  <conditionalFormatting sqref="Q84:Q91">
    <cfRule type="cellIs" dxfId="24672" priority="429" operator="lessThan">
      <formula>0</formula>
    </cfRule>
  </conditionalFormatting>
  <conditionalFormatting sqref="Q84:Q91">
    <cfRule type="cellIs" dxfId="24671" priority="418" operator="lessThan">
      <formula>0</formula>
    </cfRule>
  </conditionalFormatting>
  <conditionalFormatting sqref="P84:P91">
    <cfRule type="cellIs" dxfId="24670" priority="419" operator="greaterThan">
      <formula>0</formula>
    </cfRule>
  </conditionalFormatting>
  <conditionalFormatting sqref="R84:R91">
    <cfRule type="cellIs" dxfId="24669" priority="422" operator="lessThan">
      <formula>0.8</formula>
    </cfRule>
    <cfRule type="cellIs" dxfId="24668" priority="423" operator="greaterThan">
      <formula>1</formula>
    </cfRule>
  </conditionalFormatting>
  <conditionalFormatting sqref="R84:R91">
    <cfRule type="cellIs" dxfId="24667" priority="420" operator="greaterThan">
      <formula>1</formula>
    </cfRule>
    <cfRule type="cellIs" dxfId="24666" priority="421" operator="lessThan">
      <formula>0.8</formula>
    </cfRule>
  </conditionalFormatting>
  <conditionalFormatting sqref="Q84:Q91">
    <cfRule type="cellIs" dxfId="24665" priority="412" operator="lessThan">
      <formula>0</formula>
    </cfRule>
  </conditionalFormatting>
  <conditionalFormatting sqref="R84:R91">
    <cfRule type="cellIs" dxfId="24664" priority="416" operator="lessThan">
      <formula>0.8</formula>
    </cfRule>
    <cfRule type="cellIs" dxfId="24663" priority="417" operator="greaterThan">
      <formula>1</formula>
    </cfRule>
  </conditionalFormatting>
  <conditionalFormatting sqref="R84:R91">
    <cfRule type="cellIs" dxfId="24662" priority="414" operator="greaterThan">
      <formula>1</formula>
    </cfRule>
    <cfRule type="cellIs" dxfId="24661" priority="415" operator="lessThan">
      <formula>0.8</formula>
    </cfRule>
  </conditionalFormatting>
  <conditionalFormatting sqref="P84:P91">
    <cfRule type="cellIs" dxfId="24660" priority="413" operator="greaterThan">
      <formula>0</formula>
    </cfRule>
  </conditionalFormatting>
  <conditionalFormatting sqref="Q84:Q91">
    <cfRule type="cellIs" dxfId="24659" priority="411" operator="lessThan">
      <formula>0</formula>
    </cfRule>
  </conditionalFormatting>
  <conditionalFormatting sqref="R84:R91">
    <cfRule type="cellIs" dxfId="24658" priority="409" operator="lessThan">
      <formula>0.8</formula>
    </cfRule>
    <cfRule type="cellIs" dxfId="24657" priority="410" operator="greaterThan">
      <formula>1</formula>
    </cfRule>
  </conditionalFormatting>
  <conditionalFormatting sqref="R84:R91">
    <cfRule type="cellIs" dxfId="24656" priority="407" operator="greaterThan">
      <formula>1</formula>
    </cfRule>
    <cfRule type="cellIs" dxfId="24655" priority="408" operator="lessThan">
      <formula>0.8</formula>
    </cfRule>
  </conditionalFormatting>
  <conditionalFormatting sqref="P84:P91">
    <cfRule type="cellIs" dxfId="24654" priority="406" operator="greaterThan">
      <formula>0</formula>
    </cfRule>
  </conditionalFormatting>
  <conditionalFormatting sqref="Q84:Q91">
    <cfRule type="cellIs" dxfId="24653" priority="405" operator="lessThan">
      <formula>0</formula>
    </cfRule>
  </conditionalFormatting>
  <conditionalFormatting sqref="R84:R91">
    <cfRule type="cellIs" dxfId="24652" priority="403" operator="lessThan">
      <formula>0.8</formula>
    </cfRule>
    <cfRule type="cellIs" dxfId="24651" priority="404" operator="greaterThan">
      <formula>1</formula>
    </cfRule>
  </conditionalFormatting>
  <conditionalFormatting sqref="R84:R91">
    <cfRule type="cellIs" dxfId="24650" priority="401" operator="greaterThan">
      <formula>1</formula>
    </cfRule>
    <cfRule type="cellIs" dxfId="24649" priority="402" operator="lessThan">
      <formula>0.8</formula>
    </cfRule>
  </conditionalFormatting>
  <conditionalFormatting sqref="P84:P91">
    <cfRule type="cellIs" dxfId="24648" priority="400" operator="greaterThan">
      <formula>0</formula>
    </cfRule>
  </conditionalFormatting>
  <conditionalFormatting sqref="Q84:Q91">
    <cfRule type="cellIs" dxfId="24647" priority="399" operator="lessThan">
      <formula>0</formula>
    </cfRule>
  </conditionalFormatting>
  <conditionalFormatting sqref="R84:R91">
    <cfRule type="cellIs" dxfId="24646" priority="397" operator="lessThan">
      <formula>0.8</formula>
    </cfRule>
    <cfRule type="cellIs" dxfId="24645" priority="398" operator="greaterThan">
      <formula>1</formula>
    </cfRule>
  </conditionalFormatting>
  <conditionalFormatting sqref="R84:R91">
    <cfRule type="cellIs" dxfId="24644" priority="395" operator="greaterThan">
      <formula>1</formula>
    </cfRule>
    <cfRule type="cellIs" dxfId="24643" priority="396" operator="lessThan">
      <formula>0.8</formula>
    </cfRule>
  </conditionalFormatting>
  <conditionalFormatting sqref="P84:P91">
    <cfRule type="cellIs" dxfId="24642" priority="394" operator="greaterThan">
      <formula>0</formula>
    </cfRule>
  </conditionalFormatting>
  <conditionalFormatting sqref="Q84:Q91">
    <cfRule type="cellIs" dxfId="24641" priority="393" operator="lessThan">
      <formula>0</formula>
    </cfRule>
  </conditionalFormatting>
  <conditionalFormatting sqref="R84:R91">
    <cfRule type="cellIs" dxfId="24640" priority="391" operator="lessThan">
      <formula>0.8</formula>
    </cfRule>
    <cfRule type="cellIs" dxfId="24639" priority="392" operator="greaterThan">
      <formula>1</formula>
    </cfRule>
  </conditionalFormatting>
  <conditionalFormatting sqref="R84:R91">
    <cfRule type="cellIs" dxfId="24638" priority="389" operator="greaterThan">
      <formula>1</formula>
    </cfRule>
    <cfRule type="cellIs" dxfId="24637" priority="390" operator="lessThan">
      <formula>0.8</formula>
    </cfRule>
  </conditionalFormatting>
  <conditionalFormatting sqref="P84:P91">
    <cfRule type="cellIs" dxfId="24636" priority="388" operator="greaterThan">
      <formula>0</formula>
    </cfRule>
  </conditionalFormatting>
  <conditionalFormatting sqref="Q84:Q91">
    <cfRule type="cellIs" dxfId="24635" priority="387" operator="lessThan">
      <formula>0</formula>
    </cfRule>
  </conditionalFormatting>
  <conditionalFormatting sqref="R84:R91">
    <cfRule type="cellIs" dxfId="24634" priority="385" operator="lessThan">
      <formula>0.8</formula>
    </cfRule>
    <cfRule type="cellIs" dxfId="24633" priority="386" operator="greaterThan">
      <formula>1</formula>
    </cfRule>
  </conditionalFormatting>
  <conditionalFormatting sqref="R84:R91">
    <cfRule type="cellIs" dxfId="24632" priority="383" operator="greaterThan">
      <formula>1</formula>
    </cfRule>
    <cfRule type="cellIs" dxfId="24631" priority="384" operator="lessThan">
      <formula>0.8</formula>
    </cfRule>
  </conditionalFormatting>
  <conditionalFormatting sqref="P84:P91">
    <cfRule type="cellIs" dxfId="24630" priority="382" operator="greaterThan">
      <formula>0</formula>
    </cfRule>
  </conditionalFormatting>
  <conditionalFormatting sqref="Q84:Q91">
    <cfRule type="cellIs" dxfId="24629" priority="381" operator="lessThan">
      <formula>0</formula>
    </cfRule>
  </conditionalFormatting>
  <conditionalFormatting sqref="R84:R91">
    <cfRule type="cellIs" dxfId="24628" priority="379" operator="lessThan">
      <formula>0.8</formula>
    </cfRule>
    <cfRule type="cellIs" dxfId="24627" priority="380" operator="greaterThan">
      <formula>1</formula>
    </cfRule>
  </conditionalFormatting>
  <conditionalFormatting sqref="R84:R91">
    <cfRule type="cellIs" dxfId="24626" priority="377" operator="greaterThan">
      <formula>1</formula>
    </cfRule>
    <cfRule type="cellIs" dxfId="24625" priority="378" operator="lessThan">
      <formula>0.8</formula>
    </cfRule>
  </conditionalFormatting>
  <conditionalFormatting sqref="P84:P91">
    <cfRule type="cellIs" dxfId="24624" priority="376" operator="greaterThan">
      <formula>0</formula>
    </cfRule>
  </conditionalFormatting>
  <conditionalFormatting sqref="Q84:Q91">
    <cfRule type="cellIs" dxfId="24623" priority="375" operator="lessThan">
      <formula>0</formula>
    </cfRule>
  </conditionalFormatting>
  <conditionalFormatting sqref="R84:R91">
    <cfRule type="cellIs" dxfId="24622" priority="373" operator="lessThan">
      <formula>0.8</formula>
    </cfRule>
    <cfRule type="cellIs" dxfId="24621" priority="374" operator="greaterThan">
      <formula>1</formula>
    </cfRule>
  </conditionalFormatting>
  <conditionalFormatting sqref="R84:R91">
    <cfRule type="cellIs" dxfId="24620" priority="371" operator="greaterThan">
      <formula>1</formula>
    </cfRule>
    <cfRule type="cellIs" dxfId="24619" priority="372" operator="lessThan">
      <formula>0.8</formula>
    </cfRule>
  </conditionalFormatting>
  <conditionalFormatting sqref="P84:P91">
    <cfRule type="cellIs" dxfId="24618" priority="370" operator="greaterThan">
      <formula>0</formula>
    </cfRule>
  </conditionalFormatting>
  <conditionalFormatting sqref="P84:P91">
    <cfRule type="cellIs" dxfId="24617" priority="364" operator="greaterThan">
      <formula>0</formula>
    </cfRule>
  </conditionalFormatting>
  <conditionalFormatting sqref="Q84:Q91">
    <cfRule type="cellIs" dxfId="24616" priority="369" operator="lessThan">
      <formula>0</formula>
    </cfRule>
  </conditionalFormatting>
  <conditionalFormatting sqref="R84:R91">
    <cfRule type="cellIs" dxfId="24615" priority="367" operator="lessThan">
      <formula>0.8</formula>
    </cfRule>
    <cfRule type="cellIs" dxfId="24614" priority="368" operator="greaterThan">
      <formula>1</formula>
    </cfRule>
  </conditionalFormatting>
  <conditionalFormatting sqref="R84:R91">
    <cfRule type="cellIs" dxfId="24613" priority="365" operator="greaterThan">
      <formula>1</formula>
    </cfRule>
    <cfRule type="cellIs" dxfId="24612" priority="366" operator="lessThan">
      <formula>0.8</formula>
    </cfRule>
  </conditionalFormatting>
  <conditionalFormatting sqref="P84:P91">
    <cfRule type="cellIs" dxfId="24611" priority="358" operator="greaterThan">
      <formula>0</formula>
    </cfRule>
  </conditionalFormatting>
  <conditionalFormatting sqref="Q84:Q91">
    <cfRule type="cellIs" dxfId="24610" priority="363" operator="lessThan">
      <formula>0</formula>
    </cfRule>
  </conditionalFormatting>
  <conditionalFormatting sqref="R84:R91">
    <cfRule type="cellIs" dxfId="24609" priority="361" operator="lessThan">
      <formula>0.8</formula>
    </cfRule>
    <cfRule type="cellIs" dxfId="24608" priority="362" operator="greaterThan">
      <formula>1</formula>
    </cfRule>
  </conditionalFormatting>
  <conditionalFormatting sqref="R84:R91">
    <cfRule type="cellIs" dxfId="24607" priority="359" operator="greaterThan">
      <formula>1</formula>
    </cfRule>
    <cfRule type="cellIs" dxfId="24606" priority="360" operator="lessThan">
      <formula>0.8</formula>
    </cfRule>
  </conditionalFormatting>
  <conditionalFormatting sqref="R84:R91">
    <cfRule type="cellIs" dxfId="24605" priority="355" operator="lessThan">
      <formula>0.8</formula>
    </cfRule>
    <cfRule type="cellIs" dxfId="24604" priority="356" operator="greaterThan">
      <formula>1</formula>
    </cfRule>
  </conditionalFormatting>
  <conditionalFormatting sqref="R84:R91">
    <cfRule type="cellIs" dxfId="24603" priority="353" operator="greaterThan">
      <formula>1</formula>
    </cfRule>
    <cfRule type="cellIs" dxfId="24602" priority="354" operator="lessThan">
      <formula>0.8</formula>
    </cfRule>
  </conditionalFormatting>
  <conditionalFormatting sqref="P84:P91">
    <cfRule type="cellIs" dxfId="24601" priority="352" operator="greaterThan">
      <formula>0</formula>
    </cfRule>
  </conditionalFormatting>
  <conditionalFormatting sqref="Q84:Q91">
    <cfRule type="cellIs" dxfId="24600" priority="357" operator="lessThan">
      <formula>0</formula>
    </cfRule>
  </conditionalFormatting>
  <conditionalFormatting sqref="Q84:Q91">
    <cfRule type="cellIs" dxfId="24599" priority="351" operator="lessThan">
      <formula>0</formula>
    </cfRule>
  </conditionalFormatting>
  <conditionalFormatting sqref="R84:R91">
    <cfRule type="cellIs" dxfId="24598" priority="349" operator="lessThan">
      <formula>0.8</formula>
    </cfRule>
    <cfRule type="cellIs" dxfId="24597" priority="350" operator="greaterThan">
      <formula>1</formula>
    </cfRule>
  </conditionalFormatting>
  <conditionalFormatting sqref="R84:R91">
    <cfRule type="cellIs" dxfId="24596" priority="347" operator="greaterThan">
      <formula>1</formula>
    </cfRule>
    <cfRule type="cellIs" dxfId="24595" priority="348" operator="lessThan">
      <formula>0.8</formula>
    </cfRule>
  </conditionalFormatting>
  <conditionalFormatting sqref="P84:P91">
    <cfRule type="cellIs" dxfId="24594" priority="346" operator="greaterThan">
      <formula>0</formula>
    </cfRule>
  </conditionalFormatting>
  <conditionalFormatting sqref="P84:P91">
    <cfRule type="cellIs" dxfId="24593" priority="340" operator="greaterThan">
      <formula>0</formula>
    </cfRule>
  </conditionalFormatting>
  <conditionalFormatting sqref="Q84:Q91">
    <cfRule type="cellIs" dxfId="24592" priority="345" operator="lessThan">
      <formula>0</formula>
    </cfRule>
  </conditionalFormatting>
  <conditionalFormatting sqref="R84:R91">
    <cfRule type="cellIs" dxfId="24591" priority="343" operator="lessThan">
      <formula>0.8</formula>
    </cfRule>
    <cfRule type="cellIs" dxfId="24590" priority="344" operator="greaterThan">
      <formula>1</formula>
    </cfRule>
  </conditionalFormatting>
  <conditionalFormatting sqref="R84:R91">
    <cfRule type="cellIs" dxfId="24589" priority="341" operator="greaterThan">
      <formula>1</formula>
    </cfRule>
    <cfRule type="cellIs" dxfId="24588" priority="342" operator="lessThan">
      <formula>0.8</formula>
    </cfRule>
  </conditionalFormatting>
  <conditionalFormatting sqref="P84:P91">
    <cfRule type="cellIs" dxfId="24587" priority="334" operator="greaterThan">
      <formula>0</formula>
    </cfRule>
  </conditionalFormatting>
  <conditionalFormatting sqref="Q84:Q91">
    <cfRule type="cellIs" dxfId="24586" priority="339" operator="lessThan">
      <formula>0</formula>
    </cfRule>
  </conditionalFormatting>
  <conditionalFormatting sqref="R84:R91">
    <cfRule type="cellIs" dxfId="24585" priority="337" operator="lessThan">
      <formula>0.8</formula>
    </cfRule>
    <cfRule type="cellIs" dxfId="24584" priority="338" operator="greaterThan">
      <formula>1</formula>
    </cfRule>
  </conditionalFormatting>
  <conditionalFormatting sqref="R84:R91">
    <cfRule type="cellIs" dxfId="24583" priority="335" operator="greaterThan">
      <formula>1</formula>
    </cfRule>
    <cfRule type="cellIs" dxfId="24582" priority="336" operator="lessThan">
      <formula>0.8</formula>
    </cfRule>
  </conditionalFormatting>
  <conditionalFormatting sqref="R84:R91">
    <cfRule type="cellIs" dxfId="24581" priority="331" operator="lessThan">
      <formula>0.8</formula>
    </cfRule>
    <cfRule type="cellIs" dxfId="24580" priority="332" operator="greaterThan">
      <formula>1</formula>
    </cfRule>
  </conditionalFormatting>
  <conditionalFormatting sqref="R84:R91">
    <cfRule type="cellIs" dxfId="24579" priority="329" operator="greaterThan">
      <formula>1</formula>
    </cfRule>
    <cfRule type="cellIs" dxfId="24578" priority="330" operator="lessThan">
      <formula>0.8</formula>
    </cfRule>
  </conditionalFormatting>
  <conditionalFormatting sqref="P84:P91">
    <cfRule type="cellIs" dxfId="24577" priority="328" operator="greaterThan">
      <formula>0</formula>
    </cfRule>
  </conditionalFormatting>
  <conditionalFormatting sqref="Q84:Q91">
    <cfRule type="cellIs" dxfId="24576" priority="333" operator="lessThan">
      <formula>0</formula>
    </cfRule>
  </conditionalFormatting>
  <conditionalFormatting sqref="P84:P91">
    <cfRule type="cellIs" dxfId="24575" priority="322" operator="greaterThan">
      <formula>0</formula>
    </cfRule>
  </conditionalFormatting>
  <conditionalFormatting sqref="Q84:Q91">
    <cfRule type="cellIs" dxfId="24574" priority="327" operator="lessThan">
      <formula>0</formula>
    </cfRule>
  </conditionalFormatting>
  <conditionalFormatting sqref="R84:R91">
    <cfRule type="cellIs" dxfId="24573" priority="325" operator="lessThan">
      <formula>0.8</formula>
    </cfRule>
    <cfRule type="cellIs" dxfId="24572" priority="326" operator="greaterThan">
      <formula>1</formula>
    </cfRule>
  </conditionalFormatting>
  <conditionalFormatting sqref="R84:R91">
    <cfRule type="cellIs" dxfId="24571" priority="323" operator="greaterThan">
      <formula>1</formula>
    </cfRule>
    <cfRule type="cellIs" dxfId="24570" priority="324" operator="lessThan">
      <formula>0.8</formula>
    </cfRule>
  </conditionalFormatting>
  <conditionalFormatting sqref="R84:R91">
    <cfRule type="cellIs" dxfId="24569" priority="319" operator="lessThan">
      <formula>0.8</formula>
    </cfRule>
    <cfRule type="cellIs" dxfId="24568" priority="320" operator="greaterThan">
      <formula>1</formula>
    </cfRule>
  </conditionalFormatting>
  <conditionalFormatting sqref="R84:R91">
    <cfRule type="cellIs" dxfId="24567" priority="317" operator="greaterThan">
      <formula>1</formula>
    </cfRule>
    <cfRule type="cellIs" dxfId="24566" priority="318" operator="lessThan">
      <formula>0.8</formula>
    </cfRule>
  </conditionalFormatting>
  <conditionalFormatting sqref="P84:P91">
    <cfRule type="cellIs" dxfId="24565" priority="316" operator="greaterThan">
      <formula>0</formula>
    </cfRule>
  </conditionalFormatting>
  <conditionalFormatting sqref="Q84:Q91">
    <cfRule type="cellIs" dxfId="24564" priority="321" operator="lessThan">
      <formula>0</formula>
    </cfRule>
  </conditionalFormatting>
  <conditionalFormatting sqref="R84:R91">
    <cfRule type="cellIs" dxfId="24563" priority="313" operator="lessThan">
      <formula>0.8</formula>
    </cfRule>
    <cfRule type="cellIs" dxfId="24562" priority="314" operator="greaterThan">
      <formula>1</formula>
    </cfRule>
  </conditionalFormatting>
  <conditionalFormatting sqref="R84:R91">
    <cfRule type="cellIs" dxfId="24561" priority="311" operator="greaterThan">
      <formula>1</formula>
    </cfRule>
    <cfRule type="cellIs" dxfId="24560" priority="312" operator="lessThan">
      <formula>0.8</formula>
    </cfRule>
  </conditionalFormatting>
  <conditionalFormatting sqref="P84:P91">
    <cfRule type="cellIs" dxfId="24559" priority="310" operator="greaterThan">
      <formula>0</formula>
    </cfRule>
  </conditionalFormatting>
  <conditionalFormatting sqref="Q84:Q91">
    <cfRule type="cellIs" dxfId="24558" priority="315" operator="lessThan">
      <formula>0</formula>
    </cfRule>
  </conditionalFormatting>
  <conditionalFormatting sqref="Q84:Q91">
    <cfRule type="cellIs" dxfId="24557" priority="309" operator="lessThan">
      <formula>0</formula>
    </cfRule>
  </conditionalFormatting>
  <conditionalFormatting sqref="R84:R91">
    <cfRule type="cellIs" dxfId="24556" priority="307" operator="lessThan">
      <formula>0.8</formula>
    </cfRule>
    <cfRule type="cellIs" dxfId="24555" priority="308" operator="greaterThan">
      <formula>1</formula>
    </cfRule>
  </conditionalFormatting>
  <conditionalFormatting sqref="R84:R91">
    <cfRule type="cellIs" dxfId="24554" priority="305" operator="greaterThan">
      <formula>1</formula>
    </cfRule>
    <cfRule type="cellIs" dxfId="24553" priority="306" operator="lessThan">
      <formula>0.8</formula>
    </cfRule>
  </conditionalFormatting>
  <conditionalFormatting sqref="P84:P91">
    <cfRule type="cellIs" dxfId="24552" priority="304" operator="greaterThan">
      <formula>0</formula>
    </cfRule>
  </conditionalFormatting>
  <conditionalFormatting sqref="Q84:Q91">
    <cfRule type="cellIs" dxfId="24551" priority="298" operator="lessThan">
      <formula>0</formula>
    </cfRule>
  </conditionalFormatting>
  <conditionalFormatting sqref="R84:R91">
    <cfRule type="cellIs" dxfId="24550" priority="302" operator="lessThan">
      <formula>0.8</formula>
    </cfRule>
    <cfRule type="cellIs" dxfId="24549" priority="303" operator="greaterThan">
      <formula>1</formula>
    </cfRule>
  </conditionalFormatting>
  <conditionalFormatting sqref="R84:R91">
    <cfRule type="cellIs" dxfId="24548" priority="300" operator="greaterThan">
      <formula>1</formula>
    </cfRule>
    <cfRule type="cellIs" dxfId="24547" priority="301" operator="lessThan">
      <formula>0.8</formula>
    </cfRule>
  </conditionalFormatting>
  <conditionalFormatting sqref="P84:P91">
    <cfRule type="cellIs" dxfId="24546" priority="299" operator="greaterThan">
      <formula>0</formula>
    </cfRule>
  </conditionalFormatting>
  <conditionalFormatting sqref="Q84:Q91">
    <cfRule type="cellIs" dxfId="24545" priority="297" operator="lessThan">
      <formula>0</formula>
    </cfRule>
  </conditionalFormatting>
  <conditionalFormatting sqref="R84:R91">
    <cfRule type="cellIs" dxfId="24544" priority="295" operator="lessThan">
      <formula>0.8</formula>
    </cfRule>
    <cfRule type="cellIs" dxfId="24543" priority="296" operator="greaterThan">
      <formula>1</formula>
    </cfRule>
  </conditionalFormatting>
  <conditionalFormatting sqref="R84:R91">
    <cfRule type="cellIs" dxfId="24542" priority="293" operator="greaterThan">
      <formula>1</formula>
    </cfRule>
    <cfRule type="cellIs" dxfId="24541" priority="294" operator="lessThan">
      <formula>0.8</formula>
    </cfRule>
  </conditionalFormatting>
  <conditionalFormatting sqref="P84:P91">
    <cfRule type="cellIs" dxfId="24540" priority="292" operator="greaterThan">
      <formula>0</formula>
    </cfRule>
  </conditionalFormatting>
  <conditionalFormatting sqref="Q84:Q91">
    <cfRule type="cellIs" dxfId="24539" priority="291" operator="lessThan">
      <formula>0</formula>
    </cfRule>
  </conditionalFormatting>
  <conditionalFormatting sqref="R84:R91">
    <cfRule type="cellIs" dxfId="24538" priority="289" operator="lessThan">
      <formula>0.8</formula>
    </cfRule>
    <cfRule type="cellIs" dxfId="24537" priority="290" operator="greaterThan">
      <formula>1</formula>
    </cfRule>
  </conditionalFormatting>
  <conditionalFormatting sqref="R84:R91">
    <cfRule type="cellIs" dxfId="24536" priority="287" operator="greaterThan">
      <formula>1</formula>
    </cfRule>
    <cfRule type="cellIs" dxfId="24535" priority="288" operator="lessThan">
      <formula>0.8</formula>
    </cfRule>
  </conditionalFormatting>
  <conditionalFormatting sqref="P84:P91">
    <cfRule type="cellIs" dxfId="24534" priority="286" operator="greaterThan">
      <formula>0</formula>
    </cfRule>
  </conditionalFormatting>
  <conditionalFormatting sqref="Q84:Q91">
    <cfRule type="cellIs" dxfId="24533" priority="285" operator="lessThan">
      <formula>0</formula>
    </cfRule>
  </conditionalFormatting>
  <conditionalFormatting sqref="R84:R91">
    <cfRule type="cellIs" dxfId="24532" priority="283" operator="lessThan">
      <formula>0.8</formula>
    </cfRule>
    <cfRule type="cellIs" dxfId="24531" priority="284" operator="greaterThan">
      <formula>1</formula>
    </cfRule>
  </conditionalFormatting>
  <conditionalFormatting sqref="R84:R91">
    <cfRule type="cellIs" dxfId="24530" priority="281" operator="greaterThan">
      <formula>1</formula>
    </cfRule>
    <cfRule type="cellIs" dxfId="24529" priority="282" operator="lessThan">
      <formula>0.8</formula>
    </cfRule>
  </conditionalFormatting>
  <conditionalFormatting sqref="P84:P91">
    <cfRule type="cellIs" dxfId="24528" priority="280" operator="greaterThan">
      <formula>0</formula>
    </cfRule>
  </conditionalFormatting>
  <conditionalFormatting sqref="Q84:Q91">
    <cfRule type="cellIs" dxfId="24527" priority="279" operator="lessThan">
      <formula>0</formula>
    </cfRule>
  </conditionalFormatting>
  <conditionalFormatting sqref="R84:R91">
    <cfRule type="cellIs" dxfId="24526" priority="277" operator="lessThan">
      <formula>0.8</formula>
    </cfRule>
    <cfRule type="cellIs" dxfId="24525" priority="278" operator="greaterThan">
      <formula>1</formula>
    </cfRule>
  </conditionalFormatting>
  <conditionalFormatting sqref="R84:R91">
    <cfRule type="cellIs" dxfId="24524" priority="275" operator="greaterThan">
      <formula>1</formula>
    </cfRule>
    <cfRule type="cellIs" dxfId="24523" priority="276" operator="lessThan">
      <formula>0.8</formula>
    </cfRule>
  </conditionalFormatting>
  <conditionalFormatting sqref="P84:P91">
    <cfRule type="cellIs" dxfId="24522" priority="274" operator="greaterThan">
      <formula>0</formula>
    </cfRule>
  </conditionalFormatting>
  <conditionalFormatting sqref="Q84:Q91">
    <cfRule type="cellIs" dxfId="24521" priority="273" operator="lessThan">
      <formula>0</formula>
    </cfRule>
  </conditionalFormatting>
  <conditionalFormatting sqref="R84:R91">
    <cfRule type="cellIs" dxfId="24520" priority="271" operator="lessThan">
      <formula>0.8</formula>
    </cfRule>
    <cfRule type="cellIs" dxfId="24519" priority="272" operator="greaterThan">
      <formula>1</formula>
    </cfRule>
  </conditionalFormatting>
  <conditionalFormatting sqref="R84:R91">
    <cfRule type="cellIs" dxfId="24518" priority="269" operator="greaterThan">
      <formula>1</formula>
    </cfRule>
    <cfRule type="cellIs" dxfId="24517" priority="270" operator="lessThan">
      <formula>0.8</formula>
    </cfRule>
  </conditionalFormatting>
  <conditionalFormatting sqref="P84:P91">
    <cfRule type="cellIs" dxfId="24516" priority="268" operator="greaterThan">
      <formula>0</formula>
    </cfRule>
  </conditionalFormatting>
  <conditionalFormatting sqref="P84:P91">
    <cfRule type="cellIs" dxfId="24515" priority="262" operator="greaterThan">
      <formula>0</formula>
    </cfRule>
  </conditionalFormatting>
  <conditionalFormatting sqref="Q84:Q91">
    <cfRule type="cellIs" dxfId="24514" priority="267" operator="lessThan">
      <formula>0</formula>
    </cfRule>
  </conditionalFormatting>
  <conditionalFormatting sqref="R84:R91">
    <cfRule type="cellIs" dxfId="24513" priority="265" operator="lessThan">
      <formula>0.8</formula>
    </cfRule>
    <cfRule type="cellIs" dxfId="24512" priority="266" operator="greaterThan">
      <formula>1</formula>
    </cfRule>
  </conditionalFormatting>
  <conditionalFormatting sqref="R84:R91">
    <cfRule type="cellIs" dxfId="24511" priority="263" operator="greaterThan">
      <formula>1</formula>
    </cfRule>
    <cfRule type="cellIs" dxfId="24510" priority="264" operator="lessThan">
      <formula>0.8</formula>
    </cfRule>
  </conditionalFormatting>
  <conditionalFormatting sqref="P84:P91">
    <cfRule type="cellIs" dxfId="24509" priority="256" operator="greaterThan">
      <formula>0</formula>
    </cfRule>
  </conditionalFormatting>
  <conditionalFormatting sqref="Q84:Q91">
    <cfRule type="cellIs" dxfId="24508" priority="261" operator="lessThan">
      <formula>0</formula>
    </cfRule>
  </conditionalFormatting>
  <conditionalFormatting sqref="R84:R91">
    <cfRule type="cellIs" dxfId="24507" priority="259" operator="lessThan">
      <formula>0.8</formula>
    </cfRule>
    <cfRule type="cellIs" dxfId="24506" priority="260" operator="greaterThan">
      <formula>1</formula>
    </cfRule>
  </conditionalFormatting>
  <conditionalFormatting sqref="R84:R91">
    <cfRule type="cellIs" dxfId="24505" priority="257" operator="greaterThan">
      <formula>1</formula>
    </cfRule>
    <cfRule type="cellIs" dxfId="24504" priority="258" operator="lessThan">
      <formula>0.8</formula>
    </cfRule>
  </conditionalFormatting>
  <conditionalFormatting sqref="R84:R91">
    <cfRule type="cellIs" dxfId="24503" priority="253" operator="lessThan">
      <formula>0.8</formula>
    </cfRule>
    <cfRule type="cellIs" dxfId="24502" priority="254" operator="greaterThan">
      <formula>1</formula>
    </cfRule>
  </conditionalFormatting>
  <conditionalFormatting sqref="R84:R91">
    <cfRule type="cellIs" dxfId="24501" priority="251" operator="greaterThan">
      <formula>1</formula>
    </cfRule>
    <cfRule type="cellIs" dxfId="24500" priority="252" operator="lessThan">
      <formula>0.8</formula>
    </cfRule>
  </conditionalFormatting>
  <conditionalFormatting sqref="P84:P91">
    <cfRule type="cellIs" dxfId="24499" priority="250" operator="greaterThan">
      <formula>0</formula>
    </cfRule>
  </conditionalFormatting>
  <conditionalFormatting sqref="Q84:Q91">
    <cfRule type="cellIs" dxfId="24498" priority="255" operator="lessThan">
      <formula>0</formula>
    </cfRule>
  </conditionalFormatting>
  <conditionalFormatting sqref="Q84:Q91">
    <cfRule type="cellIs" dxfId="24497" priority="249" operator="lessThan">
      <formula>0</formula>
    </cfRule>
  </conditionalFormatting>
  <conditionalFormatting sqref="R84:R91">
    <cfRule type="cellIs" dxfId="24496" priority="247" operator="lessThan">
      <formula>0.8</formula>
    </cfRule>
    <cfRule type="cellIs" dxfId="24495" priority="248" operator="greaterThan">
      <formula>1</formula>
    </cfRule>
  </conditionalFormatting>
  <conditionalFormatting sqref="R84:R91">
    <cfRule type="cellIs" dxfId="24494" priority="245" operator="greaterThan">
      <formula>1</formula>
    </cfRule>
    <cfRule type="cellIs" dxfId="24493" priority="246" operator="lessThan">
      <formula>0.8</formula>
    </cfRule>
  </conditionalFormatting>
  <conditionalFormatting sqref="P84:P91">
    <cfRule type="cellIs" dxfId="24492" priority="244" operator="greaterThan">
      <formula>0</formula>
    </cfRule>
  </conditionalFormatting>
  <conditionalFormatting sqref="Q84:Q91">
    <cfRule type="cellIs" dxfId="24491" priority="243" operator="lessThan">
      <formula>0</formula>
    </cfRule>
  </conditionalFormatting>
  <conditionalFormatting sqref="R84:R91">
    <cfRule type="cellIs" dxfId="24490" priority="241" operator="lessThan">
      <formula>0.8</formula>
    </cfRule>
    <cfRule type="cellIs" dxfId="24489" priority="242" operator="greaterThan">
      <formula>1</formula>
    </cfRule>
  </conditionalFormatting>
  <conditionalFormatting sqref="R84:R91">
    <cfRule type="cellIs" dxfId="24488" priority="239" operator="greaterThan">
      <formula>1</formula>
    </cfRule>
    <cfRule type="cellIs" dxfId="24487" priority="240" operator="lessThan">
      <formula>0.8</formula>
    </cfRule>
  </conditionalFormatting>
  <conditionalFormatting sqref="P84:P91">
    <cfRule type="cellIs" dxfId="24486" priority="238" operator="greaterThan">
      <formula>0</formula>
    </cfRule>
  </conditionalFormatting>
  <conditionalFormatting sqref="Q84:Q91">
    <cfRule type="cellIs" dxfId="24485" priority="237" operator="lessThan">
      <formula>0</formula>
    </cfRule>
  </conditionalFormatting>
  <conditionalFormatting sqref="R84:R91">
    <cfRule type="cellIs" dxfId="24484" priority="235" operator="lessThan">
      <formula>0.8</formula>
    </cfRule>
    <cfRule type="cellIs" dxfId="24483" priority="236" operator="greaterThan">
      <formula>1</formula>
    </cfRule>
  </conditionalFormatting>
  <conditionalFormatting sqref="R84:R91">
    <cfRule type="cellIs" dxfId="24482" priority="233" operator="greaterThan">
      <formula>1</formula>
    </cfRule>
    <cfRule type="cellIs" dxfId="24481" priority="234" operator="lessThan">
      <formula>0.8</formula>
    </cfRule>
  </conditionalFormatting>
  <conditionalFormatting sqref="P84:P91">
    <cfRule type="cellIs" dxfId="24480" priority="232" operator="greaterThan">
      <formula>0</formula>
    </cfRule>
  </conditionalFormatting>
  <conditionalFormatting sqref="Q84:Q91">
    <cfRule type="cellIs" dxfId="24479" priority="231" operator="lessThan">
      <formula>0</formula>
    </cfRule>
  </conditionalFormatting>
  <conditionalFormatting sqref="R84:R91">
    <cfRule type="cellIs" dxfId="24478" priority="229" operator="lessThan">
      <formula>0.8</formula>
    </cfRule>
    <cfRule type="cellIs" dxfId="24477" priority="230" operator="greaterThan">
      <formula>1</formula>
    </cfRule>
  </conditionalFormatting>
  <conditionalFormatting sqref="R84:R91">
    <cfRule type="cellIs" dxfId="24476" priority="227" operator="greaterThan">
      <formula>1</formula>
    </cfRule>
    <cfRule type="cellIs" dxfId="24475" priority="228" operator="lessThan">
      <formula>0.8</formula>
    </cfRule>
  </conditionalFormatting>
  <conditionalFormatting sqref="P84:P91">
    <cfRule type="cellIs" dxfId="24474" priority="226" operator="greaterThan">
      <formula>0</formula>
    </cfRule>
  </conditionalFormatting>
  <conditionalFormatting sqref="P84:P91">
    <cfRule type="cellIs" dxfId="24473" priority="220" operator="greaterThan">
      <formula>0</formula>
    </cfRule>
  </conditionalFormatting>
  <conditionalFormatting sqref="Q84:Q91">
    <cfRule type="cellIs" dxfId="24472" priority="225" operator="lessThan">
      <formula>0</formula>
    </cfRule>
  </conditionalFormatting>
  <conditionalFormatting sqref="R84:R91">
    <cfRule type="cellIs" dxfId="24471" priority="223" operator="lessThan">
      <formula>0.8</formula>
    </cfRule>
    <cfRule type="cellIs" dxfId="24470" priority="224" operator="greaterThan">
      <formula>1</formula>
    </cfRule>
  </conditionalFormatting>
  <conditionalFormatting sqref="R84:R91">
    <cfRule type="cellIs" dxfId="24469" priority="221" operator="greaterThan">
      <formula>1</formula>
    </cfRule>
    <cfRule type="cellIs" dxfId="24468" priority="222" operator="lessThan">
      <formula>0.8</formula>
    </cfRule>
  </conditionalFormatting>
  <conditionalFormatting sqref="P84:P91">
    <cfRule type="cellIs" dxfId="24467" priority="214" operator="greaterThan">
      <formula>0</formula>
    </cfRule>
  </conditionalFormatting>
  <conditionalFormatting sqref="Q84:Q91">
    <cfRule type="cellIs" dxfId="24466" priority="219" operator="lessThan">
      <formula>0</formula>
    </cfRule>
  </conditionalFormatting>
  <conditionalFormatting sqref="R84:R91">
    <cfRule type="cellIs" dxfId="24465" priority="217" operator="lessThan">
      <formula>0.8</formula>
    </cfRule>
    <cfRule type="cellIs" dxfId="24464" priority="218" operator="greaterThan">
      <formula>1</formula>
    </cfRule>
  </conditionalFormatting>
  <conditionalFormatting sqref="R84:R91">
    <cfRule type="cellIs" dxfId="24463" priority="215" operator="greaterThan">
      <formula>1</formula>
    </cfRule>
    <cfRule type="cellIs" dxfId="24462" priority="216" operator="lessThan">
      <formula>0.8</formula>
    </cfRule>
  </conditionalFormatting>
  <conditionalFormatting sqref="R84:R91">
    <cfRule type="cellIs" dxfId="24461" priority="211" operator="lessThan">
      <formula>0.8</formula>
    </cfRule>
    <cfRule type="cellIs" dxfId="24460" priority="212" operator="greaterThan">
      <formula>1</formula>
    </cfRule>
  </conditionalFormatting>
  <conditionalFormatting sqref="R84:R91">
    <cfRule type="cellIs" dxfId="24459" priority="209" operator="greaterThan">
      <formula>1</formula>
    </cfRule>
    <cfRule type="cellIs" dxfId="24458" priority="210" operator="lessThan">
      <formula>0.8</formula>
    </cfRule>
  </conditionalFormatting>
  <conditionalFormatting sqref="P84:P91">
    <cfRule type="cellIs" dxfId="24457" priority="208" operator="greaterThan">
      <formula>0</formula>
    </cfRule>
  </conditionalFormatting>
  <conditionalFormatting sqref="Q84:Q91">
    <cfRule type="cellIs" dxfId="24456" priority="213" operator="lessThan">
      <formula>0</formula>
    </cfRule>
  </conditionalFormatting>
  <conditionalFormatting sqref="Q84:Q91">
    <cfRule type="cellIs" dxfId="24455" priority="207" operator="lessThan">
      <formula>0</formula>
    </cfRule>
  </conditionalFormatting>
  <conditionalFormatting sqref="R84:R91">
    <cfRule type="cellIs" dxfId="24454" priority="205" operator="lessThan">
      <formula>0.8</formula>
    </cfRule>
    <cfRule type="cellIs" dxfId="24453" priority="206" operator="greaterThan">
      <formula>1</formula>
    </cfRule>
  </conditionalFormatting>
  <conditionalFormatting sqref="R84:R91">
    <cfRule type="cellIs" dxfId="24452" priority="203" operator="greaterThan">
      <formula>1</formula>
    </cfRule>
    <cfRule type="cellIs" dxfId="24451" priority="204" operator="lessThan">
      <formula>0.8</formula>
    </cfRule>
  </conditionalFormatting>
  <conditionalFormatting sqref="P84:P91">
    <cfRule type="cellIs" dxfId="24450" priority="202" operator="greaterThan">
      <formula>0</formula>
    </cfRule>
  </conditionalFormatting>
  <conditionalFormatting sqref="P84:P91">
    <cfRule type="cellIs" dxfId="24449" priority="196" operator="greaterThan">
      <formula>0</formula>
    </cfRule>
  </conditionalFormatting>
  <conditionalFormatting sqref="Q84:Q91">
    <cfRule type="cellIs" dxfId="24448" priority="201" operator="lessThan">
      <formula>0</formula>
    </cfRule>
  </conditionalFormatting>
  <conditionalFormatting sqref="R84:R91">
    <cfRule type="cellIs" dxfId="24447" priority="199" operator="lessThan">
      <formula>0.8</formula>
    </cfRule>
    <cfRule type="cellIs" dxfId="24446" priority="200" operator="greaterThan">
      <formula>1</formula>
    </cfRule>
  </conditionalFormatting>
  <conditionalFormatting sqref="R84:R91">
    <cfRule type="cellIs" dxfId="24445" priority="197" operator="greaterThan">
      <formula>1</formula>
    </cfRule>
    <cfRule type="cellIs" dxfId="24444" priority="198" operator="lessThan">
      <formula>0.8</formula>
    </cfRule>
  </conditionalFormatting>
  <conditionalFormatting sqref="P84:P91">
    <cfRule type="cellIs" dxfId="24443" priority="190" operator="greaterThan">
      <formula>0</formula>
    </cfRule>
  </conditionalFormatting>
  <conditionalFormatting sqref="Q84:Q91">
    <cfRule type="cellIs" dxfId="24442" priority="195" operator="lessThan">
      <formula>0</formula>
    </cfRule>
  </conditionalFormatting>
  <conditionalFormatting sqref="R84:R91">
    <cfRule type="cellIs" dxfId="24441" priority="193" operator="lessThan">
      <formula>0.8</formula>
    </cfRule>
    <cfRule type="cellIs" dxfId="24440" priority="194" operator="greaterThan">
      <formula>1</formula>
    </cfRule>
  </conditionalFormatting>
  <conditionalFormatting sqref="R84:R91">
    <cfRule type="cellIs" dxfId="24439" priority="191" operator="greaterThan">
      <formula>1</formula>
    </cfRule>
    <cfRule type="cellIs" dxfId="24438" priority="192" operator="lessThan">
      <formula>0.8</formula>
    </cfRule>
  </conditionalFormatting>
  <conditionalFormatting sqref="R84:R91">
    <cfRule type="cellIs" dxfId="24437" priority="187" operator="lessThan">
      <formula>0.8</formula>
    </cfRule>
    <cfRule type="cellIs" dxfId="24436" priority="188" operator="greaterThan">
      <formula>1</formula>
    </cfRule>
  </conditionalFormatting>
  <conditionalFormatting sqref="R84:R91">
    <cfRule type="cellIs" dxfId="24435" priority="185" operator="greaterThan">
      <formula>1</formula>
    </cfRule>
    <cfRule type="cellIs" dxfId="24434" priority="186" operator="lessThan">
      <formula>0.8</formula>
    </cfRule>
  </conditionalFormatting>
  <conditionalFormatting sqref="P84:P91">
    <cfRule type="cellIs" dxfId="24433" priority="184" operator="greaterThan">
      <formula>0</formula>
    </cfRule>
  </conditionalFormatting>
  <conditionalFormatting sqref="Q84:Q91">
    <cfRule type="cellIs" dxfId="24432" priority="189" operator="lessThan">
      <formula>0</formula>
    </cfRule>
  </conditionalFormatting>
  <conditionalFormatting sqref="P84:P91">
    <cfRule type="cellIs" dxfId="24431" priority="178" operator="greaterThan">
      <formula>0</formula>
    </cfRule>
  </conditionalFormatting>
  <conditionalFormatting sqref="Q84:Q91">
    <cfRule type="cellIs" dxfId="24430" priority="183" operator="lessThan">
      <formula>0</formula>
    </cfRule>
  </conditionalFormatting>
  <conditionalFormatting sqref="R84:R91">
    <cfRule type="cellIs" dxfId="24429" priority="181" operator="lessThan">
      <formula>0.8</formula>
    </cfRule>
    <cfRule type="cellIs" dxfId="24428" priority="182" operator="greaterThan">
      <formula>1</formula>
    </cfRule>
  </conditionalFormatting>
  <conditionalFormatting sqref="R84:R91">
    <cfRule type="cellIs" dxfId="24427" priority="179" operator="greaterThan">
      <formula>1</formula>
    </cfRule>
    <cfRule type="cellIs" dxfId="24426" priority="180" operator="lessThan">
      <formula>0.8</formula>
    </cfRule>
  </conditionalFormatting>
  <conditionalFormatting sqref="R84:R91">
    <cfRule type="cellIs" dxfId="24425" priority="175" operator="lessThan">
      <formula>0.8</formula>
    </cfRule>
    <cfRule type="cellIs" dxfId="24424" priority="176" operator="greaterThan">
      <formula>1</formula>
    </cfRule>
  </conditionalFormatting>
  <conditionalFormatting sqref="R84:R91">
    <cfRule type="cellIs" dxfId="24423" priority="173" operator="greaterThan">
      <formula>1</formula>
    </cfRule>
    <cfRule type="cellIs" dxfId="24422" priority="174" operator="lessThan">
      <formula>0.8</formula>
    </cfRule>
  </conditionalFormatting>
  <conditionalFormatting sqref="P84:P91">
    <cfRule type="cellIs" dxfId="24421" priority="172" operator="greaterThan">
      <formula>0</formula>
    </cfRule>
  </conditionalFormatting>
  <conditionalFormatting sqref="Q84:Q91">
    <cfRule type="cellIs" dxfId="24420" priority="177" operator="lessThan">
      <formula>0</formula>
    </cfRule>
  </conditionalFormatting>
  <conditionalFormatting sqref="R84:R91">
    <cfRule type="cellIs" dxfId="24419" priority="169" operator="lessThan">
      <formula>0.8</formula>
    </cfRule>
    <cfRule type="cellIs" dxfId="24418" priority="170" operator="greaterThan">
      <formula>1</formula>
    </cfRule>
  </conditionalFormatting>
  <conditionalFormatting sqref="R84:R91">
    <cfRule type="cellIs" dxfId="24417" priority="167" operator="greaterThan">
      <formula>1</formula>
    </cfRule>
    <cfRule type="cellIs" dxfId="24416" priority="168" operator="lessThan">
      <formula>0.8</formula>
    </cfRule>
  </conditionalFormatting>
  <conditionalFormatting sqref="P84:P91">
    <cfRule type="cellIs" dxfId="24415" priority="166" operator="greaterThan">
      <formula>0</formula>
    </cfRule>
  </conditionalFormatting>
  <conditionalFormatting sqref="Q84:Q91">
    <cfRule type="cellIs" dxfId="24414" priority="171" operator="lessThan">
      <formula>0</formula>
    </cfRule>
  </conditionalFormatting>
  <conditionalFormatting sqref="Q84:Q91">
    <cfRule type="cellIs" dxfId="24413" priority="165" operator="lessThan">
      <formula>0</formula>
    </cfRule>
  </conditionalFormatting>
  <conditionalFormatting sqref="R84:R91">
    <cfRule type="cellIs" dxfId="24412" priority="163" operator="lessThan">
      <formula>0.8</formula>
    </cfRule>
    <cfRule type="cellIs" dxfId="24411" priority="164" operator="greaterThan">
      <formula>1</formula>
    </cfRule>
  </conditionalFormatting>
  <conditionalFormatting sqref="R84:R91">
    <cfRule type="cellIs" dxfId="24410" priority="161" operator="greaterThan">
      <formula>1</formula>
    </cfRule>
    <cfRule type="cellIs" dxfId="24409" priority="162" operator="lessThan">
      <formula>0.8</formula>
    </cfRule>
  </conditionalFormatting>
  <conditionalFormatting sqref="P84:P91">
    <cfRule type="cellIs" dxfId="24408" priority="160" operator="greaterThan">
      <formula>0</formula>
    </cfRule>
  </conditionalFormatting>
  <conditionalFormatting sqref="Q84:Q91">
    <cfRule type="cellIs" dxfId="24407" priority="154" operator="lessThan">
      <formula>0</formula>
    </cfRule>
  </conditionalFormatting>
  <conditionalFormatting sqref="R84:R91">
    <cfRule type="cellIs" dxfId="24406" priority="158" operator="lessThan">
      <formula>0.8</formula>
    </cfRule>
    <cfRule type="cellIs" dxfId="24405" priority="159" operator="greaterThan">
      <formula>1</formula>
    </cfRule>
  </conditionalFormatting>
  <conditionalFormatting sqref="R84:R91">
    <cfRule type="cellIs" dxfId="24404" priority="156" operator="greaterThan">
      <formula>1</formula>
    </cfRule>
    <cfRule type="cellIs" dxfId="24403" priority="157" operator="lessThan">
      <formula>0.8</formula>
    </cfRule>
  </conditionalFormatting>
  <conditionalFormatting sqref="P84:P91">
    <cfRule type="cellIs" dxfId="24402" priority="155" operator="greaterThan">
      <formula>0</formula>
    </cfRule>
  </conditionalFormatting>
  <conditionalFormatting sqref="Q84:Q91">
    <cfRule type="cellIs" dxfId="24401" priority="153" operator="lessThan">
      <formula>0</formula>
    </cfRule>
  </conditionalFormatting>
  <conditionalFormatting sqref="R84:R91">
    <cfRule type="cellIs" dxfId="24400" priority="151" operator="lessThan">
      <formula>0.8</formula>
    </cfRule>
    <cfRule type="cellIs" dxfId="24399" priority="152" operator="greaterThan">
      <formula>1</formula>
    </cfRule>
  </conditionalFormatting>
  <conditionalFormatting sqref="R84:R91">
    <cfRule type="cellIs" dxfId="24398" priority="149" operator="greaterThan">
      <formula>1</formula>
    </cfRule>
    <cfRule type="cellIs" dxfId="24397" priority="150" operator="lessThan">
      <formula>0.8</formula>
    </cfRule>
  </conditionalFormatting>
  <conditionalFormatting sqref="P84:P91">
    <cfRule type="cellIs" dxfId="24396" priority="148" operator="greaterThan">
      <formula>0</formula>
    </cfRule>
  </conditionalFormatting>
  <conditionalFormatting sqref="Q84:Q91">
    <cfRule type="cellIs" dxfId="24395" priority="147" operator="lessThan">
      <formula>0</formula>
    </cfRule>
  </conditionalFormatting>
  <conditionalFormatting sqref="R84:R91">
    <cfRule type="cellIs" dxfId="24394" priority="145" operator="lessThan">
      <formula>0.8</formula>
    </cfRule>
    <cfRule type="cellIs" dxfId="24393" priority="146" operator="greaterThan">
      <formula>1</formula>
    </cfRule>
  </conditionalFormatting>
  <conditionalFormatting sqref="R84:R91">
    <cfRule type="cellIs" dxfId="24392" priority="143" operator="greaterThan">
      <formula>1</formula>
    </cfRule>
    <cfRule type="cellIs" dxfId="24391" priority="144" operator="lessThan">
      <formula>0.8</formula>
    </cfRule>
  </conditionalFormatting>
  <conditionalFormatting sqref="P84:P91">
    <cfRule type="cellIs" dxfId="24390" priority="142" operator="greaterThan">
      <formula>0</formula>
    </cfRule>
  </conditionalFormatting>
  <conditionalFormatting sqref="Q84:Q91">
    <cfRule type="cellIs" dxfId="24389" priority="141" operator="lessThan">
      <formula>0</formula>
    </cfRule>
  </conditionalFormatting>
  <conditionalFormatting sqref="R84:R91">
    <cfRule type="cellIs" dxfId="24388" priority="139" operator="lessThan">
      <formula>0.8</formula>
    </cfRule>
    <cfRule type="cellIs" dxfId="24387" priority="140" operator="greaterThan">
      <formula>1</formula>
    </cfRule>
  </conditionalFormatting>
  <conditionalFormatting sqref="R84:R91">
    <cfRule type="cellIs" dxfId="24386" priority="137" operator="greaterThan">
      <formula>1</formula>
    </cfRule>
    <cfRule type="cellIs" dxfId="24385" priority="138" operator="lessThan">
      <formula>0.8</formula>
    </cfRule>
  </conditionalFormatting>
  <conditionalFormatting sqref="P84:P91">
    <cfRule type="cellIs" dxfId="24384" priority="136" operator="greaterThan">
      <formula>0</formula>
    </cfRule>
  </conditionalFormatting>
  <conditionalFormatting sqref="Q84:Q91">
    <cfRule type="cellIs" dxfId="24383" priority="135" operator="lessThan">
      <formula>0</formula>
    </cfRule>
  </conditionalFormatting>
  <conditionalFormatting sqref="R84:R91">
    <cfRule type="cellIs" dxfId="24382" priority="133" operator="lessThan">
      <formula>0.8</formula>
    </cfRule>
    <cfRule type="cellIs" dxfId="24381" priority="134" operator="greaterThan">
      <formula>1</formula>
    </cfRule>
  </conditionalFormatting>
  <conditionalFormatting sqref="R84:R91">
    <cfRule type="cellIs" dxfId="24380" priority="131" operator="greaterThan">
      <formula>1</formula>
    </cfRule>
    <cfRule type="cellIs" dxfId="24379" priority="132" operator="lessThan">
      <formula>0.8</formula>
    </cfRule>
  </conditionalFormatting>
  <conditionalFormatting sqref="P84:P91">
    <cfRule type="cellIs" dxfId="24378" priority="130" operator="greaterThan">
      <formula>0</formula>
    </cfRule>
  </conditionalFormatting>
  <conditionalFormatting sqref="Q84:Q91">
    <cfRule type="cellIs" dxfId="24377" priority="129" operator="lessThan">
      <formula>0</formula>
    </cfRule>
  </conditionalFormatting>
  <conditionalFormatting sqref="R84:R91">
    <cfRule type="cellIs" dxfId="24376" priority="127" operator="lessThan">
      <formula>0.8</formula>
    </cfRule>
    <cfRule type="cellIs" dxfId="24375" priority="128" operator="greaterThan">
      <formula>1</formula>
    </cfRule>
  </conditionalFormatting>
  <conditionalFormatting sqref="R84:R91">
    <cfRule type="cellIs" dxfId="24374" priority="125" operator="greaterThan">
      <formula>1</formula>
    </cfRule>
    <cfRule type="cellIs" dxfId="24373" priority="126" operator="lessThan">
      <formula>0.8</formula>
    </cfRule>
  </conditionalFormatting>
  <conditionalFormatting sqref="P84:P91">
    <cfRule type="cellIs" dxfId="24372" priority="124" operator="greaterThan">
      <formula>0</formula>
    </cfRule>
  </conditionalFormatting>
  <conditionalFormatting sqref="P84:P91">
    <cfRule type="cellIs" dxfId="24371" priority="118" operator="greaterThan">
      <formula>0</formula>
    </cfRule>
  </conditionalFormatting>
  <conditionalFormatting sqref="Q84:Q91">
    <cfRule type="cellIs" dxfId="24370" priority="123" operator="lessThan">
      <formula>0</formula>
    </cfRule>
  </conditionalFormatting>
  <conditionalFormatting sqref="R84:R91">
    <cfRule type="cellIs" dxfId="24369" priority="121" operator="lessThan">
      <formula>0.8</formula>
    </cfRule>
    <cfRule type="cellIs" dxfId="24368" priority="122" operator="greaterThan">
      <formula>1</formula>
    </cfRule>
  </conditionalFormatting>
  <conditionalFormatting sqref="R84:R91">
    <cfRule type="cellIs" dxfId="24367" priority="119" operator="greaterThan">
      <formula>1</formula>
    </cfRule>
    <cfRule type="cellIs" dxfId="24366" priority="120" operator="lessThan">
      <formula>0.8</formula>
    </cfRule>
  </conditionalFormatting>
  <conditionalFormatting sqref="P84:P91">
    <cfRule type="cellIs" dxfId="24365" priority="112" operator="greaterThan">
      <formula>0</formula>
    </cfRule>
  </conditionalFormatting>
  <conditionalFormatting sqref="Q84:Q91">
    <cfRule type="cellIs" dxfId="24364" priority="117" operator="lessThan">
      <formula>0</formula>
    </cfRule>
  </conditionalFormatting>
  <conditionalFormatting sqref="R84:R91">
    <cfRule type="cellIs" dxfId="24363" priority="115" operator="lessThan">
      <formula>0.8</formula>
    </cfRule>
    <cfRule type="cellIs" dxfId="24362" priority="116" operator="greaterThan">
      <formula>1</formula>
    </cfRule>
  </conditionalFormatting>
  <conditionalFormatting sqref="R84:R91">
    <cfRule type="cellIs" dxfId="24361" priority="113" operator="greaterThan">
      <formula>1</formula>
    </cfRule>
    <cfRule type="cellIs" dxfId="24360" priority="114" operator="lessThan">
      <formula>0.8</formula>
    </cfRule>
  </conditionalFormatting>
  <conditionalFormatting sqref="R84:R91">
    <cfRule type="cellIs" dxfId="24359" priority="109" operator="lessThan">
      <formula>0.8</formula>
    </cfRule>
    <cfRule type="cellIs" dxfId="24358" priority="110" operator="greaterThan">
      <formula>1</formula>
    </cfRule>
  </conditionalFormatting>
  <conditionalFormatting sqref="R84:R91">
    <cfRule type="cellIs" dxfId="24357" priority="107" operator="greaterThan">
      <formula>1</formula>
    </cfRule>
    <cfRule type="cellIs" dxfId="24356" priority="108" operator="lessThan">
      <formula>0.8</formula>
    </cfRule>
  </conditionalFormatting>
  <conditionalFormatting sqref="P84:P91">
    <cfRule type="cellIs" dxfId="24355" priority="106" operator="greaterThan">
      <formula>0</formula>
    </cfRule>
  </conditionalFormatting>
  <conditionalFormatting sqref="Q84:Q91">
    <cfRule type="cellIs" dxfId="24354" priority="111" operator="lessThan">
      <formula>0</formula>
    </cfRule>
  </conditionalFormatting>
  <conditionalFormatting sqref="Q84:Q91">
    <cfRule type="cellIs" dxfId="24353" priority="100" operator="lessThan">
      <formula>0</formula>
    </cfRule>
  </conditionalFormatting>
  <conditionalFormatting sqref="P84:P91">
    <cfRule type="cellIs" dxfId="24352" priority="101" operator="greaterThan">
      <formula>0</formula>
    </cfRule>
  </conditionalFormatting>
  <conditionalFormatting sqref="R84:R91">
    <cfRule type="cellIs" dxfId="24351" priority="104" operator="lessThan">
      <formula>0.8</formula>
    </cfRule>
    <cfRule type="cellIs" dxfId="24350" priority="105" operator="greaterThan">
      <formula>1</formula>
    </cfRule>
  </conditionalFormatting>
  <conditionalFormatting sqref="R84:R91">
    <cfRule type="cellIs" dxfId="24349" priority="102" operator="greaterThan">
      <formula>1</formula>
    </cfRule>
    <cfRule type="cellIs" dxfId="24348" priority="103" operator="lessThan">
      <formula>0.8</formula>
    </cfRule>
  </conditionalFormatting>
  <conditionalFormatting sqref="Q84:Q91">
    <cfRule type="cellIs" dxfId="24347" priority="94" operator="lessThan">
      <formula>0</formula>
    </cfRule>
  </conditionalFormatting>
  <conditionalFormatting sqref="R84:R91">
    <cfRule type="cellIs" dxfId="24346" priority="98" operator="lessThan">
      <formula>0.8</formula>
    </cfRule>
    <cfRule type="cellIs" dxfId="24345" priority="99" operator="greaterThan">
      <formula>1</formula>
    </cfRule>
  </conditionalFormatting>
  <conditionalFormatting sqref="R84:R91">
    <cfRule type="cellIs" dxfId="24344" priority="96" operator="greaterThan">
      <formula>1</formula>
    </cfRule>
    <cfRule type="cellIs" dxfId="24343" priority="97" operator="lessThan">
      <formula>0.8</formula>
    </cfRule>
  </conditionalFormatting>
  <conditionalFormatting sqref="P84:P91">
    <cfRule type="cellIs" dxfId="24342" priority="95" operator="greaterThan">
      <formula>0</formula>
    </cfRule>
  </conditionalFormatting>
  <conditionalFormatting sqref="Q84:Q91">
    <cfRule type="cellIs" dxfId="24341" priority="93" operator="lessThan">
      <formula>0</formula>
    </cfRule>
  </conditionalFormatting>
  <conditionalFormatting sqref="R84:R91">
    <cfRule type="cellIs" dxfId="24340" priority="91" operator="lessThan">
      <formula>0.8</formula>
    </cfRule>
    <cfRule type="cellIs" dxfId="24339" priority="92" operator="greaterThan">
      <formula>1</formula>
    </cfRule>
  </conditionalFormatting>
  <conditionalFormatting sqref="R84:R91">
    <cfRule type="cellIs" dxfId="24338" priority="89" operator="greaterThan">
      <formula>1</formula>
    </cfRule>
    <cfRule type="cellIs" dxfId="24337" priority="90" operator="lessThan">
      <formula>0.8</formula>
    </cfRule>
  </conditionalFormatting>
  <conditionalFormatting sqref="P84:P91">
    <cfRule type="cellIs" dxfId="24336" priority="88" operator="greaterThan">
      <formula>0</formula>
    </cfRule>
  </conditionalFormatting>
  <conditionalFormatting sqref="Q84:Q91">
    <cfRule type="cellIs" dxfId="24335" priority="87" operator="lessThan">
      <formula>0</formula>
    </cfRule>
  </conditionalFormatting>
  <conditionalFormatting sqref="R84:R91">
    <cfRule type="cellIs" dxfId="24334" priority="85" operator="lessThan">
      <formula>0.8</formula>
    </cfRule>
    <cfRule type="cellIs" dxfId="24333" priority="86" operator="greaterThan">
      <formula>1</formula>
    </cfRule>
  </conditionalFormatting>
  <conditionalFormatting sqref="R84:R91">
    <cfRule type="cellIs" dxfId="24332" priority="83" operator="greaterThan">
      <formula>1</formula>
    </cfRule>
    <cfRule type="cellIs" dxfId="24331" priority="84" operator="lessThan">
      <formula>0.8</formula>
    </cfRule>
  </conditionalFormatting>
  <conditionalFormatting sqref="P84:P91">
    <cfRule type="cellIs" dxfId="24330" priority="82" operator="greaterThan">
      <formula>0</formula>
    </cfRule>
  </conditionalFormatting>
  <conditionalFormatting sqref="Q84:Q91">
    <cfRule type="cellIs" dxfId="24329" priority="81" operator="lessThan">
      <formula>0</formula>
    </cfRule>
  </conditionalFormatting>
  <conditionalFormatting sqref="R84:R91">
    <cfRule type="cellIs" dxfId="24328" priority="79" operator="lessThan">
      <formula>0.8</formula>
    </cfRule>
    <cfRule type="cellIs" dxfId="24327" priority="80" operator="greaterThan">
      <formula>1</formula>
    </cfRule>
  </conditionalFormatting>
  <conditionalFormatting sqref="R84:R91">
    <cfRule type="cellIs" dxfId="24326" priority="77" operator="greaterThan">
      <formula>1</formula>
    </cfRule>
    <cfRule type="cellIs" dxfId="24325" priority="78" operator="lessThan">
      <formula>0.8</formula>
    </cfRule>
  </conditionalFormatting>
  <conditionalFormatting sqref="P84:P91">
    <cfRule type="cellIs" dxfId="24324" priority="76" operator="greaterThan">
      <formula>0</formula>
    </cfRule>
  </conditionalFormatting>
  <conditionalFormatting sqref="Q162:Q166">
    <cfRule type="cellIs" dxfId="24323" priority="75" operator="lessThan">
      <formula>0</formula>
    </cfRule>
  </conditionalFormatting>
  <conditionalFormatting sqref="R162:R166">
    <cfRule type="cellIs" dxfId="24322" priority="73" operator="lessThan">
      <formula>0.8</formula>
    </cfRule>
    <cfRule type="cellIs" dxfId="24321" priority="74" operator="greaterThan">
      <formula>1</formula>
    </cfRule>
  </conditionalFormatting>
  <conditionalFormatting sqref="R162:R166">
    <cfRule type="cellIs" dxfId="24320" priority="71" operator="greaterThan">
      <formula>1</formula>
    </cfRule>
    <cfRule type="cellIs" dxfId="24319" priority="72" operator="lessThan">
      <formula>0.8</formula>
    </cfRule>
  </conditionalFormatting>
  <conditionalFormatting sqref="P162:P166">
    <cfRule type="cellIs" dxfId="24318" priority="70" operator="greaterThan">
      <formula>0</formula>
    </cfRule>
  </conditionalFormatting>
  <conditionalFormatting sqref="P167:P168">
    <cfRule type="cellIs" dxfId="24317" priority="64" operator="greaterThan">
      <formula>0</formula>
    </cfRule>
  </conditionalFormatting>
  <conditionalFormatting sqref="R167:R168">
    <cfRule type="cellIs" dxfId="24316" priority="67" operator="lessThan">
      <formula>0.8</formula>
    </cfRule>
    <cfRule type="cellIs" dxfId="24315" priority="68" operator="greaterThan">
      <formula>1</formula>
    </cfRule>
  </conditionalFormatting>
  <conditionalFormatting sqref="R167:R168">
    <cfRule type="cellIs" dxfId="24314" priority="65" operator="greaterThan">
      <formula>1</formula>
    </cfRule>
    <cfRule type="cellIs" dxfId="24313" priority="66" operator="lessThan">
      <formula>0.8</formula>
    </cfRule>
  </conditionalFormatting>
  <conditionalFormatting sqref="Q167:Q168">
    <cfRule type="cellIs" dxfId="24312" priority="69" operator="lessThan">
      <formula>0</formula>
    </cfRule>
  </conditionalFormatting>
  <conditionalFormatting sqref="Q161">
    <cfRule type="cellIs" dxfId="24311" priority="63" operator="lessThan">
      <formula>0</formula>
    </cfRule>
  </conditionalFormatting>
  <conditionalFormatting sqref="R161">
    <cfRule type="cellIs" dxfId="24310" priority="61" operator="lessThan">
      <formula>0.8</formula>
    </cfRule>
    <cfRule type="cellIs" dxfId="24309" priority="62" operator="greaterThan">
      <formula>1</formula>
    </cfRule>
  </conditionalFormatting>
  <conditionalFormatting sqref="R161">
    <cfRule type="cellIs" dxfId="24308" priority="59" operator="greaterThan">
      <formula>1</formula>
    </cfRule>
    <cfRule type="cellIs" dxfId="24307" priority="60" operator="lessThan">
      <formula>0.8</formula>
    </cfRule>
  </conditionalFormatting>
  <conditionalFormatting sqref="P161">
    <cfRule type="cellIs" dxfId="24306" priority="58" operator="greaterThan">
      <formula>0</formula>
    </cfRule>
  </conditionalFormatting>
  <conditionalFormatting sqref="Q162:Q166">
    <cfRule type="cellIs" dxfId="24305" priority="57" operator="lessThan">
      <formula>0</formula>
    </cfRule>
  </conditionalFormatting>
  <conditionalFormatting sqref="R162:R166">
    <cfRule type="cellIs" dxfId="24304" priority="55" operator="lessThan">
      <formula>0.8</formula>
    </cfRule>
    <cfRule type="cellIs" dxfId="24303" priority="56" operator="greaterThan">
      <formula>1</formula>
    </cfRule>
  </conditionalFormatting>
  <conditionalFormatting sqref="R162:R166">
    <cfRule type="cellIs" dxfId="24302" priority="53" operator="greaterThan">
      <formula>1</formula>
    </cfRule>
    <cfRule type="cellIs" dxfId="24301" priority="54" operator="lessThan">
      <formula>0.8</formula>
    </cfRule>
  </conditionalFormatting>
  <conditionalFormatting sqref="P162:P166">
    <cfRule type="cellIs" dxfId="24300" priority="52" operator="greaterThan">
      <formula>0</formula>
    </cfRule>
  </conditionalFormatting>
  <conditionalFormatting sqref="Q162:Q166">
    <cfRule type="cellIs" dxfId="24299" priority="51" operator="lessThan">
      <formula>0</formula>
    </cfRule>
  </conditionalFormatting>
  <conditionalFormatting sqref="R162:R166">
    <cfRule type="cellIs" dxfId="24298" priority="49" operator="lessThan">
      <formula>0.8</formula>
    </cfRule>
    <cfRule type="cellIs" dxfId="24297" priority="50" operator="greaterThan">
      <formula>1</formula>
    </cfRule>
  </conditionalFormatting>
  <conditionalFormatting sqref="R162:R166">
    <cfRule type="cellIs" dxfId="24296" priority="47" operator="greaterThan">
      <formula>1</formula>
    </cfRule>
    <cfRule type="cellIs" dxfId="24295" priority="48" operator="lessThan">
      <formula>0.8</formula>
    </cfRule>
  </conditionalFormatting>
  <conditionalFormatting sqref="P162:P166">
    <cfRule type="cellIs" dxfId="24294" priority="46" operator="greaterThan">
      <formula>0</formula>
    </cfRule>
  </conditionalFormatting>
  <conditionalFormatting sqref="Q167:Q168">
    <cfRule type="cellIs" dxfId="24293" priority="45" operator="lessThan">
      <formula>0</formula>
    </cfRule>
  </conditionalFormatting>
  <conditionalFormatting sqref="R167:R168">
    <cfRule type="cellIs" dxfId="24292" priority="43" operator="lessThan">
      <formula>0.8</formula>
    </cfRule>
    <cfRule type="cellIs" dxfId="24291" priority="44" operator="greaterThan">
      <formula>1</formula>
    </cfRule>
  </conditionalFormatting>
  <conditionalFormatting sqref="R167:R168">
    <cfRule type="cellIs" dxfId="24290" priority="41" operator="greaterThan">
      <formula>1</formula>
    </cfRule>
    <cfRule type="cellIs" dxfId="24289" priority="42" operator="lessThan">
      <formula>0.8</formula>
    </cfRule>
  </conditionalFormatting>
  <conditionalFormatting sqref="P167:P168">
    <cfRule type="cellIs" dxfId="24288" priority="40" operator="greaterThan">
      <formula>0</formula>
    </cfRule>
  </conditionalFormatting>
  <conditionalFormatting sqref="Q161">
    <cfRule type="cellIs" dxfId="24287" priority="39" operator="lessThan">
      <formula>0</formula>
    </cfRule>
  </conditionalFormatting>
  <conditionalFormatting sqref="R161">
    <cfRule type="cellIs" dxfId="24286" priority="37" operator="lessThan">
      <formula>0.8</formula>
    </cfRule>
    <cfRule type="cellIs" dxfId="24285" priority="38" operator="greaterThan">
      <formula>1</formula>
    </cfRule>
  </conditionalFormatting>
  <conditionalFormatting sqref="R161">
    <cfRule type="cellIs" dxfId="24284" priority="35" operator="greaterThan">
      <formula>1</formula>
    </cfRule>
    <cfRule type="cellIs" dxfId="24283" priority="36" operator="lessThan">
      <formula>0.8</formula>
    </cfRule>
  </conditionalFormatting>
  <conditionalFormatting sqref="P161">
    <cfRule type="cellIs" dxfId="24282" priority="34" operator="greaterThan">
      <formula>0</formula>
    </cfRule>
  </conditionalFormatting>
  <conditionalFormatting sqref="Q162:Q166">
    <cfRule type="cellIs" dxfId="24281" priority="33" operator="lessThan">
      <formula>0</formula>
    </cfRule>
  </conditionalFormatting>
  <conditionalFormatting sqref="R162:R166">
    <cfRule type="cellIs" dxfId="24280" priority="31" operator="lessThan">
      <formula>0.8</formula>
    </cfRule>
    <cfRule type="cellIs" dxfId="24279" priority="32" operator="greaterThan">
      <formula>1</formula>
    </cfRule>
  </conditionalFormatting>
  <conditionalFormatting sqref="R162:R166">
    <cfRule type="cellIs" dxfId="24278" priority="29" operator="greaterThan">
      <formula>1</formula>
    </cfRule>
    <cfRule type="cellIs" dxfId="24277" priority="30" operator="lessThan">
      <formula>0.8</formula>
    </cfRule>
  </conditionalFormatting>
  <conditionalFormatting sqref="P162:P166">
    <cfRule type="cellIs" dxfId="24276" priority="28" operator="greaterThan">
      <formula>0</formula>
    </cfRule>
  </conditionalFormatting>
  <conditionalFormatting sqref="Q161">
    <cfRule type="cellIs" dxfId="24275" priority="27" operator="lessThan">
      <formula>0</formula>
    </cfRule>
  </conditionalFormatting>
  <conditionalFormatting sqref="R161">
    <cfRule type="cellIs" dxfId="24274" priority="25" operator="lessThan">
      <formula>0.8</formula>
    </cfRule>
    <cfRule type="cellIs" dxfId="24273" priority="26" operator="greaterThan">
      <formula>1</formula>
    </cfRule>
  </conditionalFormatting>
  <conditionalFormatting sqref="R161">
    <cfRule type="cellIs" dxfId="24272" priority="23" operator="greaterThan">
      <formula>1</formula>
    </cfRule>
    <cfRule type="cellIs" dxfId="24271" priority="24" operator="lessThan">
      <formula>0.8</formula>
    </cfRule>
  </conditionalFormatting>
  <conditionalFormatting sqref="P161">
    <cfRule type="cellIs" dxfId="24270" priority="22" operator="greaterThan">
      <formula>0</formula>
    </cfRule>
  </conditionalFormatting>
  <conditionalFormatting sqref="Q162:Q166">
    <cfRule type="cellIs" dxfId="24269" priority="21" operator="lessThan">
      <formula>0</formula>
    </cfRule>
  </conditionalFormatting>
  <conditionalFormatting sqref="R162:R166">
    <cfRule type="cellIs" dxfId="24268" priority="19" operator="lessThan">
      <formula>0.8</formula>
    </cfRule>
    <cfRule type="cellIs" dxfId="24267" priority="20" operator="greaterThan">
      <formula>1</formula>
    </cfRule>
  </conditionalFormatting>
  <conditionalFormatting sqref="R162:R166">
    <cfRule type="cellIs" dxfId="24266" priority="17" operator="greaterThan">
      <formula>1</formula>
    </cfRule>
    <cfRule type="cellIs" dxfId="24265" priority="18" operator="lessThan">
      <formula>0.8</formula>
    </cfRule>
  </conditionalFormatting>
  <conditionalFormatting sqref="P162:P166">
    <cfRule type="cellIs" dxfId="24264" priority="16" operator="greaterThan">
      <formula>0</formula>
    </cfRule>
  </conditionalFormatting>
  <conditionalFormatting sqref="Q161">
    <cfRule type="cellIs" dxfId="24263" priority="15" operator="lessThan">
      <formula>0</formula>
    </cfRule>
  </conditionalFormatting>
  <conditionalFormatting sqref="R161">
    <cfRule type="cellIs" dxfId="24262" priority="13" operator="lessThan">
      <formula>0.8</formula>
    </cfRule>
    <cfRule type="cellIs" dxfId="24261" priority="14" operator="greaterThan">
      <formula>1</formula>
    </cfRule>
  </conditionalFormatting>
  <conditionalFormatting sqref="R161">
    <cfRule type="cellIs" dxfId="24260" priority="11" operator="greaterThan">
      <formula>1</formula>
    </cfRule>
    <cfRule type="cellIs" dxfId="24259" priority="12" operator="lessThan">
      <formula>0.8</formula>
    </cfRule>
  </conditionalFormatting>
  <conditionalFormatting sqref="P161">
    <cfRule type="cellIs" dxfId="24258" priority="10" operator="greaterThan">
      <formula>0</formula>
    </cfRule>
  </conditionalFormatting>
  <conditionalFormatting sqref="P167:P168">
    <cfRule type="cellIs" dxfId="24257" priority="4" operator="greaterThan">
      <formula>0</formula>
    </cfRule>
  </conditionalFormatting>
  <conditionalFormatting sqref="R167:R168">
    <cfRule type="cellIs" dxfId="24256" priority="7" operator="lessThan">
      <formula>0.8</formula>
    </cfRule>
    <cfRule type="cellIs" dxfId="24255" priority="8" operator="greaterThan">
      <formula>1</formula>
    </cfRule>
  </conditionalFormatting>
  <conditionalFormatting sqref="R167:R168">
    <cfRule type="cellIs" dxfId="24254" priority="5" operator="greaterThan">
      <formula>1</formula>
    </cfRule>
    <cfRule type="cellIs" dxfId="24253" priority="6" operator="lessThan">
      <formula>0.8</formula>
    </cfRule>
  </conditionalFormatting>
  <conditionalFormatting sqref="Q167:Q168">
    <cfRule type="cellIs" dxfId="24252" priority="9" operator="lessThan">
      <formula>0</formula>
    </cfRule>
  </conditionalFormatting>
  <conditionalFormatting sqref="AF30">
    <cfRule type="cellIs" dxfId="24251" priority="3" operator="lessThan">
      <formula>0</formula>
    </cfRule>
  </conditionalFormatting>
  <conditionalFormatting sqref="AG30">
    <cfRule type="cellIs" dxfId="24250" priority="1" operator="greaterThan">
      <formula>1</formula>
    </cfRule>
    <cfRule type="cellIs" dxfId="24249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4" zoomScale="40" zoomScaleNormal="40" workbookViewId="0">
      <selection activeCell="Q36" sqref="Q36"/>
    </sheetView>
  </sheetViews>
  <sheetFormatPr defaultColWidth="8.125" defaultRowHeight="15.75"/>
  <cols>
    <col min="1" max="1" width="8.125" style="2"/>
    <col min="2" max="2" width="7.125" style="2" customWidth="1"/>
    <col min="3" max="3" width="7.125" style="61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27" t="s">
        <v>0</v>
      </c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9"/>
      <c r="N1" s="1"/>
      <c r="O1" s="1"/>
    </row>
    <row r="2" spans="2:17" ht="27.75" customHeight="1">
      <c r="B2" s="527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9"/>
      <c r="N2" s="1"/>
      <c r="O2" s="1"/>
    </row>
    <row r="3" spans="2:17" ht="46.5" customHeight="1">
      <c r="B3" s="521" t="s">
        <v>1</v>
      </c>
      <c r="C3" s="522"/>
      <c r="D3" s="530" t="s">
        <v>380</v>
      </c>
      <c r="E3" s="531"/>
      <c r="F3" s="521" t="s">
        <v>2</v>
      </c>
      <c r="G3" s="522"/>
      <c r="H3" s="532">
        <v>199816</v>
      </c>
      <c r="I3" s="533"/>
      <c r="J3" s="521" t="s">
        <v>3</v>
      </c>
      <c r="K3" s="522"/>
      <c r="L3" s="534">
        <v>6493939.8970761094</v>
      </c>
      <c r="M3" s="535"/>
      <c r="N3" s="3"/>
    </row>
    <row r="4" spans="2:17" ht="24" customHeight="1">
      <c r="B4" s="521" t="s">
        <v>4</v>
      </c>
      <c r="C4" s="522"/>
      <c r="D4" s="513" t="s">
        <v>5</v>
      </c>
      <c r="E4" s="514"/>
      <c r="F4" s="525" t="s">
        <v>6</v>
      </c>
      <c r="G4" s="526"/>
      <c r="H4" s="525" t="s">
        <v>7</v>
      </c>
      <c r="I4" s="526"/>
      <c r="J4" s="525" t="s">
        <v>8</v>
      </c>
      <c r="K4" s="526"/>
      <c r="L4" s="525" t="s">
        <v>9</v>
      </c>
      <c r="M4" s="526"/>
      <c r="N4" s="505" t="s">
        <v>10</v>
      </c>
      <c r="O4" s="506"/>
      <c r="P4" s="506" t="s">
        <v>11</v>
      </c>
      <c r="Q4" s="506"/>
    </row>
    <row r="5" spans="2:17" ht="24" customHeight="1">
      <c r="B5" s="507" t="s">
        <v>12</v>
      </c>
      <c r="C5" s="508"/>
      <c r="D5" s="513" t="s">
        <v>13</v>
      </c>
      <c r="E5" s="514"/>
      <c r="F5" s="513" t="s">
        <v>14</v>
      </c>
      <c r="G5" s="514"/>
      <c r="H5" s="515" t="s">
        <v>15</v>
      </c>
      <c r="I5" s="516"/>
      <c r="J5" s="517" t="s">
        <v>16</v>
      </c>
      <c r="K5" s="518"/>
      <c r="L5" s="519" t="s">
        <v>17</v>
      </c>
      <c r="M5" s="520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509"/>
      <c r="C6" s="510"/>
      <c r="D6" s="521" t="s">
        <v>21</v>
      </c>
      <c r="E6" s="522"/>
      <c r="F6" s="523">
        <f>AVERAGE(D13:O13,P13:Q13,D30:F30,H30,J30:L30)</f>
        <v>359.35685306392918</v>
      </c>
      <c r="G6" s="524"/>
      <c r="H6" s="499">
        <f>AVERAGE(D13:P13,Q13)</f>
        <v>146.5352795958938</v>
      </c>
      <c r="I6" s="500"/>
      <c r="J6" s="499">
        <f>AVERAGE(D30:F30,H30)</f>
        <v>717.5</v>
      </c>
      <c r="K6" s="500"/>
      <c r="L6" s="501">
        <f>AVERAGE(J30:L30)</f>
        <v>875</v>
      </c>
      <c r="M6" s="502"/>
      <c r="N6" s="503">
        <v>0</v>
      </c>
      <c r="O6" s="488">
        <v>0</v>
      </c>
      <c r="P6" s="504">
        <v>4</v>
      </c>
      <c r="Q6" s="488">
        <v>2</v>
      </c>
    </row>
    <row r="7" spans="2:17" s="6" customFormat="1" ht="39.6" customHeight="1">
      <c r="B7" s="509"/>
      <c r="C7" s="510"/>
      <c r="D7" s="489" t="s">
        <v>22</v>
      </c>
      <c r="E7" s="490"/>
      <c r="F7" s="491">
        <f>AVERAGE(D14:O14,P14:Q14,D31:F31,J31:L31,H31)</f>
        <v>332.74906906650148</v>
      </c>
      <c r="G7" s="492"/>
      <c r="H7" s="493">
        <f>AVERAGE(D14:P14,Q14)</f>
        <v>128.49050589695608</v>
      </c>
      <c r="I7" s="494"/>
      <c r="J7" s="493">
        <f>AVERAGE(D31:F31,H31)</f>
        <v>708.22267083753684</v>
      </c>
      <c r="K7" s="494"/>
      <c r="L7" s="495">
        <f>AVERAGE(J31:L31)</f>
        <v>785.32422816299959</v>
      </c>
      <c r="M7" s="496"/>
      <c r="N7" s="503"/>
      <c r="O7" s="488"/>
      <c r="P7" s="504"/>
      <c r="Q7" s="488"/>
    </row>
    <row r="8" spans="2:17" s="6" customFormat="1" ht="39.6" customHeight="1">
      <c r="B8" s="511"/>
      <c r="C8" s="512"/>
      <c r="D8" s="489" t="s">
        <v>23</v>
      </c>
      <c r="E8" s="490"/>
      <c r="F8" s="497">
        <f>AVERAGE(D15:O15,P15:Q15,D32:F32,H32,J32:K32,L32)</f>
        <v>0.89768893298578489</v>
      </c>
      <c r="G8" s="498"/>
      <c r="H8" s="497">
        <f>AVERAGE(D15:O15,P15:Q15)</f>
        <v>0.87776074283996131</v>
      </c>
      <c r="I8" s="498"/>
      <c r="J8" s="497">
        <f>AVERAGE(D32:F32,H32)</f>
        <v>0.96698281509443273</v>
      </c>
      <c r="K8" s="498"/>
      <c r="L8" s="497">
        <f>AVERAGE(J32:L32)</f>
        <v>0.89829531085476455</v>
      </c>
      <c r="M8" s="498"/>
      <c r="N8" s="503"/>
      <c r="O8" s="488"/>
      <c r="P8" s="504"/>
      <c r="Q8" s="48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462" t="s">
        <v>24</v>
      </c>
      <c r="C10" s="484"/>
      <c r="D10" s="485" t="s">
        <v>25</v>
      </c>
      <c r="E10" s="486"/>
      <c r="F10" s="486"/>
      <c r="G10" s="486"/>
      <c r="H10" s="486"/>
      <c r="I10" s="486"/>
      <c r="J10" s="486"/>
      <c r="K10" s="486"/>
      <c r="L10" s="486"/>
      <c r="M10" s="486"/>
      <c r="N10" s="486"/>
      <c r="O10" s="486"/>
      <c r="P10" s="486"/>
      <c r="Q10" s="487"/>
    </row>
    <row r="11" spans="2:17" ht="17.25" customHeight="1">
      <c r="B11" s="470" t="s">
        <v>26</v>
      </c>
      <c r="C11" s="47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50000000000003" customHeight="1">
      <c r="B12" s="472"/>
      <c r="C12" s="473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50000000000003" customHeight="1">
      <c r="B13" s="474" t="s">
        <v>41</v>
      </c>
      <c r="C13" s="14" t="s">
        <v>42</v>
      </c>
      <c r="D13" s="15">
        <v>109.07529239766082</v>
      </c>
      <c r="E13" s="15">
        <v>94.884220354808591</v>
      </c>
      <c r="F13" s="15">
        <v>138.53182636077375</v>
      </c>
      <c r="G13" s="15">
        <v>257.5555555555556</v>
      </c>
      <c r="H13" s="15">
        <v>250</v>
      </c>
      <c r="I13" s="15">
        <v>87.873015873015873</v>
      </c>
      <c r="J13" s="15">
        <v>107.40233918128656</v>
      </c>
      <c r="K13" s="15">
        <v>324.98511904761898</v>
      </c>
      <c r="L13" s="15">
        <v>84.573129251700692</v>
      </c>
      <c r="M13" s="15">
        <v>82.46974574917688</v>
      </c>
      <c r="N13" s="15">
        <v>84.656346749226003</v>
      </c>
      <c r="O13" s="15">
        <v>83.962848297213625</v>
      </c>
      <c r="P13" s="15">
        <v>195.52447552447552</v>
      </c>
      <c r="Q13" s="16">
        <v>150</v>
      </c>
    </row>
    <row r="14" spans="2:17" ht="39.950000000000003" customHeight="1">
      <c r="B14" s="475"/>
      <c r="C14" s="14" t="s">
        <v>43</v>
      </c>
      <c r="D14" s="15">
        <v>97.977437189926263</v>
      </c>
      <c r="E14" s="15">
        <v>78.819079180033924</v>
      </c>
      <c r="F14" s="15">
        <v>127.55077034683568</v>
      </c>
      <c r="G14" s="15">
        <v>222.73811168492261</v>
      </c>
      <c r="H14" s="15">
        <v>207.77576897285633</v>
      </c>
      <c r="I14" s="15">
        <v>76.929998695158503</v>
      </c>
      <c r="J14" s="15">
        <v>94.768122436151259</v>
      </c>
      <c r="K14" s="15">
        <v>270.49674040803274</v>
      </c>
      <c r="L14" s="15">
        <v>71.986808466267661</v>
      </c>
      <c r="M14" s="15">
        <v>67.127371864494734</v>
      </c>
      <c r="N14" s="15">
        <v>72.374941615761031</v>
      </c>
      <c r="O14" s="15">
        <v>75.354438210260895</v>
      </c>
      <c r="P14" s="15">
        <v>191.83564570483583</v>
      </c>
      <c r="Q14" s="16">
        <v>143.13184778184777</v>
      </c>
    </row>
    <row r="15" spans="2:17" ht="39.950000000000003" customHeight="1">
      <c r="B15" s="476"/>
      <c r="C15" s="10" t="s">
        <v>44</v>
      </c>
      <c r="D15" s="17">
        <f t="shared" ref="D15:P15" si="0">D14/D13</f>
        <v>0.89825509550527183</v>
      </c>
      <c r="E15" s="17">
        <f t="shared" si="0"/>
        <v>0.83068690331542039</v>
      </c>
      <c r="F15" s="17">
        <f t="shared" si="0"/>
        <v>0.92073261211946722</v>
      </c>
      <c r="G15" s="17">
        <f t="shared" si="0"/>
        <v>0.86481579170159761</v>
      </c>
      <c r="H15" s="17">
        <f t="shared" si="0"/>
        <v>0.83110307589142529</v>
      </c>
      <c r="I15" s="17">
        <f t="shared" si="0"/>
        <v>0.87546783197163758</v>
      </c>
      <c r="J15" s="17">
        <f t="shared" si="0"/>
        <v>0.88236553466671008</v>
      </c>
      <c r="K15" s="17">
        <f t="shared" si="0"/>
        <v>0.83233577340628251</v>
      </c>
      <c r="L15" s="17">
        <f t="shared" si="0"/>
        <v>0.85117825369835265</v>
      </c>
      <c r="M15" s="17">
        <f t="shared" si="0"/>
        <v>0.81396360877182317</v>
      </c>
      <c r="N15" s="17">
        <f t="shared" si="0"/>
        <v>0.85492635100536918</v>
      </c>
      <c r="O15" s="17">
        <f t="shared" si="0"/>
        <v>0.89747358192899218</v>
      </c>
      <c r="P15" s="17">
        <f t="shared" si="0"/>
        <v>0.98113366723145645</v>
      </c>
      <c r="Q15" s="18">
        <f>Q14/Q13</f>
        <v>0.95421231854565181</v>
      </c>
    </row>
    <row r="16" spans="2:17" ht="22.9" customHeight="1">
      <c r="B16" s="477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9" customHeight="1">
      <c r="B17" s="478"/>
      <c r="C17" s="10" t="s">
        <v>47</v>
      </c>
      <c r="D17" s="19">
        <v>0.67638888888888893</v>
      </c>
      <c r="E17" s="19">
        <v>0.57083333333333319</v>
      </c>
      <c r="F17" s="19">
        <v>0.48680555555555555</v>
      </c>
      <c r="G17" s="19">
        <v>0.50416666666666665</v>
      </c>
      <c r="H17" s="19">
        <v>0.64930555555555558</v>
      </c>
      <c r="I17" s="19">
        <v>0.64374999999999993</v>
      </c>
      <c r="J17" s="19">
        <v>0.79791666666666661</v>
      </c>
      <c r="K17" s="19">
        <v>0.5743055555555554</v>
      </c>
      <c r="L17" s="19">
        <v>0.81666666666666676</v>
      </c>
      <c r="M17" s="19">
        <v>0.93958333333333344</v>
      </c>
      <c r="N17" s="19">
        <v>0.96597222222222223</v>
      </c>
      <c r="O17" s="19">
        <v>0.8652777777777777</v>
      </c>
      <c r="P17" s="19">
        <v>0.57152777777777775</v>
      </c>
      <c r="Q17" s="20">
        <v>0.59027777777777779</v>
      </c>
    </row>
    <row r="18" spans="2:17" ht="22.9" customHeight="1">
      <c r="B18" s="479" t="s">
        <v>48</v>
      </c>
      <c r="C18" s="480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9" customHeight="1">
      <c r="B19" s="481"/>
      <c r="C19" s="482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9" customHeight="1">
      <c r="B20" s="479" t="s">
        <v>50</v>
      </c>
      <c r="C20" s="480"/>
      <c r="D20" s="21">
        <v>1</v>
      </c>
      <c r="E20" s="21" t="s">
        <v>49</v>
      </c>
      <c r="F20" s="21" t="s">
        <v>49</v>
      </c>
      <c r="G20" s="21" t="s">
        <v>49</v>
      </c>
      <c r="H20" s="21">
        <v>1</v>
      </c>
      <c r="I20" s="21" t="s">
        <v>49</v>
      </c>
      <c r="J20" s="21">
        <v>1</v>
      </c>
      <c r="K20" s="21" t="s">
        <v>49</v>
      </c>
      <c r="L20" s="21">
        <v>1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9" customHeight="1">
      <c r="B21" s="481"/>
      <c r="C21" s="482"/>
      <c r="D21" s="21" t="s">
        <v>49</v>
      </c>
      <c r="E21" s="21">
        <v>1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>
        <v>1</v>
      </c>
      <c r="P21" s="21" t="s">
        <v>49</v>
      </c>
      <c r="Q21" s="22"/>
    </row>
    <row r="22" spans="2:17" ht="22.9" customHeight="1">
      <c r="B22" s="458" t="s">
        <v>51</v>
      </c>
      <c r="C22" s="459"/>
      <c r="D22" s="23">
        <v>18.375</v>
      </c>
      <c r="E22" s="23">
        <v>17.857142857142858</v>
      </c>
      <c r="F22" s="23">
        <v>14.833333333333334</v>
      </c>
      <c r="G22" s="23">
        <v>6.333333333333333</v>
      </c>
      <c r="H22" s="23">
        <v>6.75</v>
      </c>
      <c r="I22" s="23">
        <v>16.2</v>
      </c>
      <c r="J22" s="23">
        <v>16</v>
      </c>
      <c r="K22" s="23">
        <v>8.4285714285714288</v>
      </c>
      <c r="L22" s="23">
        <v>17.428571428571427</v>
      </c>
      <c r="M22" s="23">
        <v>18.399999999999999</v>
      </c>
      <c r="N22" s="23">
        <v>17.428571428571427</v>
      </c>
      <c r="O22" s="23">
        <v>16.8</v>
      </c>
      <c r="P22" s="23">
        <v>11.6</v>
      </c>
      <c r="Q22" s="24">
        <v>11.3</v>
      </c>
    </row>
    <row r="23" spans="2:17" ht="22.9" customHeight="1">
      <c r="B23" s="458" t="s">
        <v>52</v>
      </c>
      <c r="C23" s="459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9" customHeight="1">
      <c r="B24" s="458" t="s">
        <v>58</v>
      </c>
      <c r="C24" s="45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9" customHeight="1" thickBot="1">
      <c r="B25" s="460" t="s">
        <v>59</v>
      </c>
      <c r="C25" s="461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5" thickBot="1">
      <c r="B26" s="483"/>
      <c r="C26" s="483"/>
    </row>
    <row r="27" spans="2:17" ht="30" customHeight="1" thickBot="1">
      <c r="B27" s="462" t="s">
        <v>24</v>
      </c>
      <c r="C27" s="463"/>
      <c r="D27" s="464" t="s">
        <v>64</v>
      </c>
      <c r="E27" s="465"/>
      <c r="F27" s="465"/>
      <c r="G27" s="465"/>
      <c r="H27" s="466"/>
      <c r="I27" s="467" t="s">
        <v>65</v>
      </c>
      <c r="J27" s="468"/>
      <c r="K27" s="468"/>
      <c r="L27" s="468"/>
      <c r="M27" s="469"/>
    </row>
    <row r="28" spans="2:17" ht="17.25" customHeight="1">
      <c r="B28" s="470" t="s">
        <v>26</v>
      </c>
      <c r="C28" s="471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472"/>
      <c r="C29" s="473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50000000000003" customHeight="1">
      <c r="B30" s="474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50000000000003" customHeight="1">
      <c r="B31" s="475"/>
      <c r="C31" s="34" t="s">
        <v>43</v>
      </c>
      <c r="D31" s="15">
        <v>277.88709677419394</v>
      </c>
      <c r="E31" s="15">
        <v>757.31946624803788</v>
      </c>
      <c r="F31" s="15">
        <v>833.02850270438955</v>
      </c>
      <c r="G31" s="15">
        <v>0</v>
      </c>
      <c r="H31" s="41">
        <v>964.65561762352593</v>
      </c>
      <c r="I31" s="42">
        <v>0</v>
      </c>
      <c r="J31" s="15">
        <v>763.67120300751935</v>
      </c>
      <c r="K31" s="15">
        <v>674.3333333333328</v>
      </c>
      <c r="L31" s="15">
        <v>917.96814814814661</v>
      </c>
      <c r="M31" s="16">
        <v>873.62500000000034</v>
      </c>
    </row>
    <row r="32" spans="2:17" ht="39.950000000000003" customHeight="1">
      <c r="B32" s="476"/>
      <c r="C32" s="43" t="s">
        <v>44</v>
      </c>
      <c r="D32" s="17">
        <f t="shared" ref="D32:M32" si="1">D31/D30</f>
        <v>0.86839717741935607</v>
      </c>
      <c r="E32" s="17">
        <f t="shared" si="1"/>
        <v>0.91796298939156107</v>
      </c>
      <c r="F32" s="17">
        <f t="shared" si="1"/>
        <v>1.009731518429563</v>
      </c>
      <c r="G32" s="17">
        <f t="shared" si="1"/>
        <v>0</v>
      </c>
      <c r="H32" s="44">
        <f t="shared" si="1"/>
        <v>1.0718395751372509</v>
      </c>
      <c r="I32" s="45">
        <f t="shared" si="1"/>
        <v>0</v>
      </c>
      <c r="J32" s="17">
        <f t="shared" si="1"/>
        <v>0.92566206425153863</v>
      </c>
      <c r="K32" s="17">
        <f t="shared" si="1"/>
        <v>0.74925925925925863</v>
      </c>
      <c r="L32" s="17">
        <f t="shared" si="1"/>
        <v>1.0199646090534962</v>
      </c>
      <c r="M32" s="18">
        <f t="shared" si="1"/>
        <v>0.97069444444444486</v>
      </c>
    </row>
    <row r="33" spans="2:13" ht="25.9" customHeight="1">
      <c r="B33" s="477" t="s">
        <v>45</v>
      </c>
      <c r="C33" s="43" t="s">
        <v>46</v>
      </c>
      <c r="D33" s="19">
        <v>0.86839717741935607</v>
      </c>
      <c r="E33" s="19">
        <v>0.91796298939156107</v>
      </c>
      <c r="F33" s="19">
        <v>1.009731518429563</v>
      </c>
      <c r="G33" s="19">
        <v>0</v>
      </c>
      <c r="H33" s="46">
        <v>1.0718395751372509</v>
      </c>
      <c r="I33" s="47">
        <v>0</v>
      </c>
      <c r="J33" s="19">
        <v>0.92566206425153863</v>
      </c>
      <c r="K33" s="19">
        <v>0.74925925925925863</v>
      </c>
      <c r="L33" s="19">
        <v>1.0199646090534962</v>
      </c>
      <c r="M33" s="20">
        <v>0.97069444444444486</v>
      </c>
    </row>
    <row r="34" spans="2:13" ht="25.9" customHeight="1">
      <c r="B34" s="478"/>
      <c r="C34" s="43" t="s">
        <v>47</v>
      </c>
      <c r="D34" s="19">
        <v>0.17361111111111113</v>
      </c>
      <c r="E34" s="19">
        <v>0.18055555555555555</v>
      </c>
      <c r="F34" s="19">
        <v>0.17361111111111113</v>
      </c>
      <c r="G34" s="19">
        <v>0</v>
      </c>
      <c r="H34" s="46">
        <v>0.18055555555555555</v>
      </c>
      <c r="I34" s="47">
        <v>0</v>
      </c>
      <c r="J34" s="19">
        <v>0.72222222222222221</v>
      </c>
      <c r="K34" s="19">
        <v>0.72222222222222221</v>
      </c>
      <c r="L34" s="19">
        <v>0.72222222222222221</v>
      </c>
      <c r="M34" s="20">
        <v>0.72222222222222221</v>
      </c>
    </row>
    <row r="35" spans="2:13" ht="25.9" customHeight="1">
      <c r="B35" s="458" t="s">
        <v>51</v>
      </c>
      <c r="C35" s="459"/>
      <c r="D35" s="48">
        <v>0.22430555555555556</v>
      </c>
      <c r="E35" s="48">
        <v>0.3659722222222222</v>
      </c>
      <c r="F35" s="48">
        <v>0.35000000000000003</v>
      </c>
      <c r="G35" s="48">
        <v>0</v>
      </c>
      <c r="H35" s="49">
        <v>0.44791666666666669</v>
      </c>
      <c r="I35" s="50">
        <v>0</v>
      </c>
      <c r="J35" s="48">
        <v>0.97222222222222221</v>
      </c>
      <c r="K35" s="48">
        <v>0.78819444444444453</v>
      </c>
      <c r="L35" s="48">
        <v>46059.052083333336</v>
      </c>
      <c r="M35" s="51">
        <v>0.76388888888888884</v>
      </c>
    </row>
    <row r="36" spans="2:13" ht="25.9" customHeight="1">
      <c r="B36" s="458" t="s">
        <v>52</v>
      </c>
      <c r="C36" s="459"/>
      <c r="D36" s="52">
        <v>5.5</v>
      </c>
      <c r="E36" s="52">
        <v>3.75</v>
      </c>
      <c r="F36" s="52">
        <v>3.5</v>
      </c>
      <c r="G36" s="52">
        <v>0</v>
      </c>
      <c r="H36" s="53">
        <v>3.4285714285714284</v>
      </c>
      <c r="I36" s="54">
        <v>0</v>
      </c>
      <c r="J36" s="52">
        <v>3.6</v>
      </c>
      <c r="K36" s="52">
        <v>3.5</v>
      </c>
      <c r="L36" s="52">
        <v>3.4</v>
      </c>
      <c r="M36" s="55">
        <v>3.5</v>
      </c>
    </row>
    <row r="37" spans="2:13" ht="25.9" customHeight="1">
      <c r="B37" s="458" t="s">
        <v>58</v>
      </c>
      <c r="C37" s="459"/>
      <c r="D37" s="56" t="s">
        <v>66</v>
      </c>
      <c r="E37" s="56" t="s">
        <v>72</v>
      </c>
      <c r="F37" s="56" t="s">
        <v>72</v>
      </c>
      <c r="G37" s="56" t="s">
        <v>73</v>
      </c>
      <c r="H37" s="57" t="s">
        <v>73</v>
      </c>
      <c r="I37" s="58" t="s">
        <v>74</v>
      </c>
      <c r="J37" s="56" t="s">
        <v>72</v>
      </c>
      <c r="K37" s="56" t="s">
        <v>72</v>
      </c>
      <c r="L37" s="56" t="s">
        <v>73</v>
      </c>
      <c r="M37" s="26" t="s">
        <v>73</v>
      </c>
    </row>
    <row r="38" spans="2:13" ht="25.9" customHeight="1" thickBot="1">
      <c r="B38" s="460" t="s">
        <v>59</v>
      </c>
      <c r="C38" s="461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4" type="noConversion"/>
  <conditionalFormatting sqref="D32 F32:J32 L32">
    <cfRule type="cellIs" dxfId="24248" priority="6" operator="lessThan">
      <formula>0.8</formula>
    </cfRule>
  </conditionalFormatting>
  <conditionalFormatting sqref="M32">
    <cfRule type="cellIs" dxfId="24247" priority="5" operator="lessThan">
      <formula>0.8</formula>
    </cfRule>
  </conditionalFormatting>
  <conditionalFormatting sqref="K32">
    <cfRule type="cellIs" dxfId="24246" priority="4" operator="lessThan">
      <formula>0.8</formula>
    </cfRule>
  </conditionalFormatting>
  <conditionalFormatting sqref="E32">
    <cfRule type="cellIs" dxfId="24245" priority="3" operator="lessThan">
      <formula>0.8</formula>
    </cfRule>
  </conditionalFormatting>
  <conditionalFormatting sqref="D15:P15">
    <cfRule type="cellIs" dxfId="24244" priority="2" operator="lessThan">
      <formula>0.8</formula>
    </cfRule>
  </conditionalFormatting>
  <conditionalFormatting sqref="Q15">
    <cfRule type="cellIs" dxfId="24243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19" zoomScale="85" zoomScaleNormal="85" workbookViewId="0">
      <selection activeCell="F25" sqref="F25"/>
    </sheetView>
  </sheetViews>
  <sheetFormatPr defaultColWidth="7.875" defaultRowHeight="15.75"/>
  <cols>
    <col min="1" max="1" width="13.625" style="371" customWidth="1"/>
    <col min="2" max="2" width="12.75" style="371" customWidth="1"/>
    <col min="3" max="3" width="12.75" style="457" hidden="1" customWidth="1"/>
    <col min="4" max="5" width="18.375" style="371" customWidth="1"/>
    <col min="6" max="6" width="9.75" style="455" customWidth="1"/>
    <col min="7" max="7" width="21.125" style="371" bestFit="1" customWidth="1"/>
    <col min="8" max="8" width="15.625" style="371" customWidth="1"/>
    <col min="9" max="9" width="12.25" style="371" bestFit="1" customWidth="1"/>
    <col min="10" max="15" width="9.75" style="371" customWidth="1"/>
    <col min="16" max="16" width="9.75" style="456" customWidth="1"/>
    <col min="17" max="18" width="9.75" style="371" customWidth="1"/>
    <col min="19" max="16384" width="7.875" style="371"/>
  </cols>
  <sheetData>
    <row r="1" spans="1:18" ht="26.25" customHeight="1">
      <c r="A1" s="362" t="s">
        <v>360</v>
      </c>
      <c r="B1" s="363"/>
      <c r="C1" s="364"/>
      <c r="D1" s="365" t="s">
        <v>82</v>
      </c>
      <c r="E1" s="366">
        <f>SUM(G5:G124)</f>
        <v>70704</v>
      </c>
      <c r="F1" s="367" t="s">
        <v>3</v>
      </c>
      <c r="G1" s="368">
        <f>SUM(H5:H124)</f>
        <v>1396593.7855053018</v>
      </c>
      <c r="H1" s="369" t="s">
        <v>361</v>
      </c>
      <c r="I1" s="370">
        <f>+J16+J64+J24+J38+J51+J81+J100+J91+J57+J124+J111</f>
        <v>38.050000000000004</v>
      </c>
      <c r="J1" s="584" t="s">
        <v>362</v>
      </c>
      <c r="K1" s="585"/>
      <c r="L1" s="586"/>
      <c r="M1" s="584" t="s">
        <v>87</v>
      </c>
      <c r="N1" s="585"/>
      <c r="O1" s="585"/>
      <c r="P1" s="585"/>
      <c r="Q1" s="585"/>
      <c r="R1" s="586"/>
    </row>
    <row r="2" spans="1:18" ht="26.25" customHeight="1" thickBot="1">
      <c r="A2" s="590" t="s">
        <v>374</v>
      </c>
      <c r="B2" s="591"/>
      <c r="C2" s="372"/>
      <c r="D2" s="373" t="s">
        <v>41</v>
      </c>
      <c r="E2" s="374">
        <f>AVERAGE(L16,L24,L38,L51,L100,L111,L91)</f>
        <v>623.90565685678121</v>
      </c>
      <c r="F2" s="375" t="s">
        <v>94</v>
      </c>
      <c r="G2" s="376">
        <f>G1/E1</f>
        <v>19.752684225861362</v>
      </c>
      <c r="H2" s="377" t="s">
        <v>364</v>
      </c>
      <c r="I2" s="378">
        <f>COUNT(I5:I124)</f>
        <v>0</v>
      </c>
      <c r="J2" s="587"/>
      <c r="K2" s="588"/>
      <c r="L2" s="589"/>
      <c r="M2" s="587"/>
      <c r="N2" s="588"/>
      <c r="O2" s="588"/>
      <c r="P2" s="588"/>
      <c r="Q2" s="588"/>
      <c r="R2" s="589"/>
    </row>
    <row r="3" spans="1:18" ht="23.25" customHeight="1">
      <c r="A3" s="592" t="s">
        <v>96</v>
      </c>
      <c r="B3" s="594" t="s">
        <v>365</v>
      </c>
      <c r="C3" s="379"/>
      <c r="D3" s="595" t="s">
        <v>98</v>
      </c>
      <c r="E3" s="595"/>
      <c r="F3" s="596" t="s">
        <v>99</v>
      </c>
      <c r="G3" s="597" t="s">
        <v>366</v>
      </c>
      <c r="H3" s="598" t="s">
        <v>367</v>
      </c>
      <c r="I3" s="599" t="s">
        <v>102</v>
      </c>
      <c r="J3" s="567" t="s">
        <v>106</v>
      </c>
      <c r="K3" s="577" t="s">
        <v>105</v>
      </c>
      <c r="L3" s="579" t="s">
        <v>41</v>
      </c>
      <c r="M3" s="581" t="s">
        <v>109</v>
      </c>
      <c r="N3" s="581"/>
      <c r="O3" s="567" t="s">
        <v>301</v>
      </c>
      <c r="P3" s="582" t="s">
        <v>111</v>
      </c>
      <c r="Q3" s="567" t="s">
        <v>112</v>
      </c>
      <c r="R3" s="567"/>
    </row>
    <row r="4" spans="1:18" ht="15.75" customHeight="1">
      <c r="A4" s="593"/>
      <c r="B4" s="594"/>
      <c r="C4" s="379"/>
      <c r="D4" s="595"/>
      <c r="E4" s="595"/>
      <c r="F4" s="596"/>
      <c r="G4" s="597"/>
      <c r="H4" s="598"/>
      <c r="I4" s="600"/>
      <c r="J4" s="576"/>
      <c r="K4" s="578"/>
      <c r="L4" s="580"/>
      <c r="M4" s="381" t="s">
        <v>116</v>
      </c>
      <c r="N4" s="381" t="s">
        <v>117</v>
      </c>
      <c r="O4" s="576"/>
      <c r="P4" s="583"/>
      <c r="Q4" s="382" t="s">
        <v>118</v>
      </c>
      <c r="R4" s="382" t="s">
        <v>368</v>
      </c>
    </row>
    <row r="5" spans="1:18">
      <c r="A5" s="568" t="s">
        <v>369</v>
      </c>
      <c r="B5" s="383" t="s">
        <v>389</v>
      </c>
      <c r="C5" s="383"/>
      <c r="D5" s="384" t="s">
        <v>370</v>
      </c>
      <c r="E5" s="384"/>
      <c r="F5" s="385">
        <v>29.965493443754308</v>
      </c>
      <c r="G5" s="379">
        <v>1882</v>
      </c>
      <c r="H5" s="386">
        <f>F5*G5</f>
        <v>56395.058661145609</v>
      </c>
      <c r="I5" s="387"/>
      <c r="J5" s="388">
        <v>13</v>
      </c>
      <c r="K5" s="389">
        <f t="shared" ref="K5:K12" si="0">G5/P5*60</f>
        <v>1254.6666666666667</v>
      </c>
      <c r="L5" s="390">
        <f t="shared" ref="L5:L12" si="1">K5/J5</f>
        <v>96.512820512820525</v>
      </c>
      <c r="M5" s="391">
        <v>0.17361111111111113</v>
      </c>
      <c r="N5" s="391">
        <v>0.23611111111111113</v>
      </c>
      <c r="O5" s="382">
        <v>10</v>
      </c>
      <c r="P5" s="392">
        <f t="shared" ref="P5:P80" si="2">(N5-M5)*24*60</f>
        <v>90</v>
      </c>
      <c r="Q5" s="393"/>
      <c r="R5" s="393"/>
    </row>
    <row r="6" spans="1:18">
      <c r="A6" s="568"/>
      <c r="B6" s="383">
        <v>0</v>
      </c>
      <c r="C6" s="383"/>
      <c r="D6" s="384" t="s">
        <v>371</v>
      </c>
      <c r="E6" s="384"/>
      <c r="F6" s="385" t="s">
        <v>391</v>
      </c>
      <c r="G6" s="379">
        <v>1201</v>
      </c>
      <c r="H6" s="386">
        <f t="shared" ref="H6:H113" si="3">F6*G6</f>
        <v>0</v>
      </c>
      <c r="I6" s="387"/>
      <c r="J6" s="388">
        <v>9</v>
      </c>
      <c r="K6" s="389">
        <f t="shared" si="0"/>
        <v>2058.8571428571436</v>
      </c>
      <c r="L6" s="390">
        <f t="shared" si="1"/>
        <v>228.76190476190484</v>
      </c>
      <c r="M6" s="391">
        <v>0.23958333333333334</v>
      </c>
      <c r="N6" s="391">
        <v>0.2638888888888889</v>
      </c>
      <c r="O6" s="382">
        <v>5</v>
      </c>
      <c r="P6" s="392">
        <f t="shared" si="2"/>
        <v>34.999999999999993</v>
      </c>
      <c r="Q6" s="382"/>
      <c r="R6" s="382"/>
    </row>
    <row r="7" spans="1:18">
      <c r="A7" s="568"/>
      <c r="B7" s="383">
        <v>0</v>
      </c>
      <c r="C7" s="383"/>
      <c r="D7" s="384" t="s">
        <v>372</v>
      </c>
      <c r="E7" s="384"/>
      <c r="F7" s="385" t="s">
        <v>391</v>
      </c>
      <c r="G7" s="379">
        <v>1243</v>
      </c>
      <c r="H7" s="386">
        <f t="shared" si="3"/>
        <v>0</v>
      </c>
      <c r="I7" s="387"/>
      <c r="J7" s="388">
        <v>9</v>
      </c>
      <c r="K7" s="389">
        <f t="shared" si="0"/>
        <v>1657.3333333333335</v>
      </c>
      <c r="L7" s="390">
        <f t="shared" si="1"/>
        <v>184.14814814814815</v>
      </c>
      <c r="M7" s="391">
        <v>0.2673611111111111</v>
      </c>
      <c r="N7" s="391">
        <v>0.2986111111111111</v>
      </c>
      <c r="O7" s="382">
        <v>5</v>
      </c>
      <c r="P7" s="392">
        <f t="shared" si="2"/>
        <v>45</v>
      </c>
      <c r="Q7" s="393"/>
      <c r="R7" s="393"/>
    </row>
    <row r="8" spans="1:18">
      <c r="A8" s="568"/>
      <c r="B8" s="383" t="s">
        <v>392</v>
      </c>
      <c r="C8" s="383"/>
      <c r="D8" s="384" t="s">
        <v>373</v>
      </c>
      <c r="E8" s="384"/>
      <c r="F8" s="385">
        <v>19.7</v>
      </c>
      <c r="G8" s="379">
        <v>225</v>
      </c>
      <c r="H8" s="386">
        <f t="shared" si="3"/>
        <v>4432.5</v>
      </c>
      <c r="I8" s="387"/>
      <c r="J8" s="388">
        <v>12</v>
      </c>
      <c r="K8" s="389">
        <f t="shared" si="0"/>
        <v>1349.9999999999941</v>
      </c>
      <c r="L8" s="390">
        <f t="shared" si="1"/>
        <v>112.4999999999995</v>
      </c>
      <c r="M8" s="391">
        <v>0.30208333333333331</v>
      </c>
      <c r="N8" s="391">
        <v>0.30902777777777779</v>
      </c>
      <c r="O8" s="382">
        <v>5</v>
      </c>
      <c r="P8" s="392">
        <f t="shared" si="2"/>
        <v>10.000000000000044</v>
      </c>
      <c r="Q8" s="393"/>
      <c r="R8" s="393"/>
    </row>
    <row r="9" spans="1:18">
      <c r="A9" s="568"/>
      <c r="B9" s="383" t="s">
        <v>392</v>
      </c>
      <c r="C9" s="383"/>
      <c r="D9" s="384" t="s">
        <v>308</v>
      </c>
      <c r="E9" s="384"/>
      <c r="F9" s="385">
        <v>27.05</v>
      </c>
      <c r="G9" s="394">
        <v>843</v>
      </c>
      <c r="H9" s="386">
        <f t="shared" si="3"/>
        <v>22803.15</v>
      </c>
      <c r="I9" s="387"/>
      <c r="J9" s="388">
        <v>13</v>
      </c>
      <c r="K9" s="389">
        <f t="shared" si="0"/>
        <v>1445.1428571428555</v>
      </c>
      <c r="L9" s="390">
        <f t="shared" si="1"/>
        <v>111.16483516483504</v>
      </c>
      <c r="M9" s="391">
        <v>0.3125</v>
      </c>
      <c r="N9" s="391">
        <v>0.33680555555555558</v>
      </c>
      <c r="O9" s="382">
        <v>5</v>
      </c>
      <c r="P9" s="392">
        <f t="shared" si="2"/>
        <v>35.000000000000036</v>
      </c>
      <c r="Q9" s="393">
        <v>0.33680555555555558</v>
      </c>
      <c r="R9" s="393">
        <v>0.37847222222222227</v>
      </c>
    </row>
    <row r="10" spans="1:18">
      <c r="A10" s="568"/>
      <c r="B10" s="383" t="s">
        <v>392</v>
      </c>
      <c r="C10" s="383"/>
      <c r="D10" s="384" t="s">
        <v>309</v>
      </c>
      <c r="E10" s="384"/>
      <c r="F10" s="385">
        <v>36.450000000000003</v>
      </c>
      <c r="G10" s="394">
        <v>2944</v>
      </c>
      <c r="H10" s="386">
        <f t="shared" si="3"/>
        <v>107308.8</v>
      </c>
      <c r="I10" s="387"/>
      <c r="J10" s="388">
        <v>13</v>
      </c>
      <c r="K10" s="389">
        <f t="shared" si="0"/>
        <v>1472.0000000000002</v>
      </c>
      <c r="L10" s="390">
        <f t="shared" si="1"/>
        <v>113.23076923076925</v>
      </c>
      <c r="M10" s="391">
        <v>0.37847222222222227</v>
      </c>
      <c r="N10" s="391">
        <v>0.46180555555555558</v>
      </c>
      <c r="O10" s="382">
        <v>5</v>
      </c>
      <c r="P10" s="392">
        <f t="shared" si="2"/>
        <v>119.99999999999997</v>
      </c>
      <c r="Q10" s="393"/>
      <c r="R10" s="393"/>
    </row>
    <row r="11" spans="1:18">
      <c r="A11" s="568"/>
      <c r="B11" s="383" t="s">
        <v>392</v>
      </c>
      <c r="C11" s="383"/>
      <c r="D11" s="384" t="s">
        <v>310</v>
      </c>
      <c r="E11" s="384"/>
      <c r="F11" s="385">
        <v>25.64</v>
      </c>
      <c r="G11" s="394">
        <v>689</v>
      </c>
      <c r="H11" s="386">
        <f t="shared" si="3"/>
        <v>17665.96</v>
      </c>
      <c r="I11" s="387"/>
      <c r="J11" s="388">
        <v>10</v>
      </c>
      <c r="K11" s="389">
        <f t="shared" si="0"/>
        <v>1377.9999999999975</v>
      </c>
      <c r="L11" s="390">
        <f t="shared" si="1"/>
        <v>137.79999999999976</v>
      </c>
      <c r="M11" s="391">
        <v>0.46527777777777773</v>
      </c>
      <c r="N11" s="391">
        <v>0.4861111111111111</v>
      </c>
      <c r="O11" s="382">
        <v>5</v>
      </c>
      <c r="P11" s="392">
        <f t="shared" si="2"/>
        <v>30.000000000000053</v>
      </c>
      <c r="Q11" s="393"/>
      <c r="R11" s="393"/>
    </row>
    <row r="12" spans="1:18">
      <c r="A12" s="569"/>
      <c r="B12" s="383" t="s">
        <v>392</v>
      </c>
      <c r="C12" s="383"/>
      <c r="D12" s="384" t="s">
        <v>311</v>
      </c>
      <c r="E12" s="384"/>
      <c r="F12" s="385">
        <v>29.52</v>
      </c>
      <c r="G12" s="394">
        <v>1201</v>
      </c>
      <c r="H12" s="386">
        <f t="shared" si="3"/>
        <v>35453.519999999997</v>
      </c>
      <c r="I12" s="387"/>
      <c r="J12" s="388">
        <v>12</v>
      </c>
      <c r="K12" s="389">
        <f t="shared" si="0"/>
        <v>1801.500000000003</v>
      </c>
      <c r="L12" s="390">
        <f t="shared" si="1"/>
        <v>150.12500000000026</v>
      </c>
      <c r="M12" s="391">
        <v>0.48958333333333331</v>
      </c>
      <c r="N12" s="391">
        <v>0.51736111111111105</v>
      </c>
      <c r="O12" s="382">
        <v>5</v>
      </c>
      <c r="P12" s="392">
        <f t="shared" si="2"/>
        <v>39.999999999999936</v>
      </c>
      <c r="Q12" s="393"/>
      <c r="R12" s="393"/>
    </row>
    <row r="13" spans="1:18">
      <c r="A13" s="569"/>
      <c r="B13" s="383" t="s">
        <v>392</v>
      </c>
      <c r="C13" s="395"/>
      <c r="D13" s="384" t="s">
        <v>312</v>
      </c>
      <c r="E13" s="384"/>
      <c r="F13" s="385">
        <v>29.856999999999999</v>
      </c>
      <c r="G13" s="396">
        <v>1243</v>
      </c>
      <c r="H13" s="386">
        <f t="shared" si="3"/>
        <v>37112.250999999997</v>
      </c>
      <c r="I13" s="387"/>
      <c r="J13" s="388">
        <v>12</v>
      </c>
      <c r="K13" s="389">
        <f>G13/P13*60</f>
        <v>1864.5000000000066</v>
      </c>
      <c r="L13" s="390">
        <f>K13/J13</f>
        <v>155.37500000000054</v>
      </c>
      <c r="M13" s="391">
        <v>0.52083333333333337</v>
      </c>
      <c r="N13" s="391">
        <v>0.54861111111111105</v>
      </c>
      <c r="O13" s="382">
        <v>5</v>
      </c>
      <c r="P13" s="392">
        <f t="shared" si="2"/>
        <v>39.999999999999858</v>
      </c>
      <c r="Q13" s="393"/>
      <c r="R13" s="382"/>
    </row>
    <row r="14" spans="1:18">
      <c r="A14" s="569"/>
      <c r="B14" s="383" t="s">
        <v>389</v>
      </c>
      <c r="C14" s="383"/>
      <c r="D14" s="397" t="s">
        <v>313</v>
      </c>
      <c r="E14" s="398"/>
      <c r="F14" s="385">
        <v>28.57</v>
      </c>
      <c r="G14" s="394">
        <v>1417</v>
      </c>
      <c r="H14" s="386">
        <f t="shared" si="3"/>
        <v>40483.69</v>
      </c>
      <c r="I14" s="387"/>
      <c r="J14" s="388">
        <v>10</v>
      </c>
      <c r="K14" s="389">
        <f>G14/P14*60</f>
        <v>1416.9999999999975</v>
      </c>
      <c r="L14" s="390">
        <f>K14/J14</f>
        <v>141.69999999999976</v>
      </c>
      <c r="M14" s="391">
        <v>0.54861111111111105</v>
      </c>
      <c r="N14" s="391">
        <v>0.59027777777777779</v>
      </c>
      <c r="O14" s="382">
        <v>5</v>
      </c>
      <c r="P14" s="392">
        <f t="shared" si="2"/>
        <v>60.000000000000107</v>
      </c>
      <c r="Q14" s="382"/>
      <c r="R14" s="382"/>
    </row>
    <row r="15" spans="1:18">
      <c r="A15" s="569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70"/>
      <c r="B16" s="383">
        <v>0</v>
      </c>
      <c r="C16" s="400" t="s">
        <v>79</v>
      </c>
      <c r="D16" s="552" t="s">
        <v>75</v>
      </c>
      <c r="E16" s="552"/>
      <c r="F16" s="401"/>
      <c r="G16" s="402"/>
      <c r="H16" s="403"/>
      <c r="I16" s="404"/>
      <c r="J16" s="405">
        <f>AVERAGE(J5:J15)</f>
        <v>11.3</v>
      </c>
      <c r="K16" s="405">
        <f>AVERAGE(K5:K15)</f>
        <v>1569.9</v>
      </c>
      <c r="L16" s="406">
        <f>AVERAGE(L5:L15)</f>
        <v>143.13184778184777</v>
      </c>
      <c r="M16" s="391"/>
      <c r="N16" s="391"/>
      <c r="O16" s="389"/>
      <c r="P16" s="389"/>
      <c r="Q16" s="390"/>
      <c r="R16" s="390"/>
    </row>
    <row r="17" spans="1:18" ht="15.75" customHeight="1">
      <c r="A17" s="571" t="s">
        <v>314</v>
      </c>
      <c r="B17" s="383" t="s">
        <v>392</v>
      </c>
      <c r="C17" s="395"/>
      <c r="D17" s="574" t="s">
        <v>315</v>
      </c>
      <c r="E17" s="575"/>
      <c r="F17" s="385">
        <v>14.03</v>
      </c>
      <c r="G17" s="379">
        <v>561</v>
      </c>
      <c r="H17" s="407">
        <f t="shared" ref="H17:H23" si="4">F17*G17</f>
        <v>7870.83</v>
      </c>
      <c r="I17" s="408"/>
      <c r="J17" s="388">
        <v>6</v>
      </c>
      <c r="K17" s="389">
        <f>G17/P17*60</f>
        <v>1530.0000000000027</v>
      </c>
      <c r="L17" s="390">
        <f>K17/J17</f>
        <v>255.00000000000045</v>
      </c>
      <c r="M17" s="391">
        <v>0.17361111111111113</v>
      </c>
      <c r="N17" s="391">
        <v>0.18888888888888888</v>
      </c>
      <c r="O17" s="382">
        <v>10</v>
      </c>
      <c r="P17" s="392">
        <f>(N17-M17)*24*60</f>
        <v>21.999999999999961</v>
      </c>
      <c r="Q17" s="382"/>
      <c r="R17" s="382"/>
    </row>
    <row r="18" spans="1:18" ht="15.75" customHeight="1">
      <c r="A18" s="571"/>
      <c r="B18" s="383" t="s">
        <v>389</v>
      </c>
      <c r="C18" s="395"/>
      <c r="D18" s="562" t="s">
        <v>316</v>
      </c>
      <c r="E18" s="563"/>
      <c r="F18" s="385">
        <v>14.49</v>
      </c>
      <c r="G18" s="396">
        <v>777</v>
      </c>
      <c r="H18" s="386">
        <f t="shared" si="4"/>
        <v>11258.73</v>
      </c>
      <c r="I18" s="387"/>
      <c r="J18" s="388">
        <v>5</v>
      </c>
      <c r="K18" s="389">
        <f>G18/P18*60</f>
        <v>1503.870967741937</v>
      </c>
      <c r="L18" s="390">
        <f>K18/J18</f>
        <v>300.77419354838742</v>
      </c>
      <c r="M18" s="391">
        <v>0.20277777777777781</v>
      </c>
      <c r="N18" s="391">
        <v>0.22430555555555556</v>
      </c>
      <c r="O18" s="382">
        <v>20</v>
      </c>
      <c r="P18" s="392">
        <f t="shared" ref="P18:P23" si="5">(N18-M18)*24*60</f>
        <v>30.999999999999972</v>
      </c>
      <c r="Q18" s="393"/>
      <c r="R18" s="393"/>
    </row>
    <row r="19" spans="1:18" ht="15.75" customHeight="1">
      <c r="A19" s="571"/>
      <c r="B19" s="383">
        <v>0</v>
      </c>
      <c r="C19" s="395"/>
      <c r="D19" s="562"/>
      <c r="E19" s="563"/>
      <c r="F19" s="385" t="s">
        <v>391</v>
      </c>
      <c r="G19" s="396"/>
      <c r="H19" s="386">
        <f t="shared" si="4"/>
        <v>0</v>
      </c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72"/>
      <c r="B20" s="383">
        <v>0</v>
      </c>
      <c r="C20" s="395"/>
      <c r="D20" s="411"/>
      <c r="E20" s="398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72"/>
      <c r="B21" s="383">
        <v>0</v>
      </c>
      <c r="C21" s="395"/>
      <c r="D21" s="411"/>
      <c r="E21" s="398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72"/>
      <c r="B22" s="383">
        <v>0</v>
      </c>
      <c r="C22" s="395"/>
      <c r="D22" s="411"/>
      <c r="E22" s="398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72"/>
      <c r="B23" s="383">
        <v>0</v>
      </c>
      <c r="C23" s="395"/>
      <c r="D23" s="411"/>
      <c r="E23" s="398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45" customHeight="1">
      <c r="A24" s="573"/>
      <c r="B24" s="383">
        <v>0</v>
      </c>
      <c r="C24" s="12" t="s">
        <v>317</v>
      </c>
      <c r="D24" s="552" t="s">
        <v>75</v>
      </c>
      <c r="E24" s="552"/>
      <c r="F24" s="401"/>
      <c r="G24" s="412"/>
      <c r="H24" s="403"/>
      <c r="I24" s="404"/>
      <c r="J24" s="405">
        <f>AVERAGE(J17:J23)</f>
        <v>5.5</v>
      </c>
      <c r="K24" s="405">
        <f>AVERAGE(K17:K23)</f>
        <v>1516.9354838709698</v>
      </c>
      <c r="L24" s="406">
        <f>AVERAGE(L17:L23)</f>
        <v>277.88709677419394</v>
      </c>
      <c r="M24" s="391"/>
      <c r="N24" s="391"/>
      <c r="O24" s="382"/>
      <c r="P24" s="382"/>
      <c r="Q24" s="382"/>
      <c r="R24" s="382"/>
    </row>
    <row r="25" spans="1:18">
      <c r="A25" s="556" t="s">
        <v>318</v>
      </c>
      <c r="B25" s="383" t="s">
        <v>389</v>
      </c>
      <c r="C25" s="413"/>
      <c r="D25" s="414" t="s">
        <v>319</v>
      </c>
      <c r="E25" s="415"/>
      <c r="F25" s="385">
        <v>22.281818181818181</v>
      </c>
      <c r="G25" s="379">
        <v>625</v>
      </c>
      <c r="H25" s="386">
        <f t="shared" ref="H25:H37" si="6">F25*G25</f>
        <v>13926.136363636364</v>
      </c>
      <c r="I25" s="387"/>
      <c r="J25" s="388">
        <v>4</v>
      </c>
      <c r="K25" s="389">
        <f t="shared" ref="K25:K28" si="7">G25/P25*60</f>
        <v>2678.5714285714303</v>
      </c>
      <c r="L25" s="390">
        <f t="shared" ref="L25:L28" si="8">K25/J25</f>
        <v>669.64285714285757</v>
      </c>
      <c r="M25" s="391">
        <v>0.18055555555555555</v>
      </c>
      <c r="N25" s="391">
        <v>0.19027777777777777</v>
      </c>
      <c r="O25" s="382">
        <v>20</v>
      </c>
      <c r="P25" s="392">
        <f t="shared" ref="P25:P37" si="9">(N25-M25)*24*60</f>
        <v>13.999999999999989</v>
      </c>
      <c r="Q25" s="393"/>
      <c r="R25" s="393"/>
    </row>
    <row r="26" spans="1:18">
      <c r="A26" s="556"/>
      <c r="B26" s="383" t="s">
        <v>389</v>
      </c>
      <c r="C26" s="413"/>
      <c r="D26" s="416" t="s">
        <v>320</v>
      </c>
      <c r="E26" s="414"/>
      <c r="F26" s="385">
        <v>16.66</v>
      </c>
      <c r="G26" s="379">
        <v>2266</v>
      </c>
      <c r="H26" s="386">
        <f t="shared" si="6"/>
        <v>37751.56</v>
      </c>
      <c r="I26" s="387"/>
      <c r="J26" s="388">
        <v>4</v>
      </c>
      <c r="K26" s="389">
        <f t="shared" si="7"/>
        <v>2774.6938775510212</v>
      </c>
      <c r="L26" s="390">
        <f t="shared" si="8"/>
        <v>693.67346938775529</v>
      </c>
      <c r="M26" s="391">
        <v>0.20416666666666669</v>
      </c>
      <c r="N26" s="391">
        <v>0.23819444444444446</v>
      </c>
      <c r="O26" s="382">
        <v>20</v>
      </c>
      <c r="P26" s="392">
        <f t="shared" si="9"/>
        <v>48.999999999999986</v>
      </c>
      <c r="Q26" s="393"/>
      <c r="R26" s="393"/>
    </row>
    <row r="27" spans="1:18">
      <c r="A27" s="556"/>
      <c r="B27" s="383" t="s">
        <v>389</v>
      </c>
      <c r="C27" s="413"/>
      <c r="D27" s="411" t="s">
        <v>321</v>
      </c>
      <c r="E27" s="414"/>
      <c r="F27" s="385">
        <v>18.18</v>
      </c>
      <c r="G27" s="379">
        <v>2469</v>
      </c>
      <c r="H27" s="386">
        <f t="shared" si="6"/>
        <v>44886.42</v>
      </c>
      <c r="I27" s="387"/>
      <c r="J27" s="388">
        <v>4</v>
      </c>
      <c r="K27" s="389">
        <f t="shared" si="7"/>
        <v>2848.8461538461506</v>
      </c>
      <c r="L27" s="390">
        <f t="shared" si="8"/>
        <v>712.21153846153766</v>
      </c>
      <c r="M27" s="391">
        <v>0.25208333333333333</v>
      </c>
      <c r="N27" s="391">
        <v>0.28819444444444448</v>
      </c>
      <c r="O27" s="382">
        <v>20</v>
      </c>
      <c r="P27" s="392">
        <f t="shared" si="9"/>
        <v>52.000000000000057</v>
      </c>
      <c r="Q27" s="393">
        <v>0.28819444444444448</v>
      </c>
      <c r="R27" s="393">
        <v>0.3298611111111111</v>
      </c>
    </row>
    <row r="28" spans="1:18">
      <c r="A28" s="556"/>
      <c r="B28" s="383" t="s">
        <v>389</v>
      </c>
      <c r="C28" s="395"/>
      <c r="D28" s="416" t="s">
        <v>322</v>
      </c>
      <c r="E28" s="417"/>
      <c r="F28" s="385">
        <v>17.890909090909091</v>
      </c>
      <c r="G28" s="379">
        <v>1526</v>
      </c>
      <c r="H28" s="386">
        <f t="shared" si="6"/>
        <v>27301.527272727271</v>
      </c>
      <c r="I28" s="387"/>
      <c r="J28" s="388">
        <v>3</v>
      </c>
      <c r="K28" s="389">
        <f t="shared" si="7"/>
        <v>2861.2500000000032</v>
      </c>
      <c r="L28" s="390">
        <f t="shared" si="8"/>
        <v>953.75000000000102</v>
      </c>
      <c r="M28" s="391">
        <v>0.34375</v>
      </c>
      <c r="N28" s="391">
        <v>0.3659722222222222</v>
      </c>
      <c r="O28" s="382">
        <v>20</v>
      </c>
      <c r="P28" s="392">
        <f t="shared" si="9"/>
        <v>31.999999999999964</v>
      </c>
      <c r="Q28" s="393"/>
      <c r="R28" s="393"/>
    </row>
    <row r="29" spans="1:18">
      <c r="A29" s="556"/>
      <c r="B29" s="383">
        <v>0</v>
      </c>
      <c r="C29" s="379"/>
      <c r="D29" s="416"/>
      <c r="E29" s="417"/>
      <c r="F29" s="385" t="s">
        <v>391</v>
      </c>
      <c r="G29" s="379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56"/>
      <c r="B30" s="383">
        <v>0</v>
      </c>
      <c r="C30" s="379"/>
      <c r="D30" s="418"/>
      <c r="E30" s="417"/>
      <c r="F30" s="385" t="s">
        <v>391</v>
      </c>
      <c r="G30" s="379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56"/>
      <c r="B31" s="383">
        <v>0</v>
      </c>
      <c r="C31" s="395"/>
      <c r="D31" s="414"/>
      <c r="E31" s="417"/>
      <c r="F31" s="385" t="s">
        <v>391</v>
      </c>
      <c r="G31" s="379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56"/>
      <c r="B32" s="383">
        <v>0</v>
      </c>
      <c r="C32" s="395"/>
      <c r="D32" s="416"/>
      <c r="E32" s="398"/>
      <c r="F32" s="385" t="s">
        <v>391</v>
      </c>
      <c r="G32" s="379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56"/>
      <c r="B33" s="383">
        <v>0</v>
      </c>
      <c r="C33" s="379"/>
      <c r="D33" s="416"/>
      <c r="E33" s="417"/>
      <c r="F33" s="385" t="s">
        <v>391</v>
      </c>
      <c r="G33" s="379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56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56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56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56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45" customHeight="1">
      <c r="A38" s="557"/>
      <c r="B38" s="383">
        <v>0</v>
      </c>
      <c r="C38" s="12" t="s">
        <v>67</v>
      </c>
      <c r="D38" s="547" t="s">
        <v>323</v>
      </c>
      <c r="E38" s="547"/>
      <c r="F38" s="401"/>
      <c r="G38" s="420"/>
      <c r="H38" s="403"/>
      <c r="I38" s="404"/>
      <c r="J38" s="405">
        <f>AVERAGE(J25:J37)</f>
        <v>3.75</v>
      </c>
      <c r="K38" s="405">
        <f>AVERAGE(K25:K37)</f>
        <v>2790.8403649921515</v>
      </c>
      <c r="L38" s="406">
        <f>AVERAGE(L25:L37)</f>
        <v>757.31946624803788</v>
      </c>
      <c r="M38" s="391"/>
      <c r="N38" s="391"/>
      <c r="O38" s="389"/>
      <c r="P38" s="389"/>
      <c r="Q38" s="390"/>
      <c r="R38" s="390"/>
    </row>
    <row r="39" spans="1:18" ht="16.149999999999999" customHeight="1">
      <c r="A39" s="558" t="s">
        <v>324</v>
      </c>
      <c r="B39" s="383" t="s">
        <v>389</v>
      </c>
      <c r="C39" s="395"/>
      <c r="D39" s="416" t="s">
        <v>325</v>
      </c>
      <c r="E39" s="398"/>
      <c r="F39" s="385">
        <v>21.45</v>
      </c>
      <c r="G39" s="379">
        <v>918</v>
      </c>
      <c r="H39" s="386">
        <f t="shared" ref="H39:H47" si="10">F39*G39</f>
        <v>19691.099999999999</v>
      </c>
      <c r="I39" s="387"/>
      <c r="J39" s="388">
        <v>3</v>
      </c>
      <c r="K39" s="389">
        <f>G39/P39*60</f>
        <v>2898.947368421057</v>
      </c>
      <c r="L39" s="390">
        <f>K39/J39</f>
        <v>966.31578947368564</v>
      </c>
      <c r="M39" s="391">
        <v>0.17361111111111113</v>
      </c>
      <c r="N39" s="391">
        <v>0.18680555555555556</v>
      </c>
      <c r="O39" s="382">
        <v>10</v>
      </c>
      <c r="P39" s="421">
        <f t="shared" ref="P39:P50" si="11">(N39-M39)*24*60</f>
        <v>18.999999999999972</v>
      </c>
      <c r="Q39" s="393"/>
      <c r="R39" s="393"/>
    </row>
    <row r="40" spans="1:18">
      <c r="A40" s="559"/>
      <c r="B40" s="383" t="s">
        <v>389</v>
      </c>
      <c r="C40" s="395"/>
      <c r="D40" s="411" t="s">
        <v>326</v>
      </c>
      <c r="E40" s="398"/>
      <c r="F40" s="385">
        <v>15.15</v>
      </c>
      <c r="G40" s="379">
        <v>1199</v>
      </c>
      <c r="H40" s="386">
        <f t="shared" si="10"/>
        <v>18164.850000000002</v>
      </c>
      <c r="I40" s="387"/>
      <c r="J40" s="388">
        <v>4</v>
      </c>
      <c r="K40" s="389">
        <f>G40/P40*60</f>
        <v>2877.5999999999963</v>
      </c>
      <c r="L40" s="390">
        <f>K40/J40</f>
        <v>719.39999999999907</v>
      </c>
      <c r="M40" s="391">
        <v>0.20069444444444443</v>
      </c>
      <c r="N40" s="391">
        <v>0.21805555555555556</v>
      </c>
      <c r="O40" s="382">
        <v>20</v>
      </c>
      <c r="P40" s="421">
        <f t="shared" si="11"/>
        <v>25.000000000000032</v>
      </c>
      <c r="Q40" s="393">
        <v>0.21805555555555556</v>
      </c>
      <c r="R40" s="393">
        <v>0.25972222222222224</v>
      </c>
    </row>
    <row r="41" spans="1:18">
      <c r="A41" s="559"/>
      <c r="B41" s="383" t="s">
        <v>389</v>
      </c>
      <c r="C41" s="395"/>
      <c r="D41" s="416" t="s">
        <v>327</v>
      </c>
      <c r="E41" s="398"/>
      <c r="F41" s="385">
        <v>18.53</v>
      </c>
      <c r="G41" s="379">
        <v>2166</v>
      </c>
      <c r="H41" s="386">
        <f t="shared" si="10"/>
        <v>40135.980000000003</v>
      </c>
      <c r="I41" s="387"/>
      <c r="J41" s="388">
        <v>3</v>
      </c>
      <c r="K41" s="389">
        <f t="shared" ref="K41:K42" si="12">G41/P41*60</f>
        <v>2825.217391304348</v>
      </c>
      <c r="L41" s="390">
        <f t="shared" ref="L41:L42" si="13">K41/J41</f>
        <v>941.73913043478262</v>
      </c>
      <c r="M41" s="391">
        <v>0.27361111111111108</v>
      </c>
      <c r="N41" s="391">
        <v>0.30555555555555552</v>
      </c>
      <c r="O41" s="382">
        <v>20</v>
      </c>
      <c r="P41" s="421">
        <f t="shared" si="11"/>
        <v>46</v>
      </c>
      <c r="Q41" s="393"/>
      <c r="R41" s="393"/>
    </row>
    <row r="42" spans="1:18">
      <c r="A42" s="559"/>
      <c r="B42" s="383" t="s">
        <v>389</v>
      </c>
      <c r="C42" s="395"/>
      <c r="D42" s="411" t="s">
        <v>328</v>
      </c>
      <c r="E42" s="398"/>
      <c r="F42" s="385">
        <v>27.27</v>
      </c>
      <c r="G42" s="379">
        <v>2067</v>
      </c>
      <c r="H42" s="386">
        <f t="shared" si="10"/>
        <v>56367.09</v>
      </c>
      <c r="I42" s="387"/>
      <c r="J42" s="388">
        <v>4</v>
      </c>
      <c r="K42" s="389">
        <f t="shared" si="12"/>
        <v>2818.6363636363635</v>
      </c>
      <c r="L42" s="390">
        <f t="shared" si="13"/>
        <v>704.65909090909088</v>
      </c>
      <c r="M42" s="391">
        <v>0.31944444444444448</v>
      </c>
      <c r="N42" s="391">
        <v>0.35000000000000003</v>
      </c>
      <c r="O42" s="382">
        <v>20</v>
      </c>
      <c r="P42" s="421">
        <f t="shared" si="11"/>
        <v>44</v>
      </c>
      <c r="Q42" s="393"/>
      <c r="R42" s="393"/>
    </row>
    <row r="43" spans="1:18" ht="15.75" customHeight="1">
      <c r="A43" s="559"/>
      <c r="B43" s="383">
        <v>0</v>
      </c>
      <c r="C43" s="395"/>
      <c r="D43" s="418"/>
      <c r="E43" s="398"/>
      <c r="F43" s="385" t="s">
        <v>391</v>
      </c>
      <c r="G43" s="379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59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59"/>
      <c r="B45" s="383">
        <v>0</v>
      </c>
      <c r="C45" s="395"/>
      <c r="D45" s="416"/>
      <c r="E45" s="417"/>
      <c r="F45" s="385" t="s">
        <v>391</v>
      </c>
      <c r="G45" s="379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59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59"/>
      <c r="B47" s="383">
        <v>0</v>
      </c>
      <c r="C47" s="395"/>
      <c r="D47" s="416"/>
      <c r="E47" s="417"/>
      <c r="F47" s="385" t="s">
        <v>391</v>
      </c>
      <c r="G47" s="379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60"/>
      <c r="B48" s="383">
        <v>0</v>
      </c>
      <c r="C48" s="379"/>
      <c r="D48" s="562"/>
      <c r="E48" s="563"/>
      <c r="F48" s="385" t="s">
        <v>391</v>
      </c>
      <c r="G48" s="379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60"/>
      <c r="B49" s="383">
        <v>0</v>
      </c>
      <c r="C49" s="379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60"/>
      <c r="B50" s="383">
        <v>0</v>
      </c>
      <c r="C50" s="379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61"/>
      <c r="B51" s="383">
        <v>0</v>
      </c>
      <c r="C51" s="12" t="s">
        <v>68</v>
      </c>
      <c r="D51" s="552" t="s">
        <v>75</v>
      </c>
      <c r="E51" s="552"/>
      <c r="F51" s="401"/>
      <c r="G51" s="406"/>
      <c r="H51" s="428"/>
      <c r="I51" s="429"/>
      <c r="J51" s="405">
        <f>AVERAGE(J39:J50)</f>
        <v>3.5</v>
      </c>
      <c r="K51" s="405">
        <f>AVERAGE(K39:K50)</f>
        <v>2855.1002808404414</v>
      </c>
      <c r="L51" s="406">
        <f>AVERAGE(L39:L50)</f>
        <v>833.02850270438955</v>
      </c>
      <c r="M51" s="430"/>
      <c r="N51" s="391"/>
      <c r="O51" s="389"/>
      <c r="P51" s="389"/>
      <c r="Q51" s="390"/>
      <c r="R51" s="390"/>
    </row>
    <row r="52" spans="1:18" ht="15.6" customHeight="1">
      <c r="A52" s="564" t="s">
        <v>329</v>
      </c>
      <c r="B52" s="383">
        <v>0</v>
      </c>
      <c r="C52" s="395"/>
      <c r="D52" s="414"/>
      <c r="E52" s="431"/>
      <c r="F52" s="385" t="s">
        <v>391</v>
      </c>
      <c r="G52" s="379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6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65"/>
      <c r="B54" s="383">
        <v>0</v>
      </c>
      <c r="C54" s="395"/>
      <c r="D54" s="414"/>
      <c r="E54" s="398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6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6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6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6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6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6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6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6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6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66"/>
      <c r="B64" s="383">
        <v>0</v>
      </c>
      <c r="C64" s="12" t="s">
        <v>330</v>
      </c>
      <c r="D64" s="552" t="s">
        <v>75</v>
      </c>
      <c r="E64" s="552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49" t="s">
        <v>331</v>
      </c>
      <c r="B65" s="383" t="s">
        <v>389</v>
      </c>
      <c r="C65" s="395"/>
      <c r="D65" s="414" t="s">
        <v>332</v>
      </c>
      <c r="E65" s="431"/>
      <c r="F65" s="385">
        <v>25.03</v>
      </c>
      <c r="G65" s="379">
        <v>739</v>
      </c>
      <c r="H65" s="386">
        <f>F65*G65</f>
        <v>18497.170000000002</v>
      </c>
      <c r="I65" s="387"/>
      <c r="J65" s="388">
        <v>4</v>
      </c>
      <c r="K65" s="389">
        <f t="shared" ref="K65:K71" si="16">G65/P65*60</f>
        <v>3167.1428571428596</v>
      </c>
      <c r="L65" s="390">
        <f t="shared" ref="L65:L71" si="17">K65/J65</f>
        <v>791.7857142857149</v>
      </c>
      <c r="M65" s="391">
        <v>0.18055555555555555</v>
      </c>
      <c r="N65" s="391">
        <v>0.19027777777777777</v>
      </c>
      <c r="O65" s="389">
        <v>20</v>
      </c>
      <c r="P65" s="392">
        <f>(N65-M65)*24*60</f>
        <v>13.999999999999989</v>
      </c>
      <c r="Q65" s="393"/>
      <c r="R65" s="393"/>
    </row>
    <row r="66" spans="1:18" ht="15.6" customHeight="1">
      <c r="A66" s="550"/>
      <c r="B66" s="383" t="s">
        <v>389</v>
      </c>
      <c r="C66" s="395"/>
      <c r="D66" s="414" t="s">
        <v>333</v>
      </c>
      <c r="E66" s="432"/>
      <c r="F66" s="385">
        <v>24.82</v>
      </c>
      <c r="G66" s="394">
        <v>963</v>
      </c>
      <c r="H66" s="386">
        <f t="shared" ref="H66:H74" si="18">F66*G66</f>
        <v>23901.66</v>
      </c>
      <c r="I66" s="387"/>
      <c r="J66" s="388">
        <v>4</v>
      </c>
      <c r="K66" s="389">
        <f t="shared" si="16"/>
        <v>3041.0526315789521</v>
      </c>
      <c r="L66" s="390">
        <f t="shared" si="17"/>
        <v>760.26315789473801</v>
      </c>
      <c r="M66" s="391">
        <v>0.20416666666666669</v>
      </c>
      <c r="N66" s="391">
        <v>0.21736111111111112</v>
      </c>
      <c r="O66" s="389">
        <v>20</v>
      </c>
      <c r="P66" s="392">
        <f t="shared" ref="P66:P74" si="19">(N66-M66)*24*60</f>
        <v>18.999999999999972</v>
      </c>
      <c r="Q66" s="393"/>
      <c r="R66" s="393"/>
    </row>
    <row r="67" spans="1:18" ht="15.6" customHeight="1">
      <c r="A67" s="550"/>
      <c r="B67" s="383" t="s">
        <v>389</v>
      </c>
      <c r="C67" s="395"/>
      <c r="D67" s="414" t="s">
        <v>334</v>
      </c>
      <c r="E67" s="417"/>
      <c r="F67" s="385">
        <v>30</v>
      </c>
      <c r="G67" s="394">
        <v>1461</v>
      </c>
      <c r="H67" s="386">
        <f t="shared" si="18"/>
        <v>43830</v>
      </c>
      <c r="I67" s="387"/>
      <c r="J67" s="388">
        <v>4</v>
      </c>
      <c r="K67" s="389">
        <f t="shared" si="16"/>
        <v>3130.7142857142835</v>
      </c>
      <c r="L67" s="390">
        <f t="shared" si="17"/>
        <v>782.67857142857088</v>
      </c>
      <c r="M67" s="391">
        <v>0.23124999999999998</v>
      </c>
      <c r="N67" s="391">
        <v>0.25069444444444444</v>
      </c>
      <c r="O67" s="389">
        <v>20</v>
      </c>
      <c r="P67" s="392">
        <f t="shared" si="19"/>
        <v>28.000000000000021</v>
      </c>
      <c r="Q67" s="393"/>
      <c r="R67" s="393"/>
    </row>
    <row r="68" spans="1:18" ht="15.6" customHeight="1">
      <c r="A68" s="550"/>
      <c r="B68" s="383" t="s">
        <v>389</v>
      </c>
      <c r="C68" s="395"/>
      <c r="D68" s="434" t="s">
        <v>335</v>
      </c>
      <c r="E68" s="417"/>
      <c r="F68" s="385">
        <v>14.03</v>
      </c>
      <c r="G68" s="394">
        <v>2356</v>
      </c>
      <c r="H68" s="386">
        <f t="shared" si="18"/>
        <v>33054.68</v>
      </c>
      <c r="I68" s="387"/>
      <c r="J68" s="388">
        <v>3</v>
      </c>
      <c r="K68" s="389">
        <f t="shared" si="16"/>
        <v>3287.4418604651155</v>
      </c>
      <c r="L68" s="390">
        <f t="shared" si="17"/>
        <v>1095.8139534883719</v>
      </c>
      <c r="M68" s="391">
        <v>0.26458333333333334</v>
      </c>
      <c r="N68" s="391">
        <v>0.29444444444444445</v>
      </c>
      <c r="O68" s="389">
        <v>25</v>
      </c>
      <c r="P68" s="392">
        <f t="shared" si="19"/>
        <v>43.000000000000007</v>
      </c>
      <c r="Q68" s="393">
        <v>0.29444444444444445</v>
      </c>
      <c r="R68" s="393">
        <v>0.33611111111111108</v>
      </c>
    </row>
    <row r="69" spans="1:18" ht="15.6" customHeight="1">
      <c r="A69" s="550"/>
      <c r="B69" s="383" t="s">
        <v>389</v>
      </c>
      <c r="C69" s="395"/>
      <c r="D69" s="414" t="s">
        <v>336</v>
      </c>
      <c r="E69" s="417"/>
      <c r="F69" s="385">
        <v>18.18</v>
      </c>
      <c r="G69" s="394">
        <v>792</v>
      </c>
      <c r="H69" s="386">
        <f t="shared" si="18"/>
        <v>14398.56</v>
      </c>
      <c r="I69" s="387"/>
      <c r="J69" s="388">
        <v>3</v>
      </c>
      <c r="K69" s="389">
        <f t="shared" si="16"/>
        <v>3394.2857142857265</v>
      </c>
      <c r="L69" s="390">
        <f t="shared" si="17"/>
        <v>1131.4285714285754</v>
      </c>
      <c r="M69" s="391">
        <v>0.35000000000000003</v>
      </c>
      <c r="N69" s="391">
        <v>0.35972222222222222</v>
      </c>
      <c r="O69" s="389">
        <v>20</v>
      </c>
      <c r="P69" s="392">
        <f t="shared" si="19"/>
        <v>13.99999999999995</v>
      </c>
      <c r="Q69" s="393"/>
      <c r="R69" s="393"/>
    </row>
    <row r="70" spans="1:18" ht="15.75" customHeight="1">
      <c r="A70" s="550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1379</v>
      </c>
      <c r="H70" s="386">
        <f t="shared" si="18"/>
        <v>25070.22</v>
      </c>
      <c r="I70" s="387"/>
      <c r="J70" s="388">
        <v>3</v>
      </c>
      <c r="K70" s="389">
        <f t="shared" si="16"/>
        <v>3309.6000000000013</v>
      </c>
      <c r="L70" s="390">
        <f t="shared" si="17"/>
        <v>1103.2000000000005</v>
      </c>
      <c r="M70" s="391">
        <v>0.37361111111111112</v>
      </c>
      <c r="N70" s="391">
        <v>0.39097222222222222</v>
      </c>
      <c r="O70" s="389">
        <v>20</v>
      </c>
      <c r="P70" s="392">
        <f t="shared" si="19"/>
        <v>24.999999999999993</v>
      </c>
      <c r="Q70" s="393"/>
      <c r="R70" s="393"/>
    </row>
    <row r="71" spans="1:18" ht="15.6" customHeight="1">
      <c r="A71" s="550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3371</v>
      </c>
      <c r="H71" s="386">
        <f t="shared" si="18"/>
        <v>48157.142857142848</v>
      </c>
      <c r="I71" s="387"/>
      <c r="J71" s="388">
        <v>3</v>
      </c>
      <c r="K71" s="389">
        <f t="shared" si="16"/>
        <v>3262.2580645161279</v>
      </c>
      <c r="L71" s="390">
        <f t="shared" si="17"/>
        <v>1087.4193548387093</v>
      </c>
      <c r="M71" s="391">
        <v>0.40486111111111112</v>
      </c>
      <c r="N71" s="391">
        <v>0.44791666666666669</v>
      </c>
      <c r="O71" s="389">
        <v>20</v>
      </c>
      <c r="P71" s="392">
        <f t="shared" si="19"/>
        <v>62.000000000000021</v>
      </c>
      <c r="Q71" s="393"/>
      <c r="R71" s="393"/>
    </row>
    <row r="72" spans="1:18" ht="15.6" customHeight="1">
      <c r="A72" s="550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50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50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51"/>
      <c r="B75" s="383">
        <v>0</v>
      </c>
      <c r="C75" s="12" t="s">
        <v>339</v>
      </c>
      <c r="D75" s="552" t="s">
        <v>75</v>
      </c>
      <c r="E75" s="552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3227.4993448147238</v>
      </c>
      <c r="L75" s="406">
        <f>AVERAGE(L65:L74)</f>
        <v>964.65561762352593</v>
      </c>
      <c r="M75" s="391"/>
      <c r="N75" s="391"/>
      <c r="O75" s="382"/>
      <c r="P75" s="382"/>
      <c r="Q75" s="382"/>
      <c r="R75" s="382"/>
    </row>
    <row r="76" spans="1:18" ht="16.149999999999999" customHeight="1">
      <c r="A76" s="553" t="s">
        <v>340</v>
      </c>
      <c r="B76" s="383">
        <v>0</v>
      </c>
      <c r="C76" s="400"/>
      <c r="D76" s="554"/>
      <c r="E76" s="555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53"/>
      <c r="B77" s="383">
        <v>0</v>
      </c>
      <c r="C77" s="400"/>
      <c r="D77" s="554"/>
      <c r="E77" s="555"/>
      <c r="F77" s="385" t="s">
        <v>391</v>
      </c>
      <c r="G77" s="379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53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53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53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53"/>
      <c r="B81" s="383">
        <v>0</v>
      </c>
      <c r="C81" s="12" t="s">
        <v>71</v>
      </c>
      <c r="D81" s="547" t="s">
        <v>75</v>
      </c>
      <c r="E81" s="547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38" t="s">
        <v>341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4473</v>
      </c>
      <c r="H82" s="444">
        <f t="shared" ref="H82:H87" si="20">F82*G82</f>
        <v>74520.180000000008</v>
      </c>
      <c r="I82" s="387"/>
      <c r="J82" s="388">
        <v>4</v>
      </c>
      <c r="K82" s="389">
        <f t="shared" ref="K82:K86" si="21">G82/P82*60</f>
        <v>2825.0526315789434</v>
      </c>
      <c r="L82" s="390">
        <f t="shared" ref="L82:L86" si="22">K82/J82</f>
        <v>706.26315789473585</v>
      </c>
      <c r="M82" s="391">
        <v>0.72222222222222221</v>
      </c>
      <c r="N82" s="391">
        <v>0.78819444444444453</v>
      </c>
      <c r="O82" s="389">
        <v>20</v>
      </c>
      <c r="P82" s="392">
        <f>(N82-M82)*24*60</f>
        <v>95.000000000000142</v>
      </c>
      <c r="Q82" s="393"/>
      <c r="R82" s="393"/>
    </row>
    <row r="83" spans="1:18">
      <c r="A83" s="539"/>
      <c r="B83" s="383" t="s">
        <v>389</v>
      </c>
      <c r="C83" s="413"/>
      <c r="D83" s="414" t="s">
        <v>343</v>
      </c>
      <c r="E83" s="443"/>
      <c r="F83" s="385">
        <v>18.18</v>
      </c>
      <c r="G83" s="419">
        <v>399</v>
      </c>
      <c r="H83" s="444">
        <f t="shared" si="20"/>
        <v>7253.82</v>
      </c>
      <c r="I83" s="387"/>
      <c r="J83" s="388">
        <v>4</v>
      </c>
      <c r="K83" s="389">
        <f t="shared" si="21"/>
        <v>2394.0000000000086</v>
      </c>
      <c r="L83" s="390">
        <f t="shared" si="22"/>
        <v>598.50000000000216</v>
      </c>
      <c r="M83" s="391">
        <v>0.80208333333333337</v>
      </c>
      <c r="N83" s="391">
        <v>0.80902777777777779</v>
      </c>
      <c r="O83" s="389">
        <v>20</v>
      </c>
      <c r="P83" s="392">
        <f>(N83-M83)*24*60</f>
        <v>9.9999999999999645</v>
      </c>
      <c r="Q83" s="393"/>
      <c r="R83" s="393"/>
    </row>
    <row r="84" spans="1:18">
      <c r="A84" s="539"/>
      <c r="B84" s="383" t="s">
        <v>389</v>
      </c>
      <c r="C84" s="413"/>
      <c r="D84" s="433" t="s">
        <v>344</v>
      </c>
      <c r="E84" s="443"/>
      <c r="F84" s="385">
        <v>16.7</v>
      </c>
      <c r="G84" s="419">
        <v>1099</v>
      </c>
      <c r="H84" s="445">
        <f t="shared" si="20"/>
        <v>18353.3</v>
      </c>
      <c r="I84" s="387"/>
      <c r="J84" s="388">
        <v>3</v>
      </c>
      <c r="K84" s="389">
        <f t="shared" si="21"/>
        <v>2637.5999999999922</v>
      </c>
      <c r="L84" s="390">
        <f t="shared" si="22"/>
        <v>879.19999999999743</v>
      </c>
      <c r="M84" s="391">
        <v>0.82291666666666663</v>
      </c>
      <c r="N84" s="391">
        <v>0.84027777777777779</v>
      </c>
      <c r="O84" s="389">
        <v>20</v>
      </c>
      <c r="P84" s="421">
        <f t="shared" ref="P84:P85" si="23">(N84-M84)*24*60</f>
        <v>25.000000000000071</v>
      </c>
      <c r="Q84" s="393">
        <v>0.84027777777777779</v>
      </c>
      <c r="R84" s="393">
        <v>0.88194444444444453</v>
      </c>
    </row>
    <row r="85" spans="1:18">
      <c r="A85" s="539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927</v>
      </c>
      <c r="H85" s="445">
        <f t="shared" si="20"/>
        <v>20655.245454545453</v>
      </c>
      <c r="I85" s="387"/>
      <c r="J85" s="388">
        <v>4</v>
      </c>
      <c r="K85" s="389">
        <f t="shared" si="21"/>
        <v>2781.00000000001</v>
      </c>
      <c r="L85" s="390">
        <f t="shared" si="22"/>
        <v>695.2500000000025</v>
      </c>
      <c r="M85" s="391">
        <v>0.89583333333333337</v>
      </c>
      <c r="N85" s="391">
        <v>0.90972222222222221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39"/>
      <c r="B86" s="383" t="s">
        <v>389</v>
      </c>
      <c r="C86" s="413"/>
      <c r="D86" s="414" t="s">
        <v>346</v>
      </c>
      <c r="E86" s="443"/>
      <c r="F86" s="385">
        <v>17.890909090909091</v>
      </c>
      <c r="G86" s="379">
        <v>3287</v>
      </c>
      <c r="H86" s="445">
        <f t="shared" si="20"/>
        <v>58807.418181818182</v>
      </c>
      <c r="I86" s="387"/>
      <c r="J86" s="388">
        <v>3</v>
      </c>
      <c r="K86" s="389">
        <f t="shared" si="21"/>
        <v>2817.4285714285747</v>
      </c>
      <c r="L86" s="390">
        <f t="shared" si="22"/>
        <v>939.14285714285825</v>
      </c>
      <c r="M86" s="391">
        <v>0.92361111111111116</v>
      </c>
      <c r="N86" s="446">
        <v>0.97222222222222221</v>
      </c>
      <c r="O86" s="382">
        <v>20</v>
      </c>
      <c r="P86" s="421">
        <f>(N86-M86)*24*60</f>
        <v>69.999999999999915</v>
      </c>
      <c r="Q86" s="382"/>
      <c r="R86" s="382"/>
    </row>
    <row r="87" spans="1:18">
      <c r="A87" s="539"/>
      <c r="B87" s="383"/>
      <c r="C87" s="413"/>
      <c r="D87" s="414"/>
      <c r="E87" s="443"/>
      <c r="F87" s="385" t="s">
        <v>391</v>
      </c>
      <c r="G87" s="379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39"/>
      <c r="B88" s="383">
        <v>0</v>
      </c>
      <c r="C88" s="413"/>
      <c r="D88" s="414"/>
      <c r="E88" s="443"/>
      <c r="F88" s="385" t="s">
        <v>391</v>
      </c>
      <c r="G88" s="379"/>
      <c r="H88" s="445"/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39"/>
      <c r="B89" s="383">
        <v>0</v>
      </c>
      <c r="C89" s="413"/>
      <c r="D89" s="414"/>
      <c r="E89" s="443"/>
      <c r="F89" s="385" t="s">
        <v>391</v>
      </c>
      <c r="G89" s="379"/>
      <c r="H89" s="445">
        <f t="shared" ref="H89:H90" si="24">F89*G89</f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5">(N89-M89)*24*60</f>
        <v>0</v>
      </c>
      <c r="Q89" s="382"/>
      <c r="R89" s="382"/>
    </row>
    <row r="90" spans="1:18">
      <c r="A90" s="539"/>
      <c r="B90" s="383">
        <v>0</v>
      </c>
      <c r="C90" s="413"/>
      <c r="D90" s="414"/>
      <c r="E90" s="443"/>
      <c r="F90" s="385" t="s">
        <v>391</v>
      </c>
      <c r="G90" s="379"/>
      <c r="H90" s="445">
        <f t="shared" si="24"/>
        <v>0</v>
      </c>
      <c r="I90" s="387"/>
      <c r="J90" s="388"/>
      <c r="K90" s="389"/>
      <c r="L90" s="390"/>
      <c r="M90" s="391"/>
      <c r="N90" s="446"/>
      <c r="O90" s="382"/>
      <c r="P90" s="421">
        <f t="shared" si="25"/>
        <v>0</v>
      </c>
      <c r="Q90" s="382"/>
      <c r="R90" s="382"/>
    </row>
    <row r="91" spans="1:18" ht="17.45" customHeight="1">
      <c r="A91" s="539"/>
      <c r="B91" s="383">
        <v>0</v>
      </c>
      <c r="C91" s="12" t="s">
        <v>318</v>
      </c>
      <c r="D91" s="540" t="s">
        <v>75</v>
      </c>
      <c r="E91" s="540"/>
      <c r="F91" s="401"/>
      <c r="G91" s="447"/>
      <c r="H91" s="448"/>
      <c r="I91" s="404"/>
      <c r="J91" s="405">
        <f>AVERAGE(J82:J90)</f>
        <v>3.6</v>
      </c>
      <c r="K91" s="405">
        <f>AVERAGE(K82:K90)</f>
        <v>2691.0162406015056</v>
      </c>
      <c r="L91" s="406">
        <f>AVERAGE(L82:L90)</f>
        <v>763.67120300751935</v>
      </c>
      <c r="M91" s="391"/>
      <c r="N91" s="391"/>
      <c r="O91" s="389"/>
      <c r="P91" s="389"/>
      <c r="Q91" s="390"/>
      <c r="R91" s="390"/>
    </row>
    <row r="92" spans="1:18" ht="16.149999999999999" customHeight="1">
      <c r="A92" s="541" t="s">
        <v>347</v>
      </c>
      <c r="B92" s="383" t="s">
        <v>389</v>
      </c>
      <c r="C92" s="400"/>
      <c r="D92" s="449" t="s">
        <v>348</v>
      </c>
      <c r="E92" s="443"/>
      <c r="F92" s="385">
        <v>24.54</v>
      </c>
      <c r="G92" s="379">
        <v>1707</v>
      </c>
      <c r="H92" s="386">
        <f t="shared" ref="H92:H97" si="26">F92*G92</f>
        <v>41889.78</v>
      </c>
      <c r="I92" s="387"/>
      <c r="J92" s="388">
        <v>3</v>
      </c>
      <c r="K92" s="389">
        <f>G92/P92*60</f>
        <v>2276</v>
      </c>
      <c r="L92" s="390">
        <f t="shared" ref="L92:L93" si="27">K92/J92</f>
        <v>758.66666666666663</v>
      </c>
      <c r="M92" s="391">
        <v>0.72222222222222221</v>
      </c>
      <c r="N92" s="391">
        <v>0.75347222222222221</v>
      </c>
      <c r="O92" s="382">
        <v>20</v>
      </c>
      <c r="P92" s="392">
        <f>(N92-M92)*24*60</f>
        <v>45</v>
      </c>
      <c r="Q92" s="393"/>
      <c r="R92" s="393"/>
    </row>
    <row r="93" spans="1:18">
      <c r="A93" s="542"/>
      <c r="B93" s="383" t="s">
        <v>389</v>
      </c>
      <c r="C93" s="400"/>
      <c r="D93" s="414" t="s">
        <v>349</v>
      </c>
      <c r="E93" s="443"/>
      <c r="F93" s="385">
        <v>22.48</v>
      </c>
      <c r="G93" s="379">
        <v>1180</v>
      </c>
      <c r="H93" s="386">
        <f t="shared" si="26"/>
        <v>26526.400000000001</v>
      </c>
      <c r="I93" s="387"/>
      <c r="J93" s="388">
        <v>4</v>
      </c>
      <c r="K93" s="389">
        <f t="shared" ref="K93" si="28">G93/P93*60</f>
        <v>2359.9999999999959</v>
      </c>
      <c r="L93" s="390">
        <f t="shared" si="27"/>
        <v>589.99999999999898</v>
      </c>
      <c r="M93" s="391">
        <v>0.76736111111111116</v>
      </c>
      <c r="N93" s="391">
        <v>0.78819444444444453</v>
      </c>
      <c r="O93" s="382">
        <v>20</v>
      </c>
      <c r="P93" s="392">
        <f>(N93-M93)*24*60</f>
        <v>30.000000000000053</v>
      </c>
      <c r="Q93" s="393"/>
      <c r="R93" s="393"/>
    </row>
    <row r="94" spans="1:18">
      <c r="A94" s="542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6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43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6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43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6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43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6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43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43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43"/>
      <c r="B100" s="383">
        <v>0</v>
      </c>
      <c r="C100" s="12" t="s">
        <v>350</v>
      </c>
      <c r="D100" s="544" t="s">
        <v>75</v>
      </c>
      <c r="E100" s="545"/>
      <c r="F100" s="401"/>
      <c r="G100" s="402"/>
      <c r="H100" s="450"/>
      <c r="I100" s="404"/>
      <c r="J100" s="405">
        <f>AVERAGE(J92:J99)</f>
        <v>3.5</v>
      </c>
      <c r="K100" s="405">
        <f>AVERAGE(K92:K99)</f>
        <v>2317.9999999999982</v>
      </c>
      <c r="L100" s="406">
        <f>AVERAGE(L92:L99)</f>
        <v>674.3333333333328</v>
      </c>
      <c r="M100" s="391"/>
      <c r="N100" s="391"/>
      <c r="O100" s="389"/>
      <c r="P100" s="389"/>
      <c r="Q100" s="390"/>
      <c r="R100" s="390"/>
    </row>
    <row r="101" spans="1:18" ht="16.149999999999999" customHeight="1">
      <c r="A101" s="546" t="s">
        <v>351</v>
      </c>
      <c r="B101" s="383" t="s">
        <v>389</v>
      </c>
      <c r="C101" s="12"/>
      <c r="D101" s="437" t="s">
        <v>352</v>
      </c>
      <c r="E101" s="451"/>
      <c r="F101" s="385">
        <v>25.03</v>
      </c>
      <c r="G101" s="379">
        <v>1012</v>
      </c>
      <c r="H101" s="386">
        <f t="shared" ref="H101:H110" si="29">F101*G101</f>
        <v>25330.36</v>
      </c>
      <c r="I101" s="387"/>
      <c r="J101" s="388">
        <v>4</v>
      </c>
      <c r="K101" s="389">
        <f>G101/P101*60</f>
        <v>3035.9999999999864</v>
      </c>
      <c r="L101" s="390">
        <f t="shared" ref="L101:L105" si="30">K101/J101</f>
        <v>758.99999999999659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1">(N101-M101)*24*60</f>
        <v>20.000000000000089</v>
      </c>
      <c r="Q101" s="390"/>
      <c r="R101" s="393"/>
    </row>
    <row r="102" spans="1:18">
      <c r="A102" s="546"/>
      <c r="B102" s="383" t="s">
        <v>389</v>
      </c>
      <c r="C102" s="12"/>
      <c r="D102" s="414" t="s">
        <v>353</v>
      </c>
      <c r="E102" s="451"/>
      <c r="F102" s="385">
        <v>24.82</v>
      </c>
      <c r="G102" s="379">
        <v>1523</v>
      </c>
      <c r="H102" s="386">
        <f t="shared" si="29"/>
        <v>37800.86</v>
      </c>
      <c r="I102" s="387"/>
      <c r="J102" s="388">
        <v>4</v>
      </c>
      <c r="K102" s="389">
        <f t="shared" ref="K102:K105" si="32">G102/P102*60</f>
        <v>3045.9999999999945</v>
      </c>
      <c r="L102" s="390">
        <f t="shared" si="30"/>
        <v>761.49999999999864</v>
      </c>
      <c r="M102" s="391">
        <v>0.75</v>
      </c>
      <c r="N102" s="391">
        <v>0.77083333333333337</v>
      </c>
      <c r="O102" s="382">
        <v>20</v>
      </c>
      <c r="P102" s="389">
        <f t="shared" si="31"/>
        <v>30.000000000000053</v>
      </c>
      <c r="Q102" s="393"/>
      <c r="R102" s="393"/>
    </row>
    <row r="103" spans="1:18">
      <c r="A103" s="546"/>
      <c r="B103" s="383" t="s">
        <v>389</v>
      </c>
      <c r="C103" s="12"/>
      <c r="D103" s="433" t="s">
        <v>354</v>
      </c>
      <c r="E103" s="414"/>
      <c r="F103" s="385">
        <v>28.57</v>
      </c>
      <c r="G103" s="379">
        <v>2546</v>
      </c>
      <c r="H103" s="386">
        <f t="shared" si="29"/>
        <v>72739.22</v>
      </c>
      <c r="I103" s="387"/>
      <c r="J103" s="388">
        <v>3</v>
      </c>
      <c r="K103" s="389">
        <f t="shared" si="32"/>
        <v>3055.1999999999912</v>
      </c>
      <c r="L103" s="390">
        <f t="shared" si="30"/>
        <v>1018.399999999997</v>
      </c>
      <c r="M103" s="391">
        <v>0.78472222222222221</v>
      </c>
      <c r="N103" s="391">
        <v>0.81944444444444453</v>
      </c>
      <c r="O103" s="382">
        <v>20</v>
      </c>
      <c r="P103" s="389">
        <f t="shared" si="31"/>
        <v>50.000000000000142</v>
      </c>
      <c r="Q103" s="393"/>
      <c r="R103" s="393"/>
    </row>
    <row r="104" spans="1:18">
      <c r="A104" s="546"/>
      <c r="B104" s="383" t="s">
        <v>389</v>
      </c>
      <c r="C104" s="12"/>
      <c r="D104" s="414" t="s">
        <v>355</v>
      </c>
      <c r="E104" s="437"/>
      <c r="F104" s="385">
        <v>14.03</v>
      </c>
      <c r="G104" s="379">
        <v>5131</v>
      </c>
      <c r="H104" s="386">
        <f t="shared" si="29"/>
        <v>71987.929999999993</v>
      </c>
      <c r="I104" s="387"/>
      <c r="J104" s="388">
        <v>3</v>
      </c>
      <c r="K104" s="389">
        <f t="shared" si="32"/>
        <v>3078.6000000000008</v>
      </c>
      <c r="L104" s="390">
        <f t="shared" si="30"/>
        <v>1026.2000000000003</v>
      </c>
      <c r="M104" s="391">
        <v>0.83333333333333337</v>
      </c>
      <c r="N104" s="391">
        <v>0.90277777777777779</v>
      </c>
      <c r="O104" s="382">
        <v>20</v>
      </c>
      <c r="P104" s="389">
        <f>(N104-M104)*24*60</f>
        <v>99.999999999999972</v>
      </c>
      <c r="Q104" s="393">
        <v>0.90277777777777779</v>
      </c>
      <c r="R104" s="393">
        <v>0.94444444444444453</v>
      </c>
    </row>
    <row r="105" spans="1:18">
      <c r="A105" s="546"/>
      <c r="B105" s="383" t="s">
        <v>389</v>
      </c>
      <c r="C105" s="12"/>
      <c r="D105" s="414" t="s">
        <v>356</v>
      </c>
      <c r="E105" s="433"/>
      <c r="F105" s="385">
        <v>14.285714285714283</v>
      </c>
      <c r="G105" s="379">
        <v>6917</v>
      </c>
      <c r="H105" s="386">
        <f t="shared" si="29"/>
        <v>98814.285714285696</v>
      </c>
      <c r="I105" s="387"/>
      <c r="J105" s="388">
        <v>3</v>
      </c>
      <c r="K105" s="389">
        <f t="shared" si="32"/>
        <v>3074.2222222222222</v>
      </c>
      <c r="L105" s="390">
        <f t="shared" si="30"/>
        <v>1024.7407407407406</v>
      </c>
      <c r="M105" s="391">
        <v>46058.958333333336</v>
      </c>
      <c r="N105" s="446">
        <v>46059.052083333336</v>
      </c>
      <c r="O105" s="382">
        <v>20</v>
      </c>
      <c r="P105" s="389">
        <f>(N105-M105)*24*60</f>
        <v>135</v>
      </c>
      <c r="Q105" s="390"/>
      <c r="R105" s="393"/>
    </row>
    <row r="106" spans="1:18">
      <c r="A106" s="546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9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1"/>
        <v>0</v>
      </c>
      <c r="Q106" s="390"/>
      <c r="R106" s="393"/>
    </row>
    <row r="107" spans="1:18">
      <c r="A107" s="546"/>
      <c r="B107" s="383">
        <v>0</v>
      </c>
      <c r="C107" s="12"/>
      <c r="D107" s="414"/>
      <c r="E107" s="433"/>
      <c r="F107" s="385" t="s">
        <v>391</v>
      </c>
      <c r="G107" s="379"/>
      <c r="H107" s="386">
        <f t="shared" si="29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1"/>
        <v>0</v>
      </c>
      <c r="Q107" s="390"/>
      <c r="R107" s="393"/>
    </row>
    <row r="108" spans="1:18">
      <c r="A108" s="546"/>
      <c r="B108" s="383">
        <v>0</v>
      </c>
      <c r="C108" s="12"/>
      <c r="D108" s="414"/>
      <c r="E108" s="433"/>
      <c r="F108" s="385" t="s">
        <v>391</v>
      </c>
      <c r="G108" s="379"/>
      <c r="H108" s="386">
        <f t="shared" si="29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1"/>
        <v>0</v>
      </c>
      <c r="Q108" s="390"/>
      <c r="R108" s="393"/>
    </row>
    <row r="109" spans="1:18">
      <c r="A109" s="546"/>
      <c r="B109" s="383">
        <v>0</v>
      </c>
      <c r="C109" s="400"/>
      <c r="D109" s="414"/>
      <c r="E109" s="433"/>
      <c r="F109" s="385" t="s">
        <v>391</v>
      </c>
      <c r="G109" s="379"/>
      <c r="H109" s="386">
        <f t="shared" si="29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1"/>
        <v>0</v>
      </c>
      <c r="Q109" s="390"/>
      <c r="R109" s="393"/>
    </row>
    <row r="110" spans="1:18">
      <c r="A110" s="546"/>
      <c r="B110" s="383">
        <v>0</v>
      </c>
      <c r="C110" s="400"/>
      <c r="D110" s="414"/>
      <c r="E110" s="433"/>
      <c r="F110" s="385" t="s">
        <v>391</v>
      </c>
      <c r="G110" s="379"/>
      <c r="H110" s="386">
        <f t="shared" si="29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1"/>
        <v>0</v>
      </c>
      <c r="Q110" s="390"/>
      <c r="R110" s="393"/>
    </row>
    <row r="111" spans="1:18" ht="15.75" customHeight="1">
      <c r="A111" s="546"/>
      <c r="B111" s="383">
        <v>0</v>
      </c>
      <c r="C111" s="12" t="s">
        <v>330</v>
      </c>
      <c r="D111" s="547" t="s">
        <v>75</v>
      </c>
      <c r="E111" s="548"/>
      <c r="F111" s="452"/>
      <c r="G111" s="453"/>
      <c r="H111" s="403"/>
      <c r="I111" s="404"/>
      <c r="J111" s="405">
        <f>AVERAGE(J101:J110)</f>
        <v>3.4</v>
      </c>
      <c r="K111" s="405">
        <f>AVERAGE(K101:K110)</f>
        <v>3058.0044444444388</v>
      </c>
      <c r="L111" s="406">
        <f>AVERAGE(L101:L110)</f>
        <v>917.96814814814661</v>
      </c>
      <c r="M111" s="391"/>
      <c r="N111" s="391"/>
      <c r="O111" s="389"/>
      <c r="P111" s="389"/>
      <c r="Q111" s="390"/>
      <c r="R111" s="382"/>
    </row>
    <row r="112" spans="1:18" ht="16.149999999999999" customHeight="1">
      <c r="A112" s="536" t="s">
        <v>357</v>
      </c>
      <c r="B112" s="383" t="s">
        <v>389</v>
      </c>
      <c r="C112" s="12"/>
      <c r="D112" s="441" t="s">
        <v>358</v>
      </c>
      <c r="E112" s="454"/>
      <c r="F112" s="385">
        <v>18.18</v>
      </c>
      <c r="G112" s="379">
        <v>931</v>
      </c>
      <c r="H112" s="444">
        <f t="shared" si="3"/>
        <v>16925.579999999998</v>
      </c>
      <c r="I112" s="387"/>
      <c r="J112" s="388">
        <v>4</v>
      </c>
      <c r="K112" s="389">
        <f t="shared" ref="K112:K113" si="33">G112/P112*60</f>
        <v>2792.9999999999873</v>
      </c>
      <c r="L112" s="390">
        <f t="shared" ref="L112:L113" si="34">K112/J112</f>
        <v>698.24999999999682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5">(N112-M112)*24*60</f>
        <v>20.000000000000089</v>
      </c>
      <c r="Q112" s="382"/>
      <c r="R112" s="382"/>
    </row>
    <row r="113" spans="1:18">
      <c r="A113" s="536"/>
      <c r="B113" s="383" t="s">
        <v>389</v>
      </c>
      <c r="C113" s="413"/>
      <c r="D113" s="441" t="s">
        <v>359</v>
      </c>
      <c r="E113" s="441"/>
      <c r="F113" s="385">
        <v>18.18</v>
      </c>
      <c r="G113" s="379">
        <v>1049</v>
      </c>
      <c r="H113" s="444">
        <f t="shared" si="3"/>
        <v>19070.82</v>
      </c>
      <c r="I113" s="387"/>
      <c r="J113" s="388">
        <v>3</v>
      </c>
      <c r="K113" s="389">
        <f t="shared" si="33"/>
        <v>3147.0000000000114</v>
      </c>
      <c r="L113" s="390">
        <f t="shared" si="34"/>
        <v>1049.0000000000039</v>
      </c>
      <c r="M113" s="391">
        <v>0.75</v>
      </c>
      <c r="N113" s="391">
        <v>0.76388888888888884</v>
      </c>
      <c r="O113" s="382">
        <v>20</v>
      </c>
      <c r="P113" s="392">
        <f t="shared" si="35"/>
        <v>19.999999999999929</v>
      </c>
      <c r="Q113" s="393"/>
      <c r="R113" s="393"/>
    </row>
    <row r="114" spans="1:18">
      <c r="A114" s="536"/>
      <c r="B114" s="383">
        <v>0</v>
      </c>
      <c r="C114" s="413"/>
      <c r="D114" s="437"/>
      <c r="E114" s="414"/>
      <c r="F114" s="385" t="s">
        <v>391</v>
      </c>
      <c r="G114" s="379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5"/>
        <v>0</v>
      </c>
      <c r="Q114" s="393"/>
      <c r="R114" s="393"/>
    </row>
    <row r="115" spans="1:18">
      <c r="A115" s="536"/>
      <c r="B115" s="383">
        <v>0</v>
      </c>
      <c r="C115" s="413"/>
      <c r="D115" s="414"/>
      <c r="E115" s="437"/>
      <c r="F115" s="385" t="s">
        <v>391</v>
      </c>
      <c r="G115" s="379"/>
      <c r="H115" s="444">
        <f t="shared" ref="H115:H123" si="36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5"/>
        <v>0</v>
      </c>
      <c r="Q115" s="393"/>
      <c r="R115" s="393"/>
    </row>
    <row r="116" spans="1:18">
      <c r="A116" s="536"/>
      <c r="B116" s="383">
        <v>0</v>
      </c>
      <c r="C116" s="413"/>
      <c r="D116" s="414"/>
      <c r="E116" s="433"/>
      <c r="F116" s="385" t="s">
        <v>391</v>
      </c>
      <c r="G116" s="379"/>
      <c r="H116" s="444">
        <f t="shared" si="36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5"/>
        <v>0</v>
      </c>
      <c r="Q116" s="393"/>
      <c r="R116" s="393"/>
    </row>
    <row r="117" spans="1:18">
      <c r="A117" s="536"/>
      <c r="B117" s="383">
        <v>0</v>
      </c>
      <c r="C117" s="413"/>
      <c r="D117" s="433"/>
      <c r="E117" s="432"/>
      <c r="F117" s="385" t="s">
        <v>391</v>
      </c>
      <c r="G117" s="379"/>
      <c r="H117" s="444">
        <f t="shared" si="36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5"/>
        <v>0</v>
      </c>
      <c r="Q117" s="393"/>
      <c r="R117" s="393"/>
    </row>
    <row r="118" spans="1:18">
      <c r="A118" s="536"/>
      <c r="B118" s="383">
        <v>0</v>
      </c>
      <c r="C118" s="413"/>
      <c r="D118" s="433"/>
      <c r="E118" s="432"/>
      <c r="F118" s="385" t="s">
        <v>391</v>
      </c>
      <c r="G118" s="379"/>
      <c r="H118" s="444">
        <f t="shared" si="36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5"/>
        <v>0</v>
      </c>
      <c r="Q118" s="393"/>
      <c r="R118" s="393"/>
    </row>
    <row r="119" spans="1:18">
      <c r="A119" s="536"/>
      <c r="B119" s="383">
        <v>0</v>
      </c>
      <c r="C119" s="413"/>
      <c r="D119" s="433"/>
      <c r="E119" s="432"/>
      <c r="F119" s="385" t="s">
        <v>391</v>
      </c>
      <c r="G119" s="379"/>
      <c r="H119" s="444">
        <f t="shared" si="36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5"/>
        <v>0</v>
      </c>
      <c r="Q119" s="393"/>
      <c r="R119" s="393"/>
    </row>
    <row r="120" spans="1:18">
      <c r="A120" s="536"/>
      <c r="B120" s="383">
        <v>0</v>
      </c>
      <c r="C120" s="413"/>
      <c r="D120" s="433"/>
      <c r="E120" s="432"/>
      <c r="F120" s="385" t="s">
        <v>391</v>
      </c>
      <c r="G120" s="379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36"/>
      <c r="B121" s="383">
        <v>0</v>
      </c>
      <c r="C121" s="413"/>
      <c r="D121" s="433"/>
      <c r="E121" s="432"/>
      <c r="F121" s="385" t="s">
        <v>391</v>
      </c>
      <c r="G121" s="379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36"/>
      <c r="B122" s="383">
        <v>0</v>
      </c>
      <c r="C122" s="413"/>
      <c r="D122" s="433"/>
      <c r="E122" s="432"/>
      <c r="F122" s="385" t="s">
        <v>391</v>
      </c>
      <c r="G122" s="379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5"/>
        <v>0</v>
      </c>
      <c r="Q122" s="393"/>
      <c r="R122" s="393"/>
    </row>
    <row r="123" spans="1:18">
      <c r="A123" s="536"/>
      <c r="B123" s="383">
        <v>0</v>
      </c>
      <c r="C123" s="413"/>
      <c r="D123" s="433"/>
      <c r="E123" s="432"/>
      <c r="F123" s="385" t="s">
        <v>391</v>
      </c>
      <c r="G123" s="379"/>
      <c r="H123" s="444">
        <f t="shared" si="36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5"/>
        <v>0</v>
      </c>
      <c r="Q123" s="393"/>
      <c r="R123" s="393"/>
    </row>
    <row r="124" spans="1:18" ht="17.45" customHeight="1">
      <c r="A124" s="536"/>
      <c r="B124" s="400">
        <v>0</v>
      </c>
      <c r="C124" s="12" t="s">
        <v>339</v>
      </c>
      <c r="D124" s="537" t="s">
        <v>75</v>
      </c>
      <c r="E124" s="537"/>
      <c r="F124" s="401"/>
      <c r="G124" s="447"/>
      <c r="H124" s="448"/>
      <c r="I124" s="404"/>
      <c r="J124" s="405">
        <f>AVERAGE(J112:J123)</f>
        <v>3.5</v>
      </c>
      <c r="K124" s="405">
        <f>AVERAGE(K112:K123)</f>
        <v>2969.9999999999991</v>
      </c>
      <c r="L124" s="406">
        <f>AVERAGE(L112:L123)</f>
        <v>873.62500000000034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4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L8" sqref="L8"/>
      <selection pane="bottomLeft" activeCell="F9" sqref="F9"/>
    </sheetView>
  </sheetViews>
  <sheetFormatPr defaultColWidth="7.875" defaultRowHeight="15.75"/>
  <cols>
    <col min="1" max="1" width="14.25" style="71" customWidth="1"/>
    <col min="2" max="2" width="12.75" style="71" customWidth="1"/>
    <col min="3" max="3" width="12.75" style="71" hidden="1" customWidth="1"/>
    <col min="4" max="4" width="14.25" style="71" customWidth="1"/>
    <col min="5" max="5" width="16.5" style="71" customWidth="1"/>
    <col min="6" max="6" width="8.875" style="71" customWidth="1"/>
    <col min="7" max="7" width="20.25" style="71" bestFit="1" customWidth="1"/>
    <col min="8" max="8" width="16.375" style="71" customWidth="1"/>
    <col min="9" max="9" width="6.375" style="71" customWidth="1"/>
    <col min="10" max="10" width="10.125" style="71" customWidth="1"/>
    <col min="11" max="11" width="10.625" style="71" customWidth="1"/>
    <col min="12" max="12" width="14.5" style="71" customWidth="1"/>
    <col min="13" max="13" width="10.125" style="71" customWidth="1"/>
    <col min="14" max="14" width="9.25" style="71" customWidth="1"/>
    <col min="15" max="15" width="11.875" style="71" customWidth="1"/>
    <col min="16" max="16" width="6" style="71" customWidth="1"/>
    <col min="17" max="18" width="9.25" style="71" customWidth="1"/>
    <col min="19" max="19" width="8.625" style="71" customWidth="1"/>
    <col min="20" max="21" width="7.625" style="71" bestFit="1" customWidth="1"/>
    <col min="22" max="22" width="10.625" style="71" customWidth="1"/>
    <col min="23" max="23" width="8.625" style="360" customWidth="1"/>
    <col min="24" max="25" width="7.125" style="71" customWidth="1"/>
    <col min="26" max="27" width="9.5" style="71" customWidth="1"/>
    <col min="28" max="28" width="12.625" style="71" customWidth="1"/>
    <col min="29" max="29" width="12.5" style="71" customWidth="1"/>
    <col min="30" max="31" width="9.5" style="71" customWidth="1"/>
    <col min="32" max="32" width="13.125" style="71" customWidth="1"/>
    <col min="33" max="33" width="10.375" style="71" customWidth="1"/>
    <col min="34" max="34" width="9.25" style="71" customWidth="1"/>
    <col min="35" max="35" width="7.875" style="71" customWidth="1"/>
    <col min="36" max="36" width="24.5" style="71" bestFit="1" customWidth="1"/>
    <col min="37" max="16384" width="7.875" style="71"/>
  </cols>
  <sheetData>
    <row r="1" spans="1:34" ht="26.25" customHeight="1">
      <c r="A1" s="62" t="s">
        <v>226</v>
      </c>
      <c r="B1" s="62"/>
      <c r="C1" s="62"/>
      <c r="D1" s="63" t="s">
        <v>227</v>
      </c>
      <c r="E1" s="64">
        <f>SUM(G5:G173)</f>
        <v>129111.99999999999</v>
      </c>
      <c r="F1" s="65" t="s">
        <v>3</v>
      </c>
      <c r="G1" s="66">
        <f>SUM(H5:H173)</f>
        <v>5097346.1115708081</v>
      </c>
      <c r="H1" s="67" t="s">
        <v>83</v>
      </c>
      <c r="I1" s="68">
        <f>M17+M30+M43+M56+M69+M82+M95+M108+M121+M134+M147+M160+M173</f>
        <v>186.43452380952382</v>
      </c>
      <c r="J1" s="668" t="s">
        <v>84</v>
      </c>
      <c r="K1" s="668"/>
      <c r="L1" s="668"/>
      <c r="M1" s="668" t="s">
        <v>85</v>
      </c>
      <c r="N1" s="668"/>
      <c r="O1" s="668"/>
      <c r="P1" s="668" t="s">
        <v>228</v>
      </c>
      <c r="Q1" s="668"/>
      <c r="R1" s="668"/>
      <c r="S1" s="668"/>
      <c r="T1" s="668" t="s">
        <v>229</v>
      </c>
      <c r="U1" s="668"/>
      <c r="V1" s="668"/>
      <c r="W1" s="668"/>
      <c r="X1" s="668"/>
      <c r="Y1" s="668"/>
      <c r="Z1" s="69" t="s">
        <v>230</v>
      </c>
      <c r="AA1" s="69" t="s">
        <v>231</v>
      </c>
      <c r="AB1" s="669" t="s">
        <v>232</v>
      </c>
      <c r="AC1" s="670"/>
      <c r="AD1" s="69" t="s">
        <v>230</v>
      </c>
      <c r="AE1" s="69" t="s">
        <v>233</v>
      </c>
      <c r="AF1" s="668" t="s">
        <v>234</v>
      </c>
      <c r="AG1" s="673"/>
      <c r="AH1" s="673"/>
    </row>
    <row r="2" spans="1:34" ht="26.25" customHeight="1">
      <c r="A2" s="667" t="s">
        <v>286</v>
      </c>
      <c r="B2" s="667"/>
      <c r="C2" s="63"/>
      <c r="D2" s="63" t="s">
        <v>236</v>
      </c>
      <c r="E2" s="73">
        <f>AVERAGE(O17,O30,O43,O56,O69,O82,O95,O108,O121,O134,O147,O160,O173)</f>
        <v>127.36424882888748</v>
      </c>
      <c r="F2" s="74" t="s">
        <v>94</v>
      </c>
      <c r="G2" s="75">
        <f>G1/E1</f>
        <v>39.480033703844789</v>
      </c>
      <c r="H2" s="67" t="s">
        <v>95</v>
      </c>
      <c r="I2" s="67">
        <f>COUNT(I5:I173)</f>
        <v>5</v>
      </c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8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71"/>
      <c r="AC2" s="672"/>
      <c r="AD2" s="77">
        <f>AD17+AD30+AD43+AD56+AD69+AD82+AD95+AD108+AD121+AD134+AD147+AD160+AD173</f>
        <v>4</v>
      </c>
      <c r="AE2" s="77">
        <f>AE17+AE30+AE43+AE56+AE69+AE82+AE95+AE108+AE121+AE134+AE147+AE160+AE173</f>
        <v>2</v>
      </c>
      <c r="AF2" s="673"/>
      <c r="AG2" s="673"/>
      <c r="AH2" s="673"/>
    </row>
    <row r="3" spans="1:34" ht="30.6" customHeight="1">
      <c r="A3" s="601" t="s">
        <v>237</v>
      </c>
      <c r="B3" s="601" t="s">
        <v>97</v>
      </c>
      <c r="C3" s="665"/>
      <c r="D3" s="601" t="s">
        <v>238</v>
      </c>
      <c r="E3" s="601"/>
      <c r="F3" s="665" t="s">
        <v>99</v>
      </c>
      <c r="G3" s="659" t="s">
        <v>100</v>
      </c>
      <c r="H3" s="665" t="s">
        <v>101</v>
      </c>
      <c r="I3" s="661" t="s">
        <v>239</v>
      </c>
      <c r="J3" s="664" t="s">
        <v>103</v>
      </c>
      <c r="K3" s="654" t="s">
        <v>104</v>
      </c>
      <c r="L3" s="635" t="s">
        <v>76</v>
      </c>
      <c r="M3" s="659" t="s">
        <v>103</v>
      </c>
      <c r="N3" s="654" t="s">
        <v>240</v>
      </c>
      <c r="O3" s="635" t="s">
        <v>236</v>
      </c>
      <c r="P3" s="664" t="s">
        <v>241</v>
      </c>
      <c r="Q3" s="635" t="s">
        <v>236</v>
      </c>
      <c r="R3" s="655" t="s">
        <v>242</v>
      </c>
      <c r="S3" s="632" t="s">
        <v>243</v>
      </c>
      <c r="T3" s="659" t="s">
        <v>109</v>
      </c>
      <c r="U3" s="659"/>
      <c r="V3" s="660" t="s">
        <v>110</v>
      </c>
      <c r="W3" s="661" t="s">
        <v>244</v>
      </c>
      <c r="X3" s="659" t="s">
        <v>245</v>
      </c>
      <c r="Y3" s="659"/>
      <c r="Z3" s="662" t="s">
        <v>246</v>
      </c>
      <c r="AA3" s="663"/>
      <c r="AB3" s="650" t="s">
        <v>247</v>
      </c>
      <c r="AC3" s="651"/>
      <c r="AD3" s="652" t="s">
        <v>248</v>
      </c>
      <c r="AE3" s="653"/>
      <c r="AF3" s="654" t="s">
        <v>240</v>
      </c>
      <c r="AG3" s="655" t="s">
        <v>242</v>
      </c>
      <c r="AH3" s="632" t="s">
        <v>243</v>
      </c>
    </row>
    <row r="4" spans="1:34" ht="30.6" customHeight="1">
      <c r="A4" s="665"/>
      <c r="B4" s="601"/>
      <c r="C4" s="666"/>
      <c r="D4" s="601"/>
      <c r="E4" s="601"/>
      <c r="F4" s="666"/>
      <c r="G4" s="659"/>
      <c r="H4" s="666"/>
      <c r="I4" s="661"/>
      <c r="J4" s="664"/>
      <c r="K4" s="654"/>
      <c r="L4" s="635"/>
      <c r="M4" s="659"/>
      <c r="N4" s="654"/>
      <c r="O4" s="635"/>
      <c r="P4" s="664"/>
      <c r="Q4" s="635"/>
      <c r="R4" s="655"/>
      <c r="S4" s="632"/>
      <c r="T4" s="79" t="s">
        <v>116</v>
      </c>
      <c r="U4" s="79" t="s">
        <v>117</v>
      </c>
      <c r="V4" s="659"/>
      <c r="W4" s="661"/>
      <c r="X4" s="65" t="s">
        <v>249</v>
      </c>
      <c r="Y4" s="65" t="s">
        <v>78</v>
      </c>
      <c r="Z4" s="79" t="s">
        <v>250</v>
      </c>
      <c r="AA4" s="79" t="s">
        <v>251</v>
      </c>
      <c r="AB4" s="651"/>
      <c r="AC4" s="651"/>
      <c r="AD4" s="79" t="s">
        <v>252</v>
      </c>
      <c r="AE4" s="80" t="s">
        <v>253</v>
      </c>
      <c r="AF4" s="654"/>
      <c r="AG4" s="655"/>
      <c r="AH4" s="632"/>
    </row>
    <row r="5" spans="1:34" ht="19.5" customHeight="1">
      <c r="A5" s="656" t="s">
        <v>254</v>
      </c>
      <c r="B5" s="81" t="s">
        <v>385</v>
      </c>
      <c r="C5" s="82"/>
      <c r="D5" s="83" t="s">
        <v>124</v>
      </c>
      <c r="E5" s="84"/>
      <c r="F5" s="85">
        <v>37.94</v>
      </c>
      <c r="G5" s="86">
        <v>2814</v>
      </c>
      <c r="H5" s="87">
        <f t="shared" ref="H5:H16" si="0">F5*G5</f>
        <v>106763.15999999999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2" si="1">G5/W5*60</f>
        <v>2084.4444444444434</v>
      </c>
      <c r="O5" s="90">
        <f t="shared" ref="O5:O12" si="2">N5/M5</f>
        <v>104.22222222222217</v>
      </c>
      <c r="P5" s="92">
        <f t="shared" ref="P5:P12" si="3">M5-J5</f>
        <v>0</v>
      </c>
      <c r="Q5" s="93">
        <f t="shared" ref="Q5:Q12" si="4">O5-L5</f>
        <v>-5.7777777777778283</v>
      </c>
      <c r="R5" s="94">
        <f t="shared" ref="R5:R12" si="5">O5/L5</f>
        <v>0.94747474747474703</v>
      </c>
      <c r="S5" s="620">
        <f>R17</f>
        <v>0.89825509550527183</v>
      </c>
      <c r="T5" s="96">
        <v>0.29166666666666669</v>
      </c>
      <c r="U5" s="96">
        <v>0.34791666666666671</v>
      </c>
      <c r="V5" s="65">
        <v>5</v>
      </c>
      <c r="W5" s="88">
        <f>(U5-T5)*24*60</f>
        <v>81.000000000000028</v>
      </c>
      <c r="X5" s="65"/>
      <c r="Y5" s="65"/>
      <c r="Z5" s="97"/>
      <c r="AA5" s="97"/>
      <c r="AB5" s="601"/>
      <c r="AC5" s="601"/>
      <c r="AD5" s="98"/>
      <c r="AE5" s="98"/>
      <c r="AF5" s="92">
        <f t="shared" ref="AF5:AF70" si="6">N5-K5</f>
        <v>-115.55555555555657</v>
      </c>
      <c r="AG5" s="94">
        <f t="shared" ref="AG5:AG70" si="7">N5/K5</f>
        <v>0.94747474747474703</v>
      </c>
      <c r="AH5" s="620">
        <f>AG17</f>
        <v>0.89043133600529756</v>
      </c>
    </row>
    <row r="6" spans="1:34" ht="19.149999999999999" customHeight="1">
      <c r="A6" s="657"/>
      <c r="B6" s="81" t="s">
        <v>385</v>
      </c>
      <c r="C6" s="82"/>
      <c r="D6" s="83" t="s">
        <v>125</v>
      </c>
      <c r="E6" s="84"/>
      <c r="F6" s="85">
        <v>31.266131815044861</v>
      </c>
      <c r="G6" s="86">
        <v>1505</v>
      </c>
      <c r="H6" s="87">
        <f t="shared" si="0"/>
        <v>47055.528381642514</v>
      </c>
      <c r="I6" s="88"/>
      <c r="J6" s="89">
        <v>18</v>
      </c>
      <c r="K6" s="86">
        <v>2700</v>
      </c>
      <c r="L6" s="90">
        <v>150</v>
      </c>
      <c r="M6" s="91">
        <v>18</v>
      </c>
      <c r="N6" s="86">
        <f t="shared" si="1"/>
        <v>2508.3333333333312</v>
      </c>
      <c r="O6" s="90">
        <f t="shared" si="2"/>
        <v>139.35185185185173</v>
      </c>
      <c r="P6" s="92">
        <f t="shared" si="3"/>
        <v>0</v>
      </c>
      <c r="Q6" s="93">
        <f t="shared" si="4"/>
        <v>-10.648148148148266</v>
      </c>
      <c r="R6" s="94">
        <f t="shared" si="5"/>
        <v>0.92901234567901159</v>
      </c>
      <c r="S6" s="620"/>
      <c r="T6" s="96">
        <v>0.3527777777777778</v>
      </c>
      <c r="U6" s="96">
        <v>0.37777777777777782</v>
      </c>
      <c r="V6" s="65">
        <v>7</v>
      </c>
      <c r="W6" s="88">
        <f t="shared" ref="W6:W17" si="8">(U6-T6)*24*60</f>
        <v>36.000000000000028</v>
      </c>
      <c r="X6" s="99"/>
      <c r="Y6" s="99"/>
      <c r="Z6" s="100"/>
      <c r="AA6" s="100"/>
      <c r="AB6" s="601"/>
      <c r="AC6" s="601"/>
      <c r="AD6" s="101"/>
      <c r="AE6" s="101"/>
      <c r="AF6" s="92">
        <f t="shared" si="6"/>
        <v>-191.66666666666879</v>
      </c>
      <c r="AG6" s="94">
        <f t="shared" si="7"/>
        <v>0.92901234567901159</v>
      </c>
      <c r="AH6" s="620"/>
    </row>
    <row r="7" spans="1:34" ht="19.149999999999999" customHeight="1">
      <c r="A7" s="657"/>
      <c r="B7" s="81" t="s">
        <v>385</v>
      </c>
      <c r="C7" s="82"/>
      <c r="D7" s="83" t="s">
        <v>126</v>
      </c>
      <c r="E7" s="84"/>
      <c r="F7" s="85">
        <v>38.630952380952372</v>
      </c>
      <c r="G7" s="86">
        <v>2382</v>
      </c>
      <c r="H7" s="87">
        <f t="shared" si="0"/>
        <v>92018.928571428551</v>
      </c>
      <c r="I7" s="88"/>
      <c r="J7" s="89">
        <v>18</v>
      </c>
      <c r="K7" s="86">
        <v>2800</v>
      </c>
      <c r="L7" s="90">
        <v>155.55555555555554</v>
      </c>
      <c r="M7" s="91">
        <v>18</v>
      </c>
      <c r="N7" s="86">
        <f t="shared" si="1"/>
        <v>2464.137931034481</v>
      </c>
      <c r="O7" s="90">
        <f t="shared" si="2"/>
        <v>136.89655172413782</v>
      </c>
      <c r="P7" s="92">
        <f t="shared" si="3"/>
        <v>0</v>
      </c>
      <c r="Q7" s="93">
        <f t="shared" si="4"/>
        <v>-18.659003831417721</v>
      </c>
      <c r="R7" s="94">
        <f t="shared" si="5"/>
        <v>0.88004926108374326</v>
      </c>
      <c r="S7" s="620"/>
      <c r="T7" s="96">
        <v>0.3930555555555556</v>
      </c>
      <c r="U7" s="96">
        <v>0.4333333333333334</v>
      </c>
      <c r="V7" s="65">
        <v>22</v>
      </c>
      <c r="W7" s="88">
        <f t="shared" si="8"/>
        <v>58.000000000000036</v>
      </c>
      <c r="X7" s="99">
        <v>0.38125000000000003</v>
      </c>
      <c r="Y7" s="99">
        <v>0.39027777777777778</v>
      </c>
      <c r="Z7" s="100"/>
      <c r="AA7" s="100"/>
      <c r="AB7" s="601"/>
      <c r="AC7" s="601"/>
      <c r="AD7" s="101"/>
      <c r="AE7" s="101"/>
      <c r="AF7" s="92">
        <f t="shared" si="6"/>
        <v>-335.86206896551903</v>
      </c>
      <c r="AG7" s="94">
        <f t="shared" si="7"/>
        <v>0.88004926108374315</v>
      </c>
      <c r="AH7" s="620"/>
    </row>
    <row r="8" spans="1:34" ht="19.149999999999999" customHeight="1">
      <c r="A8" s="657"/>
      <c r="B8" s="81" t="s">
        <v>385</v>
      </c>
      <c r="C8" s="82"/>
      <c r="D8" s="83" t="s">
        <v>127</v>
      </c>
      <c r="E8" s="84"/>
      <c r="F8" s="85">
        <v>38</v>
      </c>
      <c r="G8" s="86">
        <v>3773</v>
      </c>
      <c r="H8" s="87">
        <f t="shared" si="0"/>
        <v>143374</v>
      </c>
      <c r="I8" s="88"/>
      <c r="J8" s="89">
        <v>19</v>
      </c>
      <c r="K8" s="86">
        <v>2800</v>
      </c>
      <c r="L8" s="90">
        <v>147.36842105263159</v>
      </c>
      <c r="M8" s="91">
        <v>18</v>
      </c>
      <c r="N8" s="86">
        <f t="shared" si="1"/>
        <v>2460.6521739130458</v>
      </c>
      <c r="O8" s="90">
        <f t="shared" si="2"/>
        <v>136.70289855072477</v>
      </c>
      <c r="P8" s="92">
        <f t="shared" si="3"/>
        <v>-1</v>
      </c>
      <c r="Q8" s="93">
        <f t="shared" si="4"/>
        <v>-10.665522501906821</v>
      </c>
      <c r="R8" s="94">
        <f t="shared" si="5"/>
        <v>0.92762681159420368</v>
      </c>
      <c r="S8" s="620"/>
      <c r="T8" s="96">
        <v>0.43750000000000006</v>
      </c>
      <c r="U8" s="96">
        <v>0.50138888888888888</v>
      </c>
      <c r="V8" s="65">
        <v>6</v>
      </c>
      <c r="W8" s="88">
        <f t="shared" si="8"/>
        <v>91.999999999999915</v>
      </c>
      <c r="X8" s="99"/>
      <c r="Y8" s="99"/>
      <c r="Z8" s="100"/>
      <c r="AA8" s="100"/>
      <c r="AB8" s="601"/>
      <c r="AC8" s="601"/>
      <c r="AD8" s="101"/>
      <c r="AE8" s="101"/>
      <c r="AF8" s="92">
        <f t="shared" si="6"/>
        <v>-339.34782608695423</v>
      </c>
      <c r="AG8" s="94">
        <f t="shared" si="7"/>
        <v>0.87880434782608774</v>
      </c>
      <c r="AH8" s="620"/>
    </row>
    <row r="9" spans="1:34" ht="19.149999999999999" customHeight="1">
      <c r="A9" s="657"/>
      <c r="B9" s="81" t="s">
        <v>386</v>
      </c>
      <c r="C9" s="102"/>
      <c r="D9" s="83" t="s">
        <v>128</v>
      </c>
      <c r="E9" s="103"/>
      <c r="F9" s="85">
        <v>59.34</v>
      </c>
      <c r="G9" s="104">
        <v>561</v>
      </c>
      <c r="H9" s="87">
        <f t="shared" si="0"/>
        <v>33289.740000000005</v>
      </c>
      <c r="I9" s="101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1202.1428571428546</v>
      </c>
      <c r="O9" s="90">
        <f t="shared" si="2"/>
        <v>63.270676691729193</v>
      </c>
      <c r="P9" s="92">
        <f t="shared" si="3"/>
        <v>0</v>
      </c>
      <c r="Q9" s="93">
        <f t="shared" si="4"/>
        <v>-12.518796992481327</v>
      </c>
      <c r="R9" s="94">
        <f t="shared" si="5"/>
        <v>0.83482142857142694</v>
      </c>
      <c r="S9" s="620"/>
      <c r="T9" s="96">
        <v>0.54305555555555551</v>
      </c>
      <c r="U9" s="96">
        <v>0.5625</v>
      </c>
      <c r="V9" s="65">
        <v>7</v>
      </c>
      <c r="W9" s="88">
        <f t="shared" si="8"/>
        <v>28.00000000000006</v>
      </c>
      <c r="X9" s="99"/>
      <c r="Y9" s="99"/>
      <c r="Z9" s="100"/>
      <c r="AA9" s="100"/>
      <c r="AB9" s="601"/>
      <c r="AC9" s="601"/>
      <c r="AD9" s="101">
        <v>1</v>
      </c>
      <c r="AE9" s="101"/>
      <c r="AF9" s="92">
        <f t="shared" si="6"/>
        <v>-237.85714285714539</v>
      </c>
      <c r="AG9" s="94">
        <f t="shared" si="7"/>
        <v>0.83482142857142683</v>
      </c>
      <c r="AH9" s="620"/>
    </row>
    <row r="10" spans="1:34" ht="19.149999999999999" customHeight="1">
      <c r="A10" s="658"/>
      <c r="B10" s="81" t="s">
        <v>386</v>
      </c>
      <c r="C10" s="82"/>
      <c r="D10" s="83" t="s">
        <v>129</v>
      </c>
      <c r="E10" s="84"/>
      <c r="F10" s="85">
        <v>71.55</v>
      </c>
      <c r="G10" s="86">
        <v>715</v>
      </c>
      <c r="H10" s="87">
        <f t="shared" si="0"/>
        <v>51158.25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1225.7142857142846</v>
      </c>
      <c r="O10" s="90">
        <f t="shared" si="2"/>
        <v>68.095238095238031</v>
      </c>
      <c r="P10" s="92">
        <f t="shared" si="3"/>
        <v>0</v>
      </c>
      <c r="Q10" s="93">
        <f t="shared" si="4"/>
        <v>-8.8492063492064119</v>
      </c>
      <c r="R10" s="94">
        <f t="shared" si="5"/>
        <v>0.88499226405363507</v>
      </c>
      <c r="S10" s="623"/>
      <c r="T10" s="96">
        <v>0.56666666666666665</v>
      </c>
      <c r="U10" s="96">
        <v>0.59097222222222223</v>
      </c>
      <c r="V10" s="65">
        <v>6</v>
      </c>
      <c r="W10" s="88">
        <f t="shared" si="8"/>
        <v>35.000000000000036</v>
      </c>
      <c r="X10" s="99"/>
      <c r="Y10" s="99"/>
      <c r="Z10" s="100"/>
      <c r="AA10" s="100"/>
      <c r="AB10" s="601"/>
      <c r="AC10" s="601"/>
      <c r="AD10" s="101"/>
      <c r="AE10" s="101"/>
      <c r="AF10" s="92">
        <f t="shared" si="6"/>
        <v>-159.28571428571536</v>
      </c>
      <c r="AG10" s="94">
        <f t="shared" si="7"/>
        <v>0.88499226405363507</v>
      </c>
      <c r="AH10" s="623"/>
    </row>
    <row r="11" spans="1:34" ht="19.149999999999999" customHeight="1">
      <c r="A11" s="658"/>
      <c r="B11" s="81" t="s">
        <v>386</v>
      </c>
      <c r="C11" s="82"/>
      <c r="D11" s="83" t="s">
        <v>130</v>
      </c>
      <c r="E11" s="84"/>
      <c r="F11" s="85">
        <v>77.34</v>
      </c>
      <c r="G11" s="86">
        <v>602</v>
      </c>
      <c r="H11" s="87">
        <f t="shared" si="0"/>
        <v>46558.68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1245.517241379308</v>
      </c>
      <c r="O11" s="90">
        <f t="shared" si="2"/>
        <v>69.195402298850439</v>
      </c>
      <c r="P11" s="92">
        <f t="shared" si="3"/>
        <v>0</v>
      </c>
      <c r="Q11" s="93">
        <f t="shared" si="4"/>
        <v>-10.804597701149561</v>
      </c>
      <c r="R11" s="94">
        <f t="shared" si="5"/>
        <v>0.86494252873563049</v>
      </c>
      <c r="S11" s="623"/>
      <c r="T11" s="96">
        <v>0.59652777777777777</v>
      </c>
      <c r="U11" s="96">
        <v>0.6166666666666667</v>
      </c>
      <c r="V11" s="65">
        <v>8</v>
      </c>
      <c r="W11" s="88">
        <f t="shared" si="8"/>
        <v>29.000000000000057</v>
      </c>
      <c r="X11" s="99"/>
      <c r="Y11" s="99"/>
      <c r="Z11" s="100"/>
      <c r="AA11" s="100"/>
      <c r="AB11" s="601"/>
      <c r="AC11" s="601"/>
      <c r="AD11" s="101"/>
      <c r="AE11" s="101"/>
      <c r="AF11" s="92">
        <f t="shared" si="6"/>
        <v>-194.48275862069204</v>
      </c>
      <c r="AG11" s="94">
        <f t="shared" si="7"/>
        <v>0.86494252873563049</v>
      </c>
      <c r="AH11" s="623"/>
    </row>
    <row r="12" spans="1:34" ht="19.149999999999999" customHeight="1">
      <c r="A12" s="658"/>
      <c r="B12" s="81" t="s">
        <v>386</v>
      </c>
      <c r="C12" s="82"/>
      <c r="D12" s="83" t="s">
        <v>131</v>
      </c>
      <c r="E12" s="84"/>
      <c r="F12" s="85">
        <v>59.54</v>
      </c>
      <c r="G12" s="86">
        <v>1249</v>
      </c>
      <c r="H12" s="87">
        <f t="shared" si="0"/>
        <v>74365.459999999992</v>
      </c>
      <c r="I12" s="88"/>
      <c r="J12" s="89">
        <v>18</v>
      </c>
      <c r="K12" s="86">
        <v>1385</v>
      </c>
      <c r="L12" s="90">
        <v>76.944444444444443</v>
      </c>
      <c r="M12" s="91">
        <v>18</v>
      </c>
      <c r="N12" s="86">
        <f t="shared" si="1"/>
        <v>1189.5238095238076</v>
      </c>
      <c r="O12" s="90">
        <f t="shared" si="2"/>
        <v>66.084656084655975</v>
      </c>
      <c r="P12" s="92">
        <f t="shared" si="3"/>
        <v>0</v>
      </c>
      <c r="Q12" s="93">
        <f t="shared" si="4"/>
        <v>-10.859788359788467</v>
      </c>
      <c r="R12" s="94">
        <f t="shared" si="5"/>
        <v>0.85886195633487916</v>
      </c>
      <c r="S12" s="623"/>
      <c r="T12" s="96">
        <v>0.63263888888888886</v>
      </c>
      <c r="U12" s="96">
        <v>0.67638888888888893</v>
      </c>
      <c r="V12" s="65">
        <v>23</v>
      </c>
      <c r="W12" s="88">
        <f t="shared" si="8"/>
        <v>63.000000000000099</v>
      </c>
      <c r="X12" s="99">
        <v>0.62013888888888891</v>
      </c>
      <c r="Y12" s="99">
        <v>0.62986111111111109</v>
      </c>
      <c r="Z12" s="100"/>
      <c r="AA12" s="100"/>
      <c r="AB12" s="601"/>
      <c r="AC12" s="601"/>
      <c r="AD12" s="101"/>
      <c r="AE12" s="101"/>
      <c r="AF12" s="92"/>
      <c r="AG12" s="94"/>
      <c r="AH12" s="623"/>
    </row>
    <row r="13" spans="1:34" ht="19.149999999999999" customHeight="1">
      <c r="A13" s="658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4"/>
      <c r="S13" s="623"/>
      <c r="T13" s="111"/>
      <c r="U13" s="111"/>
      <c r="V13" s="109"/>
      <c r="W13" s="88"/>
      <c r="X13" s="112"/>
      <c r="Y13" s="112"/>
      <c r="Z13" s="100"/>
      <c r="AA13" s="100"/>
      <c r="AB13" s="601"/>
      <c r="AC13" s="601"/>
      <c r="AD13" s="101"/>
      <c r="AE13" s="101"/>
      <c r="AF13" s="113"/>
      <c r="AG13" s="114"/>
      <c r="AH13" s="623"/>
    </row>
    <row r="14" spans="1:34" ht="19.149999999999999" customHeight="1">
      <c r="A14" s="658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4"/>
      <c r="S14" s="623"/>
      <c r="T14" s="111"/>
      <c r="U14" s="111"/>
      <c r="V14" s="109"/>
      <c r="W14" s="88"/>
      <c r="X14" s="112"/>
      <c r="Y14" s="112"/>
      <c r="Z14" s="100"/>
      <c r="AA14" s="100"/>
      <c r="AB14" s="601"/>
      <c r="AC14" s="601"/>
      <c r="AD14" s="101"/>
      <c r="AE14" s="101"/>
      <c r="AF14" s="113"/>
      <c r="AG14" s="114"/>
      <c r="AH14" s="623"/>
    </row>
    <row r="15" spans="1:34" ht="19.149999999999999" customHeight="1">
      <c r="A15" s="658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4"/>
      <c r="S15" s="623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01"/>
      <c r="AC15" s="601"/>
      <c r="AD15" s="101"/>
      <c r="AE15" s="101"/>
      <c r="AF15" s="113"/>
      <c r="AG15" s="114"/>
      <c r="AH15" s="623"/>
    </row>
    <row r="16" spans="1:34" ht="19.149999999999999" customHeight="1">
      <c r="A16" s="658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4"/>
      <c r="S16" s="623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01"/>
      <c r="AC16" s="601"/>
      <c r="AD16" s="101"/>
      <c r="AE16" s="101"/>
      <c r="AF16" s="113"/>
      <c r="AG16" s="114"/>
      <c r="AH16" s="623"/>
    </row>
    <row r="17" spans="1:34" ht="19.149999999999999" customHeight="1">
      <c r="A17" s="658"/>
      <c r="B17" s="118">
        <v>0</v>
      </c>
      <c r="C17" s="118" t="s">
        <v>255</v>
      </c>
      <c r="D17" s="607" t="s">
        <v>256</v>
      </c>
      <c r="E17" s="607"/>
      <c r="F17" s="119"/>
      <c r="G17" s="120"/>
      <c r="H17" s="121"/>
      <c r="I17" s="122"/>
      <c r="J17" s="120">
        <v>18.5</v>
      </c>
      <c r="K17" s="120">
        <v>2018.75</v>
      </c>
      <c r="L17" s="123">
        <v>109.07529239766082</v>
      </c>
      <c r="M17" s="120">
        <f t="shared" ref="M17:O17" si="9">AVERAGE(M5:M16)</f>
        <v>18.375</v>
      </c>
      <c r="N17" s="120">
        <f t="shared" si="9"/>
        <v>1797.5582595606945</v>
      </c>
      <c r="O17" s="123">
        <f t="shared" si="9"/>
        <v>97.977437189926263</v>
      </c>
      <c r="P17" s="113">
        <f t="shared" ref="P17:P24" si="10">M17-J17</f>
        <v>-0.125</v>
      </c>
      <c r="Q17" s="124">
        <f t="shared" ref="Q17:Q24" si="11">O17-L17</f>
        <v>-11.097855207734554</v>
      </c>
      <c r="R17" s="125">
        <f>O17/L17</f>
        <v>0.89825509550527183</v>
      </c>
      <c r="S17" s="623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01"/>
      <c r="AC17" s="601"/>
      <c r="AD17" s="129">
        <f>SUM(AD5:AD16)</f>
        <v>1</v>
      </c>
      <c r="AE17" s="129">
        <f>SUM(AE5:AE16)</f>
        <v>0</v>
      </c>
      <c r="AF17" s="113">
        <f t="shared" si="6"/>
        <v>-221.19174043930548</v>
      </c>
      <c r="AG17" s="114">
        <f t="shared" si="7"/>
        <v>0.89043133600529756</v>
      </c>
      <c r="AH17" s="623"/>
    </row>
    <row r="18" spans="1:34" ht="19.149999999999999" customHeight="1">
      <c r="A18" s="604" t="s">
        <v>257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1467</v>
      </c>
      <c r="H18" s="135">
        <f t="shared" ref="H18:H29" si="12">F18*G18</f>
        <v>54073.62</v>
      </c>
      <c r="I18" s="101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2000.4545454545455</v>
      </c>
      <c r="O18" s="137">
        <f t="shared" ref="O18:O24" si="14">N18/M18</f>
        <v>105.28708133971293</v>
      </c>
      <c r="P18" s="100">
        <f t="shared" si="10"/>
        <v>1</v>
      </c>
      <c r="Q18" s="139">
        <f t="shared" si="11"/>
        <v>-19.712918660287073</v>
      </c>
      <c r="R18" s="140">
        <f t="shared" ref="R18:R24" si="15">O18/L18</f>
        <v>0.84229665071770343</v>
      </c>
      <c r="S18" s="605">
        <f>R30</f>
        <v>0.83068690331542039</v>
      </c>
      <c r="T18" s="142">
        <v>0.16666666666666666</v>
      </c>
      <c r="U18" s="142">
        <v>0.19722222222222222</v>
      </c>
      <c r="V18" s="101">
        <v>5</v>
      </c>
      <c r="W18" s="143">
        <f>(U18-T18)*24*60</f>
        <v>44</v>
      </c>
      <c r="X18" s="137"/>
      <c r="Y18" s="137"/>
      <c r="Z18" s="100"/>
      <c r="AA18" s="100"/>
      <c r="AB18" s="601"/>
      <c r="AC18" s="601"/>
      <c r="AD18" s="101"/>
      <c r="AE18" s="101"/>
      <c r="AF18" s="144">
        <f t="shared" si="6"/>
        <v>-249.5454545454545</v>
      </c>
      <c r="AG18" s="145">
        <f t="shared" si="7"/>
        <v>0.88909090909090915</v>
      </c>
      <c r="AH18" s="646">
        <f>AG30</f>
        <v>0.85224961700499979</v>
      </c>
    </row>
    <row r="19" spans="1:34" ht="19.149999999999999" customHeight="1">
      <c r="A19" s="604"/>
      <c r="B19" s="146" t="s">
        <v>387</v>
      </c>
      <c r="C19" s="147"/>
      <c r="D19" s="132" t="s">
        <v>134</v>
      </c>
      <c r="E19" s="133"/>
      <c r="F19" s="85">
        <v>56.43</v>
      </c>
      <c r="G19" s="104">
        <v>1697</v>
      </c>
      <c r="H19" s="135">
        <f t="shared" si="12"/>
        <v>95761.71</v>
      </c>
      <c r="I19" s="101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1305.3846153846162</v>
      </c>
      <c r="O19" s="150">
        <f t="shared" si="14"/>
        <v>72.521367521367566</v>
      </c>
      <c r="P19" s="100">
        <f t="shared" si="10"/>
        <v>1</v>
      </c>
      <c r="Q19" s="139">
        <f t="shared" si="11"/>
        <v>-15.713926596279492</v>
      </c>
      <c r="R19" s="140">
        <f t="shared" si="15"/>
        <v>0.82190883190883246</v>
      </c>
      <c r="S19" s="605"/>
      <c r="T19" s="142">
        <v>0.20208333333333334</v>
      </c>
      <c r="U19" s="142">
        <v>0.25624999999999998</v>
      </c>
      <c r="V19" s="101">
        <v>7</v>
      </c>
      <c r="W19" s="143">
        <f>(U19-T19)*24*60</f>
        <v>77.999999999999957</v>
      </c>
      <c r="X19" s="151"/>
      <c r="Y19" s="151"/>
      <c r="Z19" s="100"/>
      <c r="AA19" s="100"/>
      <c r="AB19" s="601"/>
      <c r="AC19" s="601"/>
      <c r="AD19" s="101"/>
      <c r="AE19" s="101">
        <v>1</v>
      </c>
      <c r="AF19" s="92">
        <f t="shared" si="6"/>
        <v>-194.61538461538385</v>
      </c>
      <c r="AG19" s="94">
        <f t="shared" si="7"/>
        <v>0.87025641025641076</v>
      </c>
      <c r="AH19" s="647"/>
    </row>
    <row r="20" spans="1:34" ht="19.149999999999999" customHeight="1">
      <c r="A20" s="604"/>
      <c r="B20" s="146" t="s">
        <v>387</v>
      </c>
      <c r="C20" s="102"/>
      <c r="D20" s="83" t="s">
        <v>135</v>
      </c>
      <c r="E20" s="133"/>
      <c r="F20" s="85">
        <v>49.9</v>
      </c>
      <c r="G20" s="104">
        <v>1106</v>
      </c>
      <c r="H20" s="135">
        <f t="shared" si="12"/>
        <v>55189.4</v>
      </c>
      <c r="I20" s="101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1327.2000000000003</v>
      </c>
      <c r="O20" s="150">
        <f t="shared" si="14"/>
        <v>78.070588235294139</v>
      </c>
      <c r="P20" s="100">
        <f t="shared" si="10"/>
        <v>0</v>
      </c>
      <c r="Q20" s="139">
        <f t="shared" si="11"/>
        <v>-10.164705882352919</v>
      </c>
      <c r="R20" s="140">
        <f t="shared" si="15"/>
        <v>0.88480000000000025</v>
      </c>
      <c r="S20" s="605"/>
      <c r="T20" s="142">
        <v>0.2722222222222222</v>
      </c>
      <c r="U20" s="142">
        <v>0.30694444444444441</v>
      </c>
      <c r="V20" s="101">
        <v>23</v>
      </c>
      <c r="W20" s="143">
        <f t="shared" ref="W20:W29" si="16">(U20-T20)*24*60</f>
        <v>49.999999999999986</v>
      </c>
      <c r="X20" s="151">
        <v>0.25972222222222224</v>
      </c>
      <c r="Y20" s="151">
        <v>0.26944444444444443</v>
      </c>
      <c r="Z20" s="100"/>
      <c r="AA20" s="100"/>
      <c r="AB20" s="601"/>
      <c r="AC20" s="601"/>
      <c r="AD20" s="101"/>
      <c r="AE20" s="101"/>
      <c r="AF20" s="92">
        <f t="shared" si="6"/>
        <v>-172.79999999999973</v>
      </c>
      <c r="AG20" s="94">
        <f t="shared" si="7"/>
        <v>0.88480000000000014</v>
      </c>
      <c r="AH20" s="647"/>
    </row>
    <row r="21" spans="1:34" ht="19.149999999999999" customHeight="1">
      <c r="A21" s="604"/>
      <c r="B21" s="146" t="s">
        <v>387</v>
      </c>
      <c r="C21" s="152"/>
      <c r="D21" s="153" t="s">
        <v>136</v>
      </c>
      <c r="E21" s="84"/>
      <c r="F21" s="85">
        <v>56.43</v>
      </c>
      <c r="G21" s="86">
        <v>1278</v>
      </c>
      <c r="H21" s="135">
        <f t="shared" si="12"/>
        <v>72117.539999999994</v>
      </c>
      <c r="I21" s="65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1345.263157894736</v>
      </c>
      <c r="O21" s="150">
        <f t="shared" si="14"/>
        <v>74.736842105263108</v>
      </c>
      <c r="P21" s="100">
        <f t="shared" si="10"/>
        <v>0</v>
      </c>
      <c r="Q21" s="139">
        <f t="shared" si="11"/>
        <v>-16.152046783625778</v>
      </c>
      <c r="R21" s="140">
        <f t="shared" si="15"/>
        <v>0.82228799382318829</v>
      </c>
      <c r="S21" s="605"/>
      <c r="T21" s="142">
        <v>0.3118055555555555</v>
      </c>
      <c r="U21" s="142">
        <v>0.35138888888888886</v>
      </c>
      <c r="V21" s="101">
        <v>7</v>
      </c>
      <c r="W21" s="143">
        <f t="shared" si="16"/>
        <v>57.000000000000036</v>
      </c>
      <c r="X21" s="151"/>
      <c r="Y21" s="151"/>
      <c r="Z21" s="100"/>
      <c r="AA21" s="100"/>
      <c r="AB21" s="601"/>
      <c r="AC21" s="601"/>
      <c r="AD21" s="101"/>
      <c r="AE21" s="101"/>
      <c r="AF21" s="92">
        <f t="shared" si="6"/>
        <v>-290.73684210526403</v>
      </c>
      <c r="AG21" s="94">
        <f t="shared" si="7"/>
        <v>0.82228799382318829</v>
      </c>
      <c r="AH21" s="648"/>
    </row>
    <row r="22" spans="1:34" ht="19.149999999999999" customHeight="1">
      <c r="A22" s="604"/>
      <c r="B22" s="146" t="s">
        <v>388</v>
      </c>
      <c r="C22" s="152"/>
      <c r="D22" s="83" t="s">
        <v>137</v>
      </c>
      <c r="E22" s="84"/>
      <c r="F22" s="85">
        <v>43.14</v>
      </c>
      <c r="G22" s="86">
        <v>1678</v>
      </c>
      <c r="H22" s="135">
        <f t="shared" si="12"/>
        <v>72388.92</v>
      </c>
      <c r="I22" s="65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1258.4999999999995</v>
      </c>
      <c r="O22" s="150">
        <f t="shared" si="14"/>
        <v>74.029411764705856</v>
      </c>
      <c r="P22" s="100">
        <f t="shared" si="10"/>
        <v>0</v>
      </c>
      <c r="Q22" s="139">
        <f t="shared" si="11"/>
        <v>-10.676470588235318</v>
      </c>
      <c r="R22" s="140">
        <f t="shared" si="15"/>
        <v>0.87395833333333306</v>
      </c>
      <c r="S22" s="605"/>
      <c r="T22" s="142">
        <v>0.3569444444444444</v>
      </c>
      <c r="U22" s="142">
        <v>0.41249999999999998</v>
      </c>
      <c r="V22" s="101">
        <v>8</v>
      </c>
      <c r="W22" s="143">
        <f t="shared" si="16"/>
        <v>80.000000000000028</v>
      </c>
      <c r="X22" s="151"/>
      <c r="Y22" s="151"/>
      <c r="Z22" s="100"/>
      <c r="AA22" s="100"/>
      <c r="AB22" s="601"/>
      <c r="AC22" s="601"/>
      <c r="AD22" s="101"/>
      <c r="AE22" s="101"/>
      <c r="AF22" s="92">
        <f t="shared" si="6"/>
        <v>-181.50000000000045</v>
      </c>
      <c r="AG22" s="94">
        <f t="shared" si="7"/>
        <v>0.87395833333333306</v>
      </c>
      <c r="AH22" s="648"/>
    </row>
    <row r="23" spans="1:34" ht="19.149999999999999" customHeight="1">
      <c r="A23" s="604"/>
      <c r="B23" s="146" t="s">
        <v>387</v>
      </c>
      <c r="C23" s="152"/>
      <c r="D23" s="83" t="s">
        <v>138</v>
      </c>
      <c r="E23" s="84"/>
      <c r="F23" s="85">
        <v>38.39</v>
      </c>
      <c r="G23" s="86">
        <v>2800</v>
      </c>
      <c r="H23" s="135">
        <f t="shared" si="12"/>
        <v>107492</v>
      </c>
      <c r="I23" s="65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1302.3255813953494</v>
      </c>
      <c r="O23" s="150">
        <f t="shared" si="14"/>
        <v>72.351421188630525</v>
      </c>
      <c r="P23" s="100">
        <f t="shared" si="10"/>
        <v>1</v>
      </c>
      <c r="Q23" s="139">
        <f t="shared" si="11"/>
        <v>-23.883872929016533</v>
      </c>
      <c r="R23" s="140">
        <f t="shared" si="15"/>
        <v>0.75181794633662524</v>
      </c>
      <c r="S23" s="605"/>
      <c r="T23" s="142">
        <v>0.42777777777777776</v>
      </c>
      <c r="U23" s="142">
        <v>0.51736111111111105</v>
      </c>
      <c r="V23" s="101">
        <v>22</v>
      </c>
      <c r="W23" s="143">
        <f t="shared" si="16"/>
        <v>128.99999999999994</v>
      </c>
      <c r="X23" s="151">
        <v>0.41597222222222219</v>
      </c>
      <c r="Y23" s="151">
        <v>0.42499999999999999</v>
      </c>
      <c r="Z23" s="100"/>
      <c r="AA23" s="100"/>
      <c r="AB23" s="601"/>
      <c r="AC23" s="601"/>
      <c r="AD23" s="101"/>
      <c r="AE23" s="101"/>
      <c r="AF23" s="92"/>
      <c r="AG23" s="94"/>
      <c r="AH23" s="648"/>
    </row>
    <row r="24" spans="1:34" ht="19.149999999999999" customHeight="1">
      <c r="A24" s="604"/>
      <c r="B24" s="146" t="s">
        <v>387</v>
      </c>
      <c r="C24" s="131"/>
      <c r="D24" s="132" t="s">
        <v>136</v>
      </c>
      <c r="E24" s="133"/>
      <c r="F24" s="85">
        <v>56.43</v>
      </c>
      <c r="G24" s="104">
        <v>426</v>
      </c>
      <c r="H24" s="135">
        <f t="shared" si="12"/>
        <v>24039.18</v>
      </c>
      <c r="I24" s="143">
        <v>2</v>
      </c>
      <c r="J24" s="148">
        <v>18</v>
      </c>
      <c r="K24" s="86">
        <v>1636</v>
      </c>
      <c r="L24" s="90">
        <v>90.888888888888886</v>
      </c>
      <c r="M24" s="138">
        <v>18</v>
      </c>
      <c r="N24" s="149">
        <f t="shared" si="13"/>
        <v>1345.2631578947417</v>
      </c>
      <c r="O24" s="150">
        <f t="shared" si="14"/>
        <v>74.73684210526342</v>
      </c>
      <c r="P24" s="100">
        <f t="shared" si="10"/>
        <v>0</v>
      </c>
      <c r="Q24" s="139">
        <f t="shared" si="11"/>
        <v>-16.152046783625465</v>
      </c>
      <c r="R24" s="140">
        <f t="shared" si="15"/>
        <v>0.82228799382319173</v>
      </c>
      <c r="S24" s="605"/>
      <c r="T24" s="142">
        <v>0.5576388888888888</v>
      </c>
      <c r="U24" s="142">
        <v>0.57083333333333319</v>
      </c>
      <c r="V24" s="101">
        <v>5</v>
      </c>
      <c r="W24" s="143">
        <f t="shared" si="16"/>
        <v>18.999999999999932</v>
      </c>
      <c r="X24" s="101"/>
      <c r="Y24" s="101"/>
      <c r="Z24" s="100"/>
      <c r="AA24" s="100"/>
      <c r="AB24" s="601"/>
      <c r="AC24" s="601"/>
      <c r="AD24" s="101"/>
      <c r="AE24" s="101"/>
      <c r="AF24" s="92">
        <f t="shared" si="6"/>
        <v>-290.73684210525835</v>
      </c>
      <c r="AG24" s="94"/>
      <c r="AH24" s="648"/>
    </row>
    <row r="25" spans="1:34" ht="19.149999999999999" customHeight="1">
      <c r="A25" s="604"/>
      <c r="B25" s="146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0"/>
      <c r="S25" s="605"/>
      <c r="T25" s="142"/>
      <c r="U25" s="142"/>
      <c r="V25" s="101"/>
      <c r="W25" s="143">
        <f t="shared" si="16"/>
        <v>0</v>
      </c>
      <c r="X25" s="101"/>
      <c r="Y25" s="101"/>
      <c r="Z25" s="100"/>
      <c r="AA25" s="100"/>
      <c r="AB25" s="601"/>
      <c r="AC25" s="601"/>
      <c r="AD25" s="101"/>
      <c r="AE25" s="101"/>
      <c r="AF25" s="92">
        <f t="shared" si="6"/>
        <v>0</v>
      </c>
      <c r="AG25" s="94"/>
      <c r="AH25" s="648"/>
    </row>
    <row r="26" spans="1:34" ht="19.149999999999999" customHeight="1">
      <c r="A26" s="604"/>
      <c r="B26" s="146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0"/>
      <c r="S26" s="605"/>
      <c r="T26" s="142"/>
      <c r="U26" s="142"/>
      <c r="V26" s="101"/>
      <c r="W26" s="143">
        <f t="shared" si="16"/>
        <v>0</v>
      </c>
      <c r="X26" s="101"/>
      <c r="Y26" s="101"/>
      <c r="Z26" s="100"/>
      <c r="AA26" s="100"/>
      <c r="AB26" s="601"/>
      <c r="AC26" s="601"/>
      <c r="AD26" s="101"/>
      <c r="AE26" s="101"/>
      <c r="AF26" s="92">
        <f t="shared" si="6"/>
        <v>0</v>
      </c>
      <c r="AG26" s="94"/>
      <c r="AH26" s="648"/>
    </row>
    <row r="27" spans="1:34" ht="19.149999999999999" customHeight="1">
      <c r="A27" s="604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0"/>
      <c r="S27" s="605"/>
      <c r="T27" s="142"/>
      <c r="U27" s="142"/>
      <c r="V27" s="101"/>
      <c r="W27" s="143">
        <f t="shared" si="16"/>
        <v>0</v>
      </c>
      <c r="X27" s="101"/>
      <c r="Y27" s="101"/>
      <c r="Z27" s="100"/>
      <c r="AA27" s="100"/>
      <c r="AB27" s="601"/>
      <c r="AC27" s="601"/>
      <c r="AD27" s="101"/>
      <c r="AE27" s="101"/>
      <c r="AF27" s="92">
        <f t="shared" si="6"/>
        <v>0</v>
      </c>
      <c r="AG27" s="94"/>
      <c r="AH27" s="648"/>
    </row>
    <row r="28" spans="1:34" ht="19.149999999999999" customHeight="1">
      <c r="A28" s="604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0"/>
      <c r="S28" s="605"/>
      <c r="T28" s="142"/>
      <c r="U28" s="142"/>
      <c r="V28" s="101"/>
      <c r="W28" s="143">
        <f t="shared" si="16"/>
        <v>0</v>
      </c>
      <c r="X28" s="101"/>
      <c r="Y28" s="101"/>
      <c r="Z28" s="100"/>
      <c r="AA28" s="100"/>
      <c r="AB28" s="601"/>
      <c r="AC28" s="601"/>
      <c r="AD28" s="101"/>
      <c r="AE28" s="101"/>
      <c r="AF28" s="92">
        <f t="shared" si="6"/>
        <v>0</v>
      </c>
      <c r="AG28" s="94"/>
      <c r="AH28" s="648"/>
    </row>
    <row r="29" spans="1:34" ht="19.149999999999999" customHeight="1">
      <c r="A29" s="604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0"/>
      <c r="S29" s="605"/>
      <c r="T29" s="142"/>
      <c r="U29" s="142"/>
      <c r="V29" s="101"/>
      <c r="W29" s="143">
        <f t="shared" si="16"/>
        <v>0</v>
      </c>
      <c r="X29" s="101"/>
      <c r="Y29" s="101"/>
      <c r="Z29" s="100"/>
      <c r="AA29" s="100"/>
      <c r="AB29" s="601"/>
      <c r="AC29" s="601"/>
      <c r="AD29" s="101"/>
      <c r="AE29" s="101"/>
      <c r="AF29" s="92">
        <f t="shared" si="6"/>
        <v>0</v>
      </c>
      <c r="AG29" s="94"/>
      <c r="AH29" s="648"/>
    </row>
    <row r="30" spans="1:34" ht="19.149999999999999" customHeight="1">
      <c r="A30" s="604"/>
      <c r="B30" s="155">
        <v>0</v>
      </c>
      <c r="C30" s="156" t="s">
        <v>258</v>
      </c>
      <c r="D30" s="645" t="s">
        <v>256</v>
      </c>
      <c r="E30" s="645"/>
      <c r="F30" s="157"/>
      <c r="G30" s="158"/>
      <c r="H30" s="159"/>
      <c r="I30" s="160"/>
      <c r="J30" s="158">
        <v>17.428571428571427</v>
      </c>
      <c r="K30" s="158">
        <v>1656.8571428571429</v>
      </c>
      <c r="L30" s="161">
        <v>94.884220354808591</v>
      </c>
      <c r="M30" s="158">
        <f t="shared" ref="M30:O30" si="17">AVERAGE(M18:M29)</f>
        <v>17.857142857142858</v>
      </c>
      <c r="N30" s="158">
        <f t="shared" si="17"/>
        <v>1412.0558654319982</v>
      </c>
      <c r="O30" s="161">
        <f t="shared" si="17"/>
        <v>78.819079180033924</v>
      </c>
      <c r="P30" s="100">
        <f t="shared" ref="P30:P36" si="18">M30-J30</f>
        <v>0.4285714285714306</v>
      </c>
      <c r="Q30" s="139">
        <f t="shared" ref="Q30:Q36" si="19">O30-L30</f>
        <v>-16.065141174774666</v>
      </c>
      <c r="R30" s="162">
        <f t="shared" ref="R30:R36" si="20">O30/L30</f>
        <v>0.83068690331542039</v>
      </c>
      <c r="S30" s="605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01"/>
      <c r="AC30" s="601"/>
      <c r="AD30" s="164">
        <f>SUM(AD18:AD29)</f>
        <v>0</v>
      </c>
      <c r="AE30" s="164">
        <f>SUM(AE18:AE29)</f>
        <v>1</v>
      </c>
      <c r="AF30" s="165">
        <f t="shared" si="6"/>
        <v>-244.80127742514469</v>
      </c>
      <c r="AG30" s="166">
        <f t="shared" ref="AG30" si="21">N30/K30</f>
        <v>0.85224961700499979</v>
      </c>
      <c r="AH30" s="649"/>
    </row>
    <row r="31" spans="1:34" ht="19.149999999999999" customHeight="1">
      <c r="A31" s="642" t="s">
        <v>259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1991</v>
      </c>
      <c r="H31" s="171">
        <f t="shared" ref="H31:H40" si="22">F31*G31</f>
        <v>68151.929999999993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2095.7894736842104</v>
      </c>
      <c r="O31" s="174">
        <f t="shared" ref="O31:O36" si="24">N31/M31</f>
        <v>161.21457489878543</v>
      </c>
      <c r="P31" s="175">
        <f t="shared" si="18"/>
        <v>0</v>
      </c>
      <c r="Q31" s="176">
        <f t="shared" si="19"/>
        <v>-11.862348178137637</v>
      </c>
      <c r="R31" s="177">
        <f t="shared" si="20"/>
        <v>0.93146198830409366</v>
      </c>
      <c r="S31" s="644">
        <f>R43</f>
        <v>0.92073261211946722</v>
      </c>
      <c r="T31" s="178">
        <v>0.16666666666666666</v>
      </c>
      <c r="U31" s="178">
        <v>0.20624999999999999</v>
      </c>
      <c r="V31" s="98">
        <v>5</v>
      </c>
      <c r="W31" s="179">
        <f t="shared" ref="W31:W42" si="25">(U31-T31)*24*60</f>
        <v>57</v>
      </c>
      <c r="X31" s="98"/>
      <c r="Y31" s="98"/>
      <c r="Z31" s="97"/>
      <c r="AA31" s="97"/>
      <c r="AB31" s="601"/>
      <c r="AC31" s="601"/>
      <c r="AD31" s="98"/>
      <c r="AE31" s="98"/>
      <c r="AF31" s="175">
        <f t="shared" si="6"/>
        <v>-154.21052631578959</v>
      </c>
      <c r="AG31" s="180">
        <f t="shared" si="7"/>
        <v>0.93146198830409355</v>
      </c>
      <c r="AH31" s="622">
        <f>AG43</f>
        <v>0.90986356992657813</v>
      </c>
    </row>
    <row r="32" spans="1:34" ht="19.149999999999999" customHeight="1">
      <c r="A32" s="643"/>
      <c r="B32" s="182" t="s">
        <v>389</v>
      </c>
      <c r="C32" s="183"/>
      <c r="D32" s="153" t="s">
        <v>141</v>
      </c>
      <c r="E32" s="84"/>
      <c r="F32" s="85">
        <v>35.33</v>
      </c>
      <c r="G32" s="86">
        <v>2148</v>
      </c>
      <c r="H32" s="135">
        <f t="shared" si="22"/>
        <v>75888.84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2078.7096774193556</v>
      </c>
      <c r="O32" s="90">
        <f t="shared" si="24"/>
        <v>173.22580645161295</v>
      </c>
      <c r="P32" s="92">
        <f t="shared" si="18"/>
        <v>0</v>
      </c>
      <c r="Q32" s="93">
        <f t="shared" si="19"/>
        <v>-14.274193548387046</v>
      </c>
      <c r="R32" s="94">
        <f t="shared" si="20"/>
        <v>0.92387096774193578</v>
      </c>
      <c r="S32" s="605"/>
      <c r="T32" s="142">
        <v>0.21041666666666667</v>
      </c>
      <c r="U32" s="142">
        <v>0.25347222222222221</v>
      </c>
      <c r="V32" s="101">
        <v>6</v>
      </c>
      <c r="W32" s="143">
        <f t="shared" si="25"/>
        <v>61.999999999999979</v>
      </c>
      <c r="X32" s="184"/>
      <c r="Y32" s="184"/>
      <c r="Z32" s="185"/>
      <c r="AA32" s="185"/>
      <c r="AB32" s="601"/>
      <c r="AC32" s="601"/>
      <c r="AD32" s="101"/>
      <c r="AE32" s="101"/>
      <c r="AF32" s="92">
        <f t="shared" si="6"/>
        <v>-171.29032258064444</v>
      </c>
      <c r="AG32" s="94">
        <f t="shared" si="7"/>
        <v>0.92387096774193578</v>
      </c>
      <c r="AH32" s="620"/>
    </row>
    <row r="33" spans="1:34" ht="19.149999999999999" customHeight="1">
      <c r="A33" s="643"/>
      <c r="B33" s="182" t="s">
        <v>389</v>
      </c>
      <c r="C33" s="101"/>
      <c r="D33" s="132" t="s">
        <v>142</v>
      </c>
      <c r="E33" s="133"/>
      <c r="F33" s="85">
        <v>36.409999999999997</v>
      </c>
      <c r="G33" s="104">
        <v>2188.1999999999998</v>
      </c>
      <c r="H33" s="135">
        <f t="shared" si="22"/>
        <v>79672.361999999979</v>
      </c>
      <c r="I33" s="101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2117.6129032258054</v>
      </c>
      <c r="O33" s="90">
        <f t="shared" si="24"/>
        <v>211.76129032258055</v>
      </c>
      <c r="P33" s="92">
        <f t="shared" si="18"/>
        <v>0</v>
      </c>
      <c r="Q33" s="93">
        <f t="shared" si="19"/>
        <v>-13.23870967741945</v>
      </c>
      <c r="R33" s="94">
        <f t="shared" si="20"/>
        <v>0.94116129032258022</v>
      </c>
      <c r="S33" s="605"/>
      <c r="T33" s="142">
        <v>0.2583333333333333</v>
      </c>
      <c r="U33" s="142">
        <v>0.30138888888888887</v>
      </c>
      <c r="V33" s="101">
        <v>7</v>
      </c>
      <c r="W33" s="143">
        <f t="shared" si="25"/>
        <v>62.000000000000021</v>
      </c>
      <c r="X33" s="184"/>
      <c r="Y33" s="184"/>
      <c r="Z33" s="185"/>
      <c r="AA33" s="185"/>
      <c r="AB33" s="601"/>
      <c r="AC33" s="601"/>
      <c r="AD33" s="101"/>
      <c r="AE33" s="101"/>
      <c r="AF33" s="92">
        <f t="shared" si="6"/>
        <v>-132.38709677419456</v>
      </c>
      <c r="AG33" s="186">
        <f t="shared" si="7"/>
        <v>0.94116129032258022</v>
      </c>
      <c r="AH33" s="620"/>
    </row>
    <row r="34" spans="1:34" ht="19.149999999999999" customHeight="1">
      <c r="A34" s="643"/>
      <c r="B34" s="182" t="s">
        <v>390</v>
      </c>
      <c r="C34" s="187"/>
      <c r="D34" s="132" t="s">
        <v>143</v>
      </c>
      <c r="E34" s="133"/>
      <c r="F34" s="85">
        <v>49.91</v>
      </c>
      <c r="G34" s="104">
        <v>808</v>
      </c>
      <c r="H34" s="135">
        <f t="shared" si="22"/>
        <v>40327.279999999999</v>
      </c>
      <c r="I34" s="101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1346.6666666666656</v>
      </c>
      <c r="O34" s="90">
        <f t="shared" si="24"/>
        <v>74.814814814814753</v>
      </c>
      <c r="P34" s="92">
        <f t="shared" si="18"/>
        <v>0</v>
      </c>
      <c r="Q34" s="93">
        <f t="shared" si="19"/>
        <v>-8.5185185185185759</v>
      </c>
      <c r="R34" s="94">
        <f t="shared" si="20"/>
        <v>0.89777777777777712</v>
      </c>
      <c r="S34" s="605"/>
      <c r="T34" s="142">
        <v>0.31666666666666665</v>
      </c>
      <c r="U34" s="142">
        <v>0.34166666666666667</v>
      </c>
      <c r="V34" s="101">
        <v>22</v>
      </c>
      <c r="W34" s="143">
        <f t="shared" si="25"/>
        <v>36.000000000000028</v>
      </c>
      <c r="X34" s="184">
        <v>0.30486111111111108</v>
      </c>
      <c r="Y34" s="184">
        <v>0.31388888888888888</v>
      </c>
      <c r="Z34" s="185"/>
      <c r="AA34" s="185"/>
      <c r="AB34" s="601"/>
      <c r="AC34" s="601"/>
      <c r="AD34" s="101"/>
      <c r="AE34" s="101"/>
      <c r="AF34" s="92">
        <f t="shared" si="6"/>
        <v>-153.33333333333439</v>
      </c>
      <c r="AG34" s="186">
        <f t="shared" si="7"/>
        <v>0.89777777777777712</v>
      </c>
      <c r="AH34" s="620"/>
    </row>
    <row r="35" spans="1:34" ht="19.149999999999999" customHeight="1">
      <c r="A35" s="643"/>
      <c r="B35" s="182" t="s">
        <v>390</v>
      </c>
      <c r="C35" s="82"/>
      <c r="D35" s="83" t="s">
        <v>144</v>
      </c>
      <c r="E35" s="84"/>
      <c r="F35" s="85">
        <v>53.27</v>
      </c>
      <c r="G35" s="188">
        <v>1326</v>
      </c>
      <c r="H35" s="135">
        <f t="shared" si="22"/>
        <v>70636.02</v>
      </c>
      <c r="I35" s="65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1325.9999999999995</v>
      </c>
      <c r="O35" s="90">
        <f t="shared" si="24"/>
        <v>73.666666666666643</v>
      </c>
      <c r="P35" s="92">
        <f t="shared" si="18"/>
        <v>0</v>
      </c>
      <c r="Q35" s="93">
        <f t="shared" si="19"/>
        <v>-9.6666666666666856</v>
      </c>
      <c r="R35" s="94">
        <f t="shared" si="20"/>
        <v>0.88399999999999979</v>
      </c>
      <c r="S35" s="605"/>
      <c r="T35" s="142">
        <v>0.34722222222222221</v>
      </c>
      <c r="U35" s="142">
        <v>0.3888888888888889</v>
      </c>
      <c r="V35" s="101">
        <v>8</v>
      </c>
      <c r="W35" s="143">
        <f t="shared" si="25"/>
        <v>60.000000000000028</v>
      </c>
      <c r="X35" s="184"/>
      <c r="Y35" s="184"/>
      <c r="Z35" s="185"/>
      <c r="AA35" s="185"/>
      <c r="AB35" s="601"/>
      <c r="AC35" s="601"/>
      <c r="AD35" s="101"/>
      <c r="AE35" s="101"/>
      <c r="AF35" s="92">
        <f t="shared" si="6"/>
        <v>-174.00000000000045</v>
      </c>
      <c r="AG35" s="186">
        <f t="shared" si="7"/>
        <v>0.88399999999999967</v>
      </c>
      <c r="AH35" s="623"/>
    </row>
    <row r="36" spans="1:34" ht="19.149999999999999" customHeight="1">
      <c r="A36" s="643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2500</v>
      </c>
      <c r="H36" s="135">
        <f t="shared" si="22"/>
        <v>72782.87461773699</v>
      </c>
      <c r="I36" s="101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1271.1864406779662</v>
      </c>
      <c r="O36" s="90">
        <f t="shared" si="24"/>
        <v>70.621468926553675</v>
      </c>
      <c r="P36" s="92">
        <f t="shared" si="18"/>
        <v>-1</v>
      </c>
      <c r="Q36" s="93">
        <f t="shared" si="19"/>
        <v>-8.3258994944989553</v>
      </c>
      <c r="R36" s="94">
        <f t="shared" si="20"/>
        <v>0.89453860640301319</v>
      </c>
      <c r="S36" s="605"/>
      <c r="T36" s="142">
        <v>0.40486111111111112</v>
      </c>
      <c r="U36" s="142">
        <v>0.48680555555555555</v>
      </c>
      <c r="V36" s="101">
        <v>23</v>
      </c>
      <c r="W36" s="143">
        <f t="shared" si="25"/>
        <v>117.99999999999999</v>
      </c>
      <c r="X36" s="184">
        <v>0.3923611111111111</v>
      </c>
      <c r="Y36" s="184">
        <v>0.40208333333333335</v>
      </c>
      <c r="Z36" s="185"/>
      <c r="AA36" s="185"/>
      <c r="AB36" s="601"/>
      <c r="AC36" s="601"/>
      <c r="AD36" s="101"/>
      <c r="AE36" s="101"/>
      <c r="AF36" s="92">
        <f t="shared" si="6"/>
        <v>-228.81355932203383</v>
      </c>
      <c r="AG36" s="186">
        <f t="shared" si="7"/>
        <v>0.84745762711864414</v>
      </c>
      <c r="AH36" s="623"/>
    </row>
    <row r="37" spans="1:34" ht="19.149999999999999" customHeight="1">
      <c r="A37" s="643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101"/>
      <c r="J37" s="89"/>
      <c r="K37" s="86"/>
      <c r="L37" s="90"/>
      <c r="M37" s="189"/>
      <c r="N37" s="86"/>
      <c r="O37" s="90"/>
      <c r="P37" s="92"/>
      <c r="Q37" s="93"/>
      <c r="R37" s="94"/>
      <c r="S37" s="605"/>
      <c r="T37" s="142"/>
      <c r="U37" s="142"/>
      <c r="V37" s="101"/>
      <c r="W37" s="143"/>
      <c r="X37" s="184"/>
      <c r="Y37" s="184"/>
      <c r="Z37" s="185"/>
      <c r="AA37" s="185"/>
      <c r="AB37" s="601"/>
      <c r="AC37" s="601"/>
      <c r="AD37" s="101"/>
      <c r="AE37" s="101"/>
      <c r="AF37" s="92">
        <f t="shared" si="6"/>
        <v>0</v>
      </c>
      <c r="AG37" s="186" t="e">
        <f t="shared" si="7"/>
        <v>#DIV/0!</v>
      </c>
      <c r="AH37" s="623"/>
    </row>
    <row r="38" spans="1:34" ht="19.149999999999999" customHeight="1">
      <c r="A38" s="643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101"/>
      <c r="J38" s="89"/>
      <c r="K38" s="86"/>
      <c r="L38" s="90"/>
      <c r="M38" s="189"/>
      <c r="N38" s="86"/>
      <c r="O38" s="90"/>
      <c r="P38" s="92"/>
      <c r="Q38" s="93"/>
      <c r="R38" s="94"/>
      <c r="S38" s="605"/>
      <c r="T38" s="142"/>
      <c r="U38" s="142"/>
      <c r="V38" s="101"/>
      <c r="W38" s="143"/>
      <c r="X38" s="184"/>
      <c r="Y38" s="184"/>
      <c r="Z38" s="185"/>
      <c r="AA38" s="185"/>
      <c r="AB38" s="601"/>
      <c r="AC38" s="601"/>
      <c r="AD38" s="101"/>
      <c r="AE38" s="101"/>
      <c r="AF38" s="92">
        <f t="shared" si="6"/>
        <v>0</v>
      </c>
      <c r="AG38" s="186" t="e">
        <f t="shared" si="7"/>
        <v>#DIV/0!</v>
      </c>
      <c r="AH38" s="623"/>
    </row>
    <row r="39" spans="1:34" ht="19.149999999999999" customHeight="1">
      <c r="A39" s="643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101"/>
      <c r="J39" s="89"/>
      <c r="K39" s="86"/>
      <c r="L39" s="90"/>
      <c r="M39" s="189"/>
      <c r="N39" s="86"/>
      <c r="O39" s="90"/>
      <c r="P39" s="92"/>
      <c r="Q39" s="93"/>
      <c r="R39" s="94"/>
      <c r="S39" s="605"/>
      <c r="T39" s="142"/>
      <c r="U39" s="142"/>
      <c r="V39" s="101"/>
      <c r="W39" s="143"/>
      <c r="X39" s="184"/>
      <c r="Y39" s="184"/>
      <c r="Z39" s="185"/>
      <c r="AA39" s="185"/>
      <c r="AB39" s="601"/>
      <c r="AC39" s="601"/>
      <c r="AD39" s="101"/>
      <c r="AE39" s="101"/>
      <c r="AF39" s="92"/>
      <c r="AG39" s="191"/>
      <c r="AH39" s="623"/>
    </row>
    <row r="40" spans="1:34" ht="19.149999999999999" customHeight="1">
      <c r="A40" s="643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65"/>
      <c r="J40" s="193"/>
      <c r="K40" s="194"/>
      <c r="L40" s="195"/>
      <c r="M40" s="91"/>
      <c r="N40" s="86"/>
      <c r="O40" s="90"/>
      <c r="P40" s="92"/>
      <c r="Q40" s="93"/>
      <c r="R40" s="94"/>
      <c r="S40" s="605"/>
      <c r="T40" s="142"/>
      <c r="U40" s="142"/>
      <c r="V40" s="101"/>
      <c r="W40" s="143">
        <f t="shared" si="25"/>
        <v>0</v>
      </c>
      <c r="X40" s="184"/>
      <c r="Y40" s="184"/>
      <c r="Z40" s="185"/>
      <c r="AA40" s="185"/>
      <c r="AB40" s="601"/>
      <c r="AC40" s="601"/>
      <c r="AD40" s="101"/>
      <c r="AE40" s="101"/>
      <c r="AF40" s="92"/>
      <c r="AG40" s="191"/>
      <c r="AH40" s="623"/>
    </row>
    <row r="41" spans="1:34" ht="19.149999999999999" customHeight="1">
      <c r="A41" s="643"/>
      <c r="B41" s="101">
        <v>0</v>
      </c>
      <c r="C41" s="102"/>
      <c r="D41" s="132"/>
      <c r="E41" s="133"/>
      <c r="F41" s="85" t="s">
        <v>391</v>
      </c>
      <c r="G41" s="104"/>
      <c r="H41" s="135"/>
      <c r="I41" s="101"/>
      <c r="J41" s="138"/>
      <c r="K41" s="104"/>
      <c r="L41" s="137"/>
      <c r="M41" s="189"/>
      <c r="N41" s="104"/>
      <c r="O41" s="137"/>
      <c r="P41" s="100"/>
      <c r="Q41" s="139"/>
      <c r="R41" s="140"/>
      <c r="S41" s="605"/>
      <c r="T41" s="142"/>
      <c r="U41" s="142"/>
      <c r="V41" s="101"/>
      <c r="W41" s="143">
        <f t="shared" si="25"/>
        <v>0</v>
      </c>
      <c r="X41" s="184"/>
      <c r="Y41" s="184"/>
      <c r="Z41" s="185"/>
      <c r="AA41" s="185"/>
      <c r="AB41" s="601"/>
      <c r="AC41" s="601"/>
      <c r="AD41" s="101"/>
      <c r="AE41" s="101"/>
      <c r="AF41" s="92"/>
      <c r="AG41" s="191"/>
      <c r="AH41" s="623"/>
    </row>
    <row r="42" spans="1:34" ht="19.149999999999999" customHeight="1">
      <c r="A42" s="643"/>
      <c r="B42" s="101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101"/>
      <c r="J42" s="138"/>
      <c r="K42" s="104"/>
      <c r="L42" s="137"/>
      <c r="M42" s="189"/>
      <c r="N42" s="104"/>
      <c r="O42" s="137"/>
      <c r="P42" s="100"/>
      <c r="Q42" s="139"/>
      <c r="R42" s="140"/>
      <c r="S42" s="605"/>
      <c r="T42" s="142"/>
      <c r="U42" s="142"/>
      <c r="V42" s="101"/>
      <c r="W42" s="143">
        <f t="shared" si="25"/>
        <v>0</v>
      </c>
      <c r="X42" s="184"/>
      <c r="Y42" s="184"/>
      <c r="Z42" s="185"/>
      <c r="AA42" s="185"/>
      <c r="AB42" s="601"/>
      <c r="AC42" s="601"/>
      <c r="AD42" s="101"/>
      <c r="AE42" s="101"/>
      <c r="AF42" s="92"/>
      <c r="AG42" s="191"/>
      <c r="AH42" s="623"/>
    </row>
    <row r="43" spans="1:34" ht="19.149999999999999" customHeight="1">
      <c r="A43" s="643"/>
      <c r="B43" s="182">
        <v>0</v>
      </c>
      <c r="C43" s="156" t="s">
        <v>260</v>
      </c>
      <c r="D43" s="602" t="s">
        <v>256</v>
      </c>
      <c r="E43" s="602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1705.9941936123339</v>
      </c>
      <c r="O43" s="161">
        <f t="shared" si="26"/>
        <v>127.55077034683568</v>
      </c>
      <c r="P43" s="100">
        <f>M43-J43</f>
        <v>-0.16666666666666607</v>
      </c>
      <c r="Q43" s="139">
        <f>N43-K43</f>
        <v>-169.0058063876661</v>
      </c>
      <c r="R43" s="162">
        <f t="shared" ref="R43:R46" si="27">O43/L43</f>
        <v>0.92073261211946722</v>
      </c>
      <c r="S43" s="605"/>
      <c r="T43" s="142"/>
      <c r="U43" s="142"/>
      <c r="V43" s="101"/>
      <c r="W43" s="101"/>
      <c r="X43" s="184"/>
      <c r="Y43" s="184"/>
      <c r="Z43" s="197">
        <f>SUM(Z31:Z42)</f>
        <v>0</v>
      </c>
      <c r="AA43" s="197">
        <f>SUM(AA31:AA42)</f>
        <v>0</v>
      </c>
      <c r="AB43" s="601"/>
      <c r="AC43" s="601"/>
      <c r="AD43" s="164">
        <f>SUM(AD31:AD42)</f>
        <v>0</v>
      </c>
      <c r="AE43" s="164">
        <f>SUM(AE31:AE42)</f>
        <v>0</v>
      </c>
      <c r="AF43" s="92">
        <f t="shared" ref="AF43:AF52" si="28">N43-K43</f>
        <v>-169.0058063876661</v>
      </c>
      <c r="AG43" s="114">
        <f t="shared" si="7"/>
        <v>0.90986356992657813</v>
      </c>
      <c r="AH43" s="623"/>
    </row>
    <row r="44" spans="1:34" s="213" customFormat="1" ht="19.149999999999999" customHeight="1">
      <c r="A44" s="638" t="s">
        <v>261</v>
      </c>
      <c r="B44" s="152" t="s">
        <v>388</v>
      </c>
      <c r="C44" s="198"/>
      <c r="D44" s="83" t="s">
        <v>262</v>
      </c>
      <c r="E44" s="84"/>
      <c r="F44" s="199">
        <v>31.43</v>
      </c>
      <c r="G44" s="200">
        <v>2943.6</v>
      </c>
      <c r="H44" s="87">
        <f>F44*G44</f>
        <v>92517.347999999998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1369.1162790697676</v>
      </c>
      <c r="O44" s="204">
        <f>N44/M44</f>
        <v>228.18604651162795</v>
      </c>
      <c r="P44" s="97">
        <f t="shared" ref="P44:P45" si="29">M44-J44</f>
        <v>0</v>
      </c>
      <c r="Q44" s="205">
        <f t="shared" ref="Q44:Q45" si="30">O44-L44</f>
        <v>-21.81395348837205</v>
      </c>
      <c r="R44" s="206">
        <f t="shared" si="27"/>
        <v>0.91274418604651175</v>
      </c>
      <c r="S44" s="620">
        <f>R56</f>
        <v>0.86481579170159761</v>
      </c>
      <c r="T44" s="207">
        <v>0.16666666666666666</v>
      </c>
      <c r="U44" s="207">
        <v>0.25624999999999998</v>
      </c>
      <c r="V44" s="208">
        <v>5</v>
      </c>
      <c r="W44" s="209">
        <f t="shared" ref="W44:W56" si="31">(U44-T44)*24*60</f>
        <v>128.99999999999997</v>
      </c>
      <c r="X44" s="184"/>
      <c r="Y44" s="184"/>
      <c r="Z44" s="185"/>
      <c r="AA44" s="185"/>
      <c r="AB44" s="601"/>
      <c r="AC44" s="601"/>
      <c r="AD44" s="101"/>
      <c r="AE44" s="101"/>
      <c r="AF44" s="210">
        <f t="shared" si="28"/>
        <v>-130.88372093023236</v>
      </c>
      <c r="AG44" s="211">
        <f t="shared" si="7"/>
        <v>0.91274418604651175</v>
      </c>
      <c r="AH44" s="641">
        <f>AG56</f>
        <v>0.90981141661845899</v>
      </c>
    </row>
    <row r="45" spans="1:34" s="213" customFormat="1" ht="19.149999999999999" customHeight="1">
      <c r="A45" s="639"/>
      <c r="B45" s="152" t="s">
        <v>388</v>
      </c>
      <c r="C45" s="198"/>
      <c r="D45" s="83" t="s">
        <v>148</v>
      </c>
      <c r="E45" s="84"/>
      <c r="F45" s="199">
        <v>11.6</v>
      </c>
      <c r="G45" s="200">
        <v>2458</v>
      </c>
      <c r="H45" s="87">
        <f>F45*G45</f>
        <v>28512.799999999999</v>
      </c>
      <c r="I45" s="214"/>
      <c r="J45" s="202">
        <v>6</v>
      </c>
      <c r="K45" s="203">
        <v>1636</v>
      </c>
      <c r="L45" s="204">
        <v>272.66666666666669</v>
      </c>
      <c r="M45" s="110">
        <v>7</v>
      </c>
      <c r="N45" s="203">
        <f>G45/W45*60</f>
        <v>1460.1980198019796</v>
      </c>
      <c r="O45" s="204">
        <f>N45/M45</f>
        <v>208.59971711456851</v>
      </c>
      <c r="P45" s="97">
        <f t="shared" si="29"/>
        <v>1</v>
      </c>
      <c r="Q45" s="205">
        <f t="shared" si="30"/>
        <v>-64.06694955209818</v>
      </c>
      <c r="R45" s="206">
        <f t="shared" si="27"/>
        <v>0.7650356373394932</v>
      </c>
      <c r="S45" s="620"/>
      <c r="T45" s="207">
        <v>0.27708333333333329</v>
      </c>
      <c r="U45" s="207">
        <v>0.34722222222222221</v>
      </c>
      <c r="V45" s="208">
        <v>30</v>
      </c>
      <c r="W45" s="209">
        <f t="shared" si="31"/>
        <v>101.00000000000004</v>
      </c>
      <c r="X45" s="184">
        <v>0.25972222222222224</v>
      </c>
      <c r="Y45" s="184">
        <v>0.27430555555555552</v>
      </c>
      <c r="Z45" s="185"/>
      <c r="AA45" s="185"/>
      <c r="AB45" s="601"/>
      <c r="AC45" s="601"/>
      <c r="AD45" s="101"/>
      <c r="AE45" s="101"/>
      <c r="AF45" s="210">
        <f t="shared" si="28"/>
        <v>-175.80198019802037</v>
      </c>
      <c r="AG45" s="211">
        <f t="shared" si="7"/>
        <v>0.89254157689607561</v>
      </c>
      <c r="AH45" s="641"/>
    </row>
    <row r="46" spans="1:34" s="213" customFormat="1" ht="19.149999999999999" customHeight="1">
      <c r="A46" s="639"/>
      <c r="B46" s="152" t="s">
        <v>390</v>
      </c>
      <c r="C46" s="198"/>
      <c r="D46" s="83" t="s">
        <v>149</v>
      </c>
      <c r="E46" s="84"/>
      <c r="F46" s="199">
        <v>10.09</v>
      </c>
      <c r="G46" s="200">
        <v>4536</v>
      </c>
      <c r="H46" s="87">
        <f t="shared" ref="H46:H51" si="32">F46*G46</f>
        <v>45768.24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1388.5714285714284</v>
      </c>
      <c r="O46" s="204">
        <f>N46/M46</f>
        <v>231.42857142857142</v>
      </c>
      <c r="P46" s="97">
        <f>M46-J46</f>
        <v>0</v>
      </c>
      <c r="Q46" s="205">
        <f>O46-L46</f>
        <v>-18.571428571428584</v>
      </c>
      <c r="R46" s="206">
        <f t="shared" si="27"/>
        <v>0.92571428571428571</v>
      </c>
      <c r="S46" s="620"/>
      <c r="T46" s="207">
        <v>0.36805555555555552</v>
      </c>
      <c r="U46" s="207">
        <v>0.50416666666666665</v>
      </c>
      <c r="V46" s="208">
        <v>30</v>
      </c>
      <c r="W46" s="209">
        <f t="shared" si="31"/>
        <v>196.00000000000003</v>
      </c>
      <c r="X46" s="184">
        <v>0.35069444444444442</v>
      </c>
      <c r="Y46" s="184">
        <v>0.36527777777777781</v>
      </c>
      <c r="Z46" s="185"/>
      <c r="AA46" s="185"/>
      <c r="AB46" s="601"/>
      <c r="AC46" s="601"/>
      <c r="AD46" s="101"/>
      <c r="AE46" s="101"/>
      <c r="AF46" s="210">
        <f t="shared" si="28"/>
        <v>-111.42857142857156</v>
      </c>
      <c r="AG46" s="211">
        <f t="shared" si="7"/>
        <v>0.9257142857142856</v>
      </c>
      <c r="AH46" s="641"/>
    </row>
    <row r="47" spans="1:34" s="213" customFormat="1" ht="19.149999999999999" customHeight="1">
      <c r="A47" s="639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0"/>
      <c r="T47" s="207"/>
      <c r="U47" s="207"/>
      <c r="V47" s="203"/>
      <c r="W47" s="209"/>
      <c r="X47" s="184"/>
      <c r="Y47" s="184"/>
      <c r="Z47" s="185"/>
      <c r="AA47" s="185"/>
      <c r="AB47" s="601"/>
      <c r="AC47" s="601"/>
      <c r="AD47" s="101"/>
      <c r="AE47" s="101"/>
      <c r="AF47" s="210">
        <f t="shared" si="28"/>
        <v>0</v>
      </c>
      <c r="AG47" s="211" t="e">
        <f t="shared" si="7"/>
        <v>#DIV/0!</v>
      </c>
      <c r="AH47" s="641"/>
    </row>
    <row r="48" spans="1:34" s="213" customFormat="1" ht="19.149999999999999" customHeight="1">
      <c r="A48" s="639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0"/>
      <c r="T48" s="219"/>
      <c r="U48" s="219"/>
      <c r="V48" s="200"/>
      <c r="W48" s="209"/>
      <c r="X48" s="184"/>
      <c r="Y48" s="184"/>
      <c r="Z48" s="185"/>
      <c r="AA48" s="185"/>
      <c r="AB48" s="601"/>
      <c r="AC48" s="601"/>
      <c r="AD48" s="101"/>
      <c r="AE48" s="101"/>
      <c r="AF48" s="210">
        <f t="shared" si="28"/>
        <v>0</v>
      </c>
      <c r="AG48" s="211" t="e">
        <f t="shared" si="7"/>
        <v>#DIV/0!</v>
      </c>
      <c r="AH48" s="641"/>
    </row>
    <row r="49" spans="1:34" s="213" customFormat="1" ht="19.149999999999999" customHeight="1">
      <c r="A49" s="639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0"/>
      <c r="T49" s="219"/>
      <c r="U49" s="219"/>
      <c r="V49" s="200"/>
      <c r="W49" s="209"/>
      <c r="X49" s="220"/>
      <c r="Y49" s="220"/>
      <c r="Z49" s="221"/>
      <c r="AA49" s="185"/>
      <c r="AB49" s="601"/>
      <c r="AC49" s="601"/>
      <c r="AD49" s="101"/>
      <c r="AE49" s="101"/>
      <c r="AF49" s="210">
        <f t="shared" si="28"/>
        <v>0</v>
      </c>
      <c r="AG49" s="211" t="e">
        <f t="shared" si="7"/>
        <v>#DIV/0!</v>
      </c>
      <c r="AH49" s="641"/>
    </row>
    <row r="50" spans="1:34" s="213" customFormat="1" ht="19.149999999999999" customHeight="1">
      <c r="A50" s="639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0"/>
      <c r="T50" s="219"/>
      <c r="U50" s="219"/>
      <c r="V50" s="200"/>
      <c r="W50" s="209"/>
      <c r="X50" s="220"/>
      <c r="Y50" s="220"/>
      <c r="Z50" s="221"/>
      <c r="AA50" s="221"/>
      <c r="AB50" s="601"/>
      <c r="AC50" s="601"/>
      <c r="AD50" s="101"/>
      <c r="AE50" s="101"/>
      <c r="AF50" s="210">
        <f t="shared" si="28"/>
        <v>0</v>
      </c>
      <c r="AG50" s="211" t="e">
        <f t="shared" si="7"/>
        <v>#DIV/0!</v>
      </c>
      <c r="AH50" s="641"/>
    </row>
    <row r="51" spans="1:34" s="213" customFormat="1" ht="19.149999999999999" customHeight="1">
      <c r="A51" s="639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0"/>
      <c r="T51" s="219"/>
      <c r="U51" s="219"/>
      <c r="V51" s="200"/>
      <c r="W51" s="209"/>
      <c r="X51" s="220"/>
      <c r="Y51" s="220"/>
      <c r="Z51" s="221"/>
      <c r="AA51" s="221"/>
      <c r="AB51" s="601"/>
      <c r="AC51" s="601"/>
      <c r="AD51" s="101"/>
      <c r="AE51" s="101"/>
      <c r="AF51" s="210">
        <f t="shared" si="28"/>
        <v>0</v>
      </c>
      <c r="AG51" s="211" t="e">
        <f t="shared" si="7"/>
        <v>#DIV/0!</v>
      </c>
      <c r="AH51" s="641"/>
    </row>
    <row r="52" spans="1:34" s="213" customFormat="1" ht="19.149999999999999" customHeight="1">
      <c r="A52" s="639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0"/>
      <c r="S52" s="620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01"/>
      <c r="AC52" s="601"/>
      <c r="AD52" s="101"/>
      <c r="AE52" s="101"/>
      <c r="AF52" s="210">
        <f t="shared" si="28"/>
        <v>0</v>
      </c>
      <c r="AG52" s="211" t="e">
        <f t="shared" si="7"/>
        <v>#DIV/0!</v>
      </c>
      <c r="AH52" s="641"/>
    </row>
    <row r="53" spans="1:34" s="213" customFormat="1" ht="19.149999999999999" customHeight="1">
      <c r="A53" s="639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0"/>
      <c r="S53" s="620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01"/>
      <c r="AC53" s="601"/>
      <c r="AD53" s="101"/>
      <c r="AE53" s="101"/>
      <c r="AF53" s="210"/>
      <c r="AG53" s="211"/>
      <c r="AH53" s="641"/>
    </row>
    <row r="54" spans="1:34" s="213" customFormat="1" ht="19.149999999999999" customHeight="1">
      <c r="A54" s="639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0"/>
      <c r="S54" s="620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01"/>
      <c r="AC54" s="601"/>
      <c r="AD54" s="101"/>
      <c r="AE54" s="101"/>
      <c r="AF54" s="210"/>
      <c r="AG54" s="211"/>
      <c r="AH54" s="641"/>
    </row>
    <row r="55" spans="1:34" s="213" customFormat="1" ht="19.149999999999999" customHeight="1">
      <c r="A55" s="639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0"/>
      <c r="S55" s="620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01"/>
      <c r="AC55" s="601"/>
      <c r="AD55" s="101"/>
      <c r="AE55" s="101"/>
      <c r="AF55" s="210"/>
      <c r="AG55" s="211"/>
      <c r="AH55" s="641"/>
    </row>
    <row r="56" spans="1:34" ht="19.149999999999999" customHeight="1">
      <c r="A56" s="640"/>
      <c r="B56" s="226">
        <v>0</v>
      </c>
      <c r="C56" s="156" t="s">
        <v>263</v>
      </c>
      <c r="D56" s="602" t="s">
        <v>256</v>
      </c>
      <c r="E56" s="602"/>
      <c r="F56" s="157"/>
      <c r="G56" s="158"/>
      <c r="H56" s="159"/>
      <c r="I56" s="160"/>
      <c r="J56" s="158">
        <v>6</v>
      </c>
      <c r="K56" s="158">
        <v>1545.3333333333333</v>
      </c>
      <c r="L56" s="161">
        <v>257.5555555555556</v>
      </c>
      <c r="M56" s="158">
        <f t="shared" ref="M56:O56" si="33">AVERAGE(M44:M55)</f>
        <v>6.333333333333333</v>
      </c>
      <c r="N56" s="158">
        <f t="shared" si="33"/>
        <v>1405.9619091477252</v>
      </c>
      <c r="O56" s="161">
        <f t="shared" si="33"/>
        <v>222.73811168492261</v>
      </c>
      <c r="P56" s="227">
        <f>M56-J56</f>
        <v>0.33333333333333304</v>
      </c>
      <c r="Q56" s="176">
        <f>N56-K56</f>
        <v>-139.37142418560802</v>
      </c>
      <c r="R56" s="228">
        <f t="shared" ref="R56:R60" si="34">O56/L56</f>
        <v>0.86481579170159761</v>
      </c>
      <c r="S56" s="620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01"/>
      <c r="AC56" s="601"/>
      <c r="AD56" s="164">
        <f>SUM(AD44:AD55)</f>
        <v>0</v>
      </c>
      <c r="AE56" s="164">
        <f>SUM(AE44:AE55)</f>
        <v>0</v>
      </c>
      <c r="AF56" s="232">
        <f>N56-K56</f>
        <v>-139.37142418560802</v>
      </c>
      <c r="AG56" s="140">
        <f>N56/K56</f>
        <v>0.90981141661845899</v>
      </c>
      <c r="AH56" s="641"/>
    </row>
    <row r="57" spans="1:34" ht="19.149999999999999" customHeight="1">
      <c r="A57" s="634" t="s">
        <v>264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1644</v>
      </c>
      <c r="H57" s="135">
        <f t="shared" ref="H57:H66" si="35">F57*G57</f>
        <v>46459.44</v>
      </c>
      <c r="I57" s="101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1315.1999999999996</v>
      </c>
      <c r="O57" s="137">
        <f t="shared" ref="O57:O60" si="37">N57/M57</f>
        <v>187.88571428571422</v>
      </c>
      <c r="P57" s="235">
        <f t="shared" ref="P57:P60" si="38">M57-J57</f>
        <v>1</v>
      </c>
      <c r="Q57" s="93">
        <f t="shared" ref="Q57:Q60" si="39">O57-L57</f>
        <v>-62.114285714285785</v>
      </c>
      <c r="R57" s="94">
        <f t="shared" si="34"/>
        <v>0.75154285714285685</v>
      </c>
      <c r="S57" s="620">
        <f>R69</f>
        <v>0.83110307589142529</v>
      </c>
      <c r="T57" s="207">
        <v>0.16666666666666666</v>
      </c>
      <c r="U57" s="207">
        <v>0.21875</v>
      </c>
      <c r="V57" s="65">
        <v>5</v>
      </c>
      <c r="W57" s="88">
        <f>(U57-T57)*24*60</f>
        <v>75.000000000000014</v>
      </c>
      <c r="X57" s="99"/>
      <c r="Y57" s="99"/>
      <c r="Z57" s="100"/>
      <c r="AA57" s="100"/>
      <c r="AB57" s="601"/>
      <c r="AC57" s="601"/>
      <c r="AD57" s="101"/>
      <c r="AE57" s="101"/>
      <c r="AF57" s="92">
        <f t="shared" si="6"/>
        <v>-184.80000000000041</v>
      </c>
      <c r="AG57" s="177">
        <f t="shared" si="7"/>
        <v>0.87679999999999969</v>
      </c>
      <c r="AH57" s="622">
        <f>AG69</f>
        <v>0.93167430926071693</v>
      </c>
    </row>
    <row r="58" spans="1:34" ht="19.149999999999999" customHeight="1">
      <c r="A58" s="635"/>
      <c r="B58" s="152" t="s">
        <v>388</v>
      </c>
      <c r="C58" s="147"/>
      <c r="D58" s="83" t="s">
        <v>153</v>
      </c>
      <c r="E58" s="84"/>
      <c r="F58" s="85">
        <v>27.88</v>
      </c>
      <c r="G58" s="200">
        <v>2489</v>
      </c>
      <c r="H58" s="87">
        <f t="shared" si="35"/>
        <v>69393.319999999992</v>
      </c>
      <c r="I58" s="65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1449.9029126213593</v>
      </c>
      <c r="O58" s="90">
        <f t="shared" si="37"/>
        <v>207.12898751733704</v>
      </c>
      <c r="P58" s="235">
        <f t="shared" si="38"/>
        <v>1</v>
      </c>
      <c r="Q58" s="93">
        <f t="shared" si="39"/>
        <v>-42.871012482662962</v>
      </c>
      <c r="R58" s="94">
        <f t="shared" si="34"/>
        <v>0.82851595006934819</v>
      </c>
      <c r="S58" s="620"/>
      <c r="T58" s="236">
        <v>0.22430555555555556</v>
      </c>
      <c r="U58" s="236">
        <v>0.29583333333333334</v>
      </c>
      <c r="V58" s="65">
        <v>8</v>
      </c>
      <c r="W58" s="88">
        <f>(U58-T58)*24*60</f>
        <v>103</v>
      </c>
      <c r="X58" s="99"/>
      <c r="Y58" s="99"/>
      <c r="Z58" s="100"/>
      <c r="AA58" s="100"/>
      <c r="AB58" s="636"/>
      <c r="AC58" s="637"/>
      <c r="AD58" s="101"/>
      <c r="AE58" s="101"/>
      <c r="AF58" s="92">
        <f t="shared" si="6"/>
        <v>-50.097087378640708</v>
      </c>
      <c r="AG58" s="94">
        <f t="shared" si="7"/>
        <v>0.96660194174757286</v>
      </c>
      <c r="AH58" s="620"/>
    </row>
    <row r="59" spans="1:34" ht="19.149999999999999" customHeight="1">
      <c r="A59" s="635"/>
      <c r="B59" s="152" t="s">
        <v>388</v>
      </c>
      <c r="C59" s="147"/>
      <c r="D59" s="83" t="s">
        <v>154</v>
      </c>
      <c r="E59" s="84"/>
      <c r="F59" s="85">
        <v>28</v>
      </c>
      <c r="G59" s="200">
        <v>2626</v>
      </c>
      <c r="H59" s="87">
        <f t="shared" si="35"/>
        <v>73528</v>
      </c>
      <c r="I59" s="65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1458.8888888888887</v>
      </c>
      <c r="O59" s="90">
        <f t="shared" si="37"/>
        <v>208.41269841269838</v>
      </c>
      <c r="P59" s="235">
        <f t="shared" si="38"/>
        <v>1</v>
      </c>
      <c r="Q59" s="93">
        <f t="shared" si="39"/>
        <v>-41.587301587301624</v>
      </c>
      <c r="R59" s="94">
        <f t="shared" si="34"/>
        <v>0.83365079365079353</v>
      </c>
      <c r="S59" s="620"/>
      <c r="T59" s="236">
        <v>0.31180555555555556</v>
      </c>
      <c r="U59" s="236">
        <v>0.38680555555555557</v>
      </c>
      <c r="V59" s="208">
        <v>23</v>
      </c>
      <c r="W59" s="88">
        <f>(U59-T59)*24*60</f>
        <v>108.00000000000001</v>
      </c>
      <c r="X59" s="99">
        <v>0.29930555555555555</v>
      </c>
      <c r="Y59" s="99">
        <v>0.30902777777777779</v>
      </c>
      <c r="Z59" s="100"/>
      <c r="AA59" s="100"/>
      <c r="AB59" s="601"/>
      <c r="AC59" s="601"/>
      <c r="AD59" s="101"/>
      <c r="AE59" s="101"/>
      <c r="AF59" s="92">
        <f t="shared" si="6"/>
        <v>-41.111111111111313</v>
      </c>
      <c r="AG59" s="94">
        <f t="shared" si="7"/>
        <v>0.97259259259259245</v>
      </c>
      <c r="AH59" s="620"/>
    </row>
    <row r="60" spans="1:34" ht="19.149999999999999" customHeight="1">
      <c r="A60" s="635"/>
      <c r="B60" s="152" t="s">
        <v>390</v>
      </c>
      <c r="C60" s="147"/>
      <c r="D60" s="83" t="s">
        <v>149</v>
      </c>
      <c r="E60" s="84"/>
      <c r="F60" s="85">
        <v>10.09</v>
      </c>
      <c r="G60" s="200">
        <v>8424</v>
      </c>
      <c r="H60" s="87">
        <f t="shared" si="35"/>
        <v>84998.16</v>
      </c>
      <c r="I60" s="65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1366.0540540540539</v>
      </c>
      <c r="O60" s="90">
        <f t="shared" si="37"/>
        <v>227.67567567567565</v>
      </c>
      <c r="P60" s="235">
        <f t="shared" si="38"/>
        <v>0</v>
      </c>
      <c r="Q60" s="93">
        <f t="shared" si="39"/>
        <v>-22.324324324324351</v>
      </c>
      <c r="R60" s="94">
        <f t="shared" si="34"/>
        <v>0.91070270270270259</v>
      </c>
      <c r="S60" s="620"/>
      <c r="T60" s="236">
        <v>0.3923611111111111</v>
      </c>
      <c r="U60" s="236">
        <v>0.64930555555555558</v>
      </c>
      <c r="V60" s="208">
        <v>8</v>
      </c>
      <c r="W60" s="88">
        <f>(U60-T60)*24*60</f>
        <v>370.00000000000006</v>
      </c>
      <c r="X60" s="99"/>
      <c r="Y60" s="99"/>
      <c r="Z60" s="100"/>
      <c r="AA60" s="100"/>
      <c r="AB60" s="601"/>
      <c r="AC60" s="601"/>
      <c r="AD60" s="101">
        <v>1</v>
      </c>
      <c r="AE60" s="101"/>
      <c r="AF60" s="92">
        <f t="shared" si="6"/>
        <v>-133.94594594594605</v>
      </c>
      <c r="AG60" s="177">
        <f t="shared" si="7"/>
        <v>0.91070270270270259</v>
      </c>
      <c r="AH60" s="620"/>
    </row>
    <row r="61" spans="1:34" ht="19.149999999999999" customHeight="1">
      <c r="A61" s="635"/>
      <c r="B61" s="152">
        <v>0</v>
      </c>
      <c r="C61" s="147"/>
      <c r="D61" s="83"/>
      <c r="E61" s="84"/>
      <c r="F61" s="85"/>
      <c r="G61" s="200"/>
      <c r="H61" s="87"/>
      <c r="I61" s="65"/>
      <c r="J61" s="89"/>
      <c r="K61" s="86"/>
      <c r="L61" s="137"/>
      <c r="M61" s="110"/>
      <c r="N61" s="86"/>
      <c r="O61" s="90"/>
      <c r="P61" s="235"/>
      <c r="Q61" s="93"/>
      <c r="R61" s="94"/>
      <c r="S61" s="620"/>
      <c r="T61" s="236"/>
      <c r="U61" s="236"/>
      <c r="V61" s="208"/>
      <c r="W61" s="88"/>
      <c r="X61" s="99"/>
      <c r="Y61" s="99"/>
      <c r="Z61" s="100"/>
      <c r="AA61" s="100"/>
      <c r="AB61" s="601"/>
      <c r="AC61" s="601"/>
      <c r="AD61" s="101"/>
      <c r="AE61" s="101"/>
      <c r="AF61" s="92">
        <f t="shared" si="6"/>
        <v>0</v>
      </c>
      <c r="AG61" s="177" t="e">
        <f t="shared" si="7"/>
        <v>#DIV/0!</v>
      </c>
      <c r="AH61" s="620"/>
    </row>
    <row r="62" spans="1:34" ht="19.149999999999999" customHeight="1">
      <c r="A62" s="635"/>
      <c r="B62" s="152">
        <v>0</v>
      </c>
      <c r="C62" s="147"/>
      <c r="D62" s="83"/>
      <c r="E62" s="84"/>
      <c r="F62" s="85" t="s">
        <v>391</v>
      </c>
      <c r="G62" s="200"/>
      <c r="H62" s="87">
        <f t="shared" si="35"/>
        <v>0</v>
      </c>
      <c r="I62" s="65"/>
      <c r="J62" s="239"/>
      <c r="K62" s="108"/>
      <c r="L62" s="137"/>
      <c r="M62" s="110"/>
      <c r="N62" s="86"/>
      <c r="O62" s="90"/>
      <c r="P62" s="235"/>
      <c r="Q62" s="93"/>
      <c r="R62" s="94"/>
      <c r="S62" s="620"/>
      <c r="T62" s="236"/>
      <c r="U62" s="236"/>
      <c r="V62" s="208"/>
      <c r="W62" s="88"/>
      <c r="X62" s="99"/>
      <c r="Y62" s="99"/>
      <c r="Z62" s="100"/>
      <c r="AA62" s="100"/>
      <c r="AB62" s="601"/>
      <c r="AC62" s="601"/>
      <c r="AD62" s="101"/>
      <c r="AE62" s="101"/>
      <c r="AF62" s="92">
        <f t="shared" si="6"/>
        <v>0</v>
      </c>
      <c r="AG62" s="177" t="e">
        <f t="shared" si="7"/>
        <v>#DIV/0!</v>
      </c>
      <c r="AH62" s="620"/>
    </row>
    <row r="63" spans="1:34" ht="19.149999999999999" customHeight="1">
      <c r="A63" s="635"/>
      <c r="B63" s="152">
        <v>0</v>
      </c>
      <c r="C63" s="147"/>
      <c r="D63" s="83"/>
      <c r="E63" s="84"/>
      <c r="F63" s="85" t="s">
        <v>391</v>
      </c>
      <c r="G63" s="200"/>
      <c r="H63" s="87">
        <f t="shared" si="35"/>
        <v>0</v>
      </c>
      <c r="I63" s="65"/>
      <c r="J63" s="89"/>
      <c r="K63" s="86"/>
      <c r="L63" s="137"/>
      <c r="M63" s="110"/>
      <c r="N63" s="86"/>
      <c r="O63" s="90"/>
      <c r="P63" s="235"/>
      <c r="Q63" s="93"/>
      <c r="R63" s="94"/>
      <c r="S63" s="620"/>
      <c r="T63" s="236"/>
      <c r="U63" s="236"/>
      <c r="V63" s="208"/>
      <c r="W63" s="88"/>
      <c r="X63" s="99"/>
      <c r="Y63" s="99"/>
      <c r="Z63" s="100"/>
      <c r="AA63" s="100"/>
      <c r="AB63" s="601"/>
      <c r="AC63" s="601"/>
      <c r="AD63" s="101"/>
      <c r="AE63" s="101"/>
      <c r="AF63" s="92">
        <f t="shared" si="6"/>
        <v>0</v>
      </c>
      <c r="AG63" s="177" t="e">
        <f t="shared" si="7"/>
        <v>#DIV/0!</v>
      </c>
      <c r="AH63" s="620"/>
    </row>
    <row r="64" spans="1:34" ht="19.149999999999999" customHeight="1">
      <c r="A64" s="635"/>
      <c r="B64" s="152">
        <v>0</v>
      </c>
      <c r="C64" s="147"/>
      <c r="D64" s="83"/>
      <c r="E64" s="84"/>
      <c r="F64" s="85" t="s">
        <v>391</v>
      </c>
      <c r="G64" s="200"/>
      <c r="H64" s="87">
        <f t="shared" si="35"/>
        <v>0</v>
      </c>
      <c r="I64" s="65"/>
      <c r="J64" s="239"/>
      <c r="K64" s="108"/>
      <c r="L64" s="137"/>
      <c r="M64" s="110"/>
      <c r="N64" s="86"/>
      <c r="O64" s="90"/>
      <c r="P64" s="235"/>
      <c r="Q64" s="93"/>
      <c r="R64" s="94"/>
      <c r="S64" s="620"/>
      <c r="T64" s="236"/>
      <c r="U64" s="236"/>
      <c r="V64" s="208"/>
      <c r="W64" s="88"/>
      <c r="X64" s="65"/>
      <c r="Y64" s="65"/>
      <c r="Z64" s="100"/>
      <c r="AA64" s="100"/>
      <c r="AB64" s="601"/>
      <c r="AC64" s="601"/>
      <c r="AD64" s="101"/>
      <c r="AE64" s="101"/>
      <c r="AF64" s="92">
        <f t="shared" si="6"/>
        <v>0</v>
      </c>
      <c r="AG64" s="177" t="e">
        <f t="shared" si="7"/>
        <v>#DIV/0!</v>
      </c>
      <c r="AH64" s="620"/>
    </row>
    <row r="65" spans="1:34" ht="19.149999999999999" customHeight="1">
      <c r="A65" s="635"/>
      <c r="B65" s="152">
        <v>0</v>
      </c>
      <c r="C65" s="147"/>
      <c r="D65" s="83"/>
      <c r="E65" s="84"/>
      <c r="F65" s="85" t="s">
        <v>391</v>
      </c>
      <c r="G65" s="200"/>
      <c r="H65" s="87">
        <f t="shared" si="35"/>
        <v>0</v>
      </c>
      <c r="I65" s="65"/>
      <c r="J65" s="239"/>
      <c r="K65" s="108"/>
      <c r="L65" s="137"/>
      <c r="M65" s="110"/>
      <c r="N65" s="108"/>
      <c r="O65" s="127"/>
      <c r="P65" s="92"/>
      <c r="Q65" s="93"/>
      <c r="R65" s="94"/>
      <c r="S65" s="620"/>
      <c r="T65" s="236"/>
      <c r="U65" s="236"/>
      <c r="V65" s="208"/>
      <c r="W65" s="88">
        <f t="shared" ref="W65:W69" si="40">(U65-T65)*24*60</f>
        <v>0</v>
      </c>
      <c r="X65" s="65"/>
      <c r="Y65" s="65"/>
      <c r="Z65" s="100"/>
      <c r="AA65" s="100"/>
      <c r="AB65" s="601"/>
      <c r="AC65" s="601"/>
      <c r="AD65" s="101"/>
      <c r="AE65" s="101"/>
      <c r="AF65" s="92">
        <f t="shared" si="6"/>
        <v>0</v>
      </c>
      <c r="AG65" s="177" t="e">
        <f t="shared" si="7"/>
        <v>#DIV/0!</v>
      </c>
      <c r="AH65" s="620"/>
    </row>
    <row r="66" spans="1:34" ht="19.149999999999999" customHeight="1">
      <c r="A66" s="635"/>
      <c r="B66" s="152">
        <v>0</v>
      </c>
      <c r="C66" s="147"/>
      <c r="D66" s="83"/>
      <c r="E66" s="84"/>
      <c r="F66" s="85" t="s">
        <v>391</v>
      </c>
      <c r="G66" s="200"/>
      <c r="H66" s="87">
        <f t="shared" si="35"/>
        <v>0</v>
      </c>
      <c r="I66" s="65"/>
      <c r="J66" s="239"/>
      <c r="K66" s="108"/>
      <c r="L66" s="137"/>
      <c r="M66" s="110"/>
      <c r="N66" s="108"/>
      <c r="O66" s="127"/>
      <c r="P66" s="92"/>
      <c r="Q66" s="93"/>
      <c r="R66" s="94"/>
      <c r="S66" s="620"/>
      <c r="T66" s="236"/>
      <c r="U66" s="236"/>
      <c r="V66" s="208"/>
      <c r="W66" s="88">
        <f t="shared" si="40"/>
        <v>0</v>
      </c>
      <c r="X66" s="65"/>
      <c r="Y66" s="65"/>
      <c r="Z66" s="100"/>
      <c r="AA66" s="100"/>
      <c r="AB66" s="601"/>
      <c r="AC66" s="601"/>
      <c r="AD66" s="101"/>
      <c r="AE66" s="101"/>
      <c r="AF66" s="92">
        <f t="shared" si="6"/>
        <v>0</v>
      </c>
      <c r="AG66" s="177" t="e">
        <f t="shared" si="7"/>
        <v>#DIV/0!</v>
      </c>
      <c r="AH66" s="620"/>
    </row>
    <row r="67" spans="1:34" ht="19.149999999999999" customHeight="1">
      <c r="A67" s="635"/>
      <c r="B67" s="152">
        <v>0</v>
      </c>
      <c r="C67" s="147"/>
      <c r="D67" s="83"/>
      <c r="E67" s="84"/>
      <c r="F67" s="85" t="s">
        <v>391</v>
      </c>
      <c r="G67" s="200"/>
      <c r="H67" s="87">
        <f>F67*G67</f>
        <v>0</v>
      </c>
      <c r="I67" s="65"/>
      <c r="J67" s="239"/>
      <c r="K67" s="108"/>
      <c r="L67" s="137"/>
      <c r="M67" s="110"/>
      <c r="N67" s="108"/>
      <c r="O67" s="127"/>
      <c r="P67" s="92"/>
      <c r="Q67" s="93"/>
      <c r="R67" s="94"/>
      <c r="S67" s="620"/>
      <c r="T67" s="236"/>
      <c r="U67" s="236"/>
      <c r="V67" s="208"/>
      <c r="W67" s="88">
        <f t="shared" si="40"/>
        <v>0</v>
      </c>
      <c r="X67" s="65"/>
      <c r="Y67" s="65"/>
      <c r="Z67" s="100"/>
      <c r="AA67" s="100"/>
      <c r="AB67" s="601"/>
      <c r="AC67" s="601"/>
      <c r="AD67" s="101"/>
      <c r="AE67" s="101"/>
      <c r="AF67" s="92">
        <f t="shared" si="6"/>
        <v>0</v>
      </c>
      <c r="AG67" s="177" t="e">
        <f t="shared" si="7"/>
        <v>#DIV/0!</v>
      </c>
      <c r="AH67" s="620"/>
    </row>
    <row r="68" spans="1:34" ht="19.149999999999999" customHeight="1">
      <c r="A68" s="635"/>
      <c r="B68" s="65">
        <v>0</v>
      </c>
      <c r="C68" s="147"/>
      <c r="D68" s="83"/>
      <c r="E68" s="84"/>
      <c r="F68" s="199" t="s">
        <v>391</v>
      </c>
      <c r="G68" s="200"/>
      <c r="H68" s="87">
        <f>F68*G68</f>
        <v>0</v>
      </c>
      <c r="I68" s="65"/>
      <c r="J68" s="239"/>
      <c r="K68" s="108"/>
      <c r="L68" s="137"/>
      <c r="M68" s="110"/>
      <c r="N68" s="108"/>
      <c r="O68" s="127"/>
      <c r="P68" s="92"/>
      <c r="Q68" s="93"/>
      <c r="R68" s="94"/>
      <c r="S68" s="620"/>
      <c r="T68" s="236"/>
      <c r="U68" s="236"/>
      <c r="V68" s="208"/>
      <c r="W68" s="88">
        <f t="shared" si="40"/>
        <v>0</v>
      </c>
      <c r="X68" s="65"/>
      <c r="Y68" s="65"/>
      <c r="Z68" s="100"/>
      <c r="AA68" s="100"/>
      <c r="AB68" s="601"/>
      <c r="AC68" s="601"/>
      <c r="AD68" s="101"/>
      <c r="AE68" s="101"/>
      <c r="AF68" s="92"/>
      <c r="AG68" s="94"/>
      <c r="AH68" s="620"/>
    </row>
    <row r="69" spans="1:34" ht="19.149999999999999" customHeight="1">
      <c r="A69" s="635"/>
      <c r="B69" s="240">
        <v>0</v>
      </c>
      <c r="C69" s="12" t="s">
        <v>265</v>
      </c>
      <c r="D69" s="602" t="s">
        <v>256</v>
      </c>
      <c r="E69" s="602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1397.5114638910754</v>
      </c>
      <c r="O69" s="123">
        <f t="shared" si="41"/>
        <v>207.77576897285633</v>
      </c>
      <c r="P69" s="92">
        <f>M69-J69</f>
        <v>0.75</v>
      </c>
      <c r="Q69" s="93">
        <f>N69-K69</f>
        <v>-102.48853610892456</v>
      </c>
      <c r="R69" s="245">
        <f t="shared" ref="R69:R70" si="42">O69/L69</f>
        <v>0.83110307589142529</v>
      </c>
      <c r="S69" s="620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01"/>
      <c r="AC69" s="601"/>
      <c r="AD69" s="164">
        <f>SUM(AD57:AD68)</f>
        <v>1</v>
      </c>
      <c r="AE69" s="164">
        <f>SUM(AE57:AE68)</f>
        <v>0</v>
      </c>
      <c r="AF69" s="92">
        <f t="shared" si="6"/>
        <v>-102.48853610892456</v>
      </c>
      <c r="AG69" s="94">
        <f t="shared" si="7"/>
        <v>0.93167430926071693</v>
      </c>
      <c r="AH69" s="620"/>
    </row>
    <row r="70" spans="1:34" ht="19.149999999999999" customHeight="1">
      <c r="A70" s="632" t="s">
        <v>266</v>
      </c>
      <c r="B70" s="65" t="s">
        <v>387</v>
      </c>
      <c r="C70" s="152"/>
      <c r="D70" s="83" t="s">
        <v>157</v>
      </c>
      <c r="E70" s="84"/>
      <c r="F70" s="85">
        <v>62.13</v>
      </c>
      <c r="G70" s="86">
        <v>503</v>
      </c>
      <c r="H70" s="87">
        <f>F70*G70</f>
        <v>31251.390000000003</v>
      </c>
      <c r="I70" s="65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4" si="43">G70/W70*60</f>
        <v>1117.7777777777785</v>
      </c>
      <c r="O70" s="90">
        <f t="shared" ref="O70:O74" si="44">N70/M70</f>
        <v>85.982905982906033</v>
      </c>
      <c r="P70" s="92">
        <f t="shared" ref="P70:P74" si="45">M70-J70</f>
        <v>-1</v>
      </c>
      <c r="Q70" s="93">
        <f t="shared" ref="Q70" si="46">O70-L70</f>
        <v>-21.159951159951106</v>
      </c>
      <c r="R70" s="94">
        <f t="shared" si="42"/>
        <v>0.80250712250712297</v>
      </c>
      <c r="S70" s="620">
        <f>R82</f>
        <v>0.87546783197163758</v>
      </c>
      <c r="T70" s="96">
        <v>0.29166666666666669</v>
      </c>
      <c r="U70" s="96">
        <v>0.31041666666666667</v>
      </c>
      <c r="V70" s="65">
        <v>5</v>
      </c>
      <c r="W70" s="88">
        <f>(U70-T70)*24*60</f>
        <v>26.999999999999986</v>
      </c>
      <c r="X70" s="65"/>
      <c r="Y70" s="65"/>
      <c r="Z70" s="100"/>
      <c r="AA70" s="100"/>
      <c r="AB70" s="601"/>
      <c r="AC70" s="601"/>
      <c r="AD70" s="101"/>
      <c r="AE70" s="101"/>
      <c r="AF70" s="92">
        <f t="shared" si="6"/>
        <v>-382.22222222222149</v>
      </c>
      <c r="AG70" s="94">
        <f t="shared" si="7"/>
        <v>0.74518518518518573</v>
      </c>
      <c r="AH70" s="620">
        <f>AG82</f>
        <v>0.86803211350910348</v>
      </c>
    </row>
    <row r="71" spans="1:34" ht="19.149999999999999" customHeight="1">
      <c r="A71" s="632"/>
      <c r="B71" s="65" t="s">
        <v>386</v>
      </c>
      <c r="C71" s="82"/>
      <c r="D71" s="246" t="s">
        <v>158</v>
      </c>
      <c r="E71" s="84"/>
      <c r="F71" s="85">
        <v>47.65</v>
      </c>
      <c r="G71" s="86">
        <v>2065</v>
      </c>
      <c r="H71" s="87">
        <f>F71*G71</f>
        <v>98397.25</v>
      </c>
      <c r="I71" s="65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1277.3195876288664</v>
      </c>
      <c r="O71" s="90">
        <f t="shared" si="44"/>
        <v>70.962199312714802</v>
      </c>
      <c r="P71" s="92">
        <f t="shared" si="45"/>
        <v>0</v>
      </c>
      <c r="Q71" s="93">
        <f>O71-L71</f>
        <v>-9.0378006872851984</v>
      </c>
      <c r="R71" s="94">
        <f>O71/L71</f>
        <v>0.887027491408935</v>
      </c>
      <c r="S71" s="620"/>
      <c r="T71" s="96">
        <v>0.31527777777777777</v>
      </c>
      <c r="U71" s="96">
        <v>0.38263888888888886</v>
      </c>
      <c r="V71" s="65">
        <v>7</v>
      </c>
      <c r="W71" s="88">
        <f t="shared" ref="W71:W81" si="47">(U71-T71)*24*60</f>
        <v>96.999999999999972</v>
      </c>
      <c r="X71" s="99"/>
      <c r="Y71" s="99"/>
      <c r="Z71" s="100"/>
      <c r="AA71" s="100"/>
      <c r="AB71" s="601"/>
      <c r="AC71" s="601"/>
      <c r="AD71" s="101"/>
      <c r="AE71" s="101"/>
      <c r="AF71" s="92">
        <f>N71-K71</f>
        <v>-162.68041237113357</v>
      </c>
      <c r="AG71" s="94">
        <f>N71/K71</f>
        <v>0.887027491408935</v>
      </c>
      <c r="AH71" s="620"/>
    </row>
    <row r="72" spans="1:34" ht="19.149999999999999" customHeight="1">
      <c r="A72" s="632"/>
      <c r="B72" s="65" t="s">
        <v>386</v>
      </c>
      <c r="C72" s="115"/>
      <c r="D72" s="246" t="s">
        <v>160</v>
      </c>
      <c r="E72" s="84"/>
      <c r="F72" s="85">
        <v>53.76</v>
      </c>
      <c r="G72" s="104">
        <v>1745.6000000000001</v>
      </c>
      <c r="H72" s="87">
        <f t="shared" ref="H72:H80" si="48">F72*G72</f>
        <v>93843.456000000006</v>
      </c>
      <c r="I72" s="65"/>
      <c r="J72" s="138">
        <v>16</v>
      </c>
      <c r="K72" s="104">
        <v>1440</v>
      </c>
      <c r="L72" s="137">
        <v>90</v>
      </c>
      <c r="M72" s="91">
        <v>16</v>
      </c>
      <c r="N72" s="86">
        <f t="shared" si="43"/>
        <v>1261.8795180722889</v>
      </c>
      <c r="O72" s="90">
        <f t="shared" si="44"/>
        <v>78.867469879518055</v>
      </c>
      <c r="P72" s="92">
        <f t="shared" si="45"/>
        <v>0</v>
      </c>
      <c r="Q72" s="93">
        <f>O72-L72</f>
        <v>-11.132530120481945</v>
      </c>
      <c r="R72" s="94">
        <f>O72/L72</f>
        <v>0.87630522088353391</v>
      </c>
      <c r="S72" s="620"/>
      <c r="T72" s="96">
        <v>0.42361111111111105</v>
      </c>
      <c r="U72" s="96">
        <v>0.48124999999999996</v>
      </c>
      <c r="V72" s="65">
        <v>6</v>
      </c>
      <c r="W72" s="88">
        <f t="shared" si="47"/>
        <v>83.000000000000028</v>
      </c>
      <c r="X72" s="99"/>
      <c r="Y72" s="99"/>
      <c r="Z72" s="100"/>
      <c r="AA72" s="100"/>
      <c r="AB72" s="601"/>
      <c r="AC72" s="601"/>
      <c r="AD72" s="101"/>
      <c r="AE72" s="101"/>
      <c r="AF72" s="92">
        <f>N72-K72</f>
        <v>-178.12048192771113</v>
      </c>
      <c r="AG72" s="94">
        <f>N72/K72</f>
        <v>0.87630522088353391</v>
      </c>
      <c r="AH72" s="620"/>
    </row>
    <row r="73" spans="1:34" ht="19.149999999999999" customHeight="1">
      <c r="A73" s="632"/>
      <c r="B73" s="65" t="s">
        <v>386</v>
      </c>
      <c r="C73" s="248"/>
      <c r="D73" s="249" t="s">
        <v>161</v>
      </c>
      <c r="E73" s="250"/>
      <c r="F73" s="85">
        <v>47.51</v>
      </c>
      <c r="G73" s="104">
        <v>2117</v>
      </c>
      <c r="H73" s="87">
        <f t="shared" si="48"/>
        <v>100578.67</v>
      </c>
      <c r="I73" s="101"/>
      <c r="J73" s="251">
        <v>16</v>
      </c>
      <c r="K73" s="252">
        <v>1440</v>
      </c>
      <c r="L73" s="137">
        <v>90</v>
      </c>
      <c r="M73" s="189">
        <v>16</v>
      </c>
      <c r="N73" s="86">
        <f t="shared" si="43"/>
        <v>1245.2941176470583</v>
      </c>
      <c r="O73" s="90">
        <f t="shared" si="44"/>
        <v>77.830882352941146</v>
      </c>
      <c r="P73" s="92">
        <f t="shared" si="45"/>
        <v>0</v>
      </c>
      <c r="Q73" s="93">
        <f>O73-L73</f>
        <v>-12.169117647058854</v>
      </c>
      <c r="R73" s="94">
        <f>O73/L73</f>
        <v>0.86478758169934611</v>
      </c>
      <c r="S73" s="620"/>
      <c r="T73" s="96">
        <v>0.49652777777777773</v>
      </c>
      <c r="U73" s="96">
        <v>0.56736111111111109</v>
      </c>
      <c r="V73" s="65">
        <v>22</v>
      </c>
      <c r="W73" s="88">
        <f t="shared" si="47"/>
        <v>102.00000000000004</v>
      </c>
      <c r="X73" s="253">
        <v>0.48472222222222222</v>
      </c>
      <c r="Y73" s="253">
        <v>0.49374999999999997</v>
      </c>
      <c r="Z73" s="185"/>
      <c r="AA73" s="185"/>
      <c r="AB73" s="601"/>
      <c r="AC73" s="601"/>
      <c r="AD73" s="101"/>
      <c r="AE73" s="101"/>
      <c r="AF73" s="92">
        <f>N73-K73</f>
        <v>-194.70588235294167</v>
      </c>
      <c r="AG73" s="94">
        <f>N73/K73</f>
        <v>0.86478758169934611</v>
      </c>
      <c r="AH73" s="620"/>
    </row>
    <row r="74" spans="1:34" ht="19.149999999999999" customHeight="1">
      <c r="A74" s="632"/>
      <c r="B74" s="65" t="s">
        <v>386</v>
      </c>
      <c r="C74" s="248"/>
      <c r="D74" s="249" t="s">
        <v>159</v>
      </c>
      <c r="E74" s="250"/>
      <c r="F74" s="85">
        <v>53.36</v>
      </c>
      <c r="G74" s="247">
        <v>2172.8000000000002</v>
      </c>
      <c r="H74" s="87">
        <f t="shared" si="48"/>
        <v>115940.60800000001</v>
      </c>
      <c r="I74" s="65">
        <v>2</v>
      </c>
      <c r="J74" s="89">
        <v>18</v>
      </c>
      <c r="K74" s="247">
        <v>1300</v>
      </c>
      <c r="L74" s="90">
        <v>72.222222222222229</v>
      </c>
      <c r="M74" s="91">
        <v>18</v>
      </c>
      <c r="N74" s="86">
        <f t="shared" si="43"/>
        <v>1278.1176470588241</v>
      </c>
      <c r="O74" s="90">
        <f t="shared" si="44"/>
        <v>71.00653594771245</v>
      </c>
      <c r="P74" s="92">
        <f t="shared" si="45"/>
        <v>0</v>
      </c>
      <c r="Q74" s="93">
        <f>O74-L74</f>
        <v>-1.2156862745097783</v>
      </c>
      <c r="R74" s="94">
        <f>O74/L74</f>
        <v>0.98316742081447994</v>
      </c>
      <c r="S74" s="620"/>
      <c r="T74" s="96">
        <v>0.57291666666666663</v>
      </c>
      <c r="U74" s="96">
        <v>0.64374999999999993</v>
      </c>
      <c r="V74" s="65">
        <v>8</v>
      </c>
      <c r="W74" s="88">
        <f t="shared" si="47"/>
        <v>101.99999999999996</v>
      </c>
      <c r="X74" s="253"/>
      <c r="Y74" s="253"/>
      <c r="Z74" s="185"/>
      <c r="AA74" s="185"/>
      <c r="AB74" s="601"/>
      <c r="AC74" s="601"/>
      <c r="AD74" s="101"/>
      <c r="AE74" s="101"/>
      <c r="AF74" s="92">
        <f>N74-K74</f>
        <v>-21.882352941175895</v>
      </c>
      <c r="AG74" s="94">
        <f>N74/K74</f>
        <v>0.98316742081448005</v>
      </c>
      <c r="AH74" s="620"/>
    </row>
    <row r="75" spans="1:34" ht="19.149999999999999" customHeight="1">
      <c r="A75" s="632"/>
      <c r="B75" s="65">
        <v>0</v>
      </c>
      <c r="C75" s="115"/>
      <c r="D75" s="246"/>
      <c r="E75" s="84"/>
      <c r="F75" s="85" t="s">
        <v>391</v>
      </c>
      <c r="G75" s="104"/>
      <c r="H75" s="87">
        <f t="shared" si="48"/>
        <v>0</v>
      </c>
      <c r="I75" s="65"/>
      <c r="J75" s="138"/>
      <c r="K75" s="104"/>
      <c r="L75" s="137"/>
      <c r="M75" s="91"/>
      <c r="N75" s="86"/>
      <c r="O75" s="90"/>
      <c r="P75" s="92"/>
      <c r="Q75" s="93"/>
      <c r="R75" s="94"/>
      <c r="S75" s="620"/>
      <c r="T75" s="96"/>
      <c r="U75" s="96"/>
      <c r="V75" s="65"/>
      <c r="W75" s="88">
        <f t="shared" si="47"/>
        <v>0</v>
      </c>
      <c r="X75" s="253"/>
      <c r="Y75" s="253"/>
      <c r="Z75" s="185"/>
      <c r="AA75" s="185"/>
      <c r="AB75" s="601"/>
      <c r="AC75" s="601"/>
      <c r="AD75" s="101"/>
      <c r="AE75" s="101"/>
      <c r="AF75" s="92">
        <f>N75-K75</f>
        <v>0</v>
      </c>
      <c r="AG75" s="94" t="e">
        <f>N75/K75</f>
        <v>#DIV/0!</v>
      </c>
      <c r="AH75" s="620"/>
    </row>
    <row r="76" spans="1:34" ht="19.149999999999999" customHeight="1">
      <c r="A76" s="632"/>
      <c r="B76" s="65">
        <v>0</v>
      </c>
      <c r="C76" s="248"/>
      <c r="D76" s="249"/>
      <c r="E76" s="250"/>
      <c r="F76" s="85" t="s">
        <v>391</v>
      </c>
      <c r="G76" s="247"/>
      <c r="H76" s="87">
        <f t="shared" si="48"/>
        <v>0</v>
      </c>
      <c r="I76" s="65"/>
      <c r="J76" s="251"/>
      <c r="K76" s="252"/>
      <c r="L76" s="137"/>
      <c r="M76" s="189" t="s">
        <v>49</v>
      </c>
      <c r="N76" s="86"/>
      <c r="O76" s="90"/>
      <c r="P76" s="92"/>
      <c r="Q76" s="93"/>
      <c r="R76" s="94"/>
      <c r="S76" s="620"/>
      <c r="T76" s="96"/>
      <c r="U76" s="96"/>
      <c r="V76" s="65"/>
      <c r="W76" s="88"/>
      <c r="X76" s="253"/>
      <c r="Y76" s="253"/>
      <c r="Z76" s="185"/>
      <c r="AA76" s="185"/>
      <c r="AB76" s="601"/>
      <c r="AC76" s="601"/>
      <c r="AD76" s="101"/>
      <c r="AE76" s="101"/>
      <c r="AF76" s="92">
        <f t="shared" ref="AF76:AF80" si="49">N76-K76</f>
        <v>0</v>
      </c>
      <c r="AG76" s="94" t="e">
        <f t="shared" ref="AG76:AG80" si="50">N76/K76</f>
        <v>#DIV/0!</v>
      </c>
      <c r="AH76" s="620"/>
    </row>
    <row r="77" spans="1:34" ht="19.149999999999999" customHeight="1">
      <c r="A77" s="632"/>
      <c r="B77" s="65">
        <v>0</v>
      </c>
      <c r="C77" s="147"/>
      <c r="D77" s="249"/>
      <c r="E77" s="84"/>
      <c r="F77" s="85" t="s">
        <v>391</v>
      </c>
      <c r="G77" s="247"/>
      <c r="H77" s="87">
        <f t="shared" si="48"/>
        <v>0</v>
      </c>
      <c r="I77" s="101"/>
      <c r="J77" s="89"/>
      <c r="K77" s="247"/>
      <c r="L77" s="90"/>
      <c r="M77" s="189"/>
      <c r="N77" s="86"/>
      <c r="O77" s="90"/>
      <c r="P77" s="92"/>
      <c r="Q77" s="93"/>
      <c r="R77" s="94"/>
      <c r="S77" s="620"/>
      <c r="T77" s="96"/>
      <c r="U77" s="96"/>
      <c r="V77" s="65"/>
      <c r="W77" s="88"/>
      <c r="X77" s="253"/>
      <c r="Y77" s="253"/>
      <c r="Z77" s="185"/>
      <c r="AA77" s="185"/>
      <c r="AB77" s="601"/>
      <c r="AC77" s="601"/>
      <c r="AD77" s="101"/>
      <c r="AE77" s="101"/>
      <c r="AF77" s="92">
        <f t="shared" si="49"/>
        <v>0</v>
      </c>
      <c r="AG77" s="94" t="e">
        <f t="shared" si="50"/>
        <v>#DIV/0!</v>
      </c>
      <c r="AH77" s="620"/>
    </row>
    <row r="78" spans="1:34" ht="19.149999999999999" customHeight="1">
      <c r="A78" s="632"/>
      <c r="B78" s="65">
        <v>0</v>
      </c>
      <c r="C78" s="147"/>
      <c r="D78" s="83"/>
      <c r="E78" s="84"/>
      <c r="F78" s="85" t="s">
        <v>391</v>
      </c>
      <c r="G78" s="104"/>
      <c r="H78" s="87">
        <f t="shared" si="48"/>
        <v>0</v>
      </c>
      <c r="I78" s="101"/>
      <c r="J78" s="138"/>
      <c r="K78" s="104"/>
      <c r="L78" s="137"/>
      <c r="M78" s="189"/>
      <c r="N78" s="86"/>
      <c r="O78" s="90"/>
      <c r="P78" s="92"/>
      <c r="Q78" s="93"/>
      <c r="R78" s="94"/>
      <c r="S78" s="620"/>
      <c r="T78" s="96"/>
      <c r="U78" s="96"/>
      <c r="V78" s="65"/>
      <c r="W78" s="88"/>
      <c r="X78" s="253"/>
      <c r="Y78" s="253"/>
      <c r="Z78" s="185"/>
      <c r="AA78" s="185"/>
      <c r="AB78" s="601"/>
      <c r="AC78" s="601"/>
      <c r="AD78" s="101"/>
      <c r="AE78" s="101"/>
      <c r="AF78" s="92">
        <f t="shared" si="49"/>
        <v>0</v>
      </c>
      <c r="AG78" s="94" t="e">
        <f t="shared" si="50"/>
        <v>#DIV/0!</v>
      </c>
      <c r="AH78" s="620"/>
    </row>
    <row r="79" spans="1:34" ht="19.149999999999999" customHeight="1">
      <c r="A79" s="632"/>
      <c r="B79" s="65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101"/>
      <c r="J79" s="138"/>
      <c r="K79" s="104"/>
      <c r="L79" s="137"/>
      <c r="M79" s="189"/>
      <c r="N79" s="104"/>
      <c r="O79" s="254"/>
      <c r="P79" s="165"/>
      <c r="Q79" s="255"/>
      <c r="R79" s="166"/>
      <c r="S79" s="620"/>
      <c r="T79" s="96"/>
      <c r="U79" s="96"/>
      <c r="V79" s="65"/>
      <c r="W79" s="88">
        <f t="shared" si="47"/>
        <v>0</v>
      </c>
      <c r="X79" s="253"/>
      <c r="Y79" s="253"/>
      <c r="Z79" s="185"/>
      <c r="AA79" s="185"/>
      <c r="AB79" s="601"/>
      <c r="AC79" s="601"/>
      <c r="AD79" s="101"/>
      <c r="AE79" s="101"/>
      <c r="AF79" s="92">
        <f t="shared" si="49"/>
        <v>0</v>
      </c>
      <c r="AG79" s="94" t="e">
        <f t="shared" si="50"/>
        <v>#DIV/0!</v>
      </c>
      <c r="AH79" s="620"/>
    </row>
    <row r="80" spans="1:34" ht="19.149999999999999" customHeight="1">
      <c r="A80" s="632"/>
      <c r="B80" s="65">
        <v>0</v>
      </c>
      <c r="C80" s="147"/>
      <c r="D80" s="83"/>
      <c r="E80" s="84"/>
      <c r="F80" s="85"/>
      <c r="G80" s="104"/>
      <c r="H80" s="87">
        <f t="shared" si="48"/>
        <v>0</v>
      </c>
      <c r="I80" s="101"/>
      <c r="J80" s="138"/>
      <c r="K80" s="104"/>
      <c r="L80" s="137"/>
      <c r="M80" s="189"/>
      <c r="N80" s="104"/>
      <c r="O80" s="256"/>
      <c r="P80" s="100"/>
      <c r="Q80" s="139"/>
      <c r="R80" s="257"/>
      <c r="S80" s="620"/>
      <c r="T80" s="96"/>
      <c r="U80" s="96"/>
      <c r="V80" s="65"/>
      <c r="W80" s="88">
        <f t="shared" si="47"/>
        <v>0</v>
      </c>
      <c r="X80" s="253"/>
      <c r="Y80" s="253"/>
      <c r="Z80" s="185"/>
      <c r="AA80" s="185"/>
      <c r="AB80" s="601"/>
      <c r="AC80" s="601"/>
      <c r="AD80" s="101"/>
      <c r="AE80" s="101"/>
      <c r="AF80" s="92">
        <f t="shared" si="49"/>
        <v>0</v>
      </c>
      <c r="AG80" s="94" t="e">
        <f t="shared" si="50"/>
        <v>#DIV/0!</v>
      </c>
      <c r="AH80" s="620"/>
    </row>
    <row r="81" spans="1:34" ht="19.149999999999999" customHeight="1">
      <c r="A81" s="632"/>
      <c r="B81" s="65">
        <v>0</v>
      </c>
      <c r="C81" s="147"/>
      <c r="D81" s="83"/>
      <c r="E81" s="84"/>
      <c r="F81" s="199"/>
      <c r="G81" s="104"/>
      <c r="H81" s="135"/>
      <c r="I81" s="101"/>
      <c r="J81" s="138"/>
      <c r="K81" s="104"/>
      <c r="L81" s="137"/>
      <c r="M81" s="189"/>
      <c r="N81" s="104"/>
      <c r="O81" s="256"/>
      <c r="P81" s="100"/>
      <c r="Q81" s="139"/>
      <c r="R81" s="257"/>
      <c r="S81" s="620"/>
      <c r="T81" s="96"/>
      <c r="U81" s="96"/>
      <c r="V81" s="65"/>
      <c r="W81" s="88">
        <f t="shared" si="47"/>
        <v>0</v>
      </c>
      <c r="X81" s="253"/>
      <c r="Y81" s="253"/>
      <c r="Z81" s="185"/>
      <c r="AA81" s="185"/>
      <c r="AB81" s="601"/>
      <c r="AC81" s="601"/>
      <c r="AD81" s="101"/>
      <c r="AE81" s="101"/>
      <c r="AF81" s="92"/>
      <c r="AG81" s="186"/>
      <c r="AH81" s="620"/>
    </row>
    <row r="82" spans="1:34" ht="19.149999999999999" customHeight="1">
      <c r="A82" s="633"/>
      <c r="B82" s="240">
        <v>0</v>
      </c>
      <c r="C82" s="156" t="s">
        <v>267</v>
      </c>
      <c r="D82" s="602" t="s">
        <v>256</v>
      </c>
      <c r="E82" s="602"/>
      <c r="F82" s="258"/>
      <c r="G82" s="158"/>
      <c r="H82" s="159"/>
      <c r="I82" s="160"/>
      <c r="J82" s="158">
        <v>16.399999999999999</v>
      </c>
      <c r="K82" s="158">
        <v>1424</v>
      </c>
      <c r="L82" s="161">
        <v>87.873015873015873</v>
      </c>
      <c r="M82" s="158">
        <f t="shared" ref="M82:O82" si="51">AVERAGE(M70:M81)</f>
        <v>16.2</v>
      </c>
      <c r="N82" s="158">
        <f t="shared" si="51"/>
        <v>1236.0777296369633</v>
      </c>
      <c r="O82" s="259">
        <f t="shared" si="51"/>
        <v>76.929998695158503</v>
      </c>
      <c r="P82" s="175">
        <f>M82-J82</f>
        <v>-0.19999999999999929</v>
      </c>
      <c r="Q82" s="176">
        <f>N82-K82</f>
        <v>-187.92227036303666</v>
      </c>
      <c r="R82" s="245">
        <f>O82/L82</f>
        <v>0.87546783197163758</v>
      </c>
      <c r="S82" s="620"/>
      <c r="T82" s="96"/>
      <c r="U82" s="96"/>
      <c r="V82" s="65"/>
      <c r="W82" s="86"/>
      <c r="X82" s="90"/>
      <c r="Y82" s="90"/>
      <c r="Z82" s="163">
        <f>SUM(Z70:Z81)</f>
        <v>0</v>
      </c>
      <c r="AA82" s="163">
        <f>SUM(AA70:AA81)</f>
        <v>0</v>
      </c>
      <c r="AB82" s="601"/>
      <c r="AC82" s="601"/>
      <c r="AD82" s="164">
        <f>SUM(AD70:AD81)</f>
        <v>0</v>
      </c>
      <c r="AE82" s="164">
        <f>SUM(AE70:AE81)</f>
        <v>0</v>
      </c>
      <c r="AF82" s="92">
        <f>N82-K82</f>
        <v>-187.92227036303666</v>
      </c>
      <c r="AG82" s="94">
        <f>N82/K82</f>
        <v>0.86803211350910348</v>
      </c>
      <c r="AH82" s="620"/>
    </row>
    <row r="83" spans="1:34" ht="19.149999999999999" customHeight="1">
      <c r="A83" s="630" t="s">
        <v>268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3259.2</v>
      </c>
      <c r="H83" s="135">
        <f t="shared" ref="H83:H94" si="52">F83*G83</f>
        <v>173910.91199999998</v>
      </c>
      <c r="I83" s="101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7" si="53">G83/W83*60</f>
        <v>1269.8181818181818</v>
      </c>
      <c r="O83" s="256">
        <f t="shared" ref="O83:O87" si="54">N83/M83</f>
        <v>70.545454545454547</v>
      </c>
      <c r="P83" s="100">
        <f t="shared" ref="P83:P87" si="55">M83-J83</f>
        <v>0</v>
      </c>
      <c r="Q83" s="139">
        <f t="shared" ref="Q83:Q87" si="56">O83-L83</f>
        <v>-1.6767676767676818</v>
      </c>
      <c r="R83" s="261">
        <f t="shared" ref="R83:R87" si="57">O83/L83</f>
        <v>0.97678321678321667</v>
      </c>
      <c r="S83" s="620">
        <f>R95</f>
        <v>0.88236553466671008</v>
      </c>
      <c r="T83" s="96">
        <v>0.33333333333333331</v>
      </c>
      <c r="U83" s="96">
        <v>0.44027777777777777</v>
      </c>
      <c r="V83" s="65">
        <v>5</v>
      </c>
      <c r="W83" s="88">
        <f t="shared" ref="W83:W93" si="58">(U83-T83)*24*60</f>
        <v>154</v>
      </c>
      <c r="X83" s="99"/>
      <c r="Y83" s="99"/>
      <c r="Z83" s="100"/>
      <c r="AA83" s="100"/>
      <c r="AB83" s="601"/>
      <c r="AC83" s="601"/>
      <c r="AD83" s="101"/>
      <c r="AE83" s="101"/>
      <c r="AF83" s="92">
        <f t="shared" ref="AF83:AF173" si="59">N83-K83</f>
        <v>-30.181818181818244</v>
      </c>
      <c r="AG83" s="94">
        <f t="shared" ref="AG83:AG173" si="60">N83/K83</f>
        <v>0.97678321678321678</v>
      </c>
      <c r="AH83" s="620">
        <f>AG95</f>
        <v>0.84973632175299751</v>
      </c>
    </row>
    <row r="84" spans="1:34" ht="19.149999999999999" customHeight="1">
      <c r="A84" s="631"/>
      <c r="B84" s="167" t="s">
        <v>387</v>
      </c>
      <c r="C84" s="147"/>
      <c r="D84" s="262" t="s">
        <v>164</v>
      </c>
      <c r="E84" s="84"/>
      <c r="F84" s="199">
        <v>56.43</v>
      </c>
      <c r="G84" s="86">
        <v>887</v>
      </c>
      <c r="H84" s="135">
        <f t="shared" si="52"/>
        <v>50053.409999999996</v>
      </c>
      <c r="I84" s="65"/>
      <c r="J84" s="138">
        <v>19</v>
      </c>
      <c r="K84" s="104">
        <v>1385</v>
      </c>
      <c r="L84" s="137">
        <v>72.89473684210526</v>
      </c>
      <c r="M84" s="189">
        <v>18</v>
      </c>
      <c r="N84" s="104">
        <f t="shared" si="53"/>
        <v>1086.1224489795923</v>
      </c>
      <c r="O84" s="256">
        <f t="shared" si="54"/>
        <v>60.340136054421791</v>
      </c>
      <c r="P84" s="100">
        <f t="shared" si="55"/>
        <v>-1</v>
      </c>
      <c r="Q84" s="139">
        <f t="shared" si="56"/>
        <v>-12.554600787683469</v>
      </c>
      <c r="R84" s="261">
        <f t="shared" si="57"/>
        <v>0.82777081951914377</v>
      </c>
      <c r="S84" s="620"/>
      <c r="T84" s="96">
        <v>0.48055555555555551</v>
      </c>
      <c r="U84" s="96">
        <v>0.51458333333333328</v>
      </c>
      <c r="V84" s="65">
        <v>5</v>
      </c>
      <c r="W84" s="88">
        <f t="shared" si="58"/>
        <v>48.999999999999986</v>
      </c>
      <c r="X84" s="99"/>
      <c r="Y84" s="99"/>
      <c r="Z84" s="100"/>
      <c r="AA84" s="100"/>
      <c r="AB84" s="601"/>
      <c r="AC84" s="601"/>
      <c r="AD84" s="101"/>
      <c r="AE84" s="101"/>
      <c r="AF84" s="92">
        <f t="shared" si="59"/>
        <v>-298.87755102040774</v>
      </c>
      <c r="AG84" s="94">
        <f t="shared" si="60"/>
        <v>0.78420393428129409</v>
      </c>
      <c r="AH84" s="620"/>
    </row>
    <row r="85" spans="1:34" ht="19.149999999999999" customHeight="1">
      <c r="A85" s="631"/>
      <c r="B85" s="167" t="s">
        <v>388</v>
      </c>
      <c r="C85" s="183"/>
      <c r="D85" s="262" t="s">
        <v>150</v>
      </c>
      <c r="E85" s="84"/>
      <c r="F85" s="199">
        <v>31.43</v>
      </c>
      <c r="G85" s="86">
        <v>1962.4</v>
      </c>
      <c r="H85" s="135">
        <f t="shared" si="52"/>
        <v>61678.232000000004</v>
      </c>
      <c r="I85" s="65"/>
      <c r="J85" s="138">
        <v>6</v>
      </c>
      <c r="K85" s="104">
        <v>1500</v>
      </c>
      <c r="L85" s="137">
        <v>250</v>
      </c>
      <c r="M85" s="189">
        <v>6</v>
      </c>
      <c r="N85" s="104">
        <f t="shared" si="53"/>
        <v>1369.1162790697672</v>
      </c>
      <c r="O85" s="256">
        <f t="shared" si="54"/>
        <v>228.18604651162786</v>
      </c>
      <c r="P85" s="100">
        <f t="shared" si="55"/>
        <v>0</v>
      </c>
      <c r="Q85" s="139">
        <f t="shared" si="56"/>
        <v>-21.813953488372135</v>
      </c>
      <c r="R85" s="261">
        <f t="shared" si="57"/>
        <v>0.91274418604651142</v>
      </c>
      <c r="S85" s="620"/>
      <c r="T85" s="96">
        <v>0.53055555555555545</v>
      </c>
      <c r="U85" s="96">
        <v>0.59027777777777768</v>
      </c>
      <c r="V85" s="65">
        <v>23</v>
      </c>
      <c r="W85" s="88">
        <f t="shared" si="58"/>
        <v>86.000000000000014</v>
      </c>
      <c r="X85" s="99">
        <v>0.5180555555555556</v>
      </c>
      <c r="Y85" s="99">
        <v>0.52777777777777779</v>
      </c>
      <c r="Z85" s="100"/>
      <c r="AA85" s="100"/>
      <c r="AB85" s="601"/>
      <c r="AC85" s="601"/>
      <c r="AD85" s="101">
        <v>1</v>
      </c>
      <c r="AE85" s="101"/>
      <c r="AF85" s="92">
        <f t="shared" si="59"/>
        <v>-130.88372093023281</v>
      </c>
      <c r="AG85" s="94">
        <f t="shared" si="60"/>
        <v>0.91274418604651142</v>
      </c>
      <c r="AH85" s="620"/>
    </row>
    <row r="86" spans="1:34" ht="19.149999999999999" customHeight="1">
      <c r="A86" s="631"/>
      <c r="B86" s="167" t="s">
        <v>390</v>
      </c>
      <c r="C86" s="152"/>
      <c r="D86" s="262" t="s">
        <v>165</v>
      </c>
      <c r="E86" s="84"/>
      <c r="F86" s="199">
        <v>58.17</v>
      </c>
      <c r="G86" s="86">
        <v>897</v>
      </c>
      <c r="H86" s="135">
        <f t="shared" si="52"/>
        <v>52178.49</v>
      </c>
      <c r="I86" s="65"/>
      <c r="J86" s="138">
        <v>19</v>
      </c>
      <c r="K86" s="104">
        <v>1385</v>
      </c>
      <c r="L86" s="137">
        <v>72.89473684210526</v>
      </c>
      <c r="M86" s="189">
        <v>19</v>
      </c>
      <c r="N86" s="104">
        <f t="shared" si="53"/>
        <v>1076.4000000000003</v>
      </c>
      <c r="O86" s="256">
        <f t="shared" si="54"/>
        <v>56.652631578947386</v>
      </c>
      <c r="P86" s="100">
        <f t="shared" si="55"/>
        <v>0</v>
      </c>
      <c r="Q86" s="139">
        <f t="shared" si="56"/>
        <v>-16.242105263157875</v>
      </c>
      <c r="R86" s="261">
        <f t="shared" si="57"/>
        <v>0.777184115523466</v>
      </c>
      <c r="S86" s="620"/>
      <c r="T86" s="96">
        <v>0.70833333333333337</v>
      </c>
      <c r="U86" s="96">
        <v>0.74305555555555558</v>
      </c>
      <c r="V86" s="65">
        <v>5</v>
      </c>
      <c r="W86" s="88">
        <f t="shared" si="58"/>
        <v>49.999999999999986</v>
      </c>
      <c r="X86" s="99"/>
      <c r="Y86" s="99"/>
      <c r="Z86" s="100"/>
      <c r="AA86" s="100"/>
      <c r="AB86" s="601"/>
      <c r="AC86" s="601"/>
      <c r="AD86" s="101"/>
      <c r="AE86" s="101"/>
      <c r="AF86" s="92">
        <f t="shared" si="59"/>
        <v>-308.59999999999968</v>
      </c>
      <c r="AG86" s="94">
        <f t="shared" si="60"/>
        <v>0.77718411552346589</v>
      </c>
      <c r="AH86" s="620"/>
    </row>
    <row r="87" spans="1:34" ht="19.149999999999999" customHeight="1">
      <c r="A87" s="631"/>
      <c r="B87" s="167" t="s">
        <v>390</v>
      </c>
      <c r="C87" s="152"/>
      <c r="D87" s="262" t="s">
        <v>166</v>
      </c>
      <c r="E87" s="84"/>
      <c r="F87" s="199">
        <v>53.68</v>
      </c>
      <c r="G87" s="86">
        <v>1049</v>
      </c>
      <c r="H87" s="135">
        <f t="shared" si="52"/>
        <v>56310.32</v>
      </c>
      <c r="I87" s="65"/>
      <c r="J87" s="138">
        <v>20</v>
      </c>
      <c r="K87" s="104">
        <v>1380</v>
      </c>
      <c r="L87" s="137">
        <v>69</v>
      </c>
      <c r="M87" s="189">
        <v>19</v>
      </c>
      <c r="N87" s="104">
        <f t="shared" si="53"/>
        <v>1104.2105263157903</v>
      </c>
      <c r="O87" s="256">
        <f t="shared" si="54"/>
        <v>58.11634349030475</v>
      </c>
      <c r="P87" s="100">
        <f t="shared" si="55"/>
        <v>-1</v>
      </c>
      <c r="Q87" s="139">
        <f t="shared" si="56"/>
        <v>-10.88365650969525</v>
      </c>
      <c r="R87" s="261">
        <f t="shared" si="57"/>
        <v>0.84226584768557611</v>
      </c>
      <c r="S87" s="620"/>
      <c r="T87" s="96">
        <v>0.7583333333333333</v>
      </c>
      <c r="U87" s="96">
        <v>0.79791666666666661</v>
      </c>
      <c r="V87" s="65">
        <v>22</v>
      </c>
      <c r="W87" s="88">
        <f t="shared" si="58"/>
        <v>56.999999999999957</v>
      </c>
      <c r="X87" s="99">
        <v>0.74652777777777779</v>
      </c>
      <c r="Y87" s="99">
        <v>0.75555555555555554</v>
      </c>
      <c r="Z87" s="100"/>
      <c r="AA87" s="100"/>
      <c r="AB87" s="601"/>
      <c r="AC87" s="601"/>
      <c r="AD87" s="101"/>
      <c r="AE87" s="101"/>
      <c r="AF87" s="92">
        <f t="shared" si="59"/>
        <v>-275.78947368420972</v>
      </c>
      <c r="AG87" s="94">
        <f t="shared" si="60"/>
        <v>0.80015255530129725</v>
      </c>
      <c r="AH87" s="620"/>
    </row>
    <row r="88" spans="1:34" ht="19.149999999999999" customHeight="1">
      <c r="A88" s="631"/>
      <c r="B88" s="167">
        <v>0</v>
      </c>
      <c r="C88" s="147"/>
      <c r="D88" s="262"/>
      <c r="E88" s="84"/>
      <c r="F88" s="199" t="s">
        <v>391</v>
      </c>
      <c r="G88" s="104"/>
      <c r="H88" s="135">
        <f t="shared" si="52"/>
        <v>0</v>
      </c>
      <c r="I88" s="65"/>
      <c r="J88" s="138"/>
      <c r="K88" s="104"/>
      <c r="L88" s="137"/>
      <c r="M88" s="189"/>
      <c r="N88" s="104"/>
      <c r="O88" s="256"/>
      <c r="P88" s="100"/>
      <c r="Q88" s="139"/>
      <c r="R88" s="261"/>
      <c r="S88" s="620"/>
      <c r="T88" s="96"/>
      <c r="U88" s="96"/>
      <c r="V88" s="65"/>
      <c r="W88" s="88"/>
      <c r="X88" s="99"/>
      <c r="Y88" s="99"/>
      <c r="Z88" s="100"/>
      <c r="AA88" s="100"/>
      <c r="AB88" s="601"/>
      <c r="AC88" s="601"/>
      <c r="AD88" s="101"/>
      <c r="AE88" s="101"/>
      <c r="AF88" s="92">
        <f t="shared" si="59"/>
        <v>0</v>
      </c>
      <c r="AG88" s="94" t="e">
        <f t="shared" si="60"/>
        <v>#DIV/0!</v>
      </c>
      <c r="AH88" s="620"/>
    </row>
    <row r="89" spans="1:34" ht="19.149999999999999" customHeight="1">
      <c r="A89" s="631"/>
      <c r="B89" s="167">
        <v>0</v>
      </c>
      <c r="C89" s="147"/>
      <c r="D89" s="83"/>
      <c r="E89" s="84"/>
      <c r="F89" s="199" t="s">
        <v>391</v>
      </c>
      <c r="G89" s="173"/>
      <c r="H89" s="135">
        <f t="shared" si="52"/>
        <v>0</v>
      </c>
      <c r="I89" s="65"/>
      <c r="J89" s="138"/>
      <c r="K89" s="104"/>
      <c r="L89" s="137"/>
      <c r="M89" s="189"/>
      <c r="N89" s="104"/>
      <c r="O89" s="256"/>
      <c r="P89" s="100"/>
      <c r="Q89" s="139"/>
      <c r="R89" s="261"/>
      <c r="S89" s="620"/>
      <c r="T89" s="96"/>
      <c r="U89" s="96"/>
      <c r="V89" s="65"/>
      <c r="W89" s="88"/>
      <c r="X89" s="99"/>
      <c r="Y89" s="99"/>
      <c r="Z89" s="100"/>
      <c r="AA89" s="100"/>
      <c r="AB89" s="601"/>
      <c r="AC89" s="601"/>
      <c r="AD89" s="101"/>
      <c r="AE89" s="101"/>
      <c r="AF89" s="92">
        <f t="shared" si="59"/>
        <v>0</v>
      </c>
      <c r="AG89" s="94" t="e">
        <f t="shared" si="60"/>
        <v>#DIV/0!</v>
      </c>
      <c r="AH89" s="620"/>
    </row>
    <row r="90" spans="1:34" ht="19.149999999999999" customHeight="1">
      <c r="A90" s="631"/>
      <c r="B90" s="167">
        <v>0</v>
      </c>
      <c r="C90" s="147"/>
      <c r="D90" s="83"/>
      <c r="E90" s="84"/>
      <c r="F90" s="199" t="s">
        <v>391</v>
      </c>
      <c r="G90" s="188"/>
      <c r="H90" s="135">
        <f t="shared" si="52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0"/>
      <c r="T90" s="96"/>
      <c r="U90" s="96"/>
      <c r="V90" s="65"/>
      <c r="W90" s="88"/>
      <c r="X90" s="264"/>
      <c r="Y90" s="264"/>
      <c r="Z90" s="100"/>
      <c r="AA90" s="100"/>
      <c r="AB90" s="601"/>
      <c r="AC90" s="601"/>
      <c r="AD90" s="101"/>
      <c r="AE90" s="101"/>
      <c r="AF90" s="92">
        <f t="shared" si="59"/>
        <v>0</v>
      </c>
      <c r="AG90" s="94" t="e">
        <f t="shared" si="60"/>
        <v>#DIV/0!</v>
      </c>
      <c r="AH90" s="620"/>
    </row>
    <row r="91" spans="1:34" ht="19.149999999999999" customHeight="1">
      <c r="A91" s="631"/>
      <c r="B91" s="167">
        <v>0</v>
      </c>
      <c r="C91" s="147"/>
      <c r="D91" s="83"/>
      <c r="E91" s="84"/>
      <c r="F91" s="199" t="s">
        <v>391</v>
      </c>
      <c r="G91" s="86"/>
      <c r="H91" s="135">
        <f t="shared" si="52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3"/>
      <c r="T91" s="96"/>
      <c r="U91" s="96"/>
      <c r="V91" s="65"/>
      <c r="W91" s="88"/>
      <c r="X91" s="174"/>
      <c r="Y91" s="174"/>
      <c r="Z91" s="100"/>
      <c r="AA91" s="100"/>
      <c r="AB91" s="601"/>
      <c r="AC91" s="601"/>
      <c r="AD91" s="101"/>
      <c r="AE91" s="101"/>
      <c r="AF91" s="92">
        <f t="shared" si="59"/>
        <v>0</v>
      </c>
      <c r="AG91" s="94" t="e">
        <f t="shared" si="60"/>
        <v>#DIV/0!</v>
      </c>
      <c r="AH91" s="623"/>
    </row>
    <row r="92" spans="1:34" ht="19.149999999999999" customHeight="1">
      <c r="A92" s="631"/>
      <c r="B92" s="167">
        <v>0</v>
      </c>
      <c r="C92" s="147"/>
      <c r="D92" s="83"/>
      <c r="E92" s="84"/>
      <c r="F92" s="199" t="s">
        <v>391</v>
      </c>
      <c r="G92" s="86"/>
      <c r="H92" s="135">
        <f t="shared" si="52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1"/>
      <c r="S92" s="623"/>
      <c r="T92" s="96"/>
      <c r="U92" s="96"/>
      <c r="V92" s="65"/>
      <c r="W92" s="88"/>
      <c r="X92" s="253"/>
      <c r="Y92" s="253"/>
      <c r="Z92" s="185"/>
      <c r="AA92" s="185"/>
      <c r="AB92" s="601"/>
      <c r="AC92" s="601"/>
      <c r="AD92" s="101"/>
      <c r="AE92" s="101"/>
      <c r="AF92" s="92">
        <f t="shared" si="59"/>
        <v>0</v>
      </c>
      <c r="AG92" s="94" t="e">
        <f t="shared" si="60"/>
        <v>#DIV/0!</v>
      </c>
      <c r="AH92" s="623"/>
    </row>
    <row r="93" spans="1:34" ht="19.149999999999999" customHeight="1">
      <c r="A93" s="631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2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0"/>
      <c r="S93" s="629"/>
      <c r="T93" s="111"/>
      <c r="U93" s="111"/>
      <c r="V93" s="109"/>
      <c r="W93" s="88">
        <f t="shared" si="58"/>
        <v>0</v>
      </c>
      <c r="X93" s="275"/>
      <c r="Y93" s="275"/>
      <c r="Z93" s="185"/>
      <c r="AA93" s="185"/>
      <c r="AB93" s="601"/>
      <c r="AC93" s="601"/>
      <c r="AD93" s="101"/>
      <c r="AE93" s="101"/>
      <c r="AF93" s="92">
        <f t="shared" si="59"/>
        <v>0</v>
      </c>
      <c r="AG93" s="94" t="e">
        <f t="shared" si="60"/>
        <v>#DIV/0!</v>
      </c>
      <c r="AH93" s="623"/>
    </row>
    <row r="94" spans="1:34" ht="19.149999999999999" customHeight="1">
      <c r="A94" s="631"/>
      <c r="B94" s="109">
        <v>0</v>
      </c>
      <c r="C94" s="272"/>
      <c r="D94" s="83"/>
      <c r="E94" s="84"/>
      <c r="F94" s="199" t="s">
        <v>391</v>
      </c>
      <c r="G94" s="86"/>
      <c r="H94" s="135">
        <f t="shared" si="52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0"/>
      <c r="S94" s="629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01"/>
      <c r="AC94" s="601"/>
      <c r="AD94" s="101"/>
      <c r="AE94" s="101"/>
      <c r="AF94" s="92">
        <f t="shared" si="59"/>
        <v>0</v>
      </c>
      <c r="AG94" s="94" t="e">
        <f t="shared" si="60"/>
        <v>#DIV/0!</v>
      </c>
      <c r="AH94" s="623"/>
    </row>
    <row r="95" spans="1:34" ht="19.149999999999999" customHeight="1">
      <c r="A95" s="631"/>
      <c r="B95" s="278">
        <v>0</v>
      </c>
      <c r="C95" s="156" t="s">
        <v>269</v>
      </c>
      <c r="D95" s="602" t="s">
        <v>256</v>
      </c>
      <c r="E95" s="602"/>
      <c r="F95" s="119"/>
      <c r="G95" s="120"/>
      <c r="H95" s="279"/>
      <c r="I95" s="160"/>
      <c r="J95" s="280">
        <v>16.399999999999999</v>
      </c>
      <c r="K95" s="280">
        <v>1390</v>
      </c>
      <c r="L95" s="281">
        <v>107.40233918128656</v>
      </c>
      <c r="M95" s="280">
        <f t="shared" ref="M95:O95" si="61">AVERAGE(M83:M94)</f>
        <v>16</v>
      </c>
      <c r="N95" s="280">
        <f t="shared" si="61"/>
        <v>1181.1334872366665</v>
      </c>
      <c r="O95" s="281">
        <f t="shared" si="61"/>
        <v>94.768122436151259</v>
      </c>
      <c r="P95" s="282">
        <f>M95-J95</f>
        <v>-0.39999999999999858</v>
      </c>
      <c r="Q95" s="283">
        <f t="shared" ref="Q95:Q102" si="62">O95-L95</f>
        <v>-12.634216745135305</v>
      </c>
      <c r="R95" s="284">
        <f>O95/L95</f>
        <v>0.88236553466671008</v>
      </c>
      <c r="S95" s="623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01"/>
      <c r="AC95" s="601"/>
      <c r="AD95" s="164">
        <f>SUM(AD83:AD94)</f>
        <v>1</v>
      </c>
      <c r="AE95" s="164">
        <f>SUM(AE83:AE94)</f>
        <v>0</v>
      </c>
      <c r="AF95" s="113">
        <f t="shared" si="59"/>
        <v>-208.8665127633335</v>
      </c>
      <c r="AG95" s="114">
        <f t="shared" si="60"/>
        <v>0.84973632175299751</v>
      </c>
      <c r="AH95" s="623"/>
    </row>
    <row r="96" spans="1:34" ht="19.149999999999999" customHeight="1">
      <c r="A96" s="628" t="s">
        <v>270</v>
      </c>
      <c r="B96" s="65" t="s">
        <v>388</v>
      </c>
      <c r="C96" s="152"/>
      <c r="D96" s="83" t="s">
        <v>168</v>
      </c>
      <c r="E96" s="84"/>
      <c r="F96" s="85">
        <v>36.92</v>
      </c>
      <c r="G96" s="86">
        <v>467</v>
      </c>
      <c r="H96" s="87">
        <f t="shared" ref="H96:H106" si="63">F96*G96</f>
        <v>17241.64</v>
      </c>
      <c r="I96" s="65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2" si="64">G96/W96*60</f>
        <v>1120.8000000000004</v>
      </c>
      <c r="O96" s="90">
        <f t="shared" ref="O96:O102" si="65">N96/M96</f>
        <v>224.16000000000008</v>
      </c>
      <c r="P96" s="92">
        <f t="shared" ref="P96:P102" si="66">M96-J96</f>
        <v>-1</v>
      </c>
      <c r="Q96" s="93">
        <f t="shared" si="62"/>
        <v>-25.839999999999918</v>
      </c>
      <c r="R96" s="94">
        <f t="shared" ref="R96:R102" si="67">O96/L96</f>
        <v>0.89664000000000033</v>
      </c>
      <c r="S96" s="620">
        <f>R108</f>
        <v>0.83233577340628251</v>
      </c>
      <c r="T96" s="142">
        <v>0.29166666666666669</v>
      </c>
      <c r="U96" s="142">
        <v>0.30902777777777779</v>
      </c>
      <c r="V96" s="101">
        <v>5</v>
      </c>
      <c r="W96" s="143">
        <f t="shared" ref="W96:W122" si="68">(U96-T96)*24*60</f>
        <v>24.999999999999993</v>
      </c>
      <c r="X96" s="151"/>
      <c r="Y96" s="151"/>
      <c r="Z96" s="100"/>
      <c r="AA96" s="100"/>
      <c r="AB96" s="601"/>
      <c r="AC96" s="601"/>
      <c r="AD96" s="101"/>
      <c r="AE96" s="101"/>
      <c r="AF96" s="100">
        <f t="shared" si="59"/>
        <v>-379.19999999999959</v>
      </c>
      <c r="AG96" s="140">
        <f t="shared" si="60"/>
        <v>0.74720000000000031</v>
      </c>
      <c r="AH96" s="605">
        <f>AG108</f>
        <v>0.93558499529771233</v>
      </c>
    </row>
    <row r="97" spans="1:34" s="294" customFormat="1" ht="19.149999999999999" customHeight="1">
      <c r="A97" s="628"/>
      <c r="B97" s="65" t="s">
        <v>389</v>
      </c>
      <c r="C97" s="285"/>
      <c r="D97" s="286" t="s">
        <v>169</v>
      </c>
      <c r="E97" s="103"/>
      <c r="F97" s="287">
        <v>24.73</v>
      </c>
      <c r="G97" s="288">
        <v>2089</v>
      </c>
      <c r="H97" s="289">
        <f t="shared" si="63"/>
        <v>51660.97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4"/>
        <v>2088.9999999999991</v>
      </c>
      <c r="O97" s="90">
        <f t="shared" si="65"/>
        <v>417.79999999999984</v>
      </c>
      <c r="P97" s="92">
        <f t="shared" si="66"/>
        <v>1</v>
      </c>
      <c r="Q97" s="93">
        <f t="shared" si="62"/>
        <v>-82.200000000000159</v>
      </c>
      <c r="R97" s="94">
        <f t="shared" si="67"/>
        <v>0.83559999999999968</v>
      </c>
      <c r="S97" s="620"/>
      <c r="T97" s="290">
        <v>0.31319444444444444</v>
      </c>
      <c r="U97" s="290">
        <v>0.35486111111111113</v>
      </c>
      <c r="V97" s="291">
        <v>6</v>
      </c>
      <c r="W97" s="143">
        <f t="shared" si="68"/>
        <v>60.000000000000028</v>
      </c>
      <c r="X97" s="99"/>
      <c r="Y97" s="99"/>
      <c r="Z97" s="100"/>
      <c r="AA97" s="100"/>
      <c r="AB97" s="601"/>
      <c r="AC97" s="601"/>
      <c r="AD97" s="291"/>
      <c r="AE97" s="291"/>
      <c r="AF97" s="292">
        <f t="shared" si="59"/>
        <v>88.999999999999091</v>
      </c>
      <c r="AG97" s="293">
        <f t="shared" si="60"/>
        <v>1.0444999999999995</v>
      </c>
      <c r="AH97" s="605"/>
    </row>
    <row r="98" spans="1:34" s="298" customFormat="1" ht="19.149999999999999" customHeight="1">
      <c r="A98" s="628"/>
      <c r="B98" s="65" t="s">
        <v>389</v>
      </c>
      <c r="C98" s="102"/>
      <c r="D98" s="83" t="s">
        <v>170</v>
      </c>
      <c r="E98" s="133"/>
      <c r="F98" s="287">
        <v>24.73</v>
      </c>
      <c r="G98" s="104">
        <v>1952</v>
      </c>
      <c r="H98" s="289">
        <f t="shared" si="63"/>
        <v>48272.959999999999</v>
      </c>
      <c r="I98" s="101"/>
      <c r="J98" s="89">
        <v>4</v>
      </c>
      <c r="K98" s="86">
        <v>2000</v>
      </c>
      <c r="L98" s="90">
        <v>500</v>
      </c>
      <c r="M98" s="138">
        <v>5</v>
      </c>
      <c r="N98" s="86">
        <f t="shared" si="64"/>
        <v>2129.4545454545469</v>
      </c>
      <c r="O98" s="90">
        <f t="shared" si="65"/>
        <v>425.89090909090936</v>
      </c>
      <c r="P98" s="92">
        <f t="shared" si="66"/>
        <v>1</v>
      </c>
      <c r="Q98" s="93">
        <f t="shared" si="62"/>
        <v>-74.109090909090639</v>
      </c>
      <c r="R98" s="94">
        <f t="shared" si="67"/>
        <v>0.85178181818181875</v>
      </c>
      <c r="S98" s="620"/>
      <c r="T98" s="142">
        <v>0.37013888888888891</v>
      </c>
      <c r="U98" s="142">
        <v>0.40833333333333333</v>
      </c>
      <c r="V98" s="101">
        <v>22</v>
      </c>
      <c r="W98" s="143">
        <f t="shared" si="68"/>
        <v>54.999999999999964</v>
      </c>
      <c r="X98" s="295">
        <v>0.35833333333333334</v>
      </c>
      <c r="Y98" s="295">
        <v>0.36736111111111108</v>
      </c>
      <c r="Z98" s="296"/>
      <c r="AA98" s="296"/>
      <c r="AB98" s="601"/>
      <c r="AC98" s="601"/>
      <c r="AD98" s="101"/>
      <c r="AE98" s="101"/>
      <c r="AF98" s="297">
        <f t="shared" si="59"/>
        <v>129.45454545454686</v>
      </c>
      <c r="AG98" s="94">
        <f t="shared" si="60"/>
        <v>1.0647272727272734</v>
      </c>
      <c r="AH98" s="605"/>
    </row>
    <row r="99" spans="1:34" ht="19.149999999999999" customHeight="1">
      <c r="A99" s="628"/>
      <c r="B99" s="65" t="s">
        <v>389</v>
      </c>
      <c r="C99" s="131"/>
      <c r="D99" s="132" t="s">
        <v>171</v>
      </c>
      <c r="E99" s="133"/>
      <c r="F99" s="287">
        <v>22.83</v>
      </c>
      <c r="G99" s="104">
        <v>398</v>
      </c>
      <c r="H99" s="289">
        <f t="shared" si="63"/>
        <v>9086.34</v>
      </c>
      <c r="I99" s="101"/>
      <c r="J99" s="89">
        <v>6</v>
      </c>
      <c r="K99" s="86">
        <v>2000</v>
      </c>
      <c r="L99" s="90">
        <v>333.33333333333331</v>
      </c>
      <c r="M99" s="91">
        <v>7</v>
      </c>
      <c r="N99" s="86">
        <f t="shared" si="64"/>
        <v>1705.7142857142819</v>
      </c>
      <c r="O99" s="90">
        <f t="shared" si="65"/>
        <v>243.67346938775455</v>
      </c>
      <c r="P99" s="92">
        <f t="shared" si="66"/>
        <v>1</v>
      </c>
      <c r="Q99" s="93">
        <f t="shared" si="62"/>
        <v>-89.659863945578763</v>
      </c>
      <c r="R99" s="94">
        <f t="shared" si="67"/>
        <v>0.73102040816326375</v>
      </c>
      <c r="S99" s="620"/>
      <c r="T99" s="142">
        <v>0.41388888888888886</v>
      </c>
      <c r="U99" s="142">
        <v>0.4236111111111111</v>
      </c>
      <c r="V99" s="101">
        <v>8</v>
      </c>
      <c r="W99" s="143">
        <f t="shared" si="68"/>
        <v>14.00000000000003</v>
      </c>
      <c r="X99" s="253"/>
      <c r="Y99" s="253"/>
      <c r="Z99" s="185"/>
      <c r="AA99" s="185"/>
      <c r="AB99" s="601"/>
      <c r="AC99" s="601"/>
      <c r="AD99" s="101"/>
      <c r="AE99" s="101"/>
      <c r="AF99" s="92">
        <f t="shared" si="59"/>
        <v>-294.28571428571809</v>
      </c>
      <c r="AG99" s="186">
        <f t="shared" si="60"/>
        <v>0.85285714285714098</v>
      </c>
      <c r="AH99" s="605"/>
    </row>
    <row r="100" spans="1:34" s="298" customFormat="1" ht="19.149999999999999" customHeight="1">
      <c r="A100" s="628"/>
      <c r="B100" s="65" t="s">
        <v>389</v>
      </c>
      <c r="C100" s="102"/>
      <c r="D100" s="83" t="s">
        <v>172</v>
      </c>
      <c r="E100" s="133"/>
      <c r="F100" s="287">
        <v>22.27</v>
      </c>
      <c r="G100" s="104">
        <v>1185</v>
      </c>
      <c r="H100" s="289">
        <f t="shared" si="63"/>
        <v>26389.95</v>
      </c>
      <c r="I100" s="101"/>
      <c r="J100" s="89">
        <v>4</v>
      </c>
      <c r="K100" s="86">
        <v>2000</v>
      </c>
      <c r="L100" s="90">
        <v>500</v>
      </c>
      <c r="M100" s="138">
        <v>5</v>
      </c>
      <c r="N100" s="86">
        <f t="shared" si="64"/>
        <v>2091.1764705882379</v>
      </c>
      <c r="O100" s="90">
        <f t="shared" si="65"/>
        <v>418.23529411764758</v>
      </c>
      <c r="P100" s="92">
        <f t="shared" si="66"/>
        <v>1</v>
      </c>
      <c r="Q100" s="93">
        <f t="shared" si="62"/>
        <v>-81.764705882352416</v>
      </c>
      <c r="R100" s="94">
        <f t="shared" si="67"/>
        <v>0.83647058823529519</v>
      </c>
      <c r="S100" s="620"/>
      <c r="T100" s="290">
        <v>0.42777777777777776</v>
      </c>
      <c r="U100" s="290">
        <v>0.45138888888888884</v>
      </c>
      <c r="V100" s="291">
        <v>6</v>
      </c>
      <c r="W100" s="143">
        <f t="shared" si="68"/>
        <v>33.999999999999957</v>
      </c>
      <c r="X100" s="299"/>
      <c r="Y100" s="299"/>
      <c r="Z100" s="296"/>
      <c r="AA100" s="296"/>
      <c r="AB100" s="601"/>
      <c r="AC100" s="601"/>
      <c r="AD100" s="101"/>
      <c r="AE100" s="101"/>
      <c r="AF100" s="297">
        <f t="shared" si="59"/>
        <v>91.176470588237862</v>
      </c>
      <c r="AG100" s="94">
        <f t="shared" si="60"/>
        <v>1.045588235294119</v>
      </c>
      <c r="AH100" s="605"/>
    </row>
    <row r="101" spans="1:34" s="298" customFormat="1" ht="19.149999999999999" customHeight="1">
      <c r="A101" s="628"/>
      <c r="B101" s="65" t="s">
        <v>390</v>
      </c>
      <c r="C101" s="102"/>
      <c r="D101" s="132" t="s">
        <v>174</v>
      </c>
      <c r="E101" s="133"/>
      <c r="F101" s="287">
        <v>53.68</v>
      </c>
      <c r="G101" s="104">
        <v>906</v>
      </c>
      <c r="H101" s="289">
        <f t="shared" si="63"/>
        <v>48634.080000000002</v>
      </c>
      <c r="I101" s="101"/>
      <c r="J101" s="89">
        <v>16</v>
      </c>
      <c r="K101" s="86">
        <v>1500</v>
      </c>
      <c r="L101" s="90">
        <v>93.75</v>
      </c>
      <c r="M101" s="138">
        <v>16</v>
      </c>
      <c r="N101" s="86">
        <f t="shared" si="64"/>
        <v>1264.1860465116276</v>
      </c>
      <c r="O101" s="90">
        <f t="shared" si="65"/>
        <v>79.011627906976727</v>
      </c>
      <c r="P101" s="92">
        <f t="shared" si="66"/>
        <v>0</v>
      </c>
      <c r="Q101" s="93">
        <f t="shared" si="62"/>
        <v>-14.738372093023273</v>
      </c>
      <c r="R101" s="94">
        <f t="shared" si="67"/>
        <v>0.84279069767441839</v>
      </c>
      <c r="S101" s="620"/>
      <c r="T101" s="290">
        <v>0.49305555555555547</v>
      </c>
      <c r="U101" s="142">
        <v>0.52291666666666659</v>
      </c>
      <c r="V101" s="291">
        <v>7</v>
      </c>
      <c r="W101" s="143">
        <f t="shared" si="68"/>
        <v>43.000000000000007</v>
      </c>
      <c r="X101" s="300"/>
      <c r="Y101" s="300"/>
      <c r="Z101" s="296"/>
      <c r="AA101" s="296"/>
      <c r="AB101" s="601"/>
      <c r="AC101" s="601"/>
      <c r="AD101" s="101"/>
      <c r="AE101" s="101"/>
      <c r="AF101" s="92">
        <f t="shared" si="59"/>
        <v>-235.81395348837236</v>
      </c>
      <c r="AG101" s="186">
        <f t="shared" si="60"/>
        <v>0.84279069767441839</v>
      </c>
      <c r="AH101" s="605"/>
    </row>
    <row r="102" spans="1:34" s="298" customFormat="1" ht="19.149999999999999" customHeight="1">
      <c r="A102" s="628"/>
      <c r="B102" s="65" t="s">
        <v>390</v>
      </c>
      <c r="C102" s="248"/>
      <c r="D102" s="249" t="s">
        <v>175</v>
      </c>
      <c r="E102" s="250"/>
      <c r="F102" s="287">
        <v>57.734999999999999</v>
      </c>
      <c r="G102" s="104">
        <v>1536</v>
      </c>
      <c r="H102" s="289">
        <f t="shared" si="63"/>
        <v>88680.959999999992</v>
      </c>
      <c r="I102" s="65"/>
      <c r="J102" s="89">
        <v>16</v>
      </c>
      <c r="K102" s="86">
        <v>1565</v>
      </c>
      <c r="L102" s="90">
        <v>97.8125</v>
      </c>
      <c r="M102" s="138">
        <v>16</v>
      </c>
      <c r="N102" s="86">
        <f t="shared" si="64"/>
        <v>1355.2941176470606</v>
      </c>
      <c r="O102" s="90">
        <f t="shared" si="65"/>
        <v>84.705882352941288</v>
      </c>
      <c r="P102" s="92">
        <f t="shared" si="66"/>
        <v>0</v>
      </c>
      <c r="Q102" s="93">
        <f t="shared" si="62"/>
        <v>-13.106617647058712</v>
      </c>
      <c r="R102" s="94">
        <f t="shared" si="67"/>
        <v>0.8660026310843838</v>
      </c>
      <c r="S102" s="620"/>
      <c r="T102" s="290">
        <v>0.52708333333333324</v>
      </c>
      <c r="U102" s="290">
        <v>0.5743055555555554</v>
      </c>
      <c r="V102" s="291">
        <v>6</v>
      </c>
      <c r="W102" s="143">
        <f t="shared" si="68"/>
        <v>67.999999999999915</v>
      </c>
      <c r="X102" s="300"/>
      <c r="Y102" s="300"/>
      <c r="Z102" s="296"/>
      <c r="AA102" s="296"/>
      <c r="AB102" s="601"/>
      <c r="AC102" s="601"/>
      <c r="AD102" s="101"/>
      <c r="AE102" s="101"/>
      <c r="AF102" s="297">
        <f t="shared" si="59"/>
        <v>-209.7058823529394</v>
      </c>
      <c r="AG102" s="94">
        <f t="shared" si="60"/>
        <v>0.8660026310843838</v>
      </c>
      <c r="AH102" s="605"/>
    </row>
    <row r="103" spans="1:34" s="298" customFormat="1" ht="19.149999999999999" customHeight="1">
      <c r="A103" s="628"/>
      <c r="B103" s="65">
        <v>0</v>
      </c>
      <c r="C103" s="301"/>
      <c r="D103" s="132"/>
      <c r="E103" s="133"/>
      <c r="F103" s="287" t="s">
        <v>391</v>
      </c>
      <c r="G103" s="104"/>
      <c r="H103" s="289">
        <f t="shared" si="63"/>
        <v>0</v>
      </c>
      <c r="I103" s="302"/>
      <c r="J103" s="89"/>
      <c r="K103" s="86"/>
      <c r="L103" s="90"/>
      <c r="M103" s="138"/>
      <c r="N103" s="86"/>
      <c r="O103" s="90"/>
      <c r="P103" s="92"/>
      <c r="Q103" s="93"/>
      <c r="R103" s="94"/>
      <c r="S103" s="620"/>
      <c r="T103" s="290"/>
      <c r="U103" s="290"/>
      <c r="V103" s="291"/>
      <c r="W103" s="143"/>
      <c r="X103" s="300"/>
      <c r="Y103" s="300"/>
      <c r="Z103" s="296"/>
      <c r="AA103" s="296"/>
      <c r="AB103" s="601"/>
      <c r="AC103" s="601"/>
      <c r="AD103" s="101"/>
      <c r="AE103" s="101"/>
      <c r="AF103" s="92">
        <f t="shared" si="59"/>
        <v>0</v>
      </c>
      <c r="AG103" s="186" t="e">
        <f t="shared" si="60"/>
        <v>#DIV/0!</v>
      </c>
      <c r="AH103" s="605"/>
    </row>
    <row r="104" spans="1:34" s="298" customFormat="1" ht="19.149999999999999" customHeight="1">
      <c r="A104" s="628"/>
      <c r="B104" s="65">
        <v>0</v>
      </c>
      <c r="C104" s="303"/>
      <c r="D104" s="132"/>
      <c r="E104" s="133"/>
      <c r="F104" s="287" t="s">
        <v>391</v>
      </c>
      <c r="G104" s="288"/>
      <c r="H104" s="289">
        <f t="shared" si="63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4"/>
      <c r="S104" s="623"/>
      <c r="T104" s="290"/>
      <c r="U104" s="290"/>
      <c r="V104" s="291"/>
      <c r="W104" s="143"/>
      <c r="X104" s="300"/>
      <c r="Y104" s="300"/>
      <c r="Z104" s="296"/>
      <c r="AA104" s="296"/>
      <c r="AB104" s="601"/>
      <c r="AC104" s="601"/>
      <c r="AD104" s="101"/>
      <c r="AE104" s="101"/>
      <c r="AF104" s="297">
        <f t="shared" si="59"/>
        <v>0</v>
      </c>
      <c r="AG104" s="94" t="e">
        <f t="shared" si="60"/>
        <v>#DIV/0!</v>
      </c>
      <c r="AH104" s="605"/>
    </row>
    <row r="105" spans="1:34" s="298" customFormat="1" ht="19.149999999999999" customHeight="1">
      <c r="A105" s="628"/>
      <c r="B105" s="65">
        <v>0</v>
      </c>
      <c r="C105" s="303"/>
      <c r="D105" s="132"/>
      <c r="E105" s="133"/>
      <c r="F105" s="287" t="s">
        <v>391</v>
      </c>
      <c r="G105" s="288"/>
      <c r="H105" s="289">
        <f t="shared" si="63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4"/>
      <c r="S105" s="623"/>
      <c r="T105" s="290"/>
      <c r="U105" s="290"/>
      <c r="V105" s="291"/>
      <c r="W105" s="143">
        <f t="shared" si="68"/>
        <v>0</v>
      </c>
      <c r="X105" s="300"/>
      <c r="Y105" s="300"/>
      <c r="Z105" s="296"/>
      <c r="AA105" s="296"/>
      <c r="AB105" s="601"/>
      <c r="AC105" s="601"/>
      <c r="AD105" s="101"/>
      <c r="AE105" s="101"/>
      <c r="AF105" s="296"/>
      <c r="AG105" s="140"/>
      <c r="AH105" s="605"/>
    </row>
    <row r="106" spans="1:34" s="298" customFormat="1" ht="19.149999999999999" customHeight="1">
      <c r="A106" s="628"/>
      <c r="B106" s="65">
        <v>0</v>
      </c>
      <c r="C106" s="303"/>
      <c r="D106" s="132"/>
      <c r="E106" s="133"/>
      <c r="F106" s="85" t="s">
        <v>391</v>
      </c>
      <c r="G106" s="288"/>
      <c r="H106" s="289">
        <f t="shared" si="63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0"/>
      <c r="S106" s="629"/>
      <c r="T106" s="290"/>
      <c r="U106" s="290"/>
      <c r="V106" s="291"/>
      <c r="W106" s="143">
        <f t="shared" si="68"/>
        <v>0</v>
      </c>
      <c r="X106" s="300"/>
      <c r="Y106" s="300"/>
      <c r="Z106" s="296"/>
      <c r="AA106" s="296"/>
      <c r="AB106" s="601"/>
      <c r="AC106" s="601"/>
      <c r="AD106" s="101"/>
      <c r="AE106" s="101"/>
      <c r="AF106" s="296"/>
      <c r="AG106" s="140"/>
      <c r="AH106" s="605"/>
    </row>
    <row r="107" spans="1:34" s="298" customFormat="1" ht="19.149999999999999" customHeight="1">
      <c r="A107" s="628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0"/>
      <c r="S107" s="629"/>
      <c r="T107" s="290"/>
      <c r="U107" s="290"/>
      <c r="V107" s="291"/>
      <c r="W107" s="143">
        <f t="shared" si="68"/>
        <v>0</v>
      </c>
      <c r="X107" s="300"/>
      <c r="Y107" s="300"/>
      <c r="Z107" s="296"/>
      <c r="AA107" s="296"/>
      <c r="AB107" s="601"/>
      <c r="AC107" s="601"/>
      <c r="AD107" s="101"/>
      <c r="AE107" s="101"/>
      <c r="AF107" s="296"/>
      <c r="AG107" s="140"/>
      <c r="AH107" s="605"/>
    </row>
    <row r="108" spans="1:34" ht="19.149999999999999" customHeight="1">
      <c r="A108" s="628"/>
      <c r="B108" s="167">
        <v>0</v>
      </c>
      <c r="C108" s="156" t="s">
        <v>271</v>
      </c>
      <c r="D108" s="602" t="s">
        <v>256</v>
      </c>
      <c r="E108" s="602"/>
      <c r="F108" s="307"/>
      <c r="G108" s="158"/>
      <c r="H108" s="159"/>
      <c r="I108" s="160"/>
      <c r="J108" s="158">
        <v>8</v>
      </c>
      <c r="K108" s="158">
        <v>1795</v>
      </c>
      <c r="L108" s="161">
        <v>324.98511904761898</v>
      </c>
      <c r="M108" s="158">
        <f t="shared" ref="M108:O108" si="69">AVERAGE(M96:M107)</f>
        <v>8.4285714285714288</v>
      </c>
      <c r="N108" s="158">
        <f t="shared" si="69"/>
        <v>1679.3750665593936</v>
      </c>
      <c r="O108" s="161">
        <f t="shared" si="69"/>
        <v>270.49674040803274</v>
      </c>
      <c r="P108" s="100">
        <f t="shared" ref="P108:P115" si="70">M108-J108</f>
        <v>0.42857142857142883</v>
      </c>
      <c r="Q108" s="139">
        <f t="shared" ref="Q108:Q115" si="71">O108-L108</f>
        <v>-54.488378639586244</v>
      </c>
      <c r="R108" s="162">
        <f t="shared" ref="R108:R115" si="72">O108/L108</f>
        <v>0.83233577340628251</v>
      </c>
      <c r="S108" s="623"/>
      <c r="T108" s="142"/>
      <c r="U108" s="142"/>
      <c r="V108" s="104"/>
      <c r="W108" s="143">
        <f t="shared" si="68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01"/>
      <c r="AC108" s="601"/>
      <c r="AD108" s="164">
        <f>SUM(AD96:AD107)</f>
        <v>0</v>
      </c>
      <c r="AE108" s="164">
        <f>SUM(AE96:AE107)</f>
        <v>0</v>
      </c>
      <c r="AF108" s="100">
        <f t="shared" si="59"/>
        <v>-115.62493344060636</v>
      </c>
      <c r="AG108" s="140">
        <f t="shared" si="60"/>
        <v>0.93558499529771233</v>
      </c>
      <c r="AH108" s="605"/>
    </row>
    <row r="109" spans="1:34" ht="19.149999999999999" customHeight="1">
      <c r="A109" s="624" t="s">
        <v>272</v>
      </c>
      <c r="B109" s="65" t="s">
        <v>390</v>
      </c>
      <c r="C109" s="147"/>
      <c r="D109" s="249" t="s">
        <v>177</v>
      </c>
      <c r="E109" s="84"/>
      <c r="F109" s="85">
        <v>56.43</v>
      </c>
      <c r="G109" s="86">
        <v>973</v>
      </c>
      <c r="H109" s="87">
        <f t="shared" ref="H109:H118" si="73">F109*G109</f>
        <v>54906.39</v>
      </c>
      <c r="I109" s="65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5" si="74">G109/W109*60</f>
        <v>1389.9999999999995</v>
      </c>
      <c r="O109" s="90">
        <f t="shared" ref="O109:O115" si="75">N109/M109</f>
        <v>77.2222222222222</v>
      </c>
      <c r="P109" s="92">
        <f t="shared" si="70"/>
        <v>0</v>
      </c>
      <c r="Q109" s="93">
        <f t="shared" si="71"/>
        <v>-6.1111111111111285</v>
      </c>
      <c r="R109" s="94">
        <f t="shared" si="72"/>
        <v>0.92666666666666642</v>
      </c>
      <c r="S109" s="627">
        <f>R121</f>
        <v>0.85117825369835265</v>
      </c>
      <c r="T109" s="308">
        <v>0.5</v>
      </c>
      <c r="U109" s="308">
        <v>0.52916666666666667</v>
      </c>
      <c r="V109" s="309">
        <v>5</v>
      </c>
      <c r="W109" s="88">
        <f t="shared" si="68"/>
        <v>42.000000000000014</v>
      </c>
      <c r="X109" s="99"/>
      <c r="Y109" s="99"/>
      <c r="Z109" s="100"/>
      <c r="AA109" s="100"/>
      <c r="AB109" s="601"/>
      <c r="AC109" s="601"/>
      <c r="AD109" s="101"/>
      <c r="AE109" s="101"/>
      <c r="AF109" s="92">
        <f t="shared" si="59"/>
        <v>-110.00000000000045</v>
      </c>
      <c r="AG109" s="186">
        <f t="shared" si="60"/>
        <v>0.92666666666666642</v>
      </c>
      <c r="AH109" s="605">
        <f>AG121</f>
        <v>0.85334352576960593</v>
      </c>
    </row>
    <row r="110" spans="1:34" ht="19.149999999999999" customHeight="1">
      <c r="A110" s="625"/>
      <c r="B110" s="65" t="s">
        <v>390</v>
      </c>
      <c r="C110" s="248"/>
      <c r="D110" s="83" t="s">
        <v>178</v>
      </c>
      <c r="E110" s="250"/>
      <c r="F110" s="85">
        <v>54.09</v>
      </c>
      <c r="G110" s="247">
        <v>1216</v>
      </c>
      <c r="H110" s="87">
        <f t="shared" si="73"/>
        <v>65773.440000000002</v>
      </c>
      <c r="I110" s="65"/>
      <c r="J110" s="89">
        <v>20</v>
      </c>
      <c r="K110" s="86">
        <v>1500</v>
      </c>
      <c r="L110" s="90">
        <v>75</v>
      </c>
      <c r="M110" s="91">
        <v>20</v>
      </c>
      <c r="N110" s="86">
        <f t="shared" si="74"/>
        <v>1257.9310344827597</v>
      </c>
      <c r="O110" s="90">
        <f t="shared" si="75"/>
        <v>62.896551724137986</v>
      </c>
      <c r="P110" s="92">
        <f t="shared" si="70"/>
        <v>0</v>
      </c>
      <c r="Q110" s="93">
        <f t="shared" si="71"/>
        <v>-12.103448275862014</v>
      </c>
      <c r="R110" s="94">
        <f t="shared" si="72"/>
        <v>0.83862068965517311</v>
      </c>
      <c r="S110" s="616"/>
      <c r="T110" s="308">
        <v>0.53333333333333333</v>
      </c>
      <c r="U110" s="308">
        <v>0.57361111111111107</v>
      </c>
      <c r="V110" s="309">
        <v>6</v>
      </c>
      <c r="W110" s="88">
        <f t="shared" si="68"/>
        <v>57.999999999999957</v>
      </c>
      <c r="X110" s="264"/>
      <c r="Y110" s="264"/>
      <c r="Z110" s="100"/>
      <c r="AA110" s="100"/>
      <c r="AB110" s="601"/>
      <c r="AC110" s="601"/>
      <c r="AD110" s="101"/>
      <c r="AE110" s="101"/>
      <c r="AF110" s="165">
        <f t="shared" si="59"/>
        <v>-242.06896551724026</v>
      </c>
      <c r="AG110" s="186">
        <f t="shared" si="60"/>
        <v>0.83862068965517311</v>
      </c>
      <c r="AH110" s="605"/>
    </row>
    <row r="111" spans="1:34" ht="19.149999999999999" customHeight="1">
      <c r="A111" s="625"/>
      <c r="B111" s="65" t="s">
        <v>390</v>
      </c>
      <c r="C111" s="248"/>
      <c r="D111" s="83" t="s">
        <v>179</v>
      </c>
      <c r="E111" s="250"/>
      <c r="F111" s="85">
        <v>51.75</v>
      </c>
      <c r="G111" s="104">
        <v>1228</v>
      </c>
      <c r="H111" s="87">
        <f t="shared" si="73"/>
        <v>63549</v>
      </c>
      <c r="I111" s="65"/>
      <c r="J111" s="89">
        <v>21</v>
      </c>
      <c r="K111" s="86">
        <v>1500</v>
      </c>
      <c r="L111" s="90">
        <v>71.428571428571431</v>
      </c>
      <c r="M111" s="310">
        <v>20</v>
      </c>
      <c r="N111" s="86">
        <f t="shared" si="74"/>
        <v>1188.3870967741948</v>
      </c>
      <c r="O111" s="90">
        <f t="shared" si="75"/>
        <v>59.419354838709737</v>
      </c>
      <c r="P111" s="92">
        <f t="shared" si="70"/>
        <v>-1</v>
      </c>
      <c r="Q111" s="93">
        <f t="shared" si="71"/>
        <v>-12.009216589861694</v>
      </c>
      <c r="R111" s="94">
        <f t="shared" si="72"/>
        <v>0.83187096774193625</v>
      </c>
      <c r="S111" s="616"/>
      <c r="T111" s="308">
        <v>0.5888888888888888</v>
      </c>
      <c r="U111" s="308">
        <v>0.63194444444444431</v>
      </c>
      <c r="V111" s="309">
        <v>22</v>
      </c>
      <c r="W111" s="88">
        <f t="shared" si="68"/>
        <v>61.999999999999943</v>
      </c>
      <c r="X111" s="99">
        <v>0.57708333333333328</v>
      </c>
      <c r="Y111" s="99">
        <v>0.58611111111111114</v>
      </c>
      <c r="Z111" s="100"/>
      <c r="AA111" s="100"/>
      <c r="AB111" s="601"/>
      <c r="AC111" s="601"/>
      <c r="AD111" s="101"/>
      <c r="AE111" s="101"/>
      <c r="AF111" s="92">
        <f t="shared" si="59"/>
        <v>-311.61290322580521</v>
      </c>
      <c r="AG111" s="186">
        <f t="shared" si="60"/>
        <v>0.7922580645161299</v>
      </c>
      <c r="AH111" s="605"/>
    </row>
    <row r="112" spans="1:34" ht="19.149999999999999" customHeight="1">
      <c r="A112" s="625"/>
      <c r="B112" s="65" t="s">
        <v>390</v>
      </c>
      <c r="C112" s="248"/>
      <c r="D112" s="249" t="s">
        <v>180</v>
      </c>
      <c r="E112" s="250"/>
      <c r="F112" s="85">
        <v>54.29</v>
      </c>
      <c r="G112" s="104">
        <v>936</v>
      </c>
      <c r="H112" s="87">
        <f t="shared" si="73"/>
        <v>50815.44</v>
      </c>
      <c r="I112" s="101"/>
      <c r="J112" s="89">
        <v>16</v>
      </c>
      <c r="K112" s="86">
        <v>1440</v>
      </c>
      <c r="L112" s="90">
        <v>90</v>
      </c>
      <c r="M112" s="310">
        <v>16</v>
      </c>
      <c r="N112" s="86">
        <f t="shared" si="74"/>
        <v>1306.0465116279067</v>
      </c>
      <c r="O112" s="90">
        <f t="shared" si="75"/>
        <v>81.627906976744171</v>
      </c>
      <c r="P112" s="92">
        <f t="shared" si="70"/>
        <v>0</v>
      </c>
      <c r="Q112" s="93">
        <f t="shared" si="71"/>
        <v>-8.3720930232558288</v>
      </c>
      <c r="R112" s="94">
        <f t="shared" si="72"/>
        <v>0.90697674418604635</v>
      </c>
      <c r="S112" s="616"/>
      <c r="T112" s="308">
        <v>0.70833333333333337</v>
      </c>
      <c r="U112" s="308">
        <v>0.73819444444444449</v>
      </c>
      <c r="V112" s="309">
        <v>5</v>
      </c>
      <c r="W112" s="88">
        <f t="shared" si="68"/>
        <v>43.000000000000007</v>
      </c>
      <c r="X112" s="99"/>
      <c r="Y112" s="99"/>
      <c r="Z112" s="100"/>
      <c r="AA112" s="100"/>
      <c r="AB112" s="601"/>
      <c r="AC112" s="601"/>
      <c r="AD112" s="101">
        <v>1</v>
      </c>
      <c r="AE112" s="101"/>
      <c r="AF112" s="92">
        <f t="shared" si="59"/>
        <v>-133.95348837209326</v>
      </c>
      <c r="AG112" s="186">
        <f t="shared" si="60"/>
        <v>0.90697674418604635</v>
      </c>
      <c r="AH112" s="605"/>
    </row>
    <row r="113" spans="1:34" s="298" customFormat="1" ht="19.149999999999999" customHeight="1">
      <c r="A113" s="625"/>
      <c r="B113" s="65" t="s">
        <v>390</v>
      </c>
      <c r="C113" s="248"/>
      <c r="D113" s="249" t="s">
        <v>181</v>
      </c>
      <c r="E113" s="250"/>
      <c r="F113" s="85">
        <v>55.32</v>
      </c>
      <c r="G113" s="104">
        <v>434</v>
      </c>
      <c r="H113" s="87">
        <f t="shared" si="73"/>
        <v>24008.880000000001</v>
      </c>
      <c r="I113" s="101"/>
      <c r="J113" s="89">
        <v>15</v>
      </c>
      <c r="K113" s="86">
        <v>1440</v>
      </c>
      <c r="L113" s="90">
        <v>96</v>
      </c>
      <c r="M113" s="310">
        <v>15</v>
      </c>
      <c r="N113" s="86">
        <f t="shared" si="74"/>
        <v>1084.9999999999968</v>
      </c>
      <c r="O113" s="90">
        <f t="shared" si="75"/>
        <v>72.333333333333115</v>
      </c>
      <c r="P113" s="92">
        <f t="shared" si="70"/>
        <v>0</v>
      </c>
      <c r="Q113" s="93">
        <f t="shared" si="71"/>
        <v>-23.666666666666885</v>
      </c>
      <c r="R113" s="94">
        <f t="shared" si="72"/>
        <v>0.75347222222221999</v>
      </c>
      <c r="S113" s="616"/>
      <c r="T113" s="308">
        <v>0.74305555555555558</v>
      </c>
      <c r="U113" s="308">
        <v>0.7597222222222223</v>
      </c>
      <c r="V113" s="309">
        <v>7</v>
      </c>
      <c r="W113" s="88">
        <f t="shared" si="68"/>
        <v>24.000000000000075</v>
      </c>
      <c r="X113" s="295"/>
      <c r="Y113" s="295"/>
      <c r="Z113" s="296"/>
      <c r="AA113" s="296"/>
      <c r="AB113" s="601"/>
      <c r="AC113" s="601"/>
      <c r="AD113" s="301"/>
      <c r="AE113" s="301"/>
      <c r="AF113" s="165">
        <f t="shared" si="59"/>
        <v>-355.00000000000318</v>
      </c>
      <c r="AG113" s="186">
        <f t="shared" si="60"/>
        <v>0.75347222222221999</v>
      </c>
      <c r="AH113" s="605"/>
    </row>
    <row r="114" spans="1:34" s="298" customFormat="1" ht="19.149999999999999" customHeight="1">
      <c r="A114" s="625"/>
      <c r="B114" s="65" t="s">
        <v>390</v>
      </c>
      <c r="C114" s="248"/>
      <c r="D114" s="249" t="s">
        <v>182</v>
      </c>
      <c r="E114" s="250"/>
      <c r="F114" s="85">
        <v>55.56</v>
      </c>
      <c r="G114" s="104">
        <v>663</v>
      </c>
      <c r="H114" s="87">
        <f t="shared" si="73"/>
        <v>36836.28</v>
      </c>
      <c r="I114" s="101"/>
      <c r="J114" s="89">
        <v>16</v>
      </c>
      <c r="K114" s="86">
        <v>1440</v>
      </c>
      <c r="L114" s="90">
        <v>90</v>
      </c>
      <c r="M114" s="310">
        <v>16</v>
      </c>
      <c r="N114" s="86">
        <f t="shared" si="74"/>
        <v>1283.2258064516107</v>
      </c>
      <c r="O114" s="90">
        <f t="shared" si="75"/>
        <v>80.201612903225666</v>
      </c>
      <c r="P114" s="92">
        <f t="shared" si="70"/>
        <v>0</v>
      </c>
      <c r="Q114" s="93">
        <f t="shared" si="71"/>
        <v>-9.7983870967743343</v>
      </c>
      <c r="R114" s="94">
        <f t="shared" si="72"/>
        <v>0.89112903225806295</v>
      </c>
      <c r="S114" s="616"/>
      <c r="T114" s="308">
        <v>0.76388888888888895</v>
      </c>
      <c r="U114" s="308">
        <v>0.78541666666666676</v>
      </c>
      <c r="V114" s="309">
        <v>6</v>
      </c>
      <c r="W114" s="88">
        <f t="shared" si="68"/>
        <v>31.00000000000005</v>
      </c>
      <c r="X114" s="295"/>
      <c r="Y114" s="295"/>
      <c r="Z114" s="296"/>
      <c r="AA114" s="296"/>
      <c r="AB114" s="601"/>
      <c r="AC114" s="601"/>
      <c r="AD114" s="301"/>
      <c r="AE114" s="301"/>
      <c r="AF114" s="92">
        <f t="shared" si="59"/>
        <v>-156.77419354838935</v>
      </c>
      <c r="AG114" s="186">
        <f t="shared" si="60"/>
        <v>0.89112903225806295</v>
      </c>
      <c r="AH114" s="605"/>
    </row>
    <row r="115" spans="1:34" s="298" customFormat="1" ht="19.149999999999999" customHeight="1">
      <c r="A115" s="625"/>
      <c r="B115" s="65" t="s">
        <v>390</v>
      </c>
      <c r="C115" s="248"/>
      <c r="D115" s="249" t="s">
        <v>183</v>
      </c>
      <c r="E115" s="250"/>
      <c r="F115" s="85">
        <v>57.73</v>
      </c>
      <c r="G115" s="247">
        <v>736</v>
      </c>
      <c r="H115" s="87">
        <f t="shared" si="73"/>
        <v>42489.279999999999</v>
      </c>
      <c r="I115" s="101"/>
      <c r="J115" s="89">
        <v>16</v>
      </c>
      <c r="K115" s="86">
        <v>1380</v>
      </c>
      <c r="L115" s="90">
        <v>86.25</v>
      </c>
      <c r="M115" s="91">
        <v>17</v>
      </c>
      <c r="N115" s="86">
        <f t="shared" si="74"/>
        <v>1193.5135135135126</v>
      </c>
      <c r="O115" s="90">
        <f t="shared" si="75"/>
        <v>70.206677265500744</v>
      </c>
      <c r="P115" s="92">
        <f t="shared" si="70"/>
        <v>1</v>
      </c>
      <c r="Q115" s="93">
        <f t="shared" si="71"/>
        <v>-16.043322734499256</v>
      </c>
      <c r="R115" s="94">
        <f t="shared" si="72"/>
        <v>0.81399046104928396</v>
      </c>
      <c r="S115" s="616"/>
      <c r="T115" s="308">
        <v>0.7909722222222223</v>
      </c>
      <c r="U115" s="308">
        <v>0.81666666666666676</v>
      </c>
      <c r="V115" s="309">
        <v>8</v>
      </c>
      <c r="W115" s="88">
        <f t="shared" si="68"/>
        <v>37.000000000000028</v>
      </c>
      <c r="X115" s="295"/>
      <c r="Y115" s="295"/>
      <c r="Z115" s="296"/>
      <c r="AA115" s="296"/>
      <c r="AB115" s="601"/>
      <c r="AC115" s="601"/>
      <c r="AD115" s="301"/>
      <c r="AE115" s="301"/>
      <c r="AF115" s="92">
        <f t="shared" si="59"/>
        <v>-186.48648648648737</v>
      </c>
      <c r="AG115" s="186">
        <f t="shared" si="60"/>
        <v>0.86486486486486425</v>
      </c>
      <c r="AH115" s="605"/>
    </row>
    <row r="116" spans="1:34" s="298" customFormat="1" ht="19.149999999999999" customHeight="1">
      <c r="A116" s="625"/>
      <c r="B116" s="65">
        <v>0</v>
      </c>
      <c r="C116" s="102"/>
      <c r="D116" s="132"/>
      <c r="E116" s="133"/>
      <c r="F116" s="85"/>
      <c r="G116" s="104"/>
      <c r="H116" s="87">
        <f t="shared" si="73"/>
        <v>0</v>
      </c>
      <c r="I116" s="101"/>
      <c r="J116" s="89"/>
      <c r="K116" s="86"/>
      <c r="L116" s="90"/>
      <c r="M116" s="189"/>
      <c r="N116" s="86"/>
      <c r="O116" s="90"/>
      <c r="P116" s="92"/>
      <c r="Q116" s="93"/>
      <c r="R116" s="94"/>
      <c r="S116" s="616"/>
      <c r="T116" s="308"/>
      <c r="U116" s="308"/>
      <c r="V116" s="309"/>
      <c r="W116" s="88"/>
      <c r="X116" s="295"/>
      <c r="Y116" s="295"/>
      <c r="Z116" s="296"/>
      <c r="AA116" s="296"/>
      <c r="AB116" s="601"/>
      <c r="AC116" s="601"/>
      <c r="AD116" s="301"/>
      <c r="AE116" s="301"/>
      <c r="AF116" s="165">
        <f t="shared" si="59"/>
        <v>0</v>
      </c>
      <c r="AG116" s="186" t="e">
        <f t="shared" si="60"/>
        <v>#DIV/0!</v>
      </c>
      <c r="AH116" s="605"/>
    </row>
    <row r="117" spans="1:34" s="298" customFormat="1" ht="19.149999999999999" customHeight="1">
      <c r="A117" s="625"/>
      <c r="B117" s="65">
        <v>0</v>
      </c>
      <c r="C117" s="102"/>
      <c r="D117" s="249"/>
      <c r="E117" s="133"/>
      <c r="F117" s="85" t="s">
        <v>391</v>
      </c>
      <c r="G117" s="104"/>
      <c r="H117" s="87">
        <f t="shared" si="73"/>
        <v>0</v>
      </c>
      <c r="I117" s="101"/>
      <c r="J117" s="89"/>
      <c r="K117" s="86"/>
      <c r="L117" s="137"/>
      <c r="M117" s="189"/>
      <c r="N117" s="104"/>
      <c r="O117" s="137"/>
      <c r="P117" s="100"/>
      <c r="Q117" s="139"/>
      <c r="R117" s="140"/>
      <c r="S117" s="616"/>
      <c r="T117" s="308"/>
      <c r="U117" s="308"/>
      <c r="V117" s="309"/>
      <c r="W117" s="88">
        <f t="shared" si="68"/>
        <v>0</v>
      </c>
      <c r="X117" s="295"/>
      <c r="Y117" s="295"/>
      <c r="Z117" s="296"/>
      <c r="AA117" s="296"/>
      <c r="AB117" s="601"/>
      <c r="AC117" s="601"/>
      <c r="AD117" s="301"/>
      <c r="AE117" s="301"/>
      <c r="AF117" s="92">
        <f t="shared" si="59"/>
        <v>0</v>
      </c>
      <c r="AG117" s="186" t="e">
        <f t="shared" si="60"/>
        <v>#DIV/0!</v>
      </c>
      <c r="AH117" s="605"/>
    </row>
    <row r="118" spans="1:34" s="298" customFormat="1" ht="19.149999999999999" customHeight="1">
      <c r="A118" s="625"/>
      <c r="B118" s="65">
        <v>0</v>
      </c>
      <c r="C118" s="233"/>
      <c r="D118" s="249"/>
      <c r="E118" s="84"/>
      <c r="F118" s="199" t="s">
        <v>391</v>
      </c>
      <c r="G118" s="86"/>
      <c r="H118" s="87">
        <f t="shared" si="73"/>
        <v>0</v>
      </c>
      <c r="I118" s="101"/>
      <c r="J118" s="89"/>
      <c r="K118" s="86"/>
      <c r="L118" s="90"/>
      <c r="M118" s="189"/>
      <c r="N118" s="86"/>
      <c r="O118" s="90"/>
      <c r="P118" s="92"/>
      <c r="Q118" s="93"/>
      <c r="R118" s="94"/>
      <c r="S118" s="616"/>
      <c r="T118" s="308"/>
      <c r="U118" s="308"/>
      <c r="V118" s="309"/>
      <c r="W118" s="88">
        <f t="shared" si="68"/>
        <v>0</v>
      </c>
      <c r="X118" s="295"/>
      <c r="Y118" s="295"/>
      <c r="Z118" s="296"/>
      <c r="AA118" s="296"/>
      <c r="AB118" s="601"/>
      <c r="AC118" s="601"/>
      <c r="AD118" s="301"/>
      <c r="AE118" s="301"/>
      <c r="AF118" s="297"/>
      <c r="AG118" s="186"/>
      <c r="AH118" s="605"/>
    </row>
    <row r="119" spans="1:34" s="298" customFormat="1" ht="19.149999999999999" customHeight="1">
      <c r="A119" s="625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101"/>
      <c r="J119" s="251"/>
      <c r="K119" s="313"/>
      <c r="L119" s="90"/>
      <c r="M119" s="189"/>
      <c r="N119" s="252"/>
      <c r="O119" s="305"/>
      <c r="P119" s="235"/>
      <c r="Q119" s="93"/>
      <c r="R119" s="94"/>
      <c r="S119" s="616"/>
      <c r="T119" s="308"/>
      <c r="U119" s="308"/>
      <c r="V119" s="309"/>
      <c r="W119" s="88">
        <f t="shared" si="68"/>
        <v>0</v>
      </c>
      <c r="X119" s="295"/>
      <c r="Y119" s="295"/>
      <c r="Z119" s="296"/>
      <c r="AA119" s="296"/>
      <c r="AB119" s="601"/>
      <c r="AC119" s="601"/>
      <c r="AD119" s="301"/>
      <c r="AE119" s="301"/>
      <c r="AF119" s="297"/>
      <c r="AG119" s="186"/>
      <c r="AH119" s="605"/>
    </row>
    <row r="120" spans="1:34" s="298" customFormat="1" ht="19.149999999999999" customHeight="1">
      <c r="A120" s="625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101"/>
      <c r="J120" s="251"/>
      <c r="K120" s="313"/>
      <c r="L120" s="90"/>
      <c r="M120" s="189"/>
      <c r="N120" s="252"/>
      <c r="O120" s="305"/>
      <c r="P120" s="235"/>
      <c r="Q120" s="93"/>
      <c r="R120" s="94"/>
      <c r="S120" s="616"/>
      <c r="T120" s="308"/>
      <c r="U120" s="308"/>
      <c r="V120" s="309"/>
      <c r="W120" s="88">
        <f t="shared" si="68"/>
        <v>0</v>
      </c>
      <c r="X120" s="295"/>
      <c r="Y120" s="295"/>
      <c r="Z120" s="296"/>
      <c r="AA120" s="296"/>
      <c r="AB120" s="601"/>
      <c r="AC120" s="601"/>
      <c r="AD120" s="301"/>
      <c r="AE120" s="301"/>
      <c r="AF120" s="297"/>
      <c r="AG120" s="186"/>
      <c r="AH120" s="605"/>
    </row>
    <row r="121" spans="1:34" ht="19.149999999999999" customHeight="1">
      <c r="A121" s="626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17.428571428571427</v>
      </c>
      <c r="K121" s="280">
        <v>1457.1428571428571</v>
      </c>
      <c r="L121" s="281">
        <v>84.573129251700692</v>
      </c>
      <c r="M121" s="280">
        <f t="shared" ref="M121:O121" si="76">AVERAGE(M109:M120)</f>
        <v>17.428571428571427</v>
      </c>
      <c r="N121" s="280">
        <f t="shared" si="76"/>
        <v>1243.443423264283</v>
      </c>
      <c r="O121" s="281">
        <f t="shared" si="76"/>
        <v>71.986808466267661</v>
      </c>
      <c r="P121" s="92">
        <f t="shared" ref="P121:P131" si="77">M121-J121</f>
        <v>0</v>
      </c>
      <c r="Q121" s="93">
        <f t="shared" ref="Q121:Q131" si="78">O121-L121</f>
        <v>-12.586320785433031</v>
      </c>
      <c r="R121" s="245">
        <f t="shared" ref="R121:R131" si="79">O121/L121</f>
        <v>0.85117825369835265</v>
      </c>
      <c r="S121" s="622"/>
      <c r="T121" s="96"/>
      <c r="U121" s="96"/>
      <c r="V121" s="86"/>
      <c r="W121" s="88">
        <f t="shared" si="68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01"/>
      <c r="AC121" s="601"/>
      <c r="AD121" s="164">
        <f>SUM(AD109:AD120)</f>
        <v>1</v>
      </c>
      <c r="AE121" s="164">
        <f>SUM(AE109:AE120)</f>
        <v>0</v>
      </c>
      <c r="AF121" s="92">
        <f>N121-K121</f>
        <v>-213.69943387857415</v>
      </c>
      <c r="AG121" s="186">
        <f>N121/K121</f>
        <v>0.85334352576960593</v>
      </c>
      <c r="AH121" s="605"/>
    </row>
    <row r="122" spans="1:34" ht="19.149999999999999" customHeight="1">
      <c r="A122" s="619" t="s">
        <v>274</v>
      </c>
      <c r="B122" s="192" t="s">
        <v>386</v>
      </c>
      <c r="C122" s="233"/>
      <c r="D122" s="249" t="s">
        <v>185</v>
      </c>
      <c r="E122" s="84"/>
      <c r="F122" s="85">
        <v>65.400000000000006</v>
      </c>
      <c r="G122" s="86">
        <v>536</v>
      </c>
      <c r="H122" s="87">
        <f t="shared" ref="H122:H132" si="80">F122*G122</f>
        <v>35054.400000000001</v>
      </c>
      <c r="I122" s="65"/>
      <c r="J122" s="89">
        <v>18</v>
      </c>
      <c r="K122" s="86">
        <v>1440</v>
      </c>
      <c r="L122" s="90">
        <v>80</v>
      </c>
      <c r="M122" s="91">
        <v>19</v>
      </c>
      <c r="N122" s="247">
        <f t="shared" ref="N122:N131" si="81">G122/W122*60</f>
        <v>1108.9655172413773</v>
      </c>
      <c r="O122" s="319">
        <f t="shared" ref="O122:O131" si="82">N122/M122</f>
        <v>58.3666061705988</v>
      </c>
      <c r="P122" s="165">
        <f t="shared" si="77"/>
        <v>1</v>
      </c>
      <c r="Q122" s="255">
        <f t="shared" si="78"/>
        <v>-21.6333938294012</v>
      </c>
      <c r="R122" s="166">
        <f t="shared" si="79"/>
        <v>0.72958257713248498</v>
      </c>
      <c r="S122" s="620">
        <f>R134</f>
        <v>0.81396360877182317</v>
      </c>
      <c r="T122" s="96">
        <v>0.5</v>
      </c>
      <c r="U122" s="96">
        <v>0.52013888888888893</v>
      </c>
      <c r="V122" s="309">
        <v>5</v>
      </c>
      <c r="W122" s="88">
        <f t="shared" si="68"/>
        <v>29.000000000000057</v>
      </c>
      <c r="X122" s="99"/>
      <c r="Y122" s="99"/>
      <c r="Z122" s="100"/>
      <c r="AA122" s="100"/>
      <c r="AB122" s="601"/>
      <c r="AC122" s="601"/>
      <c r="AD122" s="101"/>
      <c r="AE122" s="101"/>
      <c r="AF122" s="92">
        <f t="shared" si="59"/>
        <v>-331.03448275862274</v>
      </c>
      <c r="AG122" s="94">
        <f t="shared" si="60"/>
        <v>0.77011494252873425</v>
      </c>
      <c r="AH122" s="622">
        <f>AG134</f>
        <v>0.82052067254934746</v>
      </c>
    </row>
    <row r="123" spans="1:34" ht="19.149999999999999" customHeight="1">
      <c r="A123" s="619"/>
      <c r="B123" s="192" t="s">
        <v>386</v>
      </c>
      <c r="C123" s="152"/>
      <c r="D123" s="83" t="s">
        <v>186</v>
      </c>
      <c r="E123" s="250"/>
      <c r="F123" s="85">
        <v>59.52</v>
      </c>
      <c r="G123" s="86">
        <v>1921</v>
      </c>
      <c r="H123" s="87">
        <f t="shared" si="80"/>
        <v>114337.92000000001</v>
      </c>
      <c r="I123" s="101"/>
      <c r="J123" s="138">
        <v>21</v>
      </c>
      <c r="K123" s="104">
        <v>1385</v>
      </c>
      <c r="L123" s="137">
        <v>65.952380952380949</v>
      </c>
      <c r="M123" s="189">
        <v>20</v>
      </c>
      <c r="N123" s="104">
        <f t="shared" si="81"/>
        <v>1200.6250000000002</v>
      </c>
      <c r="O123" s="137">
        <f t="shared" si="82"/>
        <v>60.031250000000014</v>
      </c>
      <c r="P123" s="100">
        <f t="shared" si="77"/>
        <v>-1</v>
      </c>
      <c r="Q123" s="139">
        <f t="shared" si="78"/>
        <v>-5.9211309523809348</v>
      </c>
      <c r="R123" s="140">
        <f t="shared" si="79"/>
        <v>0.91022111913357429</v>
      </c>
      <c r="S123" s="620"/>
      <c r="T123" s="96">
        <v>0.52500000000000002</v>
      </c>
      <c r="U123" s="96">
        <v>0.59166666666666667</v>
      </c>
      <c r="V123" s="309">
        <v>7</v>
      </c>
      <c r="W123" s="88">
        <f>(U123-T123)*24*60</f>
        <v>95.999999999999972</v>
      </c>
      <c r="X123" s="99"/>
      <c r="Y123" s="99"/>
      <c r="Z123" s="100"/>
      <c r="AA123" s="100"/>
      <c r="AB123" s="601"/>
      <c r="AC123" s="601"/>
      <c r="AD123" s="101"/>
      <c r="AE123" s="101"/>
      <c r="AF123" s="92">
        <f t="shared" si="59"/>
        <v>-184.37499999999977</v>
      </c>
      <c r="AG123" s="94">
        <f t="shared" si="60"/>
        <v>0.86687725631768975</v>
      </c>
      <c r="AH123" s="620"/>
    </row>
    <row r="124" spans="1:34" ht="19.149999999999999" customHeight="1">
      <c r="A124" s="619"/>
      <c r="B124" s="192" t="s">
        <v>386</v>
      </c>
      <c r="C124" s="248"/>
      <c r="D124" s="249" t="s">
        <v>187</v>
      </c>
      <c r="E124" s="250"/>
      <c r="F124" s="85">
        <v>58.67</v>
      </c>
      <c r="G124" s="247">
        <v>1366.4</v>
      </c>
      <c r="H124" s="87">
        <f t="shared" si="80"/>
        <v>80166.688000000009</v>
      </c>
      <c r="I124" s="320"/>
      <c r="J124" s="138">
        <v>19</v>
      </c>
      <c r="K124" s="104">
        <v>1440</v>
      </c>
      <c r="L124" s="137">
        <v>75.78947368421052</v>
      </c>
      <c r="M124" s="91">
        <v>20</v>
      </c>
      <c r="N124" s="247">
        <f t="shared" si="81"/>
        <v>1261.2923076923091</v>
      </c>
      <c r="O124" s="319">
        <f t="shared" si="82"/>
        <v>63.064615384615458</v>
      </c>
      <c r="P124" s="165">
        <f t="shared" si="77"/>
        <v>1</v>
      </c>
      <c r="Q124" s="255">
        <f t="shared" si="78"/>
        <v>-12.724858299595063</v>
      </c>
      <c r="R124" s="166">
        <f t="shared" si="79"/>
        <v>0.83210256410256511</v>
      </c>
      <c r="S124" s="621"/>
      <c r="T124" s="96">
        <v>0.6069444444444444</v>
      </c>
      <c r="U124" s="96">
        <v>0.65208333333333324</v>
      </c>
      <c r="V124" s="309">
        <v>22</v>
      </c>
      <c r="W124" s="322">
        <f>(U124-T124)*24*60</f>
        <v>64.999999999999929</v>
      </c>
      <c r="X124" s="264">
        <v>0.59513888888888888</v>
      </c>
      <c r="Y124" s="264">
        <v>0.60416666666666663</v>
      </c>
      <c r="Z124" s="100"/>
      <c r="AA124" s="100"/>
      <c r="AB124" s="601"/>
      <c r="AC124" s="601"/>
      <c r="AD124" s="101"/>
      <c r="AE124" s="101"/>
      <c r="AF124" s="165">
        <f t="shared" si="59"/>
        <v>-178.70769230769088</v>
      </c>
      <c r="AG124" s="166">
        <f t="shared" si="60"/>
        <v>0.87589743589743685</v>
      </c>
      <c r="AH124" s="620"/>
    </row>
    <row r="125" spans="1:34" ht="19.149999999999999" customHeight="1">
      <c r="A125" s="619"/>
      <c r="B125" s="192" t="s">
        <v>390</v>
      </c>
      <c r="C125" s="152"/>
      <c r="D125" s="83" t="s">
        <v>188</v>
      </c>
      <c r="E125" s="84"/>
      <c r="F125" s="85">
        <v>56.79</v>
      </c>
      <c r="G125" s="86">
        <v>1000</v>
      </c>
      <c r="H125" s="87">
        <f t="shared" si="80"/>
        <v>56790</v>
      </c>
      <c r="I125" s="65"/>
      <c r="J125" s="138">
        <v>18</v>
      </c>
      <c r="K125" s="104">
        <v>1636</v>
      </c>
      <c r="L125" s="137">
        <v>90.888888888888886</v>
      </c>
      <c r="M125" s="91">
        <v>18</v>
      </c>
      <c r="N125" s="104">
        <f t="shared" si="81"/>
        <v>1304.3478260869565</v>
      </c>
      <c r="O125" s="137">
        <f t="shared" si="82"/>
        <v>72.463768115942031</v>
      </c>
      <c r="P125" s="100">
        <f t="shared" si="77"/>
        <v>0</v>
      </c>
      <c r="Q125" s="139">
        <f t="shared" si="78"/>
        <v>-18.425120772946855</v>
      </c>
      <c r="R125" s="140">
        <f t="shared" si="79"/>
        <v>0.79727862230254076</v>
      </c>
      <c r="S125" s="621"/>
      <c r="T125" s="96">
        <v>0.70833333333333337</v>
      </c>
      <c r="U125" s="96">
        <v>0.74027777777777781</v>
      </c>
      <c r="V125" s="309">
        <v>5</v>
      </c>
      <c r="W125" s="322">
        <f t="shared" ref="W125:W133" si="83">(U125-T125)*24*60</f>
        <v>46</v>
      </c>
      <c r="X125" s="112"/>
      <c r="Y125" s="112"/>
      <c r="Z125" s="100"/>
      <c r="AA125" s="100"/>
      <c r="AB125" s="601"/>
      <c r="AC125" s="601"/>
      <c r="AD125" s="101"/>
      <c r="AE125" s="101"/>
      <c r="AF125" s="92">
        <f t="shared" si="59"/>
        <v>-331.6521739130435</v>
      </c>
      <c r="AG125" s="94">
        <f t="shared" si="60"/>
        <v>0.79727862230254065</v>
      </c>
      <c r="AH125" s="623"/>
    </row>
    <row r="126" spans="1:34" ht="19.149999999999999" customHeight="1">
      <c r="A126" s="619"/>
      <c r="B126" s="192" t="s">
        <v>390</v>
      </c>
      <c r="C126" s="101"/>
      <c r="D126" s="83" t="s">
        <v>189</v>
      </c>
      <c r="E126" s="250"/>
      <c r="F126" s="85">
        <v>56.87</v>
      </c>
      <c r="G126" s="104">
        <v>776</v>
      </c>
      <c r="H126" s="87">
        <f t="shared" si="80"/>
        <v>44131.119999999995</v>
      </c>
      <c r="I126" s="101"/>
      <c r="J126" s="138">
        <v>18</v>
      </c>
      <c r="K126" s="104">
        <v>1636</v>
      </c>
      <c r="L126" s="137">
        <v>90.888888888888886</v>
      </c>
      <c r="M126" s="189">
        <v>18</v>
      </c>
      <c r="N126" s="104">
        <f t="shared" si="81"/>
        <v>1293.3333333333323</v>
      </c>
      <c r="O126" s="137">
        <f t="shared" si="82"/>
        <v>71.851851851851791</v>
      </c>
      <c r="P126" s="100">
        <f t="shared" si="77"/>
        <v>0</v>
      </c>
      <c r="Q126" s="139">
        <f t="shared" si="78"/>
        <v>-19.037037037037095</v>
      </c>
      <c r="R126" s="140">
        <f t="shared" si="79"/>
        <v>0.79054604726976296</v>
      </c>
      <c r="S126" s="621"/>
      <c r="T126" s="96">
        <v>0.74583333333333335</v>
      </c>
      <c r="U126" s="96">
        <v>0.77083333333333337</v>
      </c>
      <c r="V126" s="309">
        <v>8</v>
      </c>
      <c r="W126" s="322">
        <f t="shared" si="83"/>
        <v>36.000000000000028</v>
      </c>
      <c r="X126" s="112"/>
      <c r="Y126" s="112"/>
      <c r="Z126" s="100"/>
      <c r="AA126" s="100"/>
      <c r="AB126" s="601"/>
      <c r="AC126" s="601"/>
      <c r="AD126" s="101"/>
      <c r="AE126" s="101"/>
      <c r="AF126" s="165">
        <f t="shared" si="59"/>
        <v>-342.66666666666765</v>
      </c>
      <c r="AG126" s="166">
        <f t="shared" si="60"/>
        <v>0.79054604726976307</v>
      </c>
      <c r="AH126" s="623"/>
    </row>
    <row r="127" spans="1:34" ht="19.149999999999999" customHeight="1">
      <c r="A127" s="619"/>
      <c r="B127" s="192" t="s">
        <v>390</v>
      </c>
      <c r="C127" s="303"/>
      <c r="D127" s="132" t="s">
        <v>190</v>
      </c>
      <c r="E127" s="133"/>
      <c r="F127" s="85">
        <v>54.09</v>
      </c>
      <c r="G127" s="288">
        <v>1247</v>
      </c>
      <c r="H127" s="87">
        <f t="shared" si="80"/>
        <v>67450.23000000001</v>
      </c>
      <c r="I127" s="301"/>
      <c r="J127" s="138">
        <v>16</v>
      </c>
      <c r="K127" s="104">
        <v>1565</v>
      </c>
      <c r="L127" s="137">
        <v>97.8125</v>
      </c>
      <c r="M127" s="91">
        <v>17</v>
      </c>
      <c r="N127" s="247">
        <f t="shared" si="81"/>
        <v>1312.6315789473695</v>
      </c>
      <c r="O127" s="319">
        <f t="shared" si="82"/>
        <v>77.213622291021736</v>
      </c>
      <c r="P127" s="165">
        <f t="shared" si="77"/>
        <v>1</v>
      </c>
      <c r="Q127" s="255">
        <f t="shared" si="78"/>
        <v>-20.598877708978264</v>
      </c>
      <c r="R127" s="166">
        <f t="shared" si="79"/>
        <v>0.78940444514782604</v>
      </c>
      <c r="S127" s="621"/>
      <c r="T127" s="96">
        <v>0.77569444444444446</v>
      </c>
      <c r="U127" s="96">
        <v>0.81527777777777777</v>
      </c>
      <c r="V127" s="65">
        <v>7</v>
      </c>
      <c r="W127" s="322">
        <f t="shared" si="83"/>
        <v>56.999999999999957</v>
      </c>
      <c r="X127" s="112"/>
      <c r="Y127" s="112"/>
      <c r="Z127" s="100"/>
      <c r="AA127" s="100"/>
      <c r="AB127" s="601"/>
      <c r="AC127" s="601"/>
      <c r="AD127" s="101"/>
      <c r="AE127" s="101"/>
      <c r="AF127" s="165">
        <f t="shared" si="59"/>
        <v>-252.36842105263054</v>
      </c>
      <c r="AG127" s="166">
        <f t="shared" si="60"/>
        <v>0.83874222296956513</v>
      </c>
      <c r="AH127" s="623"/>
    </row>
    <row r="128" spans="1:34" ht="19.149999999999999" customHeight="1">
      <c r="A128" s="619"/>
      <c r="B128" s="192" t="s">
        <v>390</v>
      </c>
      <c r="C128" s="226"/>
      <c r="D128" s="106" t="s">
        <v>191</v>
      </c>
      <c r="E128" s="133"/>
      <c r="F128" s="85">
        <v>50.67</v>
      </c>
      <c r="G128" s="104">
        <v>417</v>
      </c>
      <c r="H128" s="87">
        <f t="shared" si="80"/>
        <v>21129.39</v>
      </c>
      <c r="I128" s="101"/>
      <c r="J128" s="138">
        <v>18</v>
      </c>
      <c r="K128" s="104">
        <v>1440</v>
      </c>
      <c r="L128" s="137">
        <v>80</v>
      </c>
      <c r="M128" s="138">
        <v>18</v>
      </c>
      <c r="N128" s="104">
        <f t="shared" si="81"/>
        <v>1087.8260869565181</v>
      </c>
      <c r="O128" s="137">
        <f t="shared" si="82"/>
        <v>60.43478260869545</v>
      </c>
      <c r="P128" s="100">
        <f t="shared" si="77"/>
        <v>0</v>
      </c>
      <c r="Q128" s="139">
        <f t="shared" si="78"/>
        <v>-19.56521739130455</v>
      </c>
      <c r="R128" s="140">
        <f t="shared" si="79"/>
        <v>0.75543478260869312</v>
      </c>
      <c r="S128" s="621"/>
      <c r="T128" s="96">
        <v>0.83125000000000004</v>
      </c>
      <c r="U128" s="96">
        <v>0.84722222222222232</v>
      </c>
      <c r="V128" s="65">
        <v>23</v>
      </c>
      <c r="W128" s="322">
        <f t="shared" si="83"/>
        <v>23.000000000000078</v>
      </c>
      <c r="X128" s="112">
        <v>0.81874999999999998</v>
      </c>
      <c r="Y128" s="112">
        <v>0.82847222222222217</v>
      </c>
      <c r="Z128" s="100"/>
      <c r="AA128" s="100"/>
      <c r="AB128" s="601"/>
      <c r="AC128" s="601"/>
      <c r="AD128" s="101"/>
      <c r="AE128" s="101"/>
      <c r="AF128" s="165">
        <f t="shared" si="59"/>
        <v>-352.17391304348189</v>
      </c>
      <c r="AG128" s="166">
        <f t="shared" si="60"/>
        <v>0.75543478260869312</v>
      </c>
      <c r="AH128" s="623"/>
    </row>
    <row r="129" spans="1:34" ht="19.149999999999999" customHeight="1">
      <c r="A129" s="619"/>
      <c r="B129" s="192" t="s">
        <v>390</v>
      </c>
      <c r="C129" s="226"/>
      <c r="D129" s="106" t="s">
        <v>192</v>
      </c>
      <c r="E129" s="107"/>
      <c r="F129" s="85">
        <v>47.6</v>
      </c>
      <c r="G129" s="104">
        <v>1043</v>
      </c>
      <c r="H129" s="87">
        <f t="shared" si="80"/>
        <v>49646.8</v>
      </c>
      <c r="I129" s="101"/>
      <c r="J129" s="138">
        <v>19</v>
      </c>
      <c r="K129" s="104">
        <v>1440</v>
      </c>
      <c r="L129" s="137">
        <v>75.78947368421052</v>
      </c>
      <c r="M129" s="189">
        <v>18</v>
      </c>
      <c r="N129" s="104">
        <f t="shared" si="81"/>
        <v>1303.7500000000002</v>
      </c>
      <c r="O129" s="137">
        <f t="shared" si="82"/>
        <v>72.430555555555571</v>
      </c>
      <c r="P129" s="100">
        <f t="shared" si="77"/>
        <v>-1</v>
      </c>
      <c r="Q129" s="139">
        <f t="shared" si="78"/>
        <v>-3.358918128654949</v>
      </c>
      <c r="R129" s="140">
        <f t="shared" si="79"/>
        <v>0.95568094135802495</v>
      </c>
      <c r="S129" s="621"/>
      <c r="T129" s="96">
        <v>0.85208333333333341</v>
      </c>
      <c r="U129" s="96">
        <v>0.88541666666666674</v>
      </c>
      <c r="V129" s="65">
        <v>7</v>
      </c>
      <c r="W129" s="322">
        <f t="shared" si="83"/>
        <v>47.999999999999986</v>
      </c>
      <c r="X129" s="112"/>
      <c r="Y129" s="112"/>
      <c r="Z129" s="100"/>
      <c r="AA129" s="100"/>
      <c r="AB129" s="601"/>
      <c r="AC129" s="601"/>
      <c r="AD129" s="101"/>
      <c r="AE129" s="101"/>
      <c r="AF129" s="165"/>
      <c r="AG129" s="166"/>
      <c r="AH129" s="623"/>
    </row>
    <row r="130" spans="1:34" ht="19.149999999999999" customHeight="1">
      <c r="A130" s="619"/>
      <c r="B130" s="278" t="s">
        <v>390</v>
      </c>
      <c r="C130" s="226"/>
      <c r="D130" s="106" t="s">
        <v>193</v>
      </c>
      <c r="E130" s="107"/>
      <c r="F130" s="85">
        <v>57.3</v>
      </c>
      <c r="G130" s="104">
        <v>660</v>
      </c>
      <c r="H130" s="87">
        <f t="shared" si="80"/>
        <v>37818</v>
      </c>
      <c r="I130" s="101"/>
      <c r="J130" s="138">
        <v>17</v>
      </c>
      <c r="K130" s="104">
        <v>1385</v>
      </c>
      <c r="L130" s="137">
        <v>81.470588235294116</v>
      </c>
      <c r="M130" s="189">
        <v>18</v>
      </c>
      <c r="N130" s="104">
        <f t="shared" si="81"/>
        <v>1199.9999999999984</v>
      </c>
      <c r="O130" s="137">
        <f t="shared" si="82"/>
        <v>66.666666666666572</v>
      </c>
      <c r="P130" s="100">
        <f t="shared" si="77"/>
        <v>1</v>
      </c>
      <c r="Q130" s="139">
        <f t="shared" si="78"/>
        <v>-14.803921568627544</v>
      </c>
      <c r="R130" s="140">
        <f t="shared" si="79"/>
        <v>0.81829121540312766</v>
      </c>
      <c r="S130" s="621"/>
      <c r="T130" s="96">
        <v>0.89097222222222228</v>
      </c>
      <c r="U130" s="96">
        <v>0.91388888888888897</v>
      </c>
      <c r="V130" s="65">
        <v>8</v>
      </c>
      <c r="W130" s="322">
        <f t="shared" si="83"/>
        <v>33.000000000000043</v>
      </c>
      <c r="X130" s="112"/>
      <c r="Y130" s="112"/>
      <c r="Z130" s="100"/>
      <c r="AA130" s="100"/>
      <c r="AB130" s="601"/>
      <c r="AC130" s="601"/>
      <c r="AD130" s="101"/>
      <c r="AE130" s="101"/>
      <c r="AF130" s="113"/>
      <c r="AG130" s="114"/>
      <c r="AH130" s="623"/>
    </row>
    <row r="131" spans="1:34" ht="19.149999999999999" customHeight="1">
      <c r="A131" s="619"/>
      <c r="B131" s="278" t="s">
        <v>390</v>
      </c>
      <c r="C131" s="226"/>
      <c r="D131" s="106" t="s">
        <v>194</v>
      </c>
      <c r="E131" s="133"/>
      <c r="F131" s="85">
        <v>50.67</v>
      </c>
      <c r="G131" s="288">
        <v>660</v>
      </c>
      <c r="H131" s="87">
        <f t="shared" si="80"/>
        <v>33442.200000000004</v>
      </c>
      <c r="I131" s="301"/>
      <c r="J131" s="138">
        <v>19</v>
      </c>
      <c r="K131" s="104">
        <v>1636</v>
      </c>
      <c r="L131" s="137">
        <v>86.10526315789474</v>
      </c>
      <c r="M131" s="138">
        <v>18</v>
      </c>
      <c r="N131" s="247">
        <f t="shared" si="81"/>
        <v>1237.4999999999982</v>
      </c>
      <c r="O131" s="319">
        <f t="shared" si="82"/>
        <v>68.749999999999901</v>
      </c>
      <c r="P131" s="165">
        <f t="shared" si="77"/>
        <v>-1</v>
      </c>
      <c r="Q131" s="255">
        <f t="shared" si="78"/>
        <v>-17.355263157894839</v>
      </c>
      <c r="R131" s="166">
        <f t="shared" si="79"/>
        <v>0.79844132029339732</v>
      </c>
      <c r="S131" s="621"/>
      <c r="T131" s="96">
        <v>0.91736111111111118</v>
      </c>
      <c r="U131" s="96">
        <v>0.93958333333333344</v>
      </c>
      <c r="V131" s="65">
        <v>5</v>
      </c>
      <c r="W131" s="322">
        <f t="shared" si="83"/>
        <v>32.000000000000043</v>
      </c>
      <c r="X131" s="112"/>
      <c r="Y131" s="112"/>
      <c r="Z131" s="100"/>
      <c r="AA131" s="100"/>
      <c r="AB131" s="601"/>
      <c r="AC131" s="601"/>
      <c r="AD131" s="101"/>
      <c r="AE131" s="101"/>
      <c r="AF131" s="113"/>
      <c r="AG131" s="114"/>
      <c r="AH131" s="623"/>
    </row>
    <row r="132" spans="1:34" ht="19.149999999999999" customHeight="1">
      <c r="A132" s="619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0"/>
        <v>0</v>
      </c>
      <c r="I132" s="101"/>
      <c r="J132" s="138"/>
      <c r="K132" s="104"/>
      <c r="L132" s="137"/>
      <c r="M132" s="189"/>
      <c r="N132" s="104"/>
      <c r="O132" s="137"/>
      <c r="P132" s="100"/>
      <c r="Q132" s="139"/>
      <c r="R132" s="140"/>
      <c r="S132" s="621"/>
      <c r="T132" s="96"/>
      <c r="U132" s="96"/>
      <c r="V132" s="65"/>
      <c r="W132" s="322">
        <f t="shared" si="83"/>
        <v>0</v>
      </c>
      <c r="X132" s="112"/>
      <c r="Y132" s="112"/>
      <c r="Z132" s="100"/>
      <c r="AA132" s="100"/>
      <c r="AB132" s="601"/>
      <c r="AC132" s="601"/>
      <c r="AD132" s="101"/>
      <c r="AE132" s="101"/>
      <c r="AF132" s="113"/>
      <c r="AG132" s="114"/>
      <c r="AH132" s="623"/>
    </row>
    <row r="133" spans="1:34" ht="19.149999999999999" customHeight="1">
      <c r="A133" s="619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101"/>
      <c r="J133" s="138"/>
      <c r="K133" s="104"/>
      <c r="L133" s="137"/>
      <c r="M133" s="189"/>
      <c r="N133" s="104"/>
      <c r="O133" s="137"/>
      <c r="P133" s="100"/>
      <c r="Q133" s="139"/>
      <c r="R133" s="140"/>
      <c r="S133" s="621"/>
      <c r="T133" s="96"/>
      <c r="U133" s="96"/>
      <c r="V133" s="65"/>
      <c r="W133" s="322">
        <f t="shared" si="83"/>
        <v>0</v>
      </c>
      <c r="X133" s="112"/>
      <c r="Y133" s="112"/>
      <c r="Z133" s="100"/>
      <c r="AA133" s="100"/>
      <c r="AB133" s="601"/>
      <c r="AC133" s="601"/>
      <c r="AD133" s="101"/>
      <c r="AE133" s="101"/>
      <c r="AF133" s="113"/>
      <c r="AG133" s="114"/>
      <c r="AH133" s="623"/>
    </row>
    <row r="134" spans="1:34" ht="19.149999999999999" customHeight="1">
      <c r="A134" s="619"/>
      <c r="B134" s="240">
        <v>0</v>
      </c>
      <c r="C134" s="156" t="s">
        <v>287</v>
      </c>
      <c r="D134" s="602" t="s">
        <v>256</v>
      </c>
      <c r="E134" s="602"/>
      <c r="F134" s="258"/>
      <c r="G134" s="158"/>
      <c r="H134" s="159"/>
      <c r="I134" s="325"/>
      <c r="J134" s="326">
        <v>18.3</v>
      </c>
      <c r="K134" s="326">
        <v>1500.3</v>
      </c>
      <c r="L134" s="327">
        <v>82.46974574917688</v>
      </c>
      <c r="M134" s="326">
        <f t="shared" ref="M134:O134" si="84">AVERAGE(M122:M133)</f>
        <v>18.399999999999999</v>
      </c>
      <c r="N134" s="326">
        <f t="shared" si="84"/>
        <v>1231.027165025786</v>
      </c>
      <c r="O134" s="327">
        <f t="shared" si="84"/>
        <v>67.127371864494734</v>
      </c>
      <c r="P134" s="97">
        <f t="shared" ref="P134:P141" si="85">M134-J134</f>
        <v>9.9999999999997868E-2</v>
      </c>
      <c r="Q134" s="205">
        <f t="shared" ref="Q134:Q141" si="86">O134-L134</f>
        <v>-15.342373884682146</v>
      </c>
      <c r="R134" s="328">
        <f t="shared" ref="R134:R141" si="87">O134/L134</f>
        <v>0.81396360877182317</v>
      </c>
      <c r="S134" s="620"/>
      <c r="T134" s="96"/>
      <c r="U134" s="96"/>
      <c r="V134" s="65"/>
      <c r="W134" s="65"/>
      <c r="X134" s="99"/>
      <c r="Y134" s="99"/>
      <c r="Z134" s="163">
        <f>SUM(Z122:Z133)</f>
        <v>0</v>
      </c>
      <c r="AA134" s="163">
        <f>SUM(AA122:AA133)</f>
        <v>0</v>
      </c>
      <c r="AB134" s="601"/>
      <c r="AC134" s="601"/>
      <c r="AD134" s="164">
        <f>SUM(AD122:AD133)</f>
        <v>0</v>
      </c>
      <c r="AE134" s="164">
        <f>SUM(AE122:AE133)</f>
        <v>0</v>
      </c>
      <c r="AF134" s="92">
        <f t="shared" si="59"/>
        <v>-269.27283497421399</v>
      </c>
      <c r="AG134" s="94">
        <f t="shared" si="60"/>
        <v>0.82052067254934746</v>
      </c>
      <c r="AH134" s="623"/>
    </row>
    <row r="135" spans="1:34" ht="19.149999999999999" customHeight="1">
      <c r="A135" s="612" t="s">
        <v>288</v>
      </c>
      <c r="B135" s="65" t="s">
        <v>390</v>
      </c>
      <c r="C135" s="101"/>
      <c r="D135" s="132" t="s">
        <v>196</v>
      </c>
      <c r="E135" s="133"/>
      <c r="F135" s="85">
        <v>50.67</v>
      </c>
      <c r="G135" s="104">
        <v>653</v>
      </c>
      <c r="H135" s="329">
        <f t="shared" ref="H135:H146" si="88">F135*G135</f>
        <v>33087.51</v>
      </c>
      <c r="I135" s="101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89">G135/W135*60</f>
        <v>1263.8709677419336</v>
      </c>
      <c r="O135" s="174">
        <f t="shared" ref="O135:O141" si="90">N135/M135</f>
        <v>74.345351043643149</v>
      </c>
      <c r="P135" s="100">
        <f t="shared" si="85"/>
        <v>0</v>
      </c>
      <c r="Q135" s="139">
        <f t="shared" si="86"/>
        <v>-13.889943074003909</v>
      </c>
      <c r="R135" s="140">
        <f t="shared" si="87"/>
        <v>0.84258064516128905</v>
      </c>
      <c r="S135" s="616">
        <f>R147</f>
        <v>0.85492635100536918</v>
      </c>
      <c r="T135" s="330">
        <v>0.70833333333333337</v>
      </c>
      <c r="U135" s="96">
        <v>0.72986111111111118</v>
      </c>
      <c r="V135" s="208">
        <v>5</v>
      </c>
      <c r="W135" s="331">
        <f t="shared" ref="W135:W147" si="91">(U135-T135)*24*60</f>
        <v>31.00000000000005</v>
      </c>
      <c r="X135" s="230"/>
      <c r="Y135" s="230"/>
      <c r="Z135" s="100"/>
      <c r="AA135" s="100"/>
      <c r="AB135" s="601"/>
      <c r="AC135" s="601"/>
      <c r="AD135" s="101"/>
      <c r="AE135" s="101"/>
      <c r="AF135" s="175">
        <f t="shared" si="59"/>
        <v>-236.12903225806645</v>
      </c>
      <c r="AG135" s="180">
        <f t="shared" si="60"/>
        <v>0.84258064516128905</v>
      </c>
      <c r="AH135" s="605">
        <f>AG147</f>
        <v>0.859276661628398</v>
      </c>
    </row>
    <row r="136" spans="1:34" ht="19.149999999999999" customHeight="1">
      <c r="A136" s="613"/>
      <c r="B136" s="65" t="s">
        <v>390</v>
      </c>
      <c r="C136" s="101"/>
      <c r="D136" s="132" t="s">
        <v>197</v>
      </c>
      <c r="E136" s="332"/>
      <c r="F136" s="85">
        <v>50.98</v>
      </c>
      <c r="G136" s="104">
        <v>1288</v>
      </c>
      <c r="H136" s="135">
        <f t="shared" si="88"/>
        <v>65662.239999999991</v>
      </c>
      <c r="I136" s="101"/>
      <c r="J136" s="89">
        <v>18</v>
      </c>
      <c r="K136" s="104">
        <v>1440</v>
      </c>
      <c r="L136" s="137">
        <v>80</v>
      </c>
      <c r="M136" s="189">
        <v>19</v>
      </c>
      <c r="N136" s="104">
        <f t="shared" si="89"/>
        <v>1355.7894736842115</v>
      </c>
      <c r="O136" s="137">
        <f t="shared" si="90"/>
        <v>71.357340720221657</v>
      </c>
      <c r="P136" s="100">
        <f t="shared" si="85"/>
        <v>1</v>
      </c>
      <c r="Q136" s="139">
        <f t="shared" si="86"/>
        <v>-8.6426592797783428</v>
      </c>
      <c r="R136" s="140">
        <f t="shared" si="87"/>
        <v>0.89196675900277067</v>
      </c>
      <c r="S136" s="616"/>
      <c r="T136" s="330">
        <v>0.73472222222222228</v>
      </c>
      <c r="U136" s="96">
        <v>0.77430555555555558</v>
      </c>
      <c r="V136" s="208">
        <v>7</v>
      </c>
      <c r="W136" s="88">
        <f t="shared" si="91"/>
        <v>56.999999999999957</v>
      </c>
      <c r="X136" s="99"/>
      <c r="Y136" s="99"/>
      <c r="Z136" s="100"/>
      <c r="AA136" s="100"/>
      <c r="AB136" s="601"/>
      <c r="AC136" s="601"/>
      <c r="AD136" s="101"/>
      <c r="AE136" s="101"/>
      <c r="AF136" s="92">
        <f t="shared" si="59"/>
        <v>-84.210526315788456</v>
      </c>
      <c r="AG136" s="186">
        <f t="shared" si="60"/>
        <v>0.94152046783625798</v>
      </c>
      <c r="AH136" s="605"/>
    </row>
    <row r="137" spans="1:34" ht="19.149999999999999" customHeight="1">
      <c r="A137" s="613"/>
      <c r="B137" s="65" t="s">
        <v>390</v>
      </c>
      <c r="C137" s="101"/>
      <c r="D137" s="132" t="s">
        <v>198</v>
      </c>
      <c r="E137" s="133"/>
      <c r="F137" s="85">
        <v>54.09</v>
      </c>
      <c r="G137" s="288">
        <v>744</v>
      </c>
      <c r="H137" s="135">
        <f t="shared" si="88"/>
        <v>40242.959999999999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89"/>
        <v>1239.9999999999991</v>
      </c>
      <c r="O137" s="137">
        <f t="shared" si="90"/>
        <v>68.888888888888843</v>
      </c>
      <c r="P137" s="100">
        <f t="shared" si="85"/>
        <v>-1</v>
      </c>
      <c r="Q137" s="139">
        <f t="shared" si="86"/>
        <v>-10.058479532163787</v>
      </c>
      <c r="R137" s="140">
        <f t="shared" si="87"/>
        <v>0.87259259259259203</v>
      </c>
      <c r="S137" s="616"/>
      <c r="T137" s="96">
        <v>0.77847222222222223</v>
      </c>
      <c r="U137" s="96">
        <v>0.80347222222222225</v>
      </c>
      <c r="V137" s="333">
        <v>6</v>
      </c>
      <c r="W137" s="88">
        <f t="shared" si="91"/>
        <v>36.000000000000028</v>
      </c>
      <c r="X137" s="99"/>
      <c r="Y137" s="99"/>
      <c r="Z137" s="100"/>
      <c r="AA137" s="100"/>
      <c r="AB137" s="601"/>
      <c r="AC137" s="601"/>
      <c r="AD137" s="101"/>
      <c r="AE137" s="101"/>
      <c r="AF137" s="92">
        <f t="shared" si="59"/>
        <v>-260.00000000000091</v>
      </c>
      <c r="AG137" s="186">
        <f t="shared" si="60"/>
        <v>0.82666666666666611</v>
      </c>
      <c r="AH137" s="605"/>
    </row>
    <row r="138" spans="1:34" ht="19.149999999999999" customHeight="1">
      <c r="A138" s="613"/>
      <c r="B138" s="65" t="s">
        <v>390</v>
      </c>
      <c r="C138" s="303"/>
      <c r="D138" s="132" t="s">
        <v>199</v>
      </c>
      <c r="E138" s="133"/>
      <c r="F138" s="85">
        <v>50.92</v>
      </c>
      <c r="G138" s="104">
        <v>1562</v>
      </c>
      <c r="H138" s="135">
        <f t="shared" si="88"/>
        <v>79537.040000000008</v>
      </c>
      <c r="I138" s="101"/>
      <c r="J138" s="138">
        <v>17</v>
      </c>
      <c r="K138" s="104">
        <v>1440</v>
      </c>
      <c r="L138" s="137">
        <v>84.705882352941174</v>
      </c>
      <c r="M138" s="310">
        <v>16</v>
      </c>
      <c r="N138" s="104">
        <f t="shared" si="89"/>
        <v>1338.8571428571415</v>
      </c>
      <c r="O138" s="137">
        <f t="shared" si="90"/>
        <v>83.678571428571345</v>
      </c>
      <c r="P138" s="100">
        <f t="shared" si="85"/>
        <v>-1</v>
      </c>
      <c r="Q138" s="139">
        <f t="shared" si="86"/>
        <v>-1.0273109243698286</v>
      </c>
      <c r="R138" s="257">
        <f t="shared" si="87"/>
        <v>0.98787202380952288</v>
      </c>
      <c r="S138" s="616"/>
      <c r="T138" s="96">
        <v>0.81874999999999998</v>
      </c>
      <c r="U138" s="96">
        <v>0.86736111111111114</v>
      </c>
      <c r="V138" s="333">
        <v>22</v>
      </c>
      <c r="W138" s="88">
        <f t="shared" si="91"/>
        <v>70.000000000000071</v>
      </c>
      <c r="X138" s="99">
        <v>0.80694444444444446</v>
      </c>
      <c r="Y138" s="99">
        <v>0.81597222222222221</v>
      </c>
      <c r="Z138" s="100"/>
      <c r="AA138" s="100"/>
      <c r="AB138" s="601"/>
      <c r="AC138" s="601"/>
      <c r="AD138" s="101"/>
      <c r="AE138" s="101"/>
      <c r="AF138" s="92">
        <f t="shared" si="59"/>
        <v>-101.14285714285847</v>
      </c>
      <c r="AG138" s="186">
        <f t="shared" si="60"/>
        <v>0.92976190476190379</v>
      </c>
      <c r="AH138" s="605"/>
    </row>
    <row r="139" spans="1:34" ht="19.149999999999999" customHeight="1">
      <c r="A139" s="613"/>
      <c r="B139" s="65" t="s">
        <v>390</v>
      </c>
      <c r="C139" s="147"/>
      <c r="D139" s="83" t="s">
        <v>200</v>
      </c>
      <c r="E139" s="84"/>
      <c r="F139" s="85">
        <v>50.29</v>
      </c>
      <c r="G139" s="104">
        <v>550</v>
      </c>
      <c r="H139" s="135">
        <f t="shared" si="88"/>
        <v>27659.5</v>
      </c>
      <c r="I139" s="101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89"/>
        <v>1064.5161290322565</v>
      </c>
      <c r="O139" s="137">
        <f t="shared" si="90"/>
        <v>59.139784946236468</v>
      </c>
      <c r="P139" s="100">
        <f t="shared" si="85"/>
        <v>0</v>
      </c>
      <c r="Q139" s="139">
        <f t="shared" si="86"/>
        <v>-20.860215053763532</v>
      </c>
      <c r="R139" s="140">
        <f t="shared" si="87"/>
        <v>0.73924731182795589</v>
      </c>
      <c r="S139" s="616"/>
      <c r="T139" s="96">
        <v>0.87083333333333335</v>
      </c>
      <c r="U139" s="96">
        <v>0.89236111111111116</v>
      </c>
      <c r="V139" s="334">
        <v>5</v>
      </c>
      <c r="W139" s="88">
        <f t="shared" si="91"/>
        <v>31.00000000000005</v>
      </c>
      <c r="X139" s="99"/>
      <c r="Y139" s="99"/>
      <c r="Z139" s="100"/>
      <c r="AA139" s="100"/>
      <c r="AB139" s="601"/>
      <c r="AC139" s="601"/>
      <c r="AD139" s="101"/>
      <c r="AE139" s="101"/>
      <c r="AF139" s="92">
        <f t="shared" si="59"/>
        <v>-375.48387096774354</v>
      </c>
      <c r="AG139" s="186">
        <f t="shared" si="60"/>
        <v>0.73924731182795589</v>
      </c>
      <c r="AH139" s="605"/>
    </row>
    <row r="140" spans="1:34" ht="19.149999999999999" customHeight="1">
      <c r="A140" s="614"/>
      <c r="B140" s="65" t="s">
        <v>390</v>
      </c>
      <c r="C140" s="147"/>
      <c r="D140" s="335" t="s">
        <v>201</v>
      </c>
      <c r="E140" s="133"/>
      <c r="F140" s="85">
        <v>50.67</v>
      </c>
      <c r="G140" s="104">
        <v>834</v>
      </c>
      <c r="H140" s="135">
        <f t="shared" si="88"/>
        <v>42258.78</v>
      </c>
      <c r="I140" s="101"/>
      <c r="J140" s="89">
        <v>17</v>
      </c>
      <c r="K140" s="104">
        <v>1440</v>
      </c>
      <c r="L140" s="137">
        <v>84.705882352941174</v>
      </c>
      <c r="M140" s="310">
        <v>19</v>
      </c>
      <c r="N140" s="104">
        <f t="shared" si="89"/>
        <v>1250.9999999999995</v>
      </c>
      <c r="O140" s="137">
        <f t="shared" si="90"/>
        <v>65.842105263157876</v>
      </c>
      <c r="P140" s="100">
        <f t="shared" si="85"/>
        <v>2</v>
      </c>
      <c r="Q140" s="139">
        <f t="shared" si="86"/>
        <v>-18.863777089783298</v>
      </c>
      <c r="R140" s="140">
        <f t="shared" si="87"/>
        <v>0.77730263157894719</v>
      </c>
      <c r="S140" s="617"/>
      <c r="T140" s="111">
        <v>0.8979166666666667</v>
      </c>
      <c r="U140" s="336">
        <v>0.92569444444444449</v>
      </c>
      <c r="V140" s="337">
        <v>8</v>
      </c>
      <c r="W140" s="88">
        <f t="shared" si="91"/>
        <v>40.000000000000014</v>
      </c>
      <c r="X140" s="99"/>
      <c r="Y140" s="99"/>
      <c r="Z140" s="100"/>
      <c r="AA140" s="100"/>
      <c r="AB140" s="601"/>
      <c r="AC140" s="601"/>
      <c r="AD140" s="101"/>
      <c r="AE140" s="101"/>
      <c r="AF140" s="92">
        <f t="shared" si="59"/>
        <v>-189.00000000000045</v>
      </c>
      <c r="AG140" s="186">
        <f t="shared" si="60"/>
        <v>0.86874999999999969</v>
      </c>
      <c r="AH140" s="605"/>
    </row>
    <row r="141" spans="1:34" ht="19.149999999999999" customHeight="1">
      <c r="A141" s="614"/>
      <c r="B141" s="65" t="s">
        <v>390</v>
      </c>
      <c r="C141" s="147"/>
      <c r="D141" s="83" t="s">
        <v>202</v>
      </c>
      <c r="E141" s="338"/>
      <c r="F141" s="85">
        <v>50.49</v>
      </c>
      <c r="G141" s="104">
        <v>1063</v>
      </c>
      <c r="H141" s="135">
        <f t="shared" si="88"/>
        <v>53670.87</v>
      </c>
      <c r="I141" s="101"/>
      <c r="J141" s="89">
        <v>15</v>
      </c>
      <c r="K141" s="86">
        <v>1440</v>
      </c>
      <c r="L141" s="90">
        <v>96</v>
      </c>
      <c r="M141" s="310">
        <v>15</v>
      </c>
      <c r="N141" s="104">
        <f t="shared" si="89"/>
        <v>1250.588235294118</v>
      </c>
      <c r="O141" s="137">
        <f t="shared" si="90"/>
        <v>83.372549019607874</v>
      </c>
      <c r="P141" s="100">
        <f t="shared" si="85"/>
        <v>0</v>
      </c>
      <c r="Q141" s="139">
        <f t="shared" si="86"/>
        <v>-12.627450980392126</v>
      </c>
      <c r="R141" s="257">
        <f t="shared" si="87"/>
        <v>0.86846405228758206</v>
      </c>
      <c r="S141" s="617"/>
      <c r="T141" s="111">
        <v>0.93055555555555558</v>
      </c>
      <c r="U141" s="336">
        <v>0.96597222222222223</v>
      </c>
      <c r="V141" s="102">
        <v>7</v>
      </c>
      <c r="W141" s="88">
        <f t="shared" si="91"/>
        <v>50.999999999999979</v>
      </c>
      <c r="X141" s="99"/>
      <c r="Y141" s="99"/>
      <c r="Z141" s="100"/>
      <c r="AA141" s="100"/>
      <c r="AB141" s="601"/>
      <c r="AC141" s="601"/>
      <c r="AD141" s="101"/>
      <c r="AE141" s="101"/>
      <c r="AF141" s="92">
        <f t="shared" si="59"/>
        <v>-189.41176470588198</v>
      </c>
      <c r="AG141" s="186">
        <f t="shared" si="60"/>
        <v>0.86846405228758194</v>
      </c>
      <c r="AH141" s="605"/>
    </row>
    <row r="142" spans="1:34" ht="19.149999999999999" customHeight="1">
      <c r="A142" s="614"/>
      <c r="B142" s="65">
        <v>0</v>
      </c>
      <c r="C142" s="147"/>
      <c r="D142" s="83"/>
      <c r="E142" s="338"/>
      <c r="F142" s="85" t="s">
        <v>391</v>
      </c>
      <c r="G142" s="104"/>
      <c r="H142" s="135">
        <f t="shared" si="88"/>
        <v>0</v>
      </c>
      <c r="I142" s="101"/>
      <c r="J142" s="138"/>
      <c r="K142" s="104"/>
      <c r="L142" s="137"/>
      <c r="M142" s="310"/>
      <c r="N142" s="104"/>
      <c r="O142" s="137"/>
      <c r="P142" s="100"/>
      <c r="Q142" s="139"/>
      <c r="R142" s="140"/>
      <c r="S142" s="617"/>
      <c r="T142" s="111"/>
      <c r="U142" s="336"/>
      <c r="V142" s="102"/>
      <c r="W142" s="88"/>
      <c r="X142" s="99"/>
      <c r="Y142" s="99"/>
      <c r="Z142" s="100"/>
      <c r="AA142" s="100"/>
      <c r="AB142" s="601"/>
      <c r="AC142" s="601"/>
      <c r="AD142" s="101"/>
      <c r="AE142" s="101"/>
      <c r="AF142" s="92">
        <f t="shared" si="59"/>
        <v>0</v>
      </c>
      <c r="AG142" s="186" t="e">
        <f t="shared" si="60"/>
        <v>#DIV/0!</v>
      </c>
      <c r="AH142" s="605"/>
    </row>
    <row r="143" spans="1:34" ht="19.149999999999999" customHeight="1">
      <c r="A143" s="614"/>
      <c r="B143" s="65">
        <v>0</v>
      </c>
      <c r="C143" s="339"/>
      <c r="D143" s="132"/>
      <c r="E143" s="133"/>
      <c r="F143" s="85" t="s">
        <v>391</v>
      </c>
      <c r="G143" s="104"/>
      <c r="H143" s="135">
        <f t="shared" si="88"/>
        <v>0</v>
      </c>
      <c r="I143" s="101"/>
      <c r="J143" s="89"/>
      <c r="K143" s="86"/>
      <c r="L143" s="90"/>
      <c r="M143" s="310"/>
      <c r="N143" s="104"/>
      <c r="O143" s="137"/>
      <c r="P143" s="100"/>
      <c r="Q143" s="139"/>
      <c r="R143" s="140"/>
      <c r="S143" s="617"/>
      <c r="T143" s="111"/>
      <c r="U143" s="336"/>
      <c r="V143" s="102"/>
      <c r="W143" s="88"/>
      <c r="X143" s="99"/>
      <c r="Y143" s="99"/>
      <c r="Z143" s="100"/>
      <c r="AA143" s="100"/>
      <c r="AB143" s="601"/>
      <c r="AC143" s="601"/>
      <c r="AD143" s="101"/>
      <c r="AE143" s="101"/>
      <c r="AF143" s="92">
        <f t="shared" si="59"/>
        <v>0</v>
      </c>
      <c r="AG143" s="186" t="e">
        <f t="shared" si="60"/>
        <v>#DIV/0!</v>
      </c>
      <c r="AH143" s="605"/>
    </row>
    <row r="144" spans="1:34" ht="19.149999999999999" customHeight="1">
      <c r="A144" s="614"/>
      <c r="B144" s="65">
        <v>0</v>
      </c>
      <c r="C144" s="147"/>
      <c r="D144" s="83"/>
      <c r="E144" s="338"/>
      <c r="F144" s="85" t="s">
        <v>391</v>
      </c>
      <c r="G144" s="104"/>
      <c r="H144" s="135">
        <f t="shared" si="88"/>
        <v>0</v>
      </c>
      <c r="I144" s="101"/>
      <c r="J144" s="89"/>
      <c r="K144" s="104"/>
      <c r="L144" s="137"/>
      <c r="M144" s="189"/>
      <c r="N144" s="104"/>
      <c r="O144" s="137"/>
      <c r="P144" s="100"/>
      <c r="Q144" s="139"/>
      <c r="R144" s="257"/>
      <c r="S144" s="617"/>
      <c r="T144" s="111"/>
      <c r="U144" s="336"/>
      <c r="V144" s="102"/>
      <c r="W144" s="88"/>
      <c r="X144" s="99"/>
      <c r="Y144" s="99"/>
      <c r="Z144" s="100"/>
      <c r="AA144" s="100"/>
      <c r="AB144" s="601"/>
      <c r="AC144" s="601"/>
      <c r="AD144" s="101"/>
      <c r="AE144" s="101"/>
      <c r="AF144" s="92">
        <f t="shared" si="59"/>
        <v>0</v>
      </c>
      <c r="AG144" s="186" t="e">
        <f t="shared" si="60"/>
        <v>#DIV/0!</v>
      </c>
      <c r="AH144" s="605"/>
    </row>
    <row r="145" spans="1:34" ht="19.149999999999999" customHeight="1">
      <c r="A145" s="614"/>
      <c r="B145" s="65">
        <v>0</v>
      </c>
      <c r="C145" s="147"/>
      <c r="D145" s="83"/>
      <c r="E145" s="338"/>
      <c r="F145" s="85" t="s">
        <v>391</v>
      </c>
      <c r="G145" s="104"/>
      <c r="H145" s="135">
        <f t="shared" si="88"/>
        <v>0</v>
      </c>
      <c r="I145" s="101"/>
      <c r="J145" s="138"/>
      <c r="K145" s="104"/>
      <c r="L145" s="137"/>
      <c r="M145" s="189"/>
      <c r="N145" s="104"/>
      <c r="O145" s="137"/>
      <c r="P145" s="100"/>
      <c r="Q145" s="139"/>
      <c r="R145" s="140"/>
      <c r="S145" s="617"/>
      <c r="T145" s="111"/>
      <c r="U145" s="336"/>
      <c r="V145" s="102"/>
      <c r="W145" s="88">
        <f t="shared" si="91"/>
        <v>0</v>
      </c>
      <c r="X145" s="99"/>
      <c r="Y145" s="99"/>
      <c r="Z145" s="100"/>
      <c r="AA145" s="100"/>
      <c r="AB145" s="601"/>
      <c r="AC145" s="601"/>
      <c r="AD145" s="101"/>
      <c r="AE145" s="101"/>
      <c r="AF145" s="92">
        <f t="shared" si="59"/>
        <v>0</v>
      </c>
      <c r="AG145" s="186" t="e">
        <f t="shared" si="60"/>
        <v>#DIV/0!</v>
      </c>
      <c r="AH145" s="605"/>
    </row>
    <row r="146" spans="1:34" ht="19.149999999999999" customHeight="1">
      <c r="A146" s="614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88"/>
        <v>0</v>
      </c>
      <c r="I146" s="101"/>
      <c r="J146" s="138"/>
      <c r="K146" s="104"/>
      <c r="L146" s="137"/>
      <c r="M146" s="189"/>
      <c r="N146" s="104"/>
      <c r="O146" s="137"/>
      <c r="P146" s="100"/>
      <c r="Q146" s="139"/>
      <c r="R146" s="140"/>
      <c r="S146" s="617"/>
      <c r="T146" s="111"/>
      <c r="U146" s="336"/>
      <c r="V146" s="102"/>
      <c r="W146" s="88">
        <f t="shared" si="91"/>
        <v>0</v>
      </c>
      <c r="X146" s="99"/>
      <c r="Y146" s="99"/>
      <c r="Z146" s="100"/>
      <c r="AA146" s="100"/>
      <c r="AB146" s="601"/>
      <c r="AC146" s="601"/>
      <c r="AD146" s="101"/>
      <c r="AE146" s="101"/>
      <c r="AF146" s="100"/>
      <c r="AG146" s="140"/>
      <c r="AH146" s="605"/>
    </row>
    <row r="147" spans="1:34" ht="19.149999999999999" customHeight="1">
      <c r="A147" s="615"/>
      <c r="B147" s="341">
        <v>0</v>
      </c>
      <c r="C147" s="156" t="s">
        <v>278</v>
      </c>
      <c r="D147" s="602" t="s">
        <v>256</v>
      </c>
      <c r="E147" s="602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2">AVERAGE(M135:M146)</f>
        <v>17.428571428571427</v>
      </c>
      <c r="N147" s="326">
        <f t="shared" si="92"/>
        <v>1252.0888498013799</v>
      </c>
      <c r="O147" s="327">
        <f t="shared" si="92"/>
        <v>72.374941615761031</v>
      </c>
      <c r="P147" s="97">
        <f t="shared" ref="P147:P152" si="93">M147-J147</f>
        <v>0.14285714285714235</v>
      </c>
      <c r="Q147" s="205">
        <f t="shared" ref="Q147:Q152" si="94">O147-L147</f>
        <v>-12.281405133464972</v>
      </c>
      <c r="R147" s="343">
        <f t="shared" ref="R147:R152" si="95">O147/L147</f>
        <v>0.85492635100536918</v>
      </c>
      <c r="S147" s="618"/>
      <c r="T147" s="111"/>
      <c r="U147" s="111"/>
      <c r="V147" s="102"/>
      <c r="W147" s="88">
        <f t="shared" si="91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01"/>
      <c r="AC147" s="601"/>
      <c r="AD147" s="164">
        <f>SUM(AD135:AD146)</f>
        <v>0</v>
      </c>
      <c r="AE147" s="164">
        <f>SUM(AE135:AE146)</f>
        <v>0</v>
      </c>
      <c r="AF147" s="282">
        <f t="shared" si="59"/>
        <v>-205.05400734147725</v>
      </c>
      <c r="AG147" s="344">
        <f t="shared" si="60"/>
        <v>0.859276661628398</v>
      </c>
      <c r="AH147" s="605"/>
    </row>
    <row r="148" spans="1:34" ht="19.149999999999999" customHeight="1">
      <c r="A148" s="608" t="s">
        <v>279</v>
      </c>
      <c r="B148" s="101" t="s">
        <v>390</v>
      </c>
      <c r="C148" s="182"/>
      <c r="D148" s="246" t="s">
        <v>204</v>
      </c>
      <c r="E148" s="84"/>
      <c r="F148" s="199">
        <v>57.3</v>
      </c>
      <c r="G148" s="104">
        <v>1152</v>
      </c>
      <c r="H148" s="135">
        <f t="shared" ref="H148:H172" si="96">F148*G148</f>
        <v>66009.599999999991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1304.1509433962271</v>
      </c>
      <c r="O148" s="90">
        <f>N148/M148</f>
        <v>72.452830188679286</v>
      </c>
      <c r="P148" s="92">
        <f t="shared" si="93"/>
        <v>-1</v>
      </c>
      <c r="Q148" s="93">
        <f t="shared" si="94"/>
        <v>-3.3366434955312343</v>
      </c>
      <c r="R148" s="94">
        <f t="shared" si="95"/>
        <v>0.95597484276729616</v>
      </c>
      <c r="S148" s="609">
        <f>R160</f>
        <v>0.89747358192899218</v>
      </c>
      <c r="T148" s="330">
        <v>0.70833333333333337</v>
      </c>
      <c r="U148" s="96">
        <v>0.74513888888888891</v>
      </c>
      <c r="V148" s="65">
        <v>5</v>
      </c>
      <c r="W148" s="88">
        <f>(U148-T148)*24*60</f>
        <v>52.999999999999972</v>
      </c>
      <c r="X148" s="99"/>
      <c r="Y148" s="99"/>
      <c r="Z148" s="100"/>
      <c r="AA148" s="100"/>
      <c r="AB148" s="601"/>
      <c r="AC148" s="601"/>
      <c r="AD148" s="101"/>
      <c r="AE148" s="101"/>
      <c r="AF148" s="92">
        <f t="shared" si="59"/>
        <v>-135.84905660377285</v>
      </c>
      <c r="AG148" s="186">
        <f t="shared" si="60"/>
        <v>0.90566037735849103</v>
      </c>
      <c r="AH148" s="605">
        <f>AG160</f>
        <v>0.86881413621871562</v>
      </c>
    </row>
    <row r="149" spans="1:34" ht="19.149999999999999" customHeight="1">
      <c r="A149" s="608"/>
      <c r="B149" s="101" t="s">
        <v>390</v>
      </c>
      <c r="C149" s="301"/>
      <c r="D149" s="335" t="s">
        <v>205</v>
      </c>
      <c r="E149" s="107"/>
      <c r="F149" s="199">
        <v>50.67</v>
      </c>
      <c r="G149" s="104">
        <v>652</v>
      </c>
      <c r="H149" s="135">
        <f t="shared" si="96"/>
        <v>33036.840000000004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1261.9354838709658</v>
      </c>
      <c r="O149" s="90">
        <f>N149/M149</f>
        <v>74.231499051233286</v>
      </c>
      <c r="P149" s="92">
        <f t="shared" si="93"/>
        <v>1</v>
      </c>
      <c r="Q149" s="93">
        <f t="shared" si="94"/>
        <v>-15.768500948766714</v>
      </c>
      <c r="R149" s="94">
        <f t="shared" si="95"/>
        <v>0.82479443390259211</v>
      </c>
      <c r="S149" s="610"/>
      <c r="T149" s="330">
        <v>0.75</v>
      </c>
      <c r="U149" s="96">
        <v>0.77152777777777781</v>
      </c>
      <c r="V149" s="65">
        <v>7</v>
      </c>
      <c r="W149" s="88">
        <f t="shared" ref="W149:W159" si="97">(U149-T149)*24*60</f>
        <v>31.00000000000005</v>
      </c>
      <c r="X149" s="99"/>
      <c r="Y149" s="99"/>
      <c r="Z149" s="100"/>
      <c r="AA149" s="100"/>
      <c r="AB149" s="601"/>
      <c r="AC149" s="601"/>
      <c r="AD149" s="101"/>
      <c r="AE149" s="101"/>
      <c r="AF149" s="92">
        <f t="shared" si="59"/>
        <v>-178.06451612903425</v>
      </c>
      <c r="AG149" s="186">
        <f t="shared" si="60"/>
        <v>0.87634408602150404</v>
      </c>
      <c r="AH149" s="611"/>
    </row>
    <row r="150" spans="1:34" ht="19.149999999999999" customHeight="1">
      <c r="A150" s="608"/>
      <c r="B150" s="101" t="s">
        <v>386</v>
      </c>
      <c r="C150" s="301"/>
      <c r="D150" s="249" t="s">
        <v>187</v>
      </c>
      <c r="E150" s="107"/>
      <c r="F150" s="199">
        <v>58.67</v>
      </c>
      <c r="G150" s="104">
        <v>341.6</v>
      </c>
      <c r="H150" s="135">
        <f t="shared" si="96"/>
        <v>20041.672000000002</v>
      </c>
      <c r="I150" s="345">
        <v>2</v>
      </c>
      <c r="J150" s="138">
        <v>19</v>
      </c>
      <c r="K150" s="104">
        <v>1440</v>
      </c>
      <c r="L150" s="137">
        <v>75.78947368421052</v>
      </c>
      <c r="M150" s="310">
        <v>16</v>
      </c>
      <c r="N150" s="86">
        <f>G150/W150*60</f>
        <v>1205.6470588235338</v>
      </c>
      <c r="O150" s="90">
        <f>N150/M150</f>
        <v>75.352941176470864</v>
      </c>
      <c r="P150" s="92">
        <f t="shared" si="93"/>
        <v>-3</v>
      </c>
      <c r="Q150" s="93">
        <f t="shared" si="94"/>
        <v>-0.43653250773965624</v>
      </c>
      <c r="R150" s="94">
        <f t="shared" si="95"/>
        <v>0.99424019607843506</v>
      </c>
      <c r="S150" s="610"/>
      <c r="T150" s="330">
        <v>0.77569444444444446</v>
      </c>
      <c r="U150" s="96">
        <v>0.78749999999999998</v>
      </c>
      <c r="V150" s="65">
        <v>6</v>
      </c>
      <c r="W150" s="88">
        <f t="shared" si="97"/>
        <v>16.99999999999994</v>
      </c>
      <c r="X150" s="295"/>
      <c r="Y150" s="295"/>
      <c r="Z150" s="296"/>
      <c r="AA150" s="296"/>
      <c r="AB150" s="601"/>
      <c r="AC150" s="601"/>
      <c r="AD150" s="101"/>
      <c r="AE150" s="101"/>
      <c r="AF150" s="92">
        <f t="shared" si="59"/>
        <v>-234.35294117646617</v>
      </c>
      <c r="AG150" s="186">
        <f t="shared" si="60"/>
        <v>0.83725490196078733</v>
      </c>
      <c r="AH150" s="611"/>
    </row>
    <row r="151" spans="1:34" s="298" customFormat="1" ht="19.149999999999999" customHeight="1">
      <c r="A151" s="608"/>
      <c r="B151" s="101" t="s">
        <v>386</v>
      </c>
      <c r="C151" s="301"/>
      <c r="D151" s="106" t="s">
        <v>160</v>
      </c>
      <c r="E151" s="107"/>
      <c r="F151" s="199">
        <v>53.76</v>
      </c>
      <c r="G151" s="104">
        <v>436.40000000000003</v>
      </c>
      <c r="H151" s="135">
        <f t="shared" si="96"/>
        <v>23460.864000000001</v>
      </c>
      <c r="I151" s="345">
        <v>2</v>
      </c>
      <c r="J151" s="138">
        <v>16</v>
      </c>
      <c r="K151" s="104">
        <v>1440</v>
      </c>
      <c r="L151" s="137">
        <v>90</v>
      </c>
      <c r="M151" s="310">
        <v>15</v>
      </c>
      <c r="N151" s="86">
        <f>G151/W151*60</f>
        <v>1246.8571428571474</v>
      </c>
      <c r="O151" s="90">
        <f>N151/M151</f>
        <v>83.123809523809825</v>
      </c>
      <c r="P151" s="92">
        <f t="shared" si="93"/>
        <v>-1</v>
      </c>
      <c r="Q151" s="93">
        <f t="shared" si="94"/>
        <v>-6.8761904761901746</v>
      </c>
      <c r="R151" s="94">
        <f t="shared" si="95"/>
        <v>0.92359788359788697</v>
      </c>
      <c r="S151" s="610"/>
      <c r="T151" s="330">
        <v>0.79305555555555551</v>
      </c>
      <c r="U151" s="96">
        <v>0.8076388888888888</v>
      </c>
      <c r="V151" s="65">
        <v>8</v>
      </c>
      <c r="W151" s="88">
        <f t="shared" si="97"/>
        <v>20.999999999999925</v>
      </c>
      <c r="X151" s="295"/>
      <c r="Y151" s="295"/>
      <c r="Z151" s="296"/>
      <c r="AA151" s="296"/>
      <c r="AB151" s="601"/>
      <c r="AC151" s="601"/>
      <c r="AD151" s="301"/>
      <c r="AE151" s="301">
        <v>1</v>
      </c>
      <c r="AF151" s="92">
        <f t="shared" si="59"/>
        <v>-193.14285714285256</v>
      </c>
      <c r="AG151" s="186">
        <f t="shared" si="60"/>
        <v>0.86587301587301901</v>
      </c>
      <c r="AH151" s="611"/>
    </row>
    <row r="152" spans="1:34" s="298" customFormat="1" ht="19.149999999999999" customHeight="1">
      <c r="A152" s="608"/>
      <c r="B152" s="101" t="s">
        <v>390</v>
      </c>
      <c r="C152" s="301"/>
      <c r="D152" s="335" t="s">
        <v>206</v>
      </c>
      <c r="E152" s="107"/>
      <c r="F152" s="199">
        <v>57.3</v>
      </c>
      <c r="G152" s="104">
        <v>1289</v>
      </c>
      <c r="H152" s="135">
        <f t="shared" si="96"/>
        <v>73859.7</v>
      </c>
      <c r="I152" s="345"/>
      <c r="J152" s="138">
        <v>17</v>
      </c>
      <c r="K152" s="104">
        <v>1500</v>
      </c>
      <c r="L152" s="137">
        <v>88.235294117647058</v>
      </c>
      <c r="M152" s="310">
        <v>18</v>
      </c>
      <c r="N152" s="86">
        <f>G152/W152*60</f>
        <v>1289.0000000000011</v>
      </c>
      <c r="O152" s="90">
        <f>N152/M152</f>
        <v>71.611111111111171</v>
      </c>
      <c r="P152" s="92">
        <f t="shared" si="93"/>
        <v>1</v>
      </c>
      <c r="Q152" s="93">
        <f t="shared" si="94"/>
        <v>-16.624183006535887</v>
      </c>
      <c r="R152" s="94">
        <f t="shared" si="95"/>
        <v>0.81159259259259331</v>
      </c>
      <c r="S152" s="610"/>
      <c r="T152" s="346">
        <v>0.82361111111111107</v>
      </c>
      <c r="U152" s="111">
        <v>0.8652777777777777</v>
      </c>
      <c r="V152" s="109">
        <v>23</v>
      </c>
      <c r="W152" s="88">
        <f t="shared" si="97"/>
        <v>59.999999999999943</v>
      </c>
      <c r="X152" s="299">
        <v>0.81111111111111101</v>
      </c>
      <c r="Y152" s="299">
        <v>0.8208333333333333</v>
      </c>
      <c r="Z152" s="296"/>
      <c r="AA152" s="296"/>
      <c r="AB152" s="601"/>
      <c r="AC152" s="601"/>
      <c r="AD152" s="301"/>
      <c r="AE152" s="301"/>
      <c r="AF152" s="92">
        <f t="shared" si="59"/>
        <v>-210.99999999999886</v>
      </c>
      <c r="AG152" s="186">
        <f t="shared" si="60"/>
        <v>0.85933333333333406</v>
      </c>
      <c r="AH152" s="611"/>
    </row>
    <row r="153" spans="1:34" s="298" customFormat="1" ht="19.149999999999999" customHeight="1">
      <c r="A153" s="608"/>
      <c r="B153" s="101">
        <v>0</v>
      </c>
      <c r="C153" s="301"/>
      <c r="D153" s="335"/>
      <c r="E153" s="107"/>
      <c r="F153" s="199" t="s">
        <v>391</v>
      </c>
      <c r="G153" s="104"/>
      <c r="H153" s="135">
        <f t="shared" si="96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4"/>
      <c r="S153" s="610"/>
      <c r="T153" s="346"/>
      <c r="U153" s="111"/>
      <c r="V153" s="109"/>
      <c r="W153" s="88">
        <f t="shared" si="97"/>
        <v>0</v>
      </c>
      <c r="X153" s="299"/>
      <c r="Y153" s="299"/>
      <c r="Z153" s="296"/>
      <c r="AA153" s="296"/>
      <c r="AB153" s="601"/>
      <c r="AC153" s="601"/>
      <c r="AD153" s="301"/>
      <c r="AE153" s="301"/>
      <c r="AF153" s="92">
        <f t="shared" si="59"/>
        <v>0</v>
      </c>
      <c r="AG153" s="186" t="e">
        <f t="shared" si="60"/>
        <v>#DIV/0!</v>
      </c>
      <c r="AH153" s="611"/>
    </row>
    <row r="154" spans="1:34" s="298" customFormat="1" ht="19.149999999999999" customHeight="1">
      <c r="A154" s="608"/>
      <c r="B154" s="101">
        <v>0</v>
      </c>
      <c r="C154" s="301"/>
      <c r="D154" s="335"/>
      <c r="E154" s="107"/>
      <c r="F154" s="199" t="s">
        <v>391</v>
      </c>
      <c r="G154" s="104"/>
      <c r="H154" s="135">
        <f t="shared" si="96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10"/>
      <c r="T154" s="346"/>
      <c r="U154" s="111"/>
      <c r="V154" s="109"/>
      <c r="W154" s="88">
        <f t="shared" si="97"/>
        <v>0</v>
      </c>
      <c r="X154" s="299"/>
      <c r="Y154" s="299"/>
      <c r="Z154" s="296"/>
      <c r="AA154" s="296"/>
      <c r="AB154" s="601"/>
      <c r="AC154" s="601"/>
      <c r="AD154" s="301"/>
      <c r="AE154" s="301"/>
      <c r="AF154" s="92">
        <f t="shared" si="59"/>
        <v>0</v>
      </c>
      <c r="AG154" s="186" t="e">
        <f t="shared" si="60"/>
        <v>#DIV/0!</v>
      </c>
      <c r="AH154" s="611"/>
    </row>
    <row r="155" spans="1:34" s="298" customFormat="1" ht="19.149999999999999" customHeight="1">
      <c r="A155" s="608"/>
      <c r="B155" s="101">
        <v>0</v>
      </c>
      <c r="C155" s="301"/>
      <c r="D155" s="335"/>
      <c r="E155" s="107"/>
      <c r="F155" s="199" t="s">
        <v>391</v>
      </c>
      <c r="G155" s="104"/>
      <c r="H155" s="135">
        <f t="shared" si="96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10"/>
      <c r="T155" s="346"/>
      <c r="U155" s="111"/>
      <c r="V155" s="109"/>
      <c r="W155" s="88">
        <f t="shared" si="97"/>
        <v>0</v>
      </c>
      <c r="X155" s="299"/>
      <c r="Y155" s="299"/>
      <c r="Z155" s="296"/>
      <c r="AA155" s="296"/>
      <c r="AB155" s="601"/>
      <c r="AC155" s="601"/>
      <c r="AD155" s="301"/>
      <c r="AE155" s="301"/>
      <c r="AF155" s="349"/>
      <c r="AG155" s="191"/>
      <c r="AH155" s="611"/>
    </row>
    <row r="156" spans="1:34" s="298" customFormat="1" ht="19.149999999999999" customHeight="1">
      <c r="A156" s="608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6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10"/>
      <c r="T156" s="346"/>
      <c r="U156" s="111"/>
      <c r="V156" s="109"/>
      <c r="W156" s="350">
        <f t="shared" si="97"/>
        <v>0</v>
      </c>
      <c r="X156" s="299"/>
      <c r="Y156" s="299"/>
      <c r="Z156" s="296"/>
      <c r="AA156" s="296"/>
      <c r="AB156" s="601"/>
      <c r="AC156" s="601"/>
      <c r="AD156" s="301"/>
      <c r="AE156" s="301"/>
      <c r="AF156" s="349"/>
      <c r="AG156" s="191"/>
      <c r="AH156" s="611"/>
    </row>
    <row r="157" spans="1:34" s="298" customFormat="1" ht="19.149999999999999" customHeight="1">
      <c r="A157" s="608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6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10"/>
      <c r="T157" s="346"/>
      <c r="U157" s="111"/>
      <c r="V157" s="109"/>
      <c r="W157" s="350">
        <f t="shared" si="97"/>
        <v>0</v>
      </c>
      <c r="X157" s="299"/>
      <c r="Y157" s="299"/>
      <c r="Z157" s="296"/>
      <c r="AA157" s="296"/>
      <c r="AB157" s="601"/>
      <c r="AC157" s="601"/>
      <c r="AD157" s="301"/>
      <c r="AE157" s="301"/>
      <c r="AF157" s="349"/>
      <c r="AG157" s="191"/>
      <c r="AH157" s="611"/>
    </row>
    <row r="158" spans="1:34" s="298" customFormat="1" ht="19.149999999999999" customHeight="1">
      <c r="A158" s="608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6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10"/>
      <c r="T158" s="346"/>
      <c r="U158" s="111"/>
      <c r="V158" s="109"/>
      <c r="W158" s="350">
        <f t="shared" si="97"/>
        <v>0</v>
      </c>
      <c r="X158" s="299"/>
      <c r="Y158" s="299"/>
      <c r="Z158" s="296"/>
      <c r="AA158" s="296"/>
      <c r="AB158" s="601"/>
      <c r="AC158" s="601"/>
      <c r="AD158" s="301"/>
      <c r="AE158" s="301"/>
      <c r="AF158" s="349"/>
      <c r="AG158" s="191"/>
      <c r="AH158" s="611"/>
    </row>
    <row r="159" spans="1:34" s="298" customFormat="1" ht="19.149999999999999" customHeight="1">
      <c r="A159" s="608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6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10"/>
      <c r="T159" s="346"/>
      <c r="U159" s="111"/>
      <c r="V159" s="109"/>
      <c r="W159" s="351">
        <f t="shared" si="97"/>
        <v>0</v>
      </c>
      <c r="X159" s="299"/>
      <c r="Y159" s="299"/>
      <c r="Z159" s="296"/>
      <c r="AA159" s="296"/>
      <c r="AB159" s="601"/>
      <c r="AC159" s="601"/>
      <c r="AD159" s="301"/>
      <c r="AE159" s="301"/>
      <c r="AF159" s="349"/>
      <c r="AG159" s="191"/>
      <c r="AH159" s="611"/>
    </row>
    <row r="160" spans="1:34" ht="19.149999999999999" customHeight="1">
      <c r="A160" s="608"/>
      <c r="B160" s="352">
        <v>0</v>
      </c>
      <c r="C160" s="353" t="s">
        <v>280</v>
      </c>
      <c r="D160" s="606" t="s">
        <v>256</v>
      </c>
      <c r="E160" s="607"/>
      <c r="F160" s="119"/>
      <c r="G160" s="280"/>
      <c r="H160" s="279"/>
      <c r="I160" s="122"/>
      <c r="J160" s="354">
        <v>17.399999999999999</v>
      </c>
      <c r="K160" s="354">
        <v>1452</v>
      </c>
      <c r="L160" s="355">
        <v>83.962848297213625</v>
      </c>
      <c r="M160" s="354">
        <f t="shared" ref="M160:O160" si="98">AVERAGE(M148:M159)</f>
        <v>16.8</v>
      </c>
      <c r="N160" s="354">
        <f t="shared" si="98"/>
        <v>1261.5181257895752</v>
      </c>
      <c r="O160" s="355">
        <f t="shared" si="98"/>
        <v>75.354438210260895</v>
      </c>
      <c r="P160" s="113">
        <f t="shared" ref="P160:P165" si="99">M160-J160</f>
        <v>-0.59999999999999787</v>
      </c>
      <c r="Q160" s="124">
        <f t="shared" ref="Q160:Q165" si="100">O160-L160</f>
        <v>-8.6084100869527305</v>
      </c>
      <c r="R160" s="356">
        <f>O160/L160</f>
        <v>0.89747358192899218</v>
      </c>
      <c r="S160" s="610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01"/>
      <c r="AC160" s="601"/>
      <c r="AD160" s="129">
        <f>SUM(AD148:AD159)</f>
        <v>0</v>
      </c>
      <c r="AE160" s="129">
        <f>SUM(AE148:AE159)</f>
        <v>1</v>
      </c>
      <c r="AF160" s="113">
        <f t="shared" si="59"/>
        <v>-190.48187421042485</v>
      </c>
      <c r="AG160" s="191">
        <f t="shared" si="60"/>
        <v>0.86881413621871562</v>
      </c>
      <c r="AH160" s="611"/>
    </row>
    <row r="161" spans="1:36" ht="19.149999999999999" customHeight="1">
      <c r="A161" s="604" t="s">
        <v>281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2556</v>
      </c>
      <c r="H161" s="135">
        <f t="shared" ref="H161:H170" si="101">F161*G161</f>
        <v>87491.87999999999</v>
      </c>
      <c r="I161" s="101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2">G161/W161*60</f>
        <v>2190.8571428571431</v>
      </c>
      <c r="O161" s="137">
        <f t="shared" ref="O161:O165" si="103">N161/M161</f>
        <v>182.57142857142858</v>
      </c>
      <c r="P161" s="100">
        <f t="shared" si="99"/>
        <v>0</v>
      </c>
      <c r="Q161" s="139">
        <f t="shared" si="100"/>
        <v>-4.9285714285714164</v>
      </c>
      <c r="R161" s="140">
        <f t="shared" ref="R161:R165" si="104">O161/L161</f>
        <v>0.97371428571428575</v>
      </c>
      <c r="S161" s="605">
        <f>R173</f>
        <v>0.98113366723145645</v>
      </c>
      <c r="T161" s="142">
        <v>0.16666666666666666</v>
      </c>
      <c r="U161" s="142">
        <v>0.21527777777777776</v>
      </c>
      <c r="V161" s="101">
        <v>5</v>
      </c>
      <c r="W161" s="143">
        <f t="shared" ref="W161:W165" si="105">(U161-T161)*24*60</f>
        <v>69.999999999999986</v>
      </c>
      <c r="X161" s="151"/>
      <c r="Y161" s="151"/>
      <c r="Z161" s="100"/>
      <c r="AA161" s="100"/>
      <c r="AB161" s="601"/>
      <c r="AC161" s="601"/>
      <c r="AD161" s="101"/>
      <c r="AE161" s="101"/>
      <c r="AF161" s="100">
        <f t="shared" si="59"/>
        <v>-59.142857142856883</v>
      </c>
      <c r="AG161" s="140">
        <f t="shared" si="60"/>
        <v>0.97371428571428587</v>
      </c>
      <c r="AH161" s="605">
        <f>AG173</f>
        <v>0.98018171659290598</v>
      </c>
    </row>
    <row r="162" spans="1:36" ht="19.149999999999999" customHeight="1">
      <c r="A162" s="604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3355</v>
      </c>
      <c r="H162" s="135">
        <f t="shared" si="101"/>
        <v>114841.65</v>
      </c>
      <c r="I162" s="101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2"/>
        <v>2141.489361702128</v>
      </c>
      <c r="O162" s="137">
        <f t="shared" si="103"/>
        <v>164.72995090016369</v>
      </c>
      <c r="P162" s="100">
        <f t="shared" si="99"/>
        <v>0</v>
      </c>
      <c r="Q162" s="139">
        <f t="shared" si="100"/>
        <v>-8.3469721767593796</v>
      </c>
      <c r="R162" s="140">
        <f t="shared" si="104"/>
        <v>0.95177304964539022</v>
      </c>
      <c r="S162" s="605"/>
      <c r="T162" s="142">
        <v>0.22013888888888888</v>
      </c>
      <c r="U162" s="142">
        <v>0.28541666666666665</v>
      </c>
      <c r="V162" s="101">
        <v>7</v>
      </c>
      <c r="W162" s="143">
        <f t="shared" si="105"/>
        <v>93.999999999999986</v>
      </c>
      <c r="X162" s="151"/>
      <c r="Y162" s="151"/>
      <c r="Z162" s="100"/>
      <c r="AA162" s="100"/>
      <c r="AB162" s="601"/>
      <c r="AC162" s="601"/>
      <c r="AD162" s="101"/>
      <c r="AE162" s="101"/>
      <c r="AF162" s="100">
        <f t="shared" si="59"/>
        <v>-108.51063829787199</v>
      </c>
      <c r="AG162" s="140">
        <f t="shared" si="60"/>
        <v>0.95177304964539022</v>
      </c>
      <c r="AH162" s="605"/>
    </row>
    <row r="163" spans="1:36" ht="19.149999999999999" customHeight="1">
      <c r="A163" s="604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2860</v>
      </c>
      <c r="H163" s="135">
        <f t="shared" si="101"/>
        <v>97897.799999999988</v>
      </c>
      <c r="I163" s="101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2"/>
        <v>2228.5714285714298</v>
      </c>
      <c r="O163" s="137">
        <f t="shared" si="103"/>
        <v>185.71428571428581</v>
      </c>
      <c r="P163" s="100">
        <f t="shared" si="99"/>
        <v>0</v>
      </c>
      <c r="Q163" s="139">
        <f t="shared" si="100"/>
        <v>-1.7857142857141923</v>
      </c>
      <c r="R163" s="140">
        <f t="shared" si="104"/>
        <v>0.99047619047619095</v>
      </c>
      <c r="S163" s="605"/>
      <c r="T163" s="142">
        <v>0.32638888888888884</v>
      </c>
      <c r="U163" s="142">
        <v>0.37986111111111104</v>
      </c>
      <c r="V163" s="101">
        <v>6</v>
      </c>
      <c r="W163" s="143">
        <f t="shared" si="105"/>
        <v>76.999999999999972</v>
      </c>
      <c r="X163" s="151"/>
      <c r="Y163" s="151"/>
      <c r="Z163" s="100"/>
      <c r="AA163" s="100"/>
      <c r="AB163" s="601"/>
      <c r="AC163" s="601"/>
      <c r="AD163" s="101"/>
      <c r="AE163" s="101"/>
      <c r="AF163" s="100">
        <f t="shared" si="59"/>
        <v>-21.428571428570194</v>
      </c>
      <c r="AG163" s="140">
        <f t="shared" si="60"/>
        <v>0.99047619047619107</v>
      </c>
      <c r="AH163" s="605"/>
    </row>
    <row r="164" spans="1:36" ht="19.149999999999999" customHeight="1">
      <c r="A164" s="604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4574</v>
      </c>
      <c r="H164" s="135">
        <f t="shared" si="101"/>
        <v>163886.41999999998</v>
      </c>
      <c r="I164" s="101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2"/>
        <v>2249.5081967213109</v>
      </c>
      <c r="O164" s="137">
        <f t="shared" si="103"/>
        <v>204.50074515648282</v>
      </c>
      <c r="P164" s="100">
        <f t="shared" si="99"/>
        <v>0</v>
      </c>
      <c r="Q164" s="139">
        <f t="shared" si="100"/>
        <v>-4.470938897171095E-2</v>
      </c>
      <c r="R164" s="140">
        <f t="shared" si="104"/>
        <v>0.99978142076502718</v>
      </c>
      <c r="S164" s="605"/>
      <c r="T164" s="142">
        <v>0.39583333333333326</v>
      </c>
      <c r="U164" s="142">
        <v>0.48055555555555551</v>
      </c>
      <c r="V164" s="101">
        <v>23</v>
      </c>
      <c r="W164" s="143">
        <f t="shared" si="105"/>
        <v>122.00000000000004</v>
      </c>
      <c r="X164" s="151">
        <v>0.3833333333333333</v>
      </c>
      <c r="Y164" s="151">
        <v>0.39305555555555555</v>
      </c>
      <c r="Z164" s="100"/>
      <c r="AA164" s="100"/>
      <c r="AB164" s="601"/>
      <c r="AC164" s="601"/>
      <c r="AD164" s="101"/>
      <c r="AE164" s="101"/>
      <c r="AF164" s="100">
        <f t="shared" si="59"/>
        <v>-0.49180327868907625</v>
      </c>
      <c r="AG164" s="140">
        <f t="shared" si="60"/>
        <v>0.99978142076502707</v>
      </c>
      <c r="AH164" s="605"/>
    </row>
    <row r="165" spans="1:36" ht="19.149999999999999" customHeight="1">
      <c r="A165" s="604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4063.8</v>
      </c>
      <c r="H165" s="135">
        <f t="shared" si="101"/>
        <v>147962.95799999998</v>
      </c>
      <c r="I165" s="101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2"/>
        <v>2216.6181818181813</v>
      </c>
      <c r="O165" s="137">
        <f t="shared" si="103"/>
        <v>221.66181818181812</v>
      </c>
      <c r="P165" s="100">
        <f t="shared" si="99"/>
        <v>0</v>
      </c>
      <c r="Q165" s="139">
        <f t="shared" si="100"/>
        <v>-3.3381818181818801</v>
      </c>
      <c r="R165" s="140">
        <f t="shared" si="104"/>
        <v>0.98516363636363613</v>
      </c>
      <c r="S165" s="605"/>
      <c r="T165" s="142">
        <v>0.49513888888888885</v>
      </c>
      <c r="U165" s="142">
        <v>0.57152777777777775</v>
      </c>
      <c r="V165" s="101">
        <v>21</v>
      </c>
      <c r="W165" s="143">
        <f t="shared" si="105"/>
        <v>110.00000000000001</v>
      </c>
      <c r="X165" s="151">
        <v>0.48402777777777778</v>
      </c>
      <c r="Y165" s="151">
        <v>0.49236111111111108</v>
      </c>
      <c r="Z165" s="100"/>
      <c r="AA165" s="100"/>
      <c r="AB165" s="601"/>
      <c r="AC165" s="601"/>
      <c r="AD165" s="101"/>
      <c r="AE165" s="101"/>
      <c r="AF165" s="100">
        <f t="shared" si="59"/>
        <v>-33.381818181818744</v>
      </c>
      <c r="AG165" s="140">
        <f t="shared" si="60"/>
        <v>0.98516363636363613</v>
      </c>
      <c r="AH165" s="605"/>
    </row>
    <row r="166" spans="1:36" ht="19.149999999999999" customHeight="1">
      <c r="A166" s="604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1"/>
        <v>0</v>
      </c>
      <c r="I166" s="101"/>
      <c r="J166" s="138"/>
      <c r="K166" s="104"/>
      <c r="L166" s="137"/>
      <c r="M166" s="138"/>
      <c r="N166" s="104"/>
      <c r="O166" s="137"/>
      <c r="P166" s="100"/>
      <c r="Q166" s="139"/>
      <c r="R166" s="140"/>
      <c r="S166" s="605"/>
      <c r="T166" s="142"/>
      <c r="U166" s="142"/>
      <c r="V166" s="101"/>
      <c r="W166" s="143"/>
      <c r="X166" s="151"/>
      <c r="Y166" s="151"/>
      <c r="Z166" s="100"/>
      <c r="AA166" s="100"/>
      <c r="AB166" s="601"/>
      <c r="AC166" s="601"/>
      <c r="AD166" s="101"/>
      <c r="AE166" s="101"/>
      <c r="AF166" s="100">
        <f t="shared" si="59"/>
        <v>0</v>
      </c>
      <c r="AG166" s="140" t="e">
        <f t="shared" si="60"/>
        <v>#DIV/0!</v>
      </c>
      <c r="AH166" s="605"/>
    </row>
    <row r="167" spans="1:36" ht="19.149999999999999" customHeight="1">
      <c r="A167" s="604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1"/>
        <v>0</v>
      </c>
      <c r="I167" s="101"/>
      <c r="J167" s="138"/>
      <c r="K167" s="104"/>
      <c r="L167" s="137"/>
      <c r="M167" s="138"/>
      <c r="N167" s="104"/>
      <c r="O167" s="137"/>
      <c r="P167" s="100"/>
      <c r="Q167" s="139"/>
      <c r="R167" s="140"/>
      <c r="S167" s="605"/>
      <c r="T167" s="142"/>
      <c r="U167" s="142"/>
      <c r="V167" s="101"/>
      <c r="W167" s="143"/>
      <c r="X167" s="151"/>
      <c r="Y167" s="151"/>
      <c r="Z167" s="100"/>
      <c r="AA167" s="100"/>
      <c r="AB167" s="601"/>
      <c r="AC167" s="601"/>
      <c r="AD167" s="101"/>
      <c r="AE167" s="101"/>
      <c r="AF167" s="100">
        <f t="shared" si="59"/>
        <v>0</v>
      </c>
      <c r="AG167" s="140" t="e">
        <f t="shared" si="60"/>
        <v>#DIV/0!</v>
      </c>
      <c r="AH167" s="605"/>
    </row>
    <row r="168" spans="1:36" ht="19.149999999999999" customHeight="1">
      <c r="A168" s="604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1"/>
        <v>0</v>
      </c>
      <c r="I168" s="101"/>
      <c r="J168" s="138"/>
      <c r="K168" s="104"/>
      <c r="L168" s="137"/>
      <c r="M168" s="138"/>
      <c r="N168" s="104"/>
      <c r="O168" s="137"/>
      <c r="P168" s="100"/>
      <c r="Q168" s="139"/>
      <c r="R168" s="140"/>
      <c r="S168" s="605"/>
      <c r="T168" s="142"/>
      <c r="U168" s="142"/>
      <c r="V168" s="101"/>
      <c r="W168" s="143"/>
      <c r="X168" s="151"/>
      <c r="Y168" s="151"/>
      <c r="Z168" s="100"/>
      <c r="AA168" s="100"/>
      <c r="AB168" s="601"/>
      <c r="AC168" s="601"/>
      <c r="AD168" s="101"/>
      <c r="AE168" s="101"/>
      <c r="AF168" s="100">
        <f t="shared" si="59"/>
        <v>0</v>
      </c>
      <c r="AG168" s="140" t="e">
        <f t="shared" si="60"/>
        <v>#DIV/0!</v>
      </c>
      <c r="AH168" s="605"/>
    </row>
    <row r="169" spans="1:36" ht="19.149999999999999" customHeight="1">
      <c r="A169" s="604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1"/>
        <v>0</v>
      </c>
      <c r="I169" s="101"/>
      <c r="J169" s="138"/>
      <c r="K169" s="104"/>
      <c r="L169" s="137"/>
      <c r="M169" s="138"/>
      <c r="N169" s="104"/>
      <c r="O169" s="137"/>
      <c r="P169" s="100"/>
      <c r="Q169" s="139"/>
      <c r="R169" s="140"/>
      <c r="S169" s="605"/>
      <c r="T169" s="142"/>
      <c r="U169" s="142"/>
      <c r="V169" s="101" t="s">
        <v>49</v>
      </c>
      <c r="W169" s="143">
        <f>(U169-T169)*24*60</f>
        <v>0</v>
      </c>
      <c r="X169" s="151"/>
      <c r="Y169" s="151"/>
      <c r="Z169" s="100"/>
      <c r="AA169" s="100"/>
      <c r="AB169" s="601"/>
      <c r="AC169" s="601"/>
      <c r="AD169" s="101"/>
      <c r="AE169" s="101"/>
      <c r="AF169" s="100">
        <f t="shared" si="59"/>
        <v>0</v>
      </c>
      <c r="AG169" s="140" t="e">
        <f t="shared" si="60"/>
        <v>#DIV/0!</v>
      </c>
      <c r="AH169" s="605"/>
    </row>
    <row r="170" spans="1:36" ht="19.149999999999999" customHeight="1">
      <c r="A170" s="604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1"/>
        <v>0</v>
      </c>
      <c r="I170" s="101"/>
      <c r="J170" s="138"/>
      <c r="K170" s="104"/>
      <c r="L170" s="137"/>
      <c r="M170" s="138"/>
      <c r="N170" s="104"/>
      <c r="O170" s="137"/>
      <c r="P170" s="100"/>
      <c r="Q170" s="139"/>
      <c r="R170" s="140"/>
      <c r="S170" s="605"/>
      <c r="T170" s="142"/>
      <c r="U170" s="142"/>
      <c r="V170" s="101"/>
      <c r="W170" s="143">
        <f>(U170-T170)*24*60</f>
        <v>0</v>
      </c>
      <c r="X170" s="151"/>
      <c r="Y170" s="151"/>
      <c r="Z170" s="100"/>
      <c r="AA170" s="100"/>
      <c r="AB170" s="601"/>
      <c r="AC170" s="601"/>
      <c r="AD170" s="101"/>
      <c r="AE170" s="101"/>
      <c r="AF170" s="100">
        <f t="shared" si="59"/>
        <v>0</v>
      </c>
      <c r="AG170" s="140" t="e">
        <f t="shared" si="60"/>
        <v>#DIV/0!</v>
      </c>
      <c r="AH170" s="605"/>
    </row>
    <row r="171" spans="1:36" ht="19.149999999999999" customHeight="1">
      <c r="A171" s="604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6"/>
        <v>0</v>
      </c>
      <c r="I171" s="101"/>
      <c r="J171" s="138"/>
      <c r="K171" s="104"/>
      <c r="L171" s="137"/>
      <c r="M171" s="138"/>
      <c r="N171" s="104"/>
      <c r="O171" s="137"/>
      <c r="P171" s="100"/>
      <c r="Q171" s="139"/>
      <c r="R171" s="140"/>
      <c r="S171" s="605"/>
      <c r="T171" s="142"/>
      <c r="U171" s="142"/>
      <c r="V171" s="101"/>
      <c r="W171" s="143">
        <f>(U171-T171)*24*60</f>
        <v>0</v>
      </c>
      <c r="X171" s="151"/>
      <c r="Y171" s="151"/>
      <c r="Z171" s="100"/>
      <c r="AA171" s="100"/>
      <c r="AB171" s="601"/>
      <c r="AC171" s="601"/>
      <c r="AD171" s="101"/>
      <c r="AE171" s="101"/>
      <c r="AF171" s="100"/>
      <c r="AG171" s="140"/>
      <c r="AH171" s="605"/>
    </row>
    <row r="172" spans="1:36" ht="19.149999999999999" customHeight="1">
      <c r="A172" s="604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6"/>
        <v>0</v>
      </c>
      <c r="I172" s="101"/>
      <c r="J172" s="138"/>
      <c r="K172" s="104"/>
      <c r="L172" s="137"/>
      <c r="M172" s="138"/>
      <c r="N172" s="104"/>
      <c r="O172" s="137"/>
      <c r="P172" s="100"/>
      <c r="Q172" s="139"/>
      <c r="R172" s="140"/>
      <c r="S172" s="605"/>
      <c r="T172" s="142"/>
      <c r="U172" s="142"/>
      <c r="V172" s="101"/>
      <c r="W172" s="143">
        <f>(U172-T172)*24*60</f>
        <v>0</v>
      </c>
      <c r="X172" s="151"/>
      <c r="Y172" s="151"/>
      <c r="Z172" s="100"/>
      <c r="AA172" s="100"/>
      <c r="AB172" s="601"/>
      <c r="AC172" s="601"/>
      <c r="AD172" s="101"/>
      <c r="AE172" s="101"/>
      <c r="AF172" s="100"/>
      <c r="AG172" s="140"/>
      <c r="AH172" s="605"/>
    </row>
    <row r="173" spans="1:36" ht="19.149999999999999" customHeight="1">
      <c r="A173" s="604"/>
      <c r="B173" s="182">
        <v>0</v>
      </c>
      <c r="C173" s="156" t="s">
        <v>282</v>
      </c>
      <c r="D173" s="602" t="s">
        <v>256</v>
      </c>
      <c r="E173" s="602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6">AVERAGE(M161:M172)</f>
        <v>11.6</v>
      </c>
      <c r="N173" s="158">
        <f t="shared" si="106"/>
        <v>2205.4088623340385</v>
      </c>
      <c r="O173" s="161">
        <f t="shared" si="106"/>
        <v>191.83564570483583</v>
      </c>
      <c r="P173" s="100">
        <f>M173-J173</f>
        <v>0</v>
      </c>
      <c r="Q173" s="139">
        <f>O173-L173</f>
        <v>-3.6888298196396931</v>
      </c>
      <c r="R173" s="162">
        <f>O173/L173</f>
        <v>0.98113366723145645</v>
      </c>
      <c r="S173" s="605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03"/>
      <c r="AC173" s="603"/>
      <c r="AD173" s="164">
        <f>SUM(AD161:AD172)</f>
        <v>0</v>
      </c>
      <c r="AE173" s="164">
        <f>SUM(AE161:AE172)</f>
        <v>0</v>
      </c>
      <c r="AF173" s="100">
        <f t="shared" si="59"/>
        <v>-44.591137665961469</v>
      </c>
      <c r="AG173" s="140">
        <f t="shared" si="60"/>
        <v>0.98018171659290598</v>
      </c>
      <c r="AH173" s="605"/>
    </row>
    <row r="174" spans="1:36" ht="19.149999999999999" customHeight="1">
      <c r="AJ174" s="361" t="s">
        <v>212</v>
      </c>
    </row>
    <row r="175" spans="1:36" ht="19.149999999999999" customHeight="1">
      <c r="AJ175" s="361" t="s">
        <v>214</v>
      </c>
    </row>
    <row r="176" spans="1:36" ht="19.149999999999999" customHeight="1">
      <c r="AJ176" s="361" t="s">
        <v>283</v>
      </c>
    </row>
    <row r="177" spans="23:36" ht="19.149999999999999" customHeight="1">
      <c r="W177" s="71"/>
      <c r="AJ177" s="361" t="s">
        <v>216</v>
      </c>
    </row>
    <row r="178" spans="23:36" ht="19.149999999999999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284</v>
      </c>
    </row>
    <row r="186" spans="23:36">
      <c r="W186" s="71"/>
      <c r="AJ186" s="361" t="s">
        <v>285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4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24242" priority="3391" operator="lessThan">
      <formula>0</formula>
    </cfRule>
  </conditionalFormatting>
  <conditionalFormatting sqref="AH57 AH70 S43 S123 S95 AH95 S5:S9 AH5:AH9 S134 AH17:AH18 S17:S18 S32 S82 AH82 S57:S70">
    <cfRule type="cellIs" dxfId="24241" priority="3390" operator="lessThan">
      <formula>0.8</formula>
    </cfRule>
  </conditionalFormatting>
  <conditionalFormatting sqref="R147 R173 R30 R121 R95 R43 R134 R82 R154:R159 R17:R18 R57:R70">
    <cfRule type="cellIs" dxfId="24240" priority="3388" operator="lessThan">
      <formula>0.8</formula>
    </cfRule>
    <cfRule type="cellIs" dxfId="24239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24238" priority="3386" operator="greaterThan">
      <formula>1</formula>
    </cfRule>
    <cfRule type="cellIs" dxfId="24237" priority="3387" operator="lessThan">
      <formula>0.8</formula>
    </cfRule>
  </conditionalFormatting>
  <conditionalFormatting sqref="P147 P30 P121 P95 P43 P134 P82 P154:P159 P17:P18 P57:P70">
    <cfRule type="cellIs" dxfId="24236" priority="3385" operator="greaterThan">
      <formula>0</formula>
    </cfRule>
  </conditionalFormatting>
  <conditionalFormatting sqref="S161">
    <cfRule type="cellIs" dxfId="24235" priority="3384" operator="lessThan">
      <formula>0.8</formula>
    </cfRule>
  </conditionalFormatting>
  <conditionalFormatting sqref="Q161:Q166">
    <cfRule type="cellIs" dxfId="24234" priority="3383" operator="lessThan">
      <formula>0</formula>
    </cfRule>
  </conditionalFormatting>
  <conditionalFormatting sqref="R161:R166">
    <cfRule type="cellIs" dxfId="24233" priority="3381" operator="lessThan">
      <formula>0.8</formula>
    </cfRule>
    <cfRule type="cellIs" dxfId="24232" priority="3382" operator="greaterThan">
      <formula>1</formula>
    </cfRule>
  </conditionalFormatting>
  <conditionalFormatting sqref="R161:R166">
    <cfRule type="cellIs" dxfId="24231" priority="3379" operator="greaterThan">
      <formula>1</formula>
    </cfRule>
    <cfRule type="cellIs" dxfId="24230" priority="3380" operator="lessThan">
      <formula>0.8</formula>
    </cfRule>
  </conditionalFormatting>
  <conditionalFormatting sqref="P161:P166">
    <cfRule type="cellIs" dxfId="24229" priority="3378" operator="greaterThan">
      <formula>0</formula>
    </cfRule>
  </conditionalFormatting>
  <conditionalFormatting sqref="Q169:Q172 AF161:AF172">
    <cfRule type="cellIs" dxfId="24228" priority="3377" operator="lessThan">
      <formula>0</formula>
    </cfRule>
  </conditionalFormatting>
  <conditionalFormatting sqref="R169:R172">
    <cfRule type="cellIs" dxfId="24227" priority="3375" operator="lessThan">
      <formula>0.8</formula>
    </cfRule>
    <cfRule type="cellIs" dxfId="24226" priority="3376" operator="greaterThan">
      <formula>1</formula>
    </cfRule>
  </conditionalFormatting>
  <conditionalFormatting sqref="R169:R172 AG161:AG172">
    <cfRule type="cellIs" dxfId="24225" priority="3373" operator="greaterThan">
      <formula>1</formula>
    </cfRule>
    <cfRule type="cellIs" dxfId="24224" priority="3374" operator="lessThan">
      <formula>0.8</formula>
    </cfRule>
  </conditionalFormatting>
  <conditionalFormatting sqref="P169:P172">
    <cfRule type="cellIs" dxfId="24223" priority="3372" operator="greaterThan">
      <formula>0</formula>
    </cfRule>
  </conditionalFormatting>
  <conditionalFormatting sqref="AF145">
    <cfRule type="cellIs" dxfId="24222" priority="3371" operator="lessThan">
      <formula>0</formula>
    </cfRule>
  </conditionalFormatting>
  <conditionalFormatting sqref="AG145">
    <cfRule type="cellIs" dxfId="24221" priority="3369" operator="greaterThan">
      <formula>1</formula>
    </cfRule>
    <cfRule type="cellIs" dxfId="24220" priority="3370" operator="lessThan">
      <formula>0.8</formula>
    </cfRule>
  </conditionalFormatting>
  <conditionalFormatting sqref="AF44:AF52">
    <cfRule type="cellIs" dxfId="24219" priority="3368" operator="lessThan">
      <formula>0</formula>
    </cfRule>
  </conditionalFormatting>
  <conditionalFormatting sqref="AG44:AG52">
    <cfRule type="cellIs" dxfId="24218" priority="3366" operator="greaterThan">
      <formula>1</formula>
    </cfRule>
    <cfRule type="cellIs" dxfId="24217" priority="3367" operator="lessThan">
      <formula>0.8</formula>
    </cfRule>
  </conditionalFormatting>
  <conditionalFormatting sqref="AF83:AF94">
    <cfRule type="cellIs" dxfId="24216" priority="3365" operator="lessThan">
      <formula>0</formula>
    </cfRule>
  </conditionalFormatting>
  <conditionalFormatting sqref="AH83">
    <cfRule type="cellIs" dxfId="24215" priority="3364" operator="lessThan">
      <formula>0.8</formula>
    </cfRule>
  </conditionalFormatting>
  <conditionalFormatting sqref="AG83:AG94">
    <cfRule type="cellIs" dxfId="24214" priority="3362" operator="greaterThan">
      <formula>1</formula>
    </cfRule>
    <cfRule type="cellIs" dxfId="24213" priority="3363" operator="lessThan">
      <formula>0.8</formula>
    </cfRule>
  </conditionalFormatting>
  <conditionalFormatting sqref="S83">
    <cfRule type="cellIs" dxfId="24212" priority="3361" operator="lessThan">
      <formula>0.8</formula>
    </cfRule>
  </conditionalFormatting>
  <conditionalFormatting sqref="AH84">
    <cfRule type="cellIs" dxfId="24211" priority="3360" operator="lessThan">
      <formula>0.8</formula>
    </cfRule>
  </conditionalFormatting>
  <conditionalFormatting sqref="S84">
    <cfRule type="cellIs" dxfId="24210" priority="3359" operator="lessThan">
      <formula>0.8</formula>
    </cfRule>
  </conditionalFormatting>
  <conditionalFormatting sqref="S90">
    <cfRule type="cellIs" dxfId="24209" priority="3358" operator="lessThan">
      <formula>0.8</formula>
    </cfRule>
  </conditionalFormatting>
  <conditionalFormatting sqref="AH90">
    <cfRule type="cellIs" dxfId="24208" priority="3357" operator="lessThan">
      <formula>0.8</formula>
    </cfRule>
  </conditionalFormatting>
  <conditionalFormatting sqref="AF122">
    <cfRule type="cellIs" dxfId="24207" priority="3356" operator="lessThan">
      <formula>0</formula>
    </cfRule>
  </conditionalFormatting>
  <conditionalFormatting sqref="S122">
    <cfRule type="cellIs" dxfId="24206" priority="3355" operator="lessThan">
      <formula>0.8</formula>
    </cfRule>
  </conditionalFormatting>
  <conditionalFormatting sqref="AG122">
    <cfRule type="cellIs" dxfId="24205" priority="3353" operator="greaterThan">
      <formula>1</formula>
    </cfRule>
    <cfRule type="cellIs" dxfId="24204" priority="3354" operator="lessThan">
      <formula>0.8</formula>
    </cfRule>
  </conditionalFormatting>
  <conditionalFormatting sqref="P162:P168">
    <cfRule type="cellIs" dxfId="24203" priority="3347" operator="greaterThan">
      <formula>0</formula>
    </cfRule>
  </conditionalFormatting>
  <conditionalFormatting sqref="R162:R168">
    <cfRule type="cellIs" dxfId="24202" priority="3350" operator="lessThan">
      <formula>0.8</formula>
    </cfRule>
    <cfRule type="cellIs" dxfId="24201" priority="3351" operator="greaterThan">
      <formula>1</formula>
    </cfRule>
  </conditionalFormatting>
  <conditionalFormatting sqref="R162:R168">
    <cfRule type="cellIs" dxfId="24200" priority="3348" operator="greaterThan">
      <formula>1</formula>
    </cfRule>
    <cfRule type="cellIs" dxfId="24199" priority="3349" operator="lessThan">
      <formula>0.8</formula>
    </cfRule>
  </conditionalFormatting>
  <conditionalFormatting sqref="Q162:Q168">
    <cfRule type="cellIs" dxfId="24198" priority="3352" operator="lessThan">
      <formula>0</formula>
    </cfRule>
  </conditionalFormatting>
  <conditionalFormatting sqref="P132:P133">
    <cfRule type="cellIs" dxfId="24197" priority="3340" operator="greaterThan">
      <formula>0</formula>
    </cfRule>
  </conditionalFormatting>
  <conditionalFormatting sqref="AF124 Q132:Q133 AF126:AF133">
    <cfRule type="cellIs" dxfId="24196" priority="3346" operator="lessThan">
      <formula>0</formula>
    </cfRule>
  </conditionalFormatting>
  <conditionalFormatting sqref="S124:S133">
    <cfRule type="cellIs" dxfId="24195" priority="3345" operator="lessThan">
      <formula>0.8</formula>
    </cfRule>
  </conditionalFormatting>
  <conditionalFormatting sqref="R132:R133">
    <cfRule type="cellIs" dxfId="24194" priority="3343" operator="lessThan">
      <formula>0.8</formula>
    </cfRule>
    <cfRule type="cellIs" dxfId="24193" priority="3344" operator="greaterThan">
      <formula>1</formula>
    </cfRule>
  </conditionalFormatting>
  <conditionalFormatting sqref="AG124 R132:R133 AG126:AG133">
    <cfRule type="cellIs" dxfId="24192" priority="3341" operator="greaterThan">
      <formula>1</formula>
    </cfRule>
    <cfRule type="cellIs" dxfId="24191" priority="3342" operator="lessThan">
      <formula>0.8</formula>
    </cfRule>
  </conditionalFormatting>
  <conditionalFormatting sqref="AF112 AF115">
    <cfRule type="cellIs" dxfId="24190" priority="3339" operator="lessThan">
      <formula>0</formula>
    </cfRule>
  </conditionalFormatting>
  <conditionalFormatting sqref="AG112 AG115">
    <cfRule type="cellIs" dxfId="24189" priority="3337" operator="greaterThan">
      <formula>1</formula>
    </cfRule>
    <cfRule type="cellIs" dxfId="24188" priority="3338" operator="lessThan">
      <formula>0.8</formula>
    </cfRule>
  </conditionalFormatting>
  <conditionalFormatting sqref="AF111 AF114 AF117">
    <cfRule type="cellIs" dxfId="24187" priority="3336" operator="lessThan">
      <formula>0</formula>
    </cfRule>
  </conditionalFormatting>
  <conditionalFormatting sqref="AH109">
    <cfRule type="cellIs" dxfId="24186" priority="3335" operator="lessThan">
      <formula>0.8</formula>
    </cfRule>
  </conditionalFormatting>
  <conditionalFormatting sqref="AG111 AG114 AG117">
    <cfRule type="cellIs" dxfId="24185" priority="3333" operator="greaterThan">
      <formula>1</formula>
    </cfRule>
    <cfRule type="cellIs" dxfId="24184" priority="3334" operator="lessThan">
      <formula>0.8</formula>
    </cfRule>
  </conditionalFormatting>
  <conditionalFormatting sqref="R160 AG160">
    <cfRule type="cellIs" dxfId="24183" priority="3328" operator="greaterThan">
      <formula>1</formula>
    </cfRule>
    <cfRule type="cellIs" dxfId="24182" priority="3329" operator="lessThan">
      <formula>0.8</formula>
    </cfRule>
  </conditionalFormatting>
  <conditionalFormatting sqref="R160">
    <cfRule type="cellIs" dxfId="24181" priority="3330" operator="lessThan">
      <formula>0.8</formula>
    </cfRule>
    <cfRule type="cellIs" dxfId="24180" priority="3331" operator="greaterThan">
      <formula>1</formula>
    </cfRule>
  </conditionalFormatting>
  <conditionalFormatting sqref="P160">
    <cfRule type="cellIs" dxfId="24179" priority="3327" operator="greaterThan">
      <formula>0</formula>
    </cfRule>
  </conditionalFormatting>
  <conditionalFormatting sqref="AH148">
    <cfRule type="cellIs" dxfId="24178" priority="3326" operator="lessThan">
      <formula>0.8</formula>
    </cfRule>
  </conditionalFormatting>
  <conditionalFormatting sqref="Q160 AF160">
    <cfRule type="cellIs" dxfId="24177" priority="3332" operator="lessThan">
      <formula>0</formula>
    </cfRule>
  </conditionalFormatting>
  <conditionalFormatting sqref="AF148:AF154">
    <cfRule type="cellIs" dxfId="24176" priority="3325" operator="lessThan">
      <formula>0</formula>
    </cfRule>
  </conditionalFormatting>
  <conditionalFormatting sqref="S148">
    <cfRule type="cellIs" dxfId="24175" priority="3324" operator="lessThan">
      <formula>0.8</formula>
    </cfRule>
  </conditionalFormatting>
  <conditionalFormatting sqref="AG148:AG154">
    <cfRule type="cellIs" dxfId="24174" priority="3322" operator="greaterThan">
      <formula>1</formula>
    </cfRule>
    <cfRule type="cellIs" dxfId="24173" priority="3323" operator="lessThan">
      <formula>0.8</formula>
    </cfRule>
  </conditionalFormatting>
  <conditionalFormatting sqref="S86">
    <cfRule type="cellIs" dxfId="24172" priority="3321" operator="lessThan">
      <formula>0.8</formula>
    </cfRule>
  </conditionalFormatting>
  <conditionalFormatting sqref="S88 AH88">
    <cfRule type="cellIs" dxfId="24171" priority="3316" operator="lessThan">
      <formula>0.8</formula>
    </cfRule>
  </conditionalFormatting>
  <conditionalFormatting sqref="AH86">
    <cfRule type="cellIs" dxfId="24170" priority="3320" operator="lessThan">
      <formula>0.8</formula>
    </cfRule>
  </conditionalFormatting>
  <conditionalFormatting sqref="S87">
    <cfRule type="cellIs" dxfId="24169" priority="3319" operator="lessThan">
      <formula>0.8</formula>
    </cfRule>
  </conditionalFormatting>
  <conditionalFormatting sqref="AH87">
    <cfRule type="cellIs" dxfId="24168" priority="3318" operator="lessThan">
      <formula>0.8</formula>
    </cfRule>
  </conditionalFormatting>
  <conditionalFormatting sqref="S89 AH89">
    <cfRule type="cellIs" dxfId="24167" priority="3317" operator="lessThan">
      <formula>0.8</formula>
    </cfRule>
  </conditionalFormatting>
  <conditionalFormatting sqref="AF31">
    <cfRule type="cellIs" dxfId="24166" priority="3315" operator="lessThan">
      <formula>0</formula>
    </cfRule>
  </conditionalFormatting>
  <conditionalFormatting sqref="AH31 S31">
    <cfRule type="cellIs" dxfId="24165" priority="3314" operator="lessThan">
      <formula>0.8</formula>
    </cfRule>
  </conditionalFormatting>
  <conditionalFormatting sqref="AG31">
    <cfRule type="cellIs" dxfId="24164" priority="3312" operator="greaterThan">
      <formula>1</formula>
    </cfRule>
    <cfRule type="cellIs" dxfId="24163" priority="3313" operator="lessThan">
      <formula>0.8</formula>
    </cfRule>
  </conditionalFormatting>
  <conditionalFormatting sqref="AF135">
    <cfRule type="cellIs" dxfId="24162" priority="3311" operator="lessThan">
      <formula>0</formula>
    </cfRule>
  </conditionalFormatting>
  <conditionalFormatting sqref="AH135 S135">
    <cfRule type="cellIs" dxfId="24161" priority="3310" operator="lessThan">
      <formula>0.8</formula>
    </cfRule>
  </conditionalFormatting>
  <conditionalFormatting sqref="AG135">
    <cfRule type="cellIs" dxfId="24160" priority="3308" operator="greaterThan">
      <formula>1</formula>
    </cfRule>
    <cfRule type="cellIs" dxfId="24159" priority="3309" operator="lessThan">
      <formula>0.8</formula>
    </cfRule>
  </conditionalFormatting>
  <conditionalFormatting sqref="AF110 AF113 AF116">
    <cfRule type="cellIs" dxfId="24158" priority="3307" operator="lessThan">
      <formula>0</formula>
    </cfRule>
  </conditionalFormatting>
  <conditionalFormatting sqref="AG110 AG113 AG116">
    <cfRule type="cellIs" dxfId="24157" priority="3305" operator="greaterThan">
      <formula>1</formula>
    </cfRule>
    <cfRule type="cellIs" dxfId="24156" priority="3306" operator="lessThan">
      <formula>0.8</formula>
    </cfRule>
  </conditionalFormatting>
  <conditionalFormatting sqref="AF108 Q108">
    <cfRule type="cellIs" dxfId="24155" priority="3304" operator="lessThan">
      <formula>0</formula>
    </cfRule>
  </conditionalFormatting>
  <conditionalFormatting sqref="R108">
    <cfRule type="cellIs" dxfId="24154" priority="3302" operator="lessThan">
      <formula>0.8</formula>
    </cfRule>
    <cfRule type="cellIs" dxfId="24153" priority="3303" operator="greaterThan">
      <formula>1</formula>
    </cfRule>
  </conditionalFormatting>
  <conditionalFormatting sqref="AG108 R108">
    <cfRule type="cellIs" dxfId="24152" priority="3300" operator="greaterThan">
      <formula>1</formula>
    </cfRule>
    <cfRule type="cellIs" dxfId="24151" priority="3301" operator="lessThan">
      <formula>0.8</formula>
    </cfRule>
  </conditionalFormatting>
  <conditionalFormatting sqref="P108">
    <cfRule type="cellIs" dxfId="24150" priority="3299" operator="greaterThan">
      <formula>0</formula>
    </cfRule>
  </conditionalFormatting>
  <conditionalFormatting sqref="AH97">
    <cfRule type="cellIs" dxfId="24149" priority="3294" operator="lessThan">
      <formula>0.8</formula>
    </cfRule>
  </conditionalFormatting>
  <conditionalFormatting sqref="AG96">
    <cfRule type="cellIs" dxfId="24148" priority="3296" operator="greaterThan">
      <formula>1</formula>
    </cfRule>
    <cfRule type="cellIs" dxfId="24147" priority="3297" operator="lessThan">
      <formula>0.8</formula>
    </cfRule>
  </conditionalFormatting>
  <conditionalFormatting sqref="AF96">
    <cfRule type="cellIs" dxfId="24146" priority="3298" operator="lessThan">
      <formula>0</formula>
    </cfRule>
  </conditionalFormatting>
  <conditionalFormatting sqref="AG97">
    <cfRule type="cellIs" dxfId="24145" priority="3292" operator="greaterThan">
      <formula>1</formula>
    </cfRule>
    <cfRule type="cellIs" dxfId="24144" priority="3293" operator="lessThan">
      <formula>0.8</formula>
    </cfRule>
  </conditionalFormatting>
  <conditionalFormatting sqref="AF97">
    <cfRule type="cellIs" dxfId="24143" priority="3295" operator="lessThan">
      <formula>0</formula>
    </cfRule>
  </conditionalFormatting>
  <conditionalFormatting sqref="AF71 AF73 AF75 AF77 AF79">
    <cfRule type="cellIs" dxfId="24142" priority="3289" operator="lessThan">
      <formula>0</formula>
    </cfRule>
  </conditionalFormatting>
  <conditionalFormatting sqref="S71 AH71">
    <cfRule type="cellIs" dxfId="24141" priority="3288" operator="lessThan">
      <formula>0.8</formula>
    </cfRule>
  </conditionalFormatting>
  <conditionalFormatting sqref="AG71 AG73 AG75 AG77 AG79">
    <cfRule type="cellIs" dxfId="24140" priority="3286" operator="greaterThan">
      <formula>1</formula>
    </cfRule>
    <cfRule type="cellIs" dxfId="24139" priority="3287" operator="lessThan">
      <formula>0.8</formula>
    </cfRule>
  </conditionalFormatting>
  <conditionalFormatting sqref="AF72 AF74 AF76 AF78 AF80">
    <cfRule type="cellIs" dxfId="24138" priority="3285" operator="lessThan">
      <formula>0</formula>
    </cfRule>
  </conditionalFormatting>
  <conditionalFormatting sqref="S72 AH72">
    <cfRule type="cellIs" dxfId="24137" priority="3284" operator="lessThan">
      <formula>0.8</formula>
    </cfRule>
  </conditionalFormatting>
  <conditionalFormatting sqref="S11">
    <cfRule type="cellIs" dxfId="24136" priority="3291" operator="lessThan">
      <formula>0.8</formula>
    </cfRule>
  </conditionalFormatting>
  <conditionalFormatting sqref="S10">
    <cfRule type="cellIs" dxfId="24135" priority="3290" operator="lessThan">
      <formula>0.8</formula>
    </cfRule>
  </conditionalFormatting>
  <conditionalFormatting sqref="AG72 AG74 AG76 AG78 AG80">
    <cfRule type="cellIs" dxfId="24134" priority="3282" operator="greaterThan">
      <formula>1</formula>
    </cfRule>
    <cfRule type="cellIs" dxfId="24133" priority="3283" operator="lessThan">
      <formula>0.8</formula>
    </cfRule>
  </conditionalFormatting>
  <conditionalFormatting sqref="AF13:AF16 Q15:Q16">
    <cfRule type="cellIs" dxfId="24132" priority="3281" operator="lessThan">
      <formula>0</formula>
    </cfRule>
  </conditionalFormatting>
  <conditionalFormatting sqref="R15:R16">
    <cfRule type="cellIs" dxfId="24131" priority="3279" operator="lessThan">
      <formula>0.8</formula>
    </cfRule>
    <cfRule type="cellIs" dxfId="24130" priority="3280" operator="greaterThan">
      <formula>1</formula>
    </cfRule>
  </conditionalFormatting>
  <conditionalFormatting sqref="AG12:AG16 R15:R16">
    <cfRule type="cellIs" dxfId="24129" priority="3277" operator="greaterThan">
      <formula>1</formula>
    </cfRule>
    <cfRule type="cellIs" dxfId="24128" priority="3278" operator="lessThan">
      <formula>0.8</formula>
    </cfRule>
  </conditionalFormatting>
  <conditionalFormatting sqref="P15:P16">
    <cfRule type="cellIs" dxfId="24127" priority="3276" operator="greaterThan">
      <formula>0</formula>
    </cfRule>
  </conditionalFormatting>
  <conditionalFormatting sqref="AF98 AF100 AF102 AF104">
    <cfRule type="cellIs" dxfId="24126" priority="3275" operator="lessThan">
      <formula>0</formula>
    </cfRule>
  </conditionalFormatting>
  <conditionalFormatting sqref="AH98">
    <cfRule type="cellIs" dxfId="24125" priority="3274" operator="lessThan">
      <formula>0.8</formula>
    </cfRule>
  </conditionalFormatting>
  <conditionalFormatting sqref="AG98 AG100 AG102 AG104">
    <cfRule type="cellIs" dxfId="24124" priority="3272" operator="greaterThan">
      <formula>1</formula>
    </cfRule>
    <cfRule type="cellIs" dxfId="24123" priority="3273" operator="lessThan">
      <formula>0.8</formula>
    </cfRule>
  </conditionalFormatting>
  <conditionalFormatting sqref="AF20 AF22 AF24 AF26 AF28">
    <cfRule type="cellIs" dxfId="24122" priority="3271" operator="lessThan">
      <formula>0</formula>
    </cfRule>
  </conditionalFormatting>
  <conditionalFormatting sqref="AG20 AG22 AG24 AG26 AG28">
    <cfRule type="cellIs" dxfId="24121" priority="3269" operator="greaterThan">
      <formula>1</formula>
    </cfRule>
    <cfRule type="cellIs" dxfId="24120" priority="3270" operator="lessThan">
      <formula>0.8</formula>
    </cfRule>
  </conditionalFormatting>
  <conditionalFormatting sqref="AF33">
    <cfRule type="cellIs" dxfId="24119" priority="3268" operator="lessThan">
      <formula>0</formula>
    </cfRule>
  </conditionalFormatting>
  <conditionalFormatting sqref="AG33">
    <cfRule type="cellIs" dxfId="24118" priority="3266" operator="greaterThan">
      <formula>1</formula>
    </cfRule>
    <cfRule type="cellIs" dxfId="24117" priority="3267" operator="lessThan">
      <formula>0.8</formula>
    </cfRule>
  </conditionalFormatting>
  <conditionalFormatting sqref="P41:P42">
    <cfRule type="cellIs" dxfId="24116" priority="3260" operator="greaterThan">
      <formula>0</formula>
    </cfRule>
  </conditionalFormatting>
  <conditionalFormatting sqref="Q41:Q42 AF34:AF42">
    <cfRule type="cellIs" dxfId="24115" priority="3265" operator="lessThan">
      <formula>0</formula>
    </cfRule>
  </conditionalFormatting>
  <conditionalFormatting sqref="R41:R42">
    <cfRule type="cellIs" dxfId="24114" priority="3263" operator="lessThan">
      <formula>0.8</formula>
    </cfRule>
    <cfRule type="cellIs" dxfId="24113" priority="3264" operator="greaterThan">
      <formula>1</formula>
    </cfRule>
  </conditionalFormatting>
  <conditionalFormatting sqref="R41:R42 AG34:AG42">
    <cfRule type="cellIs" dxfId="24112" priority="3261" operator="greaterThan">
      <formula>1</formula>
    </cfRule>
    <cfRule type="cellIs" dxfId="24111" priority="3262" operator="lessThan">
      <formula>0.8</formula>
    </cfRule>
  </conditionalFormatting>
  <conditionalFormatting sqref="AF137:AF144">
    <cfRule type="cellIs" dxfId="24110" priority="3259" operator="lessThan">
      <formula>0</formula>
    </cfRule>
  </conditionalFormatting>
  <conditionalFormatting sqref="AH137 S137">
    <cfRule type="cellIs" dxfId="24109" priority="3258" operator="lessThan">
      <formula>0.8</formula>
    </cfRule>
  </conditionalFormatting>
  <conditionalFormatting sqref="AG137:AG144">
    <cfRule type="cellIs" dxfId="24108" priority="3256" operator="greaterThan">
      <formula>1</formula>
    </cfRule>
    <cfRule type="cellIs" dxfId="24107" priority="3257" operator="lessThan">
      <formula>0.8</formula>
    </cfRule>
  </conditionalFormatting>
  <conditionalFormatting sqref="AF53:AF55">
    <cfRule type="cellIs" dxfId="24106" priority="3255" operator="lessThan">
      <formula>0</formula>
    </cfRule>
  </conditionalFormatting>
  <conditionalFormatting sqref="AG53:AG55">
    <cfRule type="cellIs" dxfId="24105" priority="3253" operator="greaterThan">
      <formula>1</formula>
    </cfRule>
    <cfRule type="cellIs" dxfId="24104" priority="3254" operator="lessThan">
      <formula>0.8</formula>
    </cfRule>
  </conditionalFormatting>
  <conditionalFormatting sqref="AF56 Q56">
    <cfRule type="cellIs" dxfId="24103" priority="3252" operator="lessThan">
      <formula>0</formula>
    </cfRule>
  </conditionalFormatting>
  <conditionalFormatting sqref="R56">
    <cfRule type="cellIs" dxfId="24102" priority="3250" operator="lessThan">
      <formula>0.8</formula>
    </cfRule>
    <cfRule type="cellIs" dxfId="24101" priority="3251" operator="greaterThan">
      <formula>1</formula>
    </cfRule>
  </conditionalFormatting>
  <conditionalFormatting sqref="AG56 R56">
    <cfRule type="cellIs" dxfId="24100" priority="3248" operator="greaterThan">
      <formula>1</formula>
    </cfRule>
    <cfRule type="cellIs" dxfId="24099" priority="3249" operator="lessThan">
      <formula>0.8</formula>
    </cfRule>
  </conditionalFormatting>
  <conditionalFormatting sqref="P56">
    <cfRule type="cellIs" dxfId="24098" priority="3247" operator="greaterThan">
      <formula>0</formula>
    </cfRule>
  </conditionalFormatting>
  <conditionalFormatting sqref="P52:P55">
    <cfRule type="cellIs" dxfId="24097" priority="3241" operator="greaterThan">
      <formula>0</formula>
    </cfRule>
  </conditionalFormatting>
  <conditionalFormatting sqref="Q52:Q55">
    <cfRule type="cellIs" dxfId="24096" priority="3246" operator="lessThan">
      <formula>0</formula>
    </cfRule>
  </conditionalFormatting>
  <conditionalFormatting sqref="R52:R55">
    <cfRule type="cellIs" dxfId="24095" priority="3244" operator="lessThan">
      <formula>0.8</formula>
    </cfRule>
    <cfRule type="cellIs" dxfId="24094" priority="3245" operator="greaterThan">
      <formula>1</formula>
    </cfRule>
  </conditionalFormatting>
  <conditionalFormatting sqref="R52:R55">
    <cfRule type="cellIs" dxfId="24093" priority="3242" operator="greaterThan">
      <formula>1</formula>
    </cfRule>
    <cfRule type="cellIs" dxfId="24092" priority="3243" operator="lessThan">
      <formula>0.8</formula>
    </cfRule>
  </conditionalFormatting>
  <conditionalFormatting sqref="P80:P81">
    <cfRule type="cellIs" dxfId="24091" priority="3235" operator="greaterThan">
      <formula>0</formula>
    </cfRule>
  </conditionalFormatting>
  <conditionalFormatting sqref="AF81 Q80:Q81">
    <cfRule type="cellIs" dxfId="24090" priority="3240" operator="lessThan">
      <formula>0</formula>
    </cfRule>
  </conditionalFormatting>
  <conditionalFormatting sqref="R80:R81">
    <cfRule type="cellIs" dxfId="24089" priority="3238" operator="lessThan">
      <formula>0.8</formula>
    </cfRule>
    <cfRule type="cellIs" dxfId="24088" priority="3239" operator="greaterThan">
      <formula>1</formula>
    </cfRule>
  </conditionalFormatting>
  <conditionalFormatting sqref="AG81 R80:R81">
    <cfRule type="cellIs" dxfId="24087" priority="3236" operator="greaterThan">
      <formula>1</formula>
    </cfRule>
    <cfRule type="cellIs" dxfId="24086" priority="3237" operator="lessThan">
      <formula>0.8</formula>
    </cfRule>
  </conditionalFormatting>
  <conditionalFormatting sqref="AH85">
    <cfRule type="cellIs" dxfId="24085" priority="3234" operator="lessThan">
      <formula>0.8</formula>
    </cfRule>
  </conditionalFormatting>
  <conditionalFormatting sqref="S85">
    <cfRule type="cellIs" dxfId="24084" priority="3233" operator="lessThan">
      <formula>0.8</formula>
    </cfRule>
  </conditionalFormatting>
  <conditionalFormatting sqref="AF99 AF101 AF103">
    <cfRule type="cellIs" dxfId="24083" priority="3232" operator="lessThan">
      <formula>0</formula>
    </cfRule>
  </conditionalFormatting>
  <conditionalFormatting sqref="AG99 AG101 AG103">
    <cfRule type="cellIs" dxfId="24082" priority="3230" operator="greaterThan">
      <formula>1</formula>
    </cfRule>
    <cfRule type="cellIs" dxfId="24081" priority="3231" operator="lessThan">
      <formula>0.8</formula>
    </cfRule>
  </conditionalFormatting>
  <conditionalFormatting sqref="AF105:AF107">
    <cfRule type="cellIs" dxfId="24080" priority="3229" operator="lessThan">
      <formula>0</formula>
    </cfRule>
  </conditionalFormatting>
  <conditionalFormatting sqref="AH100:AH107">
    <cfRule type="cellIs" dxfId="24079" priority="3228" operator="lessThan">
      <formula>0.8</formula>
    </cfRule>
  </conditionalFormatting>
  <conditionalFormatting sqref="AG105:AG107">
    <cfRule type="cellIs" dxfId="24078" priority="3226" operator="greaterThan">
      <formula>1</formula>
    </cfRule>
    <cfRule type="cellIs" dxfId="24077" priority="3227" operator="lessThan">
      <formula>0.8</formula>
    </cfRule>
  </conditionalFormatting>
  <conditionalFormatting sqref="P106:P107">
    <cfRule type="cellIs" dxfId="24076" priority="3220" operator="greaterThan">
      <formula>0</formula>
    </cfRule>
  </conditionalFormatting>
  <conditionalFormatting sqref="Q106:Q107">
    <cfRule type="cellIs" dxfId="24075" priority="3225" operator="lessThan">
      <formula>0</formula>
    </cfRule>
  </conditionalFormatting>
  <conditionalFormatting sqref="R106:R107">
    <cfRule type="cellIs" dxfId="24074" priority="3223" operator="lessThan">
      <formula>0.8</formula>
    </cfRule>
    <cfRule type="cellIs" dxfId="24073" priority="3224" operator="greaterThan">
      <formula>1</formula>
    </cfRule>
  </conditionalFormatting>
  <conditionalFormatting sqref="R106:R107">
    <cfRule type="cellIs" dxfId="24072" priority="3221" operator="greaterThan">
      <formula>1</formula>
    </cfRule>
    <cfRule type="cellIs" dxfId="24071" priority="3222" operator="lessThan">
      <formula>0.8</formula>
    </cfRule>
  </conditionalFormatting>
  <conditionalFormatting sqref="AF109">
    <cfRule type="cellIs" dxfId="24070" priority="3219" operator="lessThan">
      <formula>0</formula>
    </cfRule>
  </conditionalFormatting>
  <conditionalFormatting sqref="S109">
    <cfRule type="cellIs" dxfId="24069" priority="3218" operator="lessThan">
      <formula>0.8</formula>
    </cfRule>
  </conditionalFormatting>
  <conditionalFormatting sqref="AG109">
    <cfRule type="cellIs" dxfId="24068" priority="3216" operator="greaterThan">
      <formula>1</formula>
    </cfRule>
    <cfRule type="cellIs" dxfId="24067" priority="3217" operator="lessThan">
      <formula>0.8</formula>
    </cfRule>
  </conditionalFormatting>
  <conditionalFormatting sqref="S150">
    <cfRule type="cellIs" dxfId="24066" priority="3215" operator="lessThan">
      <formula>0.8</formula>
    </cfRule>
  </conditionalFormatting>
  <conditionalFormatting sqref="AH150">
    <cfRule type="cellIs" dxfId="24065" priority="3214" operator="lessThan">
      <formula>0.8</formula>
    </cfRule>
  </conditionalFormatting>
  <conditionalFormatting sqref="S149">
    <cfRule type="cellIs" dxfId="24064" priority="3213" operator="lessThan">
      <formula>0.8</formula>
    </cfRule>
  </conditionalFormatting>
  <conditionalFormatting sqref="Q26:Q29">
    <cfRule type="cellIs" dxfId="24063" priority="3212" operator="lessThan">
      <formula>0</formula>
    </cfRule>
  </conditionalFormatting>
  <conditionalFormatting sqref="S21:S29 AH21:AH29">
    <cfRule type="cellIs" dxfId="24062" priority="3211" operator="lessThan">
      <formula>0.8</formula>
    </cfRule>
  </conditionalFormatting>
  <conditionalFormatting sqref="R26:R29">
    <cfRule type="cellIs" dxfId="24061" priority="3209" operator="lessThan">
      <formula>0.8</formula>
    </cfRule>
    <cfRule type="cellIs" dxfId="24060" priority="3210" operator="greaterThan">
      <formula>1</formula>
    </cfRule>
  </conditionalFormatting>
  <conditionalFormatting sqref="R26:R29">
    <cfRule type="cellIs" dxfId="24059" priority="3207" operator="greaterThan">
      <formula>1</formula>
    </cfRule>
    <cfRule type="cellIs" dxfId="24058" priority="3208" operator="lessThan">
      <formula>0.8</formula>
    </cfRule>
  </conditionalFormatting>
  <conditionalFormatting sqref="P26:P29">
    <cfRule type="cellIs" dxfId="24057" priority="3206" operator="greaterThan">
      <formula>0</formula>
    </cfRule>
  </conditionalFormatting>
  <conditionalFormatting sqref="AH91 S91">
    <cfRule type="cellIs" dxfId="24056" priority="3205" operator="lessThan">
      <formula>0.8</formula>
    </cfRule>
  </conditionalFormatting>
  <conditionalFormatting sqref="P92:P94">
    <cfRule type="cellIs" dxfId="24055" priority="3199" operator="greaterThan">
      <formula>0</formula>
    </cfRule>
  </conditionalFormatting>
  <conditionalFormatting sqref="Q92:Q94">
    <cfRule type="cellIs" dxfId="24054" priority="3204" operator="lessThan">
      <formula>0</formula>
    </cfRule>
  </conditionalFormatting>
  <conditionalFormatting sqref="R92:R94">
    <cfRule type="cellIs" dxfId="24053" priority="3202" operator="lessThan">
      <formula>0.8</formula>
    </cfRule>
    <cfRule type="cellIs" dxfId="24052" priority="3203" operator="greaterThan">
      <formula>1</formula>
    </cfRule>
  </conditionalFormatting>
  <conditionalFormatting sqref="R92:R94">
    <cfRule type="cellIs" dxfId="24051" priority="3200" operator="greaterThan">
      <formula>1</formula>
    </cfRule>
    <cfRule type="cellIs" dxfId="24050" priority="3201" operator="lessThan">
      <formula>0.8</formula>
    </cfRule>
  </conditionalFormatting>
  <conditionalFormatting sqref="AF146 Q145:Q146">
    <cfRule type="cellIs" dxfId="24049" priority="3198" operator="lessThan">
      <formula>0</formula>
    </cfRule>
  </conditionalFormatting>
  <conditionalFormatting sqref="AH139:AH146 S139:S146">
    <cfRule type="cellIs" dxfId="24048" priority="3197" operator="lessThan">
      <formula>0.8</formula>
    </cfRule>
  </conditionalFormatting>
  <conditionalFormatting sqref="R145:R146">
    <cfRule type="cellIs" dxfId="24047" priority="3195" operator="lessThan">
      <formula>0.8</formula>
    </cfRule>
    <cfRule type="cellIs" dxfId="24046" priority="3196" operator="greaterThan">
      <formula>1</formula>
    </cfRule>
  </conditionalFormatting>
  <conditionalFormatting sqref="AG146 R145:R146">
    <cfRule type="cellIs" dxfId="24045" priority="3193" operator="greaterThan">
      <formula>1</formula>
    </cfRule>
    <cfRule type="cellIs" dxfId="24044" priority="3194" operator="lessThan">
      <formula>0.8</formula>
    </cfRule>
  </conditionalFormatting>
  <conditionalFormatting sqref="P145:P146">
    <cfRule type="cellIs" dxfId="24043" priority="3192" operator="greaterThan">
      <formula>0</formula>
    </cfRule>
  </conditionalFormatting>
  <conditionalFormatting sqref="Q119:Q120">
    <cfRule type="cellIs" dxfId="24042" priority="3191" operator="lessThan">
      <formula>0</formula>
    </cfRule>
  </conditionalFormatting>
  <conditionalFormatting sqref="R119:R120">
    <cfRule type="cellIs" dxfId="24041" priority="3189" operator="lessThan">
      <formula>0.8</formula>
    </cfRule>
    <cfRule type="cellIs" dxfId="24040" priority="3190" operator="greaterThan">
      <formula>1</formula>
    </cfRule>
  </conditionalFormatting>
  <conditionalFormatting sqref="R119:R120">
    <cfRule type="cellIs" dxfId="24039" priority="3187" operator="greaterThan">
      <formula>1</formula>
    </cfRule>
    <cfRule type="cellIs" dxfId="24038" priority="3188" operator="lessThan">
      <formula>0.8</formula>
    </cfRule>
  </conditionalFormatting>
  <conditionalFormatting sqref="P119:P120">
    <cfRule type="cellIs" dxfId="24037" priority="3186" operator="greaterThan">
      <formula>0</formula>
    </cfRule>
  </conditionalFormatting>
  <conditionalFormatting sqref="AF118:AF120">
    <cfRule type="cellIs" dxfId="24036" priority="3185" operator="lessThan">
      <formula>0</formula>
    </cfRule>
  </conditionalFormatting>
  <conditionalFormatting sqref="AG118:AG120">
    <cfRule type="cellIs" dxfId="24035" priority="3183" operator="greaterThan">
      <formula>1</formula>
    </cfRule>
    <cfRule type="cellIs" dxfId="24034" priority="3184" operator="lessThan">
      <formula>0.8</formula>
    </cfRule>
  </conditionalFormatting>
  <conditionalFormatting sqref="S44:S56">
    <cfRule type="cellIs" dxfId="24033" priority="3182" operator="lessThan">
      <formula>0.8</formula>
    </cfRule>
  </conditionalFormatting>
  <conditionalFormatting sqref="S108">
    <cfRule type="cellIs" dxfId="24032" priority="3181" operator="lessThan">
      <formula>0.8</formula>
    </cfRule>
  </conditionalFormatting>
  <conditionalFormatting sqref="S96">
    <cfRule type="cellIs" dxfId="24031" priority="3180" operator="lessThan">
      <formula>0.8</formula>
    </cfRule>
  </conditionalFormatting>
  <conditionalFormatting sqref="S97">
    <cfRule type="cellIs" dxfId="24030" priority="3179" operator="lessThan">
      <formula>0.8</formula>
    </cfRule>
  </conditionalFormatting>
  <conditionalFormatting sqref="S103">
    <cfRule type="cellIs" dxfId="24029" priority="3178" operator="lessThan">
      <formula>0.8</formula>
    </cfRule>
  </conditionalFormatting>
  <conditionalFormatting sqref="S99">
    <cfRule type="cellIs" dxfId="24028" priority="3177" operator="lessThan">
      <formula>0.8</formula>
    </cfRule>
  </conditionalFormatting>
  <conditionalFormatting sqref="S101">
    <cfRule type="cellIs" dxfId="24027" priority="3174" operator="lessThan">
      <formula>0.8</formula>
    </cfRule>
  </conditionalFormatting>
  <conditionalFormatting sqref="S100">
    <cfRule type="cellIs" dxfId="24026" priority="3176" operator="lessThan">
      <formula>0.8</formula>
    </cfRule>
  </conditionalFormatting>
  <conditionalFormatting sqref="S102">
    <cfRule type="cellIs" dxfId="24025" priority="3175" operator="lessThan">
      <formula>0.8</formula>
    </cfRule>
  </conditionalFormatting>
  <conditionalFormatting sqref="S98">
    <cfRule type="cellIs" dxfId="24024" priority="3173" operator="lessThan">
      <formula>0.8</formula>
    </cfRule>
  </conditionalFormatting>
  <conditionalFormatting sqref="S104">
    <cfRule type="cellIs" dxfId="24023" priority="3172" operator="lessThan">
      <formula>0.8</formula>
    </cfRule>
  </conditionalFormatting>
  <conditionalFormatting sqref="P118">
    <cfRule type="cellIs" dxfId="24022" priority="3166" operator="greaterThan">
      <formula>0</formula>
    </cfRule>
  </conditionalFormatting>
  <conditionalFormatting sqref="Q118">
    <cfRule type="cellIs" dxfId="24021" priority="3171" operator="lessThan">
      <formula>0</formula>
    </cfRule>
  </conditionalFormatting>
  <conditionalFormatting sqref="R118">
    <cfRule type="cellIs" dxfId="24020" priority="3169" operator="lessThan">
      <formula>0.8</formula>
    </cfRule>
    <cfRule type="cellIs" dxfId="24019" priority="3170" operator="greaterThan">
      <formula>1</formula>
    </cfRule>
  </conditionalFormatting>
  <conditionalFormatting sqref="R118">
    <cfRule type="cellIs" dxfId="24018" priority="3167" operator="greaterThan">
      <formula>1</formula>
    </cfRule>
    <cfRule type="cellIs" dxfId="24017" priority="3168" operator="lessThan">
      <formula>0.8</formula>
    </cfRule>
  </conditionalFormatting>
  <conditionalFormatting sqref="Q162:Q166">
    <cfRule type="cellIs" dxfId="24016" priority="3165" operator="lessThan">
      <formula>0</formula>
    </cfRule>
  </conditionalFormatting>
  <conditionalFormatting sqref="R162:R166">
    <cfRule type="cellIs" dxfId="24015" priority="3163" operator="lessThan">
      <formula>0.8</formula>
    </cfRule>
    <cfRule type="cellIs" dxfId="24014" priority="3164" operator="greaterThan">
      <formula>1</formula>
    </cfRule>
  </conditionalFormatting>
  <conditionalFormatting sqref="R162:R166">
    <cfRule type="cellIs" dxfId="24013" priority="3161" operator="greaterThan">
      <formula>1</formula>
    </cfRule>
    <cfRule type="cellIs" dxfId="24012" priority="3162" operator="lessThan">
      <formula>0.8</formula>
    </cfRule>
  </conditionalFormatting>
  <conditionalFormatting sqref="P162:P166">
    <cfRule type="cellIs" dxfId="24011" priority="3160" operator="greaterThan">
      <formula>0</formula>
    </cfRule>
  </conditionalFormatting>
  <conditionalFormatting sqref="P167:P168">
    <cfRule type="cellIs" dxfId="24010" priority="3154" operator="greaterThan">
      <formula>0</formula>
    </cfRule>
  </conditionalFormatting>
  <conditionalFormatting sqref="R167:R168">
    <cfRule type="cellIs" dxfId="24009" priority="3157" operator="lessThan">
      <formula>0.8</formula>
    </cfRule>
    <cfRule type="cellIs" dxfId="24008" priority="3158" operator="greaterThan">
      <formula>1</formula>
    </cfRule>
  </conditionalFormatting>
  <conditionalFormatting sqref="R167:R168">
    <cfRule type="cellIs" dxfId="24007" priority="3155" operator="greaterThan">
      <formula>1</formula>
    </cfRule>
    <cfRule type="cellIs" dxfId="24006" priority="3156" operator="lessThan">
      <formula>0.8</formula>
    </cfRule>
  </conditionalFormatting>
  <conditionalFormatting sqref="Q167:Q168">
    <cfRule type="cellIs" dxfId="24005" priority="3159" operator="lessThan">
      <formula>0</formula>
    </cfRule>
  </conditionalFormatting>
  <conditionalFormatting sqref="Q117">
    <cfRule type="cellIs" dxfId="24004" priority="3153" operator="lessThan">
      <formula>0</formula>
    </cfRule>
  </conditionalFormatting>
  <conditionalFormatting sqref="R117">
    <cfRule type="cellIs" dxfId="24003" priority="3151" operator="lessThan">
      <formula>0.8</formula>
    </cfRule>
    <cfRule type="cellIs" dxfId="24002" priority="3152" operator="greaterThan">
      <formula>1</formula>
    </cfRule>
  </conditionalFormatting>
  <conditionalFormatting sqref="R117">
    <cfRule type="cellIs" dxfId="24001" priority="3149" operator="greaterThan">
      <formula>1</formula>
    </cfRule>
    <cfRule type="cellIs" dxfId="24000" priority="3150" operator="lessThan">
      <formula>0.8</formula>
    </cfRule>
  </conditionalFormatting>
  <conditionalFormatting sqref="P117">
    <cfRule type="cellIs" dxfId="23999" priority="3148" operator="greaterThan">
      <formula>0</formula>
    </cfRule>
  </conditionalFormatting>
  <conditionalFormatting sqref="Q117">
    <cfRule type="cellIs" dxfId="23998" priority="3147" operator="lessThan">
      <formula>0</formula>
    </cfRule>
  </conditionalFormatting>
  <conditionalFormatting sqref="R117">
    <cfRule type="cellIs" dxfId="23997" priority="3145" operator="lessThan">
      <formula>0.8</formula>
    </cfRule>
    <cfRule type="cellIs" dxfId="23996" priority="3146" operator="greaterThan">
      <formula>1</formula>
    </cfRule>
  </conditionalFormatting>
  <conditionalFormatting sqref="R117">
    <cfRule type="cellIs" dxfId="23995" priority="3143" operator="greaterThan">
      <formula>1</formula>
    </cfRule>
    <cfRule type="cellIs" dxfId="23994" priority="3144" operator="lessThan">
      <formula>0.8</formula>
    </cfRule>
  </conditionalFormatting>
  <conditionalFormatting sqref="P117">
    <cfRule type="cellIs" dxfId="23993" priority="3142" operator="greaterThan">
      <formula>0</formula>
    </cfRule>
  </conditionalFormatting>
  <conditionalFormatting sqref="P117">
    <cfRule type="cellIs" dxfId="23992" priority="3136" operator="greaterThan">
      <formula>0</formula>
    </cfRule>
  </conditionalFormatting>
  <conditionalFormatting sqref="Q117">
    <cfRule type="cellIs" dxfId="23991" priority="3141" operator="lessThan">
      <formula>0</formula>
    </cfRule>
  </conditionalFormatting>
  <conditionalFormatting sqref="R117">
    <cfRule type="cellIs" dxfId="23990" priority="3139" operator="lessThan">
      <formula>0.8</formula>
    </cfRule>
    <cfRule type="cellIs" dxfId="23989" priority="3140" operator="greaterThan">
      <formula>1</formula>
    </cfRule>
  </conditionalFormatting>
  <conditionalFormatting sqref="R117">
    <cfRule type="cellIs" dxfId="23988" priority="3137" operator="greaterThan">
      <formula>1</formula>
    </cfRule>
    <cfRule type="cellIs" dxfId="23987" priority="3138" operator="lessThan">
      <formula>0.8</formula>
    </cfRule>
  </conditionalFormatting>
  <conditionalFormatting sqref="P117">
    <cfRule type="cellIs" dxfId="23986" priority="3130" operator="greaterThan">
      <formula>0</formula>
    </cfRule>
  </conditionalFormatting>
  <conditionalFormatting sqref="Q117">
    <cfRule type="cellIs" dxfId="23985" priority="3135" operator="lessThan">
      <formula>0</formula>
    </cfRule>
  </conditionalFormatting>
  <conditionalFormatting sqref="R117">
    <cfRule type="cellIs" dxfId="23984" priority="3133" operator="lessThan">
      <formula>0.8</formula>
    </cfRule>
    <cfRule type="cellIs" dxfId="23983" priority="3134" operator="greaterThan">
      <formula>1</formula>
    </cfRule>
  </conditionalFormatting>
  <conditionalFormatting sqref="R117">
    <cfRule type="cellIs" dxfId="23982" priority="3131" operator="greaterThan">
      <formula>1</formula>
    </cfRule>
    <cfRule type="cellIs" dxfId="23981" priority="3132" operator="lessThan">
      <formula>0.8</formula>
    </cfRule>
  </conditionalFormatting>
  <conditionalFormatting sqref="P117">
    <cfRule type="cellIs" dxfId="23980" priority="3124" operator="greaterThan">
      <formula>0</formula>
    </cfRule>
  </conditionalFormatting>
  <conditionalFormatting sqref="Q117">
    <cfRule type="cellIs" dxfId="23979" priority="3129" operator="lessThan">
      <formula>0</formula>
    </cfRule>
  </conditionalFormatting>
  <conditionalFormatting sqref="R117">
    <cfRule type="cellIs" dxfId="23978" priority="3127" operator="lessThan">
      <formula>0.8</formula>
    </cfRule>
    <cfRule type="cellIs" dxfId="23977" priority="3128" operator="greaterThan">
      <formula>1</formula>
    </cfRule>
  </conditionalFormatting>
  <conditionalFormatting sqref="R117">
    <cfRule type="cellIs" dxfId="23976" priority="3125" operator="greaterThan">
      <formula>1</formula>
    </cfRule>
    <cfRule type="cellIs" dxfId="23975" priority="3126" operator="lessThan">
      <formula>0.8</formula>
    </cfRule>
  </conditionalFormatting>
  <conditionalFormatting sqref="Q117">
    <cfRule type="cellIs" dxfId="23974" priority="3123" operator="lessThan">
      <formula>0</formula>
    </cfRule>
  </conditionalFormatting>
  <conditionalFormatting sqref="R117">
    <cfRule type="cellIs" dxfId="23973" priority="3121" operator="lessThan">
      <formula>0.8</formula>
    </cfRule>
    <cfRule type="cellIs" dxfId="23972" priority="3122" operator="greaterThan">
      <formula>1</formula>
    </cfRule>
  </conditionalFormatting>
  <conditionalFormatting sqref="R117">
    <cfRule type="cellIs" dxfId="23971" priority="3119" operator="greaterThan">
      <formula>1</formula>
    </cfRule>
    <cfRule type="cellIs" dxfId="23970" priority="3120" operator="lessThan">
      <formula>0.8</formula>
    </cfRule>
  </conditionalFormatting>
  <conditionalFormatting sqref="P117">
    <cfRule type="cellIs" dxfId="23969" priority="3118" operator="greaterThan">
      <formula>0</formula>
    </cfRule>
  </conditionalFormatting>
  <conditionalFormatting sqref="P117">
    <cfRule type="cellIs" dxfId="23968" priority="3112" operator="greaterThan">
      <formula>0</formula>
    </cfRule>
  </conditionalFormatting>
  <conditionalFormatting sqref="Q117">
    <cfRule type="cellIs" dxfId="23967" priority="3117" operator="lessThan">
      <formula>0</formula>
    </cfRule>
  </conditionalFormatting>
  <conditionalFormatting sqref="R117">
    <cfRule type="cellIs" dxfId="23966" priority="3115" operator="lessThan">
      <formula>0.8</formula>
    </cfRule>
    <cfRule type="cellIs" dxfId="23965" priority="3116" operator="greaterThan">
      <formula>1</formula>
    </cfRule>
  </conditionalFormatting>
  <conditionalFormatting sqref="R117">
    <cfRule type="cellIs" dxfId="23964" priority="3113" operator="greaterThan">
      <formula>1</formula>
    </cfRule>
    <cfRule type="cellIs" dxfId="23963" priority="3114" operator="lessThan">
      <formula>0.8</formula>
    </cfRule>
  </conditionalFormatting>
  <conditionalFormatting sqref="P117">
    <cfRule type="cellIs" dxfId="23962" priority="3106" operator="greaterThan">
      <formula>0</formula>
    </cfRule>
  </conditionalFormatting>
  <conditionalFormatting sqref="Q117">
    <cfRule type="cellIs" dxfId="23961" priority="3111" operator="lessThan">
      <formula>0</formula>
    </cfRule>
  </conditionalFormatting>
  <conditionalFormatting sqref="R117">
    <cfRule type="cellIs" dxfId="23960" priority="3109" operator="lessThan">
      <formula>0.8</formula>
    </cfRule>
    <cfRule type="cellIs" dxfId="23959" priority="3110" operator="greaterThan">
      <formula>1</formula>
    </cfRule>
  </conditionalFormatting>
  <conditionalFormatting sqref="R117">
    <cfRule type="cellIs" dxfId="23958" priority="3107" operator="greaterThan">
      <formula>1</formula>
    </cfRule>
    <cfRule type="cellIs" dxfId="23957" priority="3108" operator="lessThan">
      <formula>0.8</formula>
    </cfRule>
  </conditionalFormatting>
  <conditionalFormatting sqref="Q117">
    <cfRule type="cellIs" dxfId="23956" priority="3105" operator="lessThan">
      <formula>0</formula>
    </cfRule>
  </conditionalFormatting>
  <conditionalFormatting sqref="R117">
    <cfRule type="cellIs" dxfId="23955" priority="3103" operator="lessThan">
      <formula>0.8</formula>
    </cfRule>
    <cfRule type="cellIs" dxfId="23954" priority="3104" operator="greaterThan">
      <formula>1</formula>
    </cfRule>
  </conditionalFormatting>
  <conditionalFormatting sqref="R117">
    <cfRule type="cellIs" dxfId="23953" priority="3101" operator="greaterThan">
      <formula>1</formula>
    </cfRule>
    <cfRule type="cellIs" dxfId="23952" priority="3102" operator="lessThan">
      <formula>0.8</formula>
    </cfRule>
  </conditionalFormatting>
  <conditionalFormatting sqref="P117">
    <cfRule type="cellIs" dxfId="23951" priority="3100" operator="greaterThan">
      <formula>0</formula>
    </cfRule>
  </conditionalFormatting>
  <conditionalFormatting sqref="P117">
    <cfRule type="cellIs" dxfId="23950" priority="3094" operator="greaterThan">
      <formula>0</formula>
    </cfRule>
  </conditionalFormatting>
  <conditionalFormatting sqref="Q117">
    <cfRule type="cellIs" dxfId="23949" priority="3099" operator="lessThan">
      <formula>0</formula>
    </cfRule>
  </conditionalFormatting>
  <conditionalFormatting sqref="R117">
    <cfRule type="cellIs" dxfId="23948" priority="3097" operator="lessThan">
      <formula>0.8</formula>
    </cfRule>
    <cfRule type="cellIs" dxfId="23947" priority="3098" operator="greaterThan">
      <formula>1</formula>
    </cfRule>
  </conditionalFormatting>
  <conditionalFormatting sqref="R117">
    <cfRule type="cellIs" dxfId="23946" priority="3095" operator="greaterThan">
      <formula>1</formula>
    </cfRule>
    <cfRule type="cellIs" dxfId="23945" priority="3096" operator="lessThan">
      <formula>0.8</formula>
    </cfRule>
  </conditionalFormatting>
  <conditionalFormatting sqref="Q117">
    <cfRule type="cellIs" dxfId="23944" priority="3093" operator="lessThan">
      <formula>0</formula>
    </cfRule>
  </conditionalFormatting>
  <conditionalFormatting sqref="R117">
    <cfRule type="cellIs" dxfId="23943" priority="3091" operator="lessThan">
      <formula>0.8</formula>
    </cfRule>
    <cfRule type="cellIs" dxfId="23942" priority="3092" operator="greaterThan">
      <formula>1</formula>
    </cfRule>
  </conditionalFormatting>
  <conditionalFormatting sqref="R117">
    <cfRule type="cellIs" dxfId="23941" priority="3089" operator="greaterThan">
      <formula>1</formula>
    </cfRule>
    <cfRule type="cellIs" dxfId="23940" priority="3090" operator="lessThan">
      <formula>0.8</formula>
    </cfRule>
  </conditionalFormatting>
  <conditionalFormatting sqref="P117">
    <cfRule type="cellIs" dxfId="23939" priority="3088" operator="greaterThan">
      <formula>0</formula>
    </cfRule>
  </conditionalFormatting>
  <conditionalFormatting sqref="Q117">
    <cfRule type="cellIs" dxfId="23938" priority="3087" operator="lessThan">
      <formula>0</formula>
    </cfRule>
  </conditionalFormatting>
  <conditionalFormatting sqref="R117">
    <cfRule type="cellIs" dxfId="23937" priority="3085" operator="lessThan">
      <formula>0.8</formula>
    </cfRule>
    <cfRule type="cellIs" dxfId="23936" priority="3086" operator="greaterThan">
      <formula>1</formula>
    </cfRule>
  </conditionalFormatting>
  <conditionalFormatting sqref="R117">
    <cfRule type="cellIs" dxfId="23935" priority="3083" operator="greaterThan">
      <formula>1</formula>
    </cfRule>
    <cfRule type="cellIs" dxfId="23934" priority="3084" operator="lessThan">
      <formula>0.8</formula>
    </cfRule>
  </conditionalFormatting>
  <conditionalFormatting sqref="P117">
    <cfRule type="cellIs" dxfId="23933" priority="3082" operator="greaterThan">
      <formula>0</formula>
    </cfRule>
  </conditionalFormatting>
  <conditionalFormatting sqref="Q83">
    <cfRule type="cellIs" dxfId="23932" priority="3081" operator="lessThan">
      <formula>0</formula>
    </cfRule>
  </conditionalFormatting>
  <conditionalFormatting sqref="R83">
    <cfRule type="cellIs" dxfId="23931" priority="3079" operator="lessThan">
      <formula>0.8</formula>
    </cfRule>
    <cfRule type="cellIs" dxfId="23930" priority="3080" operator="greaterThan">
      <formula>1</formula>
    </cfRule>
  </conditionalFormatting>
  <conditionalFormatting sqref="R83">
    <cfRule type="cellIs" dxfId="23929" priority="3077" operator="greaterThan">
      <formula>1</formula>
    </cfRule>
    <cfRule type="cellIs" dxfId="23928" priority="3078" operator="lessThan">
      <formula>0.8</formula>
    </cfRule>
  </conditionalFormatting>
  <conditionalFormatting sqref="P83">
    <cfRule type="cellIs" dxfId="23927" priority="3076" operator="greaterThan">
      <formula>0</formula>
    </cfRule>
  </conditionalFormatting>
  <conditionalFormatting sqref="Q83">
    <cfRule type="cellIs" dxfId="23926" priority="3075" operator="lessThan">
      <formula>0</formula>
    </cfRule>
  </conditionalFormatting>
  <conditionalFormatting sqref="R83">
    <cfRule type="cellIs" dxfId="23925" priority="3073" operator="lessThan">
      <formula>0.8</formula>
    </cfRule>
    <cfRule type="cellIs" dxfId="23924" priority="3074" operator="greaterThan">
      <formula>1</formula>
    </cfRule>
  </conditionalFormatting>
  <conditionalFormatting sqref="R83">
    <cfRule type="cellIs" dxfId="23923" priority="3071" operator="greaterThan">
      <formula>1</formula>
    </cfRule>
    <cfRule type="cellIs" dxfId="23922" priority="3072" operator="lessThan">
      <formula>0.8</formula>
    </cfRule>
  </conditionalFormatting>
  <conditionalFormatting sqref="P83">
    <cfRule type="cellIs" dxfId="23921" priority="3070" operator="greaterThan">
      <formula>0</formula>
    </cfRule>
  </conditionalFormatting>
  <conditionalFormatting sqref="Q83">
    <cfRule type="cellIs" dxfId="23920" priority="3069" operator="lessThan">
      <formula>0</formula>
    </cfRule>
  </conditionalFormatting>
  <conditionalFormatting sqref="R83">
    <cfRule type="cellIs" dxfId="23919" priority="3067" operator="lessThan">
      <formula>0.8</formula>
    </cfRule>
    <cfRule type="cellIs" dxfId="23918" priority="3068" operator="greaterThan">
      <formula>1</formula>
    </cfRule>
  </conditionalFormatting>
  <conditionalFormatting sqref="R83">
    <cfRule type="cellIs" dxfId="23917" priority="3065" operator="greaterThan">
      <formula>1</formula>
    </cfRule>
    <cfRule type="cellIs" dxfId="23916" priority="3066" operator="lessThan">
      <formula>0.8</formula>
    </cfRule>
  </conditionalFormatting>
  <conditionalFormatting sqref="P83">
    <cfRule type="cellIs" dxfId="23915" priority="3064" operator="greaterThan">
      <formula>0</formula>
    </cfRule>
  </conditionalFormatting>
  <conditionalFormatting sqref="Q83">
    <cfRule type="cellIs" dxfId="23914" priority="3063" operator="lessThan">
      <formula>0</formula>
    </cfRule>
  </conditionalFormatting>
  <conditionalFormatting sqref="R83">
    <cfRule type="cellIs" dxfId="23913" priority="3061" operator="lessThan">
      <formula>0.8</formula>
    </cfRule>
    <cfRule type="cellIs" dxfId="23912" priority="3062" operator="greaterThan">
      <formula>1</formula>
    </cfRule>
  </conditionalFormatting>
  <conditionalFormatting sqref="R83">
    <cfRule type="cellIs" dxfId="23911" priority="3059" operator="greaterThan">
      <formula>1</formula>
    </cfRule>
    <cfRule type="cellIs" dxfId="23910" priority="3060" operator="lessThan">
      <formula>0.8</formula>
    </cfRule>
  </conditionalFormatting>
  <conditionalFormatting sqref="P83">
    <cfRule type="cellIs" dxfId="23909" priority="3058" operator="greaterThan">
      <formula>0</formula>
    </cfRule>
  </conditionalFormatting>
  <conditionalFormatting sqref="P83">
    <cfRule type="cellIs" dxfId="23908" priority="3052" operator="greaterThan">
      <formula>0</formula>
    </cfRule>
  </conditionalFormatting>
  <conditionalFormatting sqref="Q83">
    <cfRule type="cellIs" dxfId="23907" priority="3057" operator="lessThan">
      <formula>0</formula>
    </cfRule>
  </conditionalFormatting>
  <conditionalFormatting sqref="R83">
    <cfRule type="cellIs" dxfId="23906" priority="3055" operator="lessThan">
      <formula>0.8</formula>
    </cfRule>
    <cfRule type="cellIs" dxfId="23905" priority="3056" operator="greaterThan">
      <formula>1</formula>
    </cfRule>
  </conditionalFormatting>
  <conditionalFormatting sqref="R83">
    <cfRule type="cellIs" dxfId="23904" priority="3053" operator="greaterThan">
      <formula>1</formula>
    </cfRule>
    <cfRule type="cellIs" dxfId="23903" priority="3054" operator="lessThan">
      <formula>0.8</formula>
    </cfRule>
  </conditionalFormatting>
  <conditionalFormatting sqref="P83">
    <cfRule type="cellIs" dxfId="23902" priority="3046" operator="greaterThan">
      <formula>0</formula>
    </cfRule>
  </conditionalFormatting>
  <conditionalFormatting sqref="Q83">
    <cfRule type="cellIs" dxfId="23901" priority="3051" operator="lessThan">
      <formula>0</formula>
    </cfRule>
  </conditionalFormatting>
  <conditionalFormatting sqref="R83">
    <cfRule type="cellIs" dxfId="23900" priority="3049" operator="lessThan">
      <formula>0.8</formula>
    </cfRule>
    <cfRule type="cellIs" dxfId="23899" priority="3050" operator="greaterThan">
      <formula>1</formula>
    </cfRule>
  </conditionalFormatting>
  <conditionalFormatting sqref="R83">
    <cfRule type="cellIs" dxfId="23898" priority="3047" operator="greaterThan">
      <formula>1</formula>
    </cfRule>
    <cfRule type="cellIs" dxfId="23897" priority="3048" operator="lessThan">
      <formula>0.8</formula>
    </cfRule>
  </conditionalFormatting>
  <conditionalFormatting sqref="R83">
    <cfRule type="cellIs" dxfId="23896" priority="3043" operator="lessThan">
      <formula>0.8</formula>
    </cfRule>
    <cfRule type="cellIs" dxfId="23895" priority="3044" operator="greaterThan">
      <formula>1</formula>
    </cfRule>
  </conditionalFormatting>
  <conditionalFormatting sqref="R83">
    <cfRule type="cellIs" dxfId="23894" priority="3041" operator="greaterThan">
      <formula>1</formula>
    </cfRule>
    <cfRule type="cellIs" dxfId="23893" priority="3042" operator="lessThan">
      <formula>0.8</formula>
    </cfRule>
  </conditionalFormatting>
  <conditionalFormatting sqref="P83">
    <cfRule type="cellIs" dxfId="23892" priority="3040" operator="greaterThan">
      <formula>0</formula>
    </cfRule>
  </conditionalFormatting>
  <conditionalFormatting sqref="Q83">
    <cfRule type="cellIs" dxfId="23891" priority="3045" operator="lessThan">
      <formula>0</formula>
    </cfRule>
  </conditionalFormatting>
  <conditionalFormatting sqref="Q83">
    <cfRule type="cellIs" dxfId="23890" priority="3039" operator="lessThan">
      <formula>0</formula>
    </cfRule>
  </conditionalFormatting>
  <conditionalFormatting sqref="R83">
    <cfRule type="cellIs" dxfId="23889" priority="3037" operator="lessThan">
      <formula>0.8</formula>
    </cfRule>
    <cfRule type="cellIs" dxfId="23888" priority="3038" operator="greaterThan">
      <formula>1</formula>
    </cfRule>
  </conditionalFormatting>
  <conditionalFormatting sqref="R83">
    <cfRule type="cellIs" dxfId="23887" priority="3035" operator="greaterThan">
      <formula>1</formula>
    </cfRule>
    <cfRule type="cellIs" dxfId="23886" priority="3036" operator="lessThan">
      <formula>0.8</formula>
    </cfRule>
  </conditionalFormatting>
  <conditionalFormatting sqref="P83">
    <cfRule type="cellIs" dxfId="23885" priority="3034" operator="greaterThan">
      <formula>0</formula>
    </cfRule>
  </conditionalFormatting>
  <conditionalFormatting sqref="P83">
    <cfRule type="cellIs" dxfId="23884" priority="3028" operator="greaterThan">
      <formula>0</formula>
    </cfRule>
  </conditionalFormatting>
  <conditionalFormatting sqref="Q83">
    <cfRule type="cellIs" dxfId="23883" priority="3033" operator="lessThan">
      <formula>0</formula>
    </cfRule>
  </conditionalFormatting>
  <conditionalFormatting sqref="R83">
    <cfRule type="cellIs" dxfId="23882" priority="3031" operator="lessThan">
      <formula>0.8</formula>
    </cfRule>
    <cfRule type="cellIs" dxfId="23881" priority="3032" operator="greaterThan">
      <formula>1</formula>
    </cfRule>
  </conditionalFormatting>
  <conditionalFormatting sqref="R83">
    <cfRule type="cellIs" dxfId="23880" priority="3029" operator="greaterThan">
      <formula>1</formula>
    </cfRule>
    <cfRule type="cellIs" dxfId="23879" priority="3030" operator="lessThan">
      <formula>0.8</formula>
    </cfRule>
  </conditionalFormatting>
  <conditionalFormatting sqref="P83">
    <cfRule type="cellIs" dxfId="23878" priority="3022" operator="greaterThan">
      <formula>0</formula>
    </cfRule>
  </conditionalFormatting>
  <conditionalFormatting sqref="Q83">
    <cfRule type="cellIs" dxfId="23877" priority="3027" operator="lessThan">
      <formula>0</formula>
    </cfRule>
  </conditionalFormatting>
  <conditionalFormatting sqref="R83">
    <cfRule type="cellIs" dxfId="23876" priority="3025" operator="lessThan">
      <formula>0.8</formula>
    </cfRule>
    <cfRule type="cellIs" dxfId="23875" priority="3026" operator="greaterThan">
      <formula>1</formula>
    </cfRule>
  </conditionalFormatting>
  <conditionalFormatting sqref="R83">
    <cfRule type="cellIs" dxfId="23874" priority="3023" operator="greaterThan">
      <formula>1</formula>
    </cfRule>
    <cfRule type="cellIs" dxfId="23873" priority="3024" operator="lessThan">
      <formula>0.8</formula>
    </cfRule>
  </conditionalFormatting>
  <conditionalFormatting sqref="R83">
    <cfRule type="cellIs" dxfId="23872" priority="3019" operator="lessThan">
      <formula>0.8</formula>
    </cfRule>
    <cfRule type="cellIs" dxfId="23871" priority="3020" operator="greaterThan">
      <formula>1</formula>
    </cfRule>
  </conditionalFormatting>
  <conditionalFormatting sqref="R83">
    <cfRule type="cellIs" dxfId="23870" priority="3017" operator="greaterThan">
      <formula>1</formula>
    </cfRule>
    <cfRule type="cellIs" dxfId="23869" priority="3018" operator="lessThan">
      <formula>0.8</formula>
    </cfRule>
  </conditionalFormatting>
  <conditionalFormatting sqref="P83">
    <cfRule type="cellIs" dxfId="23868" priority="3016" operator="greaterThan">
      <formula>0</formula>
    </cfRule>
  </conditionalFormatting>
  <conditionalFormatting sqref="Q83">
    <cfRule type="cellIs" dxfId="23867" priority="3021" operator="lessThan">
      <formula>0</formula>
    </cfRule>
  </conditionalFormatting>
  <conditionalFormatting sqref="P83">
    <cfRule type="cellIs" dxfId="23866" priority="3010" operator="greaterThan">
      <formula>0</formula>
    </cfRule>
  </conditionalFormatting>
  <conditionalFormatting sqref="Q83">
    <cfRule type="cellIs" dxfId="23865" priority="3015" operator="lessThan">
      <formula>0</formula>
    </cfRule>
  </conditionalFormatting>
  <conditionalFormatting sqref="R83">
    <cfRule type="cellIs" dxfId="23864" priority="3013" operator="lessThan">
      <formula>0.8</formula>
    </cfRule>
    <cfRule type="cellIs" dxfId="23863" priority="3014" operator="greaterThan">
      <formula>1</formula>
    </cfRule>
  </conditionalFormatting>
  <conditionalFormatting sqref="R83">
    <cfRule type="cellIs" dxfId="23862" priority="3011" operator="greaterThan">
      <formula>1</formula>
    </cfRule>
    <cfRule type="cellIs" dxfId="23861" priority="3012" operator="lessThan">
      <formula>0.8</formula>
    </cfRule>
  </conditionalFormatting>
  <conditionalFormatting sqref="R83">
    <cfRule type="cellIs" dxfId="23860" priority="3007" operator="lessThan">
      <formula>0.8</formula>
    </cfRule>
    <cfRule type="cellIs" dxfId="23859" priority="3008" operator="greaterThan">
      <formula>1</formula>
    </cfRule>
  </conditionalFormatting>
  <conditionalFormatting sqref="R83">
    <cfRule type="cellIs" dxfId="23858" priority="3005" operator="greaterThan">
      <formula>1</formula>
    </cfRule>
    <cfRule type="cellIs" dxfId="23857" priority="3006" operator="lessThan">
      <formula>0.8</formula>
    </cfRule>
  </conditionalFormatting>
  <conditionalFormatting sqref="P83">
    <cfRule type="cellIs" dxfId="23856" priority="3004" operator="greaterThan">
      <formula>0</formula>
    </cfRule>
  </conditionalFormatting>
  <conditionalFormatting sqref="Q83">
    <cfRule type="cellIs" dxfId="23855" priority="3009" operator="lessThan">
      <formula>0</formula>
    </cfRule>
  </conditionalFormatting>
  <conditionalFormatting sqref="R83">
    <cfRule type="cellIs" dxfId="23854" priority="3001" operator="lessThan">
      <formula>0.8</formula>
    </cfRule>
    <cfRule type="cellIs" dxfId="23853" priority="3002" operator="greaterThan">
      <formula>1</formula>
    </cfRule>
  </conditionalFormatting>
  <conditionalFormatting sqref="R83">
    <cfRule type="cellIs" dxfId="23852" priority="2999" operator="greaterThan">
      <formula>1</formula>
    </cfRule>
    <cfRule type="cellIs" dxfId="23851" priority="3000" operator="lessThan">
      <formula>0.8</formula>
    </cfRule>
  </conditionalFormatting>
  <conditionalFormatting sqref="P83">
    <cfRule type="cellIs" dxfId="23850" priority="2998" operator="greaterThan">
      <formula>0</formula>
    </cfRule>
  </conditionalFormatting>
  <conditionalFormatting sqref="Q83">
    <cfRule type="cellIs" dxfId="23849" priority="3003" operator="lessThan">
      <formula>0</formula>
    </cfRule>
  </conditionalFormatting>
  <conditionalFormatting sqref="Q83">
    <cfRule type="cellIs" dxfId="23848" priority="2997" operator="lessThan">
      <formula>0</formula>
    </cfRule>
  </conditionalFormatting>
  <conditionalFormatting sqref="R83">
    <cfRule type="cellIs" dxfId="23847" priority="2995" operator="lessThan">
      <formula>0.8</formula>
    </cfRule>
    <cfRule type="cellIs" dxfId="23846" priority="2996" operator="greaterThan">
      <formula>1</formula>
    </cfRule>
  </conditionalFormatting>
  <conditionalFormatting sqref="R83">
    <cfRule type="cellIs" dxfId="23845" priority="2993" operator="greaterThan">
      <formula>1</formula>
    </cfRule>
    <cfRule type="cellIs" dxfId="23844" priority="2994" operator="lessThan">
      <formula>0.8</formula>
    </cfRule>
  </conditionalFormatting>
  <conditionalFormatting sqref="P83">
    <cfRule type="cellIs" dxfId="23843" priority="2992" operator="greaterThan">
      <formula>0</formula>
    </cfRule>
  </conditionalFormatting>
  <conditionalFormatting sqref="Q83">
    <cfRule type="cellIs" dxfId="23842" priority="2986" operator="lessThan">
      <formula>0</formula>
    </cfRule>
  </conditionalFormatting>
  <conditionalFormatting sqref="R83">
    <cfRule type="cellIs" dxfId="23841" priority="2990" operator="lessThan">
      <formula>0.8</formula>
    </cfRule>
    <cfRule type="cellIs" dxfId="23840" priority="2991" operator="greaterThan">
      <formula>1</formula>
    </cfRule>
  </conditionalFormatting>
  <conditionalFormatting sqref="R83">
    <cfRule type="cellIs" dxfId="23839" priority="2988" operator="greaterThan">
      <formula>1</formula>
    </cfRule>
    <cfRule type="cellIs" dxfId="23838" priority="2989" operator="lessThan">
      <formula>0.8</formula>
    </cfRule>
  </conditionalFormatting>
  <conditionalFormatting sqref="P83">
    <cfRule type="cellIs" dxfId="23837" priority="2987" operator="greaterThan">
      <formula>0</formula>
    </cfRule>
  </conditionalFormatting>
  <conditionalFormatting sqref="Q83">
    <cfRule type="cellIs" dxfId="23836" priority="2985" operator="lessThan">
      <formula>0</formula>
    </cfRule>
  </conditionalFormatting>
  <conditionalFormatting sqref="R83">
    <cfRule type="cellIs" dxfId="23835" priority="2983" operator="lessThan">
      <formula>0.8</formula>
    </cfRule>
    <cfRule type="cellIs" dxfId="23834" priority="2984" operator="greaterThan">
      <formula>1</formula>
    </cfRule>
  </conditionalFormatting>
  <conditionalFormatting sqref="R83">
    <cfRule type="cellIs" dxfId="23833" priority="2981" operator="greaterThan">
      <formula>1</formula>
    </cfRule>
    <cfRule type="cellIs" dxfId="23832" priority="2982" operator="lessThan">
      <formula>0.8</formula>
    </cfRule>
  </conditionalFormatting>
  <conditionalFormatting sqref="P83">
    <cfRule type="cellIs" dxfId="23831" priority="2980" operator="greaterThan">
      <formula>0</formula>
    </cfRule>
  </conditionalFormatting>
  <conditionalFormatting sqref="Q83">
    <cfRule type="cellIs" dxfId="23830" priority="2979" operator="lessThan">
      <formula>0</formula>
    </cfRule>
  </conditionalFormatting>
  <conditionalFormatting sqref="R83">
    <cfRule type="cellIs" dxfId="23829" priority="2977" operator="lessThan">
      <formula>0.8</formula>
    </cfRule>
    <cfRule type="cellIs" dxfId="23828" priority="2978" operator="greaterThan">
      <formula>1</formula>
    </cfRule>
  </conditionalFormatting>
  <conditionalFormatting sqref="R83">
    <cfRule type="cellIs" dxfId="23827" priority="2975" operator="greaterThan">
      <formula>1</formula>
    </cfRule>
    <cfRule type="cellIs" dxfId="23826" priority="2976" operator="lessThan">
      <formula>0.8</formula>
    </cfRule>
  </conditionalFormatting>
  <conditionalFormatting sqref="P83">
    <cfRule type="cellIs" dxfId="23825" priority="2974" operator="greaterThan">
      <formula>0</formula>
    </cfRule>
  </conditionalFormatting>
  <conditionalFormatting sqref="Q83">
    <cfRule type="cellIs" dxfId="23824" priority="2973" operator="lessThan">
      <formula>0</formula>
    </cfRule>
  </conditionalFormatting>
  <conditionalFormatting sqref="R83">
    <cfRule type="cellIs" dxfId="23823" priority="2971" operator="lessThan">
      <formula>0.8</formula>
    </cfRule>
    <cfRule type="cellIs" dxfId="23822" priority="2972" operator="greaterThan">
      <formula>1</formula>
    </cfRule>
  </conditionalFormatting>
  <conditionalFormatting sqref="R83">
    <cfRule type="cellIs" dxfId="23821" priority="2969" operator="greaterThan">
      <formula>1</formula>
    </cfRule>
    <cfRule type="cellIs" dxfId="23820" priority="2970" operator="lessThan">
      <formula>0.8</formula>
    </cfRule>
  </conditionalFormatting>
  <conditionalFormatting sqref="P83">
    <cfRule type="cellIs" dxfId="23819" priority="2968" operator="greaterThan">
      <formula>0</formula>
    </cfRule>
  </conditionalFormatting>
  <conditionalFormatting sqref="Q83">
    <cfRule type="cellIs" dxfId="23818" priority="2967" operator="lessThan">
      <formula>0</formula>
    </cfRule>
  </conditionalFormatting>
  <conditionalFormatting sqref="R83">
    <cfRule type="cellIs" dxfId="23817" priority="2965" operator="lessThan">
      <formula>0.8</formula>
    </cfRule>
    <cfRule type="cellIs" dxfId="23816" priority="2966" operator="greaterThan">
      <formula>1</formula>
    </cfRule>
  </conditionalFormatting>
  <conditionalFormatting sqref="R83">
    <cfRule type="cellIs" dxfId="23815" priority="2963" operator="greaterThan">
      <formula>1</formula>
    </cfRule>
    <cfRule type="cellIs" dxfId="23814" priority="2964" operator="lessThan">
      <formula>0.8</formula>
    </cfRule>
  </conditionalFormatting>
  <conditionalFormatting sqref="P83">
    <cfRule type="cellIs" dxfId="23813" priority="2962" operator="greaterThan">
      <formula>0</formula>
    </cfRule>
  </conditionalFormatting>
  <conditionalFormatting sqref="Q83">
    <cfRule type="cellIs" dxfId="23812" priority="2961" operator="lessThan">
      <formula>0</formula>
    </cfRule>
  </conditionalFormatting>
  <conditionalFormatting sqref="R83">
    <cfRule type="cellIs" dxfId="23811" priority="2959" operator="lessThan">
      <formula>0.8</formula>
    </cfRule>
    <cfRule type="cellIs" dxfId="23810" priority="2960" operator="greaterThan">
      <formula>1</formula>
    </cfRule>
  </conditionalFormatting>
  <conditionalFormatting sqref="R83">
    <cfRule type="cellIs" dxfId="23809" priority="2957" operator="greaterThan">
      <formula>1</formula>
    </cfRule>
    <cfRule type="cellIs" dxfId="23808" priority="2958" operator="lessThan">
      <formula>0.8</formula>
    </cfRule>
  </conditionalFormatting>
  <conditionalFormatting sqref="P83">
    <cfRule type="cellIs" dxfId="23807" priority="2956" operator="greaterThan">
      <formula>0</formula>
    </cfRule>
  </conditionalFormatting>
  <conditionalFormatting sqref="P83">
    <cfRule type="cellIs" dxfId="23806" priority="2950" operator="greaterThan">
      <formula>0</formula>
    </cfRule>
  </conditionalFormatting>
  <conditionalFormatting sqref="Q83">
    <cfRule type="cellIs" dxfId="23805" priority="2955" operator="lessThan">
      <formula>0</formula>
    </cfRule>
  </conditionalFormatting>
  <conditionalFormatting sqref="R83">
    <cfRule type="cellIs" dxfId="23804" priority="2953" operator="lessThan">
      <formula>0.8</formula>
    </cfRule>
    <cfRule type="cellIs" dxfId="23803" priority="2954" operator="greaterThan">
      <formula>1</formula>
    </cfRule>
  </conditionalFormatting>
  <conditionalFormatting sqref="R83">
    <cfRule type="cellIs" dxfId="23802" priority="2951" operator="greaterThan">
      <formula>1</formula>
    </cfRule>
    <cfRule type="cellIs" dxfId="23801" priority="2952" operator="lessThan">
      <formula>0.8</formula>
    </cfRule>
  </conditionalFormatting>
  <conditionalFormatting sqref="P83">
    <cfRule type="cellIs" dxfId="23800" priority="2944" operator="greaterThan">
      <formula>0</formula>
    </cfRule>
  </conditionalFormatting>
  <conditionalFormatting sqref="Q83">
    <cfRule type="cellIs" dxfId="23799" priority="2949" operator="lessThan">
      <formula>0</formula>
    </cfRule>
  </conditionalFormatting>
  <conditionalFormatting sqref="R83">
    <cfRule type="cellIs" dxfId="23798" priority="2947" operator="lessThan">
      <formula>0.8</formula>
    </cfRule>
    <cfRule type="cellIs" dxfId="23797" priority="2948" operator="greaterThan">
      <formula>1</formula>
    </cfRule>
  </conditionalFormatting>
  <conditionalFormatting sqref="R83">
    <cfRule type="cellIs" dxfId="23796" priority="2945" operator="greaterThan">
      <formula>1</formula>
    </cfRule>
    <cfRule type="cellIs" dxfId="23795" priority="2946" operator="lessThan">
      <formula>0.8</formula>
    </cfRule>
  </conditionalFormatting>
  <conditionalFormatting sqref="R83">
    <cfRule type="cellIs" dxfId="23794" priority="2941" operator="lessThan">
      <formula>0.8</formula>
    </cfRule>
    <cfRule type="cellIs" dxfId="23793" priority="2942" operator="greaterThan">
      <formula>1</formula>
    </cfRule>
  </conditionalFormatting>
  <conditionalFormatting sqref="R83">
    <cfRule type="cellIs" dxfId="23792" priority="2939" operator="greaterThan">
      <formula>1</formula>
    </cfRule>
    <cfRule type="cellIs" dxfId="23791" priority="2940" operator="lessThan">
      <formula>0.8</formula>
    </cfRule>
  </conditionalFormatting>
  <conditionalFormatting sqref="P83">
    <cfRule type="cellIs" dxfId="23790" priority="2938" operator="greaterThan">
      <formula>0</formula>
    </cfRule>
  </conditionalFormatting>
  <conditionalFormatting sqref="Q83">
    <cfRule type="cellIs" dxfId="23789" priority="2943" operator="lessThan">
      <formula>0</formula>
    </cfRule>
  </conditionalFormatting>
  <conditionalFormatting sqref="Q83">
    <cfRule type="cellIs" dxfId="23788" priority="2937" operator="lessThan">
      <formula>0</formula>
    </cfRule>
  </conditionalFormatting>
  <conditionalFormatting sqref="R83">
    <cfRule type="cellIs" dxfId="23787" priority="2935" operator="lessThan">
      <formula>0.8</formula>
    </cfRule>
    <cfRule type="cellIs" dxfId="23786" priority="2936" operator="greaterThan">
      <formula>1</formula>
    </cfRule>
  </conditionalFormatting>
  <conditionalFormatting sqref="R83">
    <cfRule type="cellIs" dxfId="23785" priority="2933" operator="greaterThan">
      <formula>1</formula>
    </cfRule>
    <cfRule type="cellIs" dxfId="23784" priority="2934" operator="lessThan">
      <formula>0.8</formula>
    </cfRule>
  </conditionalFormatting>
  <conditionalFormatting sqref="P83">
    <cfRule type="cellIs" dxfId="23783" priority="2932" operator="greaterThan">
      <formula>0</formula>
    </cfRule>
  </conditionalFormatting>
  <conditionalFormatting sqref="Q83">
    <cfRule type="cellIs" dxfId="23782" priority="2931" operator="lessThan">
      <formula>0</formula>
    </cfRule>
  </conditionalFormatting>
  <conditionalFormatting sqref="R83">
    <cfRule type="cellIs" dxfId="23781" priority="2929" operator="lessThan">
      <formula>0.8</formula>
    </cfRule>
    <cfRule type="cellIs" dxfId="23780" priority="2930" operator="greaterThan">
      <formula>1</formula>
    </cfRule>
  </conditionalFormatting>
  <conditionalFormatting sqref="R83">
    <cfRule type="cellIs" dxfId="23779" priority="2927" operator="greaterThan">
      <formula>1</formula>
    </cfRule>
    <cfRule type="cellIs" dxfId="23778" priority="2928" operator="lessThan">
      <formula>0.8</formula>
    </cfRule>
  </conditionalFormatting>
  <conditionalFormatting sqref="P83">
    <cfRule type="cellIs" dxfId="23777" priority="2926" operator="greaterThan">
      <formula>0</formula>
    </cfRule>
  </conditionalFormatting>
  <conditionalFormatting sqref="Q83">
    <cfRule type="cellIs" dxfId="23776" priority="2925" operator="lessThan">
      <formula>0</formula>
    </cfRule>
  </conditionalFormatting>
  <conditionalFormatting sqref="R83">
    <cfRule type="cellIs" dxfId="23775" priority="2923" operator="lessThan">
      <formula>0.8</formula>
    </cfRule>
    <cfRule type="cellIs" dxfId="23774" priority="2924" operator="greaterThan">
      <formula>1</formula>
    </cfRule>
  </conditionalFormatting>
  <conditionalFormatting sqref="R83">
    <cfRule type="cellIs" dxfId="23773" priority="2921" operator="greaterThan">
      <formula>1</formula>
    </cfRule>
    <cfRule type="cellIs" dxfId="23772" priority="2922" operator="lessThan">
      <formula>0.8</formula>
    </cfRule>
  </conditionalFormatting>
  <conditionalFormatting sqref="P83">
    <cfRule type="cellIs" dxfId="23771" priority="2920" operator="greaterThan">
      <formula>0</formula>
    </cfRule>
  </conditionalFormatting>
  <conditionalFormatting sqref="Q83">
    <cfRule type="cellIs" dxfId="23770" priority="2919" operator="lessThan">
      <formula>0</formula>
    </cfRule>
  </conditionalFormatting>
  <conditionalFormatting sqref="R83">
    <cfRule type="cellIs" dxfId="23769" priority="2917" operator="lessThan">
      <formula>0.8</formula>
    </cfRule>
    <cfRule type="cellIs" dxfId="23768" priority="2918" operator="greaterThan">
      <formula>1</formula>
    </cfRule>
  </conditionalFormatting>
  <conditionalFormatting sqref="R83">
    <cfRule type="cellIs" dxfId="23767" priority="2915" operator="greaterThan">
      <formula>1</formula>
    </cfRule>
    <cfRule type="cellIs" dxfId="23766" priority="2916" operator="lessThan">
      <formula>0.8</formula>
    </cfRule>
  </conditionalFormatting>
  <conditionalFormatting sqref="P83">
    <cfRule type="cellIs" dxfId="23765" priority="2914" operator="greaterThan">
      <formula>0</formula>
    </cfRule>
  </conditionalFormatting>
  <conditionalFormatting sqref="P83">
    <cfRule type="cellIs" dxfId="23764" priority="2908" operator="greaterThan">
      <formula>0</formula>
    </cfRule>
  </conditionalFormatting>
  <conditionalFormatting sqref="Q83">
    <cfRule type="cellIs" dxfId="23763" priority="2913" operator="lessThan">
      <formula>0</formula>
    </cfRule>
  </conditionalFormatting>
  <conditionalFormatting sqref="R83">
    <cfRule type="cellIs" dxfId="23762" priority="2911" operator="lessThan">
      <formula>0.8</formula>
    </cfRule>
    <cfRule type="cellIs" dxfId="23761" priority="2912" operator="greaterThan">
      <formula>1</formula>
    </cfRule>
  </conditionalFormatting>
  <conditionalFormatting sqref="R83">
    <cfRule type="cellIs" dxfId="23760" priority="2909" operator="greaterThan">
      <formula>1</formula>
    </cfRule>
    <cfRule type="cellIs" dxfId="23759" priority="2910" operator="lessThan">
      <formula>0.8</formula>
    </cfRule>
  </conditionalFormatting>
  <conditionalFormatting sqref="P83">
    <cfRule type="cellIs" dxfId="23758" priority="2902" operator="greaterThan">
      <formula>0</formula>
    </cfRule>
  </conditionalFormatting>
  <conditionalFormatting sqref="Q83">
    <cfRule type="cellIs" dxfId="23757" priority="2907" operator="lessThan">
      <formula>0</formula>
    </cfRule>
  </conditionalFormatting>
  <conditionalFormatting sqref="R83">
    <cfRule type="cellIs" dxfId="23756" priority="2905" operator="lessThan">
      <formula>0.8</formula>
    </cfRule>
    <cfRule type="cellIs" dxfId="23755" priority="2906" operator="greaterThan">
      <formula>1</formula>
    </cfRule>
  </conditionalFormatting>
  <conditionalFormatting sqref="R83">
    <cfRule type="cellIs" dxfId="23754" priority="2903" operator="greaterThan">
      <formula>1</formula>
    </cfRule>
    <cfRule type="cellIs" dxfId="23753" priority="2904" operator="lessThan">
      <formula>0.8</formula>
    </cfRule>
  </conditionalFormatting>
  <conditionalFormatting sqref="R83">
    <cfRule type="cellIs" dxfId="23752" priority="2899" operator="lessThan">
      <formula>0.8</formula>
    </cfRule>
    <cfRule type="cellIs" dxfId="23751" priority="2900" operator="greaterThan">
      <formula>1</formula>
    </cfRule>
  </conditionalFormatting>
  <conditionalFormatting sqref="R83">
    <cfRule type="cellIs" dxfId="23750" priority="2897" operator="greaterThan">
      <formula>1</formula>
    </cfRule>
    <cfRule type="cellIs" dxfId="23749" priority="2898" operator="lessThan">
      <formula>0.8</formula>
    </cfRule>
  </conditionalFormatting>
  <conditionalFormatting sqref="P83">
    <cfRule type="cellIs" dxfId="23748" priority="2896" operator="greaterThan">
      <formula>0</formula>
    </cfRule>
  </conditionalFormatting>
  <conditionalFormatting sqref="Q83">
    <cfRule type="cellIs" dxfId="23747" priority="2901" operator="lessThan">
      <formula>0</formula>
    </cfRule>
  </conditionalFormatting>
  <conditionalFormatting sqref="Q83">
    <cfRule type="cellIs" dxfId="23746" priority="2895" operator="lessThan">
      <formula>0</formula>
    </cfRule>
  </conditionalFormatting>
  <conditionalFormatting sqref="R83">
    <cfRule type="cellIs" dxfId="23745" priority="2893" operator="lessThan">
      <formula>0.8</formula>
    </cfRule>
    <cfRule type="cellIs" dxfId="23744" priority="2894" operator="greaterThan">
      <formula>1</formula>
    </cfRule>
  </conditionalFormatting>
  <conditionalFormatting sqref="R83">
    <cfRule type="cellIs" dxfId="23743" priority="2891" operator="greaterThan">
      <formula>1</formula>
    </cfRule>
    <cfRule type="cellIs" dxfId="23742" priority="2892" operator="lessThan">
      <formula>0.8</formula>
    </cfRule>
  </conditionalFormatting>
  <conditionalFormatting sqref="P83">
    <cfRule type="cellIs" dxfId="23741" priority="2890" operator="greaterThan">
      <formula>0</formula>
    </cfRule>
  </conditionalFormatting>
  <conditionalFormatting sqref="P83">
    <cfRule type="cellIs" dxfId="23740" priority="2884" operator="greaterThan">
      <formula>0</formula>
    </cfRule>
  </conditionalFormatting>
  <conditionalFormatting sqref="Q83">
    <cfRule type="cellIs" dxfId="23739" priority="2889" operator="lessThan">
      <formula>0</formula>
    </cfRule>
  </conditionalFormatting>
  <conditionalFormatting sqref="R83">
    <cfRule type="cellIs" dxfId="23738" priority="2887" operator="lessThan">
      <formula>0.8</formula>
    </cfRule>
    <cfRule type="cellIs" dxfId="23737" priority="2888" operator="greaterThan">
      <formula>1</formula>
    </cfRule>
  </conditionalFormatting>
  <conditionalFormatting sqref="R83">
    <cfRule type="cellIs" dxfId="23736" priority="2885" operator="greaterThan">
      <formula>1</formula>
    </cfRule>
    <cfRule type="cellIs" dxfId="23735" priority="2886" operator="lessThan">
      <formula>0.8</formula>
    </cfRule>
  </conditionalFormatting>
  <conditionalFormatting sqref="P83">
    <cfRule type="cellIs" dxfId="23734" priority="2878" operator="greaterThan">
      <formula>0</formula>
    </cfRule>
  </conditionalFormatting>
  <conditionalFormatting sqref="Q83">
    <cfRule type="cellIs" dxfId="23733" priority="2883" operator="lessThan">
      <formula>0</formula>
    </cfRule>
  </conditionalFormatting>
  <conditionalFormatting sqref="R83">
    <cfRule type="cellIs" dxfId="23732" priority="2881" operator="lessThan">
      <formula>0.8</formula>
    </cfRule>
    <cfRule type="cellIs" dxfId="23731" priority="2882" operator="greaterThan">
      <formula>1</formula>
    </cfRule>
  </conditionalFormatting>
  <conditionalFormatting sqref="R83">
    <cfRule type="cellIs" dxfId="23730" priority="2879" operator="greaterThan">
      <formula>1</formula>
    </cfRule>
    <cfRule type="cellIs" dxfId="23729" priority="2880" operator="lessThan">
      <formula>0.8</formula>
    </cfRule>
  </conditionalFormatting>
  <conditionalFormatting sqref="R83">
    <cfRule type="cellIs" dxfId="23728" priority="2875" operator="lessThan">
      <formula>0.8</formula>
    </cfRule>
    <cfRule type="cellIs" dxfId="23727" priority="2876" operator="greaterThan">
      <formula>1</formula>
    </cfRule>
  </conditionalFormatting>
  <conditionalFormatting sqref="R83">
    <cfRule type="cellIs" dxfId="23726" priority="2873" operator="greaterThan">
      <formula>1</formula>
    </cfRule>
    <cfRule type="cellIs" dxfId="23725" priority="2874" operator="lessThan">
      <formula>0.8</formula>
    </cfRule>
  </conditionalFormatting>
  <conditionalFormatting sqref="P83">
    <cfRule type="cellIs" dxfId="23724" priority="2872" operator="greaterThan">
      <formula>0</formula>
    </cfRule>
  </conditionalFormatting>
  <conditionalFormatting sqref="Q83">
    <cfRule type="cellIs" dxfId="23723" priority="2877" operator="lessThan">
      <formula>0</formula>
    </cfRule>
  </conditionalFormatting>
  <conditionalFormatting sqref="P83">
    <cfRule type="cellIs" dxfId="23722" priority="2866" operator="greaterThan">
      <formula>0</formula>
    </cfRule>
  </conditionalFormatting>
  <conditionalFormatting sqref="Q83">
    <cfRule type="cellIs" dxfId="23721" priority="2871" operator="lessThan">
      <formula>0</formula>
    </cfRule>
  </conditionalFormatting>
  <conditionalFormatting sqref="R83">
    <cfRule type="cellIs" dxfId="23720" priority="2869" operator="lessThan">
      <formula>0.8</formula>
    </cfRule>
    <cfRule type="cellIs" dxfId="23719" priority="2870" operator="greaterThan">
      <formula>1</formula>
    </cfRule>
  </conditionalFormatting>
  <conditionalFormatting sqref="R83">
    <cfRule type="cellIs" dxfId="23718" priority="2867" operator="greaterThan">
      <formula>1</formula>
    </cfRule>
    <cfRule type="cellIs" dxfId="23717" priority="2868" operator="lessThan">
      <formula>0.8</formula>
    </cfRule>
  </conditionalFormatting>
  <conditionalFormatting sqref="R83">
    <cfRule type="cellIs" dxfId="23716" priority="2863" operator="lessThan">
      <formula>0.8</formula>
    </cfRule>
    <cfRule type="cellIs" dxfId="23715" priority="2864" operator="greaterThan">
      <formula>1</formula>
    </cfRule>
  </conditionalFormatting>
  <conditionalFormatting sqref="R83">
    <cfRule type="cellIs" dxfId="23714" priority="2861" operator="greaterThan">
      <formula>1</formula>
    </cfRule>
    <cfRule type="cellIs" dxfId="23713" priority="2862" operator="lessThan">
      <formula>0.8</formula>
    </cfRule>
  </conditionalFormatting>
  <conditionalFormatting sqref="P83">
    <cfRule type="cellIs" dxfId="23712" priority="2860" operator="greaterThan">
      <formula>0</formula>
    </cfRule>
  </conditionalFormatting>
  <conditionalFormatting sqref="Q83">
    <cfRule type="cellIs" dxfId="23711" priority="2865" operator="lessThan">
      <formula>0</formula>
    </cfRule>
  </conditionalFormatting>
  <conditionalFormatting sqref="R83">
    <cfRule type="cellIs" dxfId="23710" priority="2857" operator="lessThan">
      <formula>0.8</formula>
    </cfRule>
    <cfRule type="cellIs" dxfId="23709" priority="2858" operator="greaterThan">
      <formula>1</formula>
    </cfRule>
  </conditionalFormatting>
  <conditionalFormatting sqref="R83">
    <cfRule type="cellIs" dxfId="23708" priority="2855" operator="greaterThan">
      <formula>1</formula>
    </cfRule>
    <cfRule type="cellIs" dxfId="23707" priority="2856" operator="lessThan">
      <formula>0.8</formula>
    </cfRule>
  </conditionalFormatting>
  <conditionalFormatting sqref="P83">
    <cfRule type="cellIs" dxfId="23706" priority="2854" operator="greaterThan">
      <formula>0</formula>
    </cfRule>
  </conditionalFormatting>
  <conditionalFormatting sqref="Q83">
    <cfRule type="cellIs" dxfId="23705" priority="2859" operator="lessThan">
      <formula>0</formula>
    </cfRule>
  </conditionalFormatting>
  <conditionalFormatting sqref="Q83">
    <cfRule type="cellIs" dxfId="23704" priority="2853" operator="lessThan">
      <formula>0</formula>
    </cfRule>
  </conditionalFormatting>
  <conditionalFormatting sqref="R83">
    <cfRule type="cellIs" dxfId="23703" priority="2851" operator="lessThan">
      <formula>0.8</formula>
    </cfRule>
    <cfRule type="cellIs" dxfId="23702" priority="2852" operator="greaterThan">
      <formula>1</formula>
    </cfRule>
  </conditionalFormatting>
  <conditionalFormatting sqref="R83">
    <cfRule type="cellIs" dxfId="23701" priority="2849" operator="greaterThan">
      <formula>1</formula>
    </cfRule>
    <cfRule type="cellIs" dxfId="23700" priority="2850" operator="lessThan">
      <formula>0.8</formula>
    </cfRule>
  </conditionalFormatting>
  <conditionalFormatting sqref="P83">
    <cfRule type="cellIs" dxfId="23699" priority="2848" operator="greaterThan">
      <formula>0</formula>
    </cfRule>
  </conditionalFormatting>
  <conditionalFormatting sqref="Q83">
    <cfRule type="cellIs" dxfId="23698" priority="2842" operator="lessThan">
      <formula>0</formula>
    </cfRule>
  </conditionalFormatting>
  <conditionalFormatting sqref="R83">
    <cfRule type="cellIs" dxfId="23697" priority="2846" operator="lessThan">
      <formula>0.8</formula>
    </cfRule>
    <cfRule type="cellIs" dxfId="23696" priority="2847" operator="greaterThan">
      <formula>1</formula>
    </cfRule>
  </conditionalFormatting>
  <conditionalFormatting sqref="R83">
    <cfRule type="cellIs" dxfId="23695" priority="2844" operator="greaterThan">
      <formula>1</formula>
    </cfRule>
    <cfRule type="cellIs" dxfId="23694" priority="2845" operator="lessThan">
      <formula>0.8</formula>
    </cfRule>
  </conditionalFormatting>
  <conditionalFormatting sqref="P83">
    <cfRule type="cellIs" dxfId="23693" priority="2843" operator="greaterThan">
      <formula>0</formula>
    </cfRule>
  </conditionalFormatting>
  <conditionalFormatting sqref="Q83">
    <cfRule type="cellIs" dxfId="23692" priority="2841" operator="lessThan">
      <formula>0</formula>
    </cfRule>
  </conditionalFormatting>
  <conditionalFormatting sqref="R83">
    <cfRule type="cellIs" dxfId="23691" priority="2839" operator="lessThan">
      <formula>0.8</formula>
    </cfRule>
    <cfRule type="cellIs" dxfId="23690" priority="2840" operator="greaterThan">
      <formula>1</formula>
    </cfRule>
  </conditionalFormatting>
  <conditionalFormatting sqref="R83">
    <cfRule type="cellIs" dxfId="23689" priority="2837" operator="greaterThan">
      <formula>1</formula>
    </cfRule>
    <cfRule type="cellIs" dxfId="23688" priority="2838" operator="lessThan">
      <formula>0.8</formula>
    </cfRule>
  </conditionalFormatting>
  <conditionalFormatting sqref="P83">
    <cfRule type="cellIs" dxfId="23687" priority="2836" operator="greaterThan">
      <formula>0</formula>
    </cfRule>
  </conditionalFormatting>
  <conditionalFormatting sqref="Q83">
    <cfRule type="cellIs" dxfId="23686" priority="2835" operator="lessThan">
      <formula>0</formula>
    </cfRule>
  </conditionalFormatting>
  <conditionalFormatting sqref="R83">
    <cfRule type="cellIs" dxfId="23685" priority="2833" operator="lessThan">
      <formula>0.8</formula>
    </cfRule>
    <cfRule type="cellIs" dxfId="23684" priority="2834" operator="greaterThan">
      <formula>1</formula>
    </cfRule>
  </conditionalFormatting>
  <conditionalFormatting sqref="R83">
    <cfRule type="cellIs" dxfId="23683" priority="2831" operator="greaterThan">
      <formula>1</formula>
    </cfRule>
    <cfRule type="cellIs" dxfId="23682" priority="2832" operator="lessThan">
      <formula>0.8</formula>
    </cfRule>
  </conditionalFormatting>
  <conditionalFormatting sqref="P83">
    <cfRule type="cellIs" dxfId="23681" priority="2830" operator="greaterThan">
      <formula>0</formula>
    </cfRule>
  </conditionalFormatting>
  <conditionalFormatting sqref="Q83">
    <cfRule type="cellIs" dxfId="23680" priority="2829" operator="lessThan">
      <formula>0</formula>
    </cfRule>
  </conditionalFormatting>
  <conditionalFormatting sqref="R83">
    <cfRule type="cellIs" dxfId="23679" priority="2827" operator="lessThan">
      <formula>0.8</formula>
    </cfRule>
    <cfRule type="cellIs" dxfId="23678" priority="2828" operator="greaterThan">
      <formula>1</formula>
    </cfRule>
  </conditionalFormatting>
  <conditionalFormatting sqref="R83">
    <cfRule type="cellIs" dxfId="23677" priority="2825" operator="greaterThan">
      <formula>1</formula>
    </cfRule>
    <cfRule type="cellIs" dxfId="23676" priority="2826" operator="lessThan">
      <formula>0.8</formula>
    </cfRule>
  </conditionalFormatting>
  <conditionalFormatting sqref="P83">
    <cfRule type="cellIs" dxfId="23675" priority="2824" operator="greaterThan">
      <formula>0</formula>
    </cfRule>
  </conditionalFormatting>
  <conditionalFormatting sqref="Q83">
    <cfRule type="cellIs" dxfId="23674" priority="2823" operator="lessThan">
      <formula>0</formula>
    </cfRule>
  </conditionalFormatting>
  <conditionalFormatting sqref="R83">
    <cfRule type="cellIs" dxfId="23673" priority="2821" operator="lessThan">
      <formula>0.8</formula>
    </cfRule>
    <cfRule type="cellIs" dxfId="23672" priority="2822" operator="greaterThan">
      <formula>1</formula>
    </cfRule>
  </conditionalFormatting>
  <conditionalFormatting sqref="R83">
    <cfRule type="cellIs" dxfId="23671" priority="2819" operator="greaterThan">
      <formula>1</formula>
    </cfRule>
    <cfRule type="cellIs" dxfId="23670" priority="2820" operator="lessThan">
      <formula>0.8</formula>
    </cfRule>
  </conditionalFormatting>
  <conditionalFormatting sqref="P83">
    <cfRule type="cellIs" dxfId="23669" priority="2818" operator="greaterThan">
      <formula>0</formula>
    </cfRule>
  </conditionalFormatting>
  <conditionalFormatting sqref="Q83">
    <cfRule type="cellIs" dxfId="23668" priority="2817" operator="lessThan">
      <formula>0</formula>
    </cfRule>
  </conditionalFormatting>
  <conditionalFormatting sqref="R83">
    <cfRule type="cellIs" dxfId="23667" priority="2815" operator="lessThan">
      <formula>0.8</formula>
    </cfRule>
    <cfRule type="cellIs" dxfId="23666" priority="2816" operator="greaterThan">
      <formula>1</formula>
    </cfRule>
  </conditionalFormatting>
  <conditionalFormatting sqref="R83">
    <cfRule type="cellIs" dxfId="23665" priority="2813" operator="greaterThan">
      <formula>1</formula>
    </cfRule>
    <cfRule type="cellIs" dxfId="23664" priority="2814" operator="lessThan">
      <formula>0.8</formula>
    </cfRule>
  </conditionalFormatting>
  <conditionalFormatting sqref="P83">
    <cfRule type="cellIs" dxfId="23663" priority="2812" operator="greaterThan">
      <formula>0</formula>
    </cfRule>
  </conditionalFormatting>
  <conditionalFormatting sqref="P83">
    <cfRule type="cellIs" dxfId="23662" priority="2806" operator="greaterThan">
      <formula>0</formula>
    </cfRule>
  </conditionalFormatting>
  <conditionalFormatting sqref="Q83">
    <cfRule type="cellIs" dxfId="23661" priority="2811" operator="lessThan">
      <formula>0</formula>
    </cfRule>
  </conditionalFormatting>
  <conditionalFormatting sqref="R83">
    <cfRule type="cellIs" dxfId="23660" priority="2809" operator="lessThan">
      <formula>0.8</formula>
    </cfRule>
    <cfRule type="cellIs" dxfId="23659" priority="2810" operator="greaterThan">
      <formula>1</formula>
    </cfRule>
  </conditionalFormatting>
  <conditionalFormatting sqref="R83">
    <cfRule type="cellIs" dxfId="23658" priority="2807" operator="greaterThan">
      <formula>1</formula>
    </cfRule>
    <cfRule type="cellIs" dxfId="23657" priority="2808" operator="lessThan">
      <formula>0.8</formula>
    </cfRule>
  </conditionalFormatting>
  <conditionalFormatting sqref="P83">
    <cfRule type="cellIs" dxfId="23656" priority="2800" operator="greaterThan">
      <formula>0</formula>
    </cfRule>
  </conditionalFormatting>
  <conditionalFormatting sqref="Q83">
    <cfRule type="cellIs" dxfId="23655" priority="2805" operator="lessThan">
      <formula>0</formula>
    </cfRule>
  </conditionalFormatting>
  <conditionalFormatting sqref="R83">
    <cfRule type="cellIs" dxfId="23654" priority="2803" operator="lessThan">
      <formula>0.8</formula>
    </cfRule>
    <cfRule type="cellIs" dxfId="23653" priority="2804" operator="greaterThan">
      <formula>1</formula>
    </cfRule>
  </conditionalFormatting>
  <conditionalFormatting sqref="R83">
    <cfRule type="cellIs" dxfId="23652" priority="2801" operator="greaterThan">
      <formula>1</formula>
    </cfRule>
    <cfRule type="cellIs" dxfId="23651" priority="2802" operator="lessThan">
      <formula>0.8</formula>
    </cfRule>
  </conditionalFormatting>
  <conditionalFormatting sqref="R83">
    <cfRule type="cellIs" dxfId="23650" priority="2797" operator="lessThan">
      <formula>0.8</formula>
    </cfRule>
    <cfRule type="cellIs" dxfId="23649" priority="2798" operator="greaterThan">
      <formula>1</formula>
    </cfRule>
  </conditionalFormatting>
  <conditionalFormatting sqref="R83">
    <cfRule type="cellIs" dxfId="23648" priority="2795" operator="greaterThan">
      <formula>1</formula>
    </cfRule>
    <cfRule type="cellIs" dxfId="23647" priority="2796" operator="lessThan">
      <formula>0.8</formula>
    </cfRule>
  </conditionalFormatting>
  <conditionalFormatting sqref="P83">
    <cfRule type="cellIs" dxfId="23646" priority="2794" operator="greaterThan">
      <formula>0</formula>
    </cfRule>
  </conditionalFormatting>
  <conditionalFormatting sqref="Q83">
    <cfRule type="cellIs" dxfId="23645" priority="2799" operator="lessThan">
      <formula>0</formula>
    </cfRule>
  </conditionalFormatting>
  <conditionalFormatting sqref="Q83">
    <cfRule type="cellIs" dxfId="23644" priority="2788" operator="lessThan">
      <formula>0</formula>
    </cfRule>
  </conditionalFormatting>
  <conditionalFormatting sqref="P83">
    <cfRule type="cellIs" dxfId="23643" priority="2789" operator="greaterThan">
      <formula>0</formula>
    </cfRule>
  </conditionalFormatting>
  <conditionalFormatting sqref="R83">
    <cfRule type="cellIs" dxfId="23642" priority="2792" operator="lessThan">
      <formula>0.8</formula>
    </cfRule>
    <cfRule type="cellIs" dxfId="23641" priority="2793" operator="greaterThan">
      <formula>1</formula>
    </cfRule>
  </conditionalFormatting>
  <conditionalFormatting sqref="R83">
    <cfRule type="cellIs" dxfId="23640" priority="2790" operator="greaterThan">
      <formula>1</formula>
    </cfRule>
    <cfRule type="cellIs" dxfId="23639" priority="2791" operator="lessThan">
      <formula>0.8</formula>
    </cfRule>
  </conditionalFormatting>
  <conditionalFormatting sqref="Q83">
    <cfRule type="cellIs" dxfId="23638" priority="2782" operator="lessThan">
      <formula>0</formula>
    </cfRule>
  </conditionalFormatting>
  <conditionalFormatting sqref="R83">
    <cfRule type="cellIs" dxfId="23637" priority="2786" operator="lessThan">
      <formula>0.8</formula>
    </cfRule>
    <cfRule type="cellIs" dxfId="23636" priority="2787" operator="greaterThan">
      <formula>1</formula>
    </cfRule>
  </conditionalFormatting>
  <conditionalFormatting sqref="R83">
    <cfRule type="cellIs" dxfId="23635" priority="2784" operator="greaterThan">
      <formula>1</formula>
    </cfRule>
    <cfRule type="cellIs" dxfId="23634" priority="2785" operator="lessThan">
      <formula>0.8</formula>
    </cfRule>
  </conditionalFormatting>
  <conditionalFormatting sqref="P83">
    <cfRule type="cellIs" dxfId="23633" priority="2783" operator="greaterThan">
      <formula>0</formula>
    </cfRule>
  </conditionalFormatting>
  <conditionalFormatting sqref="Q83">
    <cfRule type="cellIs" dxfId="23632" priority="2781" operator="lessThan">
      <formula>0</formula>
    </cfRule>
  </conditionalFormatting>
  <conditionalFormatting sqref="R83">
    <cfRule type="cellIs" dxfId="23631" priority="2779" operator="lessThan">
      <formula>0.8</formula>
    </cfRule>
    <cfRule type="cellIs" dxfId="23630" priority="2780" operator="greaterThan">
      <formula>1</formula>
    </cfRule>
  </conditionalFormatting>
  <conditionalFormatting sqref="R83">
    <cfRule type="cellIs" dxfId="23629" priority="2777" operator="greaterThan">
      <formula>1</formula>
    </cfRule>
    <cfRule type="cellIs" dxfId="23628" priority="2778" operator="lessThan">
      <formula>0.8</formula>
    </cfRule>
  </conditionalFormatting>
  <conditionalFormatting sqref="P83">
    <cfRule type="cellIs" dxfId="23627" priority="2776" operator="greaterThan">
      <formula>0</formula>
    </cfRule>
  </conditionalFormatting>
  <conditionalFormatting sqref="Q83">
    <cfRule type="cellIs" dxfId="23626" priority="2775" operator="lessThan">
      <formula>0</formula>
    </cfRule>
  </conditionalFormatting>
  <conditionalFormatting sqref="R83">
    <cfRule type="cellIs" dxfId="23625" priority="2773" operator="lessThan">
      <formula>0.8</formula>
    </cfRule>
    <cfRule type="cellIs" dxfId="23624" priority="2774" operator="greaterThan">
      <formula>1</formula>
    </cfRule>
  </conditionalFormatting>
  <conditionalFormatting sqref="R83">
    <cfRule type="cellIs" dxfId="23623" priority="2771" operator="greaterThan">
      <formula>1</formula>
    </cfRule>
    <cfRule type="cellIs" dxfId="23622" priority="2772" operator="lessThan">
      <formula>0.8</formula>
    </cfRule>
  </conditionalFormatting>
  <conditionalFormatting sqref="P83">
    <cfRule type="cellIs" dxfId="23621" priority="2770" operator="greaterThan">
      <formula>0</formula>
    </cfRule>
  </conditionalFormatting>
  <conditionalFormatting sqref="Q83">
    <cfRule type="cellIs" dxfId="23620" priority="2769" operator="lessThan">
      <formula>0</formula>
    </cfRule>
  </conditionalFormatting>
  <conditionalFormatting sqref="R83">
    <cfRule type="cellIs" dxfId="23619" priority="2767" operator="lessThan">
      <formula>0.8</formula>
    </cfRule>
    <cfRule type="cellIs" dxfId="23618" priority="2768" operator="greaterThan">
      <formula>1</formula>
    </cfRule>
  </conditionalFormatting>
  <conditionalFormatting sqref="R83">
    <cfRule type="cellIs" dxfId="23617" priority="2765" operator="greaterThan">
      <formula>1</formula>
    </cfRule>
    <cfRule type="cellIs" dxfId="23616" priority="2766" operator="lessThan">
      <formula>0.8</formula>
    </cfRule>
  </conditionalFormatting>
  <conditionalFormatting sqref="P83">
    <cfRule type="cellIs" dxfId="23615" priority="2764" operator="greaterThan">
      <formula>0</formula>
    </cfRule>
  </conditionalFormatting>
  <conditionalFormatting sqref="Q83">
    <cfRule type="cellIs" dxfId="23614" priority="2763" operator="lessThan">
      <formula>0</formula>
    </cfRule>
  </conditionalFormatting>
  <conditionalFormatting sqref="R83">
    <cfRule type="cellIs" dxfId="23613" priority="2761" operator="lessThan">
      <formula>0.8</formula>
    </cfRule>
    <cfRule type="cellIs" dxfId="23612" priority="2762" operator="greaterThan">
      <formula>1</formula>
    </cfRule>
  </conditionalFormatting>
  <conditionalFormatting sqref="R83">
    <cfRule type="cellIs" dxfId="23611" priority="2759" operator="greaterThan">
      <formula>1</formula>
    </cfRule>
    <cfRule type="cellIs" dxfId="23610" priority="2760" operator="lessThan">
      <formula>0.8</formula>
    </cfRule>
  </conditionalFormatting>
  <conditionalFormatting sqref="P83">
    <cfRule type="cellIs" dxfId="23609" priority="2758" operator="greaterThan">
      <formula>0</formula>
    </cfRule>
  </conditionalFormatting>
  <conditionalFormatting sqref="Q83">
    <cfRule type="cellIs" dxfId="23608" priority="2757" operator="lessThan">
      <formula>0</formula>
    </cfRule>
  </conditionalFormatting>
  <conditionalFormatting sqref="R83">
    <cfRule type="cellIs" dxfId="23607" priority="2755" operator="lessThan">
      <formula>0.8</formula>
    </cfRule>
    <cfRule type="cellIs" dxfId="23606" priority="2756" operator="greaterThan">
      <formula>1</formula>
    </cfRule>
  </conditionalFormatting>
  <conditionalFormatting sqref="R83">
    <cfRule type="cellIs" dxfId="23605" priority="2753" operator="greaterThan">
      <formula>1</formula>
    </cfRule>
    <cfRule type="cellIs" dxfId="23604" priority="2754" operator="lessThan">
      <formula>0.8</formula>
    </cfRule>
  </conditionalFormatting>
  <conditionalFormatting sqref="P83">
    <cfRule type="cellIs" dxfId="23603" priority="2752" operator="greaterThan">
      <formula>0</formula>
    </cfRule>
  </conditionalFormatting>
  <conditionalFormatting sqref="Q83">
    <cfRule type="cellIs" dxfId="23602" priority="2751" operator="lessThan">
      <formula>0</formula>
    </cfRule>
  </conditionalFormatting>
  <conditionalFormatting sqref="R83">
    <cfRule type="cellIs" dxfId="23601" priority="2749" operator="lessThan">
      <formula>0.8</formula>
    </cfRule>
    <cfRule type="cellIs" dxfId="23600" priority="2750" operator="greaterThan">
      <formula>1</formula>
    </cfRule>
  </conditionalFormatting>
  <conditionalFormatting sqref="R83">
    <cfRule type="cellIs" dxfId="23599" priority="2747" operator="greaterThan">
      <formula>1</formula>
    </cfRule>
    <cfRule type="cellIs" dxfId="23598" priority="2748" operator="lessThan">
      <formula>0.8</formula>
    </cfRule>
  </conditionalFormatting>
  <conditionalFormatting sqref="P83">
    <cfRule type="cellIs" dxfId="23597" priority="2746" operator="greaterThan">
      <formula>0</formula>
    </cfRule>
  </conditionalFormatting>
  <conditionalFormatting sqref="Q83">
    <cfRule type="cellIs" dxfId="23596" priority="2745" operator="lessThan">
      <formula>0</formula>
    </cfRule>
  </conditionalFormatting>
  <conditionalFormatting sqref="R83">
    <cfRule type="cellIs" dxfId="23595" priority="2743" operator="lessThan">
      <formula>0.8</formula>
    </cfRule>
    <cfRule type="cellIs" dxfId="23594" priority="2744" operator="greaterThan">
      <formula>1</formula>
    </cfRule>
  </conditionalFormatting>
  <conditionalFormatting sqref="R83">
    <cfRule type="cellIs" dxfId="23593" priority="2741" operator="greaterThan">
      <formula>1</formula>
    </cfRule>
    <cfRule type="cellIs" dxfId="23592" priority="2742" operator="lessThan">
      <formula>0.8</formula>
    </cfRule>
  </conditionalFormatting>
  <conditionalFormatting sqref="P83">
    <cfRule type="cellIs" dxfId="23591" priority="2740" operator="greaterThan">
      <formula>0</formula>
    </cfRule>
  </conditionalFormatting>
  <conditionalFormatting sqref="P83">
    <cfRule type="cellIs" dxfId="23590" priority="2734" operator="greaterThan">
      <formula>0</formula>
    </cfRule>
  </conditionalFormatting>
  <conditionalFormatting sqref="Q83">
    <cfRule type="cellIs" dxfId="23589" priority="2739" operator="lessThan">
      <formula>0</formula>
    </cfRule>
  </conditionalFormatting>
  <conditionalFormatting sqref="R83">
    <cfRule type="cellIs" dxfId="23588" priority="2737" operator="lessThan">
      <formula>0.8</formula>
    </cfRule>
    <cfRule type="cellIs" dxfId="23587" priority="2738" operator="greaterThan">
      <formula>1</formula>
    </cfRule>
  </conditionalFormatting>
  <conditionalFormatting sqref="R83">
    <cfRule type="cellIs" dxfId="23586" priority="2735" operator="greaterThan">
      <formula>1</formula>
    </cfRule>
    <cfRule type="cellIs" dxfId="23585" priority="2736" operator="lessThan">
      <formula>0.8</formula>
    </cfRule>
  </conditionalFormatting>
  <conditionalFormatting sqref="P83">
    <cfRule type="cellIs" dxfId="23584" priority="2728" operator="greaterThan">
      <formula>0</formula>
    </cfRule>
  </conditionalFormatting>
  <conditionalFormatting sqref="Q83">
    <cfRule type="cellIs" dxfId="23583" priority="2733" operator="lessThan">
      <formula>0</formula>
    </cfRule>
  </conditionalFormatting>
  <conditionalFormatting sqref="R83">
    <cfRule type="cellIs" dxfId="23582" priority="2731" operator="lessThan">
      <formula>0.8</formula>
    </cfRule>
    <cfRule type="cellIs" dxfId="23581" priority="2732" operator="greaterThan">
      <formula>1</formula>
    </cfRule>
  </conditionalFormatting>
  <conditionalFormatting sqref="R83">
    <cfRule type="cellIs" dxfId="23580" priority="2729" operator="greaterThan">
      <formula>1</formula>
    </cfRule>
    <cfRule type="cellIs" dxfId="23579" priority="2730" operator="lessThan">
      <formula>0.8</formula>
    </cfRule>
  </conditionalFormatting>
  <conditionalFormatting sqref="R83">
    <cfRule type="cellIs" dxfId="23578" priority="2725" operator="lessThan">
      <formula>0.8</formula>
    </cfRule>
    <cfRule type="cellIs" dxfId="23577" priority="2726" operator="greaterThan">
      <formula>1</formula>
    </cfRule>
  </conditionalFormatting>
  <conditionalFormatting sqref="R83">
    <cfRule type="cellIs" dxfId="23576" priority="2723" operator="greaterThan">
      <formula>1</formula>
    </cfRule>
    <cfRule type="cellIs" dxfId="23575" priority="2724" operator="lessThan">
      <formula>0.8</formula>
    </cfRule>
  </conditionalFormatting>
  <conditionalFormatting sqref="P83">
    <cfRule type="cellIs" dxfId="23574" priority="2722" operator="greaterThan">
      <formula>0</formula>
    </cfRule>
  </conditionalFormatting>
  <conditionalFormatting sqref="Q83">
    <cfRule type="cellIs" dxfId="23573" priority="2727" operator="lessThan">
      <formula>0</formula>
    </cfRule>
  </conditionalFormatting>
  <conditionalFormatting sqref="Q83">
    <cfRule type="cellIs" dxfId="23572" priority="2721" operator="lessThan">
      <formula>0</formula>
    </cfRule>
  </conditionalFormatting>
  <conditionalFormatting sqref="R83">
    <cfRule type="cellIs" dxfId="23571" priority="2719" operator="lessThan">
      <formula>0.8</formula>
    </cfRule>
    <cfRule type="cellIs" dxfId="23570" priority="2720" operator="greaterThan">
      <formula>1</formula>
    </cfRule>
  </conditionalFormatting>
  <conditionalFormatting sqref="R83">
    <cfRule type="cellIs" dxfId="23569" priority="2717" operator="greaterThan">
      <formula>1</formula>
    </cfRule>
    <cfRule type="cellIs" dxfId="23568" priority="2718" operator="lessThan">
      <formula>0.8</formula>
    </cfRule>
  </conditionalFormatting>
  <conditionalFormatting sqref="P83">
    <cfRule type="cellIs" dxfId="23567" priority="2716" operator="greaterThan">
      <formula>0</formula>
    </cfRule>
  </conditionalFormatting>
  <conditionalFormatting sqref="P83">
    <cfRule type="cellIs" dxfId="23566" priority="2710" operator="greaterThan">
      <formula>0</formula>
    </cfRule>
  </conditionalFormatting>
  <conditionalFormatting sqref="Q83">
    <cfRule type="cellIs" dxfId="23565" priority="2715" operator="lessThan">
      <formula>0</formula>
    </cfRule>
  </conditionalFormatting>
  <conditionalFormatting sqref="R83">
    <cfRule type="cellIs" dxfId="23564" priority="2713" operator="lessThan">
      <formula>0.8</formula>
    </cfRule>
    <cfRule type="cellIs" dxfId="23563" priority="2714" operator="greaterThan">
      <formula>1</formula>
    </cfRule>
  </conditionalFormatting>
  <conditionalFormatting sqref="R83">
    <cfRule type="cellIs" dxfId="23562" priority="2711" operator="greaterThan">
      <formula>1</formula>
    </cfRule>
    <cfRule type="cellIs" dxfId="23561" priority="2712" operator="lessThan">
      <formula>0.8</formula>
    </cfRule>
  </conditionalFormatting>
  <conditionalFormatting sqref="P83">
    <cfRule type="cellIs" dxfId="23560" priority="2704" operator="greaterThan">
      <formula>0</formula>
    </cfRule>
  </conditionalFormatting>
  <conditionalFormatting sqref="Q83">
    <cfRule type="cellIs" dxfId="23559" priority="2709" operator="lessThan">
      <formula>0</formula>
    </cfRule>
  </conditionalFormatting>
  <conditionalFormatting sqref="R83">
    <cfRule type="cellIs" dxfId="23558" priority="2707" operator="lessThan">
      <formula>0.8</formula>
    </cfRule>
    <cfRule type="cellIs" dxfId="23557" priority="2708" operator="greaterThan">
      <formula>1</formula>
    </cfRule>
  </conditionalFormatting>
  <conditionalFormatting sqref="R83">
    <cfRule type="cellIs" dxfId="23556" priority="2705" operator="greaterThan">
      <formula>1</formula>
    </cfRule>
    <cfRule type="cellIs" dxfId="23555" priority="2706" operator="lessThan">
      <formula>0.8</formula>
    </cfRule>
  </conditionalFormatting>
  <conditionalFormatting sqref="R83">
    <cfRule type="cellIs" dxfId="23554" priority="2701" operator="lessThan">
      <formula>0.8</formula>
    </cfRule>
    <cfRule type="cellIs" dxfId="23553" priority="2702" operator="greaterThan">
      <formula>1</formula>
    </cfRule>
  </conditionalFormatting>
  <conditionalFormatting sqref="R83">
    <cfRule type="cellIs" dxfId="23552" priority="2699" operator="greaterThan">
      <formula>1</formula>
    </cfRule>
    <cfRule type="cellIs" dxfId="23551" priority="2700" operator="lessThan">
      <formula>0.8</formula>
    </cfRule>
  </conditionalFormatting>
  <conditionalFormatting sqref="P83">
    <cfRule type="cellIs" dxfId="23550" priority="2698" operator="greaterThan">
      <formula>0</formula>
    </cfRule>
  </conditionalFormatting>
  <conditionalFormatting sqref="Q83">
    <cfRule type="cellIs" dxfId="23549" priority="2703" operator="lessThan">
      <formula>0</formula>
    </cfRule>
  </conditionalFormatting>
  <conditionalFormatting sqref="P83">
    <cfRule type="cellIs" dxfId="23548" priority="2692" operator="greaterThan">
      <formula>0</formula>
    </cfRule>
  </conditionalFormatting>
  <conditionalFormatting sqref="Q83">
    <cfRule type="cellIs" dxfId="23547" priority="2697" operator="lessThan">
      <formula>0</formula>
    </cfRule>
  </conditionalFormatting>
  <conditionalFormatting sqref="R83">
    <cfRule type="cellIs" dxfId="23546" priority="2695" operator="lessThan">
      <formula>0.8</formula>
    </cfRule>
    <cfRule type="cellIs" dxfId="23545" priority="2696" operator="greaterThan">
      <formula>1</formula>
    </cfRule>
  </conditionalFormatting>
  <conditionalFormatting sqref="R83">
    <cfRule type="cellIs" dxfId="23544" priority="2693" operator="greaterThan">
      <formula>1</formula>
    </cfRule>
    <cfRule type="cellIs" dxfId="23543" priority="2694" operator="lessThan">
      <formula>0.8</formula>
    </cfRule>
  </conditionalFormatting>
  <conditionalFormatting sqref="R83">
    <cfRule type="cellIs" dxfId="23542" priority="2689" operator="lessThan">
      <formula>0.8</formula>
    </cfRule>
    <cfRule type="cellIs" dxfId="23541" priority="2690" operator="greaterThan">
      <formula>1</formula>
    </cfRule>
  </conditionalFormatting>
  <conditionalFormatting sqref="R83">
    <cfRule type="cellIs" dxfId="23540" priority="2687" operator="greaterThan">
      <formula>1</formula>
    </cfRule>
    <cfRule type="cellIs" dxfId="23539" priority="2688" operator="lessThan">
      <formula>0.8</formula>
    </cfRule>
  </conditionalFormatting>
  <conditionalFormatting sqref="P83">
    <cfRule type="cellIs" dxfId="23538" priority="2686" operator="greaterThan">
      <formula>0</formula>
    </cfRule>
  </conditionalFormatting>
  <conditionalFormatting sqref="Q83">
    <cfRule type="cellIs" dxfId="23537" priority="2691" operator="lessThan">
      <formula>0</formula>
    </cfRule>
  </conditionalFormatting>
  <conditionalFormatting sqref="R83">
    <cfRule type="cellIs" dxfId="23536" priority="2683" operator="lessThan">
      <formula>0.8</formula>
    </cfRule>
    <cfRule type="cellIs" dxfId="23535" priority="2684" operator="greaterThan">
      <formula>1</formula>
    </cfRule>
  </conditionalFormatting>
  <conditionalFormatting sqref="R83">
    <cfRule type="cellIs" dxfId="23534" priority="2681" operator="greaterThan">
      <formula>1</formula>
    </cfRule>
    <cfRule type="cellIs" dxfId="23533" priority="2682" operator="lessThan">
      <formula>0.8</formula>
    </cfRule>
  </conditionalFormatting>
  <conditionalFormatting sqref="P83">
    <cfRule type="cellIs" dxfId="23532" priority="2680" operator="greaterThan">
      <formula>0</formula>
    </cfRule>
  </conditionalFormatting>
  <conditionalFormatting sqref="Q83">
    <cfRule type="cellIs" dxfId="23531" priority="2685" operator="lessThan">
      <formula>0</formula>
    </cfRule>
  </conditionalFormatting>
  <conditionalFormatting sqref="Q83">
    <cfRule type="cellIs" dxfId="23530" priority="2679" operator="lessThan">
      <formula>0</formula>
    </cfRule>
  </conditionalFormatting>
  <conditionalFormatting sqref="R83">
    <cfRule type="cellIs" dxfId="23529" priority="2677" operator="lessThan">
      <formula>0.8</formula>
    </cfRule>
    <cfRule type="cellIs" dxfId="23528" priority="2678" operator="greaterThan">
      <formula>1</formula>
    </cfRule>
  </conditionalFormatting>
  <conditionalFormatting sqref="R83">
    <cfRule type="cellIs" dxfId="23527" priority="2675" operator="greaterThan">
      <formula>1</formula>
    </cfRule>
    <cfRule type="cellIs" dxfId="23526" priority="2676" operator="lessThan">
      <formula>0.8</formula>
    </cfRule>
  </conditionalFormatting>
  <conditionalFormatting sqref="P83">
    <cfRule type="cellIs" dxfId="23525" priority="2674" operator="greaterThan">
      <formula>0</formula>
    </cfRule>
  </conditionalFormatting>
  <conditionalFormatting sqref="Q83">
    <cfRule type="cellIs" dxfId="23524" priority="2668" operator="lessThan">
      <formula>0</formula>
    </cfRule>
  </conditionalFormatting>
  <conditionalFormatting sqref="R83">
    <cfRule type="cellIs" dxfId="23523" priority="2672" operator="lessThan">
      <formula>0.8</formula>
    </cfRule>
    <cfRule type="cellIs" dxfId="23522" priority="2673" operator="greaterThan">
      <formula>1</formula>
    </cfRule>
  </conditionalFormatting>
  <conditionalFormatting sqref="R83">
    <cfRule type="cellIs" dxfId="23521" priority="2670" operator="greaterThan">
      <formula>1</formula>
    </cfRule>
    <cfRule type="cellIs" dxfId="23520" priority="2671" operator="lessThan">
      <formula>0.8</formula>
    </cfRule>
  </conditionalFormatting>
  <conditionalFormatting sqref="P83">
    <cfRule type="cellIs" dxfId="23519" priority="2669" operator="greaterThan">
      <formula>0</formula>
    </cfRule>
  </conditionalFormatting>
  <conditionalFormatting sqref="Q83">
    <cfRule type="cellIs" dxfId="23518" priority="2667" operator="lessThan">
      <formula>0</formula>
    </cfRule>
  </conditionalFormatting>
  <conditionalFormatting sqref="R83">
    <cfRule type="cellIs" dxfId="23517" priority="2665" operator="lessThan">
      <formula>0.8</formula>
    </cfRule>
    <cfRule type="cellIs" dxfId="23516" priority="2666" operator="greaterThan">
      <formula>1</formula>
    </cfRule>
  </conditionalFormatting>
  <conditionalFormatting sqref="R83">
    <cfRule type="cellIs" dxfId="23515" priority="2663" operator="greaterThan">
      <formula>1</formula>
    </cfRule>
    <cfRule type="cellIs" dxfId="23514" priority="2664" operator="lessThan">
      <formula>0.8</formula>
    </cfRule>
  </conditionalFormatting>
  <conditionalFormatting sqref="P83">
    <cfRule type="cellIs" dxfId="23513" priority="2662" operator="greaterThan">
      <formula>0</formula>
    </cfRule>
  </conditionalFormatting>
  <conditionalFormatting sqref="Q83">
    <cfRule type="cellIs" dxfId="23512" priority="2661" operator="lessThan">
      <formula>0</formula>
    </cfRule>
  </conditionalFormatting>
  <conditionalFormatting sqref="R83">
    <cfRule type="cellIs" dxfId="23511" priority="2659" operator="lessThan">
      <formula>0.8</formula>
    </cfRule>
    <cfRule type="cellIs" dxfId="23510" priority="2660" operator="greaterThan">
      <formula>1</formula>
    </cfRule>
  </conditionalFormatting>
  <conditionalFormatting sqref="R83">
    <cfRule type="cellIs" dxfId="23509" priority="2657" operator="greaterThan">
      <formula>1</formula>
    </cfRule>
    <cfRule type="cellIs" dxfId="23508" priority="2658" operator="lessThan">
      <formula>0.8</formula>
    </cfRule>
  </conditionalFormatting>
  <conditionalFormatting sqref="P83">
    <cfRule type="cellIs" dxfId="23507" priority="2656" operator="greaterThan">
      <formula>0</formula>
    </cfRule>
  </conditionalFormatting>
  <conditionalFormatting sqref="Q83">
    <cfRule type="cellIs" dxfId="23506" priority="2655" operator="lessThan">
      <formula>0</formula>
    </cfRule>
  </conditionalFormatting>
  <conditionalFormatting sqref="R83">
    <cfRule type="cellIs" dxfId="23505" priority="2653" operator="lessThan">
      <formula>0.8</formula>
    </cfRule>
    <cfRule type="cellIs" dxfId="23504" priority="2654" operator="greaterThan">
      <formula>1</formula>
    </cfRule>
  </conditionalFormatting>
  <conditionalFormatting sqref="R83">
    <cfRule type="cellIs" dxfId="23503" priority="2651" operator="greaterThan">
      <formula>1</formula>
    </cfRule>
    <cfRule type="cellIs" dxfId="23502" priority="2652" operator="lessThan">
      <formula>0.8</formula>
    </cfRule>
  </conditionalFormatting>
  <conditionalFormatting sqref="P83">
    <cfRule type="cellIs" dxfId="23501" priority="2650" operator="greaterThan">
      <formula>0</formula>
    </cfRule>
  </conditionalFormatting>
  <conditionalFormatting sqref="Q83">
    <cfRule type="cellIs" dxfId="23500" priority="2649" operator="lessThan">
      <formula>0</formula>
    </cfRule>
  </conditionalFormatting>
  <conditionalFormatting sqref="R83">
    <cfRule type="cellIs" dxfId="23499" priority="2647" operator="lessThan">
      <formula>0.8</formula>
    </cfRule>
    <cfRule type="cellIs" dxfId="23498" priority="2648" operator="greaterThan">
      <formula>1</formula>
    </cfRule>
  </conditionalFormatting>
  <conditionalFormatting sqref="R83">
    <cfRule type="cellIs" dxfId="23497" priority="2645" operator="greaterThan">
      <formula>1</formula>
    </cfRule>
    <cfRule type="cellIs" dxfId="23496" priority="2646" operator="lessThan">
      <formula>0.8</formula>
    </cfRule>
  </conditionalFormatting>
  <conditionalFormatting sqref="P83">
    <cfRule type="cellIs" dxfId="23495" priority="2644" operator="greaterThan">
      <formula>0</formula>
    </cfRule>
  </conditionalFormatting>
  <conditionalFormatting sqref="Q83">
    <cfRule type="cellIs" dxfId="23494" priority="2643" operator="lessThan">
      <formula>0</formula>
    </cfRule>
  </conditionalFormatting>
  <conditionalFormatting sqref="R83">
    <cfRule type="cellIs" dxfId="23493" priority="2641" operator="lessThan">
      <formula>0.8</formula>
    </cfRule>
    <cfRule type="cellIs" dxfId="23492" priority="2642" operator="greaterThan">
      <formula>1</formula>
    </cfRule>
  </conditionalFormatting>
  <conditionalFormatting sqref="R83">
    <cfRule type="cellIs" dxfId="23491" priority="2639" operator="greaterThan">
      <formula>1</formula>
    </cfRule>
    <cfRule type="cellIs" dxfId="23490" priority="2640" operator="lessThan">
      <formula>0.8</formula>
    </cfRule>
  </conditionalFormatting>
  <conditionalFormatting sqref="P83">
    <cfRule type="cellIs" dxfId="23489" priority="2638" operator="greaterThan">
      <formula>0</formula>
    </cfRule>
  </conditionalFormatting>
  <conditionalFormatting sqref="P83">
    <cfRule type="cellIs" dxfId="23488" priority="2632" operator="greaterThan">
      <formula>0</formula>
    </cfRule>
  </conditionalFormatting>
  <conditionalFormatting sqref="Q83">
    <cfRule type="cellIs" dxfId="23487" priority="2637" operator="lessThan">
      <formula>0</formula>
    </cfRule>
  </conditionalFormatting>
  <conditionalFormatting sqref="R83">
    <cfRule type="cellIs" dxfId="23486" priority="2635" operator="lessThan">
      <formula>0.8</formula>
    </cfRule>
    <cfRule type="cellIs" dxfId="23485" priority="2636" operator="greaterThan">
      <formula>1</formula>
    </cfRule>
  </conditionalFormatting>
  <conditionalFormatting sqref="R83">
    <cfRule type="cellIs" dxfId="23484" priority="2633" operator="greaterThan">
      <formula>1</formula>
    </cfRule>
    <cfRule type="cellIs" dxfId="23483" priority="2634" operator="lessThan">
      <formula>0.8</formula>
    </cfRule>
  </conditionalFormatting>
  <conditionalFormatting sqref="P83">
    <cfRule type="cellIs" dxfId="23482" priority="2626" operator="greaterThan">
      <formula>0</formula>
    </cfRule>
  </conditionalFormatting>
  <conditionalFormatting sqref="Q83">
    <cfRule type="cellIs" dxfId="23481" priority="2631" operator="lessThan">
      <formula>0</formula>
    </cfRule>
  </conditionalFormatting>
  <conditionalFormatting sqref="R83">
    <cfRule type="cellIs" dxfId="23480" priority="2629" operator="lessThan">
      <formula>0.8</formula>
    </cfRule>
    <cfRule type="cellIs" dxfId="23479" priority="2630" operator="greaterThan">
      <formula>1</formula>
    </cfRule>
  </conditionalFormatting>
  <conditionalFormatting sqref="R83">
    <cfRule type="cellIs" dxfId="23478" priority="2627" operator="greaterThan">
      <formula>1</formula>
    </cfRule>
    <cfRule type="cellIs" dxfId="23477" priority="2628" operator="lessThan">
      <formula>0.8</formula>
    </cfRule>
  </conditionalFormatting>
  <conditionalFormatting sqref="R83">
    <cfRule type="cellIs" dxfId="23476" priority="2623" operator="lessThan">
      <formula>0.8</formula>
    </cfRule>
    <cfRule type="cellIs" dxfId="23475" priority="2624" operator="greaterThan">
      <formula>1</formula>
    </cfRule>
  </conditionalFormatting>
  <conditionalFormatting sqref="R83">
    <cfRule type="cellIs" dxfId="23474" priority="2621" operator="greaterThan">
      <formula>1</formula>
    </cfRule>
    <cfRule type="cellIs" dxfId="23473" priority="2622" operator="lessThan">
      <formula>0.8</formula>
    </cfRule>
  </conditionalFormatting>
  <conditionalFormatting sqref="P83">
    <cfRule type="cellIs" dxfId="23472" priority="2620" operator="greaterThan">
      <formula>0</formula>
    </cfRule>
  </conditionalFormatting>
  <conditionalFormatting sqref="Q83">
    <cfRule type="cellIs" dxfId="23471" priority="2625" operator="lessThan">
      <formula>0</formula>
    </cfRule>
  </conditionalFormatting>
  <conditionalFormatting sqref="P123 P125:P126 P128:P130">
    <cfRule type="cellIs" dxfId="23470" priority="2614" operator="greaterThan">
      <formula>0</formula>
    </cfRule>
  </conditionalFormatting>
  <conditionalFormatting sqref="Q123 Q125:Q126 Q128:Q130">
    <cfRule type="cellIs" dxfId="23469" priority="2619" operator="lessThan">
      <formula>0</formula>
    </cfRule>
  </conditionalFormatting>
  <conditionalFormatting sqref="R123 R125:R126 R128:R130">
    <cfRule type="cellIs" dxfId="23468" priority="2617" operator="lessThan">
      <formula>0.8</formula>
    </cfRule>
    <cfRule type="cellIs" dxfId="23467" priority="2618" operator="greaterThan">
      <formula>1</formula>
    </cfRule>
  </conditionalFormatting>
  <conditionalFormatting sqref="R123 R125:R126 R128:R130">
    <cfRule type="cellIs" dxfId="23466" priority="2615" operator="greaterThan">
      <formula>1</formula>
    </cfRule>
    <cfRule type="cellIs" dxfId="23465" priority="2616" operator="lessThan">
      <formula>0.8</formula>
    </cfRule>
  </conditionalFormatting>
  <conditionalFormatting sqref="Q123 Q125:Q126 Q128:Q130">
    <cfRule type="cellIs" dxfId="23464" priority="2613" operator="lessThan">
      <formula>0</formula>
    </cfRule>
  </conditionalFormatting>
  <conditionalFormatting sqref="R123 R125:R126 R128:R130">
    <cfRule type="cellIs" dxfId="23463" priority="2611" operator="lessThan">
      <formula>0.8</formula>
    </cfRule>
    <cfRule type="cellIs" dxfId="23462" priority="2612" operator="greaterThan">
      <formula>1</formula>
    </cfRule>
  </conditionalFormatting>
  <conditionalFormatting sqref="R123 R125:R126 R128:R130">
    <cfRule type="cellIs" dxfId="23461" priority="2609" operator="greaterThan">
      <formula>1</formula>
    </cfRule>
    <cfRule type="cellIs" dxfId="23460" priority="2610" operator="lessThan">
      <formula>0.8</formula>
    </cfRule>
  </conditionalFormatting>
  <conditionalFormatting sqref="P123 P125:P126 P128:P130">
    <cfRule type="cellIs" dxfId="23459" priority="2608" operator="greaterThan">
      <formula>0</formula>
    </cfRule>
  </conditionalFormatting>
  <conditionalFormatting sqref="Q31">
    <cfRule type="cellIs" dxfId="23458" priority="2607" operator="lessThan">
      <formula>0</formula>
    </cfRule>
  </conditionalFormatting>
  <conditionalFormatting sqref="R31">
    <cfRule type="cellIs" dxfId="23457" priority="2605" operator="lessThan">
      <formula>0.8</formula>
    </cfRule>
    <cfRule type="cellIs" dxfId="23456" priority="2606" operator="greaterThan">
      <formula>1</formula>
    </cfRule>
  </conditionalFormatting>
  <conditionalFormatting sqref="R31">
    <cfRule type="cellIs" dxfId="23455" priority="2603" operator="greaterThan">
      <formula>1</formula>
    </cfRule>
    <cfRule type="cellIs" dxfId="23454" priority="2604" operator="lessThan">
      <formula>0.8</formula>
    </cfRule>
  </conditionalFormatting>
  <conditionalFormatting sqref="P31">
    <cfRule type="cellIs" dxfId="23453" priority="2602" operator="greaterThan">
      <formula>0</formula>
    </cfRule>
  </conditionalFormatting>
  <conditionalFormatting sqref="Q31">
    <cfRule type="cellIs" dxfId="23452" priority="2601" operator="lessThan">
      <formula>0</formula>
    </cfRule>
  </conditionalFormatting>
  <conditionalFormatting sqref="R31">
    <cfRule type="cellIs" dxfId="23451" priority="2599" operator="lessThan">
      <formula>0.8</formula>
    </cfRule>
    <cfRule type="cellIs" dxfId="23450" priority="2600" operator="greaterThan">
      <formula>1</formula>
    </cfRule>
  </conditionalFormatting>
  <conditionalFormatting sqref="R31">
    <cfRule type="cellIs" dxfId="23449" priority="2597" operator="greaterThan">
      <formula>1</formula>
    </cfRule>
    <cfRule type="cellIs" dxfId="23448" priority="2598" operator="lessThan">
      <formula>0.8</formula>
    </cfRule>
  </conditionalFormatting>
  <conditionalFormatting sqref="P31">
    <cfRule type="cellIs" dxfId="23447" priority="2596" operator="greaterThan">
      <formula>0</formula>
    </cfRule>
  </conditionalFormatting>
  <conditionalFormatting sqref="Q31">
    <cfRule type="cellIs" dxfId="23446" priority="2595" operator="lessThan">
      <formula>0</formula>
    </cfRule>
  </conditionalFormatting>
  <conditionalFormatting sqref="R31">
    <cfRule type="cellIs" dxfId="23445" priority="2593" operator="lessThan">
      <formula>0.8</formula>
    </cfRule>
    <cfRule type="cellIs" dxfId="23444" priority="2594" operator="greaterThan">
      <formula>1</formula>
    </cfRule>
  </conditionalFormatting>
  <conditionalFormatting sqref="R31">
    <cfRule type="cellIs" dxfId="23443" priority="2591" operator="greaterThan">
      <formula>1</formula>
    </cfRule>
    <cfRule type="cellIs" dxfId="23442" priority="2592" operator="lessThan">
      <formula>0.8</formula>
    </cfRule>
  </conditionalFormatting>
  <conditionalFormatting sqref="P31">
    <cfRule type="cellIs" dxfId="23441" priority="2590" operator="greaterThan">
      <formula>0</formula>
    </cfRule>
  </conditionalFormatting>
  <conditionalFormatting sqref="Q31">
    <cfRule type="cellIs" dxfId="23440" priority="2589" operator="lessThan">
      <formula>0</formula>
    </cfRule>
  </conditionalFormatting>
  <conditionalFormatting sqref="R31">
    <cfRule type="cellIs" dxfId="23439" priority="2587" operator="lessThan">
      <formula>0.8</formula>
    </cfRule>
    <cfRule type="cellIs" dxfId="23438" priority="2588" operator="greaterThan">
      <formula>1</formula>
    </cfRule>
  </conditionalFormatting>
  <conditionalFormatting sqref="R31">
    <cfRule type="cellIs" dxfId="23437" priority="2585" operator="greaterThan">
      <formula>1</formula>
    </cfRule>
    <cfRule type="cellIs" dxfId="23436" priority="2586" operator="lessThan">
      <formula>0.8</formula>
    </cfRule>
  </conditionalFormatting>
  <conditionalFormatting sqref="P31">
    <cfRule type="cellIs" dxfId="23435" priority="2584" operator="greaterThan">
      <formula>0</formula>
    </cfRule>
  </conditionalFormatting>
  <conditionalFormatting sqref="P31">
    <cfRule type="cellIs" dxfId="23434" priority="2578" operator="greaterThan">
      <formula>0</formula>
    </cfRule>
  </conditionalFormatting>
  <conditionalFormatting sqref="Q31">
    <cfRule type="cellIs" dxfId="23433" priority="2583" operator="lessThan">
      <formula>0</formula>
    </cfRule>
  </conditionalFormatting>
  <conditionalFormatting sqref="R31">
    <cfRule type="cellIs" dxfId="23432" priority="2581" operator="lessThan">
      <formula>0.8</formula>
    </cfRule>
    <cfRule type="cellIs" dxfId="23431" priority="2582" operator="greaterThan">
      <formula>1</formula>
    </cfRule>
  </conditionalFormatting>
  <conditionalFormatting sqref="R31">
    <cfRule type="cellIs" dxfId="23430" priority="2579" operator="greaterThan">
      <formula>1</formula>
    </cfRule>
    <cfRule type="cellIs" dxfId="23429" priority="2580" operator="lessThan">
      <formula>0.8</formula>
    </cfRule>
  </conditionalFormatting>
  <conditionalFormatting sqref="P31">
    <cfRule type="cellIs" dxfId="23428" priority="2572" operator="greaterThan">
      <formula>0</formula>
    </cfRule>
  </conditionalFormatting>
  <conditionalFormatting sqref="Q31">
    <cfRule type="cellIs" dxfId="23427" priority="2577" operator="lessThan">
      <formula>0</formula>
    </cfRule>
  </conditionalFormatting>
  <conditionalFormatting sqref="R31">
    <cfRule type="cellIs" dxfId="23426" priority="2575" operator="lessThan">
      <formula>0.8</formula>
    </cfRule>
    <cfRule type="cellIs" dxfId="23425" priority="2576" operator="greaterThan">
      <formula>1</formula>
    </cfRule>
  </conditionalFormatting>
  <conditionalFormatting sqref="R31">
    <cfRule type="cellIs" dxfId="23424" priority="2573" operator="greaterThan">
      <formula>1</formula>
    </cfRule>
    <cfRule type="cellIs" dxfId="23423" priority="2574" operator="lessThan">
      <formula>0.8</formula>
    </cfRule>
  </conditionalFormatting>
  <conditionalFormatting sqref="R31">
    <cfRule type="cellIs" dxfId="23422" priority="2569" operator="lessThan">
      <formula>0.8</formula>
    </cfRule>
    <cfRule type="cellIs" dxfId="23421" priority="2570" operator="greaterThan">
      <formula>1</formula>
    </cfRule>
  </conditionalFormatting>
  <conditionalFormatting sqref="R31">
    <cfRule type="cellIs" dxfId="23420" priority="2567" operator="greaterThan">
      <formula>1</formula>
    </cfRule>
    <cfRule type="cellIs" dxfId="23419" priority="2568" operator="lessThan">
      <formula>0.8</formula>
    </cfRule>
  </conditionalFormatting>
  <conditionalFormatting sqref="P31">
    <cfRule type="cellIs" dxfId="23418" priority="2566" operator="greaterThan">
      <formula>0</formula>
    </cfRule>
  </conditionalFormatting>
  <conditionalFormatting sqref="Q31">
    <cfRule type="cellIs" dxfId="23417" priority="2571" operator="lessThan">
      <formula>0</formula>
    </cfRule>
  </conditionalFormatting>
  <conditionalFormatting sqref="Q31">
    <cfRule type="cellIs" dxfId="23416" priority="2565" operator="lessThan">
      <formula>0</formula>
    </cfRule>
  </conditionalFormatting>
  <conditionalFormatting sqref="R31">
    <cfRule type="cellIs" dxfId="23415" priority="2563" operator="lessThan">
      <formula>0.8</formula>
    </cfRule>
    <cfRule type="cellIs" dxfId="23414" priority="2564" operator="greaterThan">
      <formula>1</formula>
    </cfRule>
  </conditionalFormatting>
  <conditionalFormatting sqref="R31">
    <cfRule type="cellIs" dxfId="23413" priority="2561" operator="greaterThan">
      <formula>1</formula>
    </cfRule>
    <cfRule type="cellIs" dxfId="23412" priority="2562" operator="lessThan">
      <formula>0.8</formula>
    </cfRule>
  </conditionalFormatting>
  <conditionalFormatting sqref="P31">
    <cfRule type="cellIs" dxfId="23411" priority="2560" operator="greaterThan">
      <formula>0</formula>
    </cfRule>
  </conditionalFormatting>
  <conditionalFormatting sqref="P31">
    <cfRule type="cellIs" dxfId="23410" priority="2554" operator="greaterThan">
      <formula>0</formula>
    </cfRule>
  </conditionalFormatting>
  <conditionalFormatting sqref="Q31">
    <cfRule type="cellIs" dxfId="23409" priority="2559" operator="lessThan">
      <formula>0</formula>
    </cfRule>
  </conditionalFormatting>
  <conditionalFormatting sqref="R31">
    <cfRule type="cellIs" dxfId="23408" priority="2557" operator="lessThan">
      <formula>0.8</formula>
    </cfRule>
    <cfRule type="cellIs" dxfId="23407" priority="2558" operator="greaterThan">
      <formula>1</formula>
    </cfRule>
  </conditionalFormatting>
  <conditionalFormatting sqref="R31">
    <cfRule type="cellIs" dxfId="23406" priority="2555" operator="greaterThan">
      <formula>1</formula>
    </cfRule>
    <cfRule type="cellIs" dxfId="23405" priority="2556" operator="lessThan">
      <formula>0.8</formula>
    </cfRule>
  </conditionalFormatting>
  <conditionalFormatting sqref="P31">
    <cfRule type="cellIs" dxfId="23404" priority="2548" operator="greaterThan">
      <formula>0</formula>
    </cfRule>
  </conditionalFormatting>
  <conditionalFormatting sqref="Q31">
    <cfRule type="cellIs" dxfId="23403" priority="2553" operator="lessThan">
      <formula>0</formula>
    </cfRule>
  </conditionalFormatting>
  <conditionalFormatting sqref="R31">
    <cfRule type="cellIs" dxfId="23402" priority="2551" operator="lessThan">
      <formula>0.8</formula>
    </cfRule>
    <cfRule type="cellIs" dxfId="23401" priority="2552" operator="greaterThan">
      <formula>1</formula>
    </cfRule>
  </conditionalFormatting>
  <conditionalFormatting sqref="R31">
    <cfRule type="cellIs" dxfId="23400" priority="2549" operator="greaterThan">
      <formula>1</formula>
    </cfRule>
    <cfRule type="cellIs" dxfId="23399" priority="2550" operator="lessThan">
      <formula>0.8</formula>
    </cfRule>
  </conditionalFormatting>
  <conditionalFormatting sqref="R31">
    <cfRule type="cellIs" dxfId="23398" priority="2545" operator="lessThan">
      <formula>0.8</formula>
    </cfRule>
    <cfRule type="cellIs" dxfId="23397" priority="2546" operator="greaterThan">
      <formula>1</formula>
    </cfRule>
  </conditionalFormatting>
  <conditionalFormatting sqref="R31">
    <cfRule type="cellIs" dxfId="23396" priority="2543" operator="greaterThan">
      <formula>1</formula>
    </cfRule>
    <cfRule type="cellIs" dxfId="23395" priority="2544" operator="lessThan">
      <formula>0.8</formula>
    </cfRule>
  </conditionalFormatting>
  <conditionalFormatting sqref="P31">
    <cfRule type="cellIs" dxfId="23394" priority="2542" operator="greaterThan">
      <formula>0</formula>
    </cfRule>
  </conditionalFormatting>
  <conditionalFormatting sqref="Q31">
    <cfRule type="cellIs" dxfId="23393" priority="2547" operator="lessThan">
      <formula>0</formula>
    </cfRule>
  </conditionalFormatting>
  <conditionalFormatting sqref="P31">
    <cfRule type="cellIs" dxfId="23392" priority="2536" operator="greaterThan">
      <formula>0</formula>
    </cfRule>
  </conditionalFormatting>
  <conditionalFormatting sqref="Q31">
    <cfRule type="cellIs" dxfId="23391" priority="2541" operator="lessThan">
      <formula>0</formula>
    </cfRule>
  </conditionalFormatting>
  <conditionalFormatting sqref="R31">
    <cfRule type="cellIs" dxfId="23390" priority="2539" operator="lessThan">
      <formula>0.8</formula>
    </cfRule>
    <cfRule type="cellIs" dxfId="23389" priority="2540" operator="greaterThan">
      <formula>1</formula>
    </cfRule>
  </conditionalFormatting>
  <conditionalFormatting sqref="R31">
    <cfRule type="cellIs" dxfId="23388" priority="2537" operator="greaterThan">
      <formula>1</formula>
    </cfRule>
    <cfRule type="cellIs" dxfId="23387" priority="2538" operator="lessThan">
      <formula>0.8</formula>
    </cfRule>
  </conditionalFormatting>
  <conditionalFormatting sqref="R31">
    <cfRule type="cellIs" dxfId="23386" priority="2533" operator="lessThan">
      <formula>0.8</formula>
    </cfRule>
    <cfRule type="cellIs" dxfId="23385" priority="2534" operator="greaterThan">
      <formula>1</formula>
    </cfRule>
  </conditionalFormatting>
  <conditionalFormatting sqref="R31">
    <cfRule type="cellIs" dxfId="23384" priority="2531" operator="greaterThan">
      <formula>1</formula>
    </cfRule>
    <cfRule type="cellIs" dxfId="23383" priority="2532" operator="lessThan">
      <formula>0.8</formula>
    </cfRule>
  </conditionalFormatting>
  <conditionalFormatting sqref="P31">
    <cfRule type="cellIs" dxfId="23382" priority="2530" operator="greaterThan">
      <formula>0</formula>
    </cfRule>
  </conditionalFormatting>
  <conditionalFormatting sqref="Q31">
    <cfRule type="cellIs" dxfId="23381" priority="2535" operator="lessThan">
      <formula>0</formula>
    </cfRule>
  </conditionalFormatting>
  <conditionalFormatting sqref="R31">
    <cfRule type="cellIs" dxfId="23380" priority="2527" operator="lessThan">
      <formula>0.8</formula>
    </cfRule>
    <cfRule type="cellIs" dxfId="23379" priority="2528" operator="greaterThan">
      <formula>1</formula>
    </cfRule>
  </conditionalFormatting>
  <conditionalFormatting sqref="R31">
    <cfRule type="cellIs" dxfId="23378" priority="2525" operator="greaterThan">
      <formula>1</formula>
    </cfRule>
    <cfRule type="cellIs" dxfId="23377" priority="2526" operator="lessThan">
      <formula>0.8</formula>
    </cfRule>
  </conditionalFormatting>
  <conditionalFormatting sqref="P31">
    <cfRule type="cellIs" dxfId="23376" priority="2524" operator="greaterThan">
      <formula>0</formula>
    </cfRule>
  </conditionalFormatting>
  <conditionalFormatting sqref="Q31">
    <cfRule type="cellIs" dxfId="23375" priority="2529" operator="lessThan">
      <formula>0</formula>
    </cfRule>
  </conditionalFormatting>
  <conditionalFormatting sqref="Q31">
    <cfRule type="cellIs" dxfId="23374" priority="2523" operator="lessThan">
      <formula>0</formula>
    </cfRule>
  </conditionalFormatting>
  <conditionalFormatting sqref="R31">
    <cfRule type="cellIs" dxfId="23373" priority="2521" operator="lessThan">
      <formula>0.8</formula>
    </cfRule>
    <cfRule type="cellIs" dxfId="23372" priority="2522" operator="greaterThan">
      <formula>1</formula>
    </cfRule>
  </conditionalFormatting>
  <conditionalFormatting sqref="R31">
    <cfRule type="cellIs" dxfId="23371" priority="2519" operator="greaterThan">
      <formula>1</formula>
    </cfRule>
    <cfRule type="cellIs" dxfId="23370" priority="2520" operator="lessThan">
      <formula>0.8</formula>
    </cfRule>
  </conditionalFormatting>
  <conditionalFormatting sqref="P31">
    <cfRule type="cellIs" dxfId="23369" priority="2518" operator="greaterThan">
      <formula>0</formula>
    </cfRule>
  </conditionalFormatting>
  <conditionalFormatting sqref="Q31">
    <cfRule type="cellIs" dxfId="23368" priority="2512" operator="lessThan">
      <formula>0</formula>
    </cfRule>
  </conditionalFormatting>
  <conditionalFormatting sqref="R31">
    <cfRule type="cellIs" dxfId="23367" priority="2516" operator="lessThan">
      <formula>0.8</formula>
    </cfRule>
    <cfRule type="cellIs" dxfId="23366" priority="2517" operator="greaterThan">
      <formula>1</formula>
    </cfRule>
  </conditionalFormatting>
  <conditionalFormatting sqref="R31">
    <cfRule type="cellIs" dxfId="23365" priority="2514" operator="greaterThan">
      <formula>1</formula>
    </cfRule>
    <cfRule type="cellIs" dxfId="23364" priority="2515" operator="lessThan">
      <formula>0.8</formula>
    </cfRule>
  </conditionalFormatting>
  <conditionalFormatting sqref="P31">
    <cfRule type="cellIs" dxfId="23363" priority="2513" operator="greaterThan">
      <formula>0</formula>
    </cfRule>
  </conditionalFormatting>
  <conditionalFormatting sqref="Q31">
    <cfRule type="cellIs" dxfId="23362" priority="2511" operator="lessThan">
      <formula>0</formula>
    </cfRule>
  </conditionalFormatting>
  <conditionalFormatting sqref="R31">
    <cfRule type="cellIs" dxfId="23361" priority="2509" operator="lessThan">
      <formula>0.8</formula>
    </cfRule>
    <cfRule type="cellIs" dxfId="23360" priority="2510" operator="greaterThan">
      <formula>1</formula>
    </cfRule>
  </conditionalFormatting>
  <conditionalFormatting sqref="R31">
    <cfRule type="cellIs" dxfId="23359" priority="2507" operator="greaterThan">
      <formula>1</formula>
    </cfRule>
    <cfRule type="cellIs" dxfId="23358" priority="2508" operator="lessThan">
      <formula>0.8</formula>
    </cfRule>
  </conditionalFormatting>
  <conditionalFormatting sqref="P31">
    <cfRule type="cellIs" dxfId="23357" priority="2506" operator="greaterThan">
      <formula>0</formula>
    </cfRule>
  </conditionalFormatting>
  <conditionalFormatting sqref="Q31">
    <cfRule type="cellIs" dxfId="23356" priority="2505" operator="lessThan">
      <formula>0</formula>
    </cfRule>
  </conditionalFormatting>
  <conditionalFormatting sqref="R31">
    <cfRule type="cellIs" dxfId="23355" priority="2503" operator="lessThan">
      <formula>0.8</formula>
    </cfRule>
    <cfRule type="cellIs" dxfId="23354" priority="2504" operator="greaterThan">
      <formula>1</formula>
    </cfRule>
  </conditionalFormatting>
  <conditionalFormatting sqref="R31">
    <cfRule type="cellIs" dxfId="23353" priority="2501" operator="greaterThan">
      <formula>1</formula>
    </cfRule>
    <cfRule type="cellIs" dxfId="23352" priority="2502" operator="lessThan">
      <formula>0.8</formula>
    </cfRule>
  </conditionalFormatting>
  <conditionalFormatting sqref="P31">
    <cfRule type="cellIs" dxfId="23351" priority="2500" operator="greaterThan">
      <formula>0</formula>
    </cfRule>
  </conditionalFormatting>
  <conditionalFormatting sqref="Q31">
    <cfRule type="cellIs" dxfId="23350" priority="2499" operator="lessThan">
      <formula>0</formula>
    </cfRule>
  </conditionalFormatting>
  <conditionalFormatting sqref="R31">
    <cfRule type="cellIs" dxfId="23349" priority="2497" operator="lessThan">
      <formula>0.8</formula>
    </cfRule>
    <cfRule type="cellIs" dxfId="23348" priority="2498" operator="greaterThan">
      <formula>1</formula>
    </cfRule>
  </conditionalFormatting>
  <conditionalFormatting sqref="R31">
    <cfRule type="cellIs" dxfId="23347" priority="2495" operator="greaterThan">
      <formula>1</formula>
    </cfRule>
    <cfRule type="cellIs" dxfId="23346" priority="2496" operator="lessThan">
      <formula>0.8</formula>
    </cfRule>
  </conditionalFormatting>
  <conditionalFormatting sqref="P31">
    <cfRule type="cellIs" dxfId="23345" priority="2494" operator="greaterThan">
      <formula>0</formula>
    </cfRule>
  </conditionalFormatting>
  <conditionalFormatting sqref="Q31">
    <cfRule type="cellIs" dxfId="23344" priority="2493" operator="lessThan">
      <formula>0</formula>
    </cfRule>
  </conditionalFormatting>
  <conditionalFormatting sqref="R31">
    <cfRule type="cellIs" dxfId="23343" priority="2491" operator="lessThan">
      <formula>0.8</formula>
    </cfRule>
    <cfRule type="cellIs" dxfId="23342" priority="2492" operator="greaterThan">
      <formula>1</formula>
    </cfRule>
  </conditionalFormatting>
  <conditionalFormatting sqref="R31">
    <cfRule type="cellIs" dxfId="23341" priority="2489" operator="greaterThan">
      <formula>1</formula>
    </cfRule>
    <cfRule type="cellIs" dxfId="23340" priority="2490" operator="lessThan">
      <formula>0.8</formula>
    </cfRule>
  </conditionalFormatting>
  <conditionalFormatting sqref="P31">
    <cfRule type="cellIs" dxfId="23339" priority="2488" operator="greaterThan">
      <formula>0</formula>
    </cfRule>
  </conditionalFormatting>
  <conditionalFormatting sqref="Q31">
    <cfRule type="cellIs" dxfId="23338" priority="2487" operator="lessThan">
      <formula>0</formula>
    </cfRule>
  </conditionalFormatting>
  <conditionalFormatting sqref="R31">
    <cfRule type="cellIs" dxfId="23337" priority="2485" operator="lessThan">
      <formula>0.8</formula>
    </cfRule>
    <cfRule type="cellIs" dxfId="23336" priority="2486" operator="greaterThan">
      <formula>1</formula>
    </cfRule>
  </conditionalFormatting>
  <conditionalFormatting sqref="R31">
    <cfRule type="cellIs" dxfId="23335" priority="2483" operator="greaterThan">
      <formula>1</formula>
    </cfRule>
    <cfRule type="cellIs" dxfId="23334" priority="2484" operator="lessThan">
      <formula>0.8</formula>
    </cfRule>
  </conditionalFormatting>
  <conditionalFormatting sqref="P31">
    <cfRule type="cellIs" dxfId="23333" priority="2482" operator="greaterThan">
      <formula>0</formula>
    </cfRule>
  </conditionalFormatting>
  <conditionalFormatting sqref="P31">
    <cfRule type="cellIs" dxfId="23332" priority="2476" operator="greaterThan">
      <formula>0</formula>
    </cfRule>
  </conditionalFormatting>
  <conditionalFormatting sqref="Q31">
    <cfRule type="cellIs" dxfId="23331" priority="2481" operator="lessThan">
      <formula>0</formula>
    </cfRule>
  </conditionalFormatting>
  <conditionalFormatting sqref="R31">
    <cfRule type="cellIs" dxfId="23330" priority="2479" operator="lessThan">
      <formula>0.8</formula>
    </cfRule>
    <cfRule type="cellIs" dxfId="23329" priority="2480" operator="greaterThan">
      <formula>1</formula>
    </cfRule>
  </conditionalFormatting>
  <conditionalFormatting sqref="R31">
    <cfRule type="cellIs" dxfId="23328" priority="2477" operator="greaterThan">
      <formula>1</formula>
    </cfRule>
    <cfRule type="cellIs" dxfId="23327" priority="2478" operator="lessThan">
      <formula>0.8</formula>
    </cfRule>
  </conditionalFormatting>
  <conditionalFormatting sqref="P31">
    <cfRule type="cellIs" dxfId="23326" priority="2470" operator="greaterThan">
      <formula>0</formula>
    </cfRule>
  </conditionalFormatting>
  <conditionalFormatting sqref="Q31">
    <cfRule type="cellIs" dxfId="23325" priority="2475" operator="lessThan">
      <formula>0</formula>
    </cfRule>
  </conditionalFormatting>
  <conditionalFormatting sqref="R31">
    <cfRule type="cellIs" dxfId="23324" priority="2473" operator="lessThan">
      <formula>0.8</formula>
    </cfRule>
    <cfRule type="cellIs" dxfId="23323" priority="2474" operator="greaterThan">
      <formula>1</formula>
    </cfRule>
  </conditionalFormatting>
  <conditionalFormatting sqref="R31">
    <cfRule type="cellIs" dxfId="23322" priority="2471" operator="greaterThan">
      <formula>1</formula>
    </cfRule>
    <cfRule type="cellIs" dxfId="23321" priority="2472" operator="lessThan">
      <formula>0.8</formula>
    </cfRule>
  </conditionalFormatting>
  <conditionalFormatting sqref="R31">
    <cfRule type="cellIs" dxfId="23320" priority="2467" operator="lessThan">
      <formula>0.8</formula>
    </cfRule>
    <cfRule type="cellIs" dxfId="23319" priority="2468" operator="greaterThan">
      <formula>1</formula>
    </cfRule>
  </conditionalFormatting>
  <conditionalFormatting sqref="R31">
    <cfRule type="cellIs" dxfId="23318" priority="2465" operator="greaterThan">
      <formula>1</formula>
    </cfRule>
    <cfRule type="cellIs" dxfId="23317" priority="2466" operator="lessThan">
      <formula>0.8</formula>
    </cfRule>
  </conditionalFormatting>
  <conditionalFormatting sqref="P31">
    <cfRule type="cellIs" dxfId="23316" priority="2464" operator="greaterThan">
      <formula>0</formula>
    </cfRule>
  </conditionalFormatting>
  <conditionalFormatting sqref="Q31">
    <cfRule type="cellIs" dxfId="23315" priority="2469" operator="lessThan">
      <formula>0</formula>
    </cfRule>
  </conditionalFormatting>
  <conditionalFormatting sqref="Q31">
    <cfRule type="cellIs" dxfId="23314" priority="2463" operator="lessThan">
      <formula>0</formula>
    </cfRule>
  </conditionalFormatting>
  <conditionalFormatting sqref="R31">
    <cfRule type="cellIs" dxfId="23313" priority="2461" operator="lessThan">
      <formula>0.8</formula>
    </cfRule>
    <cfRule type="cellIs" dxfId="23312" priority="2462" operator="greaterThan">
      <formula>1</formula>
    </cfRule>
  </conditionalFormatting>
  <conditionalFormatting sqref="R31">
    <cfRule type="cellIs" dxfId="23311" priority="2459" operator="greaterThan">
      <formula>1</formula>
    </cfRule>
    <cfRule type="cellIs" dxfId="23310" priority="2460" operator="lessThan">
      <formula>0.8</formula>
    </cfRule>
  </conditionalFormatting>
  <conditionalFormatting sqref="P31">
    <cfRule type="cellIs" dxfId="23309" priority="2458" operator="greaterThan">
      <formula>0</formula>
    </cfRule>
  </conditionalFormatting>
  <conditionalFormatting sqref="Q31">
    <cfRule type="cellIs" dxfId="23308" priority="2457" operator="lessThan">
      <formula>0</formula>
    </cfRule>
  </conditionalFormatting>
  <conditionalFormatting sqref="R31">
    <cfRule type="cellIs" dxfId="23307" priority="2455" operator="lessThan">
      <formula>0.8</formula>
    </cfRule>
    <cfRule type="cellIs" dxfId="23306" priority="2456" operator="greaterThan">
      <formula>1</formula>
    </cfRule>
  </conditionalFormatting>
  <conditionalFormatting sqref="R31">
    <cfRule type="cellIs" dxfId="23305" priority="2453" operator="greaterThan">
      <formula>1</formula>
    </cfRule>
    <cfRule type="cellIs" dxfId="23304" priority="2454" operator="lessThan">
      <formula>0.8</formula>
    </cfRule>
  </conditionalFormatting>
  <conditionalFormatting sqref="P31">
    <cfRule type="cellIs" dxfId="23303" priority="2452" operator="greaterThan">
      <formula>0</formula>
    </cfRule>
  </conditionalFormatting>
  <conditionalFormatting sqref="Q31">
    <cfRule type="cellIs" dxfId="23302" priority="2451" operator="lessThan">
      <formula>0</formula>
    </cfRule>
  </conditionalFormatting>
  <conditionalFormatting sqref="R31">
    <cfRule type="cellIs" dxfId="23301" priority="2449" operator="lessThan">
      <formula>0.8</formula>
    </cfRule>
    <cfRule type="cellIs" dxfId="23300" priority="2450" operator="greaterThan">
      <formula>1</formula>
    </cfRule>
  </conditionalFormatting>
  <conditionalFormatting sqref="R31">
    <cfRule type="cellIs" dxfId="23299" priority="2447" operator="greaterThan">
      <formula>1</formula>
    </cfRule>
    <cfRule type="cellIs" dxfId="23298" priority="2448" operator="lessThan">
      <formula>0.8</formula>
    </cfRule>
  </conditionalFormatting>
  <conditionalFormatting sqref="P31">
    <cfRule type="cellIs" dxfId="23297" priority="2446" operator="greaterThan">
      <formula>0</formula>
    </cfRule>
  </conditionalFormatting>
  <conditionalFormatting sqref="Q31">
    <cfRule type="cellIs" dxfId="23296" priority="2445" operator="lessThan">
      <formula>0</formula>
    </cfRule>
  </conditionalFormatting>
  <conditionalFormatting sqref="R31">
    <cfRule type="cellIs" dxfId="23295" priority="2443" operator="lessThan">
      <formula>0.8</formula>
    </cfRule>
    <cfRule type="cellIs" dxfId="23294" priority="2444" operator="greaterThan">
      <formula>1</formula>
    </cfRule>
  </conditionalFormatting>
  <conditionalFormatting sqref="R31">
    <cfRule type="cellIs" dxfId="23293" priority="2441" operator="greaterThan">
      <formula>1</formula>
    </cfRule>
    <cfRule type="cellIs" dxfId="23292" priority="2442" operator="lessThan">
      <formula>0.8</formula>
    </cfRule>
  </conditionalFormatting>
  <conditionalFormatting sqref="P31">
    <cfRule type="cellIs" dxfId="23291" priority="2440" operator="greaterThan">
      <formula>0</formula>
    </cfRule>
  </conditionalFormatting>
  <conditionalFormatting sqref="P31">
    <cfRule type="cellIs" dxfId="23290" priority="2434" operator="greaterThan">
      <formula>0</formula>
    </cfRule>
  </conditionalFormatting>
  <conditionalFormatting sqref="Q31">
    <cfRule type="cellIs" dxfId="23289" priority="2439" operator="lessThan">
      <formula>0</formula>
    </cfRule>
  </conditionalFormatting>
  <conditionalFormatting sqref="R31">
    <cfRule type="cellIs" dxfId="23288" priority="2437" operator="lessThan">
      <formula>0.8</formula>
    </cfRule>
    <cfRule type="cellIs" dxfId="23287" priority="2438" operator="greaterThan">
      <formula>1</formula>
    </cfRule>
  </conditionalFormatting>
  <conditionalFormatting sqref="R31">
    <cfRule type="cellIs" dxfId="23286" priority="2435" operator="greaterThan">
      <formula>1</formula>
    </cfRule>
    <cfRule type="cellIs" dxfId="23285" priority="2436" operator="lessThan">
      <formula>0.8</formula>
    </cfRule>
  </conditionalFormatting>
  <conditionalFormatting sqref="P31">
    <cfRule type="cellIs" dxfId="23284" priority="2428" operator="greaterThan">
      <formula>0</formula>
    </cfRule>
  </conditionalFormatting>
  <conditionalFormatting sqref="Q31">
    <cfRule type="cellIs" dxfId="23283" priority="2433" operator="lessThan">
      <formula>0</formula>
    </cfRule>
  </conditionalFormatting>
  <conditionalFormatting sqref="R31">
    <cfRule type="cellIs" dxfId="23282" priority="2431" operator="lessThan">
      <formula>0.8</formula>
    </cfRule>
    <cfRule type="cellIs" dxfId="23281" priority="2432" operator="greaterThan">
      <formula>1</formula>
    </cfRule>
  </conditionalFormatting>
  <conditionalFormatting sqref="R31">
    <cfRule type="cellIs" dxfId="23280" priority="2429" operator="greaterThan">
      <formula>1</formula>
    </cfRule>
    <cfRule type="cellIs" dxfId="23279" priority="2430" operator="lessThan">
      <formula>0.8</formula>
    </cfRule>
  </conditionalFormatting>
  <conditionalFormatting sqref="R31">
    <cfRule type="cellIs" dxfId="23278" priority="2425" operator="lessThan">
      <formula>0.8</formula>
    </cfRule>
    <cfRule type="cellIs" dxfId="23277" priority="2426" operator="greaterThan">
      <formula>1</formula>
    </cfRule>
  </conditionalFormatting>
  <conditionalFormatting sqref="R31">
    <cfRule type="cellIs" dxfId="23276" priority="2423" operator="greaterThan">
      <formula>1</formula>
    </cfRule>
    <cfRule type="cellIs" dxfId="23275" priority="2424" operator="lessThan">
      <formula>0.8</formula>
    </cfRule>
  </conditionalFormatting>
  <conditionalFormatting sqref="P31">
    <cfRule type="cellIs" dxfId="23274" priority="2422" operator="greaterThan">
      <formula>0</formula>
    </cfRule>
  </conditionalFormatting>
  <conditionalFormatting sqref="Q31">
    <cfRule type="cellIs" dxfId="23273" priority="2427" operator="lessThan">
      <formula>0</formula>
    </cfRule>
  </conditionalFormatting>
  <conditionalFormatting sqref="Q31">
    <cfRule type="cellIs" dxfId="23272" priority="2421" operator="lessThan">
      <formula>0</formula>
    </cfRule>
  </conditionalFormatting>
  <conditionalFormatting sqref="R31">
    <cfRule type="cellIs" dxfId="23271" priority="2419" operator="lessThan">
      <formula>0.8</formula>
    </cfRule>
    <cfRule type="cellIs" dxfId="23270" priority="2420" operator="greaterThan">
      <formula>1</formula>
    </cfRule>
  </conditionalFormatting>
  <conditionalFormatting sqref="R31">
    <cfRule type="cellIs" dxfId="23269" priority="2417" operator="greaterThan">
      <formula>1</formula>
    </cfRule>
    <cfRule type="cellIs" dxfId="23268" priority="2418" operator="lessThan">
      <formula>0.8</formula>
    </cfRule>
  </conditionalFormatting>
  <conditionalFormatting sqref="P31">
    <cfRule type="cellIs" dxfId="23267" priority="2416" operator="greaterThan">
      <formula>0</formula>
    </cfRule>
  </conditionalFormatting>
  <conditionalFormatting sqref="P31">
    <cfRule type="cellIs" dxfId="23266" priority="2410" operator="greaterThan">
      <formula>0</formula>
    </cfRule>
  </conditionalFormatting>
  <conditionalFormatting sqref="Q31">
    <cfRule type="cellIs" dxfId="23265" priority="2415" operator="lessThan">
      <formula>0</formula>
    </cfRule>
  </conditionalFormatting>
  <conditionalFormatting sqref="R31">
    <cfRule type="cellIs" dxfId="23264" priority="2413" operator="lessThan">
      <formula>0.8</formula>
    </cfRule>
    <cfRule type="cellIs" dxfId="23263" priority="2414" operator="greaterThan">
      <formula>1</formula>
    </cfRule>
  </conditionalFormatting>
  <conditionalFormatting sqref="R31">
    <cfRule type="cellIs" dxfId="23262" priority="2411" operator="greaterThan">
      <formula>1</formula>
    </cfRule>
    <cfRule type="cellIs" dxfId="23261" priority="2412" operator="lessThan">
      <formula>0.8</formula>
    </cfRule>
  </conditionalFormatting>
  <conditionalFormatting sqref="P31">
    <cfRule type="cellIs" dxfId="23260" priority="2404" operator="greaterThan">
      <formula>0</formula>
    </cfRule>
  </conditionalFormatting>
  <conditionalFormatting sqref="Q31">
    <cfRule type="cellIs" dxfId="23259" priority="2409" operator="lessThan">
      <formula>0</formula>
    </cfRule>
  </conditionalFormatting>
  <conditionalFormatting sqref="R31">
    <cfRule type="cellIs" dxfId="23258" priority="2407" operator="lessThan">
      <formula>0.8</formula>
    </cfRule>
    <cfRule type="cellIs" dxfId="23257" priority="2408" operator="greaterThan">
      <formula>1</formula>
    </cfRule>
  </conditionalFormatting>
  <conditionalFormatting sqref="R31">
    <cfRule type="cellIs" dxfId="23256" priority="2405" operator="greaterThan">
      <formula>1</formula>
    </cfRule>
    <cfRule type="cellIs" dxfId="23255" priority="2406" operator="lessThan">
      <formula>0.8</formula>
    </cfRule>
  </conditionalFormatting>
  <conditionalFormatting sqref="R31">
    <cfRule type="cellIs" dxfId="23254" priority="2401" operator="lessThan">
      <formula>0.8</formula>
    </cfRule>
    <cfRule type="cellIs" dxfId="23253" priority="2402" operator="greaterThan">
      <formula>1</formula>
    </cfRule>
  </conditionalFormatting>
  <conditionalFormatting sqref="R31">
    <cfRule type="cellIs" dxfId="23252" priority="2399" operator="greaterThan">
      <formula>1</formula>
    </cfRule>
    <cfRule type="cellIs" dxfId="23251" priority="2400" operator="lessThan">
      <formula>0.8</formula>
    </cfRule>
  </conditionalFormatting>
  <conditionalFormatting sqref="P31">
    <cfRule type="cellIs" dxfId="23250" priority="2398" operator="greaterThan">
      <formula>0</formula>
    </cfRule>
  </conditionalFormatting>
  <conditionalFormatting sqref="Q31">
    <cfRule type="cellIs" dxfId="23249" priority="2403" operator="lessThan">
      <formula>0</formula>
    </cfRule>
  </conditionalFormatting>
  <conditionalFormatting sqref="P31">
    <cfRule type="cellIs" dxfId="23248" priority="2392" operator="greaterThan">
      <formula>0</formula>
    </cfRule>
  </conditionalFormatting>
  <conditionalFormatting sqref="Q31">
    <cfRule type="cellIs" dxfId="23247" priority="2397" operator="lessThan">
      <formula>0</formula>
    </cfRule>
  </conditionalFormatting>
  <conditionalFormatting sqref="R31">
    <cfRule type="cellIs" dxfId="23246" priority="2395" operator="lessThan">
      <formula>0.8</formula>
    </cfRule>
    <cfRule type="cellIs" dxfId="23245" priority="2396" operator="greaterThan">
      <formula>1</formula>
    </cfRule>
  </conditionalFormatting>
  <conditionalFormatting sqref="R31">
    <cfRule type="cellIs" dxfId="23244" priority="2393" operator="greaterThan">
      <formula>1</formula>
    </cfRule>
    <cfRule type="cellIs" dxfId="23243" priority="2394" operator="lessThan">
      <formula>0.8</formula>
    </cfRule>
  </conditionalFormatting>
  <conditionalFormatting sqref="R31">
    <cfRule type="cellIs" dxfId="23242" priority="2389" operator="lessThan">
      <formula>0.8</formula>
    </cfRule>
    <cfRule type="cellIs" dxfId="23241" priority="2390" operator="greaterThan">
      <formula>1</formula>
    </cfRule>
  </conditionalFormatting>
  <conditionalFormatting sqref="R31">
    <cfRule type="cellIs" dxfId="23240" priority="2387" operator="greaterThan">
      <formula>1</formula>
    </cfRule>
    <cfRule type="cellIs" dxfId="23239" priority="2388" operator="lessThan">
      <formula>0.8</formula>
    </cfRule>
  </conditionalFormatting>
  <conditionalFormatting sqref="P31">
    <cfRule type="cellIs" dxfId="23238" priority="2386" operator="greaterThan">
      <formula>0</formula>
    </cfRule>
  </conditionalFormatting>
  <conditionalFormatting sqref="Q31">
    <cfRule type="cellIs" dxfId="23237" priority="2391" operator="lessThan">
      <formula>0</formula>
    </cfRule>
  </conditionalFormatting>
  <conditionalFormatting sqref="R31">
    <cfRule type="cellIs" dxfId="23236" priority="2383" operator="lessThan">
      <formula>0.8</formula>
    </cfRule>
    <cfRule type="cellIs" dxfId="23235" priority="2384" operator="greaterThan">
      <formula>1</formula>
    </cfRule>
  </conditionalFormatting>
  <conditionalFormatting sqref="R31">
    <cfRule type="cellIs" dxfId="23234" priority="2381" operator="greaterThan">
      <formula>1</formula>
    </cfRule>
    <cfRule type="cellIs" dxfId="23233" priority="2382" operator="lessThan">
      <formula>0.8</formula>
    </cfRule>
  </conditionalFormatting>
  <conditionalFormatting sqref="P31">
    <cfRule type="cellIs" dxfId="23232" priority="2380" operator="greaterThan">
      <formula>0</formula>
    </cfRule>
  </conditionalFormatting>
  <conditionalFormatting sqref="Q31">
    <cfRule type="cellIs" dxfId="23231" priority="2385" operator="lessThan">
      <formula>0</formula>
    </cfRule>
  </conditionalFormatting>
  <conditionalFormatting sqref="Q31">
    <cfRule type="cellIs" dxfId="23230" priority="2379" operator="lessThan">
      <formula>0</formula>
    </cfRule>
  </conditionalFormatting>
  <conditionalFormatting sqref="R31">
    <cfRule type="cellIs" dxfId="23229" priority="2377" operator="lessThan">
      <formula>0.8</formula>
    </cfRule>
    <cfRule type="cellIs" dxfId="23228" priority="2378" operator="greaterThan">
      <formula>1</formula>
    </cfRule>
  </conditionalFormatting>
  <conditionalFormatting sqref="R31">
    <cfRule type="cellIs" dxfId="23227" priority="2375" operator="greaterThan">
      <formula>1</formula>
    </cfRule>
    <cfRule type="cellIs" dxfId="23226" priority="2376" operator="lessThan">
      <formula>0.8</formula>
    </cfRule>
  </conditionalFormatting>
  <conditionalFormatting sqref="P31">
    <cfRule type="cellIs" dxfId="23225" priority="2374" operator="greaterThan">
      <formula>0</formula>
    </cfRule>
  </conditionalFormatting>
  <conditionalFormatting sqref="Q31">
    <cfRule type="cellIs" dxfId="23224" priority="2368" operator="lessThan">
      <formula>0</formula>
    </cfRule>
  </conditionalFormatting>
  <conditionalFormatting sqref="R31">
    <cfRule type="cellIs" dxfId="23223" priority="2372" operator="lessThan">
      <formula>0.8</formula>
    </cfRule>
    <cfRule type="cellIs" dxfId="23222" priority="2373" operator="greaterThan">
      <formula>1</formula>
    </cfRule>
  </conditionalFormatting>
  <conditionalFormatting sqref="R31">
    <cfRule type="cellIs" dxfId="23221" priority="2370" operator="greaterThan">
      <formula>1</formula>
    </cfRule>
    <cfRule type="cellIs" dxfId="23220" priority="2371" operator="lessThan">
      <formula>0.8</formula>
    </cfRule>
  </conditionalFormatting>
  <conditionalFormatting sqref="P31">
    <cfRule type="cellIs" dxfId="23219" priority="2369" operator="greaterThan">
      <formula>0</formula>
    </cfRule>
  </conditionalFormatting>
  <conditionalFormatting sqref="Q31">
    <cfRule type="cellIs" dxfId="23218" priority="2367" operator="lessThan">
      <formula>0</formula>
    </cfRule>
  </conditionalFormatting>
  <conditionalFormatting sqref="R31">
    <cfRule type="cellIs" dxfId="23217" priority="2365" operator="lessThan">
      <formula>0.8</formula>
    </cfRule>
    <cfRule type="cellIs" dxfId="23216" priority="2366" operator="greaterThan">
      <formula>1</formula>
    </cfRule>
  </conditionalFormatting>
  <conditionalFormatting sqref="R31">
    <cfRule type="cellIs" dxfId="23215" priority="2363" operator="greaterThan">
      <formula>1</formula>
    </cfRule>
    <cfRule type="cellIs" dxfId="23214" priority="2364" operator="lessThan">
      <formula>0.8</formula>
    </cfRule>
  </conditionalFormatting>
  <conditionalFormatting sqref="P31">
    <cfRule type="cellIs" dxfId="23213" priority="2362" operator="greaterThan">
      <formula>0</formula>
    </cfRule>
  </conditionalFormatting>
  <conditionalFormatting sqref="Q31">
    <cfRule type="cellIs" dxfId="23212" priority="2361" operator="lessThan">
      <formula>0</formula>
    </cfRule>
  </conditionalFormatting>
  <conditionalFormatting sqref="R31">
    <cfRule type="cellIs" dxfId="23211" priority="2359" operator="lessThan">
      <formula>0.8</formula>
    </cfRule>
    <cfRule type="cellIs" dxfId="23210" priority="2360" operator="greaterThan">
      <formula>1</formula>
    </cfRule>
  </conditionalFormatting>
  <conditionalFormatting sqref="R31">
    <cfRule type="cellIs" dxfId="23209" priority="2357" operator="greaterThan">
      <formula>1</formula>
    </cfRule>
    <cfRule type="cellIs" dxfId="23208" priority="2358" operator="lessThan">
      <formula>0.8</formula>
    </cfRule>
  </conditionalFormatting>
  <conditionalFormatting sqref="P31">
    <cfRule type="cellIs" dxfId="23207" priority="2356" operator="greaterThan">
      <formula>0</formula>
    </cfRule>
  </conditionalFormatting>
  <conditionalFormatting sqref="Q31">
    <cfRule type="cellIs" dxfId="23206" priority="2355" operator="lessThan">
      <formula>0</formula>
    </cfRule>
  </conditionalFormatting>
  <conditionalFormatting sqref="R31">
    <cfRule type="cellIs" dxfId="23205" priority="2353" operator="lessThan">
      <formula>0.8</formula>
    </cfRule>
    <cfRule type="cellIs" dxfId="23204" priority="2354" operator="greaterThan">
      <formula>1</formula>
    </cfRule>
  </conditionalFormatting>
  <conditionalFormatting sqref="R31">
    <cfRule type="cellIs" dxfId="23203" priority="2351" operator="greaterThan">
      <formula>1</formula>
    </cfRule>
    <cfRule type="cellIs" dxfId="23202" priority="2352" operator="lessThan">
      <formula>0.8</formula>
    </cfRule>
  </conditionalFormatting>
  <conditionalFormatting sqref="P31">
    <cfRule type="cellIs" dxfId="23201" priority="2350" operator="greaterThan">
      <formula>0</formula>
    </cfRule>
  </conditionalFormatting>
  <conditionalFormatting sqref="Q31">
    <cfRule type="cellIs" dxfId="23200" priority="2349" operator="lessThan">
      <formula>0</formula>
    </cfRule>
  </conditionalFormatting>
  <conditionalFormatting sqref="R31">
    <cfRule type="cellIs" dxfId="23199" priority="2347" operator="lessThan">
      <formula>0.8</formula>
    </cfRule>
    <cfRule type="cellIs" dxfId="23198" priority="2348" operator="greaterThan">
      <formula>1</formula>
    </cfRule>
  </conditionalFormatting>
  <conditionalFormatting sqref="R31">
    <cfRule type="cellIs" dxfId="23197" priority="2345" operator="greaterThan">
      <formula>1</formula>
    </cfRule>
    <cfRule type="cellIs" dxfId="23196" priority="2346" operator="lessThan">
      <formula>0.8</formula>
    </cfRule>
  </conditionalFormatting>
  <conditionalFormatting sqref="P31">
    <cfRule type="cellIs" dxfId="23195" priority="2344" operator="greaterThan">
      <formula>0</formula>
    </cfRule>
  </conditionalFormatting>
  <conditionalFormatting sqref="Q31">
    <cfRule type="cellIs" dxfId="23194" priority="2343" operator="lessThan">
      <formula>0</formula>
    </cfRule>
  </conditionalFormatting>
  <conditionalFormatting sqref="R31">
    <cfRule type="cellIs" dxfId="23193" priority="2341" operator="lessThan">
      <formula>0.8</formula>
    </cfRule>
    <cfRule type="cellIs" dxfId="23192" priority="2342" operator="greaterThan">
      <formula>1</formula>
    </cfRule>
  </conditionalFormatting>
  <conditionalFormatting sqref="R31">
    <cfRule type="cellIs" dxfId="23191" priority="2339" operator="greaterThan">
      <formula>1</formula>
    </cfRule>
    <cfRule type="cellIs" dxfId="23190" priority="2340" operator="lessThan">
      <formula>0.8</formula>
    </cfRule>
  </conditionalFormatting>
  <conditionalFormatting sqref="P31">
    <cfRule type="cellIs" dxfId="23189" priority="2338" operator="greaterThan">
      <formula>0</formula>
    </cfRule>
  </conditionalFormatting>
  <conditionalFormatting sqref="P31">
    <cfRule type="cellIs" dxfId="23188" priority="2332" operator="greaterThan">
      <formula>0</formula>
    </cfRule>
  </conditionalFormatting>
  <conditionalFormatting sqref="Q31">
    <cfRule type="cellIs" dxfId="23187" priority="2337" operator="lessThan">
      <formula>0</formula>
    </cfRule>
  </conditionalFormatting>
  <conditionalFormatting sqref="R31">
    <cfRule type="cellIs" dxfId="23186" priority="2335" operator="lessThan">
      <formula>0.8</formula>
    </cfRule>
    <cfRule type="cellIs" dxfId="23185" priority="2336" operator="greaterThan">
      <formula>1</formula>
    </cfRule>
  </conditionalFormatting>
  <conditionalFormatting sqref="R31">
    <cfRule type="cellIs" dxfId="23184" priority="2333" operator="greaterThan">
      <formula>1</formula>
    </cfRule>
    <cfRule type="cellIs" dxfId="23183" priority="2334" operator="lessThan">
      <formula>0.8</formula>
    </cfRule>
  </conditionalFormatting>
  <conditionalFormatting sqref="P31">
    <cfRule type="cellIs" dxfId="23182" priority="2326" operator="greaterThan">
      <formula>0</formula>
    </cfRule>
  </conditionalFormatting>
  <conditionalFormatting sqref="Q31">
    <cfRule type="cellIs" dxfId="23181" priority="2331" operator="lessThan">
      <formula>0</formula>
    </cfRule>
  </conditionalFormatting>
  <conditionalFormatting sqref="R31">
    <cfRule type="cellIs" dxfId="23180" priority="2329" operator="lessThan">
      <formula>0.8</formula>
    </cfRule>
    <cfRule type="cellIs" dxfId="23179" priority="2330" operator="greaterThan">
      <formula>1</formula>
    </cfRule>
  </conditionalFormatting>
  <conditionalFormatting sqref="R31">
    <cfRule type="cellIs" dxfId="23178" priority="2327" operator="greaterThan">
      <formula>1</formula>
    </cfRule>
    <cfRule type="cellIs" dxfId="23177" priority="2328" operator="lessThan">
      <formula>0.8</formula>
    </cfRule>
  </conditionalFormatting>
  <conditionalFormatting sqref="R31">
    <cfRule type="cellIs" dxfId="23176" priority="2323" operator="lessThan">
      <formula>0.8</formula>
    </cfRule>
    <cfRule type="cellIs" dxfId="23175" priority="2324" operator="greaterThan">
      <formula>1</formula>
    </cfRule>
  </conditionalFormatting>
  <conditionalFormatting sqref="R31">
    <cfRule type="cellIs" dxfId="23174" priority="2321" operator="greaterThan">
      <formula>1</formula>
    </cfRule>
    <cfRule type="cellIs" dxfId="23173" priority="2322" operator="lessThan">
      <formula>0.8</formula>
    </cfRule>
  </conditionalFormatting>
  <conditionalFormatting sqref="P31">
    <cfRule type="cellIs" dxfId="23172" priority="2320" operator="greaterThan">
      <formula>0</formula>
    </cfRule>
  </conditionalFormatting>
  <conditionalFormatting sqref="Q31">
    <cfRule type="cellIs" dxfId="23171" priority="2325" operator="lessThan">
      <formula>0</formula>
    </cfRule>
  </conditionalFormatting>
  <conditionalFormatting sqref="P79">
    <cfRule type="cellIs" dxfId="23170" priority="2314" operator="greaterThan">
      <formula>0</formula>
    </cfRule>
  </conditionalFormatting>
  <conditionalFormatting sqref="Q79">
    <cfRule type="cellIs" dxfId="23169" priority="2319" operator="lessThan">
      <formula>0</formula>
    </cfRule>
  </conditionalFormatting>
  <conditionalFormatting sqref="R79">
    <cfRule type="cellIs" dxfId="23168" priority="2317" operator="lessThan">
      <formula>0.8</formula>
    </cfRule>
    <cfRule type="cellIs" dxfId="23167" priority="2318" operator="greaterThan">
      <formula>1</formula>
    </cfRule>
  </conditionalFormatting>
  <conditionalFormatting sqref="R79">
    <cfRule type="cellIs" dxfId="23166" priority="2315" operator="greaterThan">
      <formula>1</formula>
    </cfRule>
    <cfRule type="cellIs" dxfId="23165" priority="2316" operator="lessThan">
      <formula>0.8</formula>
    </cfRule>
  </conditionalFormatting>
  <conditionalFormatting sqref="Q79">
    <cfRule type="cellIs" dxfId="23164" priority="2313" operator="lessThan">
      <formula>0</formula>
    </cfRule>
  </conditionalFormatting>
  <conditionalFormatting sqref="R79">
    <cfRule type="cellIs" dxfId="23163" priority="2311" operator="lessThan">
      <formula>0.8</formula>
    </cfRule>
    <cfRule type="cellIs" dxfId="23162" priority="2312" operator="greaterThan">
      <formula>1</formula>
    </cfRule>
  </conditionalFormatting>
  <conditionalFormatting sqref="R79">
    <cfRule type="cellIs" dxfId="23161" priority="2309" operator="greaterThan">
      <formula>1</formula>
    </cfRule>
    <cfRule type="cellIs" dxfId="23160" priority="2310" operator="lessThan">
      <formula>0.8</formula>
    </cfRule>
  </conditionalFormatting>
  <conditionalFormatting sqref="P79">
    <cfRule type="cellIs" dxfId="23159" priority="2308" operator="greaterThan">
      <formula>0</formula>
    </cfRule>
  </conditionalFormatting>
  <conditionalFormatting sqref="P79">
    <cfRule type="cellIs" dxfId="23158" priority="2302" operator="greaterThan">
      <formula>0</formula>
    </cfRule>
  </conditionalFormatting>
  <conditionalFormatting sqref="Q79">
    <cfRule type="cellIs" dxfId="23157" priority="2307" operator="lessThan">
      <formula>0</formula>
    </cfRule>
  </conditionalFormatting>
  <conditionalFormatting sqref="R79">
    <cfRule type="cellIs" dxfId="23156" priority="2305" operator="lessThan">
      <formula>0.8</formula>
    </cfRule>
    <cfRule type="cellIs" dxfId="23155" priority="2306" operator="greaterThan">
      <formula>1</formula>
    </cfRule>
  </conditionalFormatting>
  <conditionalFormatting sqref="R79">
    <cfRule type="cellIs" dxfId="23154" priority="2303" operator="greaterThan">
      <formula>1</formula>
    </cfRule>
    <cfRule type="cellIs" dxfId="23153" priority="2304" operator="lessThan">
      <formula>0.8</formula>
    </cfRule>
  </conditionalFormatting>
  <conditionalFormatting sqref="Q79">
    <cfRule type="cellIs" dxfId="23152" priority="2296" operator="lessThan">
      <formula>0</formula>
    </cfRule>
  </conditionalFormatting>
  <conditionalFormatting sqref="P79">
    <cfRule type="cellIs" dxfId="23151" priority="2297" operator="greaterThan">
      <formula>0</formula>
    </cfRule>
  </conditionalFormatting>
  <conditionalFormatting sqref="R79">
    <cfRule type="cellIs" dxfId="23150" priority="2300" operator="lessThan">
      <formula>0.8</formula>
    </cfRule>
    <cfRule type="cellIs" dxfId="23149" priority="2301" operator="greaterThan">
      <formula>1</formula>
    </cfRule>
  </conditionalFormatting>
  <conditionalFormatting sqref="R79">
    <cfRule type="cellIs" dxfId="23148" priority="2298" operator="greaterThan">
      <formula>1</formula>
    </cfRule>
    <cfRule type="cellIs" dxfId="23147" priority="2299" operator="lessThan">
      <formula>0.8</formula>
    </cfRule>
  </conditionalFormatting>
  <conditionalFormatting sqref="Q79">
    <cfRule type="cellIs" dxfId="23146" priority="2290" operator="lessThan">
      <formula>0</formula>
    </cfRule>
  </conditionalFormatting>
  <conditionalFormatting sqref="R79">
    <cfRule type="cellIs" dxfId="23145" priority="2294" operator="lessThan">
      <formula>0.8</formula>
    </cfRule>
    <cfRule type="cellIs" dxfId="23144" priority="2295" operator="greaterThan">
      <formula>1</formula>
    </cfRule>
  </conditionalFormatting>
  <conditionalFormatting sqref="R79">
    <cfRule type="cellIs" dxfId="23143" priority="2292" operator="greaterThan">
      <formula>1</formula>
    </cfRule>
    <cfRule type="cellIs" dxfId="23142" priority="2293" operator="lessThan">
      <formula>0.8</formula>
    </cfRule>
  </conditionalFormatting>
  <conditionalFormatting sqref="P79">
    <cfRule type="cellIs" dxfId="23141" priority="2291" operator="greaterThan">
      <formula>0</formula>
    </cfRule>
  </conditionalFormatting>
  <conditionalFormatting sqref="Q79">
    <cfRule type="cellIs" dxfId="23140" priority="2289" operator="lessThan">
      <formula>0</formula>
    </cfRule>
  </conditionalFormatting>
  <conditionalFormatting sqref="R79">
    <cfRule type="cellIs" dxfId="23139" priority="2287" operator="lessThan">
      <formula>0.8</formula>
    </cfRule>
    <cfRule type="cellIs" dxfId="23138" priority="2288" operator="greaterThan">
      <formula>1</formula>
    </cfRule>
  </conditionalFormatting>
  <conditionalFormatting sqref="R79">
    <cfRule type="cellIs" dxfId="23137" priority="2285" operator="greaterThan">
      <formula>1</formula>
    </cfRule>
    <cfRule type="cellIs" dxfId="23136" priority="2286" operator="lessThan">
      <formula>0.8</formula>
    </cfRule>
  </conditionalFormatting>
  <conditionalFormatting sqref="P79">
    <cfRule type="cellIs" dxfId="23135" priority="2284" operator="greaterThan">
      <formula>0</formula>
    </cfRule>
  </conditionalFormatting>
  <conditionalFormatting sqref="Q79">
    <cfRule type="cellIs" dxfId="23134" priority="2283" operator="lessThan">
      <formula>0</formula>
    </cfRule>
  </conditionalFormatting>
  <conditionalFormatting sqref="R79">
    <cfRule type="cellIs" dxfId="23133" priority="2281" operator="lessThan">
      <formula>0.8</formula>
    </cfRule>
    <cfRule type="cellIs" dxfId="23132" priority="2282" operator="greaterThan">
      <formula>1</formula>
    </cfRule>
  </conditionalFormatting>
  <conditionalFormatting sqref="R79">
    <cfRule type="cellIs" dxfId="23131" priority="2279" operator="greaterThan">
      <formula>1</formula>
    </cfRule>
    <cfRule type="cellIs" dxfId="23130" priority="2280" operator="lessThan">
      <formula>0.8</formula>
    </cfRule>
  </conditionalFormatting>
  <conditionalFormatting sqref="P79">
    <cfRule type="cellIs" dxfId="23129" priority="2278" operator="greaterThan">
      <formula>0</formula>
    </cfRule>
  </conditionalFormatting>
  <conditionalFormatting sqref="P79">
    <cfRule type="cellIs" dxfId="23128" priority="2272" operator="greaterThan">
      <formula>0</formula>
    </cfRule>
  </conditionalFormatting>
  <conditionalFormatting sqref="Q79">
    <cfRule type="cellIs" dxfId="23127" priority="2277" operator="lessThan">
      <formula>0</formula>
    </cfRule>
  </conditionalFormatting>
  <conditionalFormatting sqref="R79">
    <cfRule type="cellIs" dxfId="23126" priority="2275" operator="lessThan">
      <formula>0.8</formula>
    </cfRule>
    <cfRule type="cellIs" dxfId="23125" priority="2276" operator="greaterThan">
      <formula>1</formula>
    </cfRule>
  </conditionalFormatting>
  <conditionalFormatting sqref="R79">
    <cfRule type="cellIs" dxfId="23124" priority="2273" operator="greaterThan">
      <formula>1</formula>
    </cfRule>
    <cfRule type="cellIs" dxfId="23123" priority="2274" operator="lessThan">
      <formula>0.8</formula>
    </cfRule>
  </conditionalFormatting>
  <conditionalFormatting sqref="P71:P78">
    <cfRule type="cellIs" dxfId="23122" priority="2266" operator="greaterThan">
      <formula>0</formula>
    </cfRule>
  </conditionalFormatting>
  <conditionalFormatting sqref="Q71:Q78">
    <cfRule type="cellIs" dxfId="23121" priority="2271" operator="lessThan">
      <formula>0</formula>
    </cfRule>
  </conditionalFormatting>
  <conditionalFormatting sqref="R71:R78">
    <cfRule type="cellIs" dxfId="23120" priority="2269" operator="lessThan">
      <formula>0.8</formula>
    </cfRule>
    <cfRule type="cellIs" dxfId="23119" priority="2270" operator="greaterThan">
      <formula>1</formula>
    </cfRule>
  </conditionalFormatting>
  <conditionalFormatting sqref="R71:R78">
    <cfRule type="cellIs" dxfId="23118" priority="2267" operator="greaterThan">
      <formula>1</formula>
    </cfRule>
    <cfRule type="cellIs" dxfId="23117" priority="2268" operator="lessThan">
      <formula>0.8</formula>
    </cfRule>
  </conditionalFormatting>
  <conditionalFormatting sqref="Q148:Q153">
    <cfRule type="cellIs" dxfId="23116" priority="2265" operator="lessThan">
      <formula>0</formula>
    </cfRule>
  </conditionalFormatting>
  <conditionalFormatting sqref="R148:R153">
    <cfRule type="cellIs" dxfId="23115" priority="2263" operator="lessThan">
      <formula>0.8</formula>
    </cfRule>
    <cfRule type="cellIs" dxfId="23114" priority="2264" operator="greaterThan">
      <formula>1</formula>
    </cfRule>
  </conditionalFormatting>
  <conditionalFormatting sqref="R148:R153">
    <cfRule type="cellIs" dxfId="23113" priority="2261" operator="greaterThan">
      <formula>1</formula>
    </cfRule>
    <cfRule type="cellIs" dxfId="23112" priority="2262" operator="lessThan">
      <formula>0.8</formula>
    </cfRule>
  </conditionalFormatting>
  <conditionalFormatting sqref="P148:P153">
    <cfRule type="cellIs" dxfId="23111" priority="2260" operator="greaterThan">
      <formula>0</formula>
    </cfRule>
  </conditionalFormatting>
  <conditionalFormatting sqref="Q148:Q153">
    <cfRule type="cellIs" dxfId="23110" priority="2259" operator="lessThan">
      <formula>0</formula>
    </cfRule>
  </conditionalFormatting>
  <conditionalFormatting sqref="R148:R153">
    <cfRule type="cellIs" dxfId="23109" priority="2257" operator="lessThan">
      <formula>0.8</formula>
    </cfRule>
    <cfRule type="cellIs" dxfId="23108" priority="2258" operator="greaterThan">
      <formula>1</formula>
    </cfRule>
  </conditionalFormatting>
  <conditionalFormatting sqref="R148:R153">
    <cfRule type="cellIs" dxfId="23107" priority="2255" operator="greaterThan">
      <formula>1</formula>
    </cfRule>
    <cfRule type="cellIs" dxfId="23106" priority="2256" operator="lessThan">
      <formula>0.8</formula>
    </cfRule>
  </conditionalFormatting>
  <conditionalFormatting sqref="P148:P153">
    <cfRule type="cellIs" dxfId="23105" priority="2254" operator="greaterThan">
      <formula>0</formula>
    </cfRule>
  </conditionalFormatting>
  <conditionalFormatting sqref="Q148:Q153">
    <cfRule type="cellIs" dxfId="23104" priority="2253" operator="lessThan">
      <formula>0</formula>
    </cfRule>
  </conditionalFormatting>
  <conditionalFormatting sqref="R148:R153">
    <cfRule type="cellIs" dxfId="23103" priority="2251" operator="lessThan">
      <formula>0.8</formula>
    </cfRule>
    <cfRule type="cellIs" dxfId="23102" priority="2252" operator="greaterThan">
      <formula>1</formula>
    </cfRule>
  </conditionalFormatting>
  <conditionalFormatting sqref="R148:R153">
    <cfRule type="cellIs" dxfId="23101" priority="2249" operator="greaterThan">
      <formula>1</formula>
    </cfRule>
    <cfRule type="cellIs" dxfId="23100" priority="2250" operator="lessThan">
      <formula>0.8</formula>
    </cfRule>
  </conditionalFormatting>
  <conditionalFormatting sqref="P148:P153">
    <cfRule type="cellIs" dxfId="23099" priority="2248" operator="greaterThan">
      <formula>0</formula>
    </cfRule>
  </conditionalFormatting>
  <conditionalFormatting sqref="Q148:Q153">
    <cfRule type="cellIs" dxfId="23098" priority="2247" operator="lessThan">
      <formula>0</formula>
    </cfRule>
  </conditionalFormatting>
  <conditionalFormatting sqref="R148:R153">
    <cfRule type="cellIs" dxfId="23097" priority="2245" operator="lessThan">
      <formula>0.8</formula>
    </cfRule>
    <cfRule type="cellIs" dxfId="23096" priority="2246" operator="greaterThan">
      <formula>1</formula>
    </cfRule>
  </conditionalFormatting>
  <conditionalFormatting sqref="R148:R153">
    <cfRule type="cellIs" dxfId="23095" priority="2243" operator="greaterThan">
      <formula>1</formula>
    </cfRule>
    <cfRule type="cellIs" dxfId="23094" priority="2244" operator="lessThan">
      <formula>0.8</formula>
    </cfRule>
  </conditionalFormatting>
  <conditionalFormatting sqref="P148:P153">
    <cfRule type="cellIs" dxfId="23093" priority="2242" operator="greaterThan">
      <formula>0</formula>
    </cfRule>
  </conditionalFormatting>
  <conditionalFormatting sqref="P148:P153">
    <cfRule type="cellIs" dxfId="23092" priority="2236" operator="greaterThan">
      <formula>0</formula>
    </cfRule>
  </conditionalFormatting>
  <conditionalFormatting sqref="Q148:Q153">
    <cfRule type="cellIs" dxfId="23091" priority="2241" operator="lessThan">
      <formula>0</formula>
    </cfRule>
  </conditionalFormatting>
  <conditionalFormatting sqref="R148:R153">
    <cfRule type="cellIs" dxfId="23090" priority="2239" operator="lessThan">
      <formula>0.8</formula>
    </cfRule>
    <cfRule type="cellIs" dxfId="23089" priority="2240" operator="greaterThan">
      <formula>1</formula>
    </cfRule>
  </conditionalFormatting>
  <conditionalFormatting sqref="R148:R153">
    <cfRule type="cellIs" dxfId="23088" priority="2237" operator="greaterThan">
      <formula>1</formula>
    </cfRule>
    <cfRule type="cellIs" dxfId="23087" priority="2238" operator="lessThan">
      <formula>0.8</formula>
    </cfRule>
  </conditionalFormatting>
  <conditionalFormatting sqref="P148:P153">
    <cfRule type="cellIs" dxfId="23086" priority="2230" operator="greaterThan">
      <formula>0</formula>
    </cfRule>
  </conditionalFormatting>
  <conditionalFormatting sqref="Q148:Q153">
    <cfRule type="cellIs" dxfId="23085" priority="2235" operator="lessThan">
      <formula>0</formula>
    </cfRule>
  </conditionalFormatting>
  <conditionalFormatting sqref="R148:R153">
    <cfRule type="cellIs" dxfId="23084" priority="2233" operator="lessThan">
      <formula>0.8</formula>
    </cfRule>
    <cfRule type="cellIs" dxfId="23083" priority="2234" operator="greaterThan">
      <formula>1</formula>
    </cfRule>
  </conditionalFormatting>
  <conditionalFormatting sqref="R148:R153">
    <cfRule type="cellIs" dxfId="23082" priority="2231" operator="greaterThan">
      <formula>1</formula>
    </cfRule>
    <cfRule type="cellIs" dxfId="23081" priority="2232" operator="lessThan">
      <formula>0.8</formula>
    </cfRule>
  </conditionalFormatting>
  <conditionalFormatting sqref="R148:R153">
    <cfRule type="cellIs" dxfId="23080" priority="2227" operator="lessThan">
      <formula>0.8</formula>
    </cfRule>
    <cfRule type="cellIs" dxfId="23079" priority="2228" operator="greaterThan">
      <formula>1</formula>
    </cfRule>
  </conditionalFormatting>
  <conditionalFormatting sqref="R148:R153">
    <cfRule type="cellIs" dxfId="23078" priority="2225" operator="greaterThan">
      <formula>1</formula>
    </cfRule>
    <cfRule type="cellIs" dxfId="23077" priority="2226" operator="lessThan">
      <formula>0.8</formula>
    </cfRule>
  </conditionalFormatting>
  <conditionalFormatting sqref="P148:P153">
    <cfRule type="cellIs" dxfId="23076" priority="2224" operator="greaterThan">
      <formula>0</formula>
    </cfRule>
  </conditionalFormatting>
  <conditionalFormatting sqref="Q148:Q153">
    <cfRule type="cellIs" dxfId="23075" priority="2229" operator="lessThan">
      <formula>0</formula>
    </cfRule>
  </conditionalFormatting>
  <conditionalFormatting sqref="Q148:Q153">
    <cfRule type="cellIs" dxfId="23074" priority="2223" operator="lessThan">
      <formula>0</formula>
    </cfRule>
  </conditionalFormatting>
  <conditionalFormatting sqref="R148:R153">
    <cfRule type="cellIs" dxfId="23073" priority="2221" operator="lessThan">
      <formula>0.8</formula>
    </cfRule>
    <cfRule type="cellIs" dxfId="23072" priority="2222" operator="greaterThan">
      <formula>1</formula>
    </cfRule>
  </conditionalFormatting>
  <conditionalFormatting sqref="R148:R153">
    <cfRule type="cellIs" dxfId="23071" priority="2219" operator="greaterThan">
      <formula>1</formula>
    </cfRule>
    <cfRule type="cellIs" dxfId="23070" priority="2220" operator="lessThan">
      <formula>0.8</formula>
    </cfRule>
  </conditionalFormatting>
  <conditionalFormatting sqref="P148:P153">
    <cfRule type="cellIs" dxfId="23069" priority="2218" operator="greaterThan">
      <formula>0</formula>
    </cfRule>
  </conditionalFormatting>
  <conditionalFormatting sqref="P148:P153">
    <cfRule type="cellIs" dxfId="23068" priority="2212" operator="greaterThan">
      <formula>0</formula>
    </cfRule>
  </conditionalFormatting>
  <conditionalFormatting sqref="Q148:Q153">
    <cfRule type="cellIs" dxfId="23067" priority="2217" operator="lessThan">
      <formula>0</formula>
    </cfRule>
  </conditionalFormatting>
  <conditionalFormatting sqref="R148:R153">
    <cfRule type="cellIs" dxfId="23066" priority="2215" operator="lessThan">
      <formula>0.8</formula>
    </cfRule>
    <cfRule type="cellIs" dxfId="23065" priority="2216" operator="greaterThan">
      <formula>1</formula>
    </cfRule>
  </conditionalFormatting>
  <conditionalFormatting sqref="R148:R153">
    <cfRule type="cellIs" dxfId="23064" priority="2213" operator="greaterThan">
      <formula>1</formula>
    </cfRule>
    <cfRule type="cellIs" dxfId="23063" priority="2214" operator="lessThan">
      <formula>0.8</formula>
    </cfRule>
  </conditionalFormatting>
  <conditionalFormatting sqref="P148:P153">
    <cfRule type="cellIs" dxfId="23062" priority="2206" operator="greaterThan">
      <formula>0</formula>
    </cfRule>
  </conditionalFormatting>
  <conditionalFormatting sqref="Q148:Q153">
    <cfRule type="cellIs" dxfId="23061" priority="2211" operator="lessThan">
      <formula>0</formula>
    </cfRule>
  </conditionalFormatting>
  <conditionalFormatting sqref="R148:R153">
    <cfRule type="cellIs" dxfId="23060" priority="2209" operator="lessThan">
      <formula>0.8</formula>
    </cfRule>
    <cfRule type="cellIs" dxfId="23059" priority="2210" operator="greaterThan">
      <formula>1</formula>
    </cfRule>
  </conditionalFormatting>
  <conditionalFormatting sqref="R148:R153">
    <cfRule type="cellIs" dxfId="23058" priority="2207" operator="greaterThan">
      <formula>1</formula>
    </cfRule>
    <cfRule type="cellIs" dxfId="23057" priority="2208" operator="lessThan">
      <formula>0.8</formula>
    </cfRule>
  </conditionalFormatting>
  <conditionalFormatting sqref="R148:R153">
    <cfRule type="cellIs" dxfId="23056" priority="2203" operator="lessThan">
      <formula>0.8</formula>
    </cfRule>
    <cfRule type="cellIs" dxfId="23055" priority="2204" operator="greaterThan">
      <formula>1</formula>
    </cfRule>
  </conditionalFormatting>
  <conditionalFormatting sqref="R148:R153">
    <cfRule type="cellIs" dxfId="23054" priority="2201" operator="greaterThan">
      <formula>1</formula>
    </cfRule>
    <cfRule type="cellIs" dxfId="23053" priority="2202" operator="lessThan">
      <formula>0.8</formula>
    </cfRule>
  </conditionalFormatting>
  <conditionalFormatting sqref="P148:P153">
    <cfRule type="cellIs" dxfId="23052" priority="2200" operator="greaterThan">
      <formula>0</formula>
    </cfRule>
  </conditionalFormatting>
  <conditionalFormatting sqref="Q148:Q153">
    <cfRule type="cellIs" dxfId="23051" priority="2205" operator="lessThan">
      <formula>0</formula>
    </cfRule>
  </conditionalFormatting>
  <conditionalFormatting sqref="P148:P153">
    <cfRule type="cellIs" dxfId="23050" priority="2194" operator="greaterThan">
      <formula>0</formula>
    </cfRule>
  </conditionalFormatting>
  <conditionalFormatting sqref="Q148:Q153">
    <cfRule type="cellIs" dxfId="23049" priority="2199" operator="lessThan">
      <formula>0</formula>
    </cfRule>
  </conditionalFormatting>
  <conditionalFormatting sqref="R148:R153">
    <cfRule type="cellIs" dxfId="23048" priority="2197" operator="lessThan">
      <formula>0.8</formula>
    </cfRule>
    <cfRule type="cellIs" dxfId="23047" priority="2198" operator="greaterThan">
      <formula>1</formula>
    </cfRule>
  </conditionalFormatting>
  <conditionalFormatting sqref="R148:R153">
    <cfRule type="cellIs" dxfId="23046" priority="2195" operator="greaterThan">
      <formula>1</formula>
    </cfRule>
    <cfRule type="cellIs" dxfId="23045" priority="2196" operator="lessThan">
      <formula>0.8</formula>
    </cfRule>
  </conditionalFormatting>
  <conditionalFormatting sqref="R148:R153">
    <cfRule type="cellIs" dxfId="23044" priority="2191" operator="lessThan">
      <formula>0.8</formula>
    </cfRule>
    <cfRule type="cellIs" dxfId="23043" priority="2192" operator="greaterThan">
      <formula>1</formula>
    </cfRule>
  </conditionalFormatting>
  <conditionalFormatting sqref="R148:R153">
    <cfRule type="cellIs" dxfId="23042" priority="2189" operator="greaterThan">
      <formula>1</formula>
    </cfRule>
    <cfRule type="cellIs" dxfId="23041" priority="2190" operator="lessThan">
      <formula>0.8</formula>
    </cfRule>
  </conditionalFormatting>
  <conditionalFormatting sqref="P148:P153">
    <cfRule type="cellIs" dxfId="23040" priority="2188" operator="greaterThan">
      <formula>0</formula>
    </cfRule>
  </conditionalFormatting>
  <conditionalFormatting sqref="Q148:Q153">
    <cfRule type="cellIs" dxfId="23039" priority="2193" operator="lessThan">
      <formula>0</formula>
    </cfRule>
  </conditionalFormatting>
  <conditionalFormatting sqref="R148:R153">
    <cfRule type="cellIs" dxfId="23038" priority="2185" operator="lessThan">
      <formula>0.8</formula>
    </cfRule>
    <cfRule type="cellIs" dxfId="23037" priority="2186" operator="greaterThan">
      <formula>1</formula>
    </cfRule>
  </conditionalFormatting>
  <conditionalFormatting sqref="R148:R153">
    <cfRule type="cellIs" dxfId="23036" priority="2183" operator="greaterThan">
      <formula>1</formula>
    </cfRule>
    <cfRule type="cellIs" dxfId="23035" priority="2184" operator="lessThan">
      <formula>0.8</formula>
    </cfRule>
  </conditionalFormatting>
  <conditionalFormatting sqref="P148:P153">
    <cfRule type="cellIs" dxfId="23034" priority="2182" operator="greaterThan">
      <formula>0</formula>
    </cfRule>
  </conditionalFormatting>
  <conditionalFormatting sqref="Q148:Q153">
    <cfRule type="cellIs" dxfId="23033" priority="2187" operator="lessThan">
      <formula>0</formula>
    </cfRule>
  </conditionalFormatting>
  <conditionalFormatting sqref="Q148:Q153">
    <cfRule type="cellIs" dxfId="23032" priority="2181" operator="lessThan">
      <formula>0</formula>
    </cfRule>
  </conditionalFormatting>
  <conditionalFormatting sqref="R148:R153">
    <cfRule type="cellIs" dxfId="23031" priority="2179" operator="lessThan">
      <formula>0.8</formula>
    </cfRule>
    <cfRule type="cellIs" dxfId="23030" priority="2180" operator="greaterThan">
      <formula>1</formula>
    </cfRule>
  </conditionalFormatting>
  <conditionalFormatting sqref="R148:R153">
    <cfRule type="cellIs" dxfId="23029" priority="2177" operator="greaterThan">
      <formula>1</formula>
    </cfRule>
    <cfRule type="cellIs" dxfId="23028" priority="2178" operator="lessThan">
      <formula>0.8</formula>
    </cfRule>
  </conditionalFormatting>
  <conditionalFormatting sqref="P148:P153">
    <cfRule type="cellIs" dxfId="23027" priority="2176" operator="greaterThan">
      <formula>0</formula>
    </cfRule>
  </conditionalFormatting>
  <conditionalFormatting sqref="Q148:Q153">
    <cfRule type="cellIs" dxfId="23026" priority="2170" operator="lessThan">
      <formula>0</formula>
    </cfRule>
  </conditionalFormatting>
  <conditionalFormatting sqref="R148:R153">
    <cfRule type="cellIs" dxfId="23025" priority="2174" operator="lessThan">
      <formula>0.8</formula>
    </cfRule>
    <cfRule type="cellIs" dxfId="23024" priority="2175" operator="greaterThan">
      <formula>1</formula>
    </cfRule>
  </conditionalFormatting>
  <conditionalFormatting sqref="R148:R153">
    <cfRule type="cellIs" dxfId="23023" priority="2172" operator="greaterThan">
      <formula>1</formula>
    </cfRule>
    <cfRule type="cellIs" dxfId="23022" priority="2173" operator="lessThan">
      <formula>0.8</formula>
    </cfRule>
  </conditionalFormatting>
  <conditionalFormatting sqref="P148:P153">
    <cfRule type="cellIs" dxfId="23021" priority="2171" operator="greaterThan">
      <formula>0</formula>
    </cfRule>
  </conditionalFormatting>
  <conditionalFormatting sqref="Q148:Q153">
    <cfRule type="cellIs" dxfId="23020" priority="2169" operator="lessThan">
      <formula>0</formula>
    </cfRule>
  </conditionalFormatting>
  <conditionalFormatting sqref="R148:R153">
    <cfRule type="cellIs" dxfId="23019" priority="2167" operator="lessThan">
      <formula>0.8</formula>
    </cfRule>
    <cfRule type="cellIs" dxfId="23018" priority="2168" operator="greaterThan">
      <formula>1</formula>
    </cfRule>
  </conditionalFormatting>
  <conditionalFormatting sqref="R148:R153">
    <cfRule type="cellIs" dxfId="23017" priority="2165" operator="greaterThan">
      <formula>1</formula>
    </cfRule>
    <cfRule type="cellIs" dxfId="23016" priority="2166" operator="lessThan">
      <formula>0.8</formula>
    </cfRule>
  </conditionalFormatting>
  <conditionalFormatting sqref="P148:P153">
    <cfRule type="cellIs" dxfId="23015" priority="2164" operator="greaterThan">
      <formula>0</formula>
    </cfRule>
  </conditionalFormatting>
  <conditionalFormatting sqref="Q148:Q153">
    <cfRule type="cellIs" dxfId="23014" priority="2163" operator="lessThan">
      <formula>0</formula>
    </cfRule>
  </conditionalFormatting>
  <conditionalFormatting sqref="R148:R153">
    <cfRule type="cellIs" dxfId="23013" priority="2161" operator="lessThan">
      <formula>0.8</formula>
    </cfRule>
    <cfRule type="cellIs" dxfId="23012" priority="2162" operator="greaterThan">
      <formula>1</formula>
    </cfRule>
  </conditionalFormatting>
  <conditionalFormatting sqref="R148:R153">
    <cfRule type="cellIs" dxfId="23011" priority="2159" operator="greaterThan">
      <formula>1</formula>
    </cfRule>
    <cfRule type="cellIs" dxfId="23010" priority="2160" operator="lessThan">
      <formula>0.8</formula>
    </cfRule>
  </conditionalFormatting>
  <conditionalFormatting sqref="P148:P153">
    <cfRule type="cellIs" dxfId="23009" priority="2158" operator="greaterThan">
      <formula>0</formula>
    </cfRule>
  </conditionalFormatting>
  <conditionalFormatting sqref="Q148:Q153">
    <cfRule type="cellIs" dxfId="23008" priority="2157" operator="lessThan">
      <formula>0</formula>
    </cfRule>
  </conditionalFormatting>
  <conditionalFormatting sqref="R148:R153">
    <cfRule type="cellIs" dxfId="23007" priority="2155" operator="lessThan">
      <formula>0.8</formula>
    </cfRule>
    <cfRule type="cellIs" dxfId="23006" priority="2156" operator="greaterThan">
      <formula>1</formula>
    </cfRule>
  </conditionalFormatting>
  <conditionalFormatting sqref="R148:R153">
    <cfRule type="cellIs" dxfId="23005" priority="2153" operator="greaterThan">
      <formula>1</formula>
    </cfRule>
    <cfRule type="cellIs" dxfId="23004" priority="2154" operator="lessThan">
      <formula>0.8</formula>
    </cfRule>
  </conditionalFormatting>
  <conditionalFormatting sqref="P148:P153">
    <cfRule type="cellIs" dxfId="23003" priority="2152" operator="greaterThan">
      <formula>0</formula>
    </cfRule>
  </conditionalFormatting>
  <conditionalFormatting sqref="Q148:Q153">
    <cfRule type="cellIs" dxfId="23002" priority="2151" operator="lessThan">
      <formula>0</formula>
    </cfRule>
  </conditionalFormatting>
  <conditionalFormatting sqref="R148:R153">
    <cfRule type="cellIs" dxfId="23001" priority="2149" operator="lessThan">
      <formula>0.8</formula>
    </cfRule>
    <cfRule type="cellIs" dxfId="23000" priority="2150" operator="greaterThan">
      <formula>1</formula>
    </cfRule>
  </conditionalFormatting>
  <conditionalFormatting sqref="R148:R153">
    <cfRule type="cellIs" dxfId="22999" priority="2147" operator="greaterThan">
      <formula>1</formula>
    </cfRule>
    <cfRule type="cellIs" dxfId="22998" priority="2148" operator="lessThan">
      <formula>0.8</formula>
    </cfRule>
  </conditionalFormatting>
  <conditionalFormatting sqref="P148:P153">
    <cfRule type="cellIs" dxfId="22997" priority="2146" operator="greaterThan">
      <formula>0</formula>
    </cfRule>
  </conditionalFormatting>
  <conditionalFormatting sqref="Q148:Q153">
    <cfRule type="cellIs" dxfId="22996" priority="2145" operator="lessThan">
      <formula>0</formula>
    </cfRule>
  </conditionalFormatting>
  <conditionalFormatting sqref="R148:R153">
    <cfRule type="cellIs" dxfId="22995" priority="2143" operator="lessThan">
      <formula>0.8</formula>
    </cfRule>
    <cfRule type="cellIs" dxfId="22994" priority="2144" operator="greaterThan">
      <formula>1</formula>
    </cfRule>
  </conditionalFormatting>
  <conditionalFormatting sqref="R148:R153">
    <cfRule type="cellIs" dxfId="22993" priority="2141" operator="greaterThan">
      <formula>1</formula>
    </cfRule>
    <cfRule type="cellIs" dxfId="22992" priority="2142" operator="lessThan">
      <formula>0.8</formula>
    </cfRule>
  </conditionalFormatting>
  <conditionalFormatting sqref="P148:P153">
    <cfRule type="cellIs" dxfId="22991" priority="2140" operator="greaterThan">
      <formula>0</formula>
    </cfRule>
  </conditionalFormatting>
  <conditionalFormatting sqref="P148:P153">
    <cfRule type="cellIs" dxfId="22990" priority="2134" operator="greaterThan">
      <formula>0</formula>
    </cfRule>
  </conditionalFormatting>
  <conditionalFormatting sqref="Q148:Q153">
    <cfRule type="cellIs" dxfId="22989" priority="2139" operator="lessThan">
      <formula>0</formula>
    </cfRule>
  </conditionalFormatting>
  <conditionalFormatting sqref="R148:R153">
    <cfRule type="cellIs" dxfId="22988" priority="2137" operator="lessThan">
      <formula>0.8</formula>
    </cfRule>
    <cfRule type="cellIs" dxfId="22987" priority="2138" operator="greaterThan">
      <formula>1</formula>
    </cfRule>
  </conditionalFormatting>
  <conditionalFormatting sqref="R148:R153">
    <cfRule type="cellIs" dxfId="22986" priority="2135" operator="greaterThan">
      <formula>1</formula>
    </cfRule>
    <cfRule type="cellIs" dxfId="22985" priority="2136" operator="lessThan">
      <formula>0.8</formula>
    </cfRule>
  </conditionalFormatting>
  <conditionalFormatting sqref="P148:P153">
    <cfRule type="cellIs" dxfId="22984" priority="2128" operator="greaterThan">
      <formula>0</formula>
    </cfRule>
  </conditionalFormatting>
  <conditionalFormatting sqref="Q148:Q153">
    <cfRule type="cellIs" dxfId="22983" priority="2133" operator="lessThan">
      <formula>0</formula>
    </cfRule>
  </conditionalFormatting>
  <conditionalFormatting sqref="R148:R153">
    <cfRule type="cellIs" dxfId="22982" priority="2131" operator="lessThan">
      <formula>0.8</formula>
    </cfRule>
    <cfRule type="cellIs" dxfId="22981" priority="2132" operator="greaterThan">
      <formula>1</formula>
    </cfRule>
  </conditionalFormatting>
  <conditionalFormatting sqref="R148:R153">
    <cfRule type="cellIs" dxfId="22980" priority="2129" operator="greaterThan">
      <formula>1</formula>
    </cfRule>
    <cfRule type="cellIs" dxfId="22979" priority="2130" operator="lessThan">
      <formula>0.8</formula>
    </cfRule>
  </conditionalFormatting>
  <conditionalFormatting sqref="R148:R153">
    <cfRule type="cellIs" dxfId="22978" priority="2125" operator="lessThan">
      <formula>0.8</formula>
    </cfRule>
    <cfRule type="cellIs" dxfId="22977" priority="2126" operator="greaterThan">
      <formula>1</formula>
    </cfRule>
  </conditionalFormatting>
  <conditionalFormatting sqref="R148:R153">
    <cfRule type="cellIs" dxfId="22976" priority="2123" operator="greaterThan">
      <formula>1</formula>
    </cfRule>
    <cfRule type="cellIs" dxfId="22975" priority="2124" operator="lessThan">
      <formula>0.8</formula>
    </cfRule>
  </conditionalFormatting>
  <conditionalFormatting sqref="P148:P153">
    <cfRule type="cellIs" dxfId="22974" priority="2122" operator="greaterThan">
      <formula>0</formula>
    </cfRule>
  </conditionalFormatting>
  <conditionalFormatting sqref="Q148:Q153">
    <cfRule type="cellIs" dxfId="22973" priority="2127" operator="lessThan">
      <formula>0</formula>
    </cfRule>
  </conditionalFormatting>
  <conditionalFormatting sqref="Q148:Q153">
    <cfRule type="cellIs" dxfId="22972" priority="2116" operator="lessThan">
      <formula>0</formula>
    </cfRule>
  </conditionalFormatting>
  <conditionalFormatting sqref="P148:P153">
    <cfRule type="cellIs" dxfId="22971" priority="2117" operator="greaterThan">
      <formula>0</formula>
    </cfRule>
  </conditionalFormatting>
  <conditionalFormatting sqref="R148:R153">
    <cfRule type="cellIs" dxfId="22970" priority="2120" operator="lessThan">
      <formula>0.8</formula>
    </cfRule>
    <cfRule type="cellIs" dxfId="22969" priority="2121" operator="greaterThan">
      <formula>1</formula>
    </cfRule>
  </conditionalFormatting>
  <conditionalFormatting sqref="R148:R153">
    <cfRule type="cellIs" dxfId="22968" priority="2118" operator="greaterThan">
      <formula>1</formula>
    </cfRule>
    <cfRule type="cellIs" dxfId="22967" priority="2119" operator="lessThan">
      <formula>0.8</formula>
    </cfRule>
  </conditionalFormatting>
  <conditionalFormatting sqref="Q148:Q153">
    <cfRule type="cellIs" dxfId="22966" priority="2110" operator="lessThan">
      <formula>0</formula>
    </cfRule>
  </conditionalFormatting>
  <conditionalFormatting sqref="R148:R153">
    <cfRule type="cellIs" dxfId="22965" priority="2114" operator="lessThan">
      <formula>0.8</formula>
    </cfRule>
    <cfRule type="cellIs" dxfId="22964" priority="2115" operator="greaterThan">
      <formula>1</formula>
    </cfRule>
  </conditionalFormatting>
  <conditionalFormatting sqref="R148:R153">
    <cfRule type="cellIs" dxfId="22963" priority="2112" operator="greaterThan">
      <formula>1</formula>
    </cfRule>
    <cfRule type="cellIs" dxfId="22962" priority="2113" operator="lessThan">
      <formula>0.8</formula>
    </cfRule>
  </conditionalFormatting>
  <conditionalFormatting sqref="P148:P153">
    <cfRule type="cellIs" dxfId="22961" priority="2111" operator="greaterThan">
      <formula>0</formula>
    </cfRule>
  </conditionalFormatting>
  <conditionalFormatting sqref="Q148:Q153">
    <cfRule type="cellIs" dxfId="22960" priority="2109" operator="lessThan">
      <formula>0</formula>
    </cfRule>
  </conditionalFormatting>
  <conditionalFormatting sqref="R148:R153">
    <cfRule type="cellIs" dxfId="22959" priority="2107" operator="lessThan">
      <formula>0.8</formula>
    </cfRule>
    <cfRule type="cellIs" dxfId="22958" priority="2108" operator="greaterThan">
      <formula>1</formula>
    </cfRule>
  </conditionalFormatting>
  <conditionalFormatting sqref="R148:R153">
    <cfRule type="cellIs" dxfId="22957" priority="2105" operator="greaterThan">
      <formula>1</formula>
    </cfRule>
    <cfRule type="cellIs" dxfId="22956" priority="2106" operator="lessThan">
      <formula>0.8</formula>
    </cfRule>
  </conditionalFormatting>
  <conditionalFormatting sqref="P148:P153">
    <cfRule type="cellIs" dxfId="22955" priority="2104" operator="greaterThan">
      <formula>0</formula>
    </cfRule>
  </conditionalFormatting>
  <conditionalFormatting sqref="Q148:Q153">
    <cfRule type="cellIs" dxfId="22954" priority="2103" operator="lessThan">
      <formula>0</formula>
    </cfRule>
  </conditionalFormatting>
  <conditionalFormatting sqref="R148:R153">
    <cfRule type="cellIs" dxfId="22953" priority="2101" operator="lessThan">
      <formula>0.8</formula>
    </cfRule>
    <cfRule type="cellIs" dxfId="22952" priority="2102" operator="greaterThan">
      <formula>1</formula>
    </cfRule>
  </conditionalFormatting>
  <conditionalFormatting sqref="R148:R153">
    <cfRule type="cellIs" dxfId="22951" priority="2099" operator="greaterThan">
      <formula>1</formula>
    </cfRule>
    <cfRule type="cellIs" dxfId="22950" priority="2100" operator="lessThan">
      <formula>0.8</formula>
    </cfRule>
  </conditionalFormatting>
  <conditionalFormatting sqref="P148:P153">
    <cfRule type="cellIs" dxfId="22949" priority="2098" operator="greaterThan">
      <formula>0</formula>
    </cfRule>
  </conditionalFormatting>
  <conditionalFormatting sqref="Q148:Q153">
    <cfRule type="cellIs" dxfId="22948" priority="2097" operator="lessThan">
      <formula>0</formula>
    </cfRule>
  </conditionalFormatting>
  <conditionalFormatting sqref="R148:R153">
    <cfRule type="cellIs" dxfId="22947" priority="2095" operator="lessThan">
      <formula>0.8</formula>
    </cfRule>
    <cfRule type="cellIs" dxfId="22946" priority="2096" operator="greaterThan">
      <formula>1</formula>
    </cfRule>
  </conditionalFormatting>
  <conditionalFormatting sqref="R148:R153">
    <cfRule type="cellIs" dxfId="22945" priority="2093" operator="greaterThan">
      <formula>1</formula>
    </cfRule>
    <cfRule type="cellIs" dxfId="22944" priority="2094" operator="lessThan">
      <formula>0.8</formula>
    </cfRule>
  </conditionalFormatting>
  <conditionalFormatting sqref="P148:P153">
    <cfRule type="cellIs" dxfId="22943" priority="2092" operator="greaterThan">
      <formula>0</formula>
    </cfRule>
  </conditionalFormatting>
  <conditionalFormatting sqref="Q148:Q153">
    <cfRule type="cellIs" dxfId="22942" priority="2091" operator="lessThan">
      <formula>0</formula>
    </cfRule>
  </conditionalFormatting>
  <conditionalFormatting sqref="R148:R153">
    <cfRule type="cellIs" dxfId="22941" priority="2089" operator="lessThan">
      <formula>0.8</formula>
    </cfRule>
    <cfRule type="cellIs" dxfId="22940" priority="2090" operator="greaterThan">
      <formula>1</formula>
    </cfRule>
  </conditionalFormatting>
  <conditionalFormatting sqref="R148:R153">
    <cfRule type="cellIs" dxfId="22939" priority="2087" operator="greaterThan">
      <formula>1</formula>
    </cfRule>
    <cfRule type="cellIs" dxfId="22938" priority="2088" operator="lessThan">
      <formula>0.8</formula>
    </cfRule>
  </conditionalFormatting>
  <conditionalFormatting sqref="P148:P153">
    <cfRule type="cellIs" dxfId="22937" priority="2086" operator="greaterThan">
      <formula>0</formula>
    </cfRule>
  </conditionalFormatting>
  <conditionalFormatting sqref="Q124 Q127 Q131">
    <cfRule type="cellIs" dxfId="22936" priority="2080" operator="lessThan">
      <formula>0</formula>
    </cfRule>
  </conditionalFormatting>
  <conditionalFormatting sqref="P124 P127 P131">
    <cfRule type="cellIs" dxfId="22935" priority="2081" operator="greaterThan">
      <formula>0</formula>
    </cfRule>
  </conditionalFormatting>
  <conditionalFormatting sqref="R124 R127 R131">
    <cfRule type="cellIs" dxfId="22934" priority="2084" operator="lessThan">
      <formula>0.8</formula>
    </cfRule>
    <cfRule type="cellIs" dxfId="22933" priority="2085" operator="greaterThan">
      <formula>1</formula>
    </cfRule>
  </conditionalFormatting>
  <conditionalFormatting sqref="R124 R127 R131">
    <cfRule type="cellIs" dxfId="22932" priority="2082" operator="greaterThan">
      <formula>1</formula>
    </cfRule>
    <cfRule type="cellIs" dxfId="22931" priority="2083" operator="lessThan">
      <formula>0.8</formula>
    </cfRule>
  </conditionalFormatting>
  <conditionalFormatting sqref="Q124 Q127 Q131">
    <cfRule type="cellIs" dxfId="22930" priority="2074" operator="lessThan">
      <formula>0</formula>
    </cfRule>
  </conditionalFormatting>
  <conditionalFormatting sqref="R124 R127 R131">
    <cfRule type="cellIs" dxfId="22929" priority="2078" operator="lessThan">
      <formula>0.8</formula>
    </cfRule>
    <cfRule type="cellIs" dxfId="22928" priority="2079" operator="greaterThan">
      <formula>1</formula>
    </cfRule>
  </conditionalFormatting>
  <conditionalFormatting sqref="R124 R127 R131">
    <cfRule type="cellIs" dxfId="22927" priority="2076" operator="greaterThan">
      <formula>1</formula>
    </cfRule>
    <cfRule type="cellIs" dxfId="22926" priority="2077" operator="lessThan">
      <formula>0.8</formula>
    </cfRule>
  </conditionalFormatting>
  <conditionalFormatting sqref="P124 P127 P131">
    <cfRule type="cellIs" dxfId="22925" priority="2075" operator="greaterThan">
      <formula>0</formula>
    </cfRule>
  </conditionalFormatting>
  <conditionalFormatting sqref="Q124 Q127 Q131">
    <cfRule type="cellIs" dxfId="22924" priority="2073" operator="lessThan">
      <formula>0</formula>
    </cfRule>
  </conditionalFormatting>
  <conditionalFormatting sqref="R124 R127 R131">
    <cfRule type="cellIs" dxfId="22923" priority="2071" operator="lessThan">
      <formula>0.8</formula>
    </cfRule>
    <cfRule type="cellIs" dxfId="22922" priority="2072" operator="greaterThan">
      <formula>1</formula>
    </cfRule>
  </conditionalFormatting>
  <conditionalFormatting sqref="R124 R127 R131">
    <cfRule type="cellIs" dxfId="22921" priority="2069" operator="greaterThan">
      <formula>1</formula>
    </cfRule>
    <cfRule type="cellIs" dxfId="22920" priority="2070" operator="lessThan">
      <formula>0.8</formula>
    </cfRule>
  </conditionalFormatting>
  <conditionalFormatting sqref="P124 P127 P131">
    <cfRule type="cellIs" dxfId="22919" priority="2068" operator="greaterThan">
      <formula>0</formula>
    </cfRule>
  </conditionalFormatting>
  <conditionalFormatting sqref="Q124 Q127 Q131">
    <cfRule type="cellIs" dxfId="22918" priority="2067" operator="lessThan">
      <formula>0</formula>
    </cfRule>
  </conditionalFormatting>
  <conditionalFormatting sqref="R124 R127 R131">
    <cfRule type="cellIs" dxfId="22917" priority="2065" operator="lessThan">
      <formula>0.8</formula>
    </cfRule>
    <cfRule type="cellIs" dxfId="22916" priority="2066" operator="greaterThan">
      <formula>1</formula>
    </cfRule>
  </conditionalFormatting>
  <conditionalFormatting sqref="R124 R127 R131">
    <cfRule type="cellIs" dxfId="22915" priority="2063" operator="greaterThan">
      <formula>1</formula>
    </cfRule>
    <cfRule type="cellIs" dxfId="22914" priority="2064" operator="lessThan">
      <formula>0.8</formula>
    </cfRule>
  </conditionalFormatting>
  <conditionalFormatting sqref="P124 P127 P131">
    <cfRule type="cellIs" dxfId="22913" priority="2062" operator="greaterThan">
      <formula>0</formula>
    </cfRule>
  </conditionalFormatting>
  <conditionalFormatting sqref="Q124 Q127 Q131">
    <cfRule type="cellIs" dxfId="22912" priority="2061" operator="lessThan">
      <formula>0</formula>
    </cfRule>
  </conditionalFormatting>
  <conditionalFormatting sqref="R124 R127 R131">
    <cfRule type="cellIs" dxfId="22911" priority="2059" operator="lessThan">
      <formula>0.8</formula>
    </cfRule>
    <cfRule type="cellIs" dxfId="22910" priority="2060" operator="greaterThan">
      <formula>1</formula>
    </cfRule>
  </conditionalFormatting>
  <conditionalFormatting sqref="R124 R127 R131">
    <cfRule type="cellIs" dxfId="22909" priority="2057" operator="greaterThan">
      <formula>1</formula>
    </cfRule>
    <cfRule type="cellIs" dxfId="22908" priority="2058" operator="lessThan">
      <formula>0.8</formula>
    </cfRule>
  </conditionalFormatting>
  <conditionalFormatting sqref="P124 P127 P131">
    <cfRule type="cellIs" dxfId="22907" priority="2056" operator="greaterThan">
      <formula>0</formula>
    </cfRule>
  </conditionalFormatting>
  <conditionalFormatting sqref="Q124 Q127 Q131">
    <cfRule type="cellIs" dxfId="22906" priority="2055" operator="lessThan">
      <formula>0</formula>
    </cfRule>
  </conditionalFormatting>
  <conditionalFormatting sqref="R124 R127 R131">
    <cfRule type="cellIs" dxfId="22905" priority="2053" operator="lessThan">
      <formula>0.8</formula>
    </cfRule>
    <cfRule type="cellIs" dxfId="22904" priority="2054" operator="greaterThan">
      <formula>1</formula>
    </cfRule>
  </conditionalFormatting>
  <conditionalFormatting sqref="R124 R127 R131">
    <cfRule type="cellIs" dxfId="22903" priority="2051" operator="greaterThan">
      <formula>1</formula>
    </cfRule>
    <cfRule type="cellIs" dxfId="22902" priority="2052" operator="lessThan">
      <formula>0.8</formula>
    </cfRule>
  </conditionalFormatting>
  <conditionalFormatting sqref="P124 P127 P131">
    <cfRule type="cellIs" dxfId="22901" priority="2050" operator="greaterThan">
      <formula>0</formula>
    </cfRule>
  </conditionalFormatting>
  <conditionalFormatting sqref="Q124 Q127 Q131">
    <cfRule type="cellIs" dxfId="22900" priority="2049" operator="lessThan">
      <formula>0</formula>
    </cfRule>
  </conditionalFormatting>
  <conditionalFormatting sqref="R124 R127 R131">
    <cfRule type="cellIs" dxfId="22899" priority="2047" operator="lessThan">
      <formula>0.8</formula>
    </cfRule>
    <cfRule type="cellIs" dxfId="22898" priority="2048" operator="greaterThan">
      <formula>1</formula>
    </cfRule>
  </conditionalFormatting>
  <conditionalFormatting sqref="R124 R127 R131">
    <cfRule type="cellIs" dxfId="22897" priority="2045" operator="greaterThan">
      <formula>1</formula>
    </cfRule>
    <cfRule type="cellIs" dxfId="22896" priority="2046" operator="lessThan">
      <formula>0.8</formula>
    </cfRule>
  </conditionalFormatting>
  <conditionalFormatting sqref="P124 P127 P131">
    <cfRule type="cellIs" dxfId="22895" priority="2044" operator="greaterThan">
      <formula>0</formula>
    </cfRule>
  </conditionalFormatting>
  <conditionalFormatting sqref="Q124 Q127 Q131">
    <cfRule type="cellIs" dxfId="22894" priority="2043" operator="lessThan">
      <formula>0</formula>
    </cfRule>
  </conditionalFormatting>
  <conditionalFormatting sqref="R124 R127 R131">
    <cfRule type="cellIs" dxfId="22893" priority="2041" operator="lessThan">
      <formula>0.8</formula>
    </cfRule>
    <cfRule type="cellIs" dxfId="22892" priority="2042" operator="greaterThan">
      <formula>1</formula>
    </cfRule>
  </conditionalFormatting>
  <conditionalFormatting sqref="R124 R127 R131">
    <cfRule type="cellIs" dxfId="22891" priority="2039" operator="greaterThan">
      <formula>1</formula>
    </cfRule>
    <cfRule type="cellIs" dxfId="22890" priority="2040" operator="lessThan">
      <formula>0.8</formula>
    </cfRule>
  </conditionalFormatting>
  <conditionalFormatting sqref="P124 P127 P131">
    <cfRule type="cellIs" dxfId="22889" priority="2038" operator="greaterThan">
      <formula>0</formula>
    </cfRule>
  </conditionalFormatting>
  <conditionalFormatting sqref="Q124 Q127 Q131">
    <cfRule type="cellIs" dxfId="22888" priority="2037" operator="lessThan">
      <formula>0</formula>
    </cfRule>
  </conditionalFormatting>
  <conditionalFormatting sqref="R124 R127 R131">
    <cfRule type="cellIs" dxfId="22887" priority="2035" operator="lessThan">
      <formula>0.8</formula>
    </cfRule>
    <cfRule type="cellIs" dxfId="22886" priority="2036" operator="greaterThan">
      <formula>1</formula>
    </cfRule>
  </conditionalFormatting>
  <conditionalFormatting sqref="R124 R127 R131">
    <cfRule type="cellIs" dxfId="22885" priority="2033" operator="greaterThan">
      <formula>1</formula>
    </cfRule>
    <cfRule type="cellIs" dxfId="22884" priority="2034" operator="lessThan">
      <formula>0.8</formula>
    </cfRule>
  </conditionalFormatting>
  <conditionalFormatting sqref="P124 P127 P131">
    <cfRule type="cellIs" dxfId="22883" priority="2032" operator="greaterThan">
      <formula>0</formula>
    </cfRule>
  </conditionalFormatting>
  <conditionalFormatting sqref="P124 P127 P131">
    <cfRule type="cellIs" dxfId="22882" priority="2026" operator="greaterThan">
      <formula>0</formula>
    </cfRule>
  </conditionalFormatting>
  <conditionalFormatting sqref="Q124 Q127 Q131">
    <cfRule type="cellIs" dxfId="22881" priority="2031" operator="lessThan">
      <formula>0</formula>
    </cfRule>
  </conditionalFormatting>
  <conditionalFormatting sqref="R124 R127 R131">
    <cfRule type="cellIs" dxfId="22880" priority="2029" operator="lessThan">
      <formula>0.8</formula>
    </cfRule>
    <cfRule type="cellIs" dxfId="22879" priority="2030" operator="greaterThan">
      <formula>1</formula>
    </cfRule>
  </conditionalFormatting>
  <conditionalFormatting sqref="R124 R127 R131">
    <cfRule type="cellIs" dxfId="22878" priority="2027" operator="greaterThan">
      <formula>1</formula>
    </cfRule>
    <cfRule type="cellIs" dxfId="22877" priority="2028" operator="lessThan">
      <formula>0.8</formula>
    </cfRule>
  </conditionalFormatting>
  <conditionalFormatting sqref="P124 P127 P131">
    <cfRule type="cellIs" dxfId="22876" priority="2020" operator="greaterThan">
      <formula>0</formula>
    </cfRule>
  </conditionalFormatting>
  <conditionalFormatting sqref="Q124 Q127 Q131">
    <cfRule type="cellIs" dxfId="22875" priority="2025" operator="lessThan">
      <formula>0</formula>
    </cfRule>
  </conditionalFormatting>
  <conditionalFormatting sqref="R124 R127 R131">
    <cfRule type="cellIs" dxfId="22874" priority="2023" operator="lessThan">
      <formula>0.8</formula>
    </cfRule>
    <cfRule type="cellIs" dxfId="22873" priority="2024" operator="greaterThan">
      <formula>1</formula>
    </cfRule>
  </conditionalFormatting>
  <conditionalFormatting sqref="R124 R127 R131">
    <cfRule type="cellIs" dxfId="22872" priority="2021" operator="greaterThan">
      <formula>1</formula>
    </cfRule>
    <cfRule type="cellIs" dxfId="22871" priority="2022" operator="lessThan">
      <formula>0.8</formula>
    </cfRule>
  </conditionalFormatting>
  <conditionalFormatting sqref="R124 R127 R131">
    <cfRule type="cellIs" dxfId="22870" priority="2017" operator="lessThan">
      <formula>0.8</formula>
    </cfRule>
    <cfRule type="cellIs" dxfId="22869" priority="2018" operator="greaterThan">
      <formula>1</formula>
    </cfRule>
  </conditionalFormatting>
  <conditionalFormatting sqref="R124 R127 R131">
    <cfRule type="cellIs" dxfId="22868" priority="2015" operator="greaterThan">
      <formula>1</formula>
    </cfRule>
    <cfRule type="cellIs" dxfId="22867" priority="2016" operator="lessThan">
      <formula>0.8</formula>
    </cfRule>
  </conditionalFormatting>
  <conditionalFormatting sqref="P124 P127 P131">
    <cfRule type="cellIs" dxfId="22866" priority="2014" operator="greaterThan">
      <formula>0</formula>
    </cfRule>
  </conditionalFormatting>
  <conditionalFormatting sqref="Q124 Q127 Q131">
    <cfRule type="cellIs" dxfId="22865" priority="2019" operator="lessThan">
      <formula>0</formula>
    </cfRule>
  </conditionalFormatting>
  <conditionalFormatting sqref="Q124 Q127 Q131">
    <cfRule type="cellIs" dxfId="22864" priority="2013" operator="lessThan">
      <formula>0</formula>
    </cfRule>
  </conditionalFormatting>
  <conditionalFormatting sqref="R124 R127 R131">
    <cfRule type="cellIs" dxfId="22863" priority="2011" operator="lessThan">
      <formula>0.8</formula>
    </cfRule>
    <cfRule type="cellIs" dxfId="22862" priority="2012" operator="greaterThan">
      <formula>1</formula>
    </cfRule>
  </conditionalFormatting>
  <conditionalFormatting sqref="R124 R127 R131">
    <cfRule type="cellIs" dxfId="22861" priority="2009" operator="greaterThan">
      <formula>1</formula>
    </cfRule>
    <cfRule type="cellIs" dxfId="22860" priority="2010" operator="lessThan">
      <formula>0.8</formula>
    </cfRule>
  </conditionalFormatting>
  <conditionalFormatting sqref="P124 P127 P131">
    <cfRule type="cellIs" dxfId="22859" priority="2008" operator="greaterThan">
      <formula>0</formula>
    </cfRule>
  </conditionalFormatting>
  <conditionalFormatting sqref="P124 P127 P131">
    <cfRule type="cellIs" dxfId="22858" priority="2002" operator="greaterThan">
      <formula>0</formula>
    </cfRule>
  </conditionalFormatting>
  <conditionalFormatting sqref="Q124 Q127 Q131">
    <cfRule type="cellIs" dxfId="22857" priority="2007" operator="lessThan">
      <formula>0</formula>
    </cfRule>
  </conditionalFormatting>
  <conditionalFormatting sqref="R124 R127 R131">
    <cfRule type="cellIs" dxfId="22856" priority="2005" operator="lessThan">
      <formula>0.8</formula>
    </cfRule>
    <cfRule type="cellIs" dxfId="22855" priority="2006" operator="greaterThan">
      <formula>1</formula>
    </cfRule>
  </conditionalFormatting>
  <conditionalFormatting sqref="R124 R127 R131">
    <cfRule type="cellIs" dxfId="22854" priority="2003" operator="greaterThan">
      <formula>1</formula>
    </cfRule>
    <cfRule type="cellIs" dxfId="22853" priority="2004" operator="lessThan">
      <formula>0.8</formula>
    </cfRule>
  </conditionalFormatting>
  <conditionalFormatting sqref="P124 P127 P131">
    <cfRule type="cellIs" dxfId="22852" priority="1996" operator="greaterThan">
      <formula>0</formula>
    </cfRule>
  </conditionalFormatting>
  <conditionalFormatting sqref="Q124 Q127 Q131">
    <cfRule type="cellIs" dxfId="22851" priority="2001" operator="lessThan">
      <formula>0</formula>
    </cfRule>
  </conditionalFormatting>
  <conditionalFormatting sqref="R124 R127 R131">
    <cfRule type="cellIs" dxfId="22850" priority="1999" operator="lessThan">
      <formula>0.8</formula>
    </cfRule>
    <cfRule type="cellIs" dxfId="22849" priority="2000" operator="greaterThan">
      <formula>1</formula>
    </cfRule>
  </conditionalFormatting>
  <conditionalFormatting sqref="R124 R127 R131">
    <cfRule type="cellIs" dxfId="22848" priority="1997" operator="greaterThan">
      <formula>1</formula>
    </cfRule>
    <cfRule type="cellIs" dxfId="22847" priority="1998" operator="lessThan">
      <formula>0.8</formula>
    </cfRule>
  </conditionalFormatting>
  <conditionalFormatting sqref="R124 R127 R131">
    <cfRule type="cellIs" dxfId="22846" priority="1993" operator="lessThan">
      <formula>0.8</formula>
    </cfRule>
    <cfRule type="cellIs" dxfId="22845" priority="1994" operator="greaterThan">
      <formula>1</formula>
    </cfRule>
  </conditionalFormatting>
  <conditionalFormatting sqref="R124 R127 R131">
    <cfRule type="cellIs" dxfId="22844" priority="1991" operator="greaterThan">
      <formula>1</formula>
    </cfRule>
    <cfRule type="cellIs" dxfId="22843" priority="1992" operator="lessThan">
      <formula>0.8</formula>
    </cfRule>
  </conditionalFormatting>
  <conditionalFormatting sqref="P124 P127 P131">
    <cfRule type="cellIs" dxfId="22842" priority="1990" operator="greaterThan">
      <formula>0</formula>
    </cfRule>
  </conditionalFormatting>
  <conditionalFormatting sqref="Q124 Q127 Q131">
    <cfRule type="cellIs" dxfId="22841" priority="1995" operator="lessThan">
      <formula>0</formula>
    </cfRule>
  </conditionalFormatting>
  <conditionalFormatting sqref="P124 P127 P131">
    <cfRule type="cellIs" dxfId="22840" priority="1984" operator="greaterThan">
      <formula>0</formula>
    </cfRule>
  </conditionalFormatting>
  <conditionalFormatting sqref="Q124 Q127 Q131">
    <cfRule type="cellIs" dxfId="22839" priority="1989" operator="lessThan">
      <formula>0</formula>
    </cfRule>
  </conditionalFormatting>
  <conditionalFormatting sqref="R124 R127 R131">
    <cfRule type="cellIs" dxfId="22838" priority="1987" operator="lessThan">
      <formula>0.8</formula>
    </cfRule>
    <cfRule type="cellIs" dxfId="22837" priority="1988" operator="greaterThan">
      <formula>1</formula>
    </cfRule>
  </conditionalFormatting>
  <conditionalFormatting sqref="R124 R127 R131">
    <cfRule type="cellIs" dxfId="22836" priority="1985" operator="greaterThan">
      <formula>1</formula>
    </cfRule>
    <cfRule type="cellIs" dxfId="22835" priority="1986" operator="lessThan">
      <formula>0.8</formula>
    </cfRule>
  </conditionalFormatting>
  <conditionalFormatting sqref="R124 R127 R131">
    <cfRule type="cellIs" dxfId="22834" priority="1981" operator="lessThan">
      <formula>0.8</formula>
    </cfRule>
    <cfRule type="cellIs" dxfId="22833" priority="1982" operator="greaterThan">
      <formula>1</formula>
    </cfRule>
  </conditionalFormatting>
  <conditionalFormatting sqref="R124 R127 R131">
    <cfRule type="cellIs" dxfId="22832" priority="1979" operator="greaterThan">
      <formula>1</formula>
    </cfRule>
    <cfRule type="cellIs" dxfId="22831" priority="1980" operator="lessThan">
      <formula>0.8</formula>
    </cfRule>
  </conditionalFormatting>
  <conditionalFormatting sqref="P124 P127 P131">
    <cfRule type="cellIs" dxfId="22830" priority="1978" operator="greaterThan">
      <formula>0</formula>
    </cfRule>
  </conditionalFormatting>
  <conditionalFormatting sqref="Q124 Q127 Q131">
    <cfRule type="cellIs" dxfId="22829" priority="1983" operator="lessThan">
      <formula>0</formula>
    </cfRule>
  </conditionalFormatting>
  <conditionalFormatting sqref="R124 R127 R131">
    <cfRule type="cellIs" dxfId="22828" priority="1975" operator="lessThan">
      <formula>0.8</formula>
    </cfRule>
    <cfRule type="cellIs" dxfId="22827" priority="1976" operator="greaterThan">
      <formula>1</formula>
    </cfRule>
  </conditionalFormatting>
  <conditionalFormatting sqref="R124 R127 R131">
    <cfRule type="cellIs" dxfId="22826" priority="1973" operator="greaterThan">
      <formula>1</formula>
    </cfRule>
    <cfRule type="cellIs" dxfId="22825" priority="1974" operator="lessThan">
      <formula>0.8</formula>
    </cfRule>
  </conditionalFormatting>
  <conditionalFormatting sqref="P124 P127 P131">
    <cfRule type="cellIs" dxfId="22824" priority="1972" operator="greaterThan">
      <formula>0</formula>
    </cfRule>
  </conditionalFormatting>
  <conditionalFormatting sqref="Q124 Q127 Q131">
    <cfRule type="cellIs" dxfId="22823" priority="1977" operator="lessThan">
      <formula>0</formula>
    </cfRule>
  </conditionalFormatting>
  <conditionalFormatting sqref="Q124 Q127 Q131">
    <cfRule type="cellIs" dxfId="22822" priority="1971" operator="lessThan">
      <formula>0</formula>
    </cfRule>
  </conditionalFormatting>
  <conditionalFormatting sqref="R124 R127 R131">
    <cfRule type="cellIs" dxfId="22821" priority="1969" operator="lessThan">
      <formula>0.8</formula>
    </cfRule>
    <cfRule type="cellIs" dxfId="22820" priority="1970" operator="greaterThan">
      <formula>1</formula>
    </cfRule>
  </conditionalFormatting>
  <conditionalFormatting sqref="R124 R127 R131">
    <cfRule type="cellIs" dxfId="22819" priority="1967" operator="greaterThan">
      <formula>1</formula>
    </cfRule>
    <cfRule type="cellIs" dxfId="22818" priority="1968" operator="lessThan">
      <formula>0.8</formula>
    </cfRule>
  </conditionalFormatting>
  <conditionalFormatting sqref="P124 P127 P131">
    <cfRule type="cellIs" dxfId="22817" priority="1966" operator="greaterThan">
      <formula>0</formula>
    </cfRule>
  </conditionalFormatting>
  <conditionalFormatting sqref="Q124 Q127 Q131">
    <cfRule type="cellIs" dxfId="22816" priority="1960" operator="lessThan">
      <formula>0</formula>
    </cfRule>
  </conditionalFormatting>
  <conditionalFormatting sqref="R124 R127 R131">
    <cfRule type="cellIs" dxfId="22815" priority="1964" operator="lessThan">
      <formula>0.8</formula>
    </cfRule>
    <cfRule type="cellIs" dxfId="22814" priority="1965" operator="greaterThan">
      <formula>1</formula>
    </cfRule>
  </conditionalFormatting>
  <conditionalFormatting sqref="R124 R127 R131">
    <cfRule type="cellIs" dxfId="22813" priority="1962" operator="greaterThan">
      <formula>1</formula>
    </cfRule>
    <cfRule type="cellIs" dxfId="22812" priority="1963" operator="lessThan">
      <formula>0.8</formula>
    </cfRule>
  </conditionalFormatting>
  <conditionalFormatting sqref="P124 P127 P131">
    <cfRule type="cellIs" dxfId="22811" priority="1961" operator="greaterThan">
      <formula>0</formula>
    </cfRule>
  </conditionalFormatting>
  <conditionalFormatting sqref="Q124 Q127 Q131">
    <cfRule type="cellIs" dxfId="22810" priority="1959" operator="lessThan">
      <formula>0</formula>
    </cfRule>
  </conditionalFormatting>
  <conditionalFormatting sqref="R124 R127 R131">
    <cfRule type="cellIs" dxfId="22809" priority="1957" operator="lessThan">
      <formula>0.8</formula>
    </cfRule>
    <cfRule type="cellIs" dxfId="22808" priority="1958" operator="greaterThan">
      <formula>1</formula>
    </cfRule>
  </conditionalFormatting>
  <conditionalFormatting sqref="R124 R127 R131">
    <cfRule type="cellIs" dxfId="22807" priority="1955" operator="greaterThan">
      <formula>1</formula>
    </cfRule>
    <cfRule type="cellIs" dxfId="22806" priority="1956" operator="lessThan">
      <formula>0.8</formula>
    </cfRule>
  </conditionalFormatting>
  <conditionalFormatting sqref="P124 P127 P131">
    <cfRule type="cellIs" dxfId="22805" priority="1954" operator="greaterThan">
      <formula>0</formula>
    </cfRule>
  </conditionalFormatting>
  <conditionalFormatting sqref="Q124 Q127 Q131">
    <cfRule type="cellIs" dxfId="22804" priority="1953" operator="lessThan">
      <formula>0</formula>
    </cfRule>
  </conditionalFormatting>
  <conditionalFormatting sqref="R124 R127 R131">
    <cfRule type="cellIs" dxfId="22803" priority="1951" operator="lessThan">
      <formula>0.8</formula>
    </cfRule>
    <cfRule type="cellIs" dxfId="22802" priority="1952" operator="greaterThan">
      <formula>1</formula>
    </cfRule>
  </conditionalFormatting>
  <conditionalFormatting sqref="R124 R127 R131">
    <cfRule type="cellIs" dxfId="22801" priority="1949" operator="greaterThan">
      <formula>1</formula>
    </cfRule>
    <cfRule type="cellIs" dxfId="22800" priority="1950" operator="lessThan">
      <formula>0.8</formula>
    </cfRule>
  </conditionalFormatting>
  <conditionalFormatting sqref="P124 P127 P131">
    <cfRule type="cellIs" dxfId="22799" priority="1948" operator="greaterThan">
      <formula>0</formula>
    </cfRule>
  </conditionalFormatting>
  <conditionalFormatting sqref="Q124 Q127 Q131">
    <cfRule type="cellIs" dxfId="22798" priority="1947" operator="lessThan">
      <formula>0</formula>
    </cfRule>
  </conditionalFormatting>
  <conditionalFormatting sqref="R124 R127 R131">
    <cfRule type="cellIs" dxfId="22797" priority="1945" operator="lessThan">
      <formula>0.8</formula>
    </cfRule>
    <cfRule type="cellIs" dxfId="22796" priority="1946" operator="greaterThan">
      <formula>1</formula>
    </cfRule>
  </conditionalFormatting>
  <conditionalFormatting sqref="R124 R127 R131">
    <cfRule type="cellIs" dxfId="22795" priority="1943" operator="greaterThan">
      <formula>1</formula>
    </cfRule>
    <cfRule type="cellIs" dxfId="22794" priority="1944" operator="lessThan">
      <formula>0.8</formula>
    </cfRule>
  </conditionalFormatting>
  <conditionalFormatting sqref="P124 P127 P131">
    <cfRule type="cellIs" dxfId="22793" priority="1942" operator="greaterThan">
      <formula>0</formula>
    </cfRule>
  </conditionalFormatting>
  <conditionalFormatting sqref="Q124 Q127 Q131">
    <cfRule type="cellIs" dxfId="22792" priority="1941" operator="lessThan">
      <formula>0</formula>
    </cfRule>
  </conditionalFormatting>
  <conditionalFormatting sqref="R124 R127 R131">
    <cfRule type="cellIs" dxfId="22791" priority="1939" operator="lessThan">
      <formula>0.8</formula>
    </cfRule>
    <cfRule type="cellIs" dxfId="22790" priority="1940" operator="greaterThan">
      <formula>1</formula>
    </cfRule>
  </conditionalFormatting>
  <conditionalFormatting sqref="R124 R127 R131">
    <cfRule type="cellIs" dxfId="22789" priority="1937" operator="greaterThan">
      <formula>1</formula>
    </cfRule>
    <cfRule type="cellIs" dxfId="22788" priority="1938" operator="lessThan">
      <formula>0.8</formula>
    </cfRule>
  </conditionalFormatting>
  <conditionalFormatting sqref="P124 P127 P131">
    <cfRule type="cellIs" dxfId="22787" priority="1936" operator="greaterThan">
      <formula>0</formula>
    </cfRule>
  </conditionalFormatting>
  <conditionalFormatting sqref="Q124 Q127 Q131">
    <cfRule type="cellIs" dxfId="22786" priority="1935" operator="lessThan">
      <formula>0</formula>
    </cfRule>
  </conditionalFormatting>
  <conditionalFormatting sqref="R124 R127 R131">
    <cfRule type="cellIs" dxfId="22785" priority="1933" operator="lessThan">
      <formula>0.8</formula>
    </cfRule>
    <cfRule type="cellIs" dxfId="22784" priority="1934" operator="greaterThan">
      <formula>1</formula>
    </cfRule>
  </conditionalFormatting>
  <conditionalFormatting sqref="R124 R127 R131">
    <cfRule type="cellIs" dxfId="22783" priority="1931" operator="greaterThan">
      <formula>1</formula>
    </cfRule>
    <cfRule type="cellIs" dxfId="22782" priority="1932" operator="lessThan">
      <formula>0.8</formula>
    </cfRule>
  </conditionalFormatting>
  <conditionalFormatting sqref="P124 P127 P131">
    <cfRule type="cellIs" dxfId="22781" priority="1930" operator="greaterThan">
      <formula>0</formula>
    </cfRule>
  </conditionalFormatting>
  <conditionalFormatting sqref="P124 P127 P131">
    <cfRule type="cellIs" dxfId="22780" priority="1924" operator="greaterThan">
      <formula>0</formula>
    </cfRule>
  </conditionalFormatting>
  <conditionalFormatting sqref="Q124 Q127 Q131">
    <cfRule type="cellIs" dxfId="22779" priority="1929" operator="lessThan">
      <formula>0</formula>
    </cfRule>
  </conditionalFormatting>
  <conditionalFormatting sqref="R124 R127 R131">
    <cfRule type="cellIs" dxfId="22778" priority="1927" operator="lessThan">
      <formula>0.8</formula>
    </cfRule>
    <cfRule type="cellIs" dxfId="22777" priority="1928" operator="greaterThan">
      <formula>1</formula>
    </cfRule>
  </conditionalFormatting>
  <conditionalFormatting sqref="R124 R127 R131">
    <cfRule type="cellIs" dxfId="22776" priority="1925" operator="greaterThan">
      <formula>1</formula>
    </cfRule>
    <cfRule type="cellIs" dxfId="22775" priority="1926" operator="lessThan">
      <formula>0.8</formula>
    </cfRule>
  </conditionalFormatting>
  <conditionalFormatting sqref="P124 P127 P131">
    <cfRule type="cellIs" dxfId="22774" priority="1918" operator="greaterThan">
      <formula>0</formula>
    </cfRule>
  </conditionalFormatting>
  <conditionalFormatting sqref="Q124 Q127 Q131">
    <cfRule type="cellIs" dxfId="22773" priority="1923" operator="lessThan">
      <formula>0</formula>
    </cfRule>
  </conditionalFormatting>
  <conditionalFormatting sqref="R124 R127 R131">
    <cfRule type="cellIs" dxfId="22772" priority="1921" operator="lessThan">
      <formula>0.8</formula>
    </cfRule>
    <cfRule type="cellIs" dxfId="22771" priority="1922" operator="greaterThan">
      <formula>1</formula>
    </cfRule>
  </conditionalFormatting>
  <conditionalFormatting sqref="R124 R127 R131">
    <cfRule type="cellIs" dxfId="22770" priority="1919" operator="greaterThan">
      <formula>1</formula>
    </cfRule>
    <cfRule type="cellIs" dxfId="22769" priority="1920" operator="lessThan">
      <formula>0.8</formula>
    </cfRule>
  </conditionalFormatting>
  <conditionalFormatting sqref="R124 R127 R131">
    <cfRule type="cellIs" dxfId="22768" priority="1915" operator="lessThan">
      <formula>0.8</formula>
    </cfRule>
    <cfRule type="cellIs" dxfId="22767" priority="1916" operator="greaterThan">
      <formula>1</formula>
    </cfRule>
  </conditionalFormatting>
  <conditionalFormatting sqref="R124 R127 R131">
    <cfRule type="cellIs" dxfId="22766" priority="1913" operator="greaterThan">
      <formula>1</formula>
    </cfRule>
    <cfRule type="cellIs" dxfId="22765" priority="1914" operator="lessThan">
      <formula>0.8</formula>
    </cfRule>
  </conditionalFormatting>
  <conditionalFormatting sqref="P124 P127 P131">
    <cfRule type="cellIs" dxfId="22764" priority="1912" operator="greaterThan">
      <formula>0</formula>
    </cfRule>
  </conditionalFormatting>
  <conditionalFormatting sqref="Q124 Q127 Q131">
    <cfRule type="cellIs" dxfId="22763" priority="1917" operator="lessThan">
      <formula>0</formula>
    </cfRule>
  </conditionalFormatting>
  <conditionalFormatting sqref="Q5:Q14">
    <cfRule type="cellIs" dxfId="22762" priority="1911" operator="lessThan">
      <formula>0</formula>
    </cfRule>
  </conditionalFormatting>
  <conditionalFormatting sqref="R5:R14">
    <cfRule type="cellIs" dxfId="22761" priority="1909" operator="lessThan">
      <formula>0.8</formula>
    </cfRule>
    <cfRule type="cellIs" dxfId="22760" priority="1910" operator="greaterThan">
      <formula>1</formula>
    </cfRule>
  </conditionalFormatting>
  <conditionalFormatting sqref="R5:R14">
    <cfRule type="cellIs" dxfId="22759" priority="1907" operator="greaterThan">
      <formula>1</formula>
    </cfRule>
    <cfRule type="cellIs" dxfId="22758" priority="1908" operator="lessThan">
      <formula>0.8</formula>
    </cfRule>
  </conditionalFormatting>
  <conditionalFormatting sqref="P5:P14">
    <cfRule type="cellIs" dxfId="22757" priority="1906" operator="greaterThan">
      <formula>0</formula>
    </cfRule>
  </conditionalFormatting>
  <conditionalFormatting sqref="Q83">
    <cfRule type="cellIs" dxfId="22756" priority="1905" operator="lessThan">
      <formula>0</formula>
    </cfRule>
  </conditionalFormatting>
  <conditionalFormatting sqref="R83">
    <cfRule type="cellIs" dxfId="22755" priority="1903" operator="lessThan">
      <formula>0.8</formula>
    </cfRule>
    <cfRule type="cellIs" dxfId="22754" priority="1904" operator="greaterThan">
      <formula>1</formula>
    </cfRule>
  </conditionalFormatting>
  <conditionalFormatting sqref="R83">
    <cfRule type="cellIs" dxfId="22753" priority="1901" operator="greaterThan">
      <formula>1</formula>
    </cfRule>
    <cfRule type="cellIs" dxfId="22752" priority="1902" operator="lessThan">
      <formula>0.8</formula>
    </cfRule>
  </conditionalFormatting>
  <conditionalFormatting sqref="P83">
    <cfRule type="cellIs" dxfId="22751" priority="1900" operator="greaterThan">
      <formula>0</formula>
    </cfRule>
  </conditionalFormatting>
  <conditionalFormatting sqref="Q83">
    <cfRule type="cellIs" dxfId="22750" priority="1899" operator="lessThan">
      <formula>0</formula>
    </cfRule>
  </conditionalFormatting>
  <conditionalFormatting sqref="R83">
    <cfRule type="cellIs" dxfId="22749" priority="1897" operator="lessThan">
      <formula>0.8</formula>
    </cfRule>
    <cfRule type="cellIs" dxfId="22748" priority="1898" operator="greaterThan">
      <formula>1</formula>
    </cfRule>
  </conditionalFormatting>
  <conditionalFormatting sqref="R83">
    <cfRule type="cellIs" dxfId="22747" priority="1895" operator="greaterThan">
      <formula>1</formula>
    </cfRule>
    <cfRule type="cellIs" dxfId="22746" priority="1896" operator="lessThan">
      <formula>0.8</formula>
    </cfRule>
  </conditionalFormatting>
  <conditionalFormatting sqref="P83">
    <cfRule type="cellIs" dxfId="22745" priority="1894" operator="greaterThan">
      <formula>0</formula>
    </cfRule>
  </conditionalFormatting>
  <conditionalFormatting sqref="Q83">
    <cfRule type="cellIs" dxfId="22744" priority="1893" operator="lessThan">
      <formula>0</formula>
    </cfRule>
  </conditionalFormatting>
  <conditionalFormatting sqref="R83">
    <cfRule type="cellIs" dxfId="22743" priority="1891" operator="lessThan">
      <formula>0.8</formula>
    </cfRule>
    <cfRule type="cellIs" dxfId="22742" priority="1892" operator="greaterThan">
      <formula>1</formula>
    </cfRule>
  </conditionalFormatting>
  <conditionalFormatting sqref="R83">
    <cfRule type="cellIs" dxfId="22741" priority="1889" operator="greaterThan">
      <formula>1</formula>
    </cfRule>
    <cfRule type="cellIs" dxfId="22740" priority="1890" operator="lessThan">
      <formula>0.8</formula>
    </cfRule>
  </conditionalFormatting>
  <conditionalFormatting sqref="P83">
    <cfRule type="cellIs" dxfId="22739" priority="1888" operator="greaterThan">
      <formula>0</formula>
    </cfRule>
  </conditionalFormatting>
  <conditionalFormatting sqref="Q83">
    <cfRule type="cellIs" dxfId="22738" priority="1887" operator="lessThan">
      <formula>0</formula>
    </cfRule>
  </conditionalFormatting>
  <conditionalFormatting sqref="R83">
    <cfRule type="cellIs" dxfId="22737" priority="1885" operator="lessThan">
      <formula>0.8</formula>
    </cfRule>
    <cfRule type="cellIs" dxfId="22736" priority="1886" operator="greaterThan">
      <formula>1</formula>
    </cfRule>
  </conditionalFormatting>
  <conditionalFormatting sqref="R83">
    <cfRule type="cellIs" dxfId="22735" priority="1883" operator="greaterThan">
      <formula>1</formula>
    </cfRule>
    <cfRule type="cellIs" dxfId="22734" priority="1884" operator="lessThan">
      <formula>0.8</formula>
    </cfRule>
  </conditionalFormatting>
  <conditionalFormatting sqref="P83">
    <cfRule type="cellIs" dxfId="22733" priority="1882" operator="greaterThan">
      <formula>0</formula>
    </cfRule>
  </conditionalFormatting>
  <conditionalFormatting sqref="P83">
    <cfRule type="cellIs" dxfId="22732" priority="1876" operator="greaterThan">
      <formula>0</formula>
    </cfRule>
  </conditionalFormatting>
  <conditionalFormatting sqref="Q83">
    <cfRule type="cellIs" dxfId="22731" priority="1881" operator="lessThan">
      <formula>0</formula>
    </cfRule>
  </conditionalFormatting>
  <conditionalFormatting sqref="R83">
    <cfRule type="cellIs" dxfId="22730" priority="1879" operator="lessThan">
      <formula>0.8</formula>
    </cfRule>
    <cfRule type="cellIs" dxfId="22729" priority="1880" operator="greaterThan">
      <formula>1</formula>
    </cfRule>
  </conditionalFormatting>
  <conditionalFormatting sqref="R83">
    <cfRule type="cellIs" dxfId="22728" priority="1877" operator="greaterThan">
      <formula>1</formula>
    </cfRule>
    <cfRule type="cellIs" dxfId="22727" priority="1878" operator="lessThan">
      <formula>0.8</formula>
    </cfRule>
  </conditionalFormatting>
  <conditionalFormatting sqref="P83">
    <cfRule type="cellIs" dxfId="22726" priority="1870" operator="greaterThan">
      <formula>0</formula>
    </cfRule>
  </conditionalFormatting>
  <conditionalFormatting sqref="Q83">
    <cfRule type="cellIs" dxfId="22725" priority="1875" operator="lessThan">
      <formula>0</formula>
    </cfRule>
  </conditionalFormatting>
  <conditionalFormatting sqref="R83">
    <cfRule type="cellIs" dxfId="22724" priority="1873" operator="lessThan">
      <formula>0.8</formula>
    </cfRule>
    <cfRule type="cellIs" dxfId="22723" priority="1874" operator="greaterThan">
      <formula>1</formula>
    </cfRule>
  </conditionalFormatting>
  <conditionalFormatting sqref="R83">
    <cfRule type="cellIs" dxfId="22722" priority="1871" operator="greaterThan">
      <formula>1</formula>
    </cfRule>
    <cfRule type="cellIs" dxfId="22721" priority="1872" operator="lessThan">
      <formula>0.8</formula>
    </cfRule>
  </conditionalFormatting>
  <conditionalFormatting sqref="R83">
    <cfRule type="cellIs" dxfId="22720" priority="1867" operator="lessThan">
      <formula>0.8</formula>
    </cfRule>
    <cfRule type="cellIs" dxfId="22719" priority="1868" operator="greaterThan">
      <formula>1</formula>
    </cfRule>
  </conditionalFormatting>
  <conditionalFormatting sqref="R83">
    <cfRule type="cellIs" dxfId="22718" priority="1865" operator="greaterThan">
      <formula>1</formula>
    </cfRule>
    <cfRule type="cellIs" dxfId="22717" priority="1866" operator="lessThan">
      <formula>0.8</formula>
    </cfRule>
  </conditionalFormatting>
  <conditionalFormatting sqref="P83">
    <cfRule type="cellIs" dxfId="22716" priority="1864" operator="greaterThan">
      <formula>0</formula>
    </cfRule>
  </conditionalFormatting>
  <conditionalFormatting sqref="Q83">
    <cfRule type="cellIs" dxfId="22715" priority="1869" operator="lessThan">
      <formula>0</formula>
    </cfRule>
  </conditionalFormatting>
  <conditionalFormatting sqref="Q83">
    <cfRule type="cellIs" dxfId="22714" priority="1863" operator="lessThan">
      <formula>0</formula>
    </cfRule>
  </conditionalFormatting>
  <conditionalFormatting sqref="R83">
    <cfRule type="cellIs" dxfId="22713" priority="1861" operator="lessThan">
      <formula>0.8</formula>
    </cfRule>
    <cfRule type="cellIs" dxfId="22712" priority="1862" operator="greaterThan">
      <formula>1</formula>
    </cfRule>
  </conditionalFormatting>
  <conditionalFormatting sqref="R83">
    <cfRule type="cellIs" dxfId="22711" priority="1859" operator="greaterThan">
      <formula>1</formula>
    </cfRule>
    <cfRule type="cellIs" dxfId="22710" priority="1860" operator="lessThan">
      <formula>0.8</formula>
    </cfRule>
  </conditionalFormatting>
  <conditionalFormatting sqref="P83">
    <cfRule type="cellIs" dxfId="22709" priority="1858" operator="greaterThan">
      <formula>0</formula>
    </cfRule>
  </conditionalFormatting>
  <conditionalFormatting sqref="P83">
    <cfRule type="cellIs" dxfId="22708" priority="1852" operator="greaterThan">
      <formula>0</formula>
    </cfRule>
  </conditionalFormatting>
  <conditionalFormatting sqref="Q83">
    <cfRule type="cellIs" dxfId="22707" priority="1857" operator="lessThan">
      <formula>0</formula>
    </cfRule>
  </conditionalFormatting>
  <conditionalFormatting sqref="R83">
    <cfRule type="cellIs" dxfId="22706" priority="1855" operator="lessThan">
      <formula>0.8</formula>
    </cfRule>
    <cfRule type="cellIs" dxfId="22705" priority="1856" operator="greaterThan">
      <formula>1</formula>
    </cfRule>
  </conditionalFormatting>
  <conditionalFormatting sqref="R83">
    <cfRule type="cellIs" dxfId="22704" priority="1853" operator="greaterThan">
      <formula>1</formula>
    </cfRule>
    <cfRule type="cellIs" dxfId="22703" priority="1854" operator="lessThan">
      <formula>0.8</formula>
    </cfRule>
  </conditionalFormatting>
  <conditionalFormatting sqref="P83">
    <cfRule type="cellIs" dxfId="22702" priority="1846" operator="greaterThan">
      <formula>0</formula>
    </cfRule>
  </conditionalFormatting>
  <conditionalFormatting sqref="Q83">
    <cfRule type="cellIs" dxfId="22701" priority="1851" operator="lessThan">
      <formula>0</formula>
    </cfRule>
  </conditionalFormatting>
  <conditionalFormatting sqref="R83">
    <cfRule type="cellIs" dxfId="22700" priority="1849" operator="lessThan">
      <formula>0.8</formula>
    </cfRule>
    <cfRule type="cellIs" dxfId="22699" priority="1850" operator="greaterThan">
      <formula>1</formula>
    </cfRule>
  </conditionalFormatting>
  <conditionalFormatting sqref="R83">
    <cfRule type="cellIs" dxfId="22698" priority="1847" operator="greaterThan">
      <formula>1</formula>
    </cfRule>
    <cfRule type="cellIs" dxfId="22697" priority="1848" operator="lessThan">
      <formula>0.8</formula>
    </cfRule>
  </conditionalFormatting>
  <conditionalFormatting sqref="R83">
    <cfRule type="cellIs" dxfId="22696" priority="1843" operator="lessThan">
      <formula>0.8</formula>
    </cfRule>
    <cfRule type="cellIs" dxfId="22695" priority="1844" operator="greaterThan">
      <formula>1</formula>
    </cfRule>
  </conditionalFormatting>
  <conditionalFormatting sqref="R83">
    <cfRule type="cellIs" dxfId="22694" priority="1841" operator="greaterThan">
      <formula>1</formula>
    </cfRule>
    <cfRule type="cellIs" dxfId="22693" priority="1842" operator="lessThan">
      <formula>0.8</formula>
    </cfRule>
  </conditionalFormatting>
  <conditionalFormatting sqref="P83">
    <cfRule type="cellIs" dxfId="22692" priority="1840" operator="greaterThan">
      <formula>0</formula>
    </cfRule>
  </conditionalFormatting>
  <conditionalFormatting sqref="Q83">
    <cfRule type="cellIs" dxfId="22691" priority="1845" operator="lessThan">
      <formula>0</formula>
    </cfRule>
  </conditionalFormatting>
  <conditionalFormatting sqref="P83">
    <cfRule type="cellIs" dxfId="22690" priority="1834" operator="greaterThan">
      <formula>0</formula>
    </cfRule>
  </conditionalFormatting>
  <conditionalFormatting sqref="Q83">
    <cfRule type="cellIs" dxfId="22689" priority="1839" operator="lessThan">
      <formula>0</formula>
    </cfRule>
  </conditionalFormatting>
  <conditionalFormatting sqref="R83">
    <cfRule type="cellIs" dxfId="22688" priority="1837" operator="lessThan">
      <formula>0.8</formula>
    </cfRule>
    <cfRule type="cellIs" dxfId="22687" priority="1838" operator="greaterThan">
      <formula>1</formula>
    </cfRule>
  </conditionalFormatting>
  <conditionalFormatting sqref="R83">
    <cfRule type="cellIs" dxfId="22686" priority="1835" operator="greaterThan">
      <formula>1</formula>
    </cfRule>
    <cfRule type="cellIs" dxfId="22685" priority="1836" operator="lessThan">
      <formula>0.8</formula>
    </cfRule>
  </conditionalFormatting>
  <conditionalFormatting sqref="R83">
    <cfRule type="cellIs" dxfId="22684" priority="1831" operator="lessThan">
      <formula>0.8</formula>
    </cfRule>
    <cfRule type="cellIs" dxfId="22683" priority="1832" operator="greaterThan">
      <formula>1</formula>
    </cfRule>
  </conditionalFormatting>
  <conditionalFormatting sqref="R83">
    <cfRule type="cellIs" dxfId="22682" priority="1829" operator="greaterThan">
      <formula>1</formula>
    </cfRule>
    <cfRule type="cellIs" dxfId="22681" priority="1830" operator="lessThan">
      <formula>0.8</formula>
    </cfRule>
  </conditionalFormatting>
  <conditionalFormatting sqref="P83">
    <cfRule type="cellIs" dxfId="22680" priority="1828" operator="greaterThan">
      <formula>0</formula>
    </cfRule>
  </conditionalFormatting>
  <conditionalFormatting sqref="Q83">
    <cfRule type="cellIs" dxfId="22679" priority="1833" operator="lessThan">
      <formula>0</formula>
    </cfRule>
  </conditionalFormatting>
  <conditionalFormatting sqref="R83">
    <cfRule type="cellIs" dxfId="22678" priority="1825" operator="lessThan">
      <formula>0.8</formula>
    </cfRule>
    <cfRule type="cellIs" dxfId="22677" priority="1826" operator="greaterThan">
      <formula>1</formula>
    </cfRule>
  </conditionalFormatting>
  <conditionalFormatting sqref="R83">
    <cfRule type="cellIs" dxfId="22676" priority="1823" operator="greaterThan">
      <formula>1</formula>
    </cfRule>
    <cfRule type="cellIs" dxfId="22675" priority="1824" operator="lessThan">
      <formula>0.8</formula>
    </cfRule>
  </conditionalFormatting>
  <conditionalFormatting sqref="P83">
    <cfRule type="cellIs" dxfId="22674" priority="1822" operator="greaterThan">
      <formula>0</formula>
    </cfRule>
  </conditionalFormatting>
  <conditionalFormatting sqref="Q83">
    <cfRule type="cellIs" dxfId="22673" priority="1827" operator="lessThan">
      <formula>0</formula>
    </cfRule>
  </conditionalFormatting>
  <conditionalFormatting sqref="Q83">
    <cfRule type="cellIs" dxfId="22672" priority="1821" operator="lessThan">
      <formula>0</formula>
    </cfRule>
  </conditionalFormatting>
  <conditionalFormatting sqref="R83">
    <cfRule type="cellIs" dxfId="22671" priority="1819" operator="lessThan">
      <formula>0.8</formula>
    </cfRule>
    <cfRule type="cellIs" dxfId="22670" priority="1820" operator="greaterThan">
      <formula>1</formula>
    </cfRule>
  </conditionalFormatting>
  <conditionalFormatting sqref="R83">
    <cfRule type="cellIs" dxfId="22669" priority="1817" operator="greaterThan">
      <formula>1</formula>
    </cfRule>
    <cfRule type="cellIs" dxfId="22668" priority="1818" operator="lessThan">
      <formula>0.8</formula>
    </cfRule>
  </conditionalFormatting>
  <conditionalFormatting sqref="P83">
    <cfRule type="cellIs" dxfId="22667" priority="1816" operator="greaterThan">
      <formula>0</formula>
    </cfRule>
  </conditionalFormatting>
  <conditionalFormatting sqref="Q83">
    <cfRule type="cellIs" dxfId="22666" priority="1810" operator="lessThan">
      <formula>0</formula>
    </cfRule>
  </conditionalFormatting>
  <conditionalFormatting sqref="R83">
    <cfRule type="cellIs" dxfId="22665" priority="1814" operator="lessThan">
      <formula>0.8</formula>
    </cfRule>
    <cfRule type="cellIs" dxfId="22664" priority="1815" operator="greaterThan">
      <formula>1</formula>
    </cfRule>
  </conditionalFormatting>
  <conditionalFormatting sqref="R83">
    <cfRule type="cellIs" dxfId="22663" priority="1812" operator="greaterThan">
      <formula>1</formula>
    </cfRule>
    <cfRule type="cellIs" dxfId="22662" priority="1813" operator="lessThan">
      <formula>0.8</formula>
    </cfRule>
  </conditionalFormatting>
  <conditionalFormatting sqref="P83">
    <cfRule type="cellIs" dxfId="22661" priority="1811" operator="greaterThan">
      <formula>0</formula>
    </cfRule>
  </conditionalFormatting>
  <conditionalFormatting sqref="Q83">
    <cfRule type="cellIs" dxfId="22660" priority="1809" operator="lessThan">
      <formula>0</formula>
    </cfRule>
  </conditionalFormatting>
  <conditionalFormatting sqref="R83">
    <cfRule type="cellIs" dxfId="22659" priority="1807" operator="lessThan">
      <formula>0.8</formula>
    </cfRule>
    <cfRule type="cellIs" dxfId="22658" priority="1808" operator="greaterThan">
      <formula>1</formula>
    </cfRule>
  </conditionalFormatting>
  <conditionalFormatting sqref="R83">
    <cfRule type="cellIs" dxfId="22657" priority="1805" operator="greaterThan">
      <formula>1</formula>
    </cfRule>
    <cfRule type="cellIs" dxfId="22656" priority="1806" operator="lessThan">
      <formula>0.8</formula>
    </cfRule>
  </conditionalFormatting>
  <conditionalFormatting sqref="P83">
    <cfRule type="cellIs" dxfId="22655" priority="1804" operator="greaterThan">
      <formula>0</formula>
    </cfRule>
  </conditionalFormatting>
  <conditionalFormatting sqref="Q83">
    <cfRule type="cellIs" dxfId="22654" priority="1803" operator="lessThan">
      <formula>0</formula>
    </cfRule>
  </conditionalFormatting>
  <conditionalFormatting sqref="R83">
    <cfRule type="cellIs" dxfId="22653" priority="1801" operator="lessThan">
      <formula>0.8</formula>
    </cfRule>
    <cfRule type="cellIs" dxfId="22652" priority="1802" operator="greaterThan">
      <formula>1</formula>
    </cfRule>
  </conditionalFormatting>
  <conditionalFormatting sqref="R83">
    <cfRule type="cellIs" dxfId="22651" priority="1799" operator="greaterThan">
      <formula>1</formula>
    </cfRule>
    <cfRule type="cellIs" dxfId="22650" priority="1800" operator="lessThan">
      <formula>0.8</formula>
    </cfRule>
  </conditionalFormatting>
  <conditionalFormatting sqref="P83">
    <cfRule type="cellIs" dxfId="22649" priority="1798" operator="greaterThan">
      <formula>0</formula>
    </cfRule>
  </conditionalFormatting>
  <conditionalFormatting sqref="Q83">
    <cfRule type="cellIs" dxfId="22648" priority="1797" operator="lessThan">
      <formula>0</formula>
    </cfRule>
  </conditionalFormatting>
  <conditionalFormatting sqref="R83">
    <cfRule type="cellIs" dxfId="22647" priority="1795" operator="lessThan">
      <formula>0.8</formula>
    </cfRule>
    <cfRule type="cellIs" dxfId="22646" priority="1796" operator="greaterThan">
      <formula>1</formula>
    </cfRule>
  </conditionalFormatting>
  <conditionalFormatting sqref="R83">
    <cfRule type="cellIs" dxfId="22645" priority="1793" operator="greaterThan">
      <formula>1</formula>
    </cfRule>
    <cfRule type="cellIs" dxfId="22644" priority="1794" operator="lessThan">
      <formula>0.8</formula>
    </cfRule>
  </conditionalFormatting>
  <conditionalFormatting sqref="P83">
    <cfRule type="cellIs" dxfId="22643" priority="1792" operator="greaterThan">
      <formula>0</formula>
    </cfRule>
  </conditionalFormatting>
  <conditionalFormatting sqref="Q83">
    <cfRule type="cellIs" dxfId="22642" priority="1791" operator="lessThan">
      <formula>0</formula>
    </cfRule>
  </conditionalFormatting>
  <conditionalFormatting sqref="R83">
    <cfRule type="cellIs" dxfId="22641" priority="1789" operator="lessThan">
      <formula>0.8</formula>
    </cfRule>
    <cfRule type="cellIs" dxfId="22640" priority="1790" operator="greaterThan">
      <formula>1</formula>
    </cfRule>
  </conditionalFormatting>
  <conditionalFormatting sqref="R83">
    <cfRule type="cellIs" dxfId="22639" priority="1787" operator="greaterThan">
      <formula>1</formula>
    </cfRule>
    <cfRule type="cellIs" dxfId="22638" priority="1788" operator="lessThan">
      <formula>0.8</formula>
    </cfRule>
  </conditionalFormatting>
  <conditionalFormatting sqref="P83">
    <cfRule type="cellIs" dxfId="22637" priority="1786" operator="greaterThan">
      <formula>0</formula>
    </cfRule>
  </conditionalFormatting>
  <conditionalFormatting sqref="Q83">
    <cfRule type="cellIs" dxfId="22636" priority="1785" operator="lessThan">
      <formula>0</formula>
    </cfRule>
  </conditionalFormatting>
  <conditionalFormatting sqref="R83">
    <cfRule type="cellIs" dxfId="22635" priority="1783" operator="lessThan">
      <formula>0.8</formula>
    </cfRule>
    <cfRule type="cellIs" dxfId="22634" priority="1784" operator="greaterThan">
      <formula>1</formula>
    </cfRule>
  </conditionalFormatting>
  <conditionalFormatting sqref="R83">
    <cfRule type="cellIs" dxfId="22633" priority="1781" operator="greaterThan">
      <formula>1</formula>
    </cfRule>
    <cfRule type="cellIs" dxfId="22632" priority="1782" operator="lessThan">
      <formula>0.8</formula>
    </cfRule>
  </conditionalFormatting>
  <conditionalFormatting sqref="P83">
    <cfRule type="cellIs" dxfId="22631" priority="1780" operator="greaterThan">
      <formula>0</formula>
    </cfRule>
  </conditionalFormatting>
  <conditionalFormatting sqref="P83">
    <cfRule type="cellIs" dxfId="22630" priority="1774" operator="greaterThan">
      <formula>0</formula>
    </cfRule>
  </conditionalFormatting>
  <conditionalFormatting sqref="Q83">
    <cfRule type="cellIs" dxfId="22629" priority="1779" operator="lessThan">
      <formula>0</formula>
    </cfRule>
  </conditionalFormatting>
  <conditionalFormatting sqref="R83">
    <cfRule type="cellIs" dxfId="22628" priority="1777" operator="lessThan">
      <formula>0.8</formula>
    </cfRule>
    <cfRule type="cellIs" dxfId="22627" priority="1778" operator="greaterThan">
      <formula>1</formula>
    </cfRule>
  </conditionalFormatting>
  <conditionalFormatting sqref="R83">
    <cfRule type="cellIs" dxfId="22626" priority="1775" operator="greaterThan">
      <formula>1</formula>
    </cfRule>
    <cfRule type="cellIs" dxfId="22625" priority="1776" operator="lessThan">
      <formula>0.8</formula>
    </cfRule>
  </conditionalFormatting>
  <conditionalFormatting sqref="P83">
    <cfRule type="cellIs" dxfId="22624" priority="1768" operator="greaterThan">
      <formula>0</formula>
    </cfRule>
  </conditionalFormatting>
  <conditionalFormatting sqref="Q83">
    <cfRule type="cellIs" dxfId="22623" priority="1773" operator="lessThan">
      <formula>0</formula>
    </cfRule>
  </conditionalFormatting>
  <conditionalFormatting sqref="R83">
    <cfRule type="cellIs" dxfId="22622" priority="1771" operator="lessThan">
      <formula>0.8</formula>
    </cfRule>
    <cfRule type="cellIs" dxfId="22621" priority="1772" operator="greaterThan">
      <formula>1</formula>
    </cfRule>
  </conditionalFormatting>
  <conditionalFormatting sqref="R83">
    <cfRule type="cellIs" dxfId="22620" priority="1769" operator="greaterThan">
      <formula>1</formula>
    </cfRule>
    <cfRule type="cellIs" dxfId="22619" priority="1770" operator="lessThan">
      <formula>0.8</formula>
    </cfRule>
  </conditionalFormatting>
  <conditionalFormatting sqref="R83">
    <cfRule type="cellIs" dxfId="22618" priority="1765" operator="lessThan">
      <formula>0.8</formula>
    </cfRule>
    <cfRule type="cellIs" dxfId="22617" priority="1766" operator="greaterThan">
      <formula>1</formula>
    </cfRule>
  </conditionalFormatting>
  <conditionalFormatting sqref="R83">
    <cfRule type="cellIs" dxfId="22616" priority="1763" operator="greaterThan">
      <formula>1</formula>
    </cfRule>
    <cfRule type="cellIs" dxfId="22615" priority="1764" operator="lessThan">
      <formula>0.8</formula>
    </cfRule>
  </conditionalFormatting>
  <conditionalFormatting sqref="P83">
    <cfRule type="cellIs" dxfId="22614" priority="1762" operator="greaterThan">
      <formula>0</formula>
    </cfRule>
  </conditionalFormatting>
  <conditionalFormatting sqref="Q83">
    <cfRule type="cellIs" dxfId="22613" priority="1767" operator="lessThan">
      <formula>0</formula>
    </cfRule>
  </conditionalFormatting>
  <conditionalFormatting sqref="Q83">
    <cfRule type="cellIs" dxfId="22612" priority="1756" operator="lessThan">
      <formula>0</formula>
    </cfRule>
  </conditionalFormatting>
  <conditionalFormatting sqref="P83">
    <cfRule type="cellIs" dxfId="22611" priority="1757" operator="greaterThan">
      <formula>0</formula>
    </cfRule>
  </conditionalFormatting>
  <conditionalFormatting sqref="R83">
    <cfRule type="cellIs" dxfId="22610" priority="1760" operator="lessThan">
      <formula>0.8</formula>
    </cfRule>
    <cfRule type="cellIs" dxfId="22609" priority="1761" operator="greaterThan">
      <formula>1</formula>
    </cfRule>
  </conditionalFormatting>
  <conditionalFormatting sqref="R83">
    <cfRule type="cellIs" dxfId="22608" priority="1758" operator="greaterThan">
      <formula>1</formula>
    </cfRule>
    <cfRule type="cellIs" dxfId="22607" priority="1759" operator="lessThan">
      <formula>0.8</formula>
    </cfRule>
  </conditionalFormatting>
  <conditionalFormatting sqref="Q83">
    <cfRule type="cellIs" dxfId="22606" priority="1750" operator="lessThan">
      <formula>0</formula>
    </cfRule>
  </conditionalFormatting>
  <conditionalFormatting sqref="R83">
    <cfRule type="cellIs" dxfId="22605" priority="1754" operator="lessThan">
      <formula>0.8</formula>
    </cfRule>
    <cfRule type="cellIs" dxfId="22604" priority="1755" operator="greaterThan">
      <formula>1</formula>
    </cfRule>
  </conditionalFormatting>
  <conditionalFormatting sqref="R83">
    <cfRule type="cellIs" dxfId="22603" priority="1752" operator="greaterThan">
      <formula>1</formula>
    </cfRule>
    <cfRule type="cellIs" dxfId="22602" priority="1753" operator="lessThan">
      <formula>0.8</formula>
    </cfRule>
  </conditionalFormatting>
  <conditionalFormatting sqref="P83">
    <cfRule type="cellIs" dxfId="22601" priority="1751" operator="greaterThan">
      <formula>0</formula>
    </cfRule>
  </conditionalFormatting>
  <conditionalFormatting sqref="Q83">
    <cfRule type="cellIs" dxfId="22600" priority="1749" operator="lessThan">
      <formula>0</formula>
    </cfRule>
  </conditionalFormatting>
  <conditionalFormatting sqref="R83">
    <cfRule type="cellIs" dxfId="22599" priority="1747" operator="lessThan">
      <formula>0.8</formula>
    </cfRule>
    <cfRule type="cellIs" dxfId="22598" priority="1748" operator="greaterThan">
      <formula>1</formula>
    </cfRule>
  </conditionalFormatting>
  <conditionalFormatting sqref="R83">
    <cfRule type="cellIs" dxfId="22597" priority="1745" operator="greaterThan">
      <formula>1</formula>
    </cfRule>
    <cfRule type="cellIs" dxfId="22596" priority="1746" operator="lessThan">
      <formula>0.8</formula>
    </cfRule>
  </conditionalFormatting>
  <conditionalFormatting sqref="P83">
    <cfRule type="cellIs" dxfId="22595" priority="1744" operator="greaterThan">
      <formula>0</formula>
    </cfRule>
  </conditionalFormatting>
  <conditionalFormatting sqref="Q83">
    <cfRule type="cellIs" dxfId="22594" priority="1743" operator="lessThan">
      <formula>0</formula>
    </cfRule>
  </conditionalFormatting>
  <conditionalFormatting sqref="R83">
    <cfRule type="cellIs" dxfId="22593" priority="1741" operator="lessThan">
      <formula>0.8</formula>
    </cfRule>
    <cfRule type="cellIs" dxfId="22592" priority="1742" operator="greaterThan">
      <formula>1</formula>
    </cfRule>
  </conditionalFormatting>
  <conditionalFormatting sqref="R83">
    <cfRule type="cellIs" dxfId="22591" priority="1739" operator="greaterThan">
      <formula>1</formula>
    </cfRule>
    <cfRule type="cellIs" dxfId="22590" priority="1740" operator="lessThan">
      <formula>0.8</formula>
    </cfRule>
  </conditionalFormatting>
  <conditionalFormatting sqref="P83">
    <cfRule type="cellIs" dxfId="22589" priority="1738" operator="greaterThan">
      <formula>0</formula>
    </cfRule>
  </conditionalFormatting>
  <conditionalFormatting sqref="Q83">
    <cfRule type="cellIs" dxfId="22588" priority="1737" operator="lessThan">
      <formula>0</formula>
    </cfRule>
  </conditionalFormatting>
  <conditionalFormatting sqref="R83">
    <cfRule type="cellIs" dxfId="22587" priority="1735" operator="lessThan">
      <formula>0.8</formula>
    </cfRule>
    <cfRule type="cellIs" dxfId="22586" priority="1736" operator="greaterThan">
      <formula>1</formula>
    </cfRule>
  </conditionalFormatting>
  <conditionalFormatting sqref="R83">
    <cfRule type="cellIs" dxfId="22585" priority="1733" operator="greaterThan">
      <formula>1</formula>
    </cfRule>
    <cfRule type="cellIs" dxfId="22584" priority="1734" operator="lessThan">
      <formula>0.8</formula>
    </cfRule>
  </conditionalFormatting>
  <conditionalFormatting sqref="P83">
    <cfRule type="cellIs" dxfId="22583" priority="1732" operator="greaterThan">
      <formula>0</formula>
    </cfRule>
  </conditionalFormatting>
  <conditionalFormatting sqref="Q32:Q39">
    <cfRule type="cellIs" dxfId="22582" priority="1726" operator="lessThan">
      <formula>0</formula>
    </cfRule>
  </conditionalFormatting>
  <conditionalFormatting sqref="P32:P39">
    <cfRule type="cellIs" dxfId="22581" priority="1727" operator="greaterThan">
      <formula>0</formula>
    </cfRule>
  </conditionalFormatting>
  <conditionalFormatting sqref="R32:R39">
    <cfRule type="cellIs" dxfId="22580" priority="1730" operator="lessThan">
      <formula>0.8</formula>
    </cfRule>
    <cfRule type="cellIs" dxfId="22579" priority="1731" operator="greaterThan">
      <formula>1</formula>
    </cfRule>
  </conditionalFormatting>
  <conditionalFormatting sqref="R32:R39">
    <cfRule type="cellIs" dxfId="22578" priority="1728" operator="greaterThan">
      <formula>1</formula>
    </cfRule>
    <cfRule type="cellIs" dxfId="22577" priority="1729" operator="lessThan">
      <formula>0.8</formula>
    </cfRule>
  </conditionalFormatting>
  <conditionalFormatting sqref="Q32:Q39">
    <cfRule type="cellIs" dxfId="22576" priority="1720" operator="lessThan">
      <formula>0</formula>
    </cfRule>
  </conditionalFormatting>
  <conditionalFormatting sqref="R32:R39">
    <cfRule type="cellIs" dxfId="22575" priority="1724" operator="lessThan">
      <formula>0.8</formula>
    </cfRule>
    <cfRule type="cellIs" dxfId="22574" priority="1725" operator="greaterThan">
      <formula>1</formula>
    </cfRule>
  </conditionalFormatting>
  <conditionalFormatting sqref="R32:R39">
    <cfRule type="cellIs" dxfId="22573" priority="1722" operator="greaterThan">
      <formula>1</formula>
    </cfRule>
    <cfRule type="cellIs" dxfId="22572" priority="1723" operator="lessThan">
      <formula>0.8</formula>
    </cfRule>
  </conditionalFormatting>
  <conditionalFormatting sqref="P32:P39">
    <cfRule type="cellIs" dxfId="22571" priority="1721" operator="greaterThan">
      <formula>0</formula>
    </cfRule>
  </conditionalFormatting>
  <conditionalFormatting sqref="Q32:Q39">
    <cfRule type="cellIs" dxfId="22570" priority="1719" operator="lessThan">
      <formula>0</formula>
    </cfRule>
  </conditionalFormatting>
  <conditionalFormatting sqref="R32:R39">
    <cfRule type="cellIs" dxfId="22569" priority="1717" operator="lessThan">
      <formula>0.8</formula>
    </cfRule>
    <cfRule type="cellIs" dxfId="22568" priority="1718" operator="greaterThan">
      <formula>1</formula>
    </cfRule>
  </conditionalFormatting>
  <conditionalFormatting sqref="R32:R39">
    <cfRule type="cellIs" dxfId="22567" priority="1715" operator="greaterThan">
      <formula>1</formula>
    </cfRule>
    <cfRule type="cellIs" dxfId="22566" priority="1716" operator="lessThan">
      <formula>0.8</formula>
    </cfRule>
  </conditionalFormatting>
  <conditionalFormatting sqref="P32:P39">
    <cfRule type="cellIs" dxfId="22565" priority="1714" operator="greaterThan">
      <formula>0</formula>
    </cfRule>
  </conditionalFormatting>
  <conditionalFormatting sqref="Q32:Q39">
    <cfRule type="cellIs" dxfId="22564" priority="1713" operator="lessThan">
      <formula>0</formula>
    </cfRule>
  </conditionalFormatting>
  <conditionalFormatting sqref="R32:R39">
    <cfRule type="cellIs" dxfId="22563" priority="1711" operator="lessThan">
      <formula>0.8</formula>
    </cfRule>
    <cfRule type="cellIs" dxfId="22562" priority="1712" operator="greaterThan">
      <formula>1</formula>
    </cfRule>
  </conditionalFormatting>
  <conditionalFormatting sqref="R32:R39">
    <cfRule type="cellIs" dxfId="22561" priority="1709" operator="greaterThan">
      <formula>1</formula>
    </cfRule>
    <cfRule type="cellIs" dxfId="22560" priority="1710" operator="lessThan">
      <formula>0.8</formula>
    </cfRule>
  </conditionalFormatting>
  <conditionalFormatting sqref="P32:P39">
    <cfRule type="cellIs" dxfId="22559" priority="1708" operator="greaterThan">
      <formula>0</formula>
    </cfRule>
  </conditionalFormatting>
  <conditionalFormatting sqref="Q32:Q39">
    <cfRule type="cellIs" dxfId="22558" priority="1702" operator="lessThan">
      <formula>0</formula>
    </cfRule>
  </conditionalFormatting>
  <conditionalFormatting sqref="R32:R39">
    <cfRule type="cellIs" dxfId="22557" priority="1706" operator="lessThan">
      <formula>0.8</formula>
    </cfRule>
    <cfRule type="cellIs" dxfId="22556" priority="1707" operator="greaterThan">
      <formula>1</formula>
    </cfRule>
  </conditionalFormatting>
  <conditionalFormatting sqref="R32:R39">
    <cfRule type="cellIs" dxfId="22555" priority="1704" operator="greaterThan">
      <formula>1</formula>
    </cfRule>
    <cfRule type="cellIs" dxfId="22554" priority="1705" operator="lessThan">
      <formula>0.8</formula>
    </cfRule>
  </conditionalFormatting>
  <conditionalFormatting sqref="P32:P39">
    <cfRule type="cellIs" dxfId="22553" priority="1703" operator="greaterThan">
      <formula>0</formula>
    </cfRule>
  </conditionalFormatting>
  <conditionalFormatting sqref="Q32:Q39">
    <cfRule type="cellIs" dxfId="22552" priority="1701" operator="lessThan">
      <formula>0</formula>
    </cfRule>
  </conditionalFormatting>
  <conditionalFormatting sqref="R32:R39">
    <cfRule type="cellIs" dxfId="22551" priority="1699" operator="lessThan">
      <formula>0.8</formula>
    </cfRule>
    <cfRule type="cellIs" dxfId="22550" priority="1700" operator="greaterThan">
      <formula>1</formula>
    </cfRule>
  </conditionalFormatting>
  <conditionalFormatting sqref="R32:R39">
    <cfRule type="cellIs" dxfId="22549" priority="1697" operator="greaterThan">
      <formula>1</formula>
    </cfRule>
    <cfRule type="cellIs" dxfId="22548" priority="1698" operator="lessThan">
      <formula>0.8</formula>
    </cfRule>
  </conditionalFormatting>
  <conditionalFormatting sqref="P32:P39">
    <cfRule type="cellIs" dxfId="22547" priority="1696" operator="greaterThan">
      <formula>0</formula>
    </cfRule>
  </conditionalFormatting>
  <conditionalFormatting sqref="Q32:Q39">
    <cfRule type="cellIs" dxfId="22546" priority="1695" operator="lessThan">
      <formula>0</formula>
    </cfRule>
  </conditionalFormatting>
  <conditionalFormatting sqref="R32:R39">
    <cfRule type="cellIs" dxfId="22545" priority="1693" operator="lessThan">
      <formula>0.8</formula>
    </cfRule>
    <cfRule type="cellIs" dxfId="22544" priority="1694" operator="greaterThan">
      <formula>1</formula>
    </cfRule>
  </conditionalFormatting>
  <conditionalFormatting sqref="R32:R39">
    <cfRule type="cellIs" dxfId="22543" priority="1691" operator="greaterThan">
      <formula>1</formula>
    </cfRule>
    <cfRule type="cellIs" dxfId="22542" priority="1692" operator="lessThan">
      <formula>0.8</formula>
    </cfRule>
  </conditionalFormatting>
  <conditionalFormatting sqref="P32:P39">
    <cfRule type="cellIs" dxfId="22541" priority="1690" operator="greaterThan">
      <formula>0</formula>
    </cfRule>
  </conditionalFormatting>
  <conditionalFormatting sqref="Q32:Q39">
    <cfRule type="cellIs" dxfId="22540" priority="1689" operator="lessThan">
      <formula>0</formula>
    </cfRule>
  </conditionalFormatting>
  <conditionalFormatting sqref="R32:R39">
    <cfRule type="cellIs" dxfId="22539" priority="1687" operator="lessThan">
      <formula>0.8</formula>
    </cfRule>
    <cfRule type="cellIs" dxfId="22538" priority="1688" operator="greaterThan">
      <formula>1</formula>
    </cfRule>
  </conditionalFormatting>
  <conditionalFormatting sqref="R32:R39">
    <cfRule type="cellIs" dxfId="22537" priority="1685" operator="greaterThan">
      <formula>1</formula>
    </cfRule>
    <cfRule type="cellIs" dxfId="22536" priority="1686" operator="lessThan">
      <formula>0.8</formula>
    </cfRule>
  </conditionalFormatting>
  <conditionalFormatting sqref="P32:P39">
    <cfRule type="cellIs" dxfId="22535" priority="1684" operator="greaterThan">
      <formula>0</formula>
    </cfRule>
  </conditionalFormatting>
  <conditionalFormatting sqref="Q32:Q39">
    <cfRule type="cellIs" dxfId="22534" priority="1683" operator="lessThan">
      <formula>0</formula>
    </cfRule>
  </conditionalFormatting>
  <conditionalFormatting sqref="R32:R39">
    <cfRule type="cellIs" dxfId="22533" priority="1681" operator="lessThan">
      <formula>0.8</formula>
    </cfRule>
    <cfRule type="cellIs" dxfId="22532" priority="1682" operator="greaterThan">
      <formula>1</formula>
    </cfRule>
  </conditionalFormatting>
  <conditionalFormatting sqref="R32:R39">
    <cfRule type="cellIs" dxfId="22531" priority="1679" operator="greaterThan">
      <formula>1</formula>
    </cfRule>
    <cfRule type="cellIs" dxfId="22530" priority="1680" operator="lessThan">
      <formula>0.8</formula>
    </cfRule>
  </conditionalFormatting>
  <conditionalFormatting sqref="P32:P39">
    <cfRule type="cellIs" dxfId="22529" priority="1678" operator="greaterThan">
      <formula>0</formula>
    </cfRule>
  </conditionalFormatting>
  <conditionalFormatting sqref="Q32:Q39">
    <cfRule type="cellIs" dxfId="22528" priority="1677" operator="lessThan">
      <formula>0</formula>
    </cfRule>
  </conditionalFormatting>
  <conditionalFormatting sqref="R32:R39">
    <cfRule type="cellIs" dxfId="22527" priority="1675" operator="lessThan">
      <formula>0.8</formula>
    </cfRule>
    <cfRule type="cellIs" dxfId="22526" priority="1676" operator="greaterThan">
      <formula>1</formula>
    </cfRule>
  </conditionalFormatting>
  <conditionalFormatting sqref="R32:R39">
    <cfRule type="cellIs" dxfId="22525" priority="1673" operator="greaterThan">
      <formula>1</formula>
    </cfRule>
    <cfRule type="cellIs" dxfId="22524" priority="1674" operator="lessThan">
      <formula>0.8</formula>
    </cfRule>
  </conditionalFormatting>
  <conditionalFormatting sqref="P32:P39">
    <cfRule type="cellIs" dxfId="22523" priority="1672" operator="greaterThan">
      <formula>0</formula>
    </cfRule>
  </conditionalFormatting>
  <conditionalFormatting sqref="P32:P39">
    <cfRule type="cellIs" dxfId="22522" priority="1666" operator="greaterThan">
      <formula>0</formula>
    </cfRule>
  </conditionalFormatting>
  <conditionalFormatting sqref="Q32:Q39">
    <cfRule type="cellIs" dxfId="22521" priority="1671" operator="lessThan">
      <formula>0</formula>
    </cfRule>
  </conditionalFormatting>
  <conditionalFormatting sqref="R32:R39">
    <cfRule type="cellIs" dxfId="22520" priority="1669" operator="lessThan">
      <formula>0.8</formula>
    </cfRule>
    <cfRule type="cellIs" dxfId="22519" priority="1670" operator="greaterThan">
      <formula>1</formula>
    </cfRule>
  </conditionalFormatting>
  <conditionalFormatting sqref="R32:R39">
    <cfRule type="cellIs" dxfId="22518" priority="1667" operator="greaterThan">
      <formula>1</formula>
    </cfRule>
    <cfRule type="cellIs" dxfId="22517" priority="1668" operator="lessThan">
      <formula>0.8</formula>
    </cfRule>
  </conditionalFormatting>
  <conditionalFormatting sqref="P32:P39">
    <cfRule type="cellIs" dxfId="22516" priority="1660" operator="greaterThan">
      <formula>0</formula>
    </cfRule>
  </conditionalFormatting>
  <conditionalFormatting sqref="Q32:Q39">
    <cfRule type="cellIs" dxfId="22515" priority="1665" operator="lessThan">
      <formula>0</formula>
    </cfRule>
  </conditionalFormatting>
  <conditionalFormatting sqref="R32:R39">
    <cfRule type="cellIs" dxfId="22514" priority="1663" operator="lessThan">
      <formula>0.8</formula>
    </cfRule>
    <cfRule type="cellIs" dxfId="22513" priority="1664" operator="greaterThan">
      <formula>1</formula>
    </cfRule>
  </conditionalFormatting>
  <conditionalFormatting sqref="R32:R39">
    <cfRule type="cellIs" dxfId="22512" priority="1661" operator="greaterThan">
      <formula>1</formula>
    </cfRule>
    <cfRule type="cellIs" dxfId="22511" priority="1662" operator="lessThan">
      <formula>0.8</formula>
    </cfRule>
  </conditionalFormatting>
  <conditionalFormatting sqref="R32:R39">
    <cfRule type="cellIs" dxfId="22510" priority="1657" operator="lessThan">
      <formula>0.8</formula>
    </cfRule>
    <cfRule type="cellIs" dxfId="22509" priority="1658" operator="greaterThan">
      <formula>1</formula>
    </cfRule>
  </conditionalFormatting>
  <conditionalFormatting sqref="R32:R39">
    <cfRule type="cellIs" dxfId="22508" priority="1655" operator="greaterThan">
      <formula>1</formula>
    </cfRule>
    <cfRule type="cellIs" dxfId="22507" priority="1656" operator="lessThan">
      <formula>0.8</formula>
    </cfRule>
  </conditionalFormatting>
  <conditionalFormatting sqref="P32:P39">
    <cfRule type="cellIs" dxfId="22506" priority="1654" operator="greaterThan">
      <formula>0</formula>
    </cfRule>
  </conditionalFormatting>
  <conditionalFormatting sqref="Q32:Q39">
    <cfRule type="cellIs" dxfId="22505" priority="1659" operator="lessThan">
      <formula>0</formula>
    </cfRule>
  </conditionalFormatting>
  <conditionalFormatting sqref="Q32:Q39">
    <cfRule type="cellIs" dxfId="22504" priority="1648" operator="lessThan">
      <formula>0</formula>
    </cfRule>
  </conditionalFormatting>
  <conditionalFormatting sqref="P32:P39">
    <cfRule type="cellIs" dxfId="22503" priority="1649" operator="greaterThan">
      <formula>0</formula>
    </cfRule>
  </conditionalFormatting>
  <conditionalFormatting sqref="R32:R39">
    <cfRule type="cellIs" dxfId="22502" priority="1652" operator="lessThan">
      <formula>0.8</formula>
    </cfRule>
    <cfRule type="cellIs" dxfId="22501" priority="1653" operator="greaterThan">
      <formula>1</formula>
    </cfRule>
  </conditionalFormatting>
  <conditionalFormatting sqref="R32:R39">
    <cfRule type="cellIs" dxfId="22500" priority="1650" operator="greaterThan">
      <formula>1</formula>
    </cfRule>
    <cfRule type="cellIs" dxfId="22499" priority="1651" operator="lessThan">
      <formula>0.8</formula>
    </cfRule>
  </conditionalFormatting>
  <conditionalFormatting sqref="Q32:Q39">
    <cfRule type="cellIs" dxfId="22498" priority="1642" operator="lessThan">
      <formula>0</formula>
    </cfRule>
  </conditionalFormatting>
  <conditionalFormatting sqref="R32:R39">
    <cfRule type="cellIs" dxfId="22497" priority="1646" operator="lessThan">
      <formula>0.8</formula>
    </cfRule>
    <cfRule type="cellIs" dxfId="22496" priority="1647" operator="greaterThan">
      <formula>1</formula>
    </cfRule>
  </conditionalFormatting>
  <conditionalFormatting sqref="R32:R39">
    <cfRule type="cellIs" dxfId="22495" priority="1644" operator="greaterThan">
      <formula>1</formula>
    </cfRule>
    <cfRule type="cellIs" dxfId="22494" priority="1645" operator="lessThan">
      <formula>0.8</formula>
    </cfRule>
  </conditionalFormatting>
  <conditionalFormatting sqref="P32:P39">
    <cfRule type="cellIs" dxfId="22493" priority="1643" operator="greaterThan">
      <formula>0</formula>
    </cfRule>
  </conditionalFormatting>
  <conditionalFormatting sqref="Q32:Q39">
    <cfRule type="cellIs" dxfId="22492" priority="1641" operator="lessThan">
      <formula>0</formula>
    </cfRule>
  </conditionalFormatting>
  <conditionalFormatting sqref="R32:R39">
    <cfRule type="cellIs" dxfId="22491" priority="1639" operator="lessThan">
      <formula>0.8</formula>
    </cfRule>
    <cfRule type="cellIs" dxfId="22490" priority="1640" operator="greaterThan">
      <formula>1</formula>
    </cfRule>
  </conditionalFormatting>
  <conditionalFormatting sqref="R32:R39">
    <cfRule type="cellIs" dxfId="22489" priority="1637" operator="greaterThan">
      <formula>1</formula>
    </cfRule>
    <cfRule type="cellIs" dxfId="22488" priority="1638" operator="lessThan">
      <formula>0.8</formula>
    </cfRule>
  </conditionalFormatting>
  <conditionalFormatting sqref="P32:P39">
    <cfRule type="cellIs" dxfId="22487" priority="1636" operator="greaterThan">
      <formula>0</formula>
    </cfRule>
  </conditionalFormatting>
  <conditionalFormatting sqref="Q32:Q39">
    <cfRule type="cellIs" dxfId="22486" priority="1635" operator="lessThan">
      <formula>0</formula>
    </cfRule>
  </conditionalFormatting>
  <conditionalFormatting sqref="R32:R39">
    <cfRule type="cellIs" dxfId="22485" priority="1633" operator="lessThan">
      <formula>0.8</formula>
    </cfRule>
    <cfRule type="cellIs" dxfId="22484" priority="1634" operator="greaterThan">
      <formula>1</formula>
    </cfRule>
  </conditionalFormatting>
  <conditionalFormatting sqref="R32:R39">
    <cfRule type="cellIs" dxfId="22483" priority="1631" operator="greaterThan">
      <formula>1</formula>
    </cfRule>
    <cfRule type="cellIs" dxfId="22482" priority="1632" operator="lessThan">
      <formula>0.8</formula>
    </cfRule>
  </conditionalFormatting>
  <conditionalFormatting sqref="P32:P39">
    <cfRule type="cellIs" dxfId="22481" priority="1630" operator="greaterThan">
      <formula>0</formula>
    </cfRule>
  </conditionalFormatting>
  <conditionalFormatting sqref="Q32:Q39">
    <cfRule type="cellIs" dxfId="22480" priority="1624" operator="lessThan">
      <formula>0</formula>
    </cfRule>
  </conditionalFormatting>
  <conditionalFormatting sqref="P32:P39">
    <cfRule type="cellIs" dxfId="22479" priority="1625" operator="greaterThan">
      <formula>0</formula>
    </cfRule>
  </conditionalFormatting>
  <conditionalFormatting sqref="R32:R39">
    <cfRule type="cellIs" dxfId="22478" priority="1628" operator="lessThan">
      <formula>0.8</formula>
    </cfRule>
    <cfRule type="cellIs" dxfId="22477" priority="1629" operator="greaterThan">
      <formula>1</formula>
    </cfRule>
  </conditionalFormatting>
  <conditionalFormatting sqref="R32:R39">
    <cfRule type="cellIs" dxfId="22476" priority="1626" operator="greaterThan">
      <formula>1</formula>
    </cfRule>
    <cfRule type="cellIs" dxfId="22475" priority="1627" operator="lessThan">
      <formula>0.8</formula>
    </cfRule>
  </conditionalFormatting>
  <conditionalFormatting sqref="Q32:Q39">
    <cfRule type="cellIs" dxfId="22474" priority="1618" operator="lessThan">
      <formula>0</formula>
    </cfRule>
  </conditionalFormatting>
  <conditionalFormatting sqref="R32:R39">
    <cfRule type="cellIs" dxfId="22473" priority="1622" operator="lessThan">
      <formula>0.8</formula>
    </cfRule>
    <cfRule type="cellIs" dxfId="22472" priority="1623" operator="greaterThan">
      <formula>1</formula>
    </cfRule>
  </conditionalFormatting>
  <conditionalFormatting sqref="R32:R39">
    <cfRule type="cellIs" dxfId="22471" priority="1620" operator="greaterThan">
      <formula>1</formula>
    </cfRule>
    <cfRule type="cellIs" dxfId="22470" priority="1621" operator="lessThan">
      <formula>0.8</formula>
    </cfRule>
  </conditionalFormatting>
  <conditionalFormatting sqref="P32:P39">
    <cfRule type="cellIs" dxfId="22469" priority="1619" operator="greaterThan">
      <formula>0</formula>
    </cfRule>
  </conditionalFormatting>
  <conditionalFormatting sqref="Q32:Q39">
    <cfRule type="cellIs" dxfId="22468" priority="1617" operator="lessThan">
      <formula>0</formula>
    </cfRule>
  </conditionalFormatting>
  <conditionalFormatting sqref="R32:R39">
    <cfRule type="cellIs" dxfId="22467" priority="1615" operator="lessThan">
      <formula>0.8</formula>
    </cfRule>
    <cfRule type="cellIs" dxfId="22466" priority="1616" operator="greaterThan">
      <formula>1</formula>
    </cfRule>
  </conditionalFormatting>
  <conditionalFormatting sqref="R32:R39">
    <cfRule type="cellIs" dxfId="22465" priority="1613" operator="greaterThan">
      <formula>1</formula>
    </cfRule>
    <cfRule type="cellIs" dxfId="22464" priority="1614" operator="lessThan">
      <formula>0.8</formula>
    </cfRule>
  </conditionalFormatting>
  <conditionalFormatting sqref="P32:P39">
    <cfRule type="cellIs" dxfId="22463" priority="1612" operator="greaterThan">
      <formula>0</formula>
    </cfRule>
  </conditionalFormatting>
  <conditionalFormatting sqref="Q32:Q39">
    <cfRule type="cellIs" dxfId="22462" priority="1611" operator="lessThan">
      <formula>0</formula>
    </cfRule>
  </conditionalFormatting>
  <conditionalFormatting sqref="R32:R39">
    <cfRule type="cellIs" dxfId="22461" priority="1609" operator="lessThan">
      <formula>0.8</formula>
    </cfRule>
    <cfRule type="cellIs" dxfId="22460" priority="1610" operator="greaterThan">
      <formula>1</formula>
    </cfRule>
  </conditionalFormatting>
  <conditionalFormatting sqref="R32:R39">
    <cfRule type="cellIs" dxfId="22459" priority="1607" operator="greaterThan">
      <formula>1</formula>
    </cfRule>
    <cfRule type="cellIs" dxfId="22458" priority="1608" operator="lessThan">
      <formula>0.8</formula>
    </cfRule>
  </conditionalFormatting>
  <conditionalFormatting sqref="P32:P39">
    <cfRule type="cellIs" dxfId="22457" priority="1606" operator="greaterThan">
      <formula>0</formula>
    </cfRule>
  </conditionalFormatting>
  <conditionalFormatting sqref="Q19:Q24">
    <cfRule type="cellIs" dxfId="22456" priority="1605" operator="lessThan">
      <formula>0</formula>
    </cfRule>
  </conditionalFormatting>
  <conditionalFormatting sqref="R19:R24">
    <cfRule type="cellIs" dxfId="22455" priority="1603" operator="lessThan">
      <formula>0.8</formula>
    </cfRule>
    <cfRule type="cellIs" dxfId="22454" priority="1604" operator="greaterThan">
      <formula>1</formula>
    </cfRule>
  </conditionalFormatting>
  <conditionalFormatting sqref="R19:R24">
    <cfRule type="cellIs" dxfId="22453" priority="1601" operator="greaterThan">
      <formula>1</formula>
    </cfRule>
    <cfRule type="cellIs" dxfId="22452" priority="1602" operator="lessThan">
      <formula>0.8</formula>
    </cfRule>
  </conditionalFormatting>
  <conditionalFormatting sqref="P19:P24">
    <cfRule type="cellIs" dxfId="22451" priority="1600" operator="greaterThan">
      <formula>0</formula>
    </cfRule>
  </conditionalFormatting>
  <conditionalFormatting sqref="R19:R24">
    <cfRule type="cellIs" dxfId="22450" priority="1597" operator="lessThan">
      <formula>0.8</formula>
    </cfRule>
    <cfRule type="cellIs" dxfId="22449" priority="1598" operator="greaterThan">
      <formula>1</formula>
    </cfRule>
  </conditionalFormatting>
  <conditionalFormatting sqref="R19:R24">
    <cfRule type="cellIs" dxfId="22448" priority="1595" operator="greaterThan">
      <formula>1</formula>
    </cfRule>
    <cfRule type="cellIs" dxfId="22447" priority="1596" operator="lessThan">
      <formula>0.8</formula>
    </cfRule>
  </conditionalFormatting>
  <conditionalFormatting sqref="P19:P24">
    <cfRule type="cellIs" dxfId="22446" priority="1594" operator="greaterThan">
      <formula>0</formula>
    </cfRule>
  </conditionalFormatting>
  <conditionalFormatting sqref="Q19:Q24">
    <cfRule type="cellIs" dxfId="22445" priority="1599" operator="lessThan">
      <formula>0</formula>
    </cfRule>
  </conditionalFormatting>
  <conditionalFormatting sqref="R19:R24">
    <cfRule type="cellIs" dxfId="22444" priority="1591" operator="lessThan">
      <formula>0.8</formula>
    </cfRule>
    <cfRule type="cellIs" dxfId="22443" priority="1592" operator="greaterThan">
      <formula>1</formula>
    </cfRule>
  </conditionalFormatting>
  <conditionalFormatting sqref="R19:R24">
    <cfRule type="cellIs" dxfId="22442" priority="1589" operator="greaterThan">
      <formula>1</formula>
    </cfRule>
    <cfRule type="cellIs" dxfId="22441" priority="1590" operator="lessThan">
      <formula>0.8</formula>
    </cfRule>
  </conditionalFormatting>
  <conditionalFormatting sqref="P19:P24">
    <cfRule type="cellIs" dxfId="22440" priority="1588" operator="greaterThan">
      <formula>0</formula>
    </cfRule>
  </conditionalFormatting>
  <conditionalFormatting sqref="Q19:Q24">
    <cfRule type="cellIs" dxfId="22439" priority="1593" operator="lessThan">
      <formula>0</formula>
    </cfRule>
  </conditionalFormatting>
  <conditionalFormatting sqref="Q19:Q24">
    <cfRule type="cellIs" dxfId="22438" priority="1587" operator="lessThan">
      <formula>0</formula>
    </cfRule>
  </conditionalFormatting>
  <conditionalFormatting sqref="R19:R24">
    <cfRule type="cellIs" dxfId="22437" priority="1585" operator="lessThan">
      <formula>0.8</formula>
    </cfRule>
    <cfRule type="cellIs" dxfId="22436" priority="1586" operator="greaterThan">
      <formula>1</formula>
    </cfRule>
  </conditionalFormatting>
  <conditionalFormatting sqref="R19:R24">
    <cfRule type="cellIs" dxfId="22435" priority="1583" operator="greaterThan">
      <formula>1</formula>
    </cfRule>
    <cfRule type="cellIs" dxfId="22434" priority="1584" operator="lessThan">
      <formula>0.8</formula>
    </cfRule>
  </conditionalFormatting>
  <conditionalFormatting sqref="P19:P24">
    <cfRule type="cellIs" dxfId="22433" priority="1582" operator="greaterThan">
      <formula>0</formula>
    </cfRule>
  </conditionalFormatting>
  <conditionalFormatting sqref="Q135:Q136 Q139 Q142">
    <cfRule type="cellIs" dxfId="22432" priority="1581" operator="lessThan">
      <formula>0</formula>
    </cfRule>
  </conditionalFormatting>
  <conditionalFormatting sqref="R135:R136 R139 R142">
    <cfRule type="cellIs" dxfId="22431" priority="1579" operator="lessThan">
      <formula>0.8</formula>
    </cfRule>
    <cfRule type="cellIs" dxfId="22430" priority="1580" operator="greaterThan">
      <formula>1</formula>
    </cfRule>
  </conditionalFormatting>
  <conditionalFormatting sqref="R135:R136 R139 R142">
    <cfRule type="cellIs" dxfId="22429" priority="1577" operator="greaterThan">
      <formula>1</formula>
    </cfRule>
    <cfRule type="cellIs" dxfId="22428" priority="1578" operator="lessThan">
      <formula>0.8</formula>
    </cfRule>
  </conditionalFormatting>
  <conditionalFormatting sqref="P135:P136 P139 P142">
    <cfRule type="cellIs" dxfId="22427" priority="1576" operator="greaterThan">
      <formula>0</formula>
    </cfRule>
  </conditionalFormatting>
  <conditionalFormatting sqref="P135:P136 P139 P142">
    <cfRule type="cellIs" dxfId="22426" priority="1570" operator="greaterThan">
      <formula>0</formula>
    </cfRule>
  </conditionalFormatting>
  <conditionalFormatting sqref="Q135:Q136 Q139 Q142">
    <cfRule type="cellIs" dxfId="22425" priority="1575" operator="lessThan">
      <formula>0</formula>
    </cfRule>
  </conditionalFormatting>
  <conditionalFormatting sqref="R135:R136 R139 R142">
    <cfRule type="cellIs" dxfId="22424" priority="1573" operator="lessThan">
      <formula>0.8</formula>
    </cfRule>
    <cfRule type="cellIs" dxfId="22423" priority="1574" operator="greaterThan">
      <formula>1</formula>
    </cfRule>
  </conditionalFormatting>
  <conditionalFormatting sqref="R135:R136 R139 R142">
    <cfRule type="cellIs" dxfId="22422" priority="1571" operator="greaterThan">
      <formula>1</formula>
    </cfRule>
    <cfRule type="cellIs" dxfId="22421" priority="1572" operator="lessThan">
      <formula>0.8</formula>
    </cfRule>
  </conditionalFormatting>
  <conditionalFormatting sqref="Q25">
    <cfRule type="cellIs" dxfId="22420" priority="1569" operator="lessThan">
      <formula>0</formula>
    </cfRule>
  </conditionalFormatting>
  <conditionalFormatting sqref="R25">
    <cfRule type="cellIs" dxfId="22419" priority="1567" operator="lessThan">
      <formula>0.8</formula>
    </cfRule>
    <cfRule type="cellIs" dxfId="22418" priority="1568" operator="greaterThan">
      <formula>1</formula>
    </cfRule>
  </conditionalFormatting>
  <conditionalFormatting sqref="R25">
    <cfRule type="cellIs" dxfId="22417" priority="1565" operator="greaterThan">
      <formula>1</formula>
    </cfRule>
    <cfRule type="cellIs" dxfId="22416" priority="1566" operator="lessThan">
      <formula>0.8</formula>
    </cfRule>
  </conditionalFormatting>
  <conditionalFormatting sqref="P25">
    <cfRule type="cellIs" dxfId="22415" priority="1564" operator="greaterThan">
      <formula>0</formula>
    </cfRule>
  </conditionalFormatting>
  <conditionalFormatting sqref="R25">
    <cfRule type="cellIs" dxfId="22414" priority="1561" operator="lessThan">
      <formula>0.8</formula>
    </cfRule>
    <cfRule type="cellIs" dxfId="22413" priority="1562" operator="greaterThan">
      <formula>1</formula>
    </cfRule>
  </conditionalFormatting>
  <conditionalFormatting sqref="R25">
    <cfRule type="cellIs" dxfId="22412" priority="1559" operator="greaterThan">
      <formula>1</formula>
    </cfRule>
    <cfRule type="cellIs" dxfId="22411" priority="1560" operator="lessThan">
      <formula>0.8</formula>
    </cfRule>
  </conditionalFormatting>
  <conditionalFormatting sqref="P25">
    <cfRule type="cellIs" dxfId="22410" priority="1558" operator="greaterThan">
      <formula>0</formula>
    </cfRule>
  </conditionalFormatting>
  <conditionalFormatting sqref="Q25">
    <cfRule type="cellIs" dxfId="22409" priority="1563" operator="lessThan">
      <formula>0</formula>
    </cfRule>
  </conditionalFormatting>
  <conditionalFormatting sqref="R25">
    <cfRule type="cellIs" dxfId="22408" priority="1555" operator="lessThan">
      <formula>0.8</formula>
    </cfRule>
    <cfRule type="cellIs" dxfId="22407" priority="1556" operator="greaterThan">
      <formula>1</formula>
    </cfRule>
  </conditionalFormatting>
  <conditionalFormatting sqref="R25">
    <cfRule type="cellIs" dxfId="22406" priority="1553" operator="greaterThan">
      <formula>1</formula>
    </cfRule>
    <cfRule type="cellIs" dxfId="22405" priority="1554" operator="lessThan">
      <formula>0.8</formula>
    </cfRule>
  </conditionalFormatting>
  <conditionalFormatting sqref="P25">
    <cfRule type="cellIs" dxfId="22404" priority="1552" operator="greaterThan">
      <formula>0</formula>
    </cfRule>
  </conditionalFormatting>
  <conditionalFormatting sqref="Q25">
    <cfRule type="cellIs" dxfId="22403" priority="1557" operator="lessThan">
      <formula>0</formula>
    </cfRule>
  </conditionalFormatting>
  <conditionalFormatting sqref="Q25">
    <cfRule type="cellIs" dxfId="22402" priority="1551" operator="lessThan">
      <formula>0</formula>
    </cfRule>
  </conditionalFormatting>
  <conditionalFormatting sqref="R25">
    <cfRule type="cellIs" dxfId="22401" priority="1549" operator="lessThan">
      <formula>0.8</formula>
    </cfRule>
    <cfRule type="cellIs" dxfId="22400" priority="1550" operator="greaterThan">
      <formula>1</formula>
    </cfRule>
  </conditionalFormatting>
  <conditionalFormatting sqref="R25">
    <cfRule type="cellIs" dxfId="22399" priority="1547" operator="greaterThan">
      <formula>1</formula>
    </cfRule>
    <cfRule type="cellIs" dxfId="22398" priority="1548" operator="lessThan">
      <formula>0.8</formula>
    </cfRule>
  </conditionalFormatting>
  <conditionalFormatting sqref="P25">
    <cfRule type="cellIs" dxfId="22397" priority="1546" operator="greaterThan">
      <formula>0</formula>
    </cfRule>
  </conditionalFormatting>
  <conditionalFormatting sqref="Q25">
    <cfRule type="cellIs" dxfId="22396" priority="1545" operator="lessThan">
      <formula>0</formula>
    </cfRule>
  </conditionalFormatting>
  <conditionalFormatting sqref="R25">
    <cfRule type="cellIs" dxfId="22395" priority="1543" operator="lessThan">
      <formula>0.8</formula>
    </cfRule>
    <cfRule type="cellIs" dxfId="22394" priority="1544" operator="greaterThan">
      <formula>1</formula>
    </cfRule>
  </conditionalFormatting>
  <conditionalFormatting sqref="R25">
    <cfRule type="cellIs" dxfId="22393" priority="1541" operator="greaterThan">
      <formula>1</formula>
    </cfRule>
    <cfRule type="cellIs" dxfId="22392" priority="1542" operator="lessThan">
      <formula>0.8</formula>
    </cfRule>
  </conditionalFormatting>
  <conditionalFormatting sqref="P25">
    <cfRule type="cellIs" dxfId="22391" priority="1540" operator="greaterThan">
      <formula>0</formula>
    </cfRule>
  </conditionalFormatting>
  <conditionalFormatting sqref="P19:P24">
    <cfRule type="cellIs" dxfId="22390" priority="1534" operator="greaterThan">
      <formula>0</formula>
    </cfRule>
  </conditionalFormatting>
  <conditionalFormatting sqref="Q19:Q24">
    <cfRule type="cellIs" dxfId="22389" priority="1539" operator="lessThan">
      <formula>0</formula>
    </cfRule>
  </conditionalFormatting>
  <conditionalFormatting sqref="R19:R24">
    <cfRule type="cellIs" dxfId="22388" priority="1537" operator="lessThan">
      <formula>0.8</formula>
    </cfRule>
    <cfRule type="cellIs" dxfId="22387" priority="1538" operator="greaterThan">
      <formula>1</formula>
    </cfRule>
  </conditionalFormatting>
  <conditionalFormatting sqref="R19:R24">
    <cfRule type="cellIs" dxfId="22386" priority="1535" operator="greaterThan">
      <formula>1</formula>
    </cfRule>
    <cfRule type="cellIs" dxfId="22385" priority="1536" operator="lessThan">
      <formula>0.8</formula>
    </cfRule>
  </conditionalFormatting>
  <conditionalFormatting sqref="Q19:Q24">
    <cfRule type="cellIs" dxfId="22384" priority="1533" operator="lessThan">
      <formula>0</formula>
    </cfRule>
  </conditionalFormatting>
  <conditionalFormatting sqref="R19:R24">
    <cfRule type="cellIs" dxfId="22383" priority="1531" operator="lessThan">
      <formula>0.8</formula>
    </cfRule>
    <cfRule type="cellIs" dxfId="22382" priority="1532" operator="greaterThan">
      <formula>1</formula>
    </cfRule>
  </conditionalFormatting>
  <conditionalFormatting sqref="R19:R24">
    <cfRule type="cellIs" dxfId="22381" priority="1529" operator="greaterThan">
      <formula>1</formula>
    </cfRule>
    <cfRule type="cellIs" dxfId="22380" priority="1530" operator="lessThan">
      <formula>0.8</formula>
    </cfRule>
  </conditionalFormatting>
  <conditionalFormatting sqref="P19:P24">
    <cfRule type="cellIs" dxfId="22379" priority="1528" operator="greaterThan">
      <formula>0</formula>
    </cfRule>
  </conditionalFormatting>
  <conditionalFormatting sqref="Q19:Q24">
    <cfRule type="cellIs" dxfId="22378" priority="1527" operator="lessThan">
      <formula>0</formula>
    </cfRule>
  </conditionalFormatting>
  <conditionalFormatting sqref="R19:R24">
    <cfRule type="cellIs" dxfId="22377" priority="1525" operator="lessThan">
      <formula>0.8</formula>
    </cfRule>
    <cfRule type="cellIs" dxfId="22376" priority="1526" operator="greaterThan">
      <formula>1</formula>
    </cfRule>
  </conditionalFormatting>
  <conditionalFormatting sqref="R19:R24">
    <cfRule type="cellIs" dxfId="22375" priority="1523" operator="greaterThan">
      <formula>1</formula>
    </cfRule>
    <cfRule type="cellIs" dxfId="22374" priority="1524" operator="lessThan">
      <formula>0.8</formula>
    </cfRule>
  </conditionalFormatting>
  <conditionalFormatting sqref="P19:P24">
    <cfRule type="cellIs" dxfId="22373" priority="1522" operator="greaterThan">
      <formula>0</formula>
    </cfRule>
  </conditionalFormatting>
  <conditionalFormatting sqref="Q19:Q24">
    <cfRule type="cellIs" dxfId="22372" priority="1521" operator="lessThan">
      <formula>0</formula>
    </cfRule>
  </conditionalFormatting>
  <conditionalFormatting sqref="R19:R24">
    <cfRule type="cellIs" dxfId="22371" priority="1519" operator="lessThan">
      <formula>0.8</formula>
    </cfRule>
    <cfRule type="cellIs" dxfId="22370" priority="1520" operator="greaterThan">
      <formula>1</formula>
    </cfRule>
  </conditionalFormatting>
  <conditionalFormatting sqref="R19:R24">
    <cfRule type="cellIs" dxfId="22369" priority="1517" operator="greaterThan">
      <formula>1</formula>
    </cfRule>
    <cfRule type="cellIs" dxfId="22368" priority="1518" operator="lessThan">
      <formula>0.8</formula>
    </cfRule>
  </conditionalFormatting>
  <conditionalFormatting sqref="P19:P24">
    <cfRule type="cellIs" dxfId="22367" priority="1516" operator="greaterThan">
      <formula>0</formula>
    </cfRule>
  </conditionalFormatting>
  <conditionalFormatting sqref="R19:R24">
    <cfRule type="cellIs" dxfId="22366" priority="1513" operator="lessThan">
      <formula>0.8</formula>
    </cfRule>
    <cfRule type="cellIs" dxfId="22365" priority="1514" operator="greaterThan">
      <formula>1</formula>
    </cfRule>
  </conditionalFormatting>
  <conditionalFormatting sqref="R19:R24">
    <cfRule type="cellIs" dxfId="22364" priority="1511" operator="greaterThan">
      <formula>1</formula>
    </cfRule>
    <cfRule type="cellIs" dxfId="22363" priority="1512" operator="lessThan">
      <formula>0.8</formula>
    </cfRule>
  </conditionalFormatting>
  <conditionalFormatting sqref="P19:P24">
    <cfRule type="cellIs" dxfId="22362" priority="1510" operator="greaterThan">
      <formula>0</formula>
    </cfRule>
  </conditionalFormatting>
  <conditionalFormatting sqref="Q19:Q24">
    <cfRule type="cellIs" dxfId="22361" priority="1515" operator="lessThan">
      <formula>0</formula>
    </cfRule>
  </conditionalFormatting>
  <conditionalFormatting sqref="Q19:Q24">
    <cfRule type="cellIs" dxfId="22360" priority="1509" operator="lessThan">
      <formula>0</formula>
    </cfRule>
  </conditionalFormatting>
  <conditionalFormatting sqref="R19:R24">
    <cfRule type="cellIs" dxfId="22359" priority="1507" operator="lessThan">
      <formula>0.8</formula>
    </cfRule>
    <cfRule type="cellIs" dxfId="22358" priority="1508" operator="greaterThan">
      <formula>1</formula>
    </cfRule>
  </conditionalFormatting>
  <conditionalFormatting sqref="R19:R24">
    <cfRule type="cellIs" dxfId="22357" priority="1505" operator="greaterThan">
      <formula>1</formula>
    </cfRule>
    <cfRule type="cellIs" dxfId="22356" priority="1506" operator="lessThan">
      <formula>0.8</formula>
    </cfRule>
  </conditionalFormatting>
  <conditionalFormatting sqref="P19:P24">
    <cfRule type="cellIs" dxfId="22355" priority="1504" operator="greaterThan">
      <formula>0</formula>
    </cfRule>
  </conditionalFormatting>
  <conditionalFormatting sqref="P19:P24">
    <cfRule type="cellIs" dxfId="22354" priority="1498" operator="greaterThan">
      <formula>0</formula>
    </cfRule>
  </conditionalFormatting>
  <conditionalFormatting sqref="Q19:Q24">
    <cfRule type="cellIs" dxfId="22353" priority="1503" operator="lessThan">
      <formula>0</formula>
    </cfRule>
  </conditionalFormatting>
  <conditionalFormatting sqref="R19:R24">
    <cfRule type="cellIs" dxfId="22352" priority="1501" operator="lessThan">
      <formula>0.8</formula>
    </cfRule>
    <cfRule type="cellIs" dxfId="22351" priority="1502" operator="greaterThan">
      <formula>1</formula>
    </cfRule>
  </conditionalFormatting>
  <conditionalFormatting sqref="R19:R24">
    <cfRule type="cellIs" dxfId="22350" priority="1499" operator="greaterThan">
      <formula>1</formula>
    </cfRule>
    <cfRule type="cellIs" dxfId="22349" priority="1500" operator="lessThan">
      <formula>0.8</formula>
    </cfRule>
  </conditionalFormatting>
  <conditionalFormatting sqref="P19:P24">
    <cfRule type="cellIs" dxfId="22348" priority="1492" operator="greaterThan">
      <formula>0</formula>
    </cfRule>
  </conditionalFormatting>
  <conditionalFormatting sqref="Q19:Q24">
    <cfRule type="cellIs" dxfId="22347" priority="1497" operator="lessThan">
      <formula>0</formula>
    </cfRule>
  </conditionalFormatting>
  <conditionalFormatting sqref="R19:R24">
    <cfRule type="cellIs" dxfId="22346" priority="1495" operator="lessThan">
      <formula>0.8</formula>
    </cfRule>
    <cfRule type="cellIs" dxfId="22345" priority="1496" operator="greaterThan">
      <formula>1</formula>
    </cfRule>
  </conditionalFormatting>
  <conditionalFormatting sqref="R19:R24">
    <cfRule type="cellIs" dxfId="22344" priority="1493" operator="greaterThan">
      <formula>1</formula>
    </cfRule>
    <cfRule type="cellIs" dxfId="22343" priority="1494" operator="lessThan">
      <formula>0.8</formula>
    </cfRule>
  </conditionalFormatting>
  <conditionalFormatting sqref="Q19:Q24">
    <cfRule type="cellIs" dxfId="22342" priority="1491" operator="lessThan">
      <formula>0</formula>
    </cfRule>
  </conditionalFormatting>
  <conditionalFormatting sqref="R19:R24">
    <cfRule type="cellIs" dxfId="22341" priority="1489" operator="lessThan">
      <formula>0.8</formula>
    </cfRule>
    <cfRule type="cellIs" dxfId="22340" priority="1490" operator="greaterThan">
      <formula>1</formula>
    </cfRule>
  </conditionalFormatting>
  <conditionalFormatting sqref="R19:R24">
    <cfRule type="cellIs" dxfId="22339" priority="1487" operator="greaterThan">
      <formula>1</formula>
    </cfRule>
    <cfRule type="cellIs" dxfId="22338" priority="1488" operator="lessThan">
      <formula>0.8</formula>
    </cfRule>
  </conditionalFormatting>
  <conditionalFormatting sqref="P19:P24">
    <cfRule type="cellIs" dxfId="22337" priority="1486" operator="greaterThan">
      <formula>0</formula>
    </cfRule>
  </conditionalFormatting>
  <conditionalFormatting sqref="Q19:Q24">
    <cfRule type="cellIs" dxfId="22336" priority="1485" operator="lessThan">
      <formula>0</formula>
    </cfRule>
  </conditionalFormatting>
  <conditionalFormatting sqref="R19:R24">
    <cfRule type="cellIs" dxfId="22335" priority="1483" operator="lessThan">
      <formula>0.8</formula>
    </cfRule>
    <cfRule type="cellIs" dxfId="22334" priority="1484" operator="greaterThan">
      <formula>1</formula>
    </cfRule>
  </conditionalFormatting>
  <conditionalFormatting sqref="R19:R24">
    <cfRule type="cellIs" dxfId="22333" priority="1481" operator="greaterThan">
      <formula>1</formula>
    </cfRule>
    <cfRule type="cellIs" dxfId="22332" priority="1482" operator="lessThan">
      <formula>0.8</formula>
    </cfRule>
  </conditionalFormatting>
  <conditionalFormatting sqref="P19:P24">
    <cfRule type="cellIs" dxfId="22331" priority="1480" operator="greaterThan">
      <formula>0</formula>
    </cfRule>
  </conditionalFormatting>
  <conditionalFormatting sqref="P19:P24">
    <cfRule type="cellIs" dxfId="22330" priority="1474" operator="greaterThan">
      <formula>0</formula>
    </cfRule>
  </conditionalFormatting>
  <conditionalFormatting sqref="Q19:Q24">
    <cfRule type="cellIs" dxfId="22329" priority="1479" operator="lessThan">
      <formula>0</formula>
    </cfRule>
  </conditionalFormatting>
  <conditionalFormatting sqref="R19:R24">
    <cfRule type="cellIs" dxfId="22328" priority="1477" operator="lessThan">
      <formula>0.8</formula>
    </cfRule>
    <cfRule type="cellIs" dxfId="22327" priority="1478" operator="greaterThan">
      <formula>1</formula>
    </cfRule>
  </conditionalFormatting>
  <conditionalFormatting sqref="R19:R24">
    <cfRule type="cellIs" dxfId="22326" priority="1475" operator="greaterThan">
      <formula>1</formula>
    </cfRule>
    <cfRule type="cellIs" dxfId="22325" priority="1476" operator="lessThan">
      <formula>0.8</formula>
    </cfRule>
  </conditionalFormatting>
  <conditionalFormatting sqref="Q19:Q24">
    <cfRule type="cellIs" dxfId="22324" priority="1473" operator="lessThan">
      <formula>0</formula>
    </cfRule>
  </conditionalFormatting>
  <conditionalFormatting sqref="R19:R24">
    <cfRule type="cellIs" dxfId="22323" priority="1471" operator="lessThan">
      <formula>0.8</formula>
    </cfRule>
    <cfRule type="cellIs" dxfId="22322" priority="1472" operator="greaterThan">
      <formula>1</formula>
    </cfRule>
  </conditionalFormatting>
  <conditionalFormatting sqref="R19:R24">
    <cfRule type="cellIs" dxfId="22321" priority="1469" operator="greaterThan">
      <formula>1</formula>
    </cfRule>
    <cfRule type="cellIs" dxfId="22320" priority="1470" operator="lessThan">
      <formula>0.8</formula>
    </cfRule>
  </conditionalFormatting>
  <conditionalFormatting sqref="P19:P24">
    <cfRule type="cellIs" dxfId="22319" priority="1468" operator="greaterThan">
      <formula>0</formula>
    </cfRule>
  </conditionalFormatting>
  <conditionalFormatting sqref="Q19:Q24">
    <cfRule type="cellIs" dxfId="22318" priority="1467" operator="lessThan">
      <formula>0</formula>
    </cfRule>
  </conditionalFormatting>
  <conditionalFormatting sqref="R19:R24">
    <cfRule type="cellIs" dxfId="22317" priority="1465" operator="lessThan">
      <formula>0.8</formula>
    </cfRule>
    <cfRule type="cellIs" dxfId="22316" priority="1466" operator="greaterThan">
      <formula>1</formula>
    </cfRule>
  </conditionalFormatting>
  <conditionalFormatting sqref="R19:R24">
    <cfRule type="cellIs" dxfId="22315" priority="1463" operator="greaterThan">
      <formula>1</formula>
    </cfRule>
    <cfRule type="cellIs" dxfId="22314" priority="1464" operator="lessThan">
      <formula>0.8</formula>
    </cfRule>
  </conditionalFormatting>
  <conditionalFormatting sqref="P19:P24">
    <cfRule type="cellIs" dxfId="22313" priority="1462" operator="greaterThan">
      <formula>0</formula>
    </cfRule>
  </conditionalFormatting>
  <conditionalFormatting sqref="Q19:Q24">
    <cfRule type="cellIs" dxfId="22312" priority="1461" operator="lessThan">
      <formula>0</formula>
    </cfRule>
  </conditionalFormatting>
  <conditionalFormatting sqref="R19:R24">
    <cfRule type="cellIs" dxfId="22311" priority="1459" operator="lessThan">
      <formula>0.8</formula>
    </cfRule>
    <cfRule type="cellIs" dxfId="22310" priority="1460" operator="greaterThan">
      <formula>1</formula>
    </cfRule>
  </conditionalFormatting>
  <conditionalFormatting sqref="R19:R24">
    <cfRule type="cellIs" dxfId="22309" priority="1457" operator="greaterThan">
      <formula>1</formula>
    </cfRule>
    <cfRule type="cellIs" dxfId="22308" priority="1458" operator="lessThan">
      <formula>0.8</formula>
    </cfRule>
  </conditionalFormatting>
  <conditionalFormatting sqref="P19:P24">
    <cfRule type="cellIs" dxfId="22307" priority="1456" operator="greaterThan">
      <formula>0</formula>
    </cfRule>
  </conditionalFormatting>
  <conditionalFormatting sqref="R19:R24">
    <cfRule type="cellIs" dxfId="22306" priority="1453" operator="lessThan">
      <formula>0.8</formula>
    </cfRule>
    <cfRule type="cellIs" dxfId="22305" priority="1454" operator="greaterThan">
      <formula>1</formula>
    </cfRule>
  </conditionalFormatting>
  <conditionalFormatting sqref="R19:R24">
    <cfRule type="cellIs" dxfId="22304" priority="1451" operator="greaterThan">
      <formula>1</formula>
    </cfRule>
    <cfRule type="cellIs" dxfId="22303" priority="1452" operator="lessThan">
      <formula>0.8</formula>
    </cfRule>
  </conditionalFormatting>
  <conditionalFormatting sqref="P19:P24">
    <cfRule type="cellIs" dxfId="22302" priority="1450" operator="greaterThan">
      <formula>0</formula>
    </cfRule>
  </conditionalFormatting>
  <conditionalFormatting sqref="Q19:Q24">
    <cfRule type="cellIs" dxfId="22301" priority="1455" operator="lessThan">
      <formula>0</formula>
    </cfRule>
  </conditionalFormatting>
  <conditionalFormatting sqref="Q40">
    <cfRule type="cellIs" dxfId="22300" priority="1449" operator="lessThan">
      <formula>0</formula>
    </cfRule>
  </conditionalFormatting>
  <conditionalFormatting sqref="R40">
    <cfRule type="cellIs" dxfId="22299" priority="1447" operator="lessThan">
      <formula>0.8</formula>
    </cfRule>
    <cfRule type="cellIs" dxfId="22298" priority="1448" operator="greaterThan">
      <formula>1</formula>
    </cfRule>
  </conditionalFormatting>
  <conditionalFormatting sqref="R40">
    <cfRule type="cellIs" dxfId="22297" priority="1445" operator="greaterThan">
      <formula>1</formula>
    </cfRule>
    <cfRule type="cellIs" dxfId="22296" priority="1446" operator="lessThan">
      <formula>0.8</formula>
    </cfRule>
  </conditionalFormatting>
  <conditionalFormatting sqref="P40">
    <cfRule type="cellIs" dxfId="22295" priority="1444" operator="greaterThan">
      <formula>0</formula>
    </cfRule>
  </conditionalFormatting>
  <conditionalFormatting sqref="P40">
    <cfRule type="cellIs" dxfId="22294" priority="1438" operator="greaterThan">
      <formula>0</formula>
    </cfRule>
  </conditionalFormatting>
  <conditionalFormatting sqref="Q40">
    <cfRule type="cellIs" dxfId="22293" priority="1443" operator="lessThan">
      <formula>0</formula>
    </cfRule>
  </conditionalFormatting>
  <conditionalFormatting sqref="R40">
    <cfRule type="cellIs" dxfId="22292" priority="1441" operator="lessThan">
      <formula>0.8</formula>
    </cfRule>
    <cfRule type="cellIs" dxfId="22291" priority="1442" operator="greaterThan">
      <formula>1</formula>
    </cfRule>
  </conditionalFormatting>
  <conditionalFormatting sqref="R40">
    <cfRule type="cellIs" dxfId="22290" priority="1439" operator="greaterThan">
      <formula>1</formula>
    </cfRule>
    <cfRule type="cellIs" dxfId="22289" priority="1440" operator="lessThan">
      <formula>0.8</formula>
    </cfRule>
  </conditionalFormatting>
  <conditionalFormatting sqref="P40">
    <cfRule type="cellIs" dxfId="22288" priority="1432" operator="greaterThan">
      <formula>0</formula>
    </cfRule>
  </conditionalFormatting>
  <conditionalFormatting sqref="Q40">
    <cfRule type="cellIs" dxfId="22287" priority="1437" operator="lessThan">
      <formula>0</formula>
    </cfRule>
  </conditionalFormatting>
  <conditionalFormatting sqref="R40">
    <cfRule type="cellIs" dxfId="22286" priority="1435" operator="lessThan">
      <formula>0.8</formula>
    </cfRule>
    <cfRule type="cellIs" dxfId="22285" priority="1436" operator="greaterThan">
      <formula>1</formula>
    </cfRule>
  </conditionalFormatting>
  <conditionalFormatting sqref="R40">
    <cfRule type="cellIs" dxfId="22284" priority="1433" operator="greaterThan">
      <formula>1</formula>
    </cfRule>
    <cfRule type="cellIs" dxfId="22283" priority="1434" operator="lessThan">
      <formula>0.8</formula>
    </cfRule>
  </conditionalFormatting>
  <conditionalFormatting sqref="Q40">
    <cfRule type="cellIs" dxfId="22282" priority="1431" operator="lessThan">
      <formula>0</formula>
    </cfRule>
  </conditionalFormatting>
  <conditionalFormatting sqref="R40">
    <cfRule type="cellIs" dxfId="22281" priority="1429" operator="lessThan">
      <formula>0.8</formula>
    </cfRule>
    <cfRule type="cellIs" dxfId="22280" priority="1430" operator="greaterThan">
      <formula>1</formula>
    </cfRule>
  </conditionalFormatting>
  <conditionalFormatting sqref="R40">
    <cfRule type="cellIs" dxfId="22279" priority="1427" operator="greaterThan">
      <formula>1</formula>
    </cfRule>
    <cfRule type="cellIs" dxfId="22278" priority="1428" operator="lessThan">
      <formula>0.8</formula>
    </cfRule>
  </conditionalFormatting>
  <conditionalFormatting sqref="P40">
    <cfRule type="cellIs" dxfId="22277" priority="1426" operator="greaterThan">
      <formula>0</formula>
    </cfRule>
  </conditionalFormatting>
  <conditionalFormatting sqref="P40">
    <cfRule type="cellIs" dxfId="22276" priority="1420" operator="greaterThan">
      <formula>0</formula>
    </cfRule>
  </conditionalFormatting>
  <conditionalFormatting sqref="Q40">
    <cfRule type="cellIs" dxfId="22275" priority="1425" operator="lessThan">
      <formula>0</formula>
    </cfRule>
  </conditionalFormatting>
  <conditionalFormatting sqref="R40">
    <cfRule type="cellIs" dxfId="22274" priority="1423" operator="lessThan">
      <formula>0.8</formula>
    </cfRule>
    <cfRule type="cellIs" dxfId="22273" priority="1424" operator="greaterThan">
      <formula>1</formula>
    </cfRule>
  </conditionalFormatting>
  <conditionalFormatting sqref="R40">
    <cfRule type="cellIs" dxfId="22272" priority="1421" operator="greaterThan">
      <formula>1</formula>
    </cfRule>
    <cfRule type="cellIs" dxfId="22271" priority="1422" operator="lessThan">
      <formula>0.8</formula>
    </cfRule>
  </conditionalFormatting>
  <conditionalFormatting sqref="P40">
    <cfRule type="cellIs" dxfId="22270" priority="1414" operator="greaterThan">
      <formula>0</formula>
    </cfRule>
  </conditionalFormatting>
  <conditionalFormatting sqref="Q40">
    <cfRule type="cellIs" dxfId="22269" priority="1419" operator="lessThan">
      <formula>0</formula>
    </cfRule>
  </conditionalFormatting>
  <conditionalFormatting sqref="R40">
    <cfRule type="cellIs" dxfId="22268" priority="1417" operator="lessThan">
      <formula>0.8</formula>
    </cfRule>
    <cfRule type="cellIs" dxfId="22267" priority="1418" operator="greaterThan">
      <formula>1</formula>
    </cfRule>
  </conditionalFormatting>
  <conditionalFormatting sqref="R40">
    <cfRule type="cellIs" dxfId="22266" priority="1415" operator="greaterThan">
      <formula>1</formula>
    </cfRule>
    <cfRule type="cellIs" dxfId="22265" priority="1416" operator="lessThan">
      <formula>0.8</formula>
    </cfRule>
  </conditionalFormatting>
  <conditionalFormatting sqref="P40">
    <cfRule type="cellIs" dxfId="22264" priority="1408" operator="greaterThan">
      <formula>0</formula>
    </cfRule>
  </conditionalFormatting>
  <conditionalFormatting sqref="Q40">
    <cfRule type="cellIs" dxfId="22263" priority="1413" operator="lessThan">
      <formula>0</formula>
    </cfRule>
  </conditionalFormatting>
  <conditionalFormatting sqref="R40">
    <cfRule type="cellIs" dxfId="22262" priority="1411" operator="lessThan">
      <formula>0.8</formula>
    </cfRule>
    <cfRule type="cellIs" dxfId="22261" priority="1412" operator="greaterThan">
      <formula>1</formula>
    </cfRule>
  </conditionalFormatting>
  <conditionalFormatting sqref="R40">
    <cfRule type="cellIs" dxfId="22260" priority="1409" operator="greaterThan">
      <formula>1</formula>
    </cfRule>
    <cfRule type="cellIs" dxfId="22259" priority="1410" operator="lessThan">
      <formula>0.8</formula>
    </cfRule>
  </conditionalFormatting>
  <conditionalFormatting sqref="Q40">
    <cfRule type="cellIs" dxfId="22258" priority="1402" operator="lessThan">
      <formula>0</formula>
    </cfRule>
  </conditionalFormatting>
  <conditionalFormatting sqref="P40">
    <cfRule type="cellIs" dxfId="22257" priority="1403" operator="greaterThan">
      <formula>0</formula>
    </cfRule>
  </conditionalFormatting>
  <conditionalFormatting sqref="R40">
    <cfRule type="cellIs" dxfId="22256" priority="1406" operator="lessThan">
      <formula>0.8</formula>
    </cfRule>
    <cfRule type="cellIs" dxfId="22255" priority="1407" operator="greaterThan">
      <formula>1</formula>
    </cfRule>
  </conditionalFormatting>
  <conditionalFormatting sqref="R40">
    <cfRule type="cellIs" dxfId="22254" priority="1404" operator="greaterThan">
      <formula>1</formula>
    </cfRule>
    <cfRule type="cellIs" dxfId="22253" priority="1405" operator="lessThan">
      <formula>0.8</formula>
    </cfRule>
  </conditionalFormatting>
  <conditionalFormatting sqref="Q40">
    <cfRule type="cellIs" dxfId="22252" priority="1396" operator="lessThan">
      <formula>0</formula>
    </cfRule>
  </conditionalFormatting>
  <conditionalFormatting sqref="R40">
    <cfRule type="cellIs" dxfId="22251" priority="1400" operator="lessThan">
      <formula>0.8</formula>
    </cfRule>
    <cfRule type="cellIs" dxfId="22250" priority="1401" operator="greaterThan">
      <formula>1</formula>
    </cfRule>
  </conditionalFormatting>
  <conditionalFormatting sqref="R40">
    <cfRule type="cellIs" dxfId="22249" priority="1398" operator="greaterThan">
      <formula>1</formula>
    </cfRule>
    <cfRule type="cellIs" dxfId="22248" priority="1399" operator="lessThan">
      <formula>0.8</formula>
    </cfRule>
  </conditionalFormatting>
  <conditionalFormatting sqref="P40">
    <cfRule type="cellIs" dxfId="22247" priority="1397" operator="greaterThan">
      <formula>0</formula>
    </cfRule>
  </conditionalFormatting>
  <conditionalFormatting sqref="Q40">
    <cfRule type="cellIs" dxfId="22246" priority="1395" operator="lessThan">
      <formula>0</formula>
    </cfRule>
  </conditionalFormatting>
  <conditionalFormatting sqref="R40">
    <cfRule type="cellIs" dxfId="22245" priority="1393" operator="lessThan">
      <formula>0.8</formula>
    </cfRule>
    <cfRule type="cellIs" dxfId="22244" priority="1394" operator="greaterThan">
      <formula>1</formula>
    </cfRule>
  </conditionalFormatting>
  <conditionalFormatting sqref="R40">
    <cfRule type="cellIs" dxfId="22243" priority="1391" operator="greaterThan">
      <formula>1</formula>
    </cfRule>
    <cfRule type="cellIs" dxfId="22242" priority="1392" operator="lessThan">
      <formula>0.8</formula>
    </cfRule>
  </conditionalFormatting>
  <conditionalFormatting sqref="P40">
    <cfRule type="cellIs" dxfId="22241" priority="1390" operator="greaterThan">
      <formula>0</formula>
    </cfRule>
  </conditionalFormatting>
  <conditionalFormatting sqref="Q40">
    <cfRule type="cellIs" dxfId="22240" priority="1389" operator="lessThan">
      <formula>0</formula>
    </cfRule>
  </conditionalFormatting>
  <conditionalFormatting sqref="R40">
    <cfRule type="cellIs" dxfId="22239" priority="1387" operator="lessThan">
      <formula>0.8</formula>
    </cfRule>
    <cfRule type="cellIs" dxfId="22238" priority="1388" operator="greaterThan">
      <formula>1</formula>
    </cfRule>
  </conditionalFormatting>
  <conditionalFormatting sqref="R40">
    <cfRule type="cellIs" dxfId="22237" priority="1385" operator="greaterThan">
      <formula>1</formula>
    </cfRule>
    <cfRule type="cellIs" dxfId="22236" priority="1386" operator="lessThan">
      <formula>0.8</formula>
    </cfRule>
  </conditionalFormatting>
  <conditionalFormatting sqref="P40">
    <cfRule type="cellIs" dxfId="22235" priority="1384" operator="greaterThan">
      <formula>0</formula>
    </cfRule>
  </conditionalFormatting>
  <conditionalFormatting sqref="Q32:Q39">
    <cfRule type="cellIs" dxfId="22234" priority="1383" operator="lessThan">
      <formula>0</formula>
    </cfRule>
  </conditionalFormatting>
  <conditionalFormatting sqref="R32:R39">
    <cfRule type="cellIs" dxfId="22233" priority="1381" operator="lessThan">
      <formula>0.8</formula>
    </cfRule>
    <cfRule type="cellIs" dxfId="22232" priority="1382" operator="greaterThan">
      <formula>1</formula>
    </cfRule>
  </conditionalFormatting>
  <conditionalFormatting sqref="R32:R39">
    <cfRule type="cellIs" dxfId="22231" priority="1379" operator="greaterThan">
      <formula>1</formula>
    </cfRule>
    <cfRule type="cellIs" dxfId="22230" priority="1380" operator="lessThan">
      <formula>0.8</formula>
    </cfRule>
  </conditionalFormatting>
  <conditionalFormatting sqref="P32:P39">
    <cfRule type="cellIs" dxfId="22229" priority="1378" operator="greaterThan">
      <formula>0</formula>
    </cfRule>
  </conditionalFormatting>
  <conditionalFormatting sqref="Q32:Q39">
    <cfRule type="cellIs" dxfId="22228" priority="1377" operator="lessThan">
      <formula>0</formula>
    </cfRule>
  </conditionalFormatting>
  <conditionalFormatting sqref="R32:R39">
    <cfRule type="cellIs" dxfId="22227" priority="1375" operator="lessThan">
      <formula>0.8</formula>
    </cfRule>
    <cfRule type="cellIs" dxfId="22226" priority="1376" operator="greaterThan">
      <formula>1</formula>
    </cfRule>
  </conditionalFormatting>
  <conditionalFormatting sqref="R32:R39">
    <cfRule type="cellIs" dxfId="22225" priority="1373" operator="greaterThan">
      <formula>1</formula>
    </cfRule>
    <cfRule type="cellIs" dxfId="22224" priority="1374" operator="lessThan">
      <formula>0.8</formula>
    </cfRule>
  </conditionalFormatting>
  <conditionalFormatting sqref="P32:P39">
    <cfRule type="cellIs" dxfId="22223" priority="1372" operator="greaterThan">
      <formula>0</formula>
    </cfRule>
  </conditionalFormatting>
  <conditionalFormatting sqref="Q32:Q39">
    <cfRule type="cellIs" dxfId="22222" priority="1371" operator="lessThan">
      <formula>0</formula>
    </cfRule>
  </conditionalFormatting>
  <conditionalFormatting sqref="R32:R39">
    <cfRule type="cellIs" dxfId="22221" priority="1369" operator="lessThan">
      <formula>0.8</formula>
    </cfRule>
    <cfRule type="cellIs" dxfId="22220" priority="1370" operator="greaterThan">
      <formula>1</formula>
    </cfRule>
  </conditionalFormatting>
  <conditionalFormatting sqref="R32:R39">
    <cfRule type="cellIs" dxfId="22219" priority="1367" operator="greaterThan">
      <formula>1</formula>
    </cfRule>
    <cfRule type="cellIs" dxfId="22218" priority="1368" operator="lessThan">
      <formula>0.8</formula>
    </cfRule>
  </conditionalFormatting>
  <conditionalFormatting sqref="P32:P39">
    <cfRule type="cellIs" dxfId="22217" priority="1366" operator="greaterThan">
      <formula>0</formula>
    </cfRule>
  </conditionalFormatting>
  <conditionalFormatting sqref="Q32:Q39">
    <cfRule type="cellIs" dxfId="22216" priority="1365" operator="lessThan">
      <formula>0</formula>
    </cfRule>
  </conditionalFormatting>
  <conditionalFormatting sqref="R32:R39">
    <cfRule type="cellIs" dxfId="22215" priority="1363" operator="lessThan">
      <formula>0.8</formula>
    </cfRule>
    <cfRule type="cellIs" dxfId="22214" priority="1364" operator="greaterThan">
      <formula>1</formula>
    </cfRule>
  </conditionalFormatting>
  <conditionalFormatting sqref="R32:R39">
    <cfRule type="cellIs" dxfId="22213" priority="1361" operator="greaterThan">
      <formula>1</formula>
    </cfRule>
    <cfRule type="cellIs" dxfId="22212" priority="1362" operator="lessThan">
      <formula>0.8</formula>
    </cfRule>
  </conditionalFormatting>
  <conditionalFormatting sqref="P32:P39">
    <cfRule type="cellIs" dxfId="22211" priority="1360" operator="greaterThan">
      <formula>0</formula>
    </cfRule>
  </conditionalFormatting>
  <conditionalFormatting sqref="P32:P39">
    <cfRule type="cellIs" dxfId="22210" priority="1354" operator="greaterThan">
      <formula>0</formula>
    </cfRule>
  </conditionalFormatting>
  <conditionalFormatting sqref="Q32:Q39">
    <cfRule type="cellIs" dxfId="22209" priority="1359" operator="lessThan">
      <formula>0</formula>
    </cfRule>
  </conditionalFormatting>
  <conditionalFormatting sqref="R32:R39">
    <cfRule type="cellIs" dxfId="22208" priority="1357" operator="lessThan">
      <formula>0.8</formula>
    </cfRule>
    <cfRule type="cellIs" dxfId="22207" priority="1358" operator="greaterThan">
      <formula>1</formula>
    </cfRule>
  </conditionalFormatting>
  <conditionalFormatting sqref="R32:R39">
    <cfRule type="cellIs" dxfId="22206" priority="1355" operator="greaterThan">
      <formula>1</formula>
    </cfRule>
    <cfRule type="cellIs" dxfId="22205" priority="1356" operator="lessThan">
      <formula>0.8</formula>
    </cfRule>
  </conditionalFormatting>
  <conditionalFormatting sqref="P32:P39">
    <cfRule type="cellIs" dxfId="22204" priority="1348" operator="greaterThan">
      <formula>0</formula>
    </cfRule>
  </conditionalFormatting>
  <conditionalFormatting sqref="Q32:Q39">
    <cfRule type="cellIs" dxfId="22203" priority="1353" operator="lessThan">
      <formula>0</formula>
    </cfRule>
  </conditionalFormatting>
  <conditionalFormatting sqref="R32:R39">
    <cfRule type="cellIs" dxfId="22202" priority="1351" operator="lessThan">
      <formula>0.8</formula>
    </cfRule>
    <cfRule type="cellIs" dxfId="22201" priority="1352" operator="greaterThan">
      <formula>1</formula>
    </cfRule>
  </conditionalFormatting>
  <conditionalFormatting sqref="R32:R39">
    <cfRule type="cellIs" dxfId="22200" priority="1349" operator="greaterThan">
      <formula>1</formula>
    </cfRule>
    <cfRule type="cellIs" dxfId="22199" priority="1350" operator="lessThan">
      <formula>0.8</formula>
    </cfRule>
  </conditionalFormatting>
  <conditionalFormatting sqref="R32:R39">
    <cfRule type="cellIs" dxfId="22198" priority="1345" operator="lessThan">
      <formula>0.8</formula>
    </cfRule>
    <cfRule type="cellIs" dxfId="22197" priority="1346" operator="greaterThan">
      <formula>1</formula>
    </cfRule>
  </conditionalFormatting>
  <conditionalFormatting sqref="R32:R39">
    <cfRule type="cellIs" dxfId="22196" priority="1343" operator="greaterThan">
      <formula>1</formula>
    </cfRule>
    <cfRule type="cellIs" dxfId="22195" priority="1344" operator="lessThan">
      <formula>0.8</formula>
    </cfRule>
  </conditionalFormatting>
  <conditionalFormatting sqref="P32:P39">
    <cfRule type="cellIs" dxfId="22194" priority="1342" operator="greaterThan">
      <formula>0</formula>
    </cfRule>
  </conditionalFormatting>
  <conditionalFormatting sqref="Q32:Q39">
    <cfRule type="cellIs" dxfId="22193" priority="1347" operator="lessThan">
      <formula>0</formula>
    </cfRule>
  </conditionalFormatting>
  <conditionalFormatting sqref="Q32:Q39">
    <cfRule type="cellIs" dxfId="22192" priority="1341" operator="lessThan">
      <formula>0</formula>
    </cfRule>
  </conditionalFormatting>
  <conditionalFormatting sqref="R32:R39">
    <cfRule type="cellIs" dxfId="22191" priority="1339" operator="lessThan">
      <formula>0.8</formula>
    </cfRule>
    <cfRule type="cellIs" dxfId="22190" priority="1340" operator="greaterThan">
      <formula>1</formula>
    </cfRule>
  </conditionalFormatting>
  <conditionalFormatting sqref="R32:R39">
    <cfRule type="cellIs" dxfId="22189" priority="1337" operator="greaterThan">
      <formula>1</formula>
    </cfRule>
    <cfRule type="cellIs" dxfId="22188" priority="1338" operator="lessThan">
      <formula>0.8</formula>
    </cfRule>
  </conditionalFormatting>
  <conditionalFormatting sqref="P32:P39">
    <cfRule type="cellIs" dxfId="22187" priority="1336" operator="greaterThan">
      <formula>0</formula>
    </cfRule>
  </conditionalFormatting>
  <conditionalFormatting sqref="P32:P39">
    <cfRule type="cellIs" dxfId="22186" priority="1330" operator="greaterThan">
      <formula>0</formula>
    </cfRule>
  </conditionalFormatting>
  <conditionalFormatting sqref="Q32:Q39">
    <cfRule type="cellIs" dxfId="22185" priority="1335" operator="lessThan">
      <formula>0</formula>
    </cfRule>
  </conditionalFormatting>
  <conditionalFormatting sqref="R32:R39">
    <cfRule type="cellIs" dxfId="22184" priority="1333" operator="lessThan">
      <formula>0.8</formula>
    </cfRule>
    <cfRule type="cellIs" dxfId="22183" priority="1334" operator="greaterThan">
      <formula>1</formula>
    </cfRule>
  </conditionalFormatting>
  <conditionalFormatting sqref="R32:R39">
    <cfRule type="cellIs" dxfId="22182" priority="1331" operator="greaterThan">
      <formula>1</formula>
    </cfRule>
    <cfRule type="cellIs" dxfId="22181" priority="1332" operator="lessThan">
      <formula>0.8</formula>
    </cfRule>
  </conditionalFormatting>
  <conditionalFormatting sqref="P32:P39">
    <cfRule type="cellIs" dxfId="22180" priority="1324" operator="greaterThan">
      <formula>0</formula>
    </cfRule>
  </conditionalFormatting>
  <conditionalFormatting sqref="Q32:Q39">
    <cfRule type="cellIs" dxfId="22179" priority="1329" operator="lessThan">
      <formula>0</formula>
    </cfRule>
  </conditionalFormatting>
  <conditionalFormatting sqref="R32:R39">
    <cfRule type="cellIs" dxfId="22178" priority="1327" operator="lessThan">
      <formula>0.8</formula>
    </cfRule>
    <cfRule type="cellIs" dxfId="22177" priority="1328" operator="greaterThan">
      <formula>1</formula>
    </cfRule>
  </conditionalFormatting>
  <conditionalFormatting sqref="R32:R39">
    <cfRule type="cellIs" dxfId="22176" priority="1325" operator="greaterThan">
      <formula>1</formula>
    </cfRule>
    <cfRule type="cellIs" dxfId="22175" priority="1326" operator="lessThan">
      <formula>0.8</formula>
    </cfRule>
  </conditionalFormatting>
  <conditionalFormatting sqref="R32:R39">
    <cfRule type="cellIs" dxfId="22174" priority="1321" operator="lessThan">
      <formula>0.8</formula>
    </cfRule>
    <cfRule type="cellIs" dxfId="22173" priority="1322" operator="greaterThan">
      <formula>1</formula>
    </cfRule>
  </conditionalFormatting>
  <conditionalFormatting sqref="R32:R39">
    <cfRule type="cellIs" dxfId="22172" priority="1319" operator="greaterThan">
      <formula>1</formula>
    </cfRule>
    <cfRule type="cellIs" dxfId="22171" priority="1320" operator="lessThan">
      <formula>0.8</formula>
    </cfRule>
  </conditionalFormatting>
  <conditionalFormatting sqref="P32:P39">
    <cfRule type="cellIs" dxfId="22170" priority="1318" operator="greaterThan">
      <formula>0</formula>
    </cfRule>
  </conditionalFormatting>
  <conditionalFormatting sqref="Q32:Q39">
    <cfRule type="cellIs" dxfId="22169" priority="1323" operator="lessThan">
      <formula>0</formula>
    </cfRule>
  </conditionalFormatting>
  <conditionalFormatting sqref="P32:P39">
    <cfRule type="cellIs" dxfId="22168" priority="1312" operator="greaterThan">
      <formula>0</formula>
    </cfRule>
  </conditionalFormatting>
  <conditionalFormatting sqref="Q32:Q39">
    <cfRule type="cellIs" dxfId="22167" priority="1317" operator="lessThan">
      <formula>0</formula>
    </cfRule>
  </conditionalFormatting>
  <conditionalFormatting sqref="R32:R39">
    <cfRule type="cellIs" dxfId="22166" priority="1315" operator="lessThan">
      <formula>0.8</formula>
    </cfRule>
    <cfRule type="cellIs" dxfId="22165" priority="1316" operator="greaterThan">
      <formula>1</formula>
    </cfRule>
  </conditionalFormatting>
  <conditionalFormatting sqref="R32:R39">
    <cfRule type="cellIs" dxfId="22164" priority="1313" operator="greaterThan">
      <formula>1</formula>
    </cfRule>
    <cfRule type="cellIs" dxfId="22163" priority="1314" operator="lessThan">
      <formula>0.8</formula>
    </cfRule>
  </conditionalFormatting>
  <conditionalFormatting sqref="R32:R39">
    <cfRule type="cellIs" dxfId="22162" priority="1309" operator="lessThan">
      <formula>0.8</formula>
    </cfRule>
    <cfRule type="cellIs" dxfId="22161" priority="1310" operator="greaterThan">
      <formula>1</formula>
    </cfRule>
  </conditionalFormatting>
  <conditionalFormatting sqref="R32:R39">
    <cfRule type="cellIs" dxfId="22160" priority="1307" operator="greaterThan">
      <formula>1</formula>
    </cfRule>
    <cfRule type="cellIs" dxfId="22159" priority="1308" operator="lessThan">
      <formula>0.8</formula>
    </cfRule>
  </conditionalFormatting>
  <conditionalFormatting sqref="P32:P39">
    <cfRule type="cellIs" dxfId="22158" priority="1306" operator="greaterThan">
      <formula>0</formula>
    </cfRule>
  </conditionalFormatting>
  <conditionalFormatting sqref="Q32:Q39">
    <cfRule type="cellIs" dxfId="22157" priority="1311" operator="lessThan">
      <formula>0</formula>
    </cfRule>
  </conditionalFormatting>
  <conditionalFormatting sqref="R32:R39">
    <cfRule type="cellIs" dxfId="22156" priority="1303" operator="lessThan">
      <formula>0.8</formula>
    </cfRule>
    <cfRule type="cellIs" dxfId="22155" priority="1304" operator="greaterThan">
      <formula>1</formula>
    </cfRule>
  </conditionalFormatting>
  <conditionalFormatting sqref="R32:R39">
    <cfRule type="cellIs" dxfId="22154" priority="1301" operator="greaterThan">
      <formula>1</formula>
    </cfRule>
    <cfRule type="cellIs" dxfId="22153" priority="1302" operator="lessThan">
      <formula>0.8</formula>
    </cfRule>
  </conditionalFormatting>
  <conditionalFormatting sqref="P32:P39">
    <cfRule type="cellIs" dxfId="22152" priority="1300" operator="greaterThan">
      <formula>0</formula>
    </cfRule>
  </conditionalFormatting>
  <conditionalFormatting sqref="Q32:Q39">
    <cfRule type="cellIs" dxfId="22151" priority="1305" operator="lessThan">
      <formula>0</formula>
    </cfRule>
  </conditionalFormatting>
  <conditionalFormatting sqref="Q32:Q39">
    <cfRule type="cellIs" dxfId="22150" priority="1299" operator="lessThan">
      <formula>0</formula>
    </cfRule>
  </conditionalFormatting>
  <conditionalFormatting sqref="R32:R39">
    <cfRule type="cellIs" dxfId="22149" priority="1297" operator="lessThan">
      <formula>0.8</formula>
    </cfRule>
    <cfRule type="cellIs" dxfId="22148" priority="1298" operator="greaterThan">
      <formula>1</formula>
    </cfRule>
  </conditionalFormatting>
  <conditionalFormatting sqref="R32:R39">
    <cfRule type="cellIs" dxfId="22147" priority="1295" operator="greaterThan">
      <formula>1</formula>
    </cfRule>
    <cfRule type="cellIs" dxfId="22146" priority="1296" operator="lessThan">
      <formula>0.8</formula>
    </cfRule>
  </conditionalFormatting>
  <conditionalFormatting sqref="P32:P39">
    <cfRule type="cellIs" dxfId="22145" priority="1294" operator="greaterThan">
      <formula>0</formula>
    </cfRule>
  </conditionalFormatting>
  <conditionalFormatting sqref="Q32:Q39">
    <cfRule type="cellIs" dxfId="22144" priority="1288" operator="lessThan">
      <formula>0</formula>
    </cfRule>
  </conditionalFormatting>
  <conditionalFormatting sqref="R32:R39">
    <cfRule type="cellIs" dxfId="22143" priority="1292" operator="lessThan">
      <formula>0.8</formula>
    </cfRule>
    <cfRule type="cellIs" dxfId="22142" priority="1293" operator="greaterThan">
      <formula>1</formula>
    </cfRule>
  </conditionalFormatting>
  <conditionalFormatting sqref="R32:R39">
    <cfRule type="cellIs" dxfId="22141" priority="1290" operator="greaterThan">
      <formula>1</formula>
    </cfRule>
    <cfRule type="cellIs" dxfId="22140" priority="1291" operator="lessThan">
      <formula>0.8</formula>
    </cfRule>
  </conditionalFormatting>
  <conditionalFormatting sqref="P32:P39">
    <cfRule type="cellIs" dxfId="22139" priority="1289" operator="greaterThan">
      <formula>0</formula>
    </cfRule>
  </conditionalFormatting>
  <conditionalFormatting sqref="Q32:Q39">
    <cfRule type="cellIs" dxfId="22138" priority="1287" operator="lessThan">
      <formula>0</formula>
    </cfRule>
  </conditionalFormatting>
  <conditionalFormatting sqref="R32:R39">
    <cfRule type="cellIs" dxfId="22137" priority="1285" operator="lessThan">
      <formula>0.8</formula>
    </cfRule>
    <cfRule type="cellIs" dxfId="22136" priority="1286" operator="greaterThan">
      <formula>1</formula>
    </cfRule>
  </conditionalFormatting>
  <conditionalFormatting sqref="R32:R39">
    <cfRule type="cellIs" dxfId="22135" priority="1283" operator="greaterThan">
      <formula>1</formula>
    </cfRule>
    <cfRule type="cellIs" dxfId="22134" priority="1284" operator="lessThan">
      <formula>0.8</formula>
    </cfRule>
  </conditionalFormatting>
  <conditionalFormatting sqref="P32:P39">
    <cfRule type="cellIs" dxfId="22133" priority="1282" operator="greaterThan">
      <formula>0</formula>
    </cfRule>
  </conditionalFormatting>
  <conditionalFormatting sqref="Q32:Q39">
    <cfRule type="cellIs" dxfId="22132" priority="1281" operator="lessThan">
      <formula>0</formula>
    </cfRule>
  </conditionalFormatting>
  <conditionalFormatting sqref="R32:R39">
    <cfRule type="cellIs" dxfId="22131" priority="1279" operator="lessThan">
      <formula>0.8</formula>
    </cfRule>
    <cfRule type="cellIs" dxfId="22130" priority="1280" operator="greaterThan">
      <formula>1</formula>
    </cfRule>
  </conditionalFormatting>
  <conditionalFormatting sqref="R32:R39">
    <cfRule type="cellIs" dxfId="22129" priority="1277" operator="greaterThan">
      <formula>1</formula>
    </cfRule>
    <cfRule type="cellIs" dxfId="22128" priority="1278" operator="lessThan">
      <formula>0.8</formula>
    </cfRule>
  </conditionalFormatting>
  <conditionalFormatting sqref="P32:P39">
    <cfRule type="cellIs" dxfId="22127" priority="1276" operator="greaterThan">
      <formula>0</formula>
    </cfRule>
  </conditionalFormatting>
  <conditionalFormatting sqref="Q32:Q39">
    <cfRule type="cellIs" dxfId="22126" priority="1275" operator="lessThan">
      <formula>0</formula>
    </cfRule>
  </conditionalFormatting>
  <conditionalFormatting sqref="R32:R39">
    <cfRule type="cellIs" dxfId="22125" priority="1273" operator="lessThan">
      <formula>0.8</formula>
    </cfRule>
    <cfRule type="cellIs" dxfId="22124" priority="1274" operator="greaterThan">
      <formula>1</formula>
    </cfRule>
  </conditionalFormatting>
  <conditionalFormatting sqref="R32:R39">
    <cfRule type="cellIs" dxfId="22123" priority="1271" operator="greaterThan">
      <formula>1</formula>
    </cfRule>
    <cfRule type="cellIs" dxfId="22122" priority="1272" operator="lessThan">
      <formula>0.8</formula>
    </cfRule>
  </conditionalFormatting>
  <conditionalFormatting sqref="P32:P39">
    <cfRule type="cellIs" dxfId="22121" priority="1270" operator="greaterThan">
      <formula>0</formula>
    </cfRule>
  </conditionalFormatting>
  <conditionalFormatting sqref="Q32:Q39">
    <cfRule type="cellIs" dxfId="22120" priority="1269" operator="lessThan">
      <formula>0</formula>
    </cfRule>
  </conditionalFormatting>
  <conditionalFormatting sqref="R32:R39">
    <cfRule type="cellIs" dxfId="22119" priority="1267" operator="lessThan">
      <formula>0.8</formula>
    </cfRule>
    <cfRule type="cellIs" dxfId="22118" priority="1268" operator="greaterThan">
      <formula>1</formula>
    </cfRule>
  </conditionalFormatting>
  <conditionalFormatting sqref="R32:R39">
    <cfRule type="cellIs" dxfId="22117" priority="1265" operator="greaterThan">
      <formula>1</formula>
    </cfRule>
    <cfRule type="cellIs" dxfId="22116" priority="1266" operator="lessThan">
      <formula>0.8</formula>
    </cfRule>
  </conditionalFormatting>
  <conditionalFormatting sqref="P32:P39">
    <cfRule type="cellIs" dxfId="22115" priority="1264" operator="greaterThan">
      <formula>0</formula>
    </cfRule>
  </conditionalFormatting>
  <conditionalFormatting sqref="Q32:Q39">
    <cfRule type="cellIs" dxfId="22114" priority="1263" operator="lessThan">
      <formula>0</formula>
    </cfRule>
  </conditionalFormatting>
  <conditionalFormatting sqref="R32:R39">
    <cfRule type="cellIs" dxfId="22113" priority="1261" operator="lessThan">
      <formula>0.8</formula>
    </cfRule>
    <cfRule type="cellIs" dxfId="22112" priority="1262" operator="greaterThan">
      <formula>1</formula>
    </cfRule>
  </conditionalFormatting>
  <conditionalFormatting sqref="R32:R39">
    <cfRule type="cellIs" dxfId="22111" priority="1259" operator="greaterThan">
      <formula>1</formula>
    </cfRule>
    <cfRule type="cellIs" dxfId="22110" priority="1260" operator="lessThan">
      <formula>0.8</formula>
    </cfRule>
  </conditionalFormatting>
  <conditionalFormatting sqref="P32:P39">
    <cfRule type="cellIs" dxfId="22109" priority="1258" operator="greaterThan">
      <formula>0</formula>
    </cfRule>
  </conditionalFormatting>
  <conditionalFormatting sqref="P32:P39">
    <cfRule type="cellIs" dxfId="22108" priority="1252" operator="greaterThan">
      <formula>0</formula>
    </cfRule>
  </conditionalFormatting>
  <conditionalFormatting sqref="Q32:Q39">
    <cfRule type="cellIs" dxfId="22107" priority="1257" operator="lessThan">
      <formula>0</formula>
    </cfRule>
  </conditionalFormatting>
  <conditionalFormatting sqref="R32:R39">
    <cfRule type="cellIs" dxfId="22106" priority="1255" operator="lessThan">
      <formula>0.8</formula>
    </cfRule>
    <cfRule type="cellIs" dxfId="22105" priority="1256" operator="greaterThan">
      <formula>1</formula>
    </cfRule>
  </conditionalFormatting>
  <conditionalFormatting sqref="R32:R39">
    <cfRule type="cellIs" dxfId="22104" priority="1253" operator="greaterThan">
      <formula>1</formula>
    </cfRule>
    <cfRule type="cellIs" dxfId="22103" priority="1254" operator="lessThan">
      <formula>0.8</formula>
    </cfRule>
  </conditionalFormatting>
  <conditionalFormatting sqref="P32:P39">
    <cfRule type="cellIs" dxfId="22102" priority="1246" operator="greaterThan">
      <formula>0</formula>
    </cfRule>
  </conditionalFormatting>
  <conditionalFormatting sqref="Q32:Q39">
    <cfRule type="cellIs" dxfId="22101" priority="1251" operator="lessThan">
      <formula>0</formula>
    </cfRule>
  </conditionalFormatting>
  <conditionalFormatting sqref="R32:R39">
    <cfRule type="cellIs" dxfId="22100" priority="1249" operator="lessThan">
      <formula>0.8</formula>
    </cfRule>
    <cfRule type="cellIs" dxfId="22099" priority="1250" operator="greaterThan">
      <formula>1</formula>
    </cfRule>
  </conditionalFormatting>
  <conditionalFormatting sqref="R32:R39">
    <cfRule type="cellIs" dxfId="22098" priority="1247" operator="greaterThan">
      <formula>1</formula>
    </cfRule>
    <cfRule type="cellIs" dxfId="22097" priority="1248" operator="lessThan">
      <formula>0.8</formula>
    </cfRule>
  </conditionalFormatting>
  <conditionalFormatting sqref="R32:R39">
    <cfRule type="cellIs" dxfId="22096" priority="1243" operator="lessThan">
      <formula>0.8</formula>
    </cfRule>
    <cfRule type="cellIs" dxfId="22095" priority="1244" operator="greaterThan">
      <formula>1</formula>
    </cfRule>
  </conditionalFormatting>
  <conditionalFormatting sqref="R32:R39">
    <cfRule type="cellIs" dxfId="22094" priority="1241" operator="greaterThan">
      <formula>1</formula>
    </cfRule>
    <cfRule type="cellIs" dxfId="22093" priority="1242" operator="lessThan">
      <formula>0.8</formula>
    </cfRule>
  </conditionalFormatting>
  <conditionalFormatting sqref="P32:P39">
    <cfRule type="cellIs" dxfId="22092" priority="1240" operator="greaterThan">
      <formula>0</formula>
    </cfRule>
  </conditionalFormatting>
  <conditionalFormatting sqref="Q32:Q39">
    <cfRule type="cellIs" dxfId="22091" priority="1245" operator="lessThan">
      <formula>0</formula>
    </cfRule>
  </conditionalFormatting>
  <conditionalFormatting sqref="Q32:Q39">
    <cfRule type="cellIs" dxfId="22090" priority="1234" operator="lessThan">
      <formula>0</formula>
    </cfRule>
  </conditionalFormatting>
  <conditionalFormatting sqref="P32:P39">
    <cfRule type="cellIs" dxfId="22089" priority="1235" operator="greaterThan">
      <formula>0</formula>
    </cfRule>
  </conditionalFormatting>
  <conditionalFormatting sqref="R32:R39">
    <cfRule type="cellIs" dxfId="22088" priority="1238" operator="lessThan">
      <formula>0.8</formula>
    </cfRule>
    <cfRule type="cellIs" dxfId="22087" priority="1239" operator="greaterThan">
      <formula>1</formula>
    </cfRule>
  </conditionalFormatting>
  <conditionalFormatting sqref="R32:R39">
    <cfRule type="cellIs" dxfId="22086" priority="1236" operator="greaterThan">
      <formula>1</formula>
    </cfRule>
    <cfRule type="cellIs" dxfId="22085" priority="1237" operator="lessThan">
      <formula>0.8</formula>
    </cfRule>
  </conditionalFormatting>
  <conditionalFormatting sqref="Q32:Q39">
    <cfRule type="cellIs" dxfId="22084" priority="1228" operator="lessThan">
      <formula>0</formula>
    </cfRule>
  </conditionalFormatting>
  <conditionalFormatting sqref="R32:R39">
    <cfRule type="cellIs" dxfId="22083" priority="1232" operator="lessThan">
      <formula>0.8</formula>
    </cfRule>
    <cfRule type="cellIs" dxfId="22082" priority="1233" operator="greaterThan">
      <formula>1</formula>
    </cfRule>
  </conditionalFormatting>
  <conditionalFormatting sqref="R32:R39">
    <cfRule type="cellIs" dxfId="22081" priority="1230" operator="greaterThan">
      <formula>1</formula>
    </cfRule>
    <cfRule type="cellIs" dxfId="22080" priority="1231" operator="lessThan">
      <formula>0.8</formula>
    </cfRule>
  </conditionalFormatting>
  <conditionalFormatting sqref="P32:P39">
    <cfRule type="cellIs" dxfId="22079" priority="1229" operator="greaterThan">
      <formula>0</formula>
    </cfRule>
  </conditionalFormatting>
  <conditionalFormatting sqref="Q32:Q39">
    <cfRule type="cellIs" dxfId="22078" priority="1227" operator="lessThan">
      <formula>0</formula>
    </cfRule>
  </conditionalFormatting>
  <conditionalFormatting sqref="R32:R39">
    <cfRule type="cellIs" dxfId="22077" priority="1225" operator="lessThan">
      <formula>0.8</formula>
    </cfRule>
    <cfRule type="cellIs" dxfId="22076" priority="1226" operator="greaterThan">
      <formula>1</formula>
    </cfRule>
  </conditionalFormatting>
  <conditionalFormatting sqref="R32:R39">
    <cfRule type="cellIs" dxfId="22075" priority="1223" operator="greaterThan">
      <formula>1</formula>
    </cfRule>
    <cfRule type="cellIs" dxfId="22074" priority="1224" operator="lessThan">
      <formula>0.8</formula>
    </cfRule>
  </conditionalFormatting>
  <conditionalFormatting sqref="P32:P39">
    <cfRule type="cellIs" dxfId="22073" priority="1222" operator="greaterThan">
      <formula>0</formula>
    </cfRule>
  </conditionalFormatting>
  <conditionalFormatting sqref="Q32:Q39">
    <cfRule type="cellIs" dxfId="22072" priority="1221" operator="lessThan">
      <formula>0</formula>
    </cfRule>
  </conditionalFormatting>
  <conditionalFormatting sqref="R32:R39">
    <cfRule type="cellIs" dxfId="22071" priority="1219" operator="lessThan">
      <formula>0.8</formula>
    </cfRule>
    <cfRule type="cellIs" dxfId="22070" priority="1220" operator="greaterThan">
      <formula>1</formula>
    </cfRule>
  </conditionalFormatting>
  <conditionalFormatting sqref="R32:R39">
    <cfRule type="cellIs" dxfId="22069" priority="1217" operator="greaterThan">
      <formula>1</formula>
    </cfRule>
    <cfRule type="cellIs" dxfId="22068" priority="1218" operator="lessThan">
      <formula>0.8</formula>
    </cfRule>
  </conditionalFormatting>
  <conditionalFormatting sqref="P32:P39">
    <cfRule type="cellIs" dxfId="22067" priority="1216" operator="greaterThan">
      <formula>0</formula>
    </cfRule>
  </conditionalFormatting>
  <conditionalFormatting sqref="Q32:Q39">
    <cfRule type="cellIs" dxfId="22066" priority="1215" operator="lessThan">
      <formula>0</formula>
    </cfRule>
  </conditionalFormatting>
  <conditionalFormatting sqref="R32:R39">
    <cfRule type="cellIs" dxfId="22065" priority="1213" operator="lessThan">
      <formula>0.8</formula>
    </cfRule>
    <cfRule type="cellIs" dxfId="22064" priority="1214" operator="greaterThan">
      <formula>1</formula>
    </cfRule>
  </conditionalFormatting>
  <conditionalFormatting sqref="R32:R39">
    <cfRule type="cellIs" dxfId="22063" priority="1211" operator="greaterThan">
      <formula>1</formula>
    </cfRule>
    <cfRule type="cellIs" dxfId="22062" priority="1212" operator="lessThan">
      <formula>0.8</formula>
    </cfRule>
  </conditionalFormatting>
  <conditionalFormatting sqref="P32:P39">
    <cfRule type="cellIs" dxfId="22061" priority="1210" operator="greaterThan">
      <formula>0</formula>
    </cfRule>
  </conditionalFormatting>
  <conditionalFormatting sqref="Q32:Q39">
    <cfRule type="cellIs" dxfId="22060" priority="1209" operator="lessThan">
      <formula>0</formula>
    </cfRule>
  </conditionalFormatting>
  <conditionalFormatting sqref="R32:R39">
    <cfRule type="cellIs" dxfId="22059" priority="1207" operator="lessThan">
      <formula>0.8</formula>
    </cfRule>
    <cfRule type="cellIs" dxfId="22058" priority="1208" operator="greaterThan">
      <formula>1</formula>
    </cfRule>
  </conditionalFormatting>
  <conditionalFormatting sqref="R32:R39">
    <cfRule type="cellIs" dxfId="22057" priority="1205" operator="greaterThan">
      <formula>1</formula>
    </cfRule>
    <cfRule type="cellIs" dxfId="22056" priority="1206" operator="lessThan">
      <formula>0.8</formula>
    </cfRule>
  </conditionalFormatting>
  <conditionalFormatting sqref="P32:P39">
    <cfRule type="cellIs" dxfId="22055" priority="1204" operator="greaterThan">
      <formula>0</formula>
    </cfRule>
  </conditionalFormatting>
  <conditionalFormatting sqref="Q105">
    <cfRule type="cellIs" dxfId="22054" priority="1203" operator="lessThan">
      <formula>0</formula>
    </cfRule>
  </conditionalFormatting>
  <conditionalFormatting sqref="P105">
    <cfRule type="cellIs" dxfId="22053" priority="1202" operator="greaterThan">
      <formula>0</formula>
    </cfRule>
  </conditionalFormatting>
  <conditionalFormatting sqref="P105">
    <cfRule type="cellIs" dxfId="22052" priority="1200" operator="greaterThan">
      <formula>0</formula>
    </cfRule>
  </conditionalFormatting>
  <conditionalFormatting sqref="Q105">
    <cfRule type="cellIs" dxfId="22051" priority="1201" operator="lessThan">
      <formula>0</formula>
    </cfRule>
  </conditionalFormatting>
  <conditionalFormatting sqref="Q105">
    <cfRule type="cellIs" dxfId="22050" priority="1199" operator="lessThan">
      <formula>0</formula>
    </cfRule>
  </conditionalFormatting>
  <conditionalFormatting sqref="P105">
    <cfRule type="cellIs" dxfId="22049" priority="1198" operator="greaterThan">
      <formula>0</formula>
    </cfRule>
  </conditionalFormatting>
  <conditionalFormatting sqref="Q96:Q104">
    <cfRule type="cellIs" dxfId="22048" priority="1192" operator="lessThan">
      <formula>0</formula>
    </cfRule>
  </conditionalFormatting>
  <conditionalFormatting sqref="P96:P104">
    <cfRule type="cellIs" dxfId="22047" priority="1193" operator="greaterThan">
      <formula>0</formula>
    </cfRule>
  </conditionalFormatting>
  <conditionalFormatting sqref="R96:R105">
    <cfRule type="cellIs" dxfId="22046" priority="1196" operator="lessThan">
      <formula>0.8</formula>
    </cfRule>
    <cfRule type="cellIs" dxfId="22045" priority="1197" operator="greaterThan">
      <formula>1</formula>
    </cfRule>
  </conditionalFormatting>
  <conditionalFormatting sqref="R96:R105">
    <cfRule type="cellIs" dxfId="22044" priority="1194" operator="greaterThan">
      <formula>1</formula>
    </cfRule>
    <cfRule type="cellIs" dxfId="22043" priority="1195" operator="lessThan">
      <formula>0.8</formula>
    </cfRule>
  </conditionalFormatting>
  <conditionalFormatting sqref="Q96:Q104">
    <cfRule type="cellIs" dxfId="22042" priority="1186" operator="lessThan">
      <formula>0</formula>
    </cfRule>
  </conditionalFormatting>
  <conditionalFormatting sqref="R96:R105">
    <cfRule type="cellIs" dxfId="22041" priority="1190" operator="lessThan">
      <formula>0.8</formula>
    </cfRule>
    <cfRule type="cellIs" dxfId="22040" priority="1191" operator="greaterThan">
      <formula>1</formula>
    </cfRule>
  </conditionalFormatting>
  <conditionalFormatting sqref="R96:R105">
    <cfRule type="cellIs" dxfId="22039" priority="1188" operator="greaterThan">
      <formula>1</formula>
    </cfRule>
    <cfRule type="cellIs" dxfId="22038" priority="1189" operator="lessThan">
      <formula>0.8</formula>
    </cfRule>
  </conditionalFormatting>
  <conditionalFormatting sqref="P96:P104">
    <cfRule type="cellIs" dxfId="22037" priority="1187" operator="greaterThan">
      <formula>0</formula>
    </cfRule>
  </conditionalFormatting>
  <conditionalFormatting sqref="Q96:Q104">
    <cfRule type="cellIs" dxfId="22036" priority="1185" operator="lessThan">
      <formula>0</formula>
    </cfRule>
  </conditionalFormatting>
  <conditionalFormatting sqref="R96:R105">
    <cfRule type="cellIs" dxfId="22035" priority="1183" operator="lessThan">
      <formula>0.8</formula>
    </cfRule>
    <cfRule type="cellIs" dxfId="22034" priority="1184" operator="greaterThan">
      <formula>1</formula>
    </cfRule>
  </conditionalFormatting>
  <conditionalFormatting sqref="R96:R105">
    <cfRule type="cellIs" dxfId="22033" priority="1181" operator="greaterThan">
      <formula>1</formula>
    </cfRule>
    <cfRule type="cellIs" dxfId="22032" priority="1182" operator="lessThan">
      <formula>0.8</formula>
    </cfRule>
  </conditionalFormatting>
  <conditionalFormatting sqref="P96:P104">
    <cfRule type="cellIs" dxfId="22031" priority="1180" operator="greaterThan">
      <formula>0</formula>
    </cfRule>
  </conditionalFormatting>
  <conditionalFormatting sqref="Q96:Q104">
    <cfRule type="cellIs" dxfId="22030" priority="1179" operator="lessThan">
      <formula>0</formula>
    </cfRule>
  </conditionalFormatting>
  <conditionalFormatting sqref="R96:R105">
    <cfRule type="cellIs" dxfId="22029" priority="1177" operator="lessThan">
      <formula>0.8</formula>
    </cfRule>
    <cfRule type="cellIs" dxfId="22028" priority="1178" operator="greaterThan">
      <formula>1</formula>
    </cfRule>
  </conditionalFormatting>
  <conditionalFormatting sqref="R96:R105">
    <cfRule type="cellIs" dxfId="22027" priority="1175" operator="greaterThan">
      <formula>1</formula>
    </cfRule>
    <cfRule type="cellIs" dxfId="22026" priority="1176" operator="lessThan">
      <formula>0.8</formula>
    </cfRule>
  </conditionalFormatting>
  <conditionalFormatting sqref="P96:P104">
    <cfRule type="cellIs" dxfId="22025" priority="1174" operator="greaterThan">
      <formula>0</formula>
    </cfRule>
  </conditionalFormatting>
  <conditionalFormatting sqref="Q96:Q104">
    <cfRule type="cellIs" dxfId="22024" priority="1168" operator="lessThan">
      <formula>0</formula>
    </cfRule>
  </conditionalFormatting>
  <conditionalFormatting sqref="R96:R105">
    <cfRule type="cellIs" dxfId="22023" priority="1172" operator="lessThan">
      <formula>0.8</formula>
    </cfRule>
    <cfRule type="cellIs" dxfId="22022" priority="1173" operator="greaterThan">
      <formula>1</formula>
    </cfRule>
  </conditionalFormatting>
  <conditionalFormatting sqref="R96:R105">
    <cfRule type="cellIs" dxfId="22021" priority="1170" operator="greaterThan">
      <formula>1</formula>
    </cfRule>
    <cfRule type="cellIs" dxfId="22020" priority="1171" operator="lessThan">
      <formula>0.8</formula>
    </cfRule>
  </conditionalFormatting>
  <conditionalFormatting sqref="P96:P104">
    <cfRule type="cellIs" dxfId="22019" priority="1169" operator="greaterThan">
      <formula>0</formula>
    </cfRule>
  </conditionalFormatting>
  <conditionalFormatting sqref="Q96:Q104">
    <cfRule type="cellIs" dxfId="22018" priority="1167" operator="lessThan">
      <formula>0</formula>
    </cfRule>
  </conditionalFormatting>
  <conditionalFormatting sqref="R96:R105">
    <cfRule type="cellIs" dxfId="22017" priority="1165" operator="lessThan">
      <formula>0.8</formula>
    </cfRule>
    <cfRule type="cellIs" dxfId="22016" priority="1166" operator="greaterThan">
      <formula>1</formula>
    </cfRule>
  </conditionalFormatting>
  <conditionalFormatting sqref="R96:R105">
    <cfRule type="cellIs" dxfId="22015" priority="1163" operator="greaterThan">
      <formula>1</formula>
    </cfRule>
    <cfRule type="cellIs" dxfId="22014" priority="1164" operator="lessThan">
      <formula>0.8</formula>
    </cfRule>
  </conditionalFormatting>
  <conditionalFormatting sqref="P96:P104">
    <cfRule type="cellIs" dxfId="22013" priority="1162" operator="greaterThan">
      <formula>0</formula>
    </cfRule>
  </conditionalFormatting>
  <conditionalFormatting sqref="Q96:Q104">
    <cfRule type="cellIs" dxfId="22012" priority="1161" operator="lessThan">
      <formula>0</formula>
    </cfRule>
  </conditionalFormatting>
  <conditionalFormatting sqref="R96:R105">
    <cfRule type="cellIs" dxfId="22011" priority="1159" operator="lessThan">
      <formula>0.8</formula>
    </cfRule>
    <cfRule type="cellIs" dxfId="22010" priority="1160" operator="greaterThan">
      <formula>1</formula>
    </cfRule>
  </conditionalFormatting>
  <conditionalFormatting sqref="R96:R105">
    <cfRule type="cellIs" dxfId="22009" priority="1157" operator="greaterThan">
      <formula>1</formula>
    </cfRule>
    <cfRule type="cellIs" dxfId="22008" priority="1158" operator="lessThan">
      <formula>0.8</formula>
    </cfRule>
  </conditionalFormatting>
  <conditionalFormatting sqref="P96:P104">
    <cfRule type="cellIs" dxfId="22007" priority="1156" operator="greaterThan">
      <formula>0</formula>
    </cfRule>
  </conditionalFormatting>
  <conditionalFormatting sqref="Q96:Q104">
    <cfRule type="cellIs" dxfId="22006" priority="1155" operator="lessThan">
      <formula>0</formula>
    </cfRule>
  </conditionalFormatting>
  <conditionalFormatting sqref="R96:R105">
    <cfRule type="cellIs" dxfId="22005" priority="1153" operator="lessThan">
      <formula>0.8</formula>
    </cfRule>
    <cfRule type="cellIs" dxfId="22004" priority="1154" operator="greaterThan">
      <formula>1</formula>
    </cfRule>
  </conditionalFormatting>
  <conditionalFormatting sqref="R96:R105">
    <cfRule type="cellIs" dxfId="22003" priority="1151" operator="greaterThan">
      <formula>1</formula>
    </cfRule>
    <cfRule type="cellIs" dxfId="22002" priority="1152" operator="lessThan">
      <formula>0.8</formula>
    </cfRule>
  </conditionalFormatting>
  <conditionalFormatting sqref="P96:P104">
    <cfRule type="cellIs" dxfId="22001" priority="1150" operator="greaterThan">
      <formula>0</formula>
    </cfRule>
  </conditionalFormatting>
  <conditionalFormatting sqref="Q96:Q104">
    <cfRule type="cellIs" dxfId="22000" priority="1149" operator="lessThan">
      <formula>0</formula>
    </cfRule>
  </conditionalFormatting>
  <conditionalFormatting sqref="R96:R105">
    <cfRule type="cellIs" dxfId="21999" priority="1147" operator="lessThan">
      <formula>0.8</formula>
    </cfRule>
    <cfRule type="cellIs" dxfId="21998" priority="1148" operator="greaterThan">
      <formula>1</formula>
    </cfRule>
  </conditionalFormatting>
  <conditionalFormatting sqref="R96:R105">
    <cfRule type="cellIs" dxfId="21997" priority="1145" operator="greaterThan">
      <formula>1</formula>
    </cfRule>
    <cfRule type="cellIs" dxfId="21996" priority="1146" operator="lessThan">
      <formula>0.8</formula>
    </cfRule>
  </conditionalFormatting>
  <conditionalFormatting sqref="P96:P104">
    <cfRule type="cellIs" dxfId="21995" priority="1144" operator="greaterThan">
      <formula>0</formula>
    </cfRule>
  </conditionalFormatting>
  <conditionalFormatting sqref="Q96:Q104">
    <cfRule type="cellIs" dxfId="21994" priority="1143" operator="lessThan">
      <formula>0</formula>
    </cfRule>
  </conditionalFormatting>
  <conditionalFormatting sqref="R96:R105">
    <cfRule type="cellIs" dxfId="21993" priority="1141" operator="lessThan">
      <formula>0.8</formula>
    </cfRule>
    <cfRule type="cellIs" dxfId="21992" priority="1142" operator="greaterThan">
      <formula>1</formula>
    </cfRule>
  </conditionalFormatting>
  <conditionalFormatting sqref="R96:R105">
    <cfRule type="cellIs" dxfId="21991" priority="1139" operator="greaterThan">
      <formula>1</formula>
    </cfRule>
    <cfRule type="cellIs" dxfId="21990" priority="1140" operator="lessThan">
      <formula>0.8</formula>
    </cfRule>
  </conditionalFormatting>
  <conditionalFormatting sqref="P96:P104">
    <cfRule type="cellIs" dxfId="21989" priority="1138" operator="greaterThan">
      <formula>0</formula>
    </cfRule>
  </conditionalFormatting>
  <conditionalFormatting sqref="P96:P104">
    <cfRule type="cellIs" dxfId="21988" priority="1132" operator="greaterThan">
      <formula>0</formula>
    </cfRule>
  </conditionalFormatting>
  <conditionalFormatting sqref="Q96:Q104">
    <cfRule type="cellIs" dxfId="21987" priority="1137" operator="lessThan">
      <formula>0</formula>
    </cfRule>
  </conditionalFormatting>
  <conditionalFormatting sqref="R96:R105">
    <cfRule type="cellIs" dxfId="21986" priority="1135" operator="lessThan">
      <formula>0.8</formula>
    </cfRule>
    <cfRule type="cellIs" dxfId="21985" priority="1136" operator="greaterThan">
      <formula>1</formula>
    </cfRule>
  </conditionalFormatting>
  <conditionalFormatting sqref="R96:R105">
    <cfRule type="cellIs" dxfId="21984" priority="1133" operator="greaterThan">
      <formula>1</formula>
    </cfRule>
    <cfRule type="cellIs" dxfId="21983" priority="1134" operator="lessThan">
      <formula>0.8</formula>
    </cfRule>
  </conditionalFormatting>
  <conditionalFormatting sqref="P96:P104">
    <cfRule type="cellIs" dxfId="21982" priority="1126" operator="greaterThan">
      <formula>0</formula>
    </cfRule>
  </conditionalFormatting>
  <conditionalFormatting sqref="Q96:Q104">
    <cfRule type="cellIs" dxfId="21981" priority="1131" operator="lessThan">
      <formula>0</formula>
    </cfRule>
  </conditionalFormatting>
  <conditionalFormatting sqref="R96:R105">
    <cfRule type="cellIs" dxfId="21980" priority="1129" operator="lessThan">
      <formula>0.8</formula>
    </cfRule>
    <cfRule type="cellIs" dxfId="21979" priority="1130" operator="greaterThan">
      <formula>1</formula>
    </cfRule>
  </conditionalFormatting>
  <conditionalFormatting sqref="R96:R105">
    <cfRule type="cellIs" dxfId="21978" priority="1127" operator="greaterThan">
      <formula>1</formula>
    </cfRule>
    <cfRule type="cellIs" dxfId="21977" priority="1128" operator="lessThan">
      <formula>0.8</formula>
    </cfRule>
  </conditionalFormatting>
  <conditionalFormatting sqref="R96:R105">
    <cfRule type="cellIs" dxfId="21976" priority="1123" operator="lessThan">
      <formula>0.8</formula>
    </cfRule>
    <cfRule type="cellIs" dxfId="21975" priority="1124" operator="greaterThan">
      <formula>1</formula>
    </cfRule>
  </conditionalFormatting>
  <conditionalFormatting sqref="R96:R105">
    <cfRule type="cellIs" dxfId="21974" priority="1121" operator="greaterThan">
      <formula>1</formula>
    </cfRule>
    <cfRule type="cellIs" dxfId="21973" priority="1122" operator="lessThan">
      <formula>0.8</formula>
    </cfRule>
  </conditionalFormatting>
  <conditionalFormatting sqref="P96:P104">
    <cfRule type="cellIs" dxfId="21972" priority="1120" operator="greaterThan">
      <formula>0</formula>
    </cfRule>
  </conditionalFormatting>
  <conditionalFormatting sqref="Q96:Q104">
    <cfRule type="cellIs" dxfId="21971" priority="1125" operator="lessThan">
      <formula>0</formula>
    </cfRule>
  </conditionalFormatting>
  <conditionalFormatting sqref="Q96:Q104">
    <cfRule type="cellIs" dxfId="21970" priority="1114" operator="lessThan">
      <formula>0</formula>
    </cfRule>
  </conditionalFormatting>
  <conditionalFormatting sqref="P96:P104">
    <cfRule type="cellIs" dxfId="21969" priority="1115" operator="greaterThan">
      <formula>0</formula>
    </cfRule>
  </conditionalFormatting>
  <conditionalFormatting sqref="R96:R105">
    <cfRule type="cellIs" dxfId="21968" priority="1118" operator="lessThan">
      <formula>0.8</formula>
    </cfRule>
    <cfRule type="cellIs" dxfId="21967" priority="1119" operator="greaterThan">
      <formula>1</formula>
    </cfRule>
  </conditionalFormatting>
  <conditionalFormatting sqref="R96:R105">
    <cfRule type="cellIs" dxfId="21966" priority="1116" operator="greaterThan">
      <formula>1</formula>
    </cfRule>
    <cfRule type="cellIs" dxfId="21965" priority="1117" operator="lessThan">
      <formula>0.8</formula>
    </cfRule>
  </conditionalFormatting>
  <conditionalFormatting sqref="Q96:Q104">
    <cfRule type="cellIs" dxfId="21964" priority="1108" operator="lessThan">
      <formula>0</formula>
    </cfRule>
  </conditionalFormatting>
  <conditionalFormatting sqref="R96:R105">
    <cfRule type="cellIs" dxfId="21963" priority="1112" operator="lessThan">
      <formula>0.8</formula>
    </cfRule>
    <cfRule type="cellIs" dxfId="21962" priority="1113" operator="greaterThan">
      <formula>1</formula>
    </cfRule>
  </conditionalFormatting>
  <conditionalFormatting sqref="R96:R105">
    <cfRule type="cellIs" dxfId="21961" priority="1110" operator="greaterThan">
      <formula>1</formula>
    </cfRule>
    <cfRule type="cellIs" dxfId="21960" priority="1111" operator="lessThan">
      <formula>0.8</formula>
    </cfRule>
  </conditionalFormatting>
  <conditionalFormatting sqref="P96:P104">
    <cfRule type="cellIs" dxfId="21959" priority="1109" operator="greaterThan">
      <formula>0</formula>
    </cfRule>
  </conditionalFormatting>
  <conditionalFormatting sqref="Q96:Q104">
    <cfRule type="cellIs" dxfId="21958" priority="1107" operator="lessThan">
      <formula>0</formula>
    </cfRule>
  </conditionalFormatting>
  <conditionalFormatting sqref="R96:R105">
    <cfRule type="cellIs" dxfId="21957" priority="1105" operator="lessThan">
      <formula>0.8</formula>
    </cfRule>
    <cfRule type="cellIs" dxfId="21956" priority="1106" operator="greaterThan">
      <formula>1</formula>
    </cfRule>
  </conditionalFormatting>
  <conditionalFormatting sqref="R96:R105">
    <cfRule type="cellIs" dxfId="21955" priority="1103" operator="greaterThan">
      <formula>1</formula>
    </cfRule>
    <cfRule type="cellIs" dxfId="21954" priority="1104" operator="lessThan">
      <formula>0.8</formula>
    </cfRule>
  </conditionalFormatting>
  <conditionalFormatting sqref="P96:P104">
    <cfRule type="cellIs" dxfId="21953" priority="1102" operator="greaterThan">
      <formula>0</formula>
    </cfRule>
  </conditionalFormatting>
  <conditionalFormatting sqref="Q96:Q104">
    <cfRule type="cellIs" dxfId="21952" priority="1101" operator="lessThan">
      <formula>0</formula>
    </cfRule>
  </conditionalFormatting>
  <conditionalFormatting sqref="R96:R105">
    <cfRule type="cellIs" dxfId="21951" priority="1099" operator="lessThan">
      <formula>0.8</formula>
    </cfRule>
    <cfRule type="cellIs" dxfId="21950" priority="1100" operator="greaterThan">
      <formula>1</formula>
    </cfRule>
  </conditionalFormatting>
  <conditionalFormatting sqref="R96:R105">
    <cfRule type="cellIs" dxfId="21949" priority="1097" operator="greaterThan">
      <formula>1</formula>
    </cfRule>
    <cfRule type="cellIs" dxfId="21948" priority="1098" operator="lessThan">
      <formula>0.8</formula>
    </cfRule>
  </conditionalFormatting>
  <conditionalFormatting sqref="P96:P104">
    <cfRule type="cellIs" dxfId="21947" priority="1096" operator="greaterThan">
      <formula>0</formula>
    </cfRule>
  </conditionalFormatting>
  <conditionalFormatting sqref="Q96:Q104">
    <cfRule type="cellIs" dxfId="21946" priority="1090" operator="lessThan">
      <formula>0</formula>
    </cfRule>
  </conditionalFormatting>
  <conditionalFormatting sqref="P96:P104">
    <cfRule type="cellIs" dxfId="21945" priority="1091" operator="greaterThan">
      <formula>0</formula>
    </cfRule>
  </conditionalFormatting>
  <conditionalFormatting sqref="R96:R105">
    <cfRule type="cellIs" dxfId="21944" priority="1094" operator="lessThan">
      <formula>0.8</formula>
    </cfRule>
    <cfRule type="cellIs" dxfId="21943" priority="1095" operator="greaterThan">
      <formula>1</formula>
    </cfRule>
  </conditionalFormatting>
  <conditionalFormatting sqref="R96:R105">
    <cfRule type="cellIs" dxfId="21942" priority="1092" operator="greaterThan">
      <formula>1</formula>
    </cfRule>
    <cfRule type="cellIs" dxfId="21941" priority="1093" operator="lessThan">
      <formula>0.8</formula>
    </cfRule>
  </conditionalFormatting>
  <conditionalFormatting sqref="Q96:Q104">
    <cfRule type="cellIs" dxfId="21940" priority="1084" operator="lessThan">
      <formula>0</formula>
    </cfRule>
  </conditionalFormatting>
  <conditionalFormatting sqref="R96:R105">
    <cfRule type="cellIs" dxfId="21939" priority="1088" operator="lessThan">
      <formula>0.8</formula>
    </cfRule>
    <cfRule type="cellIs" dxfId="21938" priority="1089" operator="greaterThan">
      <formula>1</formula>
    </cfRule>
  </conditionalFormatting>
  <conditionalFormatting sqref="R96:R105">
    <cfRule type="cellIs" dxfId="21937" priority="1086" operator="greaterThan">
      <formula>1</formula>
    </cfRule>
    <cfRule type="cellIs" dxfId="21936" priority="1087" operator="lessThan">
      <formula>0.8</formula>
    </cfRule>
  </conditionalFormatting>
  <conditionalFormatting sqref="P96:P104">
    <cfRule type="cellIs" dxfId="21935" priority="1085" operator="greaterThan">
      <formula>0</formula>
    </cfRule>
  </conditionalFormatting>
  <conditionalFormatting sqref="Q96:Q104">
    <cfRule type="cellIs" dxfId="21934" priority="1083" operator="lessThan">
      <formula>0</formula>
    </cfRule>
  </conditionalFormatting>
  <conditionalFormatting sqref="R96:R105">
    <cfRule type="cellIs" dxfId="21933" priority="1081" operator="lessThan">
      <formula>0.8</formula>
    </cfRule>
    <cfRule type="cellIs" dxfId="21932" priority="1082" operator="greaterThan">
      <formula>1</formula>
    </cfRule>
  </conditionalFormatting>
  <conditionalFormatting sqref="R96:R105">
    <cfRule type="cellIs" dxfId="21931" priority="1079" operator="greaterThan">
      <formula>1</formula>
    </cfRule>
    <cfRule type="cellIs" dxfId="21930" priority="1080" operator="lessThan">
      <formula>0.8</formula>
    </cfRule>
  </conditionalFormatting>
  <conditionalFormatting sqref="P96:P104">
    <cfRule type="cellIs" dxfId="21929" priority="1078" operator="greaterThan">
      <formula>0</formula>
    </cfRule>
  </conditionalFormatting>
  <conditionalFormatting sqref="Q96:Q104">
    <cfRule type="cellIs" dxfId="21928" priority="1077" operator="lessThan">
      <formula>0</formula>
    </cfRule>
  </conditionalFormatting>
  <conditionalFormatting sqref="R96:R105">
    <cfRule type="cellIs" dxfId="21927" priority="1075" operator="lessThan">
      <formula>0.8</formula>
    </cfRule>
    <cfRule type="cellIs" dxfId="21926" priority="1076" operator="greaterThan">
      <formula>1</formula>
    </cfRule>
  </conditionalFormatting>
  <conditionalFormatting sqref="R96:R105">
    <cfRule type="cellIs" dxfId="21925" priority="1073" operator="greaterThan">
      <formula>1</formula>
    </cfRule>
    <cfRule type="cellIs" dxfId="21924" priority="1074" operator="lessThan">
      <formula>0.8</formula>
    </cfRule>
  </conditionalFormatting>
  <conditionalFormatting sqref="P96:P104">
    <cfRule type="cellIs" dxfId="21923" priority="1072" operator="greaterThan">
      <formula>0</formula>
    </cfRule>
  </conditionalFormatting>
  <conditionalFormatting sqref="P124 P127 P131">
    <cfRule type="cellIs" dxfId="21922" priority="1066" operator="greaterThan">
      <formula>0</formula>
    </cfRule>
  </conditionalFormatting>
  <conditionalFormatting sqref="Q124 Q127 Q131">
    <cfRule type="cellIs" dxfId="21921" priority="1071" operator="lessThan">
      <formula>0</formula>
    </cfRule>
  </conditionalFormatting>
  <conditionalFormatting sqref="R124 R127 R131">
    <cfRule type="cellIs" dxfId="21920" priority="1069" operator="lessThan">
      <formula>0.8</formula>
    </cfRule>
    <cfRule type="cellIs" dxfId="21919" priority="1070" operator="greaterThan">
      <formula>1</formula>
    </cfRule>
  </conditionalFormatting>
  <conditionalFormatting sqref="R124 R127 R131">
    <cfRule type="cellIs" dxfId="21918" priority="1067" operator="greaterThan">
      <formula>1</formula>
    </cfRule>
    <cfRule type="cellIs" dxfId="21917" priority="1068" operator="lessThan">
      <formula>0.8</formula>
    </cfRule>
  </conditionalFormatting>
  <conditionalFormatting sqref="Q124 Q127 Q131">
    <cfRule type="cellIs" dxfId="21916" priority="1065" operator="lessThan">
      <formula>0</formula>
    </cfRule>
  </conditionalFormatting>
  <conditionalFormatting sqref="R124 R127 R131">
    <cfRule type="cellIs" dxfId="21915" priority="1063" operator="lessThan">
      <formula>0.8</formula>
    </cfRule>
    <cfRule type="cellIs" dxfId="21914" priority="1064" operator="greaterThan">
      <formula>1</formula>
    </cfRule>
  </conditionalFormatting>
  <conditionalFormatting sqref="R124 R127 R131">
    <cfRule type="cellIs" dxfId="21913" priority="1061" operator="greaterThan">
      <formula>1</formula>
    </cfRule>
    <cfRule type="cellIs" dxfId="21912" priority="1062" operator="lessThan">
      <formula>0.8</formula>
    </cfRule>
  </conditionalFormatting>
  <conditionalFormatting sqref="P124 P127 P131">
    <cfRule type="cellIs" dxfId="21911" priority="1060" operator="greaterThan">
      <formula>0</formula>
    </cfRule>
  </conditionalFormatting>
  <conditionalFormatting sqref="Q123 Q125:Q126 Q128:Q130">
    <cfRule type="cellIs" dxfId="21910" priority="1059" operator="lessThan">
      <formula>0</formula>
    </cfRule>
  </conditionalFormatting>
  <conditionalFormatting sqref="R123 R125:R126 R128:R130">
    <cfRule type="cellIs" dxfId="21909" priority="1057" operator="lessThan">
      <formula>0.8</formula>
    </cfRule>
    <cfRule type="cellIs" dxfId="21908" priority="1058" operator="greaterThan">
      <formula>1</formula>
    </cfRule>
  </conditionalFormatting>
  <conditionalFormatting sqref="R123 R125:R126 R128:R130">
    <cfRule type="cellIs" dxfId="21907" priority="1055" operator="greaterThan">
      <formula>1</formula>
    </cfRule>
    <cfRule type="cellIs" dxfId="21906" priority="1056" operator="lessThan">
      <formula>0.8</formula>
    </cfRule>
  </conditionalFormatting>
  <conditionalFormatting sqref="P123 P125:P126 P128:P130">
    <cfRule type="cellIs" dxfId="21905" priority="1054" operator="greaterThan">
      <formula>0</formula>
    </cfRule>
  </conditionalFormatting>
  <conditionalFormatting sqref="P123 P125:P126 P128:P130">
    <cfRule type="cellIs" dxfId="21904" priority="1048" operator="greaterThan">
      <formula>0</formula>
    </cfRule>
  </conditionalFormatting>
  <conditionalFormatting sqref="Q123 Q125:Q126 Q128:Q130">
    <cfRule type="cellIs" dxfId="21903" priority="1053" operator="lessThan">
      <formula>0</formula>
    </cfRule>
  </conditionalFormatting>
  <conditionalFormatting sqref="R123 R125:R126 R128:R130">
    <cfRule type="cellIs" dxfId="21902" priority="1051" operator="lessThan">
      <formula>0.8</formula>
    </cfRule>
    <cfRule type="cellIs" dxfId="21901" priority="1052" operator="greaterThan">
      <formula>1</formula>
    </cfRule>
  </conditionalFormatting>
  <conditionalFormatting sqref="R123 R125:R126 R128:R130">
    <cfRule type="cellIs" dxfId="21900" priority="1049" operator="greaterThan">
      <formula>1</formula>
    </cfRule>
    <cfRule type="cellIs" dxfId="21899" priority="1050" operator="lessThan">
      <formula>0.8</formula>
    </cfRule>
  </conditionalFormatting>
  <conditionalFormatting sqref="P122">
    <cfRule type="cellIs" dxfId="21898" priority="1042" operator="greaterThan">
      <formula>0</formula>
    </cfRule>
  </conditionalFormatting>
  <conditionalFormatting sqref="Q122">
    <cfRule type="cellIs" dxfId="21897" priority="1047" operator="lessThan">
      <formula>0</formula>
    </cfRule>
  </conditionalFormatting>
  <conditionalFormatting sqref="R122">
    <cfRule type="cellIs" dxfId="21896" priority="1045" operator="lessThan">
      <formula>0.8</formula>
    </cfRule>
    <cfRule type="cellIs" dxfId="21895" priority="1046" operator="greaterThan">
      <formula>1</formula>
    </cfRule>
  </conditionalFormatting>
  <conditionalFormatting sqref="R122">
    <cfRule type="cellIs" dxfId="21894" priority="1043" operator="greaterThan">
      <formula>1</formula>
    </cfRule>
    <cfRule type="cellIs" dxfId="21893" priority="1044" operator="lessThan">
      <formula>0.8</formula>
    </cfRule>
  </conditionalFormatting>
  <conditionalFormatting sqref="Q109:Q116">
    <cfRule type="cellIs" dxfId="21892" priority="1041" operator="lessThan">
      <formula>0</formula>
    </cfRule>
  </conditionalFormatting>
  <conditionalFormatting sqref="R109:R116">
    <cfRule type="cellIs" dxfId="21891" priority="1039" operator="lessThan">
      <formula>0.8</formula>
    </cfRule>
    <cfRule type="cellIs" dxfId="21890" priority="1040" operator="greaterThan">
      <formula>1</formula>
    </cfRule>
  </conditionalFormatting>
  <conditionalFormatting sqref="R109:R116">
    <cfRule type="cellIs" dxfId="21889" priority="1037" operator="greaterThan">
      <formula>1</formula>
    </cfRule>
    <cfRule type="cellIs" dxfId="21888" priority="1038" operator="lessThan">
      <formula>0.8</formula>
    </cfRule>
  </conditionalFormatting>
  <conditionalFormatting sqref="P109:P116">
    <cfRule type="cellIs" dxfId="21887" priority="1036" operator="greaterThan">
      <formula>0</formula>
    </cfRule>
  </conditionalFormatting>
  <conditionalFormatting sqref="P137 P140 P143">
    <cfRule type="cellIs" dxfId="21886" priority="1035" operator="greaterThan">
      <formula>0</formula>
    </cfRule>
  </conditionalFormatting>
  <conditionalFormatting sqref="Q137 Q140 Q143">
    <cfRule type="cellIs" dxfId="21885" priority="1034" operator="lessThan">
      <formula>0</formula>
    </cfRule>
  </conditionalFormatting>
  <conditionalFormatting sqref="R137 R140 R143">
    <cfRule type="cellIs" dxfId="21884" priority="1032" operator="lessThan">
      <formula>0.8</formula>
    </cfRule>
    <cfRule type="cellIs" dxfId="21883" priority="1033" operator="greaterThan">
      <formula>1</formula>
    </cfRule>
  </conditionalFormatting>
  <conditionalFormatting sqref="R137 R140 R143">
    <cfRule type="cellIs" dxfId="21882" priority="1030" operator="greaterThan">
      <formula>1</formula>
    </cfRule>
    <cfRule type="cellIs" dxfId="21881" priority="1031" operator="lessThan">
      <formula>0.8</formula>
    </cfRule>
  </conditionalFormatting>
  <conditionalFormatting sqref="P137 P140 P143">
    <cfRule type="cellIs" dxfId="21880" priority="1029" operator="greaterThan">
      <formula>0</formula>
    </cfRule>
  </conditionalFormatting>
  <conditionalFormatting sqref="Q137 Q140 Q143">
    <cfRule type="cellIs" dxfId="21879" priority="1028" operator="lessThan">
      <formula>0</formula>
    </cfRule>
  </conditionalFormatting>
  <conditionalFormatting sqref="R137 R140 R143">
    <cfRule type="cellIs" dxfId="21878" priority="1026" operator="lessThan">
      <formula>0.8</formula>
    </cfRule>
    <cfRule type="cellIs" dxfId="21877" priority="1027" operator="greaterThan">
      <formula>1</formula>
    </cfRule>
  </conditionalFormatting>
  <conditionalFormatting sqref="R137 R140 R143">
    <cfRule type="cellIs" dxfId="21876" priority="1024" operator="greaterThan">
      <formula>1</formula>
    </cfRule>
    <cfRule type="cellIs" dxfId="21875" priority="1025" operator="lessThan">
      <formula>0.8</formula>
    </cfRule>
  </conditionalFormatting>
  <conditionalFormatting sqref="P137 P140 P143">
    <cfRule type="cellIs" dxfId="21874" priority="1023" operator="greaterThan">
      <formula>0</formula>
    </cfRule>
  </conditionalFormatting>
  <conditionalFormatting sqref="P137 P140 P143">
    <cfRule type="cellIs" dxfId="21873" priority="1017" operator="greaterThan">
      <formula>0</formula>
    </cfRule>
  </conditionalFormatting>
  <conditionalFormatting sqref="Q137 Q140 Q143">
    <cfRule type="cellIs" dxfId="21872" priority="1022" operator="lessThan">
      <formula>0</formula>
    </cfRule>
  </conditionalFormatting>
  <conditionalFormatting sqref="R137 R140 R143">
    <cfRule type="cellIs" dxfId="21871" priority="1020" operator="lessThan">
      <formula>0.8</formula>
    </cfRule>
    <cfRule type="cellIs" dxfId="21870" priority="1021" operator="greaterThan">
      <formula>1</formula>
    </cfRule>
  </conditionalFormatting>
  <conditionalFormatting sqref="R137 R140 R143">
    <cfRule type="cellIs" dxfId="21869" priority="1018" operator="greaterThan">
      <formula>1</formula>
    </cfRule>
    <cfRule type="cellIs" dxfId="21868" priority="1019" operator="lessThan">
      <formula>0.8</formula>
    </cfRule>
  </conditionalFormatting>
  <conditionalFormatting sqref="Q137 Q140 Q143">
    <cfRule type="cellIs" dxfId="21867" priority="1016" operator="lessThan">
      <formula>0</formula>
    </cfRule>
  </conditionalFormatting>
  <conditionalFormatting sqref="R137 R140 R143">
    <cfRule type="cellIs" dxfId="21866" priority="1014" operator="lessThan">
      <formula>0.8</formula>
    </cfRule>
    <cfRule type="cellIs" dxfId="21865" priority="1015" operator="greaterThan">
      <formula>1</formula>
    </cfRule>
  </conditionalFormatting>
  <conditionalFormatting sqref="R137 R140 R143">
    <cfRule type="cellIs" dxfId="21864" priority="1012" operator="greaterThan">
      <formula>1</formula>
    </cfRule>
    <cfRule type="cellIs" dxfId="21863" priority="1013" operator="lessThan">
      <formula>0.8</formula>
    </cfRule>
  </conditionalFormatting>
  <conditionalFormatting sqref="P137 P140 P143">
    <cfRule type="cellIs" dxfId="21862" priority="1011" operator="greaterThan">
      <formula>0</formula>
    </cfRule>
  </conditionalFormatting>
  <conditionalFormatting sqref="Q137 Q140 Q143">
    <cfRule type="cellIs" dxfId="21861" priority="1010" operator="lessThan">
      <formula>0</formula>
    </cfRule>
  </conditionalFormatting>
  <conditionalFormatting sqref="R137 R140 R143">
    <cfRule type="cellIs" dxfId="21860" priority="1008" operator="lessThan">
      <formula>0.8</formula>
    </cfRule>
    <cfRule type="cellIs" dxfId="21859" priority="1009" operator="greaterThan">
      <formula>1</formula>
    </cfRule>
  </conditionalFormatting>
  <conditionalFormatting sqref="R137 R140 R143">
    <cfRule type="cellIs" dxfId="21858" priority="1006" operator="greaterThan">
      <formula>1</formula>
    </cfRule>
    <cfRule type="cellIs" dxfId="21857" priority="1007" operator="lessThan">
      <formula>0.8</formula>
    </cfRule>
  </conditionalFormatting>
  <conditionalFormatting sqref="P137 P140 P143">
    <cfRule type="cellIs" dxfId="21856" priority="1005" operator="greaterThan">
      <formula>0</formula>
    </cfRule>
  </conditionalFormatting>
  <conditionalFormatting sqref="P137 P140 P143">
    <cfRule type="cellIs" dxfId="21855" priority="999" operator="greaterThan">
      <formula>0</formula>
    </cfRule>
  </conditionalFormatting>
  <conditionalFormatting sqref="Q137 Q140 Q143">
    <cfRule type="cellIs" dxfId="21854" priority="1004" operator="lessThan">
      <formula>0</formula>
    </cfRule>
  </conditionalFormatting>
  <conditionalFormatting sqref="R137 R140 R143">
    <cfRule type="cellIs" dxfId="21853" priority="1002" operator="lessThan">
      <formula>0.8</formula>
    </cfRule>
    <cfRule type="cellIs" dxfId="21852" priority="1003" operator="greaterThan">
      <formula>1</formula>
    </cfRule>
  </conditionalFormatting>
  <conditionalFormatting sqref="R137 R140 R143">
    <cfRule type="cellIs" dxfId="21851" priority="1000" operator="greaterThan">
      <formula>1</formula>
    </cfRule>
    <cfRule type="cellIs" dxfId="21850" priority="1001" operator="lessThan">
      <formula>0.8</formula>
    </cfRule>
  </conditionalFormatting>
  <conditionalFormatting sqref="Q137 Q140 Q143">
    <cfRule type="cellIs" dxfId="21849" priority="998" operator="lessThan">
      <formula>0</formula>
    </cfRule>
  </conditionalFormatting>
  <conditionalFormatting sqref="R137 R140 R143">
    <cfRule type="cellIs" dxfId="21848" priority="996" operator="lessThan">
      <formula>0.8</formula>
    </cfRule>
    <cfRule type="cellIs" dxfId="21847" priority="997" operator="greaterThan">
      <formula>1</formula>
    </cfRule>
  </conditionalFormatting>
  <conditionalFormatting sqref="R137 R140 R143">
    <cfRule type="cellIs" dxfId="21846" priority="994" operator="greaterThan">
      <formula>1</formula>
    </cfRule>
    <cfRule type="cellIs" dxfId="21845" priority="995" operator="lessThan">
      <formula>0.8</formula>
    </cfRule>
  </conditionalFormatting>
  <conditionalFormatting sqref="P137 P140 P143">
    <cfRule type="cellIs" dxfId="21844" priority="993" operator="greaterThan">
      <formula>0</formula>
    </cfRule>
  </conditionalFormatting>
  <conditionalFormatting sqref="Q137 Q140 Q143">
    <cfRule type="cellIs" dxfId="21843" priority="992" operator="lessThan">
      <formula>0</formula>
    </cfRule>
  </conditionalFormatting>
  <conditionalFormatting sqref="R137 R140 R143">
    <cfRule type="cellIs" dxfId="21842" priority="990" operator="lessThan">
      <formula>0.8</formula>
    </cfRule>
    <cfRule type="cellIs" dxfId="21841" priority="991" operator="greaterThan">
      <formula>1</formula>
    </cfRule>
  </conditionalFormatting>
  <conditionalFormatting sqref="R137 R140 R143">
    <cfRule type="cellIs" dxfId="21840" priority="988" operator="greaterThan">
      <formula>1</formula>
    </cfRule>
    <cfRule type="cellIs" dxfId="21839" priority="989" operator="lessThan">
      <formula>0.8</formula>
    </cfRule>
  </conditionalFormatting>
  <conditionalFormatting sqref="P137 P140 P143">
    <cfRule type="cellIs" dxfId="21838" priority="987" operator="greaterThan">
      <formula>0</formula>
    </cfRule>
  </conditionalFormatting>
  <conditionalFormatting sqref="P137 P140 P143">
    <cfRule type="cellIs" dxfId="21837" priority="981" operator="greaterThan">
      <formula>0</formula>
    </cfRule>
  </conditionalFormatting>
  <conditionalFormatting sqref="Q137 Q140 Q143">
    <cfRule type="cellIs" dxfId="21836" priority="986" operator="lessThan">
      <formula>0</formula>
    </cfRule>
  </conditionalFormatting>
  <conditionalFormatting sqref="R137 R140 R143">
    <cfRule type="cellIs" dxfId="21835" priority="984" operator="lessThan">
      <formula>0.8</formula>
    </cfRule>
    <cfRule type="cellIs" dxfId="21834" priority="985" operator="greaterThan">
      <formula>1</formula>
    </cfRule>
  </conditionalFormatting>
  <conditionalFormatting sqref="R137 R140 R143">
    <cfRule type="cellIs" dxfId="21833" priority="982" operator="greaterThan">
      <formula>1</formula>
    </cfRule>
    <cfRule type="cellIs" dxfId="21832" priority="983" operator="lessThan">
      <formula>0.8</formula>
    </cfRule>
  </conditionalFormatting>
  <conditionalFormatting sqref="Q137 Q140 Q143">
    <cfRule type="cellIs" dxfId="21831" priority="980" operator="lessThan">
      <formula>0</formula>
    </cfRule>
  </conditionalFormatting>
  <conditionalFormatting sqref="R137 R140 R143">
    <cfRule type="cellIs" dxfId="21830" priority="978" operator="lessThan">
      <formula>0.8</formula>
    </cfRule>
    <cfRule type="cellIs" dxfId="21829" priority="979" operator="greaterThan">
      <formula>1</formula>
    </cfRule>
  </conditionalFormatting>
  <conditionalFormatting sqref="R137 R140 R143">
    <cfRule type="cellIs" dxfId="21828" priority="976" operator="greaterThan">
      <formula>1</formula>
    </cfRule>
    <cfRule type="cellIs" dxfId="21827" priority="977" operator="lessThan">
      <formula>0.8</formula>
    </cfRule>
  </conditionalFormatting>
  <conditionalFormatting sqref="P137 P140 P143">
    <cfRule type="cellIs" dxfId="21826" priority="975" operator="greaterThan">
      <formula>0</formula>
    </cfRule>
  </conditionalFormatting>
  <conditionalFormatting sqref="P138 P141 P144">
    <cfRule type="cellIs" dxfId="21825" priority="969" operator="greaterThan">
      <formula>0</formula>
    </cfRule>
  </conditionalFormatting>
  <conditionalFormatting sqref="Q138 Q141 Q144">
    <cfRule type="cellIs" dxfId="21824" priority="974" operator="lessThan">
      <formula>0</formula>
    </cfRule>
  </conditionalFormatting>
  <conditionalFormatting sqref="R138 R141 R144">
    <cfRule type="cellIs" dxfId="21823" priority="972" operator="lessThan">
      <formula>0.8</formula>
    </cfRule>
    <cfRule type="cellIs" dxfId="21822" priority="973" operator="greaterThan">
      <formula>1</formula>
    </cfRule>
  </conditionalFormatting>
  <conditionalFormatting sqref="R138 R141 R144">
    <cfRule type="cellIs" dxfId="21821" priority="970" operator="greaterThan">
      <formula>1</formula>
    </cfRule>
    <cfRule type="cellIs" dxfId="21820" priority="971" operator="lessThan">
      <formula>0.8</formula>
    </cfRule>
  </conditionalFormatting>
  <conditionalFormatting sqref="Q138 Q141 Q144">
    <cfRule type="cellIs" dxfId="21819" priority="968" operator="lessThan">
      <formula>0</formula>
    </cfRule>
  </conditionalFormatting>
  <conditionalFormatting sqref="R138 R141 R144">
    <cfRule type="cellIs" dxfId="21818" priority="966" operator="lessThan">
      <formula>0.8</formula>
    </cfRule>
    <cfRule type="cellIs" dxfId="21817" priority="967" operator="greaterThan">
      <formula>1</formula>
    </cfRule>
  </conditionalFormatting>
  <conditionalFormatting sqref="R138 R141 R144">
    <cfRule type="cellIs" dxfId="21816" priority="964" operator="greaterThan">
      <formula>1</formula>
    </cfRule>
    <cfRule type="cellIs" dxfId="21815" priority="965" operator="lessThan">
      <formula>0.8</formula>
    </cfRule>
  </conditionalFormatting>
  <conditionalFormatting sqref="P138 P141 P144">
    <cfRule type="cellIs" dxfId="21814" priority="963" operator="greaterThan">
      <formula>0</formula>
    </cfRule>
  </conditionalFormatting>
  <conditionalFormatting sqref="Q138 Q141 Q144">
    <cfRule type="cellIs" dxfId="21813" priority="962" operator="lessThan">
      <formula>0</formula>
    </cfRule>
  </conditionalFormatting>
  <conditionalFormatting sqref="R138 R141 R144">
    <cfRule type="cellIs" dxfId="21812" priority="960" operator="lessThan">
      <formula>0.8</formula>
    </cfRule>
    <cfRule type="cellIs" dxfId="21811" priority="961" operator="greaterThan">
      <formula>1</formula>
    </cfRule>
  </conditionalFormatting>
  <conditionalFormatting sqref="R138 R141 R144">
    <cfRule type="cellIs" dxfId="21810" priority="958" operator="greaterThan">
      <formula>1</formula>
    </cfRule>
    <cfRule type="cellIs" dxfId="21809" priority="959" operator="lessThan">
      <formula>0.8</formula>
    </cfRule>
  </conditionalFormatting>
  <conditionalFormatting sqref="P138 P141 P144">
    <cfRule type="cellIs" dxfId="21808" priority="957" operator="greaterThan">
      <formula>0</formula>
    </cfRule>
  </conditionalFormatting>
  <conditionalFormatting sqref="Q138 Q141 Q144">
    <cfRule type="cellIs" dxfId="21807" priority="956" operator="lessThan">
      <formula>0</formula>
    </cfRule>
  </conditionalFormatting>
  <conditionalFormatting sqref="R138 R141 R144">
    <cfRule type="cellIs" dxfId="21806" priority="954" operator="lessThan">
      <formula>0.8</formula>
    </cfRule>
    <cfRule type="cellIs" dxfId="21805" priority="955" operator="greaterThan">
      <formula>1</formula>
    </cfRule>
  </conditionalFormatting>
  <conditionalFormatting sqref="R138 R141 R144">
    <cfRule type="cellIs" dxfId="21804" priority="952" operator="greaterThan">
      <formula>1</formula>
    </cfRule>
    <cfRule type="cellIs" dxfId="21803" priority="953" operator="lessThan">
      <formula>0.8</formula>
    </cfRule>
  </conditionalFormatting>
  <conditionalFormatting sqref="P138 P141 P144">
    <cfRule type="cellIs" dxfId="21802" priority="951" operator="greaterThan">
      <formula>0</formula>
    </cfRule>
  </conditionalFormatting>
  <conditionalFormatting sqref="Q138 Q141 Q144">
    <cfRule type="cellIs" dxfId="21801" priority="950" operator="lessThan">
      <formula>0</formula>
    </cfRule>
  </conditionalFormatting>
  <conditionalFormatting sqref="R138 R141 R144">
    <cfRule type="cellIs" dxfId="21800" priority="948" operator="lessThan">
      <formula>0.8</formula>
    </cfRule>
    <cfRule type="cellIs" dxfId="21799" priority="949" operator="greaterThan">
      <formula>1</formula>
    </cfRule>
  </conditionalFormatting>
  <conditionalFormatting sqref="R138 R141 R144">
    <cfRule type="cellIs" dxfId="21798" priority="946" operator="greaterThan">
      <formula>1</formula>
    </cfRule>
    <cfRule type="cellIs" dxfId="21797" priority="947" operator="lessThan">
      <formula>0.8</formula>
    </cfRule>
  </conditionalFormatting>
  <conditionalFormatting sqref="Q138 Q141 Q144">
    <cfRule type="cellIs" dxfId="21796" priority="945" operator="lessThan">
      <formula>0</formula>
    </cfRule>
  </conditionalFormatting>
  <conditionalFormatting sqref="R138 R141 R144">
    <cfRule type="cellIs" dxfId="21795" priority="943" operator="lessThan">
      <formula>0.8</formula>
    </cfRule>
    <cfRule type="cellIs" dxfId="21794" priority="944" operator="greaterThan">
      <formula>1</formula>
    </cfRule>
  </conditionalFormatting>
  <conditionalFormatting sqref="R138 R141 R144">
    <cfRule type="cellIs" dxfId="21793" priority="941" operator="greaterThan">
      <formula>1</formula>
    </cfRule>
    <cfRule type="cellIs" dxfId="21792" priority="942" operator="lessThan">
      <formula>0.8</formula>
    </cfRule>
  </conditionalFormatting>
  <conditionalFormatting sqref="P138 P141 P144">
    <cfRule type="cellIs" dxfId="21791" priority="940" operator="greaterThan">
      <formula>0</formula>
    </cfRule>
  </conditionalFormatting>
  <conditionalFormatting sqref="P138 P141 P144">
    <cfRule type="cellIs" dxfId="21790" priority="934" operator="greaterThan">
      <formula>0</formula>
    </cfRule>
  </conditionalFormatting>
  <conditionalFormatting sqref="Q138 Q141 Q144">
    <cfRule type="cellIs" dxfId="21789" priority="939" operator="lessThan">
      <formula>0</formula>
    </cfRule>
  </conditionalFormatting>
  <conditionalFormatting sqref="R138 R141 R144">
    <cfRule type="cellIs" dxfId="21788" priority="937" operator="lessThan">
      <formula>0.8</formula>
    </cfRule>
    <cfRule type="cellIs" dxfId="21787" priority="938" operator="greaterThan">
      <formula>1</formula>
    </cfRule>
  </conditionalFormatting>
  <conditionalFormatting sqref="R138 R141 R144">
    <cfRule type="cellIs" dxfId="21786" priority="935" operator="greaterThan">
      <formula>1</formula>
    </cfRule>
    <cfRule type="cellIs" dxfId="21785" priority="936" operator="lessThan">
      <formula>0.8</formula>
    </cfRule>
  </conditionalFormatting>
  <conditionalFormatting sqref="Q138 Q141 Q144">
    <cfRule type="cellIs" dxfId="21784" priority="933" operator="lessThan">
      <formula>0</formula>
    </cfRule>
  </conditionalFormatting>
  <conditionalFormatting sqref="R138 R141 R144">
    <cfRule type="cellIs" dxfId="21783" priority="931" operator="lessThan">
      <formula>0.8</formula>
    </cfRule>
    <cfRule type="cellIs" dxfId="21782" priority="932" operator="greaterThan">
      <formula>1</formula>
    </cfRule>
  </conditionalFormatting>
  <conditionalFormatting sqref="R138 R141 R144">
    <cfRule type="cellIs" dxfId="21781" priority="929" operator="greaterThan">
      <formula>1</formula>
    </cfRule>
    <cfRule type="cellIs" dxfId="21780" priority="930" operator="lessThan">
      <formula>0.8</formula>
    </cfRule>
  </conditionalFormatting>
  <conditionalFormatting sqref="P138 P141 P144">
    <cfRule type="cellIs" dxfId="21779" priority="928" operator="greaterThan">
      <formula>0</formula>
    </cfRule>
  </conditionalFormatting>
  <conditionalFormatting sqref="Q148:Q153">
    <cfRule type="cellIs" dxfId="21778" priority="927" operator="lessThan">
      <formula>0</formula>
    </cfRule>
  </conditionalFormatting>
  <conditionalFormatting sqref="R148:R153">
    <cfRule type="cellIs" dxfId="21777" priority="925" operator="lessThan">
      <formula>0.8</formula>
    </cfRule>
    <cfRule type="cellIs" dxfId="21776" priority="926" operator="greaterThan">
      <formula>1</formula>
    </cfRule>
  </conditionalFormatting>
  <conditionalFormatting sqref="R148:R153">
    <cfRule type="cellIs" dxfId="21775" priority="923" operator="greaterThan">
      <formula>1</formula>
    </cfRule>
    <cfRule type="cellIs" dxfId="21774" priority="924" operator="lessThan">
      <formula>0.8</formula>
    </cfRule>
  </conditionalFormatting>
  <conditionalFormatting sqref="P148:P153">
    <cfRule type="cellIs" dxfId="21773" priority="922" operator="greaterThan">
      <formula>0</formula>
    </cfRule>
  </conditionalFormatting>
  <conditionalFormatting sqref="P148:P153">
    <cfRule type="cellIs" dxfId="21772" priority="916" operator="greaterThan">
      <formula>0</formula>
    </cfRule>
  </conditionalFormatting>
  <conditionalFormatting sqref="Q148:Q153">
    <cfRule type="cellIs" dxfId="21771" priority="921" operator="lessThan">
      <formula>0</formula>
    </cfRule>
  </conditionalFormatting>
  <conditionalFormatting sqref="R148:R153">
    <cfRule type="cellIs" dxfId="21770" priority="919" operator="lessThan">
      <formula>0.8</formula>
    </cfRule>
    <cfRule type="cellIs" dxfId="21769" priority="920" operator="greaterThan">
      <formula>1</formula>
    </cfRule>
  </conditionalFormatting>
  <conditionalFormatting sqref="R148:R153">
    <cfRule type="cellIs" dxfId="21768" priority="917" operator="greaterThan">
      <formula>1</formula>
    </cfRule>
    <cfRule type="cellIs" dxfId="21767" priority="918" operator="lessThan">
      <formula>0.8</formula>
    </cfRule>
  </conditionalFormatting>
  <conditionalFormatting sqref="Q148:Q153">
    <cfRule type="cellIs" dxfId="21766" priority="915" operator="lessThan">
      <formula>0</formula>
    </cfRule>
  </conditionalFormatting>
  <conditionalFormatting sqref="R148:R153">
    <cfRule type="cellIs" dxfId="21765" priority="913" operator="lessThan">
      <formula>0.8</formula>
    </cfRule>
    <cfRule type="cellIs" dxfId="21764" priority="914" operator="greaterThan">
      <formula>1</formula>
    </cfRule>
  </conditionalFormatting>
  <conditionalFormatting sqref="R148:R153">
    <cfRule type="cellIs" dxfId="21763" priority="911" operator="greaterThan">
      <formula>1</formula>
    </cfRule>
    <cfRule type="cellIs" dxfId="21762" priority="912" operator="lessThan">
      <formula>0.8</formula>
    </cfRule>
  </conditionalFormatting>
  <conditionalFormatting sqref="P148:P153">
    <cfRule type="cellIs" dxfId="21761" priority="910" operator="greaterThan">
      <formula>0</formula>
    </cfRule>
  </conditionalFormatting>
  <conditionalFormatting sqref="Q148:Q153">
    <cfRule type="cellIs" dxfId="21760" priority="909" operator="lessThan">
      <formula>0</formula>
    </cfRule>
  </conditionalFormatting>
  <conditionalFormatting sqref="R148:R153">
    <cfRule type="cellIs" dxfId="21759" priority="907" operator="lessThan">
      <formula>0.8</formula>
    </cfRule>
    <cfRule type="cellIs" dxfId="21758" priority="908" operator="greaterThan">
      <formula>1</formula>
    </cfRule>
  </conditionalFormatting>
  <conditionalFormatting sqref="R148:R153">
    <cfRule type="cellIs" dxfId="21757" priority="905" operator="greaterThan">
      <formula>1</formula>
    </cfRule>
    <cfRule type="cellIs" dxfId="21756" priority="906" operator="lessThan">
      <formula>0.8</formula>
    </cfRule>
  </conditionalFormatting>
  <conditionalFormatting sqref="P148:P153">
    <cfRule type="cellIs" dxfId="21755" priority="904" operator="greaterThan">
      <formula>0</formula>
    </cfRule>
  </conditionalFormatting>
  <conditionalFormatting sqref="P148:P153">
    <cfRule type="cellIs" dxfId="21754" priority="898" operator="greaterThan">
      <formula>0</formula>
    </cfRule>
  </conditionalFormatting>
  <conditionalFormatting sqref="Q148:Q153">
    <cfRule type="cellIs" dxfId="21753" priority="903" operator="lessThan">
      <formula>0</formula>
    </cfRule>
  </conditionalFormatting>
  <conditionalFormatting sqref="R148:R153">
    <cfRule type="cellIs" dxfId="21752" priority="901" operator="lessThan">
      <formula>0.8</formula>
    </cfRule>
    <cfRule type="cellIs" dxfId="21751" priority="902" operator="greaterThan">
      <formula>1</formula>
    </cfRule>
  </conditionalFormatting>
  <conditionalFormatting sqref="R148:R153">
    <cfRule type="cellIs" dxfId="21750" priority="899" operator="greaterThan">
      <formula>1</formula>
    </cfRule>
    <cfRule type="cellIs" dxfId="21749" priority="900" operator="lessThan">
      <formula>0.8</formula>
    </cfRule>
  </conditionalFormatting>
  <conditionalFormatting sqref="Q148:Q153">
    <cfRule type="cellIs" dxfId="21748" priority="897" operator="lessThan">
      <formula>0</formula>
    </cfRule>
  </conditionalFormatting>
  <conditionalFormatting sqref="R148:R153">
    <cfRule type="cellIs" dxfId="21747" priority="895" operator="lessThan">
      <formula>0.8</formula>
    </cfRule>
    <cfRule type="cellIs" dxfId="21746" priority="896" operator="greaterThan">
      <formula>1</formula>
    </cfRule>
  </conditionalFormatting>
  <conditionalFormatting sqref="R148:R153">
    <cfRule type="cellIs" dxfId="21745" priority="893" operator="greaterThan">
      <formula>1</formula>
    </cfRule>
    <cfRule type="cellIs" dxfId="21744" priority="894" operator="lessThan">
      <formula>0.8</formula>
    </cfRule>
  </conditionalFormatting>
  <conditionalFormatting sqref="P148:P153">
    <cfRule type="cellIs" dxfId="21743" priority="892" operator="greaterThan">
      <formula>0</formula>
    </cfRule>
  </conditionalFormatting>
  <conditionalFormatting sqref="Q148:Q153">
    <cfRule type="cellIs" dxfId="21742" priority="886" operator="lessThan">
      <formula>0</formula>
    </cfRule>
  </conditionalFormatting>
  <conditionalFormatting sqref="P148:P153">
    <cfRule type="cellIs" dxfId="21741" priority="887" operator="greaterThan">
      <formula>0</formula>
    </cfRule>
  </conditionalFormatting>
  <conditionalFormatting sqref="R148:R153">
    <cfRule type="cellIs" dxfId="21740" priority="890" operator="lessThan">
      <formula>0.8</formula>
    </cfRule>
    <cfRule type="cellIs" dxfId="21739" priority="891" operator="greaterThan">
      <formula>1</formula>
    </cfRule>
  </conditionalFormatting>
  <conditionalFormatting sqref="R148:R153">
    <cfRule type="cellIs" dxfId="21738" priority="888" operator="greaterThan">
      <formula>1</formula>
    </cfRule>
    <cfRule type="cellIs" dxfId="21737" priority="889" operator="lessThan">
      <formula>0.8</formula>
    </cfRule>
  </conditionalFormatting>
  <conditionalFormatting sqref="Q148:Q153">
    <cfRule type="cellIs" dxfId="21736" priority="880" operator="lessThan">
      <formula>0</formula>
    </cfRule>
  </conditionalFormatting>
  <conditionalFormatting sqref="R148:R153">
    <cfRule type="cellIs" dxfId="21735" priority="884" operator="lessThan">
      <formula>0.8</formula>
    </cfRule>
    <cfRule type="cellIs" dxfId="21734" priority="885" operator="greaterThan">
      <formula>1</formula>
    </cfRule>
  </conditionalFormatting>
  <conditionalFormatting sqref="R148:R153">
    <cfRule type="cellIs" dxfId="21733" priority="882" operator="greaterThan">
      <formula>1</formula>
    </cfRule>
    <cfRule type="cellIs" dxfId="21732" priority="883" operator="lessThan">
      <formula>0.8</formula>
    </cfRule>
  </conditionalFormatting>
  <conditionalFormatting sqref="P148:P153">
    <cfRule type="cellIs" dxfId="21731" priority="881" operator="greaterThan">
      <formula>0</formula>
    </cfRule>
  </conditionalFormatting>
  <conditionalFormatting sqref="Q148:Q153">
    <cfRule type="cellIs" dxfId="21730" priority="879" operator="lessThan">
      <formula>0</formula>
    </cfRule>
  </conditionalFormatting>
  <conditionalFormatting sqref="R148:R153">
    <cfRule type="cellIs" dxfId="21729" priority="877" operator="lessThan">
      <formula>0.8</formula>
    </cfRule>
    <cfRule type="cellIs" dxfId="21728" priority="878" operator="greaterThan">
      <formula>1</formula>
    </cfRule>
  </conditionalFormatting>
  <conditionalFormatting sqref="R148:R153">
    <cfRule type="cellIs" dxfId="21727" priority="875" operator="greaterThan">
      <formula>1</formula>
    </cfRule>
    <cfRule type="cellIs" dxfId="21726" priority="876" operator="lessThan">
      <formula>0.8</formula>
    </cfRule>
  </conditionalFormatting>
  <conditionalFormatting sqref="P148:P153">
    <cfRule type="cellIs" dxfId="21725" priority="874" operator="greaterThan">
      <formula>0</formula>
    </cfRule>
  </conditionalFormatting>
  <conditionalFormatting sqref="Q148:Q153">
    <cfRule type="cellIs" dxfId="21724" priority="873" operator="lessThan">
      <formula>0</formula>
    </cfRule>
  </conditionalFormatting>
  <conditionalFormatting sqref="R148:R153">
    <cfRule type="cellIs" dxfId="21723" priority="871" operator="lessThan">
      <formula>0.8</formula>
    </cfRule>
    <cfRule type="cellIs" dxfId="21722" priority="872" operator="greaterThan">
      <formula>1</formula>
    </cfRule>
  </conditionalFormatting>
  <conditionalFormatting sqref="R148:R153">
    <cfRule type="cellIs" dxfId="21721" priority="869" operator="greaterThan">
      <formula>1</formula>
    </cfRule>
    <cfRule type="cellIs" dxfId="21720" priority="870" operator="lessThan">
      <formula>0.8</formula>
    </cfRule>
  </conditionalFormatting>
  <conditionalFormatting sqref="P148:P153">
    <cfRule type="cellIs" dxfId="21719" priority="868" operator="greaterThan">
      <formula>0</formula>
    </cfRule>
  </conditionalFormatting>
  <conditionalFormatting sqref="Q148:Q153">
    <cfRule type="cellIs" dxfId="21718" priority="867" operator="lessThan">
      <formula>0</formula>
    </cfRule>
  </conditionalFormatting>
  <conditionalFormatting sqref="R148:R153">
    <cfRule type="cellIs" dxfId="21717" priority="865" operator="lessThan">
      <formula>0.8</formula>
    </cfRule>
    <cfRule type="cellIs" dxfId="21716" priority="866" operator="greaterThan">
      <formula>1</formula>
    </cfRule>
  </conditionalFormatting>
  <conditionalFormatting sqref="R148:R153">
    <cfRule type="cellIs" dxfId="21715" priority="863" operator="greaterThan">
      <formula>1</formula>
    </cfRule>
    <cfRule type="cellIs" dxfId="21714" priority="864" operator="lessThan">
      <formula>0.8</formula>
    </cfRule>
  </conditionalFormatting>
  <conditionalFormatting sqref="P148:P153">
    <cfRule type="cellIs" dxfId="21713" priority="862" operator="greaterThan">
      <formula>0</formula>
    </cfRule>
  </conditionalFormatting>
  <conditionalFormatting sqref="Q148:Q153">
    <cfRule type="cellIs" dxfId="21712" priority="861" operator="lessThan">
      <formula>0</formula>
    </cfRule>
  </conditionalFormatting>
  <conditionalFormatting sqref="R148:R153">
    <cfRule type="cellIs" dxfId="21711" priority="859" operator="lessThan">
      <formula>0.8</formula>
    </cfRule>
    <cfRule type="cellIs" dxfId="21710" priority="860" operator="greaterThan">
      <formula>1</formula>
    </cfRule>
  </conditionalFormatting>
  <conditionalFormatting sqref="R148:R153">
    <cfRule type="cellIs" dxfId="21709" priority="857" operator="greaterThan">
      <formula>1</formula>
    </cfRule>
    <cfRule type="cellIs" dxfId="21708" priority="858" operator="lessThan">
      <formula>0.8</formula>
    </cfRule>
  </conditionalFormatting>
  <conditionalFormatting sqref="P148:P153">
    <cfRule type="cellIs" dxfId="21707" priority="856" operator="greaterThan">
      <formula>0</formula>
    </cfRule>
  </conditionalFormatting>
  <conditionalFormatting sqref="Q148:Q153">
    <cfRule type="cellIs" dxfId="21706" priority="855" operator="lessThan">
      <formula>0</formula>
    </cfRule>
  </conditionalFormatting>
  <conditionalFormatting sqref="R148:R153">
    <cfRule type="cellIs" dxfId="21705" priority="853" operator="lessThan">
      <formula>0.8</formula>
    </cfRule>
    <cfRule type="cellIs" dxfId="21704" priority="854" operator="greaterThan">
      <formula>1</formula>
    </cfRule>
  </conditionalFormatting>
  <conditionalFormatting sqref="R148:R153">
    <cfRule type="cellIs" dxfId="21703" priority="851" operator="greaterThan">
      <formula>1</formula>
    </cfRule>
    <cfRule type="cellIs" dxfId="21702" priority="852" operator="lessThan">
      <formula>0.8</formula>
    </cfRule>
  </conditionalFormatting>
  <conditionalFormatting sqref="P148:P153">
    <cfRule type="cellIs" dxfId="21701" priority="850" operator="greaterThan">
      <formula>0</formula>
    </cfRule>
  </conditionalFormatting>
  <conditionalFormatting sqref="Q148:Q153">
    <cfRule type="cellIs" dxfId="21700" priority="849" operator="lessThan">
      <formula>0</formula>
    </cfRule>
  </conditionalFormatting>
  <conditionalFormatting sqref="R148:R153">
    <cfRule type="cellIs" dxfId="21699" priority="847" operator="lessThan">
      <formula>0.8</formula>
    </cfRule>
    <cfRule type="cellIs" dxfId="21698" priority="848" operator="greaterThan">
      <formula>1</formula>
    </cfRule>
  </conditionalFormatting>
  <conditionalFormatting sqref="R148:R153">
    <cfRule type="cellIs" dxfId="21697" priority="845" operator="greaterThan">
      <formula>1</formula>
    </cfRule>
    <cfRule type="cellIs" dxfId="21696" priority="846" operator="lessThan">
      <formula>0.8</formula>
    </cfRule>
  </conditionalFormatting>
  <conditionalFormatting sqref="P148:P153">
    <cfRule type="cellIs" dxfId="21695" priority="844" operator="greaterThan">
      <formula>0</formula>
    </cfRule>
  </conditionalFormatting>
  <conditionalFormatting sqref="Q148:Q153">
    <cfRule type="cellIs" dxfId="21694" priority="843" operator="lessThan">
      <formula>0</formula>
    </cfRule>
  </conditionalFormatting>
  <conditionalFormatting sqref="R148:R153">
    <cfRule type="cellIs" dxfId="21693" priority="841" operator="lessThan">
      <formula>0.8</formula>
    </cfRule>
    <cfRule type="cellIs" dxfId="21692" priority="842" operator="greaterThan">
      <formula>1</formula>
    </cfRule>
  </conditionalFormatting>
  <conditionalFormatting sqref="R148:R153">
    <cfRule type="cellIs" dxfId="21691" priority="839" operator="greaterThan">
      <formula>1</formula>
    </cfRule>
    <cfRule type="cellIs" dxfId="21690" priority="840" operator="lessThan">
      <formula>0.8</formula>
    </cfRule>
  </conditionalFormatting>
  <conditionalFormatting sqref="P148:P153">
    <cfRule type="cellIs" dxfId="21689" priority="838" operator="greaterThan">
      <formula>0</formula>
    </cfRule>
  </conditionalFormatting>
  <conditionalFormatting sqref="P148:P153">
    <cfRule type="cellIs" dxfId="21688" priority="832" operator="greaterThan">
      <formula>0</formula>
    </cfRule>
  </conditionalFormatting>
  <conditionalFormatting sqref="Q148:Q153">
    <cfRule type="cellIs" dxfId="21687" priority="837" operator="lessThan">
      <formula>0</formula>
    </cfRule>
  </conditionalFormatting>
  <conditionalFormatting sqref="R148:R153">
    <cfRule type="cellIs" dxfId="21686" priority="835" operator="lessThan">
      <formula>0.8</formula>
    </cfRule>
    <cfRule type="cellIs" dxfId="21685" priority="836" operator="greaterThan">
      <formula>1</formula>
    </cfRule>
  </conditionalFormatting>
  <conditionalFormatting sqref="R148:R153">
    <cfRule type="cellIs" dxfId="21684" priority="833" operator="greaterThan">
      <formula>1</formula>
    </cfRule>
    <cfRule type="cellIs" dxfId="21683" priority="834" operator="lessThan">
      <formula>0.8</formula>
    </cfRule>
  </conditionalFormatting>
  <conditionalFormatting sqref="P148:P153">
    <cfRule type="cellIs" dxfId="21682" priority="826" operator="greaterThan">
      <formula>0</formula>
    </cfRule>
  </conditionalFormatting>
  <conditionalFormatting sqref="Q148:Q153">
    <cfRule type="cellIs" dxfId="21681" priority="831" operator="lessThan">
      <formula>0</formula>
    </cfRule>
  </conditionalFormatting>
  <conditionalFormatting sqref="R148:R153">
    <cfRule type="cellIs" dxfId="21680" priority="829" operator="lessThan">
      <formula>0.8</formula>
    </cfRule>
    <cfRule type="cellIs" dxfId="21679" priority="830" operator="greaterThan">
      <formula>1</formula>
    </cfRule>
  </conditionalFormatting>
  <conditionalFormatting sqref="R148:R153">
    <cfRule type="cellIs" dxfId="21678" priority="827" operator="greaterThan">
      <formula>1</formula>
    </cfRule>
    <cfRule type="cellIs" dxfId="21677" priority="828" operator="lessThan">
      <formula>0.8</formula>
    </cfRule>
  </conditionalFormatting>
  <conditionalFormatting sqref="R148:R153">
    <cfRule type="cellIs" dxfId="21676" priority="823" operator="lessThan">
      <formula>0.8</formula>
    </cfRule>
    <cfRule type="cellIs" dxfId="21675" priority="824" operator="greaterThan">
      <formula>1</formula>
    </cfRule>
  </conditionalFormatting>
  <conditionalFormatting sqref="R148:R153">
    <cfRule type="cellIs" dxfId="21674" priority="821" operator="greaterThan">
      <formula>1</formula>
    </cfRule>
    <cfRule type="cellIs" dxfId="21673" priority="822" operator="lessThan">
      <formula>0.8</formula>
    </cfRule>
  </conditionalFormatting>
  <conditionalFormatting sqref="P148:P153">
    <cfRule type="cellIs" dxfId="21672" priority="820" operator="greaterThan">
      <formula>0</formula>
    </cfRule>
  </conditionalFormatting>
  <conditionalFormatting sqref="Q148:Q153">
    <cfRule type="cellIs" dxfId="21671" priority="825" operator="lessThan">
      <formula>0</formula>
    </cfRule>
  </conditionalFormatting>
  <conditionalFormatting sqref="Q148:Q153">
    <cfRule type="cellIs" dxfId="21670" priority="819" operator="lessThan">
      <formula>0</formula>
    </cfRule>
  </conditionalFormatting>
  <conditionalFormatting sqref="R148:R153">
    <cfRule type="cellIs" dxfId="21669" priority="817" operator="lessThan">
      <formula>0.8</formula>
    </cfRule>
    <cfRule type="cellIs" dxfId="21668" priority="818" operator="greaterThan">
      <formula>1</formula>
    </cfRule>
  </conditionalFormatting>
  <conditionalFormatting sqref="R148:R153">
    <cfRule type="cellIs" dxfId="21667" priority="815" operator="greaterThan">
      <formula>1</formula>
    </cfRule>
    <cfRule type="cellIs" dxfId="21666" priority="816" operator="lessThan">
      <formula>0.8</formula>
    </cfRule>
  </conditionalFormatting>
  <conditionalFormatting sqref="P148:P153">
    <cfRule type="cellIs" dxfId="21665" priority="814" operator="greaterThan">
      <formula>0</formula>
    </cfRule>
  </conditionalFormatting>
  <conditionalFormatting sqref="P148:P153">
    <cfRule type="cellIs" dxfId="21664" priority="808" operator="greaterThan">
      <formula>0</formula>
    </cfRule>
  </conditionalFormatting>
  <conditionalFormatting sqref="Q148:Q153">
    <cfRule type="cellIs" dxfId="21663" priority="813" operator="lessThan">
      <formula>0</formula>
    </cfRule>
  </conditionalFormatting>
  <conditionalFormatting sqref="R148:R153">
    <cfRule type="cellIs" dxfId="21662" priority="811" operator="lessThan">
      <formula>0.8</formula>
    </cfRule>
    <cfRule type="cellIs" dxfId="21661" priority="812" operator="greaterThan">
      <formula>1</formula>
    </cfRule>
  </conditionalFormatting>
  <conditionalFormatting sqref="R148:R153">
    <cfRule type="cellIs" dxfId="21660" priority="809" operator="greaterThan">
      <formula>1</formula>
    </cfRule>
    <cfRule type="cellIs" dxfId="21659" priority="810" operator="lessThan">
      <formula>0.8</formula>
    </cfRule>
  </conditionalFormatting>
  <conditionalFormatting sqref="P148:P153">
    <cfRule type="cellIs" dxfId="21658" priority="802" operator="greaterThan">
      <formula>0</formula>
    </cfRule>
  </conditionalFormatting>
  <conditionalFormatting sqref="Q148:Q153">
    <cfRule type="cellIs" dxfId="21657" priority="807" operator="lessThan">
      <formula>0</formula>
    </cfRule>
  </conditionalFormatting>
  <conditionalFormatting sqref="R148:R153">
    <cfRule type="cellIs" dxfId="21656" priority="805" operator="lessThan">
      <formula>0.8</formula>
    </cfRule>
    <cfRule type="cellIs" dxfId="21655" priority="806" operator="greaterThan">
      <formula>1</formula>
    </cfRule>
  </conditionalFormatting>
  <conditionalFormatting sqref="R148:R153">
    <cfRule type="cellIs" dxfId="21654" priority="803" operator="greaterThan">
      <formula>1</formula>
    </cfRule>
    <cfRule type="cellIs" dxfId="21653" priority="804" operator="lessThan">
      <formula>0.8</formula>
    </cfRule>
  </conditionalFormatting>
  <conditionalFormatting sqref="R148:R153">
    <cfRule type="cellIs" dxfId="21652" priority="799" operator="lessThan">
      <formula>0.8</formula>
    </cfRule>
    <cfRule type="cellIs" dxfId="21651" priority="800" operator="greaterThan">
      <formula>1</formula>
    </cfRule>
  </conditionalFormatting>
  <conditionalFormatting sqref="R148:R153">
    <cfRule type="cellIs" dxfId="21650" priority="797" operator="greaterThan">
      <formula>1</formula>
    </cfRule>
    <cfRule type="cellIs" dxfId="21649" priority="798" operator="lessThan">
      <formula>0.8</formula>
    </cfRule>
  </conditionalFormatting>
  <conditionalFormatting sqref="P148:P153">
    <cfRule type="cellIs" dxfId="21648" priority="796" operator="greaterThan">
      <formula>0</formula>
    </cfRule>
  </conditionalFormatting>
  <conditionalFormatting sqref="Q148:Q153">
    <cfRule type="cellIs" dxfId="21647" priority="801" operator="lessThan">
      <formula>0</formula>
    </cfRule>
  </conditionalFormatting>
  <conditionalFormatting sqref="P148:P153">
    <cfRule type="cellIs" dxfId="21646" priority="790" operator="greaterThan">
      <formula>0</formula>
    </cfRule>
  </conditionalFormatting>
  <conditionalFormatting sqref="Q148:Q153">
    <cfRule type="cellIs" dxfId="21645" priority="795" operator="lessThan">
      <formula>0</formula>
    </cfRule>
  </conditionalFormatting>
  <conditionalFormatting sqref="R148:R153">
    <cfRule type="cellIs" dxfId="21644" priority="793" operator="lessThan">
      <formula>0.8</formula>
    </cfRule>
    <cfRule type="cellIs" dxfId="21643" priority="794" operator="greaterThan">
      <formula>1</formula>
    </cfRule>
  </conditionalFormatting>
  <conditionalFormatting sqref="R148:R153">
    <cfRule type="cellIs" dxfId="21642" priority="791" operator="greaterThan">
      <formula>1</formula>
    </cfRule>
    <cfRule type="cellIs" dxfId="21641" priority="792" operator="lessThan">
      <formula>0.8</formula>
    </cfRule>
  </conditionalFormatting>
  <conditionalFormatting sqref="R148:R153">
    <cfRule type="cellIs" dxfId="21640" priority="787" operator="lessThan">
      <formula>0.8</formula>
    </cfRule>
    <cfRule type="cellIs" dxfId="21639" priority="788" operator="greaterThan">
      <formula>1</formula>
    </cfRule>
  </conditionalFormatting>
  <conditionalFormatting sqref="R148:R153">
    <cfRule type="cellIs" dxfId="21638" priority="785" operator="greaterThan">
      <formula>1</formula>
    </cfRule>
    <cfRule type="cellIs" dxfId="21637" priority="786" operator="lessThan">
      <formula>0.8</formula>
    </cfRule>
  </conditionalFormatting>
  <conditionalFormatting sqref="P148:P153">
    <cfRule type="cellIs" dxfId="21636" priority="784" operator="greaterThan">
      <formula>0</formula>
    </cfRule>
  </conditionalFormatting>
  <conditionalFormatting sqref="Q148:Q153">
    <cfRule type="cellIs" dxfId="21635" priority="789" operator="lessThan">
      <formula>0</formula>
    </cfRule>
  </conditionalFormatting>
  <conditionalFormatting sqref="R148:R153">
    <cfRule type="cellIs" dxfId="21634" priority="781" operator="lessThan">
      <formula>0.8</formula>
    </cfRule>
    <cfRule type="cellIs" dxfId="21633" priority="782" operator="greaterThan">
      <formula>1</formula>
    </cfRule>
  </conditionalFormatting>
  <conditionalFormatting sqref="R148:R153">
    <cfRule type="cellIs" dxfId="21632" priority="779" operator="greaterThan">
      <formula>1</formula>
    </cfRule>
    <cfRule type="cellIs" dxfId="21631" priority="780" operator="lessThan">
      <formula>0.8</formula>
    </cfRule>
  </conditionalFormatting>
  <conditionalFormatting sqref="P148:P153">
    <cfRule type="cellIs" dxfId="21630" priority="778" operator="greaterThan">
      <formula>0</formula>
    </cfRule>
  </conditionalFormatting>
  <conditionalFormatting sqref="Q148:Q153">
    <cfRule type="cellIs" dxfId="21629" priority="783" operator="lessThan">
      <formula>0</formula>
    </cfRule>
  </conditionalFormatting>
  <conditionalFormatting sqref="Q148:Q153">
    <cfRule type="cellIs" dxfId="21628" priority="777" operator="lessThan">
      <formula>0</formula>
    </cfRule>
  </conditionalFormatting>
  <conditionalFormatting sqref="R148:R153">
    <cfRule type="cellIs" dxfId="21627" priority="775" operator="lessThan">
      <formula>0.8</formula>
    </cfRule>
    <cfRule type="cellIs" dxfId="21626" priority="776" operator="greaterThan">
      <formula>1</formula>
    </cfRule>
  </conditionalFormatting>
  <conditionalFormatting sqref="R148:R153">
    <cfRule type="cellIs" dxfId="21625" priority="773" operator="greaterThan">
      <formula>1</formula>
    </cfRule>
    <cfRule type="cellIs" dxfId="21624" priority="774" operator="lessThan">
      <formula>0.8</formula>
    </cfRule>
  </conditionalFormatting>
  <conditionalFormatting sqref="P148:P153">
    <cfRule type="cellIs" dxfId="21623" priority="772" operator="greaterThan">
      <formula>0</formula>
    </cfRule>
  </conditionalFormatting>
  <conditionalFormatting sqref="Q148:Q153">
    <cfRule type="cellIs" dxfId="21622" priority="766" operator="lessThan">
      <formula>0</formula>
    </cfRule>
  </conditionalFormatting>
  <conditionalFormatting sqref="R148:R153">
    <cfRule type="cellIs" dxfId="21621" priority="770" operator="lessThan">
      <formula>0.8</formula>
    </cfRule>
    <cfRule type="cellIs" dxfId="21620" priority="771" operator="greaterThan">
      <formula>1</formula>
    </cfRule>
  </conditionalFormatting>
  <conditionalFormatting sqref="R148:R153">
    <cfRule type="cellIs" dxfId="21619" priority="768" operator="greaterThan">
      <formula>1</formula>
    </cfRule>
    <cfRule type="cellIs" dxfId="21618" priority="769" operator="lessThan">
      <formula>0.8</formula>
    </cfRule>
  </conditionalFormatting>
  <conditionalFormatting sqref="P148:P153">
    <cfRule type="cellIs" dxfId="21617" priority="767" operator="greaterThan">
      <formula>0</formula>
    </cfRule>
  </conditionalFormatting>
  <conditionalFormatting sqref="Q148:Q153">
    <cfRule type="cellIs" dxfId="21616" priority="765" operator="lessThan">
      <formula>0</formula>
    </cfRule>
  </conditionalFormatting>
  <conditionalFormatting sqref="R148:R153">
    <cfRule type="cellIs" dxfId="21615" priority="763" operator="lessThan">
      <formula>0.8</formula>
    </cfRule>
    <cfRule type="cellIs" dxfId="21614" priority="764" operator="greaterThan">
      <formula>1</formula>
    </cfRule>
  </conditionalFormatting>
  <conditionalFormatting sqref="R148:R153">
    <cfRule type="cellIs" dxfId="21613" priority="761" operator="greaterThan">
      <formula>1</formula>
    </cfRule>
    <cfRule type="cellIs" dxfId="21612" priority="762" operator="lessThan">
      <formula>0.8</formula>
    </cfRule>
  </conditionalFormatting>
  <conditionalFormatting sqref="P148:P153">
    <cfRule type="cellIs" dxfId="21611" priority="760" operator="greaterThan">
      <formula>0</formula>
    </cfRule>
  </conditionalFormatting>
  <conditionalFormatting sqref="Q148:Q153">
    <cfRule type="cellIs" dxfId="21610" priority="759" operator="lessThan">
      <formula>0</formula>
    </cfRule>
  </conditionalFormatting>
  <conditionalFormatting sqref="R148:R153">
    <cfRule type="cellIs" dxfId="21609" priority="757" operator="lessThan">
      <formula>0.8</formula>
    </cfRule>
    <cfRule type="cellIs" dxfId="21608" priority="758" operator="greaterThan">
      <formula>1</formula>
    </cfRule>
  </conditionalFormatting>
  <conditionalFormatting sqref="R148:R153">
    <cfRule type="cellIs" dxfId="21607" priority="755" operator="greaterThan">
      <formula>1</formula>
    </cfRule>
    <cfRule type="cellIs" dxfId="21606" priority="756" operator="lessThan">
      <formula>0.8</formula>
    </cfRule>
  </conditionalFormatting>
  <conditionalFormatting sqref="P148:P153">
    <cfRule type="cellIs" dxfId="21605" priority="754" operator="greaterThan">
      <formula>0</formula>
    </cfRule>
  </conditionalFormatting>
  <conditionalFormatting sqref="Q148:Q153">
    <cfRule type="cellIs" dxfId="21604" priority="753" operator="lessThan">
      <formula>0</formula>
    </cfRule>
  </conditionalFormatting>
  <conditionalFormatting sqref="R148:R153">
    <cfRule type="cellIs" dxfId="21603" priority="751" operator="lessThan">
      <formula>0.8</formula>
    </cfRule>
    <cfRule type="cellIs" dxfId="21602" priority="752" operator="greaterThan">
      <formula>1</formula>
    </cfRule>
  </conditionalFormatting>
  <conditionalFormatting sqref="R148:R153">
    <cfRule type="cellIs" dxfId="21601" priority="749" operator="greaterThan">
      <formula>1</formula>
    </cfRule>
    <cfRule type="cellIs" dxfId="21600" priority="750" operator="lessThan">
      <formula>0.8</formula>
    </cfRule>
  </conditionalFormatting>
  <conditionalFormatting sqref="P148:P153">
    <cfRule type="cellIs" dxfId="21599" priority="748" operator="greaterThan">
      <formula>0</formula>
    </cfRule>
  </conditionalFormatting>
  <conditionalFormatting sqref="Q148:Q153">
    <cfRule type="cellIs" dxfId="21598" priority="747" operator="lessThan">
      <formula>0</formula>
    </cfRule>
  </conditionalFormatting>
  <conditionalFormatting sqref="R148:R153">
    <cfRule type="cellIs" dxfId="21597" priority="745" operator="lessThan">
      <formula>0.8</formula>
    </cfRule>
    <cfRule type="cellIs" dxfId="21596" priority="746" operator="greaterThan">
      <formula>1</formula>
    </cfRule>
  </conditionalFormatting>
  <conditionalFormatting sqref="R148:R153">
    <cfRule type="cellIs" dxfId="21595" priority="743" operator="greaterThan">
      <formula>1</formula>
    </cfRule>
    <cfRule type="cellIs" dxfId="21594" priority="744" operator="lessThan">
      <formula>0.8</formula>
    </cfRule>
  </conditionalFormatting>
  <conditionalFormatting sqref="P148:P153">
    <cfRule type="cellIs" dxfId="21593" priority="742" operator="greaterThan">
      <formula>0</formula>
    </cfRule>
  </conditionalFormatting>
  <conditionalFormatting sqref="Q148:Q153">
    <cfRule type="cellIs" dxfId="21592" priority="741" operator="lessThan">
      <formula>0</formula>
    </cfRule>
  </conditionalFormatting>
  <conditionalFormatting sqref="R148:R153">
    <cfRule type="cellIs" dxfId="21591" priority="739" operator="lessThan">
      <formula>0.8</formula>
    </cfRule>
    <cfRule type="cellIs" dxfId="21590" priority="740" operator="greaterThan">
      <formula>1</formula>
    </cfRule>
  </conditionalFormatting>
  <conditionalFormatting sqref="R148:R153">
    <cfRule type="cellIs" dxfId="21589" priority="737" operator="greaterThan">
      <formula>1</formula>
    </cfRule>
    <cfRule type="cellIs" dxfId="21588" priority="738" operator="lessThan">
      <formula>0.8</formula>
    </cfRule>
  </conditionalFormatting>
  <conditionalFormatting sqref="P148:P153">
    <cfRule type="cellIs" dxfId="21587" priority="736" operator="greaterThan">
      <formula>0</formula>
    </cfRule>
  </conditionalFormatting>
  <conditionalFormatting sqref="P148:P153">
    <cfRule type="cellIs" dxfId="21586" priority="730" operator="greaterThan">
      <formula>0</formula>
    </cfRule>
  </conditionalFormatting>
  <conditionalFormatting sqref="Q148:Q153">
    <cfRule type="cellIs" dxfId="21585" priority="735" operator="lessThan">
      <formula>0</formula>
    </cfRule>
  </conditionalFormatting>
  <conditionalFormatting sqref="R148:R153">
    <cfRule type="cellIs" dxfId="21584" priority="733" operator="lessThan">
      <formula>0.8</formula>
    </cfRule>
    <cfRule type="cellIs" dxfId="21583" priority="734" operator="greaterThan">
      <formula>1</formula>
    </cfRule>
  </conditionalFormatting>
  <conditionalFormatting sqref="R148:R153">
    <cfRule type="cellIs" dxfId="21582" priority="731" operator="greaterThan">
      <formula>1</formula>
    </cfRule>
    <cfRule type="cellIs" dxfId="21581" priority="732" operator="lessThan">
      <formula>0.8</formula>
    </cfRule>
  </conditionalFormatting>
  <conditionalFormatting sqref="P148:P153">
    <cfRule type="cellIs" dxfId="21580" priority="724" operator="greaterThan">
      <formula>0</formula>
    </cfRule>
  </conditionalFormatting>
  <conditionalFormatting sqref="Q148:Q153">
    <cfRule type="cellIs" dxfId="21579" priority="729" operator="lessThan">
      <formula>0</formula>
    </cfRule>
  </conditionalFormatting>
  <conditionalFormatting sqref="R148:R153">
    <cfRule type="cellIs" dxfId="21578" priority="727" operator="lessThan">
      <formula>0.8</formula>
    </cfRule>
    <cfRule type="cellIs" dxfId="21577" priority="728" operator="greaterThan">
      <formula>1</formula>
    </cfRule>
  </conditionalFormatting>
  <conditionalFormatting sqref="R148:R153">
    <cfRule type="cellIs" dxfId="21576" priority="725" operator="greaterThan">
      <formula>1</formula>
    </cfRule>
    <cfRule type="cellIs" dxfId="21575" priority="726" operator="lessThan">
      <formula>0.8</formula>
    </cfRule>
  </conditionalFormatting>
  <conditionalFormatting sqref="R148:R153">
    <cfRule type="cellIs" dxfId="21574" priority="721" operator="lessThan">
      <formula>0.8</formula>
    </cfRule>
    <cfRule type="cellIs" dxfId="21573" priority="722" operator="greaterThan">
      <formula>1</formula>
    </cfRule>
  </conditionalFormatting>
  <conditionalFormatting sqref="R148:R153">
    <cfRule type="cellIs" dxfId="21572" priority="719" operator="greaterThan">
      <formula>1</formula>
    </cfRule>
    <cfRule type="cellIs" dxfId="21571" priority="720" operator="lessThan">
      <formula>0.8</formula>
    </cfRule>
  </conditionalFormatting>
  <conditionalFormatting sqref="P148:P153">
    <cfRule type="cellIs" dxfId="21570" priority="718" operator="greaterThan">
      <formula>0</formula>
    </cfRule>
  </conditionalFormatting>
  <conditionalFormatting sqref="Q148:Q153">
    <cfRule type="cellIs" dxfId="21569" priority="723" operator="lessThan">
      <formula>0</formula>
    </cfRule>
  </conditionalFormatting>
  <conditionalFormatting sqref="P44:P51">
    <cfRule type="cellIs" dxfId="21568" priority="712" operator="greaterThan">
      <formula>0</formula>
    </cfRule>
  </conditionalFormatting>
  <conditionalFormatting sqref="Q44:Q51">
    <cfRule type="cellIs" dxfId="21567" priority="717" operator="lessThan">
      <formula>0</formula>
    </cfRule>
  </conditionalFormatting>
  <conditionalFormatting sqref="R44:R51">
    <cfRule type="cellIs" dxfId="21566" priority="715" operator="lessThan">
      <formula>0.8</formula>
    </cfRule>
    <cfRule type="cellIs" dxfId="21565" priority="716" operator="greaterThan">
      <formula>1</formula>
    </cfRule>
  </conditionalFormatting>
  <conditionalFormatting sqref="R44:R51">
    <cfRule type="cellIs" dxfId="21564" priority="713" operator="greaterThan">
      <formula>1</formula>
    </cfRule>
    <cfRule type="cellIs" dxfId="21563" priority="714" operator="lessThan">
      <formula>0.8</formula>
    </cfRule>
  </conditionalFormatting>
  <conditionalFormatting sqref="Q84:Q91">
    <cfRule type="cellIs" dxfId="21562" priority="711" operator="lessThan">
      <formula>0</formula>
    </cfRule>
  </conditionalFormatting>
  <conditionalFormatting sqref="R84:R91">
    <cfRule type="cellIs" dxfId="21561" priority="709" operator="lessThan">
      <formula>0.8</formula>
    </cfRule>
    <cfRule type="cellIs" dxfId="21560" priority="710" operator="greaterThan">
      <formula>1</formula>
    </cfRule>
  </conditionalFormatting>
  <conditionalFormatting sqref="R84:R91">
    <cfRule type="cellIs" dxfId="21559" priority="707" operator="greaterThan">
      <formula>1</formula>
    </cfRule>
    <cfRule type="cellIs" dxfId="21558" priority="708" operator="lessThan">
      <formula>0.8</formula>
    </cfRule>
  </conditionalFormatting>
  <conditionalFormatting sqref="P84:P91">
    <cfRule type="cellIs" dxfId="21557" priority="706" operator="greaterThan">
      <formula>0</formula>
    </cfRule>
  </conditionalFormatting>
  <conditionalFormatting sqref="Q84:Q91">
    <cfRule type="cellIs" dxfId="21556" priority="705" operator="lessThan">
      <formula>0</formula>
    </cfRule>
  </conditionalFormatting>
  <conditionalFormatting sqref="R84:R91">
    <cfRule type="cellIs" dxfId="21555" priority="703" operator="lessThan">
      <formula>0.8</formula>
    </cfRule>
    <cfRule type="cellIs" dxfId="21554" priority="704" operator="greaterThan">
      <formula>1</formula>
    </cfRule>
  </conditionalFormatting>
  <conditionalFormatting sqref="R84:R91">
    <cfRule type="cellIs" dxfId="21553" priority="701" operator="greaterThan">
      <formula>1</formula>
    </cfRule>
    <cfRule type="cellIs" dxfId="21552" priority="702" operator="lessThan">
      <formula>0.8</formula>
    </cfRule>
  </conditionalFormatting>
  <conditionalFormatting sqref="P84:P91">
    <cfRule type="cellIs" dxfId="21551" priority="700" operator="greaterThan">
      <formula>0</formula>
    </cfRule>
  </conditionalFormatting>
  <conditionalFormatting sqref="Q84:Q91">
    <cfRule type="cellIs" dxfId="21550" priority="699" operator="lessThan">
      <formula>0</formula>
    </cfRule>
  </conditionalFormatting>
  <conditionalFormatting sqref="R84:R91">
    <cfRule type="cellIs" dxfId="21549" priority="697" operator="lessThan">
      <formula>0.8</formula>
    </cfRule>
    <cfRule type="cellIs" dxfId="21548" priority="698" operator="greaterThan">
      <formula>1</formula>
    </cfRule>
  </conditionalFormatting>
  <conditionalFormatting sqref="R84:R91">
    <cfRule type="cellIs" dxfId="21547" priority="695" operator="greaterThan">
      <formula>1</formula>
    </cfRule>
    <cfRule type="cellIs" dxfId="21546" priority="696" operator="lessThan">
      <formula>0.8</formula>
    </cfRule>
  </conditionalFormatting>
  <conditionalFormatting sqref="P84:P91">
    <cfRule type="cellIs" dxfId="21545" priority="694" operator="greaterThan">
      <formula>0</formula>
    </cfRule>
  </conditionalFormatting>
  <conditionalFormatting sqref="Q84:Q91">
    <cfRule type="cellIs" dxfId="21544" priority="693" operator="lessThan">
      <formula>0</formula>
    </cfRule>
  </conditionalFormatting>
  <conditionalFormatting sqref="R84:R91">
    <cfRule type="cellIs" dxfId="21543" priority="691" operator="lessThan">
      <formula>0.8</formula>
    </cfRule>
    <cfRule type="cellIs" dxfId="21542" priority="692" operator="greaterThan">
      <formula>1</formula>
    </cfRule>
  </conditionalFormatting>
  <conditionalFormatting sqref="R84:R91">
    <cfRule type="cellIs" dxfId="21541" priority="689" operator="greaterThan">
      <formula>1</formula>
    </cfRule>
    <cfRule type="cellIs" dxfId="21540" priority="690" operator="lessThan">
      <formula>0.8</formula>
    </cfRule>
  </conditionalFormatting>
  <conditionalFormatting sqref="P84:P91">
    <cfRule type="cellIs" dxfId="21539" priority="688" operator="greaterThan">
      <formula>0</formula>
    </cfRule>
  </conditionalFormatting>
  <conditionalFormatting sqref="P84:P91">
    <cfRule type="cellIs" dxfId="21538" priority="682" operator="greaterThan">
      <formula>0</formula>
    </cfRule>
  </conditionalFormatting>
  <conditionalFormatting sqref="Q84:Q91">
    <cfRule type="cellIs" dxfId="21537" priority="687" operator="lessThan">
      <formula>0</formula>
    </cfRule>
  </conditionalFormatting>
  <conditionalFormatting sqref="R84:R91">
    <cfRule type="cellIs" dxfId="21536" priority="685" operator="lessThan">
      <formula>0.8</formula>
    </cfRule>
    <cfRule type="cellIs" dxfId="21535" priority="686" operator="greaterThan">
      <formula>1</formula>
    </cfRule>
  </conditionalFormatting>
  <conditionalFormatting sqref="R84:R91">
    <cfRule type="cellIs" dxfId="21534" priority="683" operator="greaterThan">
      <formula>1</formula>
    </cfRule>
    <cfRule type="cellIs" dxfId="21533" priority="684" operator="lessThan">
      <formula>0.8</formula>
    </cfRule>
  </conditionalFormatting>
  <conditionalFormatting sqref="P84:P91">
    <cfRule type="cellIs" dxfId="21532" priority="676" operator="greaterThan">
      <formula>0</formula>
    </cfRule>
  </conditionalFormatting>
  <conditionalFormatting sqref="Q84:Q91">
    <cfRule type="cellIs" dxfId="21531" priority="681" operator="lessThan">
      <formula>0</formula>
    </cfRule>
  </conditionalFormatting>
  <conditionalFormatting sqref="R84:R91">
    <cfRule type="cellIs" dxfId="21530" priority="679" operator="lessThan">
      <formula>0.8</formula>
    </cfRule>
    <cfRule type="cellIs" dxfId="21529" priority="680" operator="greaterThan">
      <formula>1</formula>
    </cfRule>
  </conditionalFormatting>
  <conditionalFormatting sqref="R84:R91">
    <cfRule type="cellIs" dxfId="21528" priority="677" operator="greaterThan">
      <formula>1</formula>
    </cfRule>
    <cfRule type="cellIs" dxfId="21527" priority="678" operator="lessThan">
      <formula>0.8</formula>
    </cfRule>
  </conditionalFormatting>
  <conditionalFormatting sqref="R84:R91">
    <cfRule type="cellIs" dxfId="21526" priority="673" operator="lessThan">
      <formula>0.8</formula>
    </cfRule>
    <cfRule type="cellIs" dxfId="21525" priority="674" operator="greaterThan">
      <formula>1</formula>
    </cfRule>
  </conditionalFormatting>
  <conditionalFormatting sqref="R84:R91">
    <cfRule type="cellIs" dxfId="21524" priority="671" operator="greaterThan">
      <formula>1</formula>
    </cfRule>
    <cfRule type="cellIs" dxfId="21523" priority="672" operator="lessThan">
      <formula>0.8</formula>
    </cfRule>
  </conditionalFormatting>
  <conditionalFormatting sqref="P84:P91">
    <cfRule type="cellIs" dxfId="21522" priority="670" operator="greaterThan">
      <formula>0</formula>
    </cfRule>
  </conditionalFormatting>
  <conditionalFormatting sqref="Q84:Q91">
    <cfRule type="cellIs" dxfId="21521" priority="675" operator="lessThan">
      <formula>0</formula>
    </cfRule>
  </conditionalFormatting>
  <conditionalFormatting sqref="Q84:Q91">
    <cfRule type="cellIs" dxfId="21520" priority="669" operator="lessThan">
      <formula>0</formula>
    </cfRule>
  </conditionalFormatting>
  <conditionalFormatting sqref="R84:R91">
    <cfRule type="cellIs" dxfId="21519" priority="667" operator="lessThan">
      <formula>0.8</formula>
    </cfRule>
    <cfRule type="cellIs" dxfId="21518" priority="668" operator="greaterThan">
      <formula>1</formula>
    </cfRule>
  </conditionalFormatting>
  <conditionalFormatting sqref="R84:R91">
    <cfRule type="cellIs" dxfId="21517" priority="665" operator="greaterThan">
      <formula>1</formula>
    </cfRule>
    <cfRule type="cellIs" dxfId="21516" priority="666" operator="lessThan">
      <formula>0.8</formula>
    </cfRule>
  </conditionalFormatting>
  <conditionalFormatting sqref="P84:P91">
    <cfRule type="cellIs" dxfId="21515" priority="664" operator="greaterThan">
      <formula>0</formula>
    </cfRule>
  </conditionalFormatting>
  <conditionalFormatting sqref="P84:P91">
    <cfRule type="cellIs" dxfId="21514" priority="658" operator="greaterThan">
      <formula>0</formula>
    </cfRule>
  </conditionalFormatting>
  <conditionalFormatting sqref="Q84:Q91">
    <cfRule type="cellIs" dxfId="21513" priority="663" operator="lessThan">
      <formula>0</formula>
    </cfRule>
  </conditionalFormatting>
  <conditionalFormatting sqref="R84:R91">
    <cfRule type="cellIs" dxfId="21512" priority="661" operator="lessThan">
      <formula>0.8</formula>
    </cfRule>
    <cfRule type="cellIs" dxfId="21511" priority="662" operator="greaterThan">
      <formula>1</formula>
    </cfRule>
  </conditionalFormatting>
  <conditionalFormatting sqref="R84:R91">
    <cfRule type="cellIs" dxfId="21510" priority="659" operator="greaterThan">
      <formula>1</formula>
    </cfRule>
    <cfRule type="cellIs" dxfId="21509" priority="660" operator="lessThan">
      <formula>0.8</formula>
    </cfRule>
  </conditionalFormatting>
  <conditionalFormatting sqref="P84:P91">
    <cfRule type="cellIs" dxfId="21508" priority="652" operator="greaterThan">
      <formula>0</formula>
    </cfRule>
  </conditionalFormatting>
  <conditionalFormatting sqref="Q84:Q91">
    <cfRule type="cellIs" dxfId="21507" priority="657" operator="lessThan">
      <formula>0</formula>
    </cfRule>
  </conditionalFormatting>
  <conditionalFormatting sqref="R84:R91">
    <cfRule type="cellIs" dxfId="21506" priority="655" operator="lessThan">
      <formula>0.8</formula>
    </cfRule>
    <cfRule type="cellIs" dxfId="21505" priority="656" operator="greaterThan">
      <formula>1</formula>
    </cfRule>
  </conditionalFormatting>
  <conditionalFormatting sqref="R84:R91">
    <cfRule type="cellIs" dxfId="21504" priority="653" operator="greaterThan">
      <formula>1</formula>
    </cfRule>
    <cfRule type="cellIs" dxfId="21503" priority="654" operator="lessThan">
      <formula>0.8</formula>
    </cfRule>
  </conditionalFormatting>
  <conditionalFormatting sqref="R84:R91">
    <cfRule type="cellIs" dxfId="21502" priority="649" operator="lessThan">
      <formula>0.8</formula>
    </cfRule>
    <cfRule type="cellIs" dxfId="21501" priority="650" operator="greaterThan">
      <formula>1</formula>
    </cfRule>
  </conditionalFormatting>
  <conditionalFormatting sqref="R84:R91">
    <cfRule type="cellIs" dxfId="21500" priority="647" operator="greaterThan">
      <formula>1</formula>
    </cfRule>
    <cfRule type="cellIs" dxfId="21499" priority="648" operator="lessThan">
      <formula>0.8</formula>
    </cfRule>
  </conditionalFormatting>
  <conditionalFormatting sqref="P84:P91">
    <cfRule type="cellIs" dxfId="21498" priority="646" operator="greaterThan">
      <formula>0</formula>
    </cfRule>
  </conditionalFormatting>
  <conditionalFormatting sqref="Q84:Q91">
    <cfRule type="cellIs" dxfId="21497" priority="651" operator="lessThan">
      <formula>0</formula>
    </cfRule>
  </conditionalFormatting>
  <conditionalFormatting sqref="P84:P91">
    <cfRule type="cellIs" dxfId="21496" priority="640" operator="greaterThan">
      <formula>0</formula>
    </cfRule>
  </conditionalFormatting>
  <conditionalFormatting sqref="Q84:Q91">
    <cfRule type="cellIs" dxfId="21495" priority="645" operator="lessThan">
      <formula>0</formula>
    </cfRule>
  </conditionalFormatting>
  <conditionalFormatting sqref="R84:R91">
    <cfRule type="cellIs" dxfId="21494" priority="643" operator="lessThan">
      <formula>0.8</formula>
    </cfRule>
    <cfRule type="cellIs" dxfId="21493" priority="644" operator="greaterThan">
      <formula>1</formula>
    </cfRule>
  </conditionalFormatting>
  <conditionalFormatting sqref="R84:R91">
    <cfRule type="cellIs" dxfId="21492" priority="641" operator="greaterThan">
      <formula>1</formula>
    </cfRule>
    <cfRule type="cellIs" dxfId="21491" priority="642" operator="lessThan">
      <formula>0.8</formula>
    </cfRule>
  </conditionalFormatting>
  <conditionalFormatting sqref="R84:R91">
    <cfRule type="cellIs" dxfId="21490" priority="637" operator="lessThan">
      <formula>0.8</formula>
    </cfRule>
    <cfRule type="cellIs" dxfId="21489" priority="638" operator="greaterThan">
      <formula>1</formula>
    </cfRule>
  </conditionalFormatting>
  <conditionalFormatting sqref="R84:R91">
    <cfRule type="cellIs" dxfId="21488" priority="635" operator="greaterThan">
      <formula>1</formula>
    </cfRule>
    <cfRule type="cellIs" dxfId="21487" priority="636" operator="lessThan">
      <formula>0.8</formula>
    </cfRule>
  </conditionalFormatting>
  <conditionalFormatting sqref="P84:P91">
    <cfRule type="cellIs" dxfId="21486" priority="634" operator="greaterThan">
      <formula>0</formula>
    </cfRule>
  </conditionalFormatting>
  <conditionalFormatting sqref="Q84:Q91">
    <cfRule type="cellIs" dxfId="21485" priority="639" operator="lessThan">
      <formula>0</formula>
    </cfRule>
  </conditionalFormatting>
  <conditionalFormatting sqref="R84:R91">
    <cfRule type="cellIs" dxfId="21484" priority="631" operator="lessThan">
      <formula>0.8</formula>
    </cfRule>
    <cfRule type="cellIs" dxfId="21483" priority="632" operator="greaterThan">
      <formula>1</formula>
    </cfRule>
  </conditionalFormatting>
  <conditionalFormatting sqref="R84:R91">
    <cfRule type="cellIs" dxfId="21482" priority="629" operator="greaterThan">
      <formula>1</formula>
    </cfRule>
    <cfRule type="cellIs" dxfId="21481" priority="630" operator="lessThan">
      <formula>0.8</formula>
    </cfRule>
  </conditionalFormatting>
  <conditionalFormatting sqref="P84:P91">
    <cfRule type="cellIs" dxfId="21480" priority="628" operator="greaterThan">
      <formula>0</formula>
    </cfRule>
  </conditionalFormatting>
  <conditionalFormatting sqref="Q84:Q91">
    <cfRule type="cellIs" dxfId="21479" priority="633" operator="lessThan">
      <formula>0</formula>
    </cfRule>
  </conditionalFormatting>
  <conditionalFormatting sqref="Q84:Q91">
    <cfRule type="cellIs" dxfId="21478" priority="627" operator="lessThan">
      <formula>0</formula>
    </cfRule>
  </conditionalFormatting>
  <conditionalFormatting sqref="R84:R91">
    <cfRule type="cellIs" dxfId="21477" priority="625" operator="lessThan">
      <formula>0.8</formula>
    </cfRule>
    <cfRule type="cellIs" dxfId="21476" priority="626" operator="greaterThan">
      <formula>1</formula>
    </cfRule>
  </conditionalFormatting>
  <conditionalFormatting sqref="R84:R91">
    <cfRule type="cellIs" dxfId="21475" priority="623" operator="greaterThan">
      <formula>1</formula>
    </cfRule>
    <cfRule type="cellIs" dxfId="21474" priority="624" operator="lessThan">
      <formula>0.8</formula>
    </cfRule>
  </conditionalFormatting>
  <conditionalFormatting sqref="P84:P91">
    <cfRule type="cellIs" dxfId="21473" priority="622" operator="greaterThan">
      <formula>0</formula>
    </cfRule>
  </conditionalFormatting>
  <conditionalFormatting sqref="Q84:Q91">
    <cfRule type="cellIs" dxfId="21472" priority="616" operator="lessThan">
      <formula>0</formula>
    </cfRule>
  </conditionalFormatting>
  <conditionalFormatting sqref="R84:R91">
    <cfRule type="cellIs" dxfId="21471" priority="620" operator="lessThan">
      <formula>0.8</formula>
    </cfRule>
    <cfRule type="cellIs" dxfId="21470" priority="621" operator="greaterThan">
      <formula>1</formula>
    </cfRule>
  </conditionalFormatting>
  <conditionalFormatting sqref="R84:R91">
    <cfRule type="cellIs" dxfId="21469" priority="618" operator="greaterThan">
      <formula>1</formula>
    </cfRule>
    <cfRule type="cellIs" dxfId="21468" priority="619" operator="lessThan">
      <formula>0.8</formula>
    </cfRule>
  </conditionalFormatting>
  <conditionalFormatting sqref="P84:P91">
    <cfRule type="cellIs" dxfId="21467" priority="617" operator="greaterThan">
      <formula>0</formula>
    </cfRule>
  </conditionalFormatting>
  <conditionalFormatting sqref="Q84:Q91">
    <cfRule type="cellIs" dxfId="21466" priority="615" operator="lessThan">
      <formula>0</formula>
    </cfRule>
  </conditionalFormatting>
  <conditionalFormatting sqref="R84:R91">
    <cfRule type="cellIs" dxfId="21465" priority="613" operator="lessThan">
      <formula>0.8</formula>
    </cfRule>
    <cfRule type="cellIs" dxfId="21464" priority="614" operator="greaterThan">
      <formula>1</formula>
    </cfRule>
  </conditionalFormatting>
  <conditionalFormatting sqref="R84:R91">
    <cfRule type="cellIs" dxfId="21463" priority="611" operator="greaterThan">
      <formula>1</formula>
    </cfRule>
    <cfRule type="cellIs" dxfId="21462" priority="612" operator="lessThan">
      <formula>0.8</formula>
    </cfRule>
  </conditionalFormatting>
  <conditionalFormatting sqref="P84:P91">
    <cfRule type="cellIs" dxfId="21461" priority="610" operator="greaterThan">
      <formula>0</formula>
    </cfRule>
  </conditionalFormatting>
  <conditionalFormatting sqref="Q84:Q91">
    <cfRule type="cellIs" dxfId="21460" priority="609" operator="lessThan">
      <formula>0</formula>
    </cfRule>
  </conditionalFormatting>
  <conditionalFormatting sqref="R84:R91">
    <cfRule type="cellIs" dxfId="21459" priority="607" operator="lessThan">
      <formula>0.8</formula>
    </cfRule>
    <cfRule type="cellIs" dxfId="21458" priority="608" operator="greaterThan">
      <formula>1</formula>
    </cfRule>
  </conditionalFormatting>
  <conditionalFormatting sqref="R84:R91">
    <cfRule type="cellIs" dxfId="21457" priority="605" operator="greaterThan">
      <formula>1</formula>
    </cfRule>
    <cfRule type="cellIs" dxfId="21456" priority="606" operator="lessThan">
      <formula>0.8</formula>
    </cfRule>
  </conditionalFormatting>
  <conditionalFormatting sqref="P84:P91">
    <cfRule type="cellIs" dxfId="21455" priority="604" operator="greaterThan">
      <formula>0</formula>
    </cfRule>
  </conditionalFormatting>
  <conditionalFormatting sqref="Q84:Q91">
    <cfRule type="cellIs" dxfId="21454" priority="603" operator="lessThan">
      <formula>0</formula>
    </cfRule>
  </conditionalFormatting>
  <conditionalFormatting sqref="R84:R91">
    <cfRule type="cellIs" dxfId="21453" priority="601" operator="lessThan">
      <formula>0.8</formula>
    </cfRule>
    <cfRule type="cellIs" dxfId="21452" priority="602" operator="greaterThan">
      <formula>1</formula>
    </cfRule>
  </conditionalFormatting>
  <conditionalFormatting sqref="R84:R91">
    <cfRule type="cellIs" dxfId="21451" priority="599" operator="greaterThan">
      <formula>1</formula>
    </cfRule>
    <cfRule type="cellIs" dxfId="21450" priority="600" operator="lessThan">
      <formula>0.8</formula>
    </cfRule>
  </conditionalFormatting>
  <conditionalFormatting sqref="P84:P91">
    <cfRule type="cellIs" dxfId="21449" priority="598" operator="greaterThan">
      <formula>0</formula>
    </cfRule>
  </conditionalFormatting>
  <conditionalFormatting sqref="Q84:Q91">
    <cfRule type="cellIs" dxfId="21448" priority="597" operator="lessThan">
      <formula>0</formula>
    </cfRule>
  </conditionalFormatting>
  <conditionalFormatting sqref="R84:R91">
    <cfRule type="cellIs" dxfId="21447" priority="595" operator="lessThan">
      <formula>0.8</formula>
    </cfRule>
    <cfRule type="cellIs" dxfId="21446" priority="596" operator="greaterThan">
      <formula>1</formula>
    </cfRule>
  </conditionalFormatting>
  <conditionalFormatting sqref="R84:R91">
    <cfRule type="cellIs" dxfId="21445" priority="593" operator="greaterThan">
      <formula>1</formula>
    </cfRule>
    <cfRule type="cellIs" dxfId="21444" priority="594" operator="lessThan">
      <formula>0.8</formula>
    </cfRule>
  </conditionalFormatting>
  <conditionalFormatting sqref="P84:P91">
    <cfRule type="cellIs" dxfId="21443" priority="592" operator="greaterThan">
      <formula>0</formula>
    </cfRule>
  </conditionalFormatting>
  <conditionalFormatting sqref="Q84:Q91">
    <cfRule type="cellIs" dxfId="21442" priority="591" operator="lessThan">
      <formula>0</formula>
    </cfRule>
  </conditionalFormatting>
  <conditionalFormatting sqref="R84:R91">
    <cfRule type="cellIs" dxfId="21441" priority="589" operator="lessThan">
      <formula>0.8</formula>
    </cfRule>
    <cfRule type="cellIs" dxfId="21440" priority="590" operator="greaterThan">
      <formula>1</formula>
    </cfRule>
  </conditionalFormatting>
  <conditionalFormatting sqref="R84:R91">
    <cfRule type="cellIs" dxfId="21439" priority="587" operator="greaterThan">
      <formula>1</formula>
    </cfRule>
    <cfRule type="cellIs" dxfId="21438" priority="588" operator="lessThan">
      <formula>0.8</formula>
    </cfRule>
  </conditionalFormatting>
  <conditionalFormatting sqref="P84:P91">
    <cfRule type="cellIs" dxfId="21437" priority="586" operator="greaterThan">
      <formula>0</formula>
    </cfRule>
  </conditionalFormatting>
  <conditionalFormatting sqref="P84:P91">
    <cfRule type="cellIs" dxfId="21436" priority="580" operator="greaterThan">
      <formula>0</formula>
    </cfRule>
  </conditionalFormatting>
  <conditionalFormatting sqref="Q84:Q91">
    <cfRule type="cellIs" dxfId="21435" priority="585" operator="lessThan">
      <formula>0</formula>
    </cfRule>
  </conditionalFormatting>
  <conditionalFormatting sqref="R84:R91">
    <cfRule type="cellIs" dxfId="21434" priority="583" operator="lessThan">
      <formula>0.8</formula>
    </cfRule>
    <cfRule type="cellIs" dxfId="21433" priority="584" operator="greaterThan">
      <formula>1</formula>
    </cfRule>
  </conditionalFormatting>
  <conditionalFormatting sqref="R84:R91">
    <cfRule type="cellIs" dxfId="21432" priority="581" operator="greaterThan">
      <formula>1</formula>
    </cfRule>
    <cfRule type="cellIs" dxfId="21431" priority="582" operator="lessThan">
      <formula>0.8</formula>
    </cfRule>
  </conditionalFormatting>
  <conditionalFormatting sqref="P84:P91">
    <cfRule type="cellIs" dxfId="21430" priority="574" operator="greaterThan">
      <formula>0</formula>
    </cfRule>
  </conditionalFormatting>
  <conditionalFormatting sqref="Q84:Q91">
    <cfRule type="cellIs" dxfId="21429" priority="579" operator="lessThan">
      <formula>0</formula>
    </cfRule>
  </conditionalFormatting>
  <conditionalFormatting sqref="R84:R91">
    <cfRule type="cellIs" dxfId="21428" priority="577" operator="lessThan">
      <formula>0.8</formula>
    </cfRule>
    <cfRule type="cellIs" dxfId="21427" priority="578" operator="greaterThan">
      <formula>1</formula>
    </cfRule>
  </conditionalFormatting>
  <conditionalFormatting sqref="R84:R91">
    <cfRule type="cellIs" dxfId="21426" priority="575" operator="greaterThan">
      <formula>1</formula>
    </cfRule>
    <cfRule type="cellIs" dxfId="21425" priority="576" operator="lessThan">
      <formula>0.8</formula>
    </cfRule>
  </conditionalFormatting>
  <conditionalFormatting sqref="R84:R91">
    <cfRule type="cellIs" dxfId="21424" priority="571" operator="lessThan">
      <formula>0.8</formula>
    </cfRule>
    <cfRule type="cellIs" dxfId="21423" priority="572" operator="greaterThan">
      <formula>1</formula>
    </cfRule>
  </conditionalFormatting>
  <conditionalFormatting sqref="R84:R91">
    <cfRule type="cellIs" dxfId="21422" priority="569" operator="greaterThan">
      <formula>1</formula>
    </cfRule>
    <cfRule type="cellIs" dxfId="21421" priority="570" operator="lessThan">
      <formula>0.8</formula>
    </cfRule>
  </conditionalFormatting>
  <conditionalFormatting sqref="P84:P91">
    <cfRule type="cellIs" dxfId="21420" priority="568" operator="greaterThan">
      <formula>0</formula>
    </cfRule>
  </conditionalFormatting>
  <conditionalFormatting sqref="Q84:Q91">
    <cfRule type="cellIs" dxfId="21419" priority="573" operator="lessThan">
      <formula>0</formula>
    </cfRule>
  </conditionalFormatting>
  <conditionalFormatting sqref="Q84:Q91">
    <cfRule type="cellIs" dxfId="21418" priority="567" operator="lessThan">
      <formula>0</formula>
    </cfRule>
  </conditionalFormatting>
  <conditionalFormatting sqref="R84:R91">
    <cfRule type="cellIs" dxfId="21417" priority="565" operator="lessThan">
      <formula>0.8</formula>
    </cfRule>
    <cfRule type="cellIs" dxfId="21416" priority="566" operator="greaterThan">
      <formula>1</formula>
    </cfRule>
  </conditionalFormatting>
  <conditionalFormatting sqref="R84:R91">
    <cfRule type="cellIs" dxfId="21415" priority="563" operator="greaterThan">
      <formula>1</formula>
    </cfRule>
    <cfRule type="cellIs" dxfId="21414" priority="564" operator="lessThan">
      <formula>0.8</formula>
    </cfRule>
  </conditionalFormatting>
  <conditionalFormatting sqref="P84:P91">
    <cfRule type="cellIs" dxfId="21413" priority="562" operator="greaterThan">
      <formula>0</formula>
    </cfRule>
  </conditionalFormatting>
  <conditionalFormatting sqref="Q84:Q91">
    <cfRule type="cellIs" dxfId="21412" priority="561" operator="lessThan">
      <formula>0</formula>
    </cfRule>
  </conditionalFormatting>
  <conditionalFormatting sqref="R84:R91">
    <cfRule type="cellIs" dxfId="21411" priority="559" operator="lessThan">
      <formula>0.8</formula>
    </cfRule>
    <cfRule type="cellIs" dxfId="21410" priority="560" operator="greaterThan">
      <formula>1</formula>
    </cfRule>
  </conditionalFormatting>
  <conditionalFormatting sqref="R84:R91">
    <cfRule type="cellIs" dxfId="21409" priority="557" operator="greaterThan">
      <formula>1</formula>
    </cfRule>
    <cfRule type="cellIs" dxfId="21408" priority="558" operator="lessThan">
      <formula>0.8</formula>
    </cfRule>
  </conditionalFormatting>
  <conditionalFormatting sqref="P84:P91">
    <cfRule type="cellIs" dxfId="21407" priority="556" operator="greaterThan">
      <formula>0</formula>
    </cfRule>
  </conditionalFormatting>
  <conditionalFormatting sqref="Q84:Q91">
    <cfRule type="cellIs" dxfId="21406" priority="555" operator="lessThan">
      <formula>0</formula>
    </cfRule>
  </conditionalFormatting>
  <conditionalFormatting sqref="R84:R91">
    <cfRule type="cellIs" dxfId="21405" priority="553" operator="lessThan">
      <formula>0.8</formula>
    </cfRule>
    <cfRule type="cellIs" dxfId="21404" priority="554" operator="greaterThan">
      <formula>1</formula>
    </cfRule>
  </conditionalFormatting>
  <conditionalFormatting sqref="R84:R91">
    <cfRule type="cellIs" dxfId="21403" priority="551" operator="greaterThan">
      <formula>1</formula>
    </cfRule>
    <cfRule type="cellIs" dxfId="21402" priority="552" operator="lessThan">
      <formula>0.8</formula>
    </cfRule>
  </conditionalFormatting>
  <conditionalFormatting sqref="P84:P91">
    <cfRule type="cellIs" dxfId="21401" priority="550" operator="greaterThan">
      <formula>0</formula>
    </cfRule>
  </conditionalFormatting>
  <conditionalFormatting sqref="Q84:Q91">
    <cfRule type="cellIs" dxfId="21400" priority="549" operator="lessThan">
      <formula>0</formula>
    </cfRule>
  </conditionalFormatting>
  <conditionalFormatting sqref="R84:R91">
    <cfRule type="cellIs" dxfId="21399" priority="547" operator="lessThan">
      <formula>0.8</formula>
    </cfRule>
    <cfRule type="cellIs" dxfId="21398" priority="548" operator="greaterThan">
      <formula>1</formula>
    </cfRule>
  </conditionalFormatting>
  <conditionalFormatting sqref="R84:R91">
    <cfRule type="cellIs" dxfId="21397" priority="545" operator="greaterThan">
      <formula>1</formula>
    </cfRule>
    <cfRule type="cellIs" dxfId="21396" priority="546" operator="lessThan">
      <formula>0.8</formula>
    </cfRule>
  </conditionalFormatting>
  <conditionalFormatting sqref="P84:P91">
    <cfRule type="cellIs" dxfId="21395" priority="544" operator="greaterThan">
      <formula>0</formula>
    </cfRule>
  </conditionalFormatting>
  <conditionalFormatting sqref="P84:P91">
    <cfRule type="cellIs" dxfId="21394" priority="538" operator="greaterThan">
      <formula>0</formula>
    </cfRule>
  </conditionalFormatting>
  <conditionalFormatting sqref="Q84:Q91">
    <cfRule type="cellIs" dxfId="21393" priority="543" operator="lessThan">
      <formula>0</formula>
    </cfRule>
  </conditionalFormatting>
  <conditionalFormatting sqref="R84:R91">
    <cfRule type="cellIs" dxfId="21392" priority="541" operator="lessThan">
      <formula>0.8</formula>
    </cfRule>
    <cfRule type="cellIs" dxfId="21391" priority="542" operator="greaterThan">
      <formula>1</formula>
    </cfRule>
  </conditionalFormatting>
  <conditionalFormatting sqref="R84:R91">
    <cfRule type="cellIs" dxfId="21390" priority="539" operator="greaterThan">
      <formula>1</formula>
    </cfRule>
    <cfRule type="cellIs" dxfId="21389" priority="540" operator="lessThan">
      <formula>0.8</formula>
    </cfRule>
  </conditionalFormatting>
  <conditionalFormatting sqref="P84:P91">
    <cfRule type="cellIs" dxfId="21388" priority="532" operator="greaterThan">
      <formula>0</formula>
    </cfRule>
  </conditionalFormatting>
  <conditionalFormatting sqref="Q84:Q91">
    <cfRule type="cellIs" dxfId="21387" priority="537" operator="lessThan">
      <formula>0</formula>
    </cfRule>
  </conditionalFormatting>
  <conditionalFormatting sqref="R84:R91">
    <cfRule type="cellIs" dxfId="21386" priority="535" operator="lessThan">
      <formula>0.8</formula>
    </cfRule>
    <cfRule type="cellIs" dxfId="21385" priority="536" operator="greaterThan">
      <formula>1</formula>
    </cfRule>
  </conditionalFormatting>
  <conditionalFormatting sqref="R84:R91">
    <cfRule type="cellIs" dxfId="21384" priority="533" operator="greaterThan">
      <formula>1</formula>
    </cfRule>
    <cfRule type="cellIs" dxfId="21383" priority="534" operator="lessThan">
      <formula>0.8</formula>
    </cfRule>
  </conditionalFormatting>
  <conditionalFormatting sqref="R84:R91">
    <cfRule type="cellIs" dxfId="21382" priority="529" operator="lessThan">
      <formula>0.8</formula>
    </cfRule>
    <cfRule type="cellIs" dxfId="21381" priority="530" operator="greaterThan">
      <formula>1</formula>
    </cfRule>
  </conditionalFormatting>
  <conditionalFormatting sqref="R84:R91">
    <cfRule type="cellIs" dxfId="21380" priority="527" operator="greaterThan">
      <formula>1</formula>
    </cfRule>
    <cfRule type="cellIs" dxfId="21379" priority="528" operator="lessThan">
      <formula>0.8</formula>
    </cfRule>
  </conditionalFormatting>
  <conditionalFormatting sqref="P84:P91">
    <cfRule type="cellIs" dxfId="21378" priority="526" operator="greaterThan">
      <formula>0</formula>
    </cfRule>
  </conditionalFormatting>
  <conditionalFormatting sqref="Q84:Q91">
    <cfRule type="cellIs" dxfId="21377" priority="531" operator="lessThan">
      <formula>0</formula>
    </cfRule>
  </conditionalFormatting>
  <conditionalFormatting sqref="Q84:Q91">
    <cfRule type="cellIs" dxfId="21376" priority="525" operator="lessThan">
      <formula>0</formula>
    </cfRule>
  </conditionalFormatting>
  <conditionalFormatting sqref="R84:R91">
    <cfRule type="cellIs" dxfId="21375" priority="523" operator="lessThan">
      <formula>0.8</formula>
    </cfRule>
    <cfRule type="cellIs" dxfId="21374" priority="524" operator="greaterThan">
      <formula>1</formula>
    </cfRule>
  </conditionalFormatting>
  <conditionalFormatting sqref="R84:R91">
    <cfRule type="cellIs" dxfId="21373" priority="521" operator="greaterThan">
      <formula>1</formula>
    </cfRule>
    <cfRule type="cellIs" dxfId="21372" priority="522" operator="lessThan">
      <formula>0.8</formula>
    </cfRule>
  </conditionalFormatting>
  <conditionalFormatting sqref="P84:P91">
    <cfRule type="cellIs" dxfId="21371" priority="520" operator="greaterThan">
      <formula>0</formula>
    </cfRule>
  </conditionalFormatting>
  <conditionalFormatting sqref="P84:P91">
    <cfRule type="cellIs" dxfId="21370" priority="514" operator="greaterThan">
      <formula>0</formula>
    </cfRule>
  </conditionalFormatting>
  <conditionalFormatting sqref="Q84:Q91">
    <cfRule type="cellIs" dxfId="21369" priority="519" operator="lessThan">
      <formula>0</formula>
    </cfRule>
  </conditionalFormatting>
  <conditionalFormatting sqref="R84:R91">
    <cfRule type="cellIs" dxfId="21368" priority="517" operator="lessThan">
      <formula>0.8</formula>
    </cfRule>
    <cfRule type="cellIs" dxfId="21367" priority="518" operator="greaterThan">
      <formula>1</formula>
    </cfRule>
  </conditionalFormatting>
  <conditionalFormatting sqref="R84:R91">
    <cfRule type="cellIs" dxfId="21366" priority="515" operator="greaterThan">
      <formula>1</formula>
    </cfRule>
    <cfRule type="cellIs" dxfId="21365" priority="516" operator="lessThan">
      <formula>0.8</formula>
    </cfRule>
  </conditionalFormatting>
  <conditionalFormatting sqref="P84:P91">
    <cfRule type="cellIs" dxfId="21364" priority="508" operator="greaterThan">
      <formula>0</formula>
    </cfRule>
  </conditionalFormatting>
  <conditionalFormatting sqref="Q84:Q91">
    <cfRule type="cellIs" dxfId="21363" priority="513" operator="lessThan">
      <formula>0</formula>
    </cfRule>
  </conditionalFormatting>
  <conditionalFormatting sqref="R84:R91">
    <cfRule type="cellIs" dxfId="21362" priority="511" operator="lessThan">
      <formula>0.8</formula>
    </cfRule>
    <cfRule type="cellIs" dxfId="21361" priority="512" operator="greaterThan">
      <formula>1</formula>
    </cfRule>
  </conditionalFormatting>
  <conditionalFormatting sqref="R84:R91">
    <cfRule type="cellIs" dxfId="21360" priority="509" operator="greaterThan">
      <formula>1</formula>
    </cfRule>
    <cfRule type="cellIs" dxfId="21359" priority="510" operator="lessThan">
      <formula>0.8</formula>
    </cfRule>
  </conditionalFormatting>
  <conditionalFormatting sqref="R84:R91">
    <cfRule type="cellIs" dxfId="21358" priority="505" operator="lessThan">
      <formula>0.8</formula>
    </cfRule>
    <cfRule type="cellIs" dxfId="21357" priority="506" operator="greaterThan">
      <formula>1</formula>
    </cfRule>
  </conditionalFormatting>
  <conditionalFormatting sqref="R84:R91">
    <cfRule type="cellIs" dxfId="21356" priority="503" operator="greaterThan">
      <formula>1</formula>
    </cfRule>
    <cfRule type="cellIs" dxfId="21355" priority="504" operator="lessThan">
      <formula>0.8</formula>
    </cfRule>
  </conditionalFormatting>
  <conditionalFormatting sqref="P84:P91">
    <cfRule type="cellIs" dxfId="21354" priority="502" operator="greaterThan">
      <formula>0</formula>
    </cfRule>
  </conditionalFormatting>
  <conditionalFormatting sqref="Q84:Q91">
    <cfRule type="cellIs" dxfId="21353" priority="507" operator="lessThan">
      <formula>0</formula>
    </cfRule>
  </conditionalFormatting>
  <conditionalFormatting sqref="P84:P91">
    <cfRule type="cellIs" dxfId="21352" priority="496" operator="greaterThan">
      <formula>0</formula>
    </cfRule>
  </conditionalFormatting>
  <conditionalFormatting sqref="Q84:Q91">
    <cfRule type="cellIs" dxfId="21351" priority="501" operator="lessThan">
      <formula>0</formula>
    </cfRule>
  </conditionalFormatting>
  <conditionalFormatting sqref="R84:R91">
    <cfRule type="cellIs" dxfId="21350" priority="499" operator="lessThan">
      <formula>0.8</formula>
    </cfRule>
    <cfRule type="cellIs" dxfId="21349" priority="500" operator="greaterThan">
      <formula>1</formula>
    </cfRule>
  </conditionalFormatting>
  <conditionalFormatting sqref="R84:R91">
    <cfRule type="cellIs" dxfId="21348" priority="497" operator="greaterThan">
      <formula>1</formula>
    </cfRule>
    <cfRule type="cellIs" dxfId="21347" priority="498" operator="lessThan">
      <formula>0.8</formula>
    </cfRule>
  </conditionalFormatting>
  <conditionalFormatting sqref="R84:R91">
    <cfRule type="cellIs" dxfId="21346" priority="493" operator="lessThan">
      <formula>0.8</formula>
    </cfRule>
    <cfRule type="cellIs" dxfId="21345" priority="494" operator="greaterThan">
      <formula>1</formula>
    </cfRule>
  </conditionalFormatting>
  <conditionalFormatting sqref="R84:R91">
    <cfRule type="cellIs" dxfId="21344" priority="491" operator="greaterThan">
      <formula>1</formula>
    </cfRule>
    <cfRule type="cellIs" dxfId="21343" priority="492" operator="lessThan">
      <formula>0.8</formula>
    </cfRule>
  </conditionalFormatting>
  <conditionalFormatting sqref="P84:P91">
    <cfRule type="cellIs" dxfId="21342" priority="490" operator="greaterThan">
      <formula>0</formula>
    </cfRule>
  </conditionalFormatting>
  <conditionalFormatting sqref="Q84:Q91">
    <cfRule type="cellIs" dxfId="21341" priority="495" operator="lessThan">
      <formula>0</formula>
    </cfRule>
  </conditionalFormatting>
  <conditionalFormatting sqref="R84:R91">
    <cfRule type="cellIs" dxfId="21340" priority="487" operator="lessThan">
      <formula>0.8</formula>
    </cfRule>
    <cfRule type="cellIs" dxfId="21339" priority="488" operator="greaterThan">
      <formula>1</formula>
    </cfRule>
  </conditionalFormatting>
  <conditionalFormatting sqref="R84:R91">
    <cfRule type="cellIs" dxfId="21338" priority="485" operator="greaterThan">
      <formula>1</formula>
    </cfRule>
    <cfRule type="cellIs" dxfId="21337" priority="486" operator="lessThan">
      <formula>0.8</formula>
    </cfRule>
  </conditionalFormatting>
  <conditionalFormatting sqref="P84:P91">
    <cfRule type="cellIs" dxfId="21336" priority="484" operator="greaterThan">
      <formula>0</formula>
    </cfRule>
  </conditionalFormatting>
  <conditionalFormatting sqref="Q84:Q91">
    <cfRule type="cellIs" dxfId="21335" priority="489" operator="lessThan">
      <formula>0</formula>
    </cfRule>
  </conditionalFormatting>
  <conditionalFormatting sqref="Q84:Q91">
    <cfRule type="cellIs" dxfId="21334" priority="483" operator="lessThan">
      <formula>0</formula>
    </cfRule>
  </conditionalFormatting>
  <conditionalFormatting sqref="R84:R91">
    <cfRule type="cellIs" dxfId="21333" priority="481" operator="lessThan">
      <formula>0.8</formula>
    </cfRule>
    <cfRule type="cellIs" dxfId="21332" priority="482" operator="greaterThan">
      <formula>1</formula>
    </cfRule>
  </conditionalFormatting>
  <conditionalFormatting sqref="R84:R91">
    <cfRule type="cellIs" dxfId="21331" priority="479" operator="greaterThan">
      <formula>1</formula>
    </cfRule>
    <cfRule type="cellIs" dxfId="21330" priority="480" operator="lessThan">
      <formula>0.8</formula>
    </cfRule>
  </conditionalFormatting>
  <conditionalFormatting sqref="P84:P91">
    <cfRule type="cellIs" dxfId="21329" priority="478" operator="greaterThan">
      <formula>0</formula>
    </cfRule>
  </conditionalFormatting>
  <conditionalFormatting sqref="Q84:Q91">
    <cfRule type="cellIs" dxfId="21328" priority="472" operator="lessThan">
      <formula>0</formula>
    </cfRule>
  </conditionalFormatting>
  <conditionalFormatting sqref="R84:R91">
    <cfRule type="cellIs" dxfId="21327" priority="476" operator="lessThan">
      <formula>0.8</formula>
    </cfRule>
    <cfRule type="cellIs" dxfId="21326" priority="477" operator="greaterThan">
      <formula>1</formula>
    </cfRule>
  </conditionalFormatting>
  <conditionalFormatting sqref="R84:R91">
    <cfRule type="cellIs" dxfId="21325" priority="474" operator="greaterThan">
      <formula>1</formula>
    </cfRule>
    <cfRule type="cellIs" dxfId="21324" priority="475" operator="lessThan">
      <formula>0.8</formula>
    </cfRule>
  </conditionalFormatting>
  <conditionalFormatting sqref="P84:P91">
    <cfRule type="cellIs" dxfId="21323" priority="473" operator="greaterThan">
      <formula>0</formula>
    </cfRule>
  </conditionalFormatting>
  <conditionalFormatting sqref="Q84:Q91">
    <cfRule type="cellIs" dxfId="21322" priority="471" operator="lessThan">
      <formula>0</formula>
    </cfRule>
  </conditionalFormatting>
  <conditionalFormatting sqref="R84:R91">
    <cfRule type="cellIs" dxfId="21321" priority="469" operator="lessThan">
      <formula>0.8</formula>
    </cfRule>
    <cfRule type="cellIs" dxfId="21320" priority="470" operator="greaterThan">
      <formula>1</formula>
    </cfRule>
  </conditionalFormatting>
  <conditionalFormatting sqref="R84:R91">
    <cfRule type="cellIs" dxfId="21319" priority="467" operator="greaterThan">
      <formula>1</formula>
    </cfRule>
    <cfRule type="cellIs" dxfId="21318" priority="468" operator="lessThan">
      <formula>0.8</formula>
    </cfRule>
  </conditionalFormatting>
  <conditionalFormatting sqref="P84:P91">
    <cfRule type="cellIs" dxfId="21317" priority="466" operator="greaterThan">
      <formula>0</formula>
    </cfRule>
  </conditionalFormatting>
  <conditionalFormatting sqref="Q84:Q91">
    <cfRule type="cellIs" dxfId="21316" priority="465" operator="lessThan">
      <formula>0</formula>
    </cfRule>
  </conditionalFormatting>
  <conditionalFormatting sqref="R84:R91">
    <cfRule type="cellIs" dxfId="21315" priority="463" operator="lessThan">
      <formula>0.8</formula>
    </cfRule>
    <cfRule type="cellIs" dxfId="21314" priority="464" operator="greaterThan">
      <formula>1</formula>
    </cfRule>
  </conditionalFormatting>
  <conditionalFormatting sqref="R84:R91">
    <cfRule type="cellIs" dxfId="21313" priority="461" operator="greaterThan">
      <formula>1</formula>
    </cfRule>
    <cfRule type="cellIs" dxfId="21312" priority="462" operator="lessThan">
      <formula>0.8</formula>
    </cfRule>
  </conditionalFormatting>
  <conditionalFormatting sqref="P84:P91">
    <cfRule type="cellIs" dxfId="21311" priority="460" operator="greaterThan">
      <formula>0</formula>
    </cfRule>
  </conditionalFormatting>
  <conditionalFormatting sqref="Q84:Q91">
    <cfRule type="cellIs" dxfId="21310" priority="459" operator="lessThan">
      <formula>0</formula>
    </cfRule>
  </conditionalFormatting>
  <conditionalFormatting sqref="R84:R91">
    <cfRule type="cellIs" dxfId="21309" priority="457" operator="lessThan">
      <formula>0.8</formula>
    </cfRule>
    <cfRule type="cellIs" dxfId="21308" priority="458" operator="greaterThan">
      <formula>1</formula>
    </cfRule>
  </conditionalFormatting>
  <conditionalFormatting sqref="R84:R91">
    <cfRule type="cellIs" dxfId="21307" priority="455" operator="greaterThan">
      <formula>1</formula>
    </cfRule>
    <cfRule type="cellIs" dxfId="21306" priority="456" operator="lessThan">
      <formula>0.8</formula>
    </cfRule>
  </conditionalFormatting>
  <conditionalFormatting sqref="P84:P91">
    <cfRule type="cellIs" dxfId="21305" priority="454" operator="greaterThan">
      <formula>0</formula>
    </cfRule>
  </conditionalFormatting>
  <conditionalFormatting sqref="Q84:Q91">
    <cfRule type="cellIs" dxfId="21304" priority="453" operator="lessThan">
      <formula>0</formula>
    </cfRule>
  </conditionalFormatting>
  <conditionalFormatting sqref="R84:R91">
    <cfRule type="cellIs" dxfId="21303" priority="451" operator="lessThan">
      <formula>0.8</formula>
    </cfRule>
    <cfRule type="cellIs" dxfId="21302" priority="452" operator="greaterThan">
      <formula>1</formula>
    </cfRule>
  </conditionalFormatting>
  <conditionalFormatting sqref="R84:R91">
    <cfRule type="cellIs" dxfId="21301" priority="449" operator="greaterThan">
      <formula>1</formula>
    </cfRule>
    <cfRule type="cellIs" dxfId="21300" priority="450" operator="lessThan">
      <formula>0.8</formula>
    </cfRule>
  </conditionalFormatting>
  <conditionalFormatting sqref="P84:P91">
    <cfRule type="cellIs" dxfId="21299" priority="448" operator="greaterThan">
      <formula>0</formula>
    </cfRule>
  </conditionalFormatting>
  <conditionalFormatting sqref="Q84:Q91">
    <cfRule type="cellIs" dxfId="21298" priority="447" operator="lessThan">
      <formula>0</formula>
    </cfRule>
  </conditionalFormatting>
  <conditionalFormatting sqref="R84:R91">
    <cfRule type="cellIs" dxfId="21297" priority="445" operator="lessThan">
      <formula>0.8</formula>
    </cfRule>
    <cfRule type="cellIs" dxfId="21296" priority="446" operator="greaterThan">
      <formula>1</formula>
    </cfRule>
  </conditionalFormatting>
  <conditionalFormatting sqref="R84:R91">
    <cfRule type="cellIs" dxfId="21295" priority="443" operator="greaterThan">
      <formula>1</formula>
    </cfRule>
    <cfRule type="cellIs" dxfId="21294" priority="444" operator="lessThan">
      <formula>0.8</formula>
    </cfRule>
  </conditionalFormatting>
  <conditionalFormatting sqref="P84:P91">
    <cfRule type="cellIs" dxfId="21293" priority="442" operator="greaterThan">
      <formula>0</formula>
    </cfRule>
  </conditionalFormatting>
  <conditionalFormatting sqref="P84:P91">
    <cfRule type="cellIs" dxfId="21292" priority="436" operator="greaterThan">
      <formula>0</formula>
    </cfRule>
  </conditionalFormatting>
  <conditionalFormatting sqref="Q84:Q91">
    <cfRule type="cellIs" dxfId="21291" priority="441" operator="lessThan">
      <formula>0</formula>
    </cfRule>
  </conditionalFormatting>
  <conditionalFormatting sqref="R84:R91">
    <cfRule type="cellIs" dxfId="21290" priority="439" operator="lessThan">
      <formula>0.8</formula>
    </cfRule>
    <cfRule type="cellIs" dxfId="21289" priority="440" operator="greaterThan">
      <formula>1</formula>
    </cfRule>
  </conditionalFormatting>
  <conditionalFormatting sqref="R84:R91">
    <cfRule type="cellIs" dxfId="21288" priority="437" operator="greaterThan">
      <formula>1</formula>
    </cfRule>
    <cfRule type="cellIs" dxfId="21287" priority="438" operator="lessThan">
      <formula>0.8</formula>
    </cfRule>
  </conditionalFormatting>
  <conditionalFormatting sqref="P84:P91">
    <cfRule type="cellIs" dxfId="21286" priority="430" operator="greaterThan">
      <formula>0</formula>
    </cfRule>
  </conditionalFormatting>
  <conditionalFormatting sqref="Q84:Q91">
    <cfRule type="cellIs" dxfId="21285" priority="435" operator="lessThan">
      <formula>0</formula>
    </cfRule>
  </conditionalFormatting>
  <conditionalFormatting sqref="R84:R91">
    <cfRule type="cellIs" dxfId="21284" priority="433" operator="lessThan">
      <formula>0.8</formula>
    </cfRule>
    <cfRule type="cellIs" dxfId="21283" priority="434" operator="greaterThan">
      <formula>1</formula>
    </cfRule>
  </conditionalFormatting>
  <conditionalFormatting sqref="R84:R91">
    <cfRule type="cellIs" dxfId="21282" priority="431" operator="greaterThan">
      <formula>1</formula>
    </cfRule>
    <cfRule type="cellIs" dxfId="21281" priority="432" operator="lessThan">
      <formula>0.8</formula>
    </cfRule>
  </conditionalFormatting>
  <conditionalFormatting sqref="R84:R91">
    <cfRule type="cellIs" dxfId="21280" priority="427" operator="lessThan">
      <formula>0.8</formula>
    </cfRule>
    <cfRule type="cellIs" dxfId="21279" priority="428" operator="greaterThan">
      <formula>1</formula>
    </cfRule>
  </conditionalFormatting>
  <conditionalFormatting sqref="R84:R91">
    <cfRule type="cellIs" dxfId="21278" priority="425" operator="greaterThan">
      <formula>1</formula>
    </cfRule>
    <cfRule type="cellIs" dxfId="21277" priority="426" operator="lessThan">
      <formula>0.8</formula>
    </cfRule>
  </conditionalFormatting>
  <conditionalFormatting sqref="P84:P91">
    <cfRule type="cellIs" dxfId="21276" priority="424" operator="greaterThan">
      <formula>0</formula>
    </cfRule>
  </conditionalFormatting>
  <conditionalFormatting sqref="Q84:Q91">
    <cfRule type="cellIs" dxfId="21275" priority="429" operator="lessThan">
      <formula>0</formula>
    </cfRule>
  </conditionalFormatting>
  <conditionalFormatting sqref="Q84:Q91">
    <cfRule type="cellIs" dxfId="21274" priority="418" operator="lessThan">
      <formula>0</formula>
    </cfRule>
  </conditionalFormatting>
  <conditionalFormatting sqref="P84:P91">
    <cfRule type="cellIs" dxfId="21273" priority="419" operator="greaterThan">
      <formula>0</formula>
    </cfRule>
  </conditionalFormatting>
  <conditionalFormatting sqref="R84:R91">
    <cfRule type="cellIs" dxfId="21272" priority="422" operator="lessThan">
      <formula>0.8</formula>
    </cfRule>
    <cfRule type="cellIs" dxfId="21271" priority="423" operator="greaterThan">
      <formula>1</formula>
    </cfRule>
  </conditionalFormatting>
  <conditionalFormatting sqref="R84:R91">
    <cfRule type="cellIs" dxfId="21270" priority="420" operator="greaterThan">
      <formula>1</formula>
    </cfRule>
    <cfRule type="cellIs" dxfId="21269" priority="421" operator="lessThan">
      <formula>0.8</formula>
    </cfRule>
  </conditionalFormatting>
  <conditionalFormatting sqref="Q84:Q91">
    <cfRule type="cellIs" dxfId="21268" priority="412" operator="lessThan">
      <formula>0</formula>
    </cfRule>
  </conditionalFormatting>
  <conditionalFormatting sqref="R84:R91">
    <cfRule type="cellIs" dxfId="21267" priority="416" operator="lessThan">
      <formula>0.8</formula>
    </cfRule>
    <cfRule type="cellIs" dxfId="21266" priority="417" operator="greaterThan">
      <formula>1</formula>
    </cfRule>
  </conditionalFormatting>
  <conditionalFormatting sqref="R84:R91">
    <cfRule type="cellIs" dxfId="21265" priority="414" operator="greaterThan">
      <formula>1</formula>
    </cfRule>
    <cfRule type="cellIs" dxfId="21264" priority="415" operator="lessThan">
      <formula>0.8</formula>
    </cfRule>
  </conditionalFormatting>
  <conditionalFormatting sqref="P84:P91">
    <cfRule type="cellIs" dxfId="21263" priority="413" operator="greaterThan">
      <formula>0</formula>
    </cfRule>
  </conditionalFormatting>
  <conditionalFormatting sqref="Q84:Q91">
    <cfRule type="cellIs" dxfId="21262" priority="411" operator="lessThan">
      <formula>0</formula>
    </cfRule>
  </conditionalFormatting>
  <conditionalFormatting sqref="R84:R91">
    <cfRule type="cellIs" dxfId="21261" priority="409" operator="lessThan">
      <formula>0.8</formula>
    </cfRule>
    <cfRule type="cellIs" dxfId="21260" priority="410" operator="greaterThan">
      <formula>1</formula>
    </cfRule>
  </conditionalFormatting>
  <conditionalFormatting sqref="R84:R91">
    <cfRule type="cellIs" dxfId="21259" priority="407" operator="greaterThan">
      <formula>1</formula>
    </cfRule>
    <cfRule type="cellIs" dxfId="21258" priority="408" operator="lessThan">
      <formula>0.8</formula>
    </cfRule>
  </conditionalFormatting>
  <conditionalFormatting sqref="P84:P91">
    <cfRule type="cellIs" dxfId="21257" priority="406" operator="greaterThan">
      <formula>0</formula>
    </cfRule>
  </conditionalFormatting>
  <conditionalFormatting sqref="Q84:Q91">
    <cfRule type="cellIs" dxfId="21256" priority="405" operator="lessThan">
      <formula>0</formula>
    </cfRule>
  </conditionalFormatting>
  <conditionalFormatting sqref="R84:R91">
    <cfRule type="cellIs" dxfId="21255" priority="403" operator="lessThan">
      <formula>0.8</formula>
    </cfRule>
    <cfRule type="cellIs" dxfId="21254" priority="404" operator="greaterThan">
      <formula>1</formula>
    </cfRule>
  </conditionalFormatting>
  <conditionalFormatting sqref="R84:R91">
    <cfRule type="cellIs" dxfId="21253" priority="401" operator="greaterThan">
      <formula>1</formula>
    </cfRule>
    <cfRule type="cellIs" dxfId="21252" priority="402" operator="lessThan">
      <formula>0.8</formula>
    </cfRule>
  </conditionalFormatting>
  <conditionalFormatting sqref="P84:P91">
    <cfRule type="cellIs" dxfId="21251" priority="400" operator="greaterThan">
      <formula>0</formula>
    </cfRule>
  </conditionalFormatting>
  <conditionalFormatting sqref="Q84:Q91">
    <cfRule type="cellIs" dxfId="21250" priority="399" operator="lessThan">
      <formula>0</formula>
    </cfRule>
  </conditionalFormatting>
  <conditionalFormatting sqref="R84:R91">
    <cfRule type="cellIs" dxfId="21249" priority="397" operator="lessThan">
      <formula>0.8</formula>
    </cfRule>
    <cfRule type="cellIs" dxfId="21248" priority="398" operator="greaterThan">
      <formula>1</formula>
    </cfRule>
  </conditionalFormatting>
  <conditionalFormatting sqref="R84:R91">
    <cfRule type="cellIs" dxfId="21247" priority="395" operator="greaterThan">
      <formula>1</formula>
    </cfRule>
    <cfRule type="cellIs" dxfId="21246" priority="396" operator="lessThan">
      <formula>0.8</formula>
    </cfRule>
  </conditionalFormatting>
  <conditionalFormatting sqref="P84:P91">
    <cfRule type="cellIs" dxfId="21245" priority="394" operator="greaterThan">
      <formula>0</formula>
    </cfRule>
  </conditionalFormatting>
  <conditionalFormatting sqref="Q84:Q91">
    <cfRule type="cellIs" dxfId="21244" priority="393" operator="lessThan">
      <formula>0</formula>
    </cfRule>
  </conditionalFormatting>
  <conditionalFormatting sqref="R84:R91">
    <cfRule type="cellIs" dxfId="21243" priority="391" operator="lessThan">
      <formula>0.8</formula>
    </cfRule>
    <cfRule type="cellIs" dxfId="21242" priority="392" operator="greaterThan">
      <formula>1</formula>
    </cfRule>
  </conditionalFormatting>
  <conditionalFormatting sqref="R84:R91">
    <cfRule type="cellIs" dxfId="21241" priority="389" operator="greaterThan">
      <formula>1</formula>
    </cfRule>
    <cfRule type="cellIs" dxfId="21240" priority="390" operator="lessThan">
      <formula>0.8</formula>
    </cfRule>
  </conditionalFormatting>
  <conditionalFormatting sqref="P84:P91">
    <cfRule type="cellIs" dxfId="21239" priority="388" operator="greaterThan">
      <formula>0</formula>
    </cfRule>
  </conditionalFormatting>
  <conditionalFormatting sqref="Q84:Q91">
    <cfRule type="cellIs" dxfId="21238" priority="387" operator="lessThan">
      <formula>0</formula>
    </cfRule>
  </conditionalFormatting>
  <conditionalFormatting sqref="R84:R91">
    <cfRule type="cellIs" dxfId="21237" priority="385" operator="lessThan">
      <formula>0.8</formula>
    </cfRule>
    <cfRule type="cellIs" dxfId="21236" priority="386" operator="greaterThan">
      <formula>1</formula>
    </cfRule>
  </conditionalFormatting>
  <conditionalFormatting sqref="R84:R91">
    <cfRule type="cellIs" dxfId="21235" priority="383" operator="greaterThan">
      <formula>1</formula>
    </cfRule>
    <cfRule type="cellIs" dxfId="21234" priority="384" operator="lessThan">
      <formula>0.8</formula>
    </cfRule>
  </conditionalFormatting>
  <conditionalFormatting sqref="P84:P91">
    <cfRule type="cellIs" dxfId="21233" priority="382" operator="greaterThan">
      <formula>0</formula>
    </cfRule>
  </conditionalFormatting>
  <conditionalFormatting sqref="Q84:Q91">
    <cfRule type="cellIs" dxfId="21232" priority="381" operator="lessThan">
      <formula>0</formula>
    </cfRule>
  </conditionalFormatting>
  <conditionalFormatting sqref="R84:R91">
    <cfRule type="cellIs" dxfId="21231" priority="379" operator="lessThan">
      <formula>0.8</formula>
    </cfRule>
    <cfRule type="cellIs" dxfId="21230" priority="380" operator="greaterThan">
      <formula>1</formula>
    </cfRule>
  </conditionalFormatting>
  <conditionalFormatting sqref="R84:R91">
    <cfRule type="cellIs" dxfId="21229" priority="377" operator="greaterThan">
      <formula>1</formula>
    </cfRule>
    <cfRule type="cellIs" dxfId="21228" priority="378" operator="lessThan">
      <formula>0.8</formula>
    </cfRule>
  </conditionalFormatting>
  <conditionalFormatting sqref="P84:P91">
    <cfRule type="cellIs" dxfId="21227" priority="376" operator="greaterThan">
      <formula>0</formula>
    </cfRule>
  </conditionalFormatting>
  <conditionalFormatting sqref="Q84:Q91">
    <cfRule type="cellIs" dxfId="21226" priority="375" operator="lessThan">
      <formula>0</formula>
    </cfRule>
  </conditionalFormatting>
  <conditionalFormatting sqref="R84:R91">
    <cfRule type="cellIs" dxfId="21225" priority="373" operator="lessThan">
      <formula>0.8</formula>
    </cfRule>
    <cfRule type="cellIs" dxfId="21224" priority="374" operator="greaterThan">
      <formula>1</formula>
    </cfRule>
  </conditionalFormatting>
  <conditionalFormatting sqref="R84:R91">
    <cfRule type="cellIs" dxfId="21223" priority="371" operator="greaterThan">
      <formula>1</formula>
    </cfRule>
    <cfRule type="cellIs" dxfId="21222" priority="372" operator="lessThan">
      <formula>0.8</formula>
    </cfRule>
  </conditionalFormatting>
  <conditionalFormatting sqref="P84:P91">
    <cfRule type="cellIs" dxfId="21221" priority="370" operator="greaterThan">
      <formula>0</formula>
    </cfRule>
  </conditionalFormatting>
  <conditionalFormatting sqref="P84:P91">
    <cfRule type="cellIs" dxfId="21220" priority="364" operator="greaterThan">
      <formula>0</formula>
    </cfRule>
  </conditionalFormatting>
  <conditionalFormatting sqref="Q84:Q91">
    <cfRule type="cellIs" dxfId="21219" priority="369" operator="lessThan">
      <formula>0</formula>
    </cfRule>
  </conditionalFormatting>
  <conditionalFormatting sqref="R84:R91">
    <cfRule type="cellIs" dxfId="21218" priority="367" operator="lessThan">
      <formula>0.8</formula>
    </cfRule>
    <cfRule type="cellIs" dxfId="21217" priority="368" operator="greaterThan">
      <formula>1</formula>
    </cfRule>
  </conditionalFormatting>
  <conditionalFormatting sqref="R84:R91">
    <cfRule type="cellIs" dxfId="21216" priority="365" operator="greaterThan">
      <formula>1</formula>
    </cfRule>
    <cfRule type="cellIs" dxfId="21215" priority="366" operator="lessThan">
      <formula>0.8</formula>
    </cfRule>
  </conditionalFormatting>
  <conditionalFormatting sqref="P84:P91">
    <cfRule type="cellIs" dxfId="21214" priority="358" operator="greaterThan">
      <formula>0</formula>
    </cfRule>
  </conditionalFormatting>
  <conditionalFormatting sqref="Q84:Q91">
    <cfRule type="cellIs" dxfId="21213" priority="363" operator="lessThan">
      <formula>0</formula>
    </cfRule>
  </conditionalFormatting>
  <conditionalFormatting sqref="R84:R91">
    <cfRule type="cellIs" dxfId="21212" priority="361" operator="lessThan">
      <formula>0.8</formula>
    </cfRule>
    <cfRule type="cellIs" dxfId="21211" priority="362" operator="greaterThan">
      <formula>1</formula>
    </cfRule>
  </conditionalFormatting>
  <conditionalFormatting sqref="R84:R91">
    <cfRule type="cellIs" dxfId="21210" priority="359" operator="greaterThan">
      <formula>1</formula>
    </cfRule>
    <cfRule type="cellIs" dxfId="21209" priority="360" operator="lessThan">
      <formula>0.8</formula>
    </cfRule>
  </conditionalFormatting>
  <conditionalFormatting sqref="R84:R91">
    <cfRule type="cellIs" dxfId="21208" priority="355" operator="lessThan">
      <formula>0.8</formula>
    </cfRule>
    <cfRule type="cellIs" dxfId="21207" priority="356" operator="greaterThan">
      <formula>1</formula>
    </cfRule>
  </conditionalFormatting>
  <conditionalFormatting sqref="R84:R91">
    <cfRule type="cellIs" dxfId="21206" priority="353" operator="greaterThan">
      <formula>1</formula>
    </cfRule>
    <cfRule type="cellIs" dxfId="21205" priority="354" operator="lessThan">
      <formula>0.8</formula>
    </cfRule>
  </conditionalFormatting>
  <conditionalFormatting sqref="P84:P91">
    <cfRule type="cellIs" dxfId="21204" priority="352" operator="greaterThan">
      <formula>0</formula>
    </cfRule>
  </conditionalFormatting>
  <conditionalFormatting sqref="Q84:Q91">
    <cfRule type="cellIs" dxfId="21203" priority="357" operator="lessThan">
      <formula>0</formula>
    </cfRule>
  </conditionalFormatting>
  <conditionalFormatting sqref="Q84:Q91">
    <cfRule type="cellIs" dxfId="21202" priority="351" operator="lessThan">
      <formula>0</formula>
    </cfRule>
  </conditionalFormatting>
  <conditionalFormatting sqref="R84:R91">
    <cfRule type="cellIs" dxfId="21201" priority="349" operator="lessThan">
      <formula>0.8</formula>
    </cfRule>
    <cfRule type="cellIs" dxfId="21200" priority="350" operator="greaterThan">
      <formula>1</formula>
    </cfRule>
  </conditionalFormatting>
  <conditionalFormatting sqref="R84:R91">
    <cfRule type="cellIs" dxfId="21199" priority="347" operator="greaterThan">
      <formula>1</formula>
    </cfRule>
    <cfRule type="cellIs" dxfId="21198" priority="348" operator="lessThan">
      <formula>0.8</formula>
    </cfRule>
  </conditionalFormatting>
  <conditionalFormatting sqref="P84:P91">
    <cfRule type="cellIs" dxfId="21197" priority="346" operator="greaterThan">
      <formula>0</formula>
    </cfRule>
  </conditionalFormatting>
  <conditionalFormatting sqref="P84:P91">
    <cfRule type="cellIs" dxfId="21196" priority="340" operator="greaterThan">
      <formula>0</formula>
    </cfRule>
  </conditionalFormatting>
  <conditionalFormatting sqref="Q84:Q91">
    <cfRule type="cellIs" dxfId="21195" priority="345" operator="lessThan">
      <formula>0</formula>
    </cfRule>
  </conditionalFormatting>
  <conditionalFormatting sqref="R84:R91">
    <cfRule type="cellIs" dxfId="21194" priority="343" operator="lessThan">
      <formula>0.8</formula>
    </cfRule>
    <cfRule type="cellIs" dxfId="21193" priority="344" operator="greaterThan">
      <formula>1</formula>
    </cfRule>
  </conditionalFormatting>
  <conditionalFormatting sqref="R84:R91">
    <cfRule type="cellIs" dxfId="21192" priority="341" operator="greaterThan">
      <formula>1</formula>
    </cfRule>
    <cfRule type="cellIs" dxfId="21191" priority="342" operator="lessThan">
      <formula>0.8</formula>
    </cfRule>
  </conditionalFormatting>
  <conditionalFormatting sqref="P84:P91">
    <cfRule type="cellIs" dxfId="21190" priority="334" operator="greaterThan">
      <formula>0</formula>
    </cfRule>
  </conditionalFormatting>
  <conditionalFormatting sqref="Q84:Q91">
    <cfRule type="cellIs" dxfId="21189" priority="339" operator="lessThan">
      <formula>0</formula>
    </cfRule>
  </conditionalFormatting>
  <conditionalFormatting sqref="R84:R91">
    <cfRule type="cellIs" dxfId="21188" priority="337" operator="lessThan">
      <formula>0.8</formula>
    </cfRule>
    <cfRule type="cellIs" dxfId="21187" priority="338" operator="greaterThan">
      <formula>1</formula>
    </cfRule>
  </conditionalFormatting>
  <conditionalFormatting sqref="R84:R91">
    <cfRule type="cellIs" dxfId="21186" priority="335" operator="greaterThan">
      <formula>1</formula>
    </cfRule>
    <cfRule type="cellIs" dxfId="21185" priority="336" operator="lessThan">
      <formula>0.8</formula>
    </cfRule>
  </conditionalFormatting>
  <conditionalFormatting sqref="R84:R91">
    <cfRule type="cellIs" dxfId="21184" priority="331" operator="lessThan">
      <formula>0.8</formula>
    </cfRule>
    <cfRule type="cellIs" dxfId="21183" priority="332" operator="greaterThan">
      <formula>1</formula>
    </cfRule>
  </conditionalFormatting>
  <conditionalFormatting sqref="R84:R91">
    <cfRule type="cellIs" dxfId="21182" priority="329" operator="greaterThan">
      <formula>1</formula>
    </cfRule>
    <cfRule type="cellIs" dxfId="21181" priority="330" operator="lessThan">
      <formula>0.8</formula>
    </cfRule>
  </conditionalFormatting>
  <conditionalFormatting sqref="P84:P91">
    <cfRule type="cellIs" dxfId="21180" priority="328" operator="greaterThan">
      <formula>0</formula>
    </cfRule>
  </conditionalFormatting>
  <conditionalFormatting sqref="Q84:Q91">
    <cfRule type="cellIs" dxfId="21179" priority="333" operator="lessThan">
      <formula>0</formula>
    </cfRule>
  </conditionalFormatting>
  <conditionalFormatting sqref="P84:P91">
    <cfRule type="cellIs" dxfId="21178" priority="322" operator="greaterThan">
      <formula>0</formula>
    </cfRule>
  </conditionalFormatting>
  <conditionalFormatting sqref="Q84:Q91">
    <cfRule type="cellIs" dxfId="21177" priority="327" operator="lessThan">
      <formula>0</formula>
    </cfRule>
  </conditionalFormatting>
  <conditionalFormatting sqref="R84:R91">
    <cfRule type="cellIs" dxfId="21176" priority="325" operator="lessThan">
      <formula>0.8</formula>
    </cfRule>
    <cfRule type="cellIs" dxfId="21175" priority="326" operator="greaterThan">
      <formula>1</formula>
    </cfRule>
  </conditionalFormatting>
  <conditionalFormatting sqref="R84:R91">
    <cfRule type="cellIs" dxfId="21174" priority="323" operator="greaterThan">
      <formula>1</formula>
    </cfRule>
    <cfRule type="cellIs" dxfId="21173" priority="324" operator="lessThan">
      <formula>0.8</formula>
    </cfRule>
  </conditionalFormatting>
  <conditionalFormatting sqref="R84:R91">
    <cfRule type="cellIs" dxfId="21172" priority="319" operator="lessThan">
      <formula>0.8</formula>
    </cfRule>
    <cfRule type="cellIs" dxfId="21171" priority="320" operator="greaterThan">
      <formula>1</formula>
    </cfRule>
  </conditionalFormatting>
  <conditionalFormatting sqref="R84:R91">
    <cfRule type="cellIs" dxfId="21170" priority="317" operator="greaterThan">
      <formula>1</formula>
    </cfRule>
    <cfRule type="cellIs" dxfId="21169" priority="318" operator="lessThan">
      <formula>0.8</formula>
    </cfRule>
  </conditionalFormatting>
  <conditionalFormatting sqref="P84:P91">
    <cfRule type="cellIs" dxfId="21168" priority="316" operator="greaterThan">
      <formula>0</formula>
    </cfRule>
  </conditionalFormatting>
  <conditionalFormatting sqref="Q84:Q91">
    <cfRule type="cellIs" dxfId="21167" priority="321" operator="lessThan">
      <formula>0</formula>
    </cfRule>
  </conditionalFormatting>
  <conditionalFormatting sqref="R84:R91">
    <cfRule type="cellIs" dxfId="21166" priority="313" operator="lessThan">
      <formula>0.8</formula>
    </cfRule>
    <cfRule type="cellIs" dxfId="21165" priority="314" operator="greaterThan">
      <formula>1</formula>
    </cfRule>
  </conditionalFormatting>
  <conditionalFormatting sqref="R84:R91">
    <cfRule type="cellIs" dxfId="21164" priority="311" operator="greaterThan">
      <formula>1</formula>
    </cfRule>
    <cfRule type="cellIs" dxfId="21163" priority="312" operator="lessThan">
      <formula>0.8</formula>
    </cfRule>
  </conditionalFormatting>
  <conditionalFormatting sqref="P84:P91">
    <cfRule type="cellIs" dxfId="21162" priority="310" operator="greaterThan">
      <formula>0</formula>
    </cfRule>
  </conditionalFormatting>
  <conditionalFormatting sqref="Q84:Q91">
    <cfRule type="cellIs" dxfId="21161" priority="315" operator="lessThan">
      <formula>0</formula>
    </cfRule>
  </conditionalFormatting>
  <conditionalFormatting sqref="Q84:Q91">
    <cfRule type="cellIs" dxfId="21160" priority="309" operator="lessThan">
      <formula>0</formula>
    </cfRule>
  </conditionalFormatting>
  <conditionalFormatting sqref="R84:R91">
    <cfRule type="cellIs" dxfId="21159" priority="307" operator="lessThan">
      <formula>0.8</formula>
    </cfRule>
    <cfRule type="cellIs" dxfId="21158" priority="308" operator="greaterThan">
      <formula>1</formula>
    </cfRule>
  </conditionalFormatting>
  <conditionalFormatting sqref="R84:R91">
    <cfRule type="cellIs" dxfId="21157" priority="305" operator="greaterThan">
      <formula>1</formula>
    </cfRule>
    <cfRule type="cellIs" dxfId="21156" priority="306" operator="lessThan">
      <formula>0.8</formula>
    </cfRule>
  </conditionalFormatting>
  <conditionalFormatting sqref="P84:P91">
    <cfRule type="cellIs" dxfId="21155" priority="304" operator="greaterThan">
      <formula>0</formula>
    </cfRule>
  </conditionalFormatting>
  <conditionalFormatting sqref="Q84:Q91">
    <cfRule type="cellIs" dxfId="21154" priority="298" operator="lessThan">
      <formula>0</formula>
    </cfRule>
  </conditionalFormatting>
  <conditionalFormatting sqref="R84:R91">
    <cfRule type="cellIs" dxfId="21153" priority="302" operator="lessThan">
      <formula>0.8</formula>
    </cfRule>
    <cfRule type="cellIs" dxfId="21152" priority="303" operator="greaterThan">
      <formula>1</formula>
    </cfRule>
  </conditionalFormatting>
  <conditionalFormatting sqref="R84:R91">
    <cfRule type="cellIs" dxfId="21151" priority="300" operator="greaterThan">
      <formula>1</formula>
    </cfRule>
    <cfRule type="cellIs" dxfId="21150" priority="301" operator="lessThan">
      <formula>0.8</formula>
    </cfRule>
  </conditionalFormatting>
  <conditionalFormatting sqref="P84:P91">
    <cfRule type="cellIs" dxfId="21149" priority="299" operator="greaterThan">
      <formula>0</formula>
    </cfRule>
  </conditionalFormatting>
  <conditionalFormatting sqref="Q84:Q91">
    <cfRule type="cellIs" dxfId="21148" priority="297" operator="lessThan">
      <formula>0</formula>
    </cfRule>
  </conditionalFormatting>
  <conditionalFormatting sqref="R84:R91">
    <cfRule type="cellIs" dxfId="21147" priority="295" operator="lessThan">
      <formula>0.8</formula>
    </cfRule>
    <cfRule type="cellIs" dxfId="21146" priority="296" operator="greaterThan">
      <formula>1</formula>
    </cfRule>
  </conditionalFormatting>
  <conditionalFormatting sqref="R84:R91">
    <cfRule type="cellIs" dxfId="21145" priority="293" operator="greaterThan">
      <formula>1</formula>
    </cfRule>
    <cfRule type="cellIs" dxfId="21144" priority="294" operator="lessThan">
      <formula>0.8</formula>
    </cfRule>
  </conditionalFormatting>
  <conditionalFormatting sqref="P84:P91">
    <cfRule type="cellIs" dxfId="21143" priority="292" operator="greaterThan">
      <formula>0</formula>
    </cfRule>
  </conditionalFormatting>
  <conditionalFormatting sqref="Q84:Q91">
    <cfRule type="cellIs" dxfId="21142" priority="291" operator="lessThan">
      <formula>0</formula>
    </cfRule>
  </conditionalFormatting>
  <conditionalFormatting sqref="R84:R91">
    <cfRule type="cellIs" dxfId="21141" priority="289" operator="lessThan">
      <formula>0.8</formula>
    </cfRule>
    <cfRule type="cellIs" dxfId="21140" priority="290" operator="greaterThan">
      <formula>1</formula>
    </cfRule>
  </conditionalFormatting>
  <conditionalFormatting sqref="R84:R91">
    <cfRule type="cellIs" dxfId="21139" priority="287" operator="greaterThan">
      <formula>1</formula>
    </cfRule>
    <cfRule type="cellIs" dxfId="21138" priority="288" operator="lessThan">
      <formula>0.8</formula>
    </cfRule>
  </conditionalFormatting>
  <conditionalFormatting sqref="P84:P91">
    <cfRule type="cellIs" dxfId="21137" priority="286" operator="greaterThan">
      <formula>0</formula>
    </cfRule>
  </conditionalFormatting>
  <conditionalFormatting sqref="Q84:Q91">
    <cfRule type="cellIs" dxfId="21136" priority="285" operator="lessThan">
      <formula>0</formula>
    </cfRule>
  </conditionalFormatting>
  <conditionalFormatting sqref="R84:R91">
    <cfRule type="cellIs" dxfId="21135" priority="283" operator="lessThan">
      <formula>0.8</formula>
    </cfRule>
    <cfRule type="cellIs" dxfId="21134" priority="284" operator="greaterThan">
      <formula>1</formula>
    </cfRule>
  </conditionalFormatting>
  <conditionalFormatting sqref="R84:R91">
    <cfRule type="cellIs" dxfId="21133" priority="281" operator="greaterThan">
      <formula>1</formula>
    </cfRule>
    <cfRule type="cellIs" dxfId="21132" priority="282" operator="lessThan">
      <formula>0.8</formula>
    </cfRule>
  </conditionalFormatting>
  <conditionalFormatting sqref="P84:P91">
    <cfRule type="cellIs" dxfId="21131" priority="280" operator="greaterThan">
      <formula>0</formula>
    </cfRule>
  </conditionalFormatting>
  <conditionalFormatting sqref="Q84:Q91">
    <cfRule type="cellIs" dxfId="21130" priority="279" operator="lessThan">
      <formula>0</formula>
    </cfRule>
  </conditionalFormatting>
  <conditionalFormatting sqref="R84:R91">
    <cfRule type="cellIs" dxfId="21129" priority="277" operator="lessThan">
      <formula>0.8</formula>
    </cfRule>
    <cfRule type="cellIs" dxfId="21128" priority="278" operator="greaterThan">
      <formula>1</formula>
    </cfRule>
  </conditionalFormatting>
  <conditionalFormatting sqref="R84:R91">
    <cfRule type="cellIs" dxfId="21127" priority="275" operator="greaterThan">
      <formula>1</formula>
    </cfRule>
    <cfRule type="cellIs" dxfId="21126" priority="276" operator="lessThan">
      <formula>0.8</formula>
    </cfRule>
  </conditionalFormatting>
  <conditionalFormatting sqref="P84:P91">
    <cfRule type="cellIs" dxfId="21125" priority="274" operator="greaterThan">
      <formula>0</formula>
    </cfRule>
  </conditionalFormatting>
  <conditionalFormatting sqref="Q84:Q91">
    <cfRule type="cellIs" dxfId="21124" priority="273" operator="lessThan">
      <formula>0</formula>
    </cfRule>
  </conditionalFormatting>
  <conditionalFormatting sqref="R84:R91">
    <cfRule type="cellIs" dxfId="21123" priority="271" operator="lessThan">
      <formula>0.8</formula>
    </cfRule>
    <cfRule type="cellIs" dxfId="21122" priority="272" operator="greaterThan">
      <formula>1</formula>
    </cfRule>
  </conditionalFormatting>
  <conditionalFormatting sqref="R84:R91">
    <cfRule type="cellIs" dxfId="21121" priority="269" operator="greaterThan">
      <formula>1</formula>
    </cfRule>
    <cfRule type="cellIs" dxfId="21120" priority="270" operator="lessThan">
      <formula>0.8</formula>
    </cfRule>
  </conditionalFormatting>
  <conditionalFormatting sqref="P84:P91">
    <cfRule type="cellIs" dxfId="21119" priority="268" operator="greaterThan">
      <formula>0</formula>
    </cfRule>
  </conditionalFormatting>
  <conditionalFormatting sqref="P84:P91">
    <cfRule type="cellIs" dxfId="21118" priority="262" operator="greaterThan">
      <formula>0</formula>
    </cfRule>
  </conditionalFormatting>
  <conditionalFormatting sqref="Q84:Q91">
    <cfRule type="cellIs" dxfId="21117" priority="267" operator="lessThan">
      <formula>0</formula>
    </cfRule>
  </conditionalFormatting>
  <conditionalFormatting sqref="R84:R91">
    <cfRule type="cellIs" dxfId="21116" priority="265" operator="lessThan">
      <formula>0.8</formula>
    </cfRule>
    <cfRule type="cellIs" dxfId="21115" priority="266" operator="greaterThan">
      <formula>1</formula>
    </cfRule>
  </conditionalFormatting>
  <conditionalFormatting sqref="R84:R91">
    <cfRule type="cellIs" dxfId="21114" priority="263" operator="greaterThan">
      <formula>1</formula>
    </cfRule>
    <cfRule type="cellIs" dxfId="21113" priority="264" operator="lessThan">
      <formula>0.8</formula>
    </cfRule>
  </conditionalFormatting>
  <conditionalFormatting sqref="P84:P91">
    <cfRule type="cellIs" dxfId="21112" priority="256" operator="greaterThan">
      <formula>0</formula>
    </cfRule>
  </conditionalFormatting>
  <conditionalFormatting sqref="Q84:Q91">
    <cfRule type="cellIs" dxfId="21111" priority="261" operator="lessThan">
      <formula>0</formula>
    </cfRule>
  </conditionalFormatting>
  <conditionalFormatting sqref="R84:R91">
    <cfRule type="cellIs" dxfId="21110" priority="259" operator="lessThan">
      <formula>0.8</formula>
    </cfRule>
    <cfRule type="cellIs" dxfId="21109" priority="260" operator="greaterThan">
      <formula>1</formula>
    </cfRule>
  </conditionalFormatting>
  <conditionalFormatting sqref="R84:R91">
    <cfRule type="cellIs" dxfId="21108" priority="257" operator="greaterThan">
      <formula>1</formula>
    </cfRule>
    <cfRule type="cellIs" dxfId="21107" priority="258" operator="lessThan">
      <formula>0.8</formula>
    </cfRule>
  </conditionalFormatting>
  <conditionalFormatting sqref="R84:R91">
    <cfRule type="cellIs" dxfId="21106" priority="253" operator="lessThan">
      <formula>0.8</formula>
    </cfRule>
    <cfRule type="cellIs" dxfId="21105" priority="254" operator="greaterThan">
      <formula>1</formula>
    </cfRule>
  </conditionalFormatting>
  <conditionalFormatting sqref="R84:R91">
    <cfRule type="cellIs" dxfId="21104" priority="251" operator="greaterThan">
      <formula>1</formula>
    </cfRule>
    <cfRule type="cellIs" dxfId="21103" priority="252" operator="lessThan">
      <formula>0.8</formula>
    </cfRule>
  </conditionalFormatting>
  <conditionalFormatting sqref="P84:P91">
    <cfRule type="cellIs" dxfId="21102" priority="250" operator="greaterThan">
      <formula>0</formula>
    </cfRule>
  </conditionalFormatting>
  <conditionalFormatting sqref="Q84:Q91">
    <cfRule type="cellIs" dxfId="21101" priority="255" operator="lessThan">
      <formula>0</formula>
    </cfRule>
  </conditionalFormatting>
  <conditionalFormatting sqref="Q84:Q91">
    <cfRule type="cellIs" dxfId="21100" priority="249" operator="lessThan">
      <formula>0</formula>
    </cfRule>
  </conditionalFormatting>
  <conditionalFormatting sqref="R84:R91">
    <cfRule type="cellIs" dxfId="21099" priority="247" operator="lessThan">
      <formula>0.8</formula>
    </cfRule>
    <cfRule type="cellIs" dxfId="21098" priority="248" operator="greaterThan">
      <formula>1</formula>
    </cfRule>
  </conditionalFormatting>
  <conditionalFormatting sqref="R84:R91">
    <cfRule type="cellIs" dxfId="21097" priority="245" operator="greaterThan">
      <formula>1</formula>
    </cfRule>
    <cfRule type="cellIs" dxfId="21096" priority="246" operator="lessThan">
      <formula>0.8</formula>
    </cfRule>
  </conditionalFormatting>
  <conditionalFormatting sqref="P84:P91">
    <cfRule type="cellIs" dxfId="21095" priority="244" operator="greaterThan">
      <formula>0</formula>
    </cfRule>
  </conditionalFormatting>
  <conditionalFormatting sqref="Q84:Q91">
    <cfRule type="cellIs" dxfId="21094" priority="243" operator="lessThan">
      <formula>0</formula>
    </cfRule>
  </conditionalFormatting>
  <conditionalFormatting sqref="R84:R91">
    <cfRule type="cellIs" dxfId="21093" priority="241" operator="lessThan">
      <formula>0.8</formula>
    </cfRule>
    <cfRule type="cellIs" dxfId="21092" priority="242" operator="greaterThan">
      <formula>1</formula>
    </cfRule>
  </conditionalFormatting>
  <conditionalFormatting sqref="R84:R91">
    <cfRule type="cellIs" dxfId="21091" priority="239" operator="greaterThan">
      <formula>1</formula>
    </cfRule>
    <cfRule type="cellIs" dxfId="21090" priority="240" operator="lessThan">
      <formula>0.8</formula>
    </cfRule>
  </conditionalFormatting>
  <conditionalFormatting sqref="P84:P91">
    <cfRule type="cellIs" dxfId="21089" priority="238" operator="greaterThan">
      <formula>0</formula>
    </cfRule>
  </conditionalFormatting>
  <conditionalFormatting sqref="Q84:Q91">
    <cfRule type="cellIs" dxfId="21088" priority="237" operator="lessThan">
      <formula>0</formula>
    </cfRule>
  </conditionalFormatting>
  <conditionalFormatting sqref="R84:R91">
    <cfRule type="cellIs" dxfId="21087" priority="235" operator="lessThan">
      <formula>0.8</formula>
    </cfRule>
    <cfRule type="cellIs" dxfId="21086" priority="236" operator="greaterThan">
      <formula>1</formula>
    </cfRule>
  </conditionalFormatting>
  <conditionalFormatting sqref="R84:R91">
    <cfRule type="cellIs" dxfId="21085" priority="233" operator="greaterThan">
      <formula>1</formula>
    </cfRule>
    <cfRule type="cellIs" dxfId="21084" priority="234" operator="lessThan">
      <formula>0.8</formula>
    </cfRule>
  </conditionalFormatting>
  <conditionalFormatting sqref="P84:P91">
    <cfRule type="cellIs" dxfId="21083" priority="232" operator="greaterThan">
      <formula>0</formula>
    </cfRule>
  </conditionalFormatting>
  <conditionalFormatting sqref="Q84:Q91">
    <cfRule type="cellIs" dxfId="21082" priority="231" operator="lessThan">
      <formula>0</formula>
    </cfRule>
  </conditionalFormatting>
  <conditionalFormatting sqref="R84:R91">
    <cfRule type="cellIs" dxfId="21081" priority="229" operator="lessThan">
      <formula>0.8</formula>
    </cfRule>
    <cfRule type="cellIs" dxfId="21080" priority="230" operator="greaterThan">
      <formula>1</formula>
    </cfRule>
  </conditionalFormatting>
  <conditionalFormatting sqref="R84:R91">
    <cfRule type="cellIs" dxfId="21079" priority="227" operator="greaterThan">
      <formula>1</formula>
    </cfRule>
    <cfRule type="cellIs" dxfId="21078" priority="228" operator="lessThan">
      <formula>0.8</formula>
    </cfRule>
  </conditionalFormatting>
  <conditionalFormatting sqref="P84:P91">
    <cfRule type="cellIs" dxfId="21077" priority="226" operator="greaterThan">
      <formula>0</formula>
    </cfRule>
  </conditionalFormatting>
  <conditionalFormatting sqref="P84:P91">
    <cfRule type="cellIs" dxfId="21076" priority="220" operator="greaterThan">
      <formula>0</formula>
    </cfRule>
  </conditionalFormatting>
  <conditionalFormatting sqref="Q84:Q91">
    <cfRule type="cellIs" dxfId="21075" priority="225" operator="lessThan">
      <formula>0</formula>
    </cfRule>
  </conditionalFormatting>
  <conditionalFormatting sqref="R84:R91">
    <cfRule type="cellIs" dxfId="21074" priority="223" operator="lessThan">
      <formula>0.8</formula>
    </cfRule>
    <cfRule type="cellIs" dxfId="21073" priority="224" operator="greaterThan">
      <formula>1</formula>
    </cfRule>
  </conditionalFormatting>
  <conditionalFormatting sqref="R84:R91">
    <cfRule type="cellIs" dxfId="21072" priority="221" operator="greaterThan">
      <formula>1</formula>
    </cfRule>
    <cfRule type="cellIs" dxfId="21071" priority="222" operator="lessThan">
      <formula>0.8</formula>
    </cfRule>
  </conditionalFormatting>
  <conditionalFormatting sqref="P84:P91">
    <cfRule type="cellIs" dxfId="21070" priority="214" operator="greaterThan">
      <formula>0</formula>
    </cfRule>
  </conditionalFormatting>
  <conditionalFormatting sqref="Q84:Q91">
    <cfRule type="cellIs" dxfId="21069" priority="219" operator="lessThan">
      <formula>0</formula>
    </cfRule>
  </conditionalFormatting>
  <conditionalFormatting sqref="R84:R91">
    <cfRule type="cellIs" dxfId="21068" priority="217" operator="lessThan">
      <formula>0.8</formula>
    </cfRule>
    <cfRule type="cellIs" dxfId="21067" priority="218" operator="greaterThan">
      <formula>1</formula>
    </cfRule>
  </conditionalFormatting>
  <conditionalFormatting sqref="R84:R91">
    <cfRule type="cellIs" dxfId="21066" priority="215" operator="greaterThan">
      <formula>1</formula>
    </cfRule>
    <cfRule type="cellIs" dxfId="21065" priority="216" operator="lessThan">
      <formula>0.8</formula>
    </cfRule>
  </conditionalFormatting>
  <conditionalFormatting sqref="R84:R91">
    <cfRule type="cellIs" dxfId="21064" priority="211" operator="lessThan">
      <formula>0.8</formula>
    </cfRule>
    <cfRule type="cellIs" dxfId="21063" priority="212" operator="greaterThan">
      <formula>1</formula>
    </cfRule>
  </conditionalFormatting>
  <conditionalFormatting sqref="R84:R91">
    <cfRule type="cellIs" dxfId="21062" priority="209" operator="greaterThan">
      <formula>1</formula>
    </cfRule>
    <cfRule type="cellIs" dxfId="21061" priority="210" operator="lessThan">
      <formula>0.8</formula>
    </cfRule>
  </conditionalFormatting>
  <conditionalFormatting sqref="P84:P91">
    <cfRule type="cellIs" dxfId="21060" priority="208" operator="greaterThan">
      <formula>0</formula>
    </cfRule>
  </conditionalFormatting>
  <conditionalFormatting sqref="Q84:Q91">
    <cfRule type="cellIs" dxfId="21059" priority="213" operator="lessThan">
      <formula>0</formula>
    </cfRule>
  </conditionalFormatting>
  <conditionalFormatting sqref="Q84:Q91">
    <cfRule type="cellIs" dxfId="21058" priority="207" operator="lessThan">
      <formula>0</formula>
    </cfRule>
  </conditionalFormatting>
  <conditionalFormatting sqref="R84:R91">
    <cfRule type="cellIs" dxfId="21057" priority="205" operator="lessThan">
      <formula>0.8</formula>
    </cfRule>
    <cfRule type="cellIs" dxfId="21056" priority="206" operator="greaterThan">
      <formula>1</formula>
    </cfRule>
  </conditionalFormatting>
  <conditionalFormatting sqref="R84:R91">
    <cfRule type="cellIs" dxfId="21055" priority="203" operator="greaterThan">
      <formula>1</formula>
    </cfRule>
    <cfRule type="cellIs" dxfId="21054" priority="204" operator="lessThan">
      <formula>0.8</formula>
    </cfRule>
  </conditionalFormatting>
  <conditionalFormatting sqref="P84:P91">
    <cfRule type="cellIs" dxfId="21053" priority="202" operator="greaterThan">
      <formula>0</formula>
    </cfRule>
  </conditionalFormatting>
  <conditionalFormatting sqref="P84:P91">
    <cfRule type="cellIs" dxfId="21052" priority="196" operator="greaterThan">
      <formula>0</formula>
    </cfRule>
  </conditionalFormatting>
  <conditionalFormatting sqref="Q84:Q91">
    <cfRule type="cellIs" dxfId="21051" priority="201" operator="lessThan">
      <formula>0</formula>
    </cfRule>
  </conditionalFormatting>
  <conditionalFormatting sqref="R84:R91">
    <cfRule type="cellIs" dxfId="21050" priority="199" operator="lessThan">
      <formula>0.8</formula>
    </cfRule>
    <cfRule type="cellIs" dxfId="21049" priority="200" operator="greaterThan">
      <formula>1</formula>
    </cfRule>
  </conditionalFormatting>
  <conditionalFormatting sqref="R84:R91">
    <cfRule type="cellIs" dxfId="21048" priority="197" operator="greaterThan">
      <formula>1</formula>
    </cfRule>
    <cfRule type="cellIs" dxfId="21047" priority="198" operator="lessThan">
      <formula>0.8</formula>
    </cfRule>
  </conditionalFormatting>
  <conditionalFormatting sqref="P84:P91">
    <cfRule type="cellIs" dxfId="21046" priority="190" operator="greaterThan">
      <formula>0</formula>
    </cfRule>
  </conditionalFormatting>
  <conditionalFormatting sqref="Q84:Q91">
    <cfRule type="cellIs" dxfId="21045" priority="195" operator="lessThan">
      <formula>0</formula>
    </cfRule>
  </conditionalFormatting>
  <conditionalFormatting sqref="R84:R91">
    <cfRule type="cellIs" dxfId="21044" priority="193" operator="lessThan">
      <formula>0.8</formula>
    </cfRule>
    <cfRule type="cellIs" dxfId="21043" priority="194" operator="greaterThan">
      <formula>1</formula>
    </cfRule>
  </conditionalFormatting>
  <conditionalFormatting sqref="R84:R91">
    <cfRule type="cellIs" dxfId="21042" priority="191" operator="greaterThan">
      <formula>1</formula>
    </cfRule>
    <cfRule type="cellIs" dxfId="21041" priority="192" operator="lessThan">
      <formula>0.8</formula>
    </cfRule>
  </conditionalFormatting>
  <conditionalFormatting sqref="R84:R91">
    <cfRule type="cellIs" dxfId="21040" priority="187" operator="lessThan">
      <formula>0.8</formula>
    </cfRule>
    <cfRule type="cellIs" dxfId="21039" priority="188" operator="greaterThan">
      <formula>1</formula>
    </cfRule>
  </conditionalFormatting>
  <conditionalFormatting sqref="R84:R91">
    <cfRule type="cellIs" dxfId="21038" priority="185" operator="greaterThan">
      <formula>1</formula>
    </cfRule>
    <cfRule type="cellIs" dxfId="21037" priority="186" operator="lessThan">
      <formula>0.8</formula>
    </cfRule>
  </conditionalFormatting>
  <conditionalFormatting sqref="P84:P91">
    <cfRule type="cellIs" dxfId="21036" priority="184" operator="greaterThan">
      <formula>0</formula>
    </cfRule>
  </conditionalFormatting>
  <conditionalFormatting sqref="Q84:Q91">
    <cfRule type="cellIs" dxfId="21035" priority="189" operator="lessThan">
      <formula>0</formula>
    </cfRule>
  </conditionalFormatting>
  <conditionalFormatting sqref="P84:P91">
    <cfRule type="cellIs" dxfId="21034" priority="178" operator="greaterThan">
      <formula>0</formula>
    </cfRule>
  </conditionalFormatting>
  <conditionalFormatting sqref="Q84:Q91">
    <cfRule type="cellIs" dxfId="21033" priority="183" operator="lessThan">
      <formula>0</formula>
    </cfRule>
  </conditionalFormatting>
  <conditionalFormatting sqref="R84:R91">
    <cfRule type="cellIs" dxfId="21032" priority="181" operator="lessThan">
      <formula>0.8</formula>
    </cfRule>
    <cfRule type="cellIs" dxfId="21031" priority="182" operator="greaterThan">
      <formula>1</formula>
    </cfRule>
  </conditionalFormatting>
  <conditionalFormatting sqref="R84:R91">
    <cfRule type="cellIs" dxfId="21030" priority="179" operator="greaterThan">
      <formula>1</formula>
    </cfRule>
    <cfRule type="cellIs" dxfId="21029" priority="180" operator="lessThan">
      <formula>0.8</formula>
    </cfRule>
  </conditionalFormatting>
  <conditionalFormatting sqref="R84:R91">
    <cfRule type="cellIs" dxfId="21028" priority="175" operator="lessThan">
      <formula>0.8</formula>
    </cfRule>
    <cfRule type="cellIs" dxfId="21027" priority="176" operator="greaterThan">
      <formula>1</formula>
    </cfRule>
  </conditionalFormatting>
  <conditionalFormatting sqref="R84:R91">
    <cfRule type="cellIs" dxfId="21026" priority="173" operator="greaterThan">
      <formula>1</formula>
    </cfRule>
    <cfRule type="cellIs" dxfId="21025" priority="174" operator="lessThan">
      <formula>0.8</formula>
    </cfRule>
  </conditionalFormatting>
  <conditionalFormatting sqref="P84:P91">
    <cfRule type="cellIs" dxfId="21024" priority="172" operator="greaterThan">
      <formula>0</formula>
    </cfRule>
  </conditionalFormatting>
  <conditionalFormatting sqref="Q84:Q91">
    <cfRule type="cellIs" dxfId="21023" priority="177" operator="lessThan">
      <formula>0</formula>
    </cfRule>
  </conditionalFormatting>
  <conditionalFormatting sqref="R84:R91">
    <cfRule type="cellIs" dxfId="21022" priority="169" operator="lessThan">
      <formula>0.8</formula>
    </cfRule>
    <cfRule type="cellIs" dxfId="21021" priority="170" operator="greaterThan">
      <formula>1</formula>
    </cfRule>
  </conditionalFormatting>
  <conditionalFormatting sqref="R84:R91">
    <cfRule type="cellIs" dxfId="21020" priority="167" operator="greaterThan">
      <formula>1</formula>
    </cfRule>
    <cfRule type="cellIs" dxfId="21019" priority="168" operator="lessThan">
      <formula>0.8</formula>
    </cfRule>
  </conditionalFormatting>
  <conditionalFormatting sqref="P84:P91">
    <cfRule type="cellIs" dxfId="21018" priority="166" operator="greaterThan">
      <formula>0</formula>
    </cfRule>
  </conditionalFormatting>
  <conditionalFormatting sqref="Q84:Q91">
    <cfRule type="cellIs" dxfId="21017" priority="171" operator="lessThan">
      <formula>0</formula>
    </cfRule>
  </conditionalFormatting>
  <conditionalFormatting sqref="Q84:Q91">
    <cfRule type="cellIs" dxfId="21016" priority="165" operator="lessThan">
      <formula>0</formula>
    </cfRule>
  </conditionalFormatting>
  <conditionalFormatting sqref="R84:R91">
    <cfRule type="cellIs" dxfId="21015" priority="163" operator="lessThan">
      <formula>0.8</formula>
    </cfRule>
    <cfRule type="cellIs" dxfId="21014" priority="164" operator="greaterThan">
      <formula>1</formula>
    </cfRule>
  </conditionalFormatting>
  <conditionalFormatting sqref="R84:R91">
    <cfRule type="cellIs" dxfId="21013" priority="161" operator="greaterThan">
      <formula>1</formula>
    </cfRule>
    <cfRule type="cellIs" dxfId="21012" priority="162" operator="lessThan">
      <formula>0.8</formula>
    </cfRule>
  </conditionalFormatting>
  <conditionalFormatting sqref="P84:P91">
    <cfRule type="cellIs" dxfId="21011" priority="160" operator="greaterThan">
      <formula>0</formula>
    </cfRule>
  </conditionalFormatting>
  <conditionalFormatting sqref="Q84:Q91">
    <cfRule type="cellIs" dxfId="21010" priority="154" operator="lessThan">
      <formula>0</formula>
    </cfRule>
  </conditionalFormatting>
  <conditionalFormatting sqref="R84:R91">
    <cfRule type="cellIs" dxfId="21009" priority="158" operator="lessThan">
      <formula>0.8</formula>
    </cfRule>
    <cfRule type="cellIs" dxfId="21008" priority="159" operator="greaterThan">
      <formula>1</formula>
    </cfRule>
  </conditionalFormatting>
  <conditionalFormatting sqref="R84:R91">
    <cfRule type="cellIs" dxfId="21007" priority="156" operator="greaterThan">
      <formula>1</formula>
    </cfRule>
    <cfRule type="cellIs" dxfId="21006" priority="157" operator="lessThan">
      <formula>0.8</formula>
    </cfRule>
  </conditionalFormatting>
  <conditionalFormatting sqref="P84:P91">
    <cfRule type="cellIs" dxfId="21005" priority="155" operator="greaterThan">
      <formula>0</formula>
    </cfRule>
  </conditionalFormatting>
  <conditionalFormatting sqref="Q84:Q91">
    <cfRule type="cellIs" dxfId="21004" priority="153" operator="lessThan">
      <formula>0</formula>
    </cfRule>
  </conditionalFormatting>
  <conditionalFormatting sqref="R84:R91">
    <cfRule type="cellIs" dxfId="21003" priority="151" operator="lessThan">
      <formula>0.8</formula>
    </cfRule>
    <cfRule type="cellIs" dxfId="21002" priority="152" operator="greaterThan">
      <formula>1</formula>
    </cfRule>
  </conditionalFormatting>
  <conditionalFormatting sqref="R84:R91">
    <cfRule type="cellIs" dxfId="21001" priority="149" operator="greaterThan">
      <formula>1</formula>
    </cfRule>
    <cfRule type="cellIs" dxfId="21000" priority="150" operator="lessThan">
      <formula>0.8</formula>
    </cfRule>
  </conditionalFormatting>
  <conditionalFormatting sqref="P84:P91">
    <cfRule type="cellIs" dxfId="20999" priority="148" operator="greaterThan">
      <formula>0</formula>
    </cfRule>
  </conditionalFormatting>
  <conditionalFormatting sqref="Q84:Q91">
    <cfRule type="cellIs" dxfId="20998" priority="147" operator="lessThan">
      <formula>0</formula>
    </cfRule>
  </conditionalFormatting>
  <conditionalFormatting sqref="R84:R91">
    <cfRule type="cellIs" dxfId="20997" priority="145" operator="lessThan">
      <formula>0.8</formula>
    </cfRule>
    <cfRule type="cellIs" dxfId="20996" priority="146" operator="greaterThan">
      <formula>1</formula>
    </cfRule>
  </conditionalFormatting>
  <conditionalFormatting sqref="R84:R91">
    <cfRule type="cellIs" dxfId="20995" priority="143" operator="greaterThan">
      <formula>1</formula>
    </cfRule>
    <cfRule type="cellIs" dxfId="20994" priority="144" operator="lessThan">
      <formula>0.8</formula>
    </cfRule>
  </conditionalFormatting>
  <conditionalFormatting sqref="P84:P91">
    <cfRule type="cellIs" dxfId="20993" priority="142" operator="greaterThan">
      <formula>0</formula>
    </cfRule>
  </conditionalFormatting>
  <conditionalFormatting sqref="Q84:Q91">
    <cfRule type="cellIs" dxfId="20992" priority="141" operator="lessThan">
      <formula>0</formula>
    </cfRule>
  </conditionalFormatting>
  <conditionalFormatting sqref="R84:R91">
    <cfRule type="cellIs" dxfId="20991" priority="139" operator="lessThan">
      <formula>0.8</formula>
    </cfRule>
    <cfRule type="cellIs" dxfId="20990" priority="140" operator="greaterThan">
      <formula>1</formula>
    </cfRule>
  </conditionalFormatting>
  <conditionalFormatting sqref="R84:R91">
    <cfRule type="cellIs" dxfId="20989" priority="137" operator="greaterThan">
      <formula>1</formula>
    </cfRule>
    <cfRule type="cellIs" dxfId="20988" priority="138" operator="lessThan">
      <formula>0.8</formula>
    </cfRule>
  </conditionalFormatting>
  <conditionalFormatting sqref="P84:P91">
    <cfRule type="cellIs" dxfId="20987" priority="136" operator="greaterThan">
      <formula>0</formula>
    </cfRule>
  </conditionalFormatting>
  <conditionalFormatting sqref="Q84:Q91">
    <cfRule type="cellIs" dxfId="20986" priority="135" operator="lessThan">
      <formula>0</formula>
    </cfRule>
  </conditionalFormatting>
  <conditionalFormatting sqref="R84:R91">
    <cfRule type="cellIs" dxfId="20985" priority="133" operator="lessThan">
      <formula>0.8</formula>
    </cfRule>
    <cfRule type="cellIs" dxfId="20984" priority="134" operator="greaterThan">
      <formula>1</formula>
    </cfRule>
  </conditionalFormatting>
  <conditionalFormatting sqref="R84:R91">
    <cfRule type="cellIs" dxfId="20983" priority="131" operator="greaterThan">
      <formula>1</formula>
    </cfRule>
    <cfRule type="cellIs" dxfId="20982" priority="132" operator="lessThan">
      <formula>0.8</formula>
    </cfRule>
  </conditionalFormatting>
  <conditionalFormatting sqref="P84:P91">
    <cfRule type="cellIs" dxfId="20981" priority="130" operator="greaterThan">
      <formula>0</formula>
    </cfRule>
  </conditionalFormatting>
  <conditionalFormatting sqref="Q84:Q91">
    <cfRule type="cellIs" dxfId="20980" priority="129" operator="lessThan">
      <formula>0</formula>
    </cfRule>
  </conditionalFormatting>
  <conditionalFormatting sqref="R84:R91">
    <cfRule type="cellIs" dxfId="20979" priority="127" operator="lessThan">
      <formula>0.8</formula>
    </cfRule>
    <cfRule type="cellIs" dxfId="20978" priority="128" operator="greaterThan">
      <formula>1</formula>
    </cfRule>
  </conditionalFormatting>
  <conditionalFormatting sqref="R84:R91">
    <cfRule type="cellIs" dxfId="20977" priority="125" operator="greaterThan">
      <formula>1</formula>
    </cfRule>
    <cfRule type="cellIs" dxfId="20976" priority="126" operator="lessThan">
      <formula>0.8</formula>
    </cfRule>
  </conditionalFormatting>
  <conditionalFormatting sqref="P84:P91">
    <cfRule type="cellIs" dxfId="20975" priority="124" operator="greaterThan">
      <formula>0</formula>
    </cfRule>
  </conditionalFormatting>
  <conditionalFormatting sqref="P84:P91">
    <cfRule type="cellIs" dxfId="20974" priority="118" operator="greaterThan">
      <formula>0</formula>
    </cfRule>
  </conditionalFormatting>
  <conditionalFormatting sqref="Q84:Q91">
    <cfRule type="cellIs" dxfId="20973" priority="123" operator="lessThan">
      <formula>0</formula>
    </cfRule>
  </conditionalFormatting>
  <conditionalFormatting sqref="R84:R91">
    <cfRule type="cellIs" dxfId="20972" priority="121" operator="lessThan">
      <formula>0.8</formula>
    </cfRule>
    <cfRule type="cellIs" dxfId="20971" priority="122" operator="greaterThan">
      <formula>1</formula>
    </cfRule>
  </conditionalFormatting>
  <conditionalFormatting sqref="R84:R91">
    <cfRule type="cellIs" dxfId="20970" priority="119" operator="greaterThan">
      <formula>1</formula>
    </cfRule>
    <cfRule type="cellIs" dxfId="20969" priority="120" operator="lessThan">
      <formula>0.8</formula>
    </cfRule>
  </conditionalFormatting>
  <conditionalFormatting sqref="P84:P91">
    <cfRule type="cellIs" dxfId="20968" priority="112" operator="greaterThan">
      <formula>0</formula>
    </cfRule>
  </conditionalFormatting>
  <conditionalFormatting sqref="Q84:Q91">
    <cfRule type="cellIs" dxfId="20967" priority="117" operator="lessThan">
      <formula>0</formula>
    </cfRule>
  </conditionalFormatting>
  <conditionalFormatting sqref="R84:R91">
    <cfRule type="cellIs" dxfId="20966" priority="115" operator="lessThan">
      <formula>0.8</formula>
    </cfRule>
    <cfRule type="cellIs" dxfId="20965" priority="116" operator="greaterThan">
      <formula>1</formula>
    </cfRule>
  </conditionalFormatting>
  <conditionalFormatting sqref="R84:R91">
    <cfRule type="cellIs" dxfId="20964" priority="113" operator="greaterThan">
      <formula>1</formula>
    </cfRule>
    <cfRule type="cellIs" dxfId="20963" priority="114" operator="lessThan">
      <formula>0.8</formula>
    </cfRule>
  </conditionalFormatting>
  <conditionalFormatting sqref="R84:R91">
    <cfRule type="cellIs" dxfId="20962" priority="109" operator="lessThan">
      <formula>0.8</formula>
    </cfRule>
    <cfRule type="cellIs" dxfId="20961" priority="110" operator="greaterThan">
      <formula>1</formula>
    </cfRule>
  </conditionalFormatting>
  <conditionalFormatting sqref="R84:R91">
    <cfRule type="cellIs" dxfId="20960" priority="107" operator="greaterThan">
      <formula>1</formula>
    </cfRule>
    <cfRule type="cellIs" dxfId="20959" priority="108" operator="lessThan">
      <formula>0.8</formula>
    </cfRule>
  </conditionalFormatting>
  <conditionalFormatting sqref="P84:P91">
    <cfRule type="cellIs" dxfId="20958" priority="106" operator="greaterThan">
      <formula>0</formula>
    </cfRule>
  </conditionalFormatting>
  <conditionalFormatting sqref="Q84:Q91">
    <cfRule type="cellIs" dxfId="20957" priority="111" operator="lessThan">
      <formula>0</formula>
    </cfRule>
  </conditionalFormatting>
  <conditionalFormatting sqref="Q84:Q91">
    <cfRule type="cellIs" dxfId="20956" priority="100" operator="lessThan">
      <formula>0</formula>
    </cfRule>
  </conditionalFormatting>
  <conditionalFormatting sqref="P84:P91">
    <cfRule type="cellIs" dxfId="20955" priority="101" operator="greaterThan">
      <formula>0</formula>
    </cfRule>
  </conditionalFormatting>
  <conditionalFormatting sqref="R84:R91">
    <cfRule type="cellIs" dxfId="20954" priority="104" operator="lessThan">
      <formula>0.8</formula>
    </cfRule>
    <cfRule type="cellIs" dxfId="20953" priority="105" operator="greaterThan">
      <formula>1</formula>
    </cfRule>
  </conditionalFormatting>
  <conditionalFormatting sqref="R84:R91">
    <cfRule type="cellIs" dxfId="20952" priority="102" operator="greaterThan">
      <formula>1</formula>
    </cfRule>
    <cfRule type="cellIs" dxfId="20951" priority="103" operator="lessThan">
      <formula>0.8</formula>
    </cfRule>
  </conditionalFormatting>
  <conditionalFormatting sqref="Q84:Q91">
    <cfRule type="cellIs" dxfId="20950" priority="94" operator="lessThan">
      <formula>0</formula>
    </cfRule>
  </conditionalFormatting>
  <conditionalFormatting sqref="R84:R91">
    <cfRule type="cellIs" dxfId="20949" priority="98" operator="lessThan">
      <formula>0.8</formula>
    </cfRule>
    <cfRule type="cellIs" dxfId="20948" priority="99" operator="greaterThan">
      <formula>1</formula>
    </cfRule>
  </conditionalFormatting>
  <conditionalFormatting sqref="R84:R91">
    <cfRule type="cellIs" dxfId="20947" priority="96" operator="greaterThan">
      <formula>1</formula>
    </cfRule>
    <cfRule type="cellIs" dxfId="20946" priority="97" operator="lessThan">
      <formula>0.8</formula>
    </cfRule>
  </conditionalFormatting>
  <conditionalFormatting sqref="P84:P91">
    <cfRule type="cellIs" dxfId="20945" priority="95" operator="greaterThan">
      <formula>0</formula>
    </cfRule>
  </conditionalFormatting>
  <conditionalFormatting sqref="Q84:Q91">
    <cfRule type="cellIs" dxfId="20944" priority="93" operator="lessThan">
      <formula>0</formula>
    </cfRule>
  </conditionalFormatting>
  <conditionalFormatting sqref="R84:R91">
    <cfRule type="cellIs" dxfId="20943" priority="91" operator="lessThan">
      <formula>0.8</formula>
    </cfRule>
    <cfRule type="cellIs" dxfId="20942" priority="92" operator="greaterThan">
      <formula>1</formula>
    </cfRule>
  </conditionalFormatting>
  <conditionalFormatting sqref="R84:R91">
    <cfRule type="cellIs" dxfId="20941" priority="89" operator="greaterThan">
      <formula>1</formula>
    </cfRule>
    <cfRule type="cellIs" dxfId="20940" priority="90" operator="lessThan">
      <formula>0.8</formula>
    </cfRule>
  </conditionalFormatting>
  <conditionalFormatting sqref="P84:P91">
    <cfRule type="cellIs" dxfId="20939" priority="88" operator="greaterThan">
      <formula>0</formula>
    </cfRule>
  </conditionalFormatting>
  <conditionalFormatting sqref="Q84:Q91">
    <cfRule type="cellIs" dxfId="20938" priority="87" operator="lessThan">
      <formula>0</formula>
    </cfRule>
  </conditionalFormatting>
  <conditionalFormatting sqref="R84:R91">
    <cfRule type="cellIs" dxfId="20937" priority="85" operator="lessThan">
      <formula>0.8</formula>
    </cfRule>
    <cfRule type="cellIs" dxfId="20936" priority="86" operator="greaterThan">
      <formula>1</formula>
    </cfRule>
  </conditionalFormatting>
  <conditionalFormatting sqref="R84:R91">
    <cfRule type="cellIs" dxfId="20935" priority="83" operator="greaterThan">
      <formula>1</formula>
    </cfRule>
    <cfRule type="cellIs" dxfId="20934" priority="84" operator="lessThan">
      <formula>0.8</formula>
    </cfRule>
  </conditionalFormatting>
  <conditionalFormatting sqref="P84:P91">
    <cfRule type="cellIs" dxfId="20933" priority="82" operator="greaterThan">
      <formula>0</formula>
    </cfRule>
  </conditionalFormatting>
  <conditionalFormatting sqref="Q84:Q91">
    <cfRule type="cellIs" dxfId="20932" priority="81" operator="lessThan">
      <formula>0</formula>
    </cfRule>
  </conditionalFormatting>
  <conditionalFormatting sqref="R84:R91">
    <cfRule type="cellIs" dxfId="20931" priority="79" operator="lessThan">
      <formula>0.8</formula>
    </cfRule>
    <cfRule type="cellIs" dxfId="20930" priority="80" operator="greaterThan">
      <formula>1</formula>
    </cfRule>
  </conditionalFormatting>
  <conditionalFormatting sqref="R84:R91">
    <cfRule type="cellIs" dxfId="20929" priority="77" operator="greaterThan">
      <formula>1</formula>
    </cfRule>
    <cfRule type="cellIs" dxfId="20928" priority="78" operator="lessThan">
      <formula>0.8</formula>
    </cfRule>
  </conditionalFormatting>
  <conditionalFormatting sqref="P84:P91">
    <cfRule type="cellIs" dxfId="20927" priority="76" operator="greaterThan">
      <formula>0</formula>
    </cfRule>
  </conditionalFormatting>
  <conditionalFormatting sqref="Q162:Q166">
    <cfRule type="cellIs" dxfId="20926" priority="75" operator="lessThan">
      <formula>0</formula>
    </cfRule>
  </conditionalFormatting>
  <conditionalFormatting sqref="R162:R166">
    <cfRule type="cellIs" dxfId="20925" priority="73" operator="lessThan">
      <formula>0.8</formula>
    </cfRule>
    <cfRule type="cellIs" dxfId="20924" priority="74" operator="greaterThan">
      <formula>1</formula>
    </cfRule>
  </conditionalFormatting>
  <conditionalFormatting sqref="R162:R166">
    <cfRule type="cellIs" dxfId="20923" priority="71" operator="greaterThan">
      <formula>1</formula>
    </cfRule>
    <cfRule type="cellIs" dxfId="20922" priority="72" operator="lessThan">
      <formula>0.8</formula>
    </cfRule>
  </conditionalFormatting>
  <conditionalFormatting sqref="P162:P166">
    <cfRule type="cellIs" dxfId="20921" priority="70" operator="greaterThan">
      <formula>0</formula>
    </cfRule>
  </conditionalFormatting>
  <conditionalFormatting sqref="P167:P168">
    <cfRule type="cellIs" dxfId="20920" priority="64" operator="greaterThan">
      <formula>0</formula>
    </cfRule>
  </conditionalFormatting>
  <conditionalFormatting sqref="R167:R168">
    <cfRule type="cellIs" dxfId="20919" priority="67" operator="lessThan">
      <formula>0.8</formula>
    </cfRule>
    <cfRule type="cellIs" dxfId="20918" priority="68" operator="greaterThan">
      <formula>1</formula>
    </cfRule>
  </conditionalFormatting>
  <conditionalFormatting sqref="R167:R168">
    <cfRule type="cellIs" dxfId="20917" priority="65" operator="greaterThan">
      <formula>1</formula>
    </cfRule>
    <cfRule type="cellIs" dxfId="20916" priority="66" operator="lessThan">
      <formula>0.8</formula>
    </cfRule>
  </conditionalFormatting>
  <conditionalFormatting sqref="Q167:Q168">
    <cfRule type="cellIs" dxfId="20915" priority="69" operator="lessThan">
      <formula>0</formula>
    </cfRule>
  </conditionalFormatting>
  <conditionalFormatting sqref="Q161">
    <cfRule type="cellIs" dxfId="20914" priority="63" operator="lessThan">
      <formula>0</formula>
    </cfRule>
  </conditionalFormatting>
  <conditionalFormatting sqref="R161">
    <cfRule type="cellIs" dxfId="20913" priority="61" operator="lessThan">
      <formula>0.8</formula>
    </cfRule>
    <cfRule type="cellIs" dxfId="20912" priority="62" operator="greaterThan">
      <formula>1</formula>
    </cfRule>
  </conditionalFormatting>
  <conditionalFormatting sqref="R161">
    <cfRule type="cellIs" dxfId="20911" priority="59" operator="greaterThan">
      <formula>1</formula>
    </cfRule>
    <cfRule type="cellIs" dxfId="20910" priority="60" operator="lessThan">
      <formula>0.8</formula>
    </cfRule>
  </conditionalFormatting>
  <conditionalFormatting sqref="P161">
    <cfRule type="cellIs" dxfId="20909" priority="58" operator="greaterThan">
      <formula>0</formula>
    </cfRule>
  </conditionalFormatting>
  <conditionalFormatting sqref="Q162:Q166">
    <cfRule type="cellIs" dxfId="20908" priority="57" operator="lessThan">
      <formula>0</formula>
    </cfRule>
  </conditionalFormatting>
  <conditionalFormatting sqref="R162:R166">
    <cfRule type="cellIs" dxfId="20907" priority="55" operator="lessThan">
      <formula>0.8</formula>
    </cfRule>
    <cfRule type="cellIs" dxfId="20906" priority="56" operator="greaterThan">
      <formula>1</formula>
    </cfRule>
  </conditionalFormatting>
  <conditionalFormatting sqref="R162:R166">
    <cfRule type="cellIs" dxfId="20905" priority="53" operator="greaterThan">
      <formula>1</formula>
    </cfRule>
    <cfRule type="cellIs" dxfId="20904" priority="54" operator="lessThan">
      <formula>0.8</formula>
    </cfRule>
  </conditionalFormatting>
  <conditionalFormatting sqref="P162:P166">
    <cfRule type="cellIs" dxfId="20903" priority="52" operator="greaterThan">
      <formula>0</formula>
    </cfRule>
  </conditionalFormatting>
  <conditionalFormatting sqref="Q162:Q166">
    <cfRule type="cellIs" dxfId="20902" priority="51" operator="lessThan">
      <formula>0</formula>
    </cfRule>
  </conditionalFormatting>
  <conditionalFormatting sqref="R162:R166">
    <cfRule type="cellIs" dxfId="20901" priority="49" operator="lessThan">
      <formula>0.8</formula>
    </cfRule>
    <cfRule type="cellIs" dxfId="20900" priority="50" operator="greaterThan">
      <formula>1</formula>
    </cfRule>
  </conditionalFormatting>
  <conditionalFormatting sqref="R162:R166">
    <cfRule type="cellIs" dxfId="20899" priority="47" operator="greaterThan">
      <formula>1</formula>
    </cfRule>
    <cfRule type="cellIs" dxfId="20898" priority="48" operator="lessThan">
      <formula>0.8</formula>
    </cfRule>
  </conditionalFormatting>
  <conditionalFormatting sqref="P162:P166">
    <cfRule type="cellIs" dxfId="20897" priority="46" operator="greaterThan">
      <formula>0</formula>
    </cfRule>
  </conditionalFormatting>
  <conditionalFormatting sqref="Q167:Q168">
    <cfRule type="cellIs" dxfId="20896" priority="45" operator="lessThan">
      <formula>0</formula>
    </cfRule>
  </conditionalFormatting>
  <conditionalFormatting sqref="R167:R168">
    <cfRule type="cellIs" dxfId="20895" priority="43" operator="lessThan">
      <formula>0.8</formula>
    </cfRule>
    <cfRule type="cellIs" dxfId="20894" priority="44" operator="greaterThan">
      <formula>1</formula>
    </cfRule>
  </conditionalFormatting>
  <conditionalFormatting sqref="R167:R168">
    <cfRule type="cellIs" dxfId="20893" priority="41" operator="greaterThan">
      <formula>1</formula>
    </cfRule>
    <cfRule type="cellIs" dxfId="20892" priority="42" operator="lessThan">
      <formula>0.8</formula>
    </cfRule>
  </conditionalFormatting>
  <conditionalFormatting sqref="P167:P168">
    <cfRule type="cellIs" dxfId="20891" priority="40" operator="greaterThan">
      <formula>0</formula>
    </cfRule>
  </conditionalFormatting>
  <conditionalFormatting sqref="Q161">
    <cfRule type="cellIs" dxfId="20890" priority="39" operator="lessThan">
      <formula>0</formula>
    </cfRule>
  </conditionalFormatting>
  <conditionalFormatting sqref="R161">
    <cfRule type="cellIs" dxfId="20889" priority="37" operator="lessThan">
      <formula>0.8</formula>
    </cfRule>
    <cfRule type="cellIs" dxfId="20888" priority="38" operator="greaterThan">
      <formula>1</formula>
    </cfRule>
  </conditionalFormatting>
  <conditionalFormatting sqref="R161">
    <cfRule type="cellIs" dxfId="20887" priority="35" operator="greaterThan">
      <formula>1</formula>
    </cfRule>
    <cfRule type="cellIs" dxfId="20886" priority="36" operator="lessThan">
      <formula>0.8</formula>
    </cfRule>
  </conditionalFormatting>
  <conditionalFormatting sqref="P161">
    <cfRule type="cellIs" dxfId="20885" priority="34" operator="greaterThan">
      <formula>0</formula>
    </cfRule>
  </conditionalFormatting>
  <conditionalFormatting sqref="Q162:Q166">
    <cfRule type="cellIs" dxfId="20884" priority="33" operator="lessThan">
      <formula>0</formula>
    </cfRule>
  </conditionalFormatting>
  <conditionalFormatting sqref="R162:R166">
    <cfRule type="cellIs" dxfId="20883" priority="31" operator="lessThan">
      <formula>0.8</formula>
    </cfRule>
    <cfRule type="cellIs" dxfId="20882" priority="32" operator="greaterThan">
      <formula>1</formula>
    </cfRule>
  </conditionalFormatting>
  <conditionalFormatting sqref="R162:R166">
    <cfRule type="cellIs" dxfId="20881" priority="29" operator="greaterThan">
      <formula>1</formula>
    </cfRule>
    <cfRule type="cellIs" dxfId="20880" priority="30" operator="lessThan">
      <formula>0.8</formula>
    </cfRule>
  </conditionalFormatting>
  <conditionalFormatting sqref="P162:P166">
    <cfRule type="cellIs" dxfId="20879" priority="28" operator="greaterThan">
      <formula>0</formula>
    </cfRule>
  </conditionalFormatting>
  <conditionalFormatting sqref="Q161">
    <cfRule type="cellIs" dxfId="20878" priority="27" operator="lessThan">
      <formula>0</formula>
    </cfRule>
  </conditionalFormatting>
  <conditionalFormatting sqref="R161">
    <cfRule type="cellIs" dxfId="20877" priority="25" operator="lessThan">
      <formula>0.8</formula>
    </cfRule>
    <cfRule type="cellIs" dxfId="20876" priority="26" operator="greaterThan">
      <formula>1</formula>
    </cfRule>
  </conditionalFormatting>
  <conditionalFormatting sqref="R161">
    <cfRule type="cellIs" dxfId="20875" priority="23" operator="greaterThan">
      <formula>1</formula>
    </cfRule>
    <cfRule type="cellIs" dxfId="20874" priority="24" operator="lessThan">
      <formula>0.8</formula>
    </cfRule>
  </conditionalFormatting>
  <conditionalFormatting sqref="P161">
    <cfRule type="cellIs" dxfId="20873" priority="22" operator="greaterThan">
      <formula>0</formula>
    </cfRule>
  </conditionalFormatting>
  <conditionalFormatting sqref="Q162:Q166">
    <cfRule type="cellIs" dxfId="20872" priority="21" operator="lessThan">
      <formula>0</formula>
    </cfRule>
  </conditionalFormatting>
  <conditionalFormatting sqref="R162:R166">
    <cfRule type="cellIs" dxfId="20871" priority="19" operator="lessThan">
      <formula>0.8</formula>
    </cfRule>
    <cfRule type="cellIs" dxfId="20870" priority="20" operator="greaterThan">
      <formula>1</formula>
    </cfRule>
  </conditionalFormatting>
  <conditionalFormatting sqref="R162:R166">
    <cfRule type="cellIs" dxfId="20869" priority="17" operator="greaterThan">
      <formula>1</formula>
    </cfRule>
    <cfRule type="cellIs" dxfId="20868" priority="18" operator="lessThan">
      <formula>0.8</formula>
    </cfRule>
  </conditionalFormatting>
  <conditionalFormatting sqref="P162:P166">
    <cfRule type="cellIs" dxfId="20867" priority="16" operator="greaterThan">
      <formula>0</formula>
    </cfRule>
  </conditionalFormatting>
  <conditionalFormatting sqref="Q161">
    <cfRule type="cellIs" dxfId="20866" priority="15" operator="lessThan">
      <formula>0</formula>
    </cfRule>
  </conditionalFormatting>
  <conditionalFormatting sqref="R161">
    <cfRule type="cellIs" dxfId="20865" priority="13" operator="lessThan">
      <formula>0.8</formula>
    </cfRule>
    <cfRule type="cellIs" dxfId="20864" priority="14" operator="greaterThan">
      <formula>1</formula>
    </cfRule>
  </conditionalFormatting>
  <conditionalFormatting sqref="R161">
    <cfRule type="cellIs" dxfId="20863" priority="11" operator="greaterThan">
      <formula>1</formula>
    </cfRule>
    <cfRule type="cellIs" dxfId="20862" priority="12" operator="lessThan">
      <formula>0.8</formula>
    </cfRule>
  </conditionalFormatting>
  <conditionalFormatting sqref="P161">
    <cfRule type="cellIs" dxfId="20861" priority="10" operator="greaterThan">
      <formula>0</formula>
    </cfRule>
  </conditionalFormatting>
  <conditionalFormatting sqref="P167:P168">
    <cfRule type="cellIs" dxfId="20860" priority="4" operator="greaterThan">
      <formula>0</formula>
    </cfRule>
  </conditionalFormatting>
  <conditionalFormatting sqref="R167:R168">
    <cfRule type="cellIs" dxfId="20859" priority="7" operator="lessThan">
      <formula>0.8</formula>
    </cfRule>
    <cfRule type="cellIs" dxfId="20858" priority="8" operator="greaterThan">
      <formula>1</formula>
    </cfRule>
  </conditionalFormatting>
  <conditionalFormatting sqref="R167:R168">
    <cfRule type="cellIs" dxfId="20857" priority="5" operator="greaterThan">
      <formula>1</formula>
    </cfRule>
    <cfRule type="cellIs" dxfId="20856" priority="6" operator="lessThan">
      <formula>0.8</formula>
    </cfRule>
  </conditionalFormatting>
  <conditionalFormatting sqref="Q167:Q168">
    <cfRule type="cellIs" dxfId="20855" priority="9" operator="lessThan">
      <formula>0</formula>
    </cfRule>
  </conditionalFormatting>
  <conditionalFormatting sqref="AF30">
    <cfRule type="cellIs" dxfId="20854" priority="3" operator="lessThan">
      <formula>0</formula>
    </cfRule>
  </conditionalFormatting>
  <conditionalFormatting sqref="AG30">
    <cfRule type="cellIs" dxfId="20853" priority="1" operator="greaterThan">
      <formula>1</formula>
    </cfRule>
    <cfRule type="cellIs" dxfId="20852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7" zoomScale="40" zoomScaleNormal="40" workbookViewId="0">
      <selection activeCell="Q32" sqref="Q32"/>
    </sheetView>
  </sheetViews>
  <sheetFormatPr defaultColWidth="8.125" defaultRowHeight="15.75"/>
  <cols>
    <col min="1" max="1" width="8.125" style="2"/>
    <col min="2" max="2" width="7.125" style="2" customWidth="1"/>
    <col min="3" max="3" width="7.125" style="61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27" t="s">
        <v>0</v>
      </c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9"/>
      <c r="N1" s="1"/>
      <c r="O1" s="1"/>
    </row>
    <row r="2" spans="2:17" ht="27.75" customHeight="1">
      <c r="B2" s="527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9"/>
      <c r="N2" s="1"/>
      <c r="O2" s="1"/>
    </row>
    <row r="3" spans="2:17" ht="46.5" customHeight="1">
      <c r="B3" s="521" t="s">
        <v>1</v>
      </c>
      <c r="C3" s="522"/>
      <c r="D3" s="530" t="s">
        <v>381</v>
      </c>
      <c r="E3" s="531"/>
      <c r="F3" s="521" t="s">
        <v>2</v>
      </c>
      <c r="G3" s="522"/>
      <c r="H3" s="532">
        <v>180296.40000000002</v>
      </c>
      <c r="I3" s="533"/>
      <c r="J3" s="521" t="s">
        <v>3</v>
      </c>
      <c r="K3" s="522"/>
      <c r="L3" s="534">
        <v>5887244.0466577299</v>
      </c>
      <c r="M3" s="535"/>
      <c r="N3" s="3"/>
    </row>
    <row r="4" spans="2:17" ht="24" customHeight="1">
      <c r="B4" s="521" t="s">
        <v>4</v>
      </c>
      <c r="C4" s="522"/>
      <c r="D4" s="513" t="s">
        <v>5</v>
      </c>
      <c r="E4" s="514"/>
      <c r="F4" s="525" t="s">
        <v>6</v>
      </c>
      <c r="G4" s="526"/>
      <c r="H4" s="525" t="s">
        <v>7</v>
      </c>
      <c r="I4" s="526"/>
      <c r="J4" s="525" t="s">
        <v>8</v>
      </c>
      <c r="K4" s="526"/>
      <c r="L4" s="525" t="s">
        <v>9</v>
      </c>
      <c r="M4" s="526"/>
      <c r="N4" s="505" t="s">
        <v>10</v>
      </c>
      <c r="O4" s="506"/>
      <c r="P4" s="506" t="s">
        <v>11</v>
      </c>
      <c r="Q4" s="506"/>
    </row>
    <row r="5" spans="2:17" ht="24" customHeight="1">
      <c r="B5" s="507" t="s">
        <v>12</v>
      </c>
      <c r="C5" s="508"/>
      <c r="D5" s="513" t="s">
        <v>13</v>
      </c>
      <c r="E5" s="514"/>
      <c r="F5" s="513" t="s">
        <v>14</v>
      </c>
      <c r="G5" s="514"/>
      <c r="H5" s="515" t="s">
        <v>15</v>
      </c>
      <c r="I5" s="516"/>
      <c r="J5" s="517" t="s">
        <v>16</v>
      </c>
      <c r="K5" s="518"/>
      <c r="L5" s="519" t="s">
        <v>17</v>
      </c>
      <c r="M5" s="520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509"/>
      <c r="C6" s="510"/>
      <c r="D6" s="521" t="s">
        <v>21</v>
      </c>
      <c r="E6" s="522"/>
      <c r="F6" s="523">
        <f>AVERAGE(D13:O13,P13:Q13,D30:F30,H30,J30:L30)</f>
        <v>359.12266582178086</v>
      </c>
      <c r="G6" s="524"/>
      <c r="H6" s="499">
        <f>AVERAGE(D13:P13,Q13)</f>
        <v>146.18399873267131</v>
      </c>
      <c r="I6" s="500"/>
      <c r="J6" s="499">
        <f>AVERAGE(D30:F30,H30)</f>
        <v>717.5</v>
      </c>
      <c r="K6" s="500"/>
      <c r="L6" s="501">
        <f>AVERAGE(J30:L30)</f>
        <v>875</v>
      </c>
      <c r="M6" s="502"/>
      <c r="N6" s="503">
        <v>0</v>
      </c>
      <c r="O6" s="488">
        <v>0</v>
      </c>
      <c r="P6" s="504">
        <v>5</v>
      </c>
      <c r="Q6" s="488">
        <v>2</v>
      </c>
    </row>
    <row r="7" spans="2:17" s="6" customFormat="1" ht="39.6" customHeight="1">
      <c r="B7" s="509"/>
      <c r="C7" s="510"/>
      <c r="D7" s="489" t="s">
        <v>22</v>
      </c>
      <c r="E7" s="490"/>
      <c r="F7" s="491">
        <f>AVERAGE(D14:O14,P14:Q14,D31:F31,J31:L31,H31)</f>
        <v>333.30436692862668</v>
      </c>
      <c r="G7" s="492"/>
      <c r="H7" s="493">
        <f>AVERAGE(D14:P14,Q14)</f>
        <v>127.69889080507481</v>
      </c>
      <c r="I7" s="494"/>
      <c r="J7" s="493">
        <f>AVERAGE(D31:F31,H31)</f>
        <v>719.95293776944709</v>
      </c>
      <c r="K7" s="494"/>
      <c r="L7" s="495">
        <f>AVERAGE(J31:L31)</f>
        <v>777.26516105077496</v>
      </c>
      <c r="M7" s="496"/>
      <c r="N7" s="503"/>
      <c r="O7" s="488"/>
      <c r="P7" s="504"/>
      <c r="Q7" s="488"/>
    </row>
    <row r="8" spans="2:17" s="6" customFormat="1" ht="39.6" customHeight="1">
      <c r="B8" s="511"/>
      <c r="C8" s="512"/>
      <c r="D8" s="489" t="s">
        <v>23</v>
      </c>
      <c r="E8" s="490"/>
      <c r="F8" s="497">
        <f>AVERAGE(D15:O15,P15:Q15,D32:F32,H32,J32:K32,L32)</f>
        <v>0.8959541773152625</v>
      </c>
      <c r="G8" s="498"/>
      <c r="H8" s="497">
        <f>AVERAGE(D15:O15,P15:Q15)</f>
        <v>0.8728363389769539</v>
      </c>
      <c r="I8" s="498"/>
      <c r="J8" s="497">
        <f>AVERAGE(D32:F32,H32)</f>
        <v>0.98107478419645722</v>
      </c>
      <c r="K8" s="498"/>
      <c r="L8" s="497">
        <f>AVERAGE(J32:L32)</f>
        <v>0.89034328038577526</v>
      </c>
      <c r="M8" s="498"/>
      <c r="N8" s="503"/>
      <c r="O8" s="488"/>
      <c r="P8" s="504"/>
      <c r="Q8" s="48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462" t="s">
        <v>24</v>
      </c>
      <c r="C10" s="484"/>
      <c r="D10" s="485" t="s">
        <v>25</v>
      </c>
      <c r="E10" s="486"/>
      <c r="F10" s="486"/>
      <c r="G10" s="486"/>
      <c r="H10" s="486"/>
      <c r="I10" s="486"/>
      <c r="J10" s="486"/>
      <c r="K10" s="486"/>
      <c r="L10" s="486"/>
      <c r="M10" s="486"/>
      <c r="N10" s="486"/>
      <c r="O10" s="486"/>
      <c r="P10" s="486"/>
      <c r="Q10" s="487"/>
    </row>
    <row r="11" spans="2:17" ht="17.25" customHeight="1">
      <c r="B11" s="470" t="s">
        <v>26</v>
      </c>
      <c r="C11" s="47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50000000000003" customHeight="1">
      <c r="B12" s="472"/>
      <c r="C12" s="473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50000000000003" customHeight="1">
      <c r="B13" s="474" t="s">
        <v>41</v>
      </c>
      <c r="C13" s="14" t="s">
        <v>42</v>
      </c>
      <c r="D13" s="15">
        <v>109.07529239766082</v>
      </c>
      <c r="E13" s="15">
        <v>95.647992530345476</v>
      </c>
      <c r="F13" s="15">
        <v>138.53182636077375</v>
      </c>
      <c r="G13" s="15">
        <v>257.5555555555556</v>
      </c>
      <c r="H13" s="15">
        <v>250</v>
      </c>
      <c r="I13" s="15">
        <v>87.873015873015873</v>
      </c>
      <c r="J13" s="15">
        <v>107.40233918128656</v>
      </c>
      <c r="K13" s="15">
        <v>324.98511904761898</v>
      </c>
      <c r="L13" s="15">
        <v>84.573129251700692</v>
      </c>
      <c r="M13" s="15">
        <v>82.46974574917688</v>
      </c>
      <c r="N13" s="15">
        <v>84.656346749226003</v>
      </c>
      <c r="O13" s="15">
        <v>78.281144036561997</v>
      </c>
      <c r="P13" s="15">
        <v>195.52447552447552</v>
      </c>
      <c r="Q13" s="16">
        <v>150</v>
      </c>
    </row>
    <row r="14" spans="2:17" ht="39.950000000000003" customHeight="1">
      <c r="B14" s="475"/>
      <c r="C14" s="14" t="s">
        <v>43</v>
      </c>
      <c r="D14" s="15">
        <v>95.842250448542771</v>
      </c>
      <c r="E14" s="15">
        <v>79.023341669066014</v>
      </c>
      <c r="F14" s="15">
        <v>123.72473441392411</v>
      </c>
      <c r="G14" s="15">
        <v>221.99313891388513</v>
      </c>
      <c r="H14" s="15">
        <v>209.70067731093229</v>
      </c>
      <c r="I14" s="15">
        <v>76.780504911754917</v>
      </c>
      <c r="J14" s="15">
        <v>94.505192457421302</v>
      </c>
      <c r="K14" s="15">
        <v>272.43083212808409</v>
      </c>
      <c r="L14" s="15">
        <v>72.294992997198833</v>
      </c>
      <c r="M14" s="15">
        <v>67.223039123373837</v>
      </c>
      <c r="N14" s="15">
        <v>73.399409973608059</v>
      </c>
      <c r="O14" s="15">
        <v>68.215401069518791</v>
      </c>
      <c r="P14" s="15">
        <v>191.36095012034036</v>
      </c>
      <c r="Q14" s="16">
        <v>141.29000573339707</v>
      </c>
    </row>
    <row r="15" spans="2:17" ht="39.950000000000003" customHeight="1">
      <c r="B15" s="476"/>
      <c r="C15" s="10" t="s">
        <v>44</v>
      </c>
      <c r="D15" s="17">
        <f t="shared" ref="D15:P15" si="0">D14/D13</f>
        <v>0.87867974810579708</v>
      </c>
      <c r="E15" s="17">
        <f t="shared" si="0"/>
        <v>0.82618923386180743</v>
      </c>
      <c r="F15" s="17">
        <f t="shared" si="0"/>
        <v>0.89311415047479392</v>
      </c>
      <c r="G15" s="17">
        <f t="shared" si="0"/>
        <v>0.86192331761215091</v>
      </c>
      <c r="H15" s="17">
        <f t="shared" si="0"/>
        <v>0.83880270924372913</v>
      </c>
      <c r="I15" s="17">
        <f t="shared" si="0"/>
        <v>0.87376658407524566</v>
      </c>
      <c r="J15" s="17">
        <f t="shared" si="0"/>
        <v>0.87991745038163549</v>
      </c>
      <c r="K15" s="17">
        <f t="shared" si="0"/>
        <v>0.83828709734911189</v>
      </c>
      <c r="L15" s="17">
        <f t="shared" si="0"/>
        <v>0.85482225426517544</v>
      </c>
      <c r="M15" s="17">
        <f t="shared" si="0"/>
        <v>0.81512363731332083</v>
      </c>
      <c r="N15" s="17">
        <f t="shared" si="0"/>
        <v>0.86702784601650829</v>
      </c>
      <c r="O15" s="17">
        <f t="shared" si="0"/>
        <v>0.87141548464925478</v>
      </c>
      <c r="P15" s="17">
        <f t="shared" si="0"/>
        <v>0.97870586077284238</v>
      </c>
      <c r="Q15" s="18">
        <f>Q14/Q13</f>
        <v>0.94193337155598045</v>
      </c>
    </row>
    <row r="16" spans="2:17" ht="22.9" customHeight="1">
      <c r="B16" s="477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9" customHeight="1">
      <c r="B17" s="478"/>
      <c r="C17" s="10" t="s">
        <v>47</v>
      </c>
      <c r="D17" s="19">
        <v>0.65694444444444444</v>
      </c>
      <c r="E17" s="19">
        <v>0.49583333333333329</v>
      </c>
      <c r="F17" s="19">
        <v>0.44444444444444442</v>
      </c>
      <c r="G17" s="19">
        <v>0.45694444444444443</v>
      </c>
      <c r="H17" s="19">
        <v>0.57986111111111105</v>
      </c>
      <c r="I17" s="19">
        <v>0.62430555555555545</v>
      </c>
      <c r="J17" s="19">
        <v>0.81041666666666656</v>
      </c>
      <c r="K17" s="19">
        <v>0.53819444444444442</v>
      </c>
      <c r="L17" s="19">
        <v>0.82361111111111118</v>
      </c>
      <c r="M17" s="19">
        <v>0.96180555555555547</v>
      </c>
      <c r="N17" s="19">
        <v>0.98333333333333328</v>
      </c>
      <c r="O17" s="19">
        <v>0.86111111111111094</v>
      </c>
      <c r="P17" s="19">
        <v>0.54166666666666663</v>
      </c>
      <c r="Q17" s="20">
        <v>0.53819444444444442</v>
      </c>
    </row>
    <row r="18" spans="2:17" ht="22.9" customHeight="1">
      <c r="B18" s="479" t="s">
        <v>48</v>
      </c>
      <c r="C18" s="480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9" customHeight="1">
      <c r="B19" s="481"/>
      <c r="C19" s="482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9" customHeight="1">
      <c r="B20" s="479" t="s">
        <v>50</v>
      </c>
      <c r="C20" s="480"/>
      <c r="D20" s="21">
        <v>1</v>
      </c>
      <c r="E20" s="21" t="s">
        <v>49</v>
      </c>
      <c r="F20" s="21">
        <v>1</v>
      </c>
      <c r="G20" s="21" t="s">
        <v>49</v>
      </c>
      <c r="H20" s="21">
        <v>1</v>
      </c>
      <c r="I20" s="21" t="s">
        <v>49</v>
      </c>
      <c r="J20" s="21">
        <v>1</v>
      </c>
      <c r="K20" s="21" t="s">
        <v>49</v>
      </c>
      <c r="L20" s="21">
        <v>1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9" customHeight="1">
      <c r="B21" s="481"/>
      <c r="C21" s="482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>
        <v>1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>
        <v>1</v>
      </c>
      <c r="P21" s="21" t="s">
        <v>49</v>
      </c>
      <c r="Q21" s="22"/>
    </row>
    <row r="22" spans="2:17" ht="22.9" customHeight="1">
      <c r="B22" s="458" t="s">
        <v>51</v>
      </c>
      <c r="C22" s="459"/>
      <c r="D22" s="23">
        <v>18.375</v>
      </c>
      <c r="E22" s="23">
        <v>17.857142857142858</v>
      </c>
      <c r="F22" s="23">
        <v>14.833333333333334</v>
      </c>
      <c r="G22" s="23">
        <v>6.333333333333333</v>
      </c>
      <c r="H22" s="23">
        <v>6.75</v>
      </c>
      <c r="I22" s="23">
        <v>16.2</v>
      </c>
      <c r="J22" s="23">
        <v>16</v>
      </c>
      <c r="K22" s="23">
        <v>8.4285714285714288</v>
      </c>
      <c r="L22" s="23">
        <v>17.428571428571427</v>
      </c>
      <c r="M22" s="23">
        <v>18.3</v>
      </c>
      <c r="N22" s="23">
        <v>17.571428571428573</v>
      </c>
      <c r="O22" s="23">
        <v>18.399999999999999</v>
      </c>
      <c r="P22" s="23">
        <v>11.6</v>
      </c>
      <c r="Q22" s="24">
        <v>11.3</v>
      </c>
    </row>
    <row r="23" spans="2:17" ht="22.9" customHeight="1">
      <c r="B23" s="458" t="s">
        <v>52</v>
      </c>
      <c r="C23" s="459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9" customHeight="1">
      <c r="B24" s="458" t="s">
        <v>58</v>
      </c>
      <c r="C24" s="45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9" customHeight="1" thickBot="1">
      <c r="B25" s="460" t="s">
        <v>59</v>
      </c>
      <c r="C25" s="461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5" thickBot="1">
      <c r="B26" s="483"/>
      <c r="C26" s="483"/>
    </row>
    <row r="27" spans="2:17" ht="30" customHeight="1" thickBot="1">
      <c r="B27" s="462" t="s">
        <v>24</v>
      </c>
      <c r="C27" s="463"/>
      <c r="D27" s="464" t="s">
        <v>64</v>
      </c>
      <c r="E27" s="465"/>
      <c r="F27" s="465"/>
      <c r="G27" s="465"/>
      <c r="H27" s="466"/>
      <c r="I27" s="467" t="s">
        <v>65</v>
      </c>
      <c r="J27" s="468"/>
      <c r="K27" s="468"/>
      <c r="L27" s="468"/>
      <c r="M27" s="469"/>
    </row>
    <row r="28" spans="2:17" ht="17.25" customHeight="1">
      <c r="B28" s="470" t="s">
        <v>26</v>
      </c>
      <c r="C28" s="471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472"/>
      <c r="C29" s="473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50000000000003" customHeight="1">
      <c r="B30" s="474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50000000000003" customHeight="1">
      <c r="B31" s="475"/>
      <c r="C31" s="34" t="s">
        <v>43</v>
      </c>
      <c r="D31" s="15">
        <v>278.56249999999994</v>
      </c>
      <c r="E31" s="15">
        <v>787.84053391582779</v>
      </c>
      <c r="F31" s="15">
        <v>830.95181465821088</v>
      </c>
      <c r="G31" s="15">
        <v>0</v>
      </c>
      <c r="H31" s="41">
        <v>982.45690250374957</v>
      </c>
      <c r="I31" s="42">
        <v>0</v>
      </c>
      <c r="J31" s="15">
        <v>793.44511278195614</v>
      </c>
      <c r="K31" s="15">
        <v>639.69444444444389</v>
      </c>
      <c r="L31" s="15">
        <v>898.65592592592452</v>
      </c>
      <c r="M31" s="16">
        <v>896.00000000000318</v>
      </c>
    </row>
    <row r="32" spans="2:17" ht="39.950000000000003" customHeight="1">
      <c r="B32" s="476"/>
      <c r="C32" s="43" t="s">
        <v>44</v>
      </c>
      <c r="D32" s="17">
        <f t="shared" ref="D32:M32" si="1">D31/D30</f>
        <v>0.87050781249999987</v>
      </c>
      <c r="E32" s="17">
        <f t="shared" si="1"/>
        <v>0.95495822292827615</v>
      </c>
      <c r="F32" s="17">
        <f t="shared" si="1"/>
        <v>1.0072143207978315</v>
      </c>
      <c r="G32" s="17">
        <f t="shared" si="1"/>
        <v>0</v>
      </c>
      <c r="H32" s="44">
        <f t="shared" si="1"/>
        <v>1.0916187805597217</v>
      </c>
      <c r="I32" s="45">
        <f t="shared" si="1"/>
        <v>0</v>
      </c>
      <c r="J32" s="17">
        <f t="shared" si="1"/>
        <v>0.96175165185691658</v>
      </c>
      <c r="K32" s="17">
        <f t="shared" si="1"/>
        <v>0.71077160493827096</v>
      </c>
      <c r="L32" s="17">
        <f t="shared" si="1"/>
        <v>0.99850658436213835</v>
      </c>
      <c r="M32" s="18">
        <f t="shared" si="1"/>
        <v>0.99555555555555908</v>
      </c>
    </row>
    <row r="33" spans="2:13" ht="25.9" customHeight="1">
      <c r="B33" s="477" t="s">
        <v>45</v>
      </c>
      <c r="C33" s="43" t="s">
        <v>46</v>
      </c>
      <c r="D33" s="19">
        <v>0.17361111111111113</v>
      </c>
      <c r="E33" s="19">
        <v>0.17361111111111113</v>
      </c>
      <c r="F33" s="19">
        <v>0.18055555555555555</v>
      </c>
      <c r="G33" s="19">
        <v>0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9" customHeight="1">
      <c r="B34" s="478"/>
      <c r="C34" s="43" t="s">
        <v>47</v>
      </c>
      <c r="D34" s="19">
        <v>0.21527777777777779</v>
      </c>
      <c r="E34" s="19">
        <v>0.34722222222222227</v>
      </c>
      <c r="F34" s="19">
        <v>0.34513888888888888</v>
      </c>
      <c r="G34" s="19">
        <v>0</v>
      </c>
      <c r="H34" s="46">
        <v>0.43333333333333335</v>
      </c>
      <c r="I34" s="47">
        <v>0</v>
      </c>
      <c r="J34" s="19">
        <v>0.96527777777777779</v>
      </c>
      <c r="K34" s="19">
        <v>0.78819444444444453</v>
      </c>
      <c r="L34" s="19">
        <v>46060.052083333336</v>
      </c>
      <c r="M34" s="20">
        <v>0.76041666666666663</v>
      </c>
    </row>
    <row r="35" spans="2:13" ht="25.9" customHeight="1">
      <c r="B35" s="458" t="s">
        <v>51</v>
      </c>
      <c r="C35" s="459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9" customHeight="1">
      <c r="B36" s="458" t="s">
        <v>52</v>
      </c>
      <c r="C36" s="459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9" customHeight="1">
      <c r="B37" s="458" t="s">
        <v>58</v>
      </c>
      <c r="C37" s="459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9" customHeight="1" thickBot="1">
      <c r="B38" s="460" t="s">
        <v>59</v>
      </c>
      <c r="C38" s="461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4" type="noConversion"/>
  <conditionalFormatting sqref="D32 F32:J32 L32">
    <cfRule type="cellIs" dxfId="20851" priority="6" operator="lessThan">
      <formula>0.8</formula>
    </cfRule>
  </conditionalFormatting>
  <conditionalFormatting sqref="M32">
    <cfRule type="cellIs" dxfId="20850" priority="5" operator="lessThan">
      <formula>0.8</formula>
    </cfRule>
  </conditionalFormatting>
  <conditionalFormatting sqref="K32">
    <cfRule type="cellIs" dxfId="20849" priority="4" operator="lessThan">
      <formula>0.8</formula>
    </cfRule>
  </conditionalFormatting>
  <conditionalFormatting sqref="E32">
    <cfRule type="cellIs" dxfId="20848" priority="3" operator="lessThan">
      <formula>0.8</formula>
    </cfRule>
  </conditionalFormatting>
  <conditionalFormatting sqref="D15:P15">
    <cfRule type="cellIs" dxfId="20847" priority="2" operator="lessThan">
      <formula>0.8</formula>
    </cfRule>
  </conditionalFormatting>
  <conditionalFormatting sqref="Q15">
    <cfRule type="cellIs" dxfId="2084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32" zoomScale="85" zoomScaleNormal="85" workbookViewId="0">
      <selection activeCell="F40" sqref="F40"/>
    </sheetView>
  </sheetViews>
  <sheetFormatPr defaultColWidth="7.875" defaultRowHeight="15.75"/>
  <cols>
    <col min="1" max="1" width="13.625" style="371" customWidth="1"/>
    <col min="2" max="2" width="12.75" style="371" customWidth="1"/>
    <col min="3" max="3" width="12.75" style="457" hidden="1" customWidth="1"/>
    <col min="4" max="5" width="18.375" style="371" customWidth="1"/>
    <col min="6" max="6" width="9.75" style="455" customWidth="1"/>
    <col min="7" max="7" width="21.125" style="371" bestFit="1" customWidth="1"/>
    <col min="8" max="8" width="15.625" style="371" customWidth="1"/>
    <col min="9" max="9" width="12.25" style="371" bestFit="1" customWidth="1"/>
    <col min="10" max="15" width="9.75" style="371" customWidth="1"/>
    <col min="16" max="16" width="9.75" style="456" customWidth="1"/>
    <col min="17" max="18" width="9.75" style="371" customWidth="1"/>
    <col min="19" max="16384" width="7.875" style="371"/>
  </cols>
  <sheetData>
    <row r="1" spans="1:18" ht="26.25" customHeight="1">
      <c r="A1" s="362" t="s">
        <v>360</v>
      </c>
      <c r="B1" s="363"/>
      <c r="C1" s="364"/>
      <c r="D1" s="365" t="s">
        <v>82</v>
      </c>
      <c r="E1" s="366">
        <f>SUM(G5:G124)</f>
        <v>65096</v>
      </c>
      <c r="F1" s="367" t="s">
        <v>3</v>
      </c>
      <c r="G1" s="368">
        <f>SUM(H5:H124)</f>
        <v>1281668.567461384</v>
      </c>
      <c r="H1" s="369" t="s">
        <v>361</v>
      </c>
      <c r="I1" s="370">
        <f>+J16+J64+J24+J38+J51+J81+J100+J91+J57+J124+J111</f>
        <v>38.050000000000004</v>
      </c>
      <c r="J1" s="584" t="s">
        <v>362</v>
      </c>
      <c r="K1" s="585"/>
      <c r="L1" s="586"/>
      <c r="M1" s="584" t="s">
        <v>87</v>
      </c>
      <c r="N1" s="585"/>
      <c r="O1" s="585"/>
      <c r="P1" s="585"/>
      <c r="Q1" s="585"/>
      <c r="R1" s="586"/>
    </row>
    <row r="2" spans="1:18" ht="26.25" customHeight="1" thickBot="1">
      <c r="A2" s="590" t="s">
        <v>375</v>
      </c>
      <c r="B2" s="591"/>
      <c r="C2" s="372"/>
      <c r="D2" s="373" t="s">
        <v>41</v>
      </c>
      <c r="E2" s="374">
        <f>AVERAGE(L16,L24,L38,L51,L100,L111,L91)</f>
        <v>624.34861963710864</v>
      </c>
      <c r="F2" s="375" t="s">
        <v>94</v>
      </c>
      <c r="G2" s="376">
        <f>G1/E1</f>
        <v>19.688898971693867</v>
      </c>
      <c r="H2" s="377" t="s">
        <v>364</v>
      </c>
      <c r="I2" s="378">
        <f>COUNT(I5:I124)</f>
        <v>0</v>
      </c>
      <c r="J2" s="587"/>
      <c r="K2" s="588"/>
      <c r="L2" s="589"/>
      <c r="M2" s="587"/>
      <c r="N2" s="588"/>
      <c r="O2" s="588"/>
      <c r="P2" s="588"/>
      <c r="Q2" s="588"/>
      <c r="R2" s="589"/>
    </row>
    <row r="3" spans="1:18" ht="23.25" customHeight="1">
      <c r="A3" s="592" t="s">
        <v>96</v>
      </c>
      <c r="B3" s="594" t="s">
        <v>365</v>
      </c>
      <c r="C3" s="379"/>
      <c r="D3" s="595" t="s">
        <v>98</v>
      </c>
      <c r="E3" s="595"/>
      <c r="F3" s="596" t="s">
        <v>99</v>
      </c>
      <c r="G3" s="597" t="s">
        <v>366</v>
      </c>
      <c r="H3" s="598" t="s">
        <v>367</v>
      </c>
      <c r="I3" s="599" t="s">
        <v>102</v>
      </c>
      <c r="J3" s="567" t="s">
        <v>106</v>
      </c>
      <c r="K3" s="577" t="s">
        <v>105</v>
      </c>
      <c r="L3" s="579" t="s">
        <v>41</v>
      </c>
      <c r="M3" s="581" t="s">
        <v>109</v>
      </c>
      <c r="N3" s="581"/>
      <c r="O3" s="567" t="s">
        <v>301</v>
      </c>
      <c r="P3" s="582" t="s">
        <v>111</v>
      </c>
      <c r="Q3" s="567" t="s">
        <v>112</v>
      </c>
      <c r="R3" s="567"/>
    </row>
    <row r="4" spans="1:18" ht="15.75" customHeight="1">
      <c r="A4" s="593"/>
      <c r="B4" s="594"/>
      <c r="C4" s="379"/>
      <c r="D4" s="595"/>
      <c r="E4" s="595"/>
      <c r="F4" s="596"/>
      <c r="G4" s="597"/>
      <c r="H4" s="598"/>
      <c r="I4" s="600"/>
      <c r="J4" s="576"/>
      <c r="K4" s="578"/>
      <c r="L4" s="580"/>
      <c r="M4" s="381" t="s">
        <v>116</v>
      </c>
      <c r="N4" s="381" t="s">
        <v>117</v>
      </c>
      <c r="O4" s="576"/>
      <c r="P4" s="583"/>
      <c r="Q4" s="382" t="s">
        <v>118</v>
      </c>
      <c r="R4" s="382" t="s">
        <v>368</v>
      </c>
    </row>
    <row r="5" spans="1:18">
      <c r="A5" s="568" t="s">
        <v>369</v>
      </c>
      <c r="B5" s="383" t="s">
        <v>389</v>
      </c>
      <c r="C5" s="383"/>
      <c r="D5" s="384" t="s">
        <v>370</v>
      </c>
      <c r="E5" s="384"/>
      <c r="F5" s="385">
        <v>29.965493443754308</v>
      </c>
      <c r="G5" s="379">
        <v>1547</v>
      </c>
      <c r="H5" s="386">
        <f>F5*G5</f>
        <v>46356.618357487918</v>
      </c>
      <c r="I5" s="387"/>
      <c r="J5" s="388">
        <v>13</v>
      </c>
      <c r="K5" s="389">
        <f t="shared" ref="K5:K12" si="0">G5/P5*60</f>
        <v>1237.6000000000006</v>
      </c>
      <c r="L5" s="390">
        <f t="shared" ref="L5:L12" si="1">K5/J5</f>
        <v>95.200000000000045</v>
      </c>
      <c r="M5" s="391">
        <v>0.17361111111111113</v>
      </c>
      <c r="N5" s="391">
        <v>0.22569444444444445</v>
      </c>
      <c r="O5" s="382">
        <v>10</v>
      </c>
      <c r="P5" s="392">
        <f t="shared" ref="P5:P80" si="2">(N5-M5)*24*60</f>
        <v>74.999999999999972</v>
      </c>
      <c r="Q5" s="393"/>
      <c r="R5" s="393"/>
    </row>
    <row r="6" spans="1:18">
      <c r="A6" s="568"/>
      <c r="B6" s="383">
        <v>0</v>
      </c>
      <c r="C6" s="383"/>
      <c r="D6" s="384" t="s">
        <v>371</v>
      </c>
      <c r="E6" s="384"/>
      <c r="F6" s="385" t="s">
        <v>391</v>
      </c>
      <c r="G6" s="379">
        <v>970</v>
      </c>
      <c r="H6" s="386">
        <f t="shared" ref="H6:H113" si="3">F6*G6</f>
        <v>0</v>
      </c>
      <c r="I6" s="387"/>
      <c r="J6" s="388">
        <v>9</v>
      </c>
      <c r="K6" s="389">
        <f t="shared" si="0"/>
        <v>1662.8571428571431</v>
      </c>
      <c r="L6" s="390">
        <f t="shared" si="1"/>
        <v>184.76190476190479</v>
      </c>
      <c r="M6" s="391">
        <v>0.22916666666666666</v>
      </c>
      <c r="N6" s="391">
        <v>0.25347222222222221</v>
      </c>
      <c r="O6" s="382">
        <v>5</v>
      </c>
      <c r="P6" s="392">
        <f t="shared" si="2"/>
        <v>34.999999999999993</v>
      </c>
      <c r="Q6" s="382"/>
      <c r="R6" s="382"/>
    </row>
    <row r="7" spans="1:18">
      <c r="A7" s="568"/>
      <c r="B7" s="383">
        <v>0</v>
      </c>
      <c r="C7" s="383"/>
      <c r="D7" s="384" t="s">
        <v>372</v>
      </c>
      <c r="E7" s="384"/>
      <c r="F7" s="385" t="s">
        <v>391</v>
      </c>
      <c r="G7" s="379">
        <v>979</v>
      </c>
      <c r="H7" s="386">
        <f t="shared" si="3"/>
        <v>0</v>
      </c>
      <c r="I7" s="387"/>
      <c r="J7" s="388">
        <v>9</v>
      </c>
      <c r="K7" s="389">
        <f t="shared" si="0"/>
        <v>1678.2857142857165</v>
      </c>
      <c r="L7" s="390">
        <f t="shared" si="1"/>
        <v>186.47619047619071</v>
      </c>
      <c r="M7" s="391">
        <v>0.25694444444444448</v>
      </c>
      <c r="N7" s="391">
        <v>0.28125</v>
      </c>
      <c r="O7" s="382">
        <v>5</v>
      </c>
      <c r="P7" s="392">
        <f t="shared" si="2"/>
        <v>34.999999999999957</v>
      </c>
      <c r="Q7" s="393"/>
      <c r="R7" s="393"/>
    </row>
    <row r="8" spans="1:18">
      <c r="A8" s="568"/>
      <c r="B8" s="383" t="s">
        <v>392</v>
      </c>
      <c r="C8" s="383"/>
      <c r="D8" s="384" t="s">
        <v>373</v>
      </c>
      <c r="E8" s="384"/>
      <c r="F8" s="385">
        <v>19.7</v>
      </c>
      <c r="G8" s="379">
        <v>136</v>
      </c>
      <c r="H8" s="386">
        <f t="shared" si="3"/>
        <v>2679.2</v>
      </c>
      <c r="I8" s="387"/>
      <c r="J8" s="388">
        <v>12</v>
      </c>
      <c r="K8" s="389">
        <f t="shared" si="0"/>
        <v>815.99999999999636</v>
      </c>
      <c r="L8" s="390">
        <f t="shared" si="1"/>
        <v>67.999999999999702</v>
      </c>
      <c r="M8" s="391">
        <v>0.28472222222222221</v>
      </c>
      <c r="N8" s="391">
        <v>0.29166666666666669</v>
      </c>
      <c r="O8" s="382">
        <v>5</v>
      </c>
      <c r="P8" s="392">
        <f t="shared" si="2"/>
        <v>10.000000000000044</v>
      </c>
      <c r="Q8" s="393"/>
      <c r="R8" s="393"/>
    </row>
    <row r="9" spans="1:18">
      <c r="A9" s="568"/>
      <c r="B9" s="383" t="s">
        <v>392</v>
      </c>
      <c r="C9" s="383"/>
      <c r="D9" s="384" t="s">
        <v>308</v>
      </c>
      <c r="E9" s="384"/>
      <c r="F9" s="385">
        <v>27.05</v>
      </c>
      <c r="G9" s="394">
        <v>642</v>
      </c>
      <c r="H9" s="386">
        <f t="shared" si="3"/>
        <v>17366.100000000002</v>
      </c>
      <c r="I9" s="387"/>
      <c r="J9" s="388">
        <v>13</v>
      </c>
      <c r="K9" s="389">
        <f t="shared" si="0"/>
        <v>1540.8000000000004</v>
      </c>
      <c r="L9" s="390">
        <f t="shared" si="1"/>
        <v>118.52307692307696</v>
      </c>
      <c r="M9" s="391">
        <v>0.2951388888888889</v>
      </c>
      <c r="N9" s="391">
        <v>0.3125</v>
      </c>
      <c r="O9" s="382">
        <v>5</v>
      </c>
      <c r="P9" s="392">
        <f t="shared" si="2"/>
        <v>24.999999999999993</v>
      </c>
      <c r="Q9" s="393">
        <v>0.3125</v>
      </c>
      <c r="R9" s="393">
        <v>0.35416666666666669</v>
      </c>
    </row>
    <row r="10" spans="1:18">
      <c r="A10" s="568"/>
      <c r="B10" s="383" t="s">
        <v>392</v>
      </c>
      <c r="C10" s="383"/>
      <c r="D10" s="384" t="s">
        <v>309</v>
      </c>
      <c r="E10" s="384"/>
      <c r="F10" s="385">
        <v>36.450000000000003</v>
      </c>
      <c r="G10" s="394">
        <v>2882</v>
      </c>
      <c r="H10" s="386">
        <f t="shared" si="3"/>
        <v>105048.90000000001</v>
      </c>
      <c r="I10" s="387"/>
      <c r="J10" s="388">
        <v>13</v>
      </c>
      <c r="K10" s="389">
        <f t="shared" si="0"/>
        <v>1503.6521739130446</v>
      </c>
      <c r="L10" s="390">
        <f t="shared" si="1"/>
        <v>115.66555183946497</v>
      </c>
      <c r="M10" s="391">
        <v>0.35416666666666669</v>
      </c>
      <c r="N10" s="391">
        <v>0.43402777777777773</v>
      </c>
      <c r="O10" s="382">
        <v>5</v>
      </c>
      <c r="P10" s="392">
        <f t="shared" si="2"/>
        <v>114.99999999999991</v>
      </c>
      <c r="Q10" s="393"/>
      <c r="R10" s="393"/>
    </row>
    <row r="11" spans="1:18">
      <c r="A11" s="568"/>
      <c r="B11" s="383" t="s">
        <v>392</v>
      </c>
      <c r="C11" s="383"/>
      <c r="D11" s="384" t="s">
        <v>310</v>
      </c>
      <c r="E11" s="384"/>
      <c r="F11" s="385">
        <v>25.64</v>
      </c>
      <c r="G11" s="394">
        <v>536</v>
      </c>
      <c r="H11" s="386">
        <f t="shared" si="3"/>
        <v>13743.04</v>
      </c>
      <c r="I11" s="387"/>
      <c r="J11" s="388">
        <v>10</v>
      </c>
      <c r="K11" s="389">
        <f t="shared" si="0"/>
        <v>1607.9999999999993</v>
      </c>
      <c r="L11" s="390">
        <f t="shared" si="1"/>
        <v>160.79999999999993</v>
      </c>
      <c r="M11" s="391">
        <v>0.4375</v>
      </c>
      <c r="N11" s="391">
        <v>0.4513888888888889</v>
      </c>
      <c r="O11" s="382">
        <v>5</v>
      </c>
      <c r="P11" s="392">
        <f t="shared" si="2"/>
        <v>20.000000000000007</v>
      </c>
      <c r="Q11" s="393"/>
      <c r="R11" s="393"/>
    </row>
    <row r="12" spans="1:18">
      <c r="A12" s="569"/>
      <c r="B12" s="383" t="s">
        <v>392</v>
      </c>
      <c r="C12" s="383"/>
      <c r="D12" s="384" t="s">
        <v>311</v>
      </c>
      <c r="E12" s="384"/>
      <c r="F12" s="385">
        <v>29.52</v>
      </c>
      <c r="G12" s="394">
        <v>970</v>
      </c>
      <c r="H12" s="386">
        <f t="shared" si="3"/>
        <v>28634.399999999998</v>
      </c>
      <c r="I12" s="387"/>
      <c r="J12" s="388">
        <v>12</v>
      </c>
      <c r="K12" s="389">
        <f t="shared" si="0"/>
        <v>1940.0000000000018</v>
      </c>
      <c r="L12" s="390">
        <f t="shared" si="1"/>
        <v>161.66666666666683</v>
      </c>
      <c r="M12" s="391">
        <v>0.4548611111111111</v>
      </c>
      <c r="N12" s="391">
        <v>0.47569444444444442</v>
      </c>
      <c r="O12" s="382">
        <v>5</v>
      </c>
      <c r="P12" s="392">
        <f t="shared" si="2"/>
        <v>29.999999999999972</v>
      </c>
      <c r="Q12" s="393"/>
      <c r="R12" s="393"/>
    </row>
    <row r="13" spans="1:18">
      <c r="A13" s="569"/>
      <c r="B13" s="383" t="s">
        <v>392</v>
      </c>
      <c r="C13" s="395"/>
      <c r="D13" s="384" t="s">
        <v>312</v>
      </c>
      <c r="E13" s="384"/>
      <c r="F13" s="385">
        <v>29.856999999999999</v>
      </c>
      <c r="G13" s="396">
        <v>979</v>
      </c>
      <c r="H13" s="386">
        <f t="shared" si="3"/>
        <v>29230.003000000001</v>
      </c>
      <c r="I13" s="387"/>
      <c r="J13" s="388">
        <v>12</v>
      </c>
      <c r="K13" s="389">
        <f>G13/P13*60</f>
        <v>1958.0000000000016</v>
      </c>
      <c r="L13" s="390">
        <f>K13/J13</f>
        <v>163.1666666666668</v>
      </c>
      <c r="M13" s="391">
        <v>0.47916666666666669</v>
      </c>
      <c r="N13" s="391">
        <v>0.5</v>
      </c>
      <c r="O13" s="382">
        <v>5</v>
      </c>
      <c r="P13" s="392">
        <f t="shared" si="2"/>
        <v>29.999999999999972</v>
      </c>
      <c r="Q13" s="393"/>
      <c r="R13" s="382"/>
    </row>
    <row r="14" spans="1:18">
      <c r="A14" s="569"/>
      <c r="B14" s="383" t="s">
        <v>389</v>
      </c>
      <c r="C14" s="383"/>
      <c r="D14" s="397" t="s">
        <v>313</v>
      </c>
      <c r="E14" s="398"/>
      <c r="F14" s="385">
        <v>28.57</v>
      </c>
      <c r="G14" s="394">
        <v>1322</v>
      </c>
      <c r="H14" s="386">
        <f t="shared" si="3"/>
        <v>37769.54</v>
      </c>
      <c r="I14" s="387"/>
      <c r="J14" s="388">
        <v>10</v>
      </c>
      <c r="K14" s="389">
        <f>G14/P14*60</f>
        <v>1586.4000000000005</v>
      </c>
      <c r="L14" s="390">
        <f>K14/J14</f>
        <v>158.64000000000004</v>
      </c>
      <c r="M14" s="391">
        <v>0.50347222222222221</v>
      </c>
      <c r="N14" s="391">
        <v>0.53819444444444442</v>
      </c>
      <c r="O14" s="382">
        <v>5</v>
      </c>
      <c r="P14" s="392">
        <f t="shared" si="2"/>
        <v>49.999999999999986</v>
      </c>
      <c r="Q14" s="382"/>
      <c r="R14" s="382"/>
    </row>
    <row r="15" spans="1:18">
      <c r="A15" s="569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70"/>
      <c r="B16" s="383">
        <v>0</v>
      </c>
      <c r="C16" s="400" t="s">
        <v>79</v>
      </c>
      <c r="D16" s="552" t="s">
        <v>75</v>
      </c>
      <c r="E16" s="552"/>
      <c r="F16" s="401"/>
      <c r="G16" s="402"/>
      <c r="H16" s="403"/>
      <c r="I16" s="404"/>
      <c r="J16" s="405">
        <f>AVERAGE(J5:J15)</f>
        <v>11.3</v>
      </c>
      <c r="K16" s="405">
        <f>AVERAGE(K5:K15)</f>
        <v>1553.1595031055906</v>
      </c>
      <c r="L16" s="406">
        <f>AVERAGE(L5:L15)</f>
        <v>141.29000573339707</v>
      </c>
      <c r="M16" s="391"/>
      <c r="N16" s="391"/>
      <c r="O16" s="389"/>
      <c r="P16" s="389"/>
      <c r="Q16" s="390"/>
      <c r="R16" s="390"/>
    </row>
    <row r="17" spans="1:18" ht="15.75" customHeight="1">
      <c r="A17" s="571" t="s">
        <v>314</v>
      </c>
      <c r="B17" s="383" t="s">
        <v>392</v>
      </c>
      <c r="C17" s="395"/>
      <c r="D17" s="574" t="s">
        <v>315</v>
      </c>
      <c r="E17" s="575"/>
      <c r="F17" s="385">
        <v>14.03</v>
      </c>
      <c r="G17" s="379">
        <v>405</v>
      </c>
      <c r="H17" s="407">
        <f t="shared" ref="H17:H23" si="4">F17*G17</f>
        <v>5682.15</v>
      </c>
      <c r="I17" s="408"/>
      <c r="J17" s="388">
        <v>6</v>
      </c>
      <c r="K17" s="389">
        <f>G17/P17*60</f>
        <v>1518.7500000000018</v>
      </c>
      <c r="L17" s="390">
        <f>K17/J17</f>
        <v>253.12500000000031</v>
      </c>
      <c r="M17" s="391">
        <v>0.17361111111111113</v>
      </c>
      <c r="N17" s="391">
        <v>0.18472222222222223</v>
      </c>
      <c r="O17" s="382">
        <v>10</v>
      </c>
      <c r="P17" s="392">
        <f>(N17-M17)*24*60</f>
        <v>15.999999999999982</v>
      </c>
      <c r="Q17" s="382"/>
      <c r="R17" s="382"/>
    </row>
    <row r="18" spans="1:18" ht="15.75" customHeight="1">
      <c r="A18" s="571"/>
      <c r="B18" s="383" t="s">
        <v>389</v>
      </c>
      <c r="C18" s="395"/>
      <c r="D18" s="562" t="s">
        <v>316</v>
      </c>
      <c r="E18" s="563"/>
      <c r="F18" s="385">
        <v>14.49</v>
      </c>
      <c r="G18" s="396">
        <v>608</v>
      </c>
      <c r="H18" s="386">
        <f t="shared" si="4"/>
        <v>8809.92</v>
      </c>
      <c r="I18" s="387"/>
      <c r="J18" s="388">
        <v>5</v>
      </c>
      <c r="K18" s="389">
        <f>G18/P18*60</f>
        <v>1519.9999999999977</v>
      </c>
      <c r="L18" s="390">
        <f>K18/J18</f>
        <v>303.99999999999955</v>
      </c>
      <c r="M18" s="391">
        <v>0.1986111111111111</v>
      </c>
      <c r="N18" s="391">
        <v>0.21527777777777779</v>
      </c>
      <c r="O18" s="382">
        <v>20</v>
      </c>
      <c r="P18" s="392">
        <f t="shared" ref="P18:P23" si="5">(N18-M18)*24*60</f>
        <v>24.000000000000036</v>
      </c>
      <c r="Q18" s="393"/>
      <c r="R18" s="393"/>
    </row>
    <row r="19" spans="1:18" ht="15.75" customHeight="1">
      <c r="A19" s="571"/>
      <c r="B19" s="383">
        <v>0</v>
      </c>
      <c r="C19" s="395"/>
      <c r="D19" s="562"/>
      <c r="E19" s="563"/>
      <c r="F19" s="385" t="s">
        <v>391</v>
      </c>
      <c r="G19" s="396"/>
      <c r="H19" s="386">
        <f t="shared" si="4"/>
        <v>0</v>
      </c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72"/>
      <c r="B20" s="383">
        <v>0</v>
      </c>
      <c r="C20" s="395"/>
      <c r="D20" s="411"/>
      <c r="E20" s="398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72"/>
      <c r="B21" s="383">
        <v>0</v>
      </c>
      <c r="C21" s="395"/>
      <c r="D21" s="411"/>
      <c r="E21" s="398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72"/>
      <c r="B22" s="383">
        <v>0</v>
      </c>
      <c r="C22" s="395"/>
      <c r="D22" s="411"/>
      <c r="E22" s="398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72"/>
      <c r="B23" s="383">
        <v>0</v>
      </c>
      <c r="C23" s="395"/>
      <c r="D23" s="411"/>
      <c r="E23" s="398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45" customHeight="1">
      <c r="A24" s="573"/>
      <c r="B24" s="383">
        <v>0</v>
      </c>
      <c r="C24" s="12" t="s">
        <v>317</v>
      </c>
      <c r="D24" s="552" t="s">
        <v>75</v>
      </c>
      <c r="E24" s="552"/>
      <c r="F24" s="401"/>
      <c r="G24" s="412"/>
      <c r="H24" s="403"/>
      <c r="I24" s="404"/>
      <c r="J24" s="405">
        <f>AVERAGE(J17:J23)</f>
        <v>5.5</v>
      </c>
      <c r="K24" s="405">
        <f>AVERAGE(K17:K23)</f>
        <v>1519.3749999999998</v>
      </c>
      <c r="L24" s="406">
        <f>AVERAGE(L17:L23)</f>
        <v>278.56249999999994</v>
      </c>
      <c r="M24" s="391"/>
      <c r="N24" s="391"/>
      <c r="O24" s="382"/>
      <c r="P24" s="382"/>
      <c r="Q24" s="382"/>
      <c r="R24" s="382"/>
    </row>
    <row r="25" spans="1:18">
      <c r="A25" s="556" t="s">
        <v>318</v>
      </c>
      <c r="B25" s="383" t="s">
        <v>389</v>
      </c>
      <c r="C25" s="413"/>
      <c r="D25" s="414" t="s">
        <v>319</v>
      </c>
      <c r="E25" s="415"/>
      <c r="F25" s="385">
        <v>22.281818181818181</v>
      </c>
      <c r="G25" s="379">
        <v>510</v>
      </c>
      <c r="H25" s="386">
        <f t="shared" ref="H25:H37" si="6">F25*G25</f>
        <v>11363.727272727272</v>
      </c>
      <c r="I25" s="387"/>
      <c r="J25" s="388">
        <v>4</v>
      </c>
      <c r="K25" s="389">
        <f t="shared" ref="K25:K28" si="7">G25/P25*60</f>
        <v>3060.0000000000109</v>
      </c>
      <c r="L25" s="390">
        <f t="shared" ref="L25:L28" si="8">K25/J25</f>
        <v>765.00000000000273</v>
      </c>
      <c r="M25" s="391">
        <v>0.17361111111111113</v>
      </c>
      <c r="N25" s="391">
        <v>0.18055555555555555</v>
      </c>
      <c r="O25" s="382">
        <v>10</v>
      </c>
      <c r="P25" s="392">
        <f t="shared" ref="P25:P37" si="9">(N25-M25)*24*60</f>
        <v>9.9999999999999645</v>
      </c>
      <c r="Q25" s="393"/>
      <c r="R25" s="393"/>
    </row>
    <row r="26" spans="1:18">
      <c r="A26" s="556"/>
      <c r="B26" s="383" t="s">
        <v>389</v>
      </c>
      <c r="C26" s="413"/>
      <c r="D26" s="416" t="s">
        <v>320</v>
      </c>
      <c r="E26" s="414"/>
      <c r="F26" s="385">
        <v>16.66</v>
      </c>
      <c r="G26" s="379">
        <v>2078</v>
      </c>
      <c r="H26" s="386">
        <f t="shared" si="6"/>
        <v>34619.480000000003</v>
      </c>
      <c r="I26" s="387"/>
      <c r="J26" s="388">
        <v>4</v>
      </c>
      <c r="K26" s="389">
        <f t="shared" si="7"/>
        <v>2833.6363636363635</v>
      </c>
      <c r="L26" s="390">
        <f t="shared" si="8"/>
        <v>708.40909090909088</v>
      </c>
      <c r="M26" s="391">
        <v>0.19444444444444445</v>
      </c>
      <c r="N26" s="391">
        <v>0.22500000000000001</v>
      </c>
      <c r="O26" s="382">
        <v>20</v>
      </c>
      <c r="P26" s="392">
        <f t="shared" si="9"/>
        <v>44</v>
      </c>
      <c r="Q26" s="393"/>
      <c r="R26" s="393"/>
    </row>
    <row r="27" spans="1:18">
      <c r="A27" s="556"/>
      <c r="B27" s="383" t="s">
        <v>389</v>
      </c>
      <c r="C27" s="413"/>
      <c r="D27" s="411" t="s">
        <v>321</v>
      </c>
      <c r="E27" s="414"/>
      <c r="F27" s="385">
        <v>18.18</v>
      </c>
      <c r="G27" s="379">
        <v>2282</v>
      </c>
      <c r="H27" s="386">
        <f t="shared" si="6"/>
        <v>41486.76</v>
      </c>
      <c r="I27" s="387"/>
      <c r="J27" s="388">
        <v>4</v>
      </c>
      <c r="K27" s="389">
        <f t="shared" si="7"/>
        <v>2913.191489361705</v>
      </c>
      <c r="L27" s="390">
        <f t="shared" si="8"/>
        <v>728.29787234042624</v>
      </c>
      <c r="M27" s="391">
        <v>0.2388888888888889</v>
      </c>
      <c r="N27" s="391">
        <v>0.27152777777777776</v>
      </c>
      <c r="O27" s="382">
        <v>20</v>
      </c>
      <c r="P27" s="392">
        <f t="shared" si="9"/>
        <v>46.99999999999995</v>
      </c>
      <c r="Q27" s="393">
        <v>0.27152777777777776</v>
      </c>
      <c r="R27" s="393">
        <v>0.31319444444444444</v>
      </c>
    </row>
    <row r="28" spans="1:18">
      <c r="A28" s="556"/>
      <c r="B28" s="383" t="s">
        <v>389</v>
      </c>
      <c r="C28" s="395"/>
      <c r="D28" s="416" t="s">
        <v>322</v>
      </c>
      <c r="E28" s="417"/>
      <c r="F28" s="385">
        <v>17.890909090909091</v>
      </c>
      <c r="G28" s="379">
        <v>1377</v>
      </c>
      <c r="H28" s="386">
        <f t="shared" si="6"/>
        <v>24635.781818181818</v>
      </c>
      <c r="I28" s="387"/>
      <c r="J28" s="388">
        <v>3</v>
      </c>
      <c r="K28" s="389">
        <f t="shared" si="7"/>
        <v>2848.9655172413736</v>
      </c>
      <c r="L28" s="390">
        <f t="shared" si="8"/>
        <v>949.65517241379121</v>
      </c>
      <c r="M28" s="391">
        <v>0.32708333333333334</v>
      </c>
      <c r="N28" s="391">
        <v>0.34722222222222227</v>
      </c>
      <c r="O28" s="382">
        <v>20</v>
      </c>
      <c r="P28" s="392">
        <f t="shared" si="9"/>
        <v>29.000000000000057</v>
      </c>
      <c r="Q28" s="393"/>
      <c r="R28" s="393"/>
    </row>
    <row r="29" spans="1:18">
      <c r="A29" s="556"/>
      <c r="B29" s="383">
        <v>0</v>
      </c>
      <c r="C29" s="379"/>
      <c r="D29" s="416"/>
      <c r="E29" s="417"/>
      <c r="F29" s="385" t="s">
        <v>391</v>
      </c>
      <c r="G29" s="379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56"/>
      <c r="B30" s="383">
        <v>0</v>
      </c>
      <c r="C30" s="379"/>
      <c r="D30" s="418"/>
      <c r="E30" s="417"/>
      <c r="F30" s="385" t="s">
        <v>391</v>
      </c>
      <c r="G30" s="379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56"/>
      <c r="B31" s="383">
        <v>0</v>
      </c>
      <c r="C31" s="395"/>
      <c r="D31" s="414"/>
      <c r="E31" s="417"/>
      <c r="F31" s="385" t="s">
        <v>391</v>
      </c>
      <c r="G31" s="379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56"/>
      <c r="B32" s="383">
        <v>0</v>
      </c>
      <c r="C32" s="395"/>
      <c r="D32" s="416"/>
      <c r="E32" s="398"/>
      <c r="F32" s="385" t="s">
        <v>391</v>
      </c>
      <c r="G32" s="379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56"/>
      <c r="B33" s="383">
        <v>0</v>
      </c>
      <c r="C33" s="379"/>
      <c r="D33" s="416"/>
      <c r="E33" s="417"/>
      <c r="F33" s="385" t="s">
        <v>391</v>
      </c>
      <c r="G33" s="379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56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56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56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56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45" customHeight="1">
      <c r="A38" s="557"/>
      <c r="B38" s="383">
        <v>0</v>
      </c>
      <c r="C38" s="12" t="s">
        <v>67</v>
      </c>
      <c r="D38" s="547" t="s">
        <v>323</v>
      </c>
      <c r="E38" s="547"/>
      <c r="F38" s="401"/>
      <c r="G38" s="420"/>
      <c r="H38" s="403"/>
      <c r="I38" s="404"/>
      <c r="J38" s="405">
        <f>AVERAGE(J25:J37)</f>
        <v>3.75</v>
      </c>
      <c r="K38" s="405">
        <f>AVERAGE(K25:K37)</f>
        <v>2913.9483425598632</v>
      </c>
      <c r="L38" s="406">
        <f>AVERAGE(L25:L37)</f>
        <v>787.84053391582779</v>
      </c>
      <c r="M38" s="391"/>
      <c r="N38" s="391"/>
      <c r="O38" s="389"/>
      <c r="P38" s="389"/>
      <c r="Q38" s="390"/>
      <c r="R38" s="390"/>
    </row>
    <row r="39" spans="1:18" ht="16.149999999999999" customHeight="1">
      <c r="A39" s="558" t="s">
        <v>324</v>
      </c>
      <c r="B39" s="383" t="s">
        <v>389</v>
      </c>
      <c r="C39" s="395"/>
      <c r="D39" s="416" t="s">
        <v>325</v>
      </c>
      <c r="E39" s="398"/>
      <c r="F39" s="385">
        <v>21.45</v>
      </c>
      <c r="G39" s="379">
        <v>756</v>
      </c>
      <c r="H39" s="386">
        <f t="shared" ref="H39:H47" si="10">F39*G39</f>
        <v>16216.199999999999</v>
      </c>
      <c r="I39" s="387"/>
      <c r="J39" s="388">
        <v>3</v>
      </c>
      <c r="K39" s="389">
        <f>G39/P39*60</f>
        <v>2835.0000000000032</v>
      </c>
      <c r="L39" s="390">
        <f>K39/J39</f>
        <v>945.00000000000102</v>
      </c>
      <c r="M39" s="391">
        <v>0.18055555555555555</v>
      </c>
      <c r="N39" s="391">
        <v>0.19166666666666665</v>
      </c>
      <c r="O39" s="382">
        <v>20</v>
      </c>
      <c r="P39" s="421">
        <f t="shared" ref="P39:P50" si="11">(N39-M39)*24*60</f>
        <v>15.999999999999982</v>
      </c>
      <c r="Q39" s="393"/>
      <c r="R39" s="393"/>
    </row>
    <row r="40" spans="1:18">
      <c r="A40" s="559"/>
      <c r="B40" s="383" t="s">
        <v>389</v>
      </c>
      <c r="C40" s="395"/>
      <c r="D40" s="411" t="s">
        <v>326</v>
      </c>
      <c r="E40" s="398"/>
      <c r="F40" s="385">
        <v>15.15</v>
      </c>
      <c r="G40" s="379">
        <v>1075</v>
      </c>
      <c r="H40" s="386">
        <f t="shared" si="10"/>
        <v>16286.25</v>
      </c>
      <c r="I40" s="387"/>
      <c r="J40" s="388">
        <v>4</v>
      </c>
      <c r="K40" s="389">
        <f>G40/P40*60</f>
        <v>2931.818181818187</v>
      </c>
      <c r="L40" s="390">
        <f>K40/J40</f>
        <v>732.95454545454675</v>
      </c>
      <c r="M40" s="391">
        <v>0.20555555555555557</v>
      </c>
      <c r="N40" s="391">
        <v>0.22083333333333333</v>
      </c>
      <c r="O40" s="382">
        <v>20</v>
      </c>
      <c r="P40" s="421">
        <f t="shared" si="11"/>
        <v>21.999999999999961</v>
      </c>
      <c r="Q40" s="393">
        <v>0.22083333333333333</v>
      </c>
      <c r="R40" s="393">
        <v>0.26250000000000001</v>
      </c>
    </row>
    <row r="41" spans="1:18">
      <c r="A41" s="559"/>
      <c r="B41" s="383" t="s">
        <v>389</v>
      </c>
      <c r="C41" s="395"/>
      <c r="D41" s="416" t="s">
        <v>327</v>
      </c>
      <c r="E41" s="398"/>
      <c r="F41" s="385">
        <v>18.53</v>
      </c>
      <c r="G41" s="379">
        <v>2030</v>
      </c>
      <c r="H41" s="386">
        <f t="shared" si="10"/>
        <v>37615.9</v>
      </c>
      <c r="I41" s="387"/>
      <c r="J41" s="388">
        <v>3</v>
      </c>
      <c r="K41" s="389">
        <f t="shared" ref="K41:K42" si="12">G41/P41*60</f>
        <v>2832.5581395348836</v>
      </c>
      <c r="L41" s="390">
        <f t="shared" ref="L41:L42" si="13">K41/J41</f>
        <v>944.18604651162786</v>
      </c>
      <c r="M41" s="391">
        <v>0.27638888888888885</v>
      </c>
      <c r="N41" s="391">
        <v>0.30624999999999997</v>
      </c>
      <c r="O41" s="382">
        <v>20</v>
      </c>
      <c r="P41" s="421">
        <f t="shared" si="11"/>
        <v>43.000000000000007</v>
      </c>
      <c r="Q41" s="393"/>
      <c r="R41" s="393"/>
    </row>
    <row r="42" spans="1:18">
      <c r="A42" s="559"/>
      <c r="B42" s="383" t="s">
        <v>389</v>
      </c>
      <c r="C42" s="395"/>
      <c r="D42" s="411" t="s">
        <v>328</v>
      </c>
      <c r="E42" s="398"/>
      <c r="F42" s="385">
        <v>27.27</v>
      </c>
      <c r="G42" s="379">
        <v>1684</v>
      </c>
      <c r="H42" s="386">
        <f t="shared" si="10"/>
        <v>45922.68</v>
      </c>
      <c r="I42" s="387"/>
      <c r="J42" s="388">
        <v>4</v>
      </c>
      <c r="K42" s="389">
        <f t="shared" si="12"/>
        <v>2806.6666666666706</v>
      </c>
      <c r="L42" s="390">
        <f t="shared" si="13"/>
        <v>701.66666666666765</v>
      </c>
      <c r="M42" s="391">
        <v>0.32013888888888892</v>
      </c>
      <c r="N42" s="391">
        <v>0.34513888888888888</v>
      </c>
      <c r="O42" s="382">
        <v>20</v>
      </c>
      <c r="P42" s="421">
        <f t="shared" si="11"/>
        <v>35.99999999999995</v>
      </c>
      <c r="Q42" s="393"/>
      <c r="R42" s="393"/>
    </row>
    <row r="43" spans="1:18" ht="15.75" customHeight="1">
      <c r="A43" s="559"/>
      <c r="B43" s="383">
        <v>0</v>
      </c>
      <c r="C43" s="395"/>
      <c r="D43" s="418"/>
      <c r="E43" s="398"/>
      <c r="F43" s="385" t="s">
        <v>391</v>
      </c>
      <c r="G43" s="379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59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59"/>
      <c r="B45" s="383">
        <v>0</v>
      </c>
      <c r="C45" s="395"/>
      <c r="D45" s="416"/>
      <c r="E45" s="417"/>
      <c r="F45" s="385" t="s">
        <v>391</v>
      </c>
      <c r="G45" s="379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59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59"/>
      <c r="B47" s="383">
        <v>0</v>
      </c>
      <c r="C47" s="395"/>
      <c r="D47" s="416"/>
      <c r="E47" s="417"/>
      <c r="F47" s="385" t="s">
        <v>391</v>
      </c>
      <c r="G47" s="379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60"/>
      <c r="B48" s="383">
        <v>0</v>
      </c>
      <c r="C48" s="379"/>
      <c r="D48" s="562"/>
      <c r="E48" s="563"/>
      <c r="F48" s="385" t="s">
        <v>391</v>
      </c>
      <c r="G48" s="379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60"/>
      <c r="B49" s="383">
        <v>0</v>
      </c>
      <c r="C49" s="379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60"/>
      <c r="B50" s="383">
        <v>0</v>
      </c>
      <c r="C50" s="379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61"/>
      <c r="B51" s="383">
        <v>0</v>
      </c>
      <c r="C51" s="12" t="s">
        <v>68</v>
      </c>
      <c r="D51" s="552" t="s">
        <v>75</v>
      </c>
      <c r="E51" s="552"/>
      <c r="F51" s="401"/>
      <c r="G51" s="406"/>
      <c r="H51" s="428"/>
      <c r="I51" s="429"/>
      <c r="J51" s="405">
        <f>AVERAGE(J39:J50)</f>
        <v>3.5</v>
      </c>
      <c r="K51" s="405">
        <f>AVERAGE(K39:K50)</f>
        <v>2851.5107470049361</v>
      </c>
      <c r="L51" s="406">
        <f>AVERAGE(L39:L50)</f>
        <v>830.95181465821088</v>
      </c>
      <c r="M51" s="430"/>
      <c r="N51" s="391"/>
      <c r="O51" s="389"/>
      <c r="P51" s="389"/>
      <c r="Q51" s="390"/>
      <c r="R51" s="390"/>
    </row>
    <row r="52" spans="1:18" ht="15.6" customHeight="1">
      <c r="A52" s="564" t="s">
        <v>329</v>
      </c>
      <c r="B52" s="383">
        <v>0</v>
      </c>
      <c r="C52" s="395"/>
      <c r="D52" s="414"/>
      <c r="E52" s="431"/>
      <c r="F52" s="385" t="s">
        <v>391</v>
      </c>
      <c r="G52" s="379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6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65"/>
      <c r="B54" s="383">
        <v>0</v>
      </c>
      <c r="C54" s="395"/>
      <c r="D54" s="414"/>
      <c r="E54" s="398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6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6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6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6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6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6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6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6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6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66"/>
      <c r="B64" s="383">
        <v>0</v>
      </c>
      <c r="C64" s="12" t="s">
        <v>330</v>
      </c>
      <c r="D64" s="552" t="s">
        <v>75</v>
      </c>
      <c r="E64" s="552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49" t="s">
        <v>331</v>
      </c>
      <c r="B65" s="383" t="s">
        <v>389</v>
      </c>
      <c r="C65" s="395"/>
      <c r="D65" s="414" t="s">
        <v>332</v>
      </c>
      <c r="E65" s="431"/>
      <c r="F65" s="385">
        <v>25.03</v>
      </c>
      <c r="G65" s="379">
        <v>622</v>
      </c>
      <c r="H65" s="386">
        <f>F65*G65</f>
        <v>15568.66</v>
      </c>
      <c r="I65" s="387"/>
      <c r="J65" s="388">
        <v>4</v>
      </c>
      <c r="K65" s="389">
        <f t="shared" ref="K65:K71" si="16">G65/P65*60</f>
        <v>3392.727272727273</v>
      </c>
      <c r="L65" s="390">
        <f t="shared" ref="L65:L71" si="17">K65/J65</f>
        <v>848.18181818181824</v>
      </c>
      <c r="M65" s="391">
        <v>0.18055555555555555</v>
      </c>
      <c r="N65" s="391">
        <v>0.18819444444444444</v>
      </c>
      <c r="O65" s="389">
        <v>20</v>
      </c>
      <c r="P65" s="392">
        <f>(N65-M65)*24*60</f>
        <v>11</v>
      </c>
      <c r="Q65" s="393"/>
      <c r="R65" s="393"/>
    </row>
    <row r="66" spans="1:18" ht="15.6" customHeight="1">
      <c r="A66" s="550"/>
      <c r="B66" s="383" t="s">
        <v>389</v>
      </c>
      <c r="C66" s="395"/>
      <c r="D66" s="414" t="s">
        <v>333</v>
      </c>
      <c r="E66" s="432"/>
      <c r="F66" s="385">
        <v>24.82</v>
      </c>
      <c r="G66" s="394">
        <v>845</v>
      </c>
      <c r="H66" s="386">
        <f t="shared" ref="H66:H74" si="18">F66*G66</f>
        <v>20972.9</v>
      </c>
      <c r="I66" s="387"/>
      <c r="J66" s="388">
        <v>4</v>
      </c>
      <c r="K66" s="389">
        <f t="shared" si="16"/>
        <v>3379.9999999999941</v>
      </c>
      <c r="L66" s="390">
        <f t="shared" si="17"/>
        <v>844.99999999999852</v>
      </c>
      <c r="M66" s="391">
        <v>0.20208333333333331</v>
      </c>
      <c r="N66" s="391">
        <v>0.21249999999999999</v>
      </c>
      <c r="O66" s="389">
        <v>20</v>
      </c>
      <c r="P66" s="392">
        <f t="shared" ref="P66:P74" si="19">(N66-M66)*24*60</f>
        <v>15.000000000000027</v>
      </c>
      <c r="Q66" s="393"/>
      <c r="R66" s="393"/>
    </row>
    <row r="67" spans="1:18" ht="15.6" customHeight="1">
      <c r="A67" s="550"/>
      <c r="B67" s="383" t="s">
        <v>389</v>
      </c>
      <c r="C67" s="395"/>
      <c r="D67" s="414" t="s">
        <v>334</v>
      </c>
      <c r="E67" s="417"/>
      <c r="F67" s="385">
        <v>30</v>
      </c>
      <c r="G67" s="394">
        <v>1248</v>
      </c>
      <c r="H67" s="386">
        <f t="shared" si="18"/>
        <v>37440</v>
      </c>
      <c r="I67" s="387"/>
      <c r="J67" s="388">
        <v>4</v>
      </c>
      <c r="K67" s="389">
        <f t="shared" si="16"/>
        <v>3255.6521739130435</v>
      </c>
      <c r="L67" s="390">
        <f t="shared" si="17"/>
        <v>813.91304347826087</v>
      </c>
      <c r="M67" s="391">
        <v>0.22638888888888889</v>
      </c>
      <c r="N67" s="391">
        <v>0.24236111111111111</v>
      </c>
      <c r="O67" s="389">
        <v>20</v>
      </c>
      <c r="P67" s="392">
        <f t="shared" si="19"/>
        <v>23</v>
      </c>
      <c r="Q67" s="393"/>
      <c r="R67" s="393"/>
    </row>
    <row r="68" spans="1:18" ht="15.6" customHeight="1">
      <c r="A68" s="550"/>
      <c r="B68" s="383" t="s">
        <v>389</v>
      </c>
      <c r="C68" s="395"/>
      <c r="D68" s="434" t="s">
        <v>335</v>
      </c>
      <c r="E68" s="417"/>
      <c r="F68" s="385">
        <v>14.03</v>
      </c>
      <c r="G68" s="394">
        <v>2257</v>
      </c>
      <c r="H68" s="386">
        <f t="shared" si="18"/>
        <v>31665.71</v>
      </c>
      <c r="I68" s="387"/>
      <c r="J68" s="388">
        <v>3</v>
      </c>
      <c r="K68" s="389">
        <f t="shared" si="16"/>
        <v>3224.2857142857197</v>
      </c>
      <c r="L68" s="390">
        <f t="shared" si="17"/>
        <v>1074.7619047619066</v>
      </c>
      <c r="M68" s="391">
        <v>0.25625000000000003</v>
      </c>
      <c r="N68" s="391">
        <v>0.28541666666666665</v>
      </c>
      <c r="O68" s="389">
        <v>25</v>
      </c>
      <c r="P68" s="392">
        <f t="shared" si="19"/>
        <v>41.999999999999929</v>
      </c>
      <c r="Q68" s="393">
        <v>0.28541666666666665</v>
      </c>
      <c r="R68" s="393">
        <v>0.32708333333333334</v>
      </c>
    </row>
    <row r="69" spans="1:18" ht="15.6" customHeight="1">
      <c r="A69" s="550"/>
      <c r="B69" s="383" t="s">
        <v>389</v>
      </c>
      <c r="C69" s="395"/>
      <c r="D69" s="414" t="s">
        <v>336</v>
      </c>
      <c r="E69" s="417"/>
      <c r="F69" s="385">
        <v>18.18</v>
      </c>
      <c r="G69" s="394">
        <v>664</v>
      </c>
      <c r="H69" s="386">
        <f t="shared" si="18"/>
        <v>12071.52</v>
      </c>
      <c r="I69" s="387"/>
      <c r="J69" s="388">
        <v>3</v>
      </c>
      <c r="K69" s="389">
        <f t="shared" si="16"/>
        <v>3320.0000000000118</v>
      </c>
      <c r="L69" s="390">
        <f t="shared" si="17"/>
        <v>1106.6666666666706</v>
      </c>
      <c r="M69" s="391">
        <v>0.34097222222222223</v>
      </c>
      <c r="N69" s="391">
        <v>0.34930555555555554</v>
      </c>
      <c r="O69" s="389">
        <v>20</v>
      </c>
      <c r="P69" s="392">
        <f t="shared" si="19"/>
        <v>11.999999999999957</v>
      </c>
      <c r="Q69" s="393"/>
      <c r="R69" s="393"/>
    </row>
    <row r="70" spans="1:18" ht="15.75" customHeight="1">
      <c r="A70" s="550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1227</v>
      </c>
      <c r="H70" s="386">
        <f t="shared" si="18"/>
        <v>22306.86</v>
      </c>
      <c r="I70" s="387"/>
      <c r="J70" s="388">
        <v>3</v>
      </c>
      <c r="K70" s="389">
        <f t="shared" si="16"/>
        <v>3346.3636363636242</v>
      </c>
      <c r="L70" s="390">
        <f t="shared" si="17"/>
        <v>1115.4545454545414</v>
      </c>
      <c r="M70" s="391">
        <v>0.36319444444444443</v>
      </c>
      <c r="N70" s="391">
        <v>0.37847222222222227</v>
      </c>
      <c r="O70" s="389">
        <v>20</v>
      </c>
      <c r="P70" s="392">
        <f t="shared" si="19"/>
        <v>22.000000000000082</v>
      </c>
      <c r="Q70" s="393"/>
      <c r="R70" s="393"/>
    </row>
    <row r="71" spans="1:18" ht="15.6" customHeight="1">
      <c r="A71" s="550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3166</v>
      </c>
      <c r="H71" s="386">
        <f t="shared" si="18"/>
        <v>45228.57142857142</v>
      </c>
      <c r="I71" s="387"/>
      <c r="J71" s="388">
        <v>3</v>
      </c>
      <c r="K71" s="389">
        <f t="shared" si="16"/>
        <v>3219.661016949151</v>
      </c>
      <c r="L71" s="390">
        <f t="shared" si="17"/>
        <v>1073.2203389830504</v>
      </c>
      <c r="M71" s="391">
        <v>0.3923611111111111</v>
      </c>
      <c r="N71" s="391">
        <v>0.43333333333333335</v>
      </c>
      <c r="O71" s="389">
        <v>20</v>
      </c>
      <c r="P71" s="392">
        <f t="shared" si="19"/>
        <v>59.000000000000028</v>
      </c>
      <c r="Q71" s="393"/>
      <c r="R71" s="393"/>
    </row>
    <row r="72" spans="1:18" ht="15.6" customHeight="1">
      <c r="A72" s="550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50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50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51"/>
      <c r="B75" s="383">
        <v>0</v>
      </c>
      <c r="C75" s="12" t="s">
        <v>339</v>
      </c>
      <c r="D75" s="552" t="s">
        <v>75</v>
      </c>
      <c r="E75" s="552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3305.5271163198308</v>
      </c>
      <c r="L75" s="406">
        <f>AVERAGE(L65:L74)</f>
        <v>982.45690250374957</v>
      </c>
      <c r="M75" s="391"/>
      <c r="N75" s="391"/>
      <c r="O75" s="382"/>
      <c r="P75" s="382"/>
      <c r="Q75" s="382"/>
      <c r="R75" s="382"/>
    </row>
    <row r="76" spans="1:18" ht="16.149999999999999" customHeight="1">
      <c r="A76" s="553" t="s">
        <v>340</v>
      </c>
      <c r="B76" s="383">
        <v>0</v>
      </c>
      <c r="C76" s="400"/>
      <c r="D76" s="554"/>
      <c r="E76" s="555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53"/>
      <c r="B77" s="383">
        <v>0</v>
      </c>
      <c r="C77" s="400"/>
      <c r="D77" s="554"/>
      <c r="E77" s="555"/>
      <c r="F77" s="385" t="s">
        <v>391</v>
      </c>
      <c r="G77" s="379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53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53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53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53"/>
      <c r="B81" s="383">
        <v>0</v>
      </c>
      <c r="C81" s="12" t="s">
        <v>71</v>
      </c>
      <c r="D81" s="547" t="s">
        <v>75</v>
      </c>
      <c r="E81" s="547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38" t="s">
        <v>341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4480</v>
      </c>
      <c r="H82" s="444">
        <f t="shared" ref="H82:H87" si="20">F82*G82</f>
        <v>74636.800000000003</v>
      </c>
      <c r="I82" s="387"/>
      <c r="J82" s="388">
        <v>4</v>
      </c>
      <c r="K82" s="389">
        <f t="shared" ref="K82:K86" si="21">G82/P82*60</f>
        <v>2829.4736842105217</v>
      </c>
      <c r="L82" s="390">
        <f t="shared" ref="L82:L86" si="22">K82/J82</f>
        <v>707.36842105263042</v>
      </c>
      <c r="M82" s="391">
        <v>0.72222222222222221</v>
      </c>
      <c r="N82" s="391">
        <v>0.78819444444444453</v>
      </c>
      <c r="O82" s="389">
        <v>20</v>
      </c>
      <c r="P82" s="392">
        <f>(N82-M82)*24*60</f>
        <v>95.000000000000142</v>
      </c>
      <c r="Q82" s="393"/>
      <c r="R82" s="393"/>
    </row>
    <row r="83" spans="1:18">
      <c r="A83" s="539"/>
      <c r="B83" s="383" t="s">
        <v>389</v>
      </c>
      <c r="C83" s="413"/>
      <c r="D83" s="414" t="s">
        <v>343</v>
      </c>
      <c r="E83" s="443"/>
      <c r="F83" s="385">
        <v>18.18</v>
      </c>
      <c r="G83" s="419">
        <v>326</v>
      </c>
      <c r="H83" s="444">
        <f t="shared" si="20"/>
        <v>5926.68</v>
      </c>
      <c r="I83" s="387"/>
      <c r="J83" s="388">
        <v>4</v>
      </c>
      <c r="K83" s="389">
        <f t="shared" si="21"/>
        <v>1956.0000000000068</v>
      </c>
      <c r="L83" s="390">
        <f t="shared" si="22"/>
        <v>489.00000000000171</v>
      </c>
      <c r="M83" s="391">
        <v>0.80208333333333337</v>
      </c>
      <c r="N83" s="391">
        <v>0.80902777777777779</v>
      </c>
      <c r="O83" s="389">
        <v>20</v>
      </c>
      <c r="P83" s="392">
        <f>(N83-M83)*24*60</f>
        <v>9.9999999999999645</v>
      </c>
      <c r="Q83" s="393"/>
      <c r="R83" s="393"/>
    </row>
    <row r="84" spans="1:18">
      <c r="A84" s="539"/>
      <c r="B84" s="383" t="s">
        <v>389</v>
      </c>
      <c r="C84" s="413"/>
      <c r="D84" s="433" t="s">
        <v>344</v>
      </c>
      <c r="E84" s="443"/>
      <c r="F84" s="385">
        <v>16.7</v>
      </c>
      <c r="G84" s="419">
        <v>1016</v>
      </c>
      <c r="H84" s="445">
        <f t="shared" si="20"/>
        <v>16967.2</v>
      </c>
      <c r="I84" s="387"/>
      <c r="J84" s="388">
        <v>3</v>
      </c>
      <c r="K84" s="389">
        <f t="shared" si="21"/>
        <v>3048.0000000000109</v>
      </c>
      <c r="L84" s="390">
        <f t="shared" si="22"/>
        <v>1016.0000000000036</v>
      </c>
      <c r="M84" s="391">
        <v>0.82291666666666663</v>
      </c>
      <c r="N84" s="391">
        <v>0.83680555555555547</v>
      </c>
      <c r="O84" s="389">
        <v>20</v>
      </c>
      <c r="P84" s="421">
        <f t="shared" ref="P84:P85" si="23">(N84-M84)*24*60</f>
        <v>19.999999999999929</v>
      </c>
      <c r="Q84" s="393">
        <v>0.83680555555555547</v>
      </c>
      <c r="R84" s="393">
        <v>0.87847222222222221</v>
      </c>
    </row>
    <row r="85" spans="1:18">
      <c r="A85" s="539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844</v>
      </c>
      <c r="H85" s="445">
        <f t="shared" si="20"/>
        <v>18805.854545454546</v>
      </c>
      <c r="I85" s="387"/>
      <c r="J85" s="388">
        <v>4</v>
      </c>
      <c r="K85" s="389">
        <f t="shared" si="21"/>
        <v>3376.0000000000118</v>
      </c>
      <c r="L85" s="390">
        <f t="shared" si="22"/>
        <v>844.00000000000296</v>
      </c>
      <c r="M85" s="391">
        <v>0.89236111111111116</v>
      </c>
      <c r="N85" s="391">
        <v>0.90277777777777779</v>
      </c>
      <c r="O85" s="389">
        <v>20</v>
      </c>
      <c r="P85" s="421">
        <f t="shared" si="23"/>
        <v>14.999999999999947</v>
      </c>
      <c r="Q85" s="382"/>
      <c r="R85" s="382"/>
    </row>
    <row r="86" spans="1:18">
      <c r="A86" s="539"/>
      <c r="B86" s="383" t="s">
        <v>389</v>
      </c>
      <c r="C86" s="413"/>
      <c r="D86" s="414" t="s">
        <v>346</v>
      </c>
      <c r="E86" s="443"/>
      <c r="F86" s="385">
        <v>17.890909090909091</v>
      </c>
      <c r="G86" s="379">
        <v>3188</v>
      </c>
      <c r="H86" s="445">
        <f t="shared" si="20"/>
        <v>57036.218181818178</v>
      </c>
      <c r="I86" s="387"/>
      <c r="J86" s="388">
        <v>3</v>
      </c>
      <c r="K86" s="389">
        <f t="shared" si="21"/>
        <v>2732.5714285714257</v>
      </c>
      <c r="L86" s="390">
        <f t="shared" si="22"/>
        <v>910.85714285714187</v>
      </c>
      <c r="M86" s="391">
        <v>0.91666666666666663</v>
      </c>
      <c r="N86" s="446">
        <v>0.96527777777777779</v>
      </c>
      <c r="O86" s="382">
        <v>20</v>
      </c>
      <c r="P86" s="421">
        <f>(N86-M86)*24*60</f>
        <v>70.000000000000071</v>
      </c>
      <c r="Q86" s="382"/>
      <c r="R86" s="382"/>
    </row>
    <row r="87" spans="1:18">
      <c r="A87" s="539"/>
      <c r="B87" s="383"/>
      <c r="C87" s="413"/>
      <c r="D87" s="414"/>
      <c r="E87" s="443"/>
      <c r="F87" s="385" t="s">
        <v>391</v>
      </c>
      <c r="G87" s="379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39"/>
      <c r="B88" s="383">
        <v>0</v>
      </c>
      <c r="C88" s="413"/>
      <c r="D88" s="414"/>
      <c r="E88" s="443"/>
      <c r="F88" s="385" t="s">
        <v>391</v>
      </c>
      <c r="G88" s="379"/>
      <c r="H88" s="445"/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39"/>
      <c r="B89" s="383">
        <v>0</v>
      </c>
      <c r="C89" s="413"/>
      <c r="D89" s="414"/>
      <c r="E89" s="443"/>
      <c r="F89" s="385" t="s">
        <v>391</v>
      </c>
      <c r="G89" s="379"/>
      <c r="H89" s="445">
        <f t="shared" ref="H89:H90" si="24">F89*G89</f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5">(N89-M89)*24*60</f>
        <v>0</v>
      </c>
      <c r="Q89" s="382"/>
      <c r="R89" s="382"/>
    </row>
    <row r="90" spans="1:18">
      <c r="A90" s="539"/>
      <c r="B90" s="383">
        <v>0</v>
      </c>
      <c r="C90" s="413"/>
      <c r="D90" s="414"/>
      <c r="E90" s="443"/>
      <c r="F90" s="385" t="s">
        <v>391</v>
      </c>
      <c r="G90" s="379"/>
      <c r="H90" s="445">
        <f t="shared" si="24"/>
        <v>0</v>
      </c>
      <c r="I90" s="387"/>
      <c r="J90" s="388"/>
      <c r="K90" s="389"/>
      <c r="L90" s="390"/>
      <c r="M90" s="391"/>
      <c r="N90" s="446"/>
      <c r="O90" s="382"/>
      <c r="P90" s="421">
        <f t="shared" si="25"/>
        <v>0</v>
      </c>
      <c r="Q90" s="382"/>
      <c r="R90" s="382"/>
    </row>
    <row r="91" spans="1:18" ht="17.45" customHeight="1">
      <c r="A91" s="539"/>
      <c r="B91" s="383">
        <v>0</v>
      </c>
      <c r="C91" s="12" t="s">
        <v>318</v>
      </c>
      <c r="D91" s="540" t="s">
        <v>75</v>
      </c>
      <c r="E91" s="540"/>
      <c r="F91" s="401"/>
      <c r="G91" s="447"/>
      <c r="H91" s="448"/>
      <c r="I91" s="404"/>
      <c r="J91" s="405">
        <f>AVERAGE(J82:J90)</f>
        <v>3.6</v>
      </c>
      <c r="K91" s="405">
        <f>AVERAGE(K82:K90)</f>
        <v>2788.4090225563955</v>
      </c>
      <c r="L91" s="406">
        <f>AVERAGE(L82:L90)</f>
        <v>793.44511278195614</v>
      </c>
      <c r="M91" s="391"/>
      <c r="N91" s="391"/>
      <c r="O91" s="389"/>
      <c r="P91" s="389"/>
      <c r="Q91" s="390"/>
      <c r="R91" s="390"/>
    </row>
    <row r="92" spans="1:18" ht="16.149999999999999" customHeight="1">
      <c r="A92" s="541" t="s">
        <v>347</v>
      </c>
      <c r="B92" s="383" t="s">
        <v>389</v>
      </c>
      <c r="C92" s="400"/>
      <c r="D92" s="449" t="s">
        <v>348</v>
      </c>
      <c r="E92" s="443"/>
      <c r="F92" s="385">
        <v>24.54</v>
      </c>
      <c r="G92" s="379">
        <v>1622</v>
      </c>
      <c r="H92" s="386">
        <f t="shared" ref="H92:H97" si="26">F92*G92</f>
        <v>39803.879999999997</v>
      </c>
      <c r="I92" s="387"/>
      <c r="J92" s="388">
        <v>3</v>
      </c>
      <c r="K92" s="389">
        <f>G92/P92*60</f>
        <v>2162.6666666666665</v>
      </c>
      <c r="L92" s="390">
        <f t="shared" ref="L92:L93" si="27">K92/J92</f>
        <v>720.8888888888888</v>
      </c>
      <c r="M92" s="391">
        <v>0.72222222222222221</v>
      </c>
      <c r="N92" s="391">
        <v>0.75347222222222221</v>
      </c>
      <c r="O92" s="382">
        <v>20</v>
      </c>
      <c r="P92" s="392">
        <f>(N92-M92)*24*60</f>
        <v>45</v>
      </c>
      <c r="Q92" s="393"/>
      <c r="R92" s="393"/>
    </row>
    <row r="93" spans="1:18">
      <c r="A93" s="542"/>
      <c r="B93" s="383" t="s">
        <v>389</v>
      </c>
      <c r="C93" s="400"/>
      <c r="D93" s="414" t="s">
        <v>349</v>
      </c>
      <c r="E93" s="443"/>
      <c r="F93" s="385">
        <v>22.48</v>
      </c>
      <c r="G93" s="379">
        <v>1117</v>
      </c>
      <c r="H93" s="386">
        <f t="shared" si="26"/>
        <v>25110.16</v>
      </c>
      <c r="I93" s="387"/>
      <c r="J93" s="388">
        <v>4</v>
      </c>
      <c r="K93" s="389">
        <f t="shared" ref="K93" si="28">G93/P93*60</f>
        <v>2233.9999999999964</v>
      </c>
      <c r="L93" s="390">
        <f t="shared" si="27"/>
        <v>558.49999999999909</v>
      </c>
      <c r="M93" s="391">
        <v>0.76736111111111116</v>
      </c>
      <c r="N93" s="391">
        <v>0.78819444444444453</v>
      </c>
      <c r="O93" s="382">
        <v>20</v>
      </c>
      <c r="P93" s="392">
        <f>(N93-M93)*24*60</f>
        <v>30.000000000000053</v>
      </c>
      <c r="Q93" s="393"/>
      <c r="R93" s="393"/>
    </row>
    <row r="94" spans="1:18">
      <c r="A94" s="542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6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43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6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43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6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43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6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43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43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43"/>
      <c r="B100" s="383">
        <v>0</v>
      </c>
      <c r="C100" s="12" t="s">
        <v>350</v>
      </c>
      <c r="D100" s="544" t="s">
        <v>75</v>
      </c>
      <c r="E100" s="545"/>
      <c r="F100" s="401"/>
      <c r="G100" s="402"/>
      <c r="H100" s="450"/>
      <c r="I100" s="404"/>
      <c r="J100" s="405">
        <f>AVERAGE(J92:J99)</f>
        <v>3.5</v>
      </c>
      <c r="K100" s="405">
        <f>AVERAGE(K92:K99)</f>
        <v>2198.3333333333312</v>
      </c>
      <c r="L100" s="406">
        <f>AVERAGE(L92:L99)</f>
        <v>639.69444444444389</v>
      </c>
      <c r="M100" s="391"/>
      <c r="N100" s="391"/>
      <c r="O100" s="389"/>
      <c r="P100" s="389"/>
      <c r="Q100" s="390"/>
      <c r="R100" s="390"/>
    </row>
    <row r="101" spans="1:18" ht="16.149999999999999" customHeight="1">
      <c r="A101" s="546" t="s">
        <v>351</v>
      </c>
      <c r="B101" s="383" t="s">
        <v>389</v>
      </c>
      <c r="C101" s="12"/>
      <c r="D101" s="437" t="s">
        <v>352</v>
      </c>
      <c r="E101" s="451"/>
      <c r="F101" s="385">
        <v>25.03</v>
      </c>
      <c r="G101" s="379">
        <v>933</v>
      </c>
      <c r="H101" s="386">
        <f t="shared" ref="H101:H110" si="29">F101*G101</f>
        <v>23352.99</v>
      </c>
      <c r="I101" s="387"/>
      <c r="J101" s="388">
        <v>4</v>
      </c>
      <c r="K101" s="389">
        <f>G101/P101*60</f>
        <v>2798.9999999999877</v>
      </c>
      <c r="L101" s="390">
        <f t="shared" ref="L101:L105" si="30">K101/J101</f>
        <v>699.74999999999693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1">(N101-M101)*24*60</f>
        <v>20.000000000000089</v>
      </c>
      <c r="Q101" s="390"/>
      <c r="R101" s="393"/>
    </row>
    <row r="102" spans="1:18">
      <c r="A102" s="546"/>
      <c r="B102" s="383" t="s">
        <v>389</v>
      </c>
      <c r="C102" s="12"/>
      <c r="D102" s="414" t="s">
        <v>353</v>
      </c>
      <c r="E102" s="451"/>
      <c r="F102" s="385">
        <v>24.82</v>
      </c>
      <c r="G102" s="379">
        <v>1483</v>
      </c>
      <c r="H102" s="386">
        <f t="shared" si="29"/>
        <v>36808.06</v>
      </c>
      <c r="I102" s="387"/>
      <c r="J102" s="388">
        <v>4</v>
      </c>
      <c r="K102" s="389">
        <f t="shared" ref="K102:K105" si="32">G102/P102*60</f>
        <v>2965.9999999999945</v>
      </c>
      <c r="L102" s="390">
        <f t="shared" si="30"/>
        <v>741.49999999999864</v>
      </c>
      <c r="M102" s="391">
        <v>0.75</v>
      </c>
      <c r="N102" s="391">
        <v>0.77083333333333337</v>
      </c>
      <c r="O102" s="382">
        <v>20</v>
      </c>
      <c r="P102" s="389">
        <f t="shared" si="31"/>
        <v>30.000000000000053</v>
      </c>
      <c r="Q102" s="393"/>
      <c r="R102" s="393"/>
    </row>
    <row r="103" spans="1:18">
      <c r="A103" s="546"/>
      <c r="B103" s="383" t="s">
        <v>389</v>
      </c>
      <c r="C103" s="12"/>
      <c r="D103" s="433" t="s">
        <v>354</v>
      </c>
      <c r="E103" s="414"/>
      <c r="F103" s="385">
        <v>28.57</v>
      </c>
      <c r="G103" s="379">
        <v>2529</v>
      </c>
      <c r="H103" s="386">
        <f t="shared" si="29"/>
        <v>72253.53</v>
      </c>
      <c r="I103" s="387"/>
      <c r="J103" s="388">
        <v>3</v>
      </c>
      <c r="K103" s="389">
        <f t="shared" si="32"/>
        <v>3034.7999999999915</v>
      </c>
      <c r="L103" s="390">
        <f t="shared" si="30"/>
        <v>1011.5999999999972</v>
      </c>
      <c r="M103" s="391">
        <v>0.78472222222222221</v>
      </c>
      <c r="N103" s="391">
        <v>0.81944444444444453</v>
      </c>
      <c r="O103" s="382">
        <v>20</v>
      </c>
      <c r="P103" s="389">
        <f t="shared" si="31"/>
        <v>50.000000000000142</v>
      </c>
      <c r="Q103" s="393"/>
      <c r="R103" s="393"/>
    </row>
    <row r="104" spans="1:18">
      <c r="A104" s="546"/>
      <c r="B104" s="383" t="s">
        <v>389</v>
      </c>
      <c r="C104" s="12"/>
      <c r="D104" s="414" t="s">
        <v>355</v>
      </c>
      <c r="E104" s="437"/>
      <c r="F104" s="385">
        <v>14.03</v>
      </c>
      <c r="G104" s="379">
        <v>5154</v>
      </c>
      <c r="H104" s="386">
        <f t="shared" si="29"/>
        <v>72310.62</v>
      </c>
      <c r="I104" s="387"/>
      <c r="J104" s="388">
        <v>3</v>
      </c>
      <c r="K104" s="389">
        <f t="shared" si="32"/>
        <v>3092.400000000001</v>
      </c>
      <c r="L104" s="390">
        <f t="shared" si="30"/>
        <v>1030.8000000000004</v>
      </c>
      <c r="M104" s="391">
        <v>0.83333333333333337</v>
      </c>
      <c r="N104" s="391">
        <v>0.90277777777777779</v>
      </c>
      <c r="O104" s="382">
        <v>20</v>
      </c>
      <c r="P104" s="389">
        <f>(N104-M104)*24*60</f>
        <v>99.999999999999972</v>
      </c>
      <c r="Q104" s="393">
        <v>0.90277777777777779</v>
      </c>
      <c r="R104" s="393">
        <v>0.94444444444444453</v>
      </c>
    </row>
    <row r="105" spans="1:18">
      <c r="A105" s="546"/>
      <c r="B105" s="383" t="s">
        <v>389</v>
      </c>
      <c r="C105" s="12"/>
      <c r="D105" s="414" t="s">
        <v>356</v>
      </c>
      <c r="E105" s="433"/>
      <c r="F105" s="385">
        <v>14.285714285714283</v>
      </c>
      <c r="G105" s="379">
        <v>6815</v>
      </c>
      <c r="H105" s="386">
        <f t="shared" si="29"/>
        <v>97357.142857142841</v>
      </c>
      <c r="I105" s="387"/>
      <c r="J105" s="388">
        <v>3</v>
      </c>
      <c r="K105" s="389">
        <f t="shared" si="32"/>
        <v>3028.8888888888887</v>
      </c>
      <c r="L105" s="390">
        <f t="shared" si="30"/>
        <v>1009.6296296296296</v>
      </c>
      <c r="M105" s="391">
        <v>46059.958333333336</v>
      </c>
      <c r="N105" s="446">
        <v>46060.052083333336</v>
      </c>
      <c r="O105" s="382">
        <v>20</v>
      </c>
      <c r="P105" s="389">
        <f>(N105-M105)*24*60</f>
        <v>135</v>
      </c>
      <c r="Q105" s="390"/>
      <c r="R105" s="393"/>
    </row>
    <row r="106" spans="1:18">
      <c r="A106" s="546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9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1"/>
        <v>0</v>
      </c>
      <c r="Q106" s="390"/>
      <c r="R106" s="393"/>
    </row>
    <row r="107" spans="1:18">
      <c r="A107" s="546"/>
      <c r="B107" s="383">
        <v>0</v>
      </c>
      <c r="C107" s="12"/>
      <c r="D107" s="414"/>
      <c r="E107" s="433"/>
      <c r="F107" s="385" t="s">
        <v>391</v>
      </c>
      <c r="G107" s="379"/>
      <c r="H107" s="386">
        <f t="shared" si="29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1"/>
        <v>0</v>
      </c>
      <c r="Q107" s="390"/>
      <c r="R107" s="393"/>
    </row>
    <row r="108" spans="1:18">
      <c r="A108" s="546"/>
      <c r="B108" s="383">
        <v>0</v>
      </c>
      <c r="C108" s="12"/>
      <c r="D108" s="414"/>
      <c r="E108" s="433"/>
      <c r="F108" s="385" t="s">
        <v>391</v>
      </c>
      <c r="G108" s="379"/>
      <c r="H108" s="386">
        <f t="shared" si="29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1"/>
        <v>0</v>
      </c>
      <c r="Q108" s="390"/>
      <c r="R108" s="393"/>
    </row>
    <row r="109" spans="1:18">
      <c r="A109" s="546"/>
      <c r="B109" s="383">
        <v>0</v>
      </c>
      <c r="C109" s="400"/>
      <c r="D109" s="414"/>
      <c r="E109" s="433"/>
      <c r="F109" s="385" t="s">
        <v>391</v>
      </c>
      <c r="G109" s="379"/>
      <c r="H109" s="386">
        <f t="shared" si="29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1"/>
        <v>0</v>
      </c>
      <c r="Q109" s="390"/>
      <c r="R109" s="393"/>
    </row>
    <row r="110" spans="1:18">
      <c r="A110" s="546"/>
      <c r="B110" s="383">
        <v>0</v>
      </c>
      <c r="C110" s="400"/>
      <c r="D110" s="414"/>
      <c r="E110" s="433"/>
      <c r="F110" s="385" t="s">
        <v>391</v>
      </c>
      <c r="G110" s="379"/>
      <c r="H110" s="386">
        <f t="shared" si="29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1"/>
        <v>0</v>
      </c>
      <c r="Q110" s="390"/>
      <c r="R110" s="393"/>
    </row>
    <row r="111" spans="1:18" ht="15.75" customHeight="1">
      <c r="A111" s="546"/>
      <c r="B111" s="383">
        <v>0</v>
      </c>
      <c r="C111" s="12" t="s">
        <v>330</v>
      </c>
      <c r="D111" s="547" t="s">
        <v>75</v>
      </c>
      <c r="E111" s="548"/>
      <c r="F111" s="452"/>
      <c r="G111" s="453"/>
      <c r="H111" s="403"/>
      <c r="I111" s="404"/>
      <c r="J111" s="405">
        <f>AVERAGE(J101:J110)</f>
        <v>3.4</v>
      </c>
      <c r="K111" s="405">
        <f>AVERAGE(K101:K110)</f>
        <v>2984.2177777777729</v>
      </c>
      <c r="L111" s="406">
        <f>AVERAGE(L101:L110)</f>
        <v>898.65592592592452</v>
      </c>
      <c r="M111" s="391"/>
      <c r="N111" s="391"/>
      <c r="O111" s="389"/>
      <c r="P111" s="389"/>
      <c r="Q111" s="390"/>
      <c r="R111" s="382"/>
    </row>
    <row r="112" spans="1:18" ht="16.149999999999999" customHeight="1">
      <c r="A112" s="536" t="s">
        <v>357</v>
      </c>
      <c r="B112" s="383" t="s">
        <v>389</v>
      </c>
      <c r="C112" s="12"/>
      <c r="D112" s="441" t="s">
        <v>358</v>
      </c>
      <c r="E112" s="454"/>
      <c r="F112" s="385">
        <v>18.18</v>
      </c>
      <c r="G112" s="379">
        <v>831</v>
      </c>
      <c r="H112" s="444">
        <f t="shared" si="3"/>
        <v>15107.58</v>
      </c>
      <c r="I112" s="387"/>
      <c r="J112" s="388">
        <v>4</v>
      </c>
      <c r="K112" s="389">
        <f t="shared" ref="K112:K113" si="33">G112/P112*60</f>
        <v>3324.0000000000118</v>
      </c>
      <c r="L112" s="390">
        <f t="shared" ref="L112:L113" si="34">K112/J112</f>
        <v>831.00000000000296</v>
      </c>
      <c r="M112" s="391">
        <v>0.72222222222222221</v>
      </c>
      <c r="N112" s="391">
        <v>0.73263888888888884</v>
      </c>
      <c r="O112" s="382">
        <v>20</v>
      </c>
      <c r="P112" s="392">
        <f t="shared" ref="P112:P123" si="35">(N112-M112)*24*60</f>
        <v>14.999999999999947</v>
      </c>
      <c r="Q112" s="382"/>
      <c r="R112" s="382"/>
    </row>
    <row r="113" spans="1:18">
      <c r="A113" s="536"/>
      <c r="B113" s="383" t="s">
        <v>389</v>
      </c>
      <c r="C113" s="413"/>
      <c r="D113" s="441" t="s">
        <v>359</v>
      </c>
      <c r="E113" s="441"/>
      <c r="F113" s="385">
        <v>18.18</v>
      </c>
      <c r="G113" s="379">
        <v>961</v>
      </c>
      <c r="H113" s="444">
        <f t="shared" si="3"/>
        <v>17470.98</v>
      </c>
      <c r="I113" s="387"/>
      <c r="J113" s="388">
        <v>3</v>
      </c>
      <c r="K113" s="389">
        <f t="shared" si="33"/>
        <v>2883.00000000001</v>
      </c>
      <c r="L113" s="390">
        <f t="shared" si="34"/>
        <v>961.0000000000033</v>
      </c>
      <c r="M113" s="391">
        <v>0.74652777777777779</v>
      </c>
      <c r="N113" s="391">
        <v>0.76041666666666663</v>
      </c>
      <c r="O113" s="382">
        <v>20</v>
      </c>
      <c r="P113" s="392">
        <f t="shared" si="35"/>
        <v>19.999999999999929</v>
      </c>
      <c r="Q113" s="393"/>
      <c r="R113" s="393"/>
    </row>
    <row r="114" spans="1:18">
      <c r="A114" s="536"/>
      <c r="B114" s="383">
        <v>0</v>
      </c>
      <c r="C114" s="413"/>
      <c r="D114" s="437"/>
      <c r="E114" s="414"/>
      <c r="F114" s="385" t="s">
        <v>391</v>
      </c>
      <c r="G114" s="379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5"/>
        <v>0</v>
      </c>
      <c r="Q114" s="393"/>
      <c r="R114" s="393"/>
    </row>
    <row r="115" spans="1:18">
      <c r="A115" s="536"/>
      <c r="B115" s="383">
        <v>0</v>
      </c>
      <c r="C115" s="413"/>
      <c r="D115" s="414"/>
      <c r="E115" s="437"/>
      <c r="F115" s="385" t="s">
        <v>391</v>
      </c>
      <c r="G115" s="379"/>
      <c r="H115" s="444">
        <f t="shared" ref="H115:H123" si="36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5"/>
        <v>0</v>
      </c>
      <c r="Q115" s="393"/>
      <c r="R115" s="393"/>
    </row>
    <row r="116" spans="1:18">
      <c r="A116" s="536"/>
      <c r="B116" s="383">
        <v>0</v>
      </c>
      <c r="C116" s="413"/>
      <c r="D116" s="414"/>
      <c r="E116" s="433"/>
      <c r="F116" s="385" t="s">
        <v>391</v>
      </c>
      <c r="G116" s="379"/>
      <c r="H116" s="444">
        <f t="shared" si="36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5"/>
        <v>0</v>
      </c>
      <c r="Q116" s="393"/>
      <c r="R116" s="393"/>
    </row>
    <row r="117" spans="1:18">
      <c r="A117" s="536"/>
      <c r="B117" s="383">
        <v>0</v>
      </c>
      <c r="C117" s="413"/>
      <c r="D117" s="433"/>
      <c r="E117" s="432"/>
      <c r="F117" s="385" t="s">
        <v>391</v>
      </c>
      <c r="G117" s="379"/>
      <c r="H117" s="444">
        <f t="shared" si="36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5"/>
        <v>0</v>
      </c>
      <c r="Q117" s="393"/>
      <c r="R117" s="393"/>
    </row>
    <row r="118" spans="1:18">
      <c r="A118" s="536"/>
      <c r="B118" s="383">
        <v>0</v>
      </c>
      <c r="C118" s="413"/>
      <c r="D118" s="433"/>
      <c r="E118" s="432"/>
      <c r="F118" s="385" t="s">
        <v>391</v>
      </c>
      <c r="G118" s="379"/>
      <c r="H118" s="444">
        <f t="shared" si="36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5"/>
        <v>0</v>
      </c>
      <c r="Q118" s="393"/>
      <c r="R118" s="393"/>
    </row>
    <row r="119" spans="1:18">
      <c r="A119" s="536"/>
      <c r="B119" s="383">
        <v>0</v>
      </c>
      <c r="C119" s="413"/>
      <c r="D119" s="433"/>
      <c r="E119" s="432"/>
      <c r="F119" s="385" t="s">
        <v>391</v>
      </c>
      <c r="G119" s="379"/>
      <c r="H119" s="444">
        <f t="shared" si="36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5"/>
        <v>0</v>
      </c>
      <c r="Q119" s="393"/>
      <c r="R119" s="393"/>
    </row>
    <row r="120" spans="1:18">
      <c r="A120" s="536"/>
      <c r="B120" s="383">
        <v>0</v>
      </c>
      <c r="C120" s="413"/>
      <c r="D120" s="433"/>
      <c r="E120" s="432"/>
      <c r="F120" s="385" t="s">
        <v>391</v>
      </c>
      <c r="G120" s="379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36"/>
      <c r="B121" s="383">
        <v>0</v>
      </c>
      <c r="C121" s="413"/>
      <c r="D121" s="433"/>
      <c r="E121" s="432"/>
      <c r="F121" s="385" t="s">
        <v>391</v>
      </c>
      <c r="G121" s="379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36"/>
      <c r="B122" s="383">
        <v>0</v>
      </c>
      <c r="C122" s="413"/>
      <c r="D122" s="433"/>
      <c r="E122" s="432"/>
      <c r="F122" s="385" t="s">
        <v>391</v>
      </c>
      <c r="G122" s="379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5"/>
        <v>0</v>
      </c>
      <c r="Q122" s="393"/>
      <c r="R122" s="393"/>
    </row>
    <row r="123" spans="1:18">
      <c r="A123" s="536"/>
      <c r="B123" s="383">
        <v>0</v>
      </c>
      <c r="C123" s="413"/>
      <c r="D123" s="433"/>
      <c r="E123" s="432"/>
      <c r="F123" s="385" t="s">
        <v>391</v>
      </c>
      <c r="G123" s="379"/>
      <c r="H123" s="444">
        <f t="shared" si="36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5"/>
        <v>0</v>
      </c>
      <c r="Q123" s="393"/>
      <c r="R123" s="393"/>
    </row>
    <row r="124" spans="1:18" ht="17.45" customHeight="1">
      <c r="A124" s="536"/>
      <c r="B124" s="400">
        <v>0</v>
      </c>
      <c r="C124" s="12" t="s">
        <v>339</v>
      </c>
      <c r="D124" s="537" t="s">
        <v>75</v>
      </c>
      <c r="E124" s="537"/>
      <c r="F124" s="401"/>
      <c r="G124" s="447"/>
      <c r="H124" s="448"/>
      <c r="I124" s="404"/>
      <c r="J124" s="405">
        <f>AVERAGE(J112:J123)</f>
        <v>3.5</v>
      </c>
      <c r="K124" s="405">
        <f>AVERAGE(K112:K123)</f>
        <v>3103.5000000000109</v>
      </c>
      <c r="L124" s="406">
        <f>AVERAGE(L112:L123)</f>
        <v>896.00000000000318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4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L8" sqref="L8"/>
      <selection pane="bottomLeft" activeCell="F10" sqref="F10"/>
    </sheetView>
  </sheetViews>
  <sheetFormatPr defaultColWidth="7.875" defaultRowHeight="15.75"/>
  <cols>
    <col min="1" max="1" width="14.25" style="71" customWidth="1"/>
    <col min="2" max="2" width="12.75" style="71" customWidth="1"/>
    <col min="3" max="3" width="12.75" style="71" hidden="1" customWidth="1"/>
    <col min="4" max="4" width="14.25" style="71" customWidth="1"/>
    <col min="5" max="5" width="16.5" style="71" customWidth="1"/>
    <col min="6" max="6" width="8.875" style="71" customWidth="1"/>
    <col min="7" max="7" width="20.25" style="71" bestFit="1" customWidth="1"/>
    <col min="8" max="8" width="16.375" style="71" customWidth="1"/>
    <col min="9" max="9" width="6.375" style="71" customWidth="1"/>
    <col min="10" max="10" width="10.125" style="71" customWidth="1"/>
    <col min="11" max="11" width="10.625" style="71" customWidth="1"/>
    <col min="12" max="12" width="14.5" style="71" customWidth="1"/>
    <col min="13" max="13" width="10.125" style="71" customWidth="1"/>
    <col min="14" max="14" width="9.25" style="71" customWidth="1"/>
    <col min="15" max="15" width="11.875" style="71" customWidth="1"/>
    <col min="16" max="16" width="6" style="71" customWidth="1"/>
    <col min="17" max="18" width="9.25" style="71" customWidth="1"/>
    <col min="19" max="19" width="8.625" style="71" customWidth="1"/>
    <col min="20" max="21" width="7.625" style="71" bestFit="1" customWidth="1"/>
    <col min="22" max="22" width="10.625" style="71" customWidth="1"/>
    <col min="23" max="23" width="8.625" style="360" customWidth="1"/>
    <col min="24" max="25" width="7.125" style="71" customWidth="1"/>
    <col min="26" max="27" width="9.5" style="71" customWidth="1"/>
    <col min="28" max="28" width="12.625" style="71" customWidth="1"/>
    <col min="29" max="29" width="12.5" style="71" customWidth="1"/>
    <col min="30" max="31" width="9.5" style="71" customWidth="1"/>
    <col min="32" max="32" width="13.125" style="71" customWidth="1"/>
    <col min="33" max="33" width="10.375" style="71" customWidth="1"/>
    <col min="34" max="34" width="9.25" style="71" customWidth="1"/>
    <col min="35" max="35" width="7.875" style="71" customWidth="1"/>
    <col min="36" max="36" width="24.5" style="71" bestFit="1" customWidth="1"/>
    <col min="37" max="16384" width="7.875" style="71"/>
  </cols>
  <sheetData>
    <row r="1" spans="1:34" ht="26.25" customHeight="1">
      <c r="A1" s="62" t="s">
        <v>226</v>
      </c>
      <c r="B1" s="62"/>
      <c r="C1" s="62"/>
      <c r="D1" s="63" t="s">
        <v>227</v>
      </c>
      <c r="E1" s="64">
        <f>SUM(G5:G173)</f>
        <v>115200.40000000002</v>
      </c>
      <c r="F1" s="65" t="s">
        <v>3</v>
      </c>
      <c r="G1" s="66">
        <f>SUM(H5:H173)</f>
        <v>4605575.4791963464</v>
      </c>
      <c r="H1" s="67" t="s">
        <v>83</v>
      </c>
      <c r="I1" s="68">
        <f>M17+M30+M43+M56+M69+M82+M95+M108+M121+M134+M147+M160+M173</f>
        <v>188.07738095238099</v>
      </c>
      <c r="J1" s="668" t="s">
        <v>84</v>
      </c>
      <c r="K1" s="668"/>
      <c r="L1" s="668"/>
      <c r="M1" s="668" t="s">
        <v>85</v>
      </c>
      <c r="N1" s="668"/>
      <c r="O1" s="668"/>
      <c r="P1" s="668" t="s">
        <v>228</v>
      </c>
      <c r="Q1" s="668"/>
      <c r="R1" s="668"/>
      <c r="S1" s="668"/>
      <c r="T1" s="668" t="s">
        <v>229</v>
      </c>
      <c r="U1" s="668"/>
      <c r="V1" s="668"/>
      <c r="W1" s="668"/>
      <c r="X1" s="668"/>
      <c r="Y1" s="668"/>
      <c r="Z1" s="69" t="s">
        <v>230</v>
      </c>
      <c r="AA1" s="69" t="s">
        <v>231</v>
      </c>
      <c r="AB1" s="669" t="s">
        <v>232</v>
      </c>
      <c r="AC1" s="670"/>
      <c r="AD1" s="69" t="s">
        <v>230</v>
      </c>
      <c r="AE1" s="69" t="s">
        <v>233</v>
      </c>
      <c r="AF1" s="668" t="s">
        <v>234</v>
      </c>
      <c r="AG1" s="673"/>
      <c r="AH1" s="673"/>
    </row>
    <row r="2" spans="1:34" ht="26.25" customHeight="1">
      <c r="A2" s="667" t="s">
        <v>289</v>
      </c>
      <c r="B2" s="667"/>
      <c r="C2" s="63"/>
      <c r="D2" s="63" t="s">
        <v>236</v>
      </c>
      <c r="E2" s="73">
        <f>AVERAGE(O17,O30,O43,O56,O69,O82,O95,O108,O121,O134,O147,O160,O173)</f>
        <v>126.6534204259731</v>
      </c>
      <c r="F2" s="74" t="s">
        <v>94</v>
      </c>
      <c r="G2" s="75">
        <f>G1/E1</f>
        <v>39.978814997138429</v>
      </c>
      <c r="H2" s="67" t="s">
        <v>95</v>
      </c>
      <c r="I2" s="67">
        <f>COUNT(I5:I173)</f>
        <v>4</v>
      </c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8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71"/>
      <c r="AC2" s="672"/>
      <c r="AD2" s="77">
        <f>AD17+AD30+AD43+AD56+AD69+AD82+AD95+AD108+AD121+AD134+AD147+AD160+AD173</f>
        <v>5</v>
      </c>
      <c r="AE2" s="77">
        <f>AE17+AE30+AE43+AE56+AE69+AE82+AE95+AE108+AE121+AE134+AE147+AE160+AE173</f>
        <v>2</v>
      </c>
      <c r="AF2" s="673"/>
      <c r="AG2" s="673"/>
      <c r="AH2" s="673"/>
    </row>
    <row r="3" spans="1:34" ht="30.6" customHeight="1">
      <c r="A3" s="601" t="s">
        <v>237</v>
      </c>
      <c r="B3" s="601" t="s">
        <v>97</v>
      </c>
      <c r="C3" s="665"/>
      <c r="D3" s="601" t="s">
        <v>238</v>
      </c>
      <c r="E3" s="601"/>
      <c r="F3" s="665" t="s">
        <v>99</v>
      </c>
      <c r="G3" s="659" t="s">
        <v>100</v>
      </c>
      <c r="H3" s="665" t="s">
        <v>101</v>
      </c>
      <c r="I3" s="661" t="s">
        <v>239</v>
      </c>
      <c r="J3" s="664" t="s">
        <v>103</v>
      </c>
      <c r="K3" s="654" t="s">
        <v>104</v>
      </c>
      <c r="L3" s="635" t="s">
        <v>76</v>
      </c>
      <c r="M3" s="659" t="s">
        <v>103</v>
      </c>
      <c r="N3" s="654" t="s">
        <v>240</v>
      </c>
      <c r="O3" s="635" t="s">
        <v>236</v>
      </c>
      <c r="P3" s="664" t="s">
        <v>241</v>
      </c>
      <c r="Q3" s="635" t="s">
        <v>236</v>
      </c>
      <c r="R3" s="655" t="s">
        <v>242</v>
      </c>
      <c r="S3" s="632" t="s">
        <v>243</v>
      </c>
      <c r="T3" s="659" t="s">
        <v>109</v>
      </c>
      <c r="U3" s="659"/>
      <c r="V3" s="660" t="s">
        <v>110</v>
      </c>
      <c r="W3" s="661" t="s">
        <v>244</v>
      </c>
      <c r="X3" s="659" t="s">
        <v>245</v>
      </c>
      <c r="Y3" s="659"/>
      <c r="Z3" s="662" t="s">
        <v>246</v>
      </c>
      <c r="AA3" s="663"/>
      <c r="AB3" s="650" t="s">
        <v>247</v>
      </c>
      <c r="AC3" s="651"/>
      <c r="AD3" s="652" t="s">
        <v>248</v>
      </c>
      <c r="AE3" s="653"/>
      <c r="AF3" s="654" t="s">
        <v>240</v>
      </c>
      <c r="AG3" s="655" t="s">
        <v>242</v>
      </c>
      <c r="AH3" s="632" t="s">
        <v>243</v>
      </c>
    </row>
    <row r="4" spans="1:34" ht="30.6" customHeight="1">
      <c r="A4" s="665"/>
      <c r="B4" s="601"/>
      <c r="C4" s="666"/>
      <c r="D4" s="601"/>
      <c r="E4" s="601"/>
      <c r="F4" s="666"/>
      <c r="G4" s="659"/>
      <c r="H4" s="666"/>
      <c r="I4" s="661"/>
      <c r="J4" s="664"/>
      <c r="K4" s="654"/>
      <c r="L4" s="635"/>
      <c r="M4" s="659"/>
      <c r="N4" s="654"/>
      <c r="O4" s="635"/>
      <c r="P4" s="664"/>
      <c r="Q4" s="635"/>
      <c r="R4" s="655"/>
      <c r="S4" s="632"/>
      <c r="T4" s="79" t="s">
        <v>116</v>
      </c>
      <c r="U4" s="79" t="s">
        <v>117</v>
      </c>
      <c r="V4" s="659"/>
      <c r="W4" s="661"/>
      <c r="X4" s="65" t="s">
        <v>249</v>
      </c>
      <c r="Y4" s="65" t="s">
        <v>78</v>
      </c>
      <c r="Z4" s="79" t="s">
        <v>250</v>
      </c>
      <c r="AA4" s="79" t="s">
        <v>251</v>
      </c>
      <c r="AB4" s="651"/>
      <c r="AC4" s="651"/>
      <c r="AD4" s="79" t="s">
        <v>252</v>
      </c>
      <c r="AE4" s="80" t="s">
        <v>253</v>
      </c>
      <c r="AF4" s="654"/>
      <c r="AG4" s="655"/>
      <c r="AH4" s="632"/>
    </row>
    <row r="5" spans="1:34" ht="19.5" customHeight="1">
      <c r="A5" s="656" t="s">
        <v>254</v>
      </c>
      <c r="B5" s="81" t="s">
        <v>385</v>
      </c>
      <c r="C5" s="82"/>
      <c r="D5" s="83" t="s">
        <v>124</v>
      </c>
      <c r="E5" s="84"/>
      <c r="F5" s="85">
        <v>37.94</v>
      </c>
      <c r="G5" s="86">
        <v>2706</v>
      </c>
      <c r="H5" s="87">
        <f t="shared" ref="H5:H16" si="0">F5*G5</f>
        <v>102665.64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2" si="1">G5/W5*60</f>
        <v>2108.5714285714294</v>
      </c>
      <c r="O5" s="90">
        <f t="shared" ref="O5:O12" si="2">N5/M5</f>
        <v>105.42857142857147</v>
      </c>
      <c r="P5" s="92">
        <f t="shared" ref="P5:P12" si="3">M5-J5</f>
        <v>0</v>
      </c>
      <c r="Q5" s="93">
        <f t="shared" ref="Q5:Q12" si="4">O5-L5</f>
        <v>-4.5714285714285268</v>
      </c>
      <c r="R5" s="94">
        <f t="shared" ref="R5:R12" si="5">O5/L5</f>
        <v>0.95844155844155887</v>
      </c>
      <c r="S5" s="620">
        <f>R17</f>
        <v>0.87867974810579708</v>
      </c>
      <c r="T5" s="96">
        <v>0.29166666666666669</v>
      </c>
      <c r="U5" s="96">
        <v>0.34513888888888888</v>
      </c>
      <c r="V5" s="65">
        <v>5</v>
      </c>
      <c r="W5" s="88">
        <f>(U5-T5)*24*60</f>
        <v>76.999999999999972</v>
      </c>
      <c r="X5" s="65"/>
      <c r="Y5" s="65"/>
      <c r="Z5" s="97"/>
      <c r="AA5" s="97"/>
      <c r="AB5" s="601"/>
      <c r="AC5" s="601"/>
      <c r="AD5" s="98"/>
      <c r="AE5" s="98"/>
      <c r="AF5" s="92">
        <f t="shared" ref="AF5:AF70" si="6">N5-K5</f>
        <v>-91.428571428570649</v>
      </c>
      <c r="AG5" s="94">
        <f t="shared" ref="AG5:AG70" si="7">N5/K5</f>
        <v>0.95844155844155876</v>
      </c>
      <c r="AH5" s="620">
        <f>AG17</f>
        <v>0.87164728256732771</v>
      </c>
    </row>
    <row r="6" spans="1:34" ht="19.149999999999999" customHeight="1">
      <c r="A6" s="657"/>
      <c r="B6" s="81" t="s">
        <v>385</v>
      </c>
      <c r="C6" s="82"/>
      <c r="D6" s="83" t="s">
        <v>125</v>
      </c>
      <c r="E6" s="84"/>
      <c r="F6" s="85">
        <v>31.266131815044861</v>
      </c>
      <c r="G6" s="86">
        <v>1284</v>
      </c>
      <c r="H6" s="87">
        <f t="shared" si="0"/>
        <v>40145.713250517605</v>
      </c>
      <c r="I6" s="88"/>
      <c r="J6" s="89">
        <v>18</v>
      </c>
      <c r="K6" s="86">
        <v>2700</v>
      </c>
      <c r="L6" s="90">
        <v>150</v>
      </c>
      <c r="M6" s="91">
        <v>18</v>
      </c>
      <c r="N6" s="86">
        <f t="shared" si="1"/>
        <v>2485.1612903225828</v>
      </c>
      <c r="O6" s="90">
        <f t="shared" si="2"/>
        <v>138.06451612903237</v>
      </c>
      <c r="P6" s="92">
        <f t="shared" si="3"/>
        <v>0</v>
      </c>
      <c r="Q6" s="93">
        <f t="shared" si="4"/>
        <v>-11.93548387096763</v>
      </c>
      <c r="R6" s="94">
        <f t="shared" si="5"/>
        <v>0.92043010752688248</v>
      </c>
      <c r="S6" s="620"/>
      <c r="T6" s="96">
        <v>0.34930555555555554</v>
      </c>
      <c r="U6" s="96">
        <v>0.37083333333333329</v>
      </c>
      <c r="V6" s="65">
        <v>6</v>
      </c>
      <c r="W6" s="88">
        <f t="shared" ref="W6:W17" si="8">(U6-T6)*24*60</f>
        <v>30.999999999999972</v>
      </c>
      <c r="X6" s="99"/>
      <c r="Y6" s="99"/>
      <c r="Z6" s="100"/>
      <c r="AA6" s="100"/>
      <c r="AB6" s="601"/>
      <c r="AC6" s="601"/>
      <c r="AD6" s="101"/>
      <c r="AE6" s="101"/>
      <c r="AF6" s="92">
        <f t="shared" si="6"/>
        <v>-214.83870967741723</v>
      </c>
      <c r="AG6" s="94">
        <f t="shared" si="7"/>
        <v>0.92043010752688248</v>
      </c>
      <c r="AH6" s="620"/>
    </row>
    <row r="7" spans="1:34" ht="19.149999999999999" customHeight="1">
      <c r="A7" s="657"/>
      <c r="B7" s="81" t="s">
        <v>385</v>
      </c>
      <c r="C7" s="82"/>
      <c r="D7" s="83" t="s">
        <v>126</v>
      </c>
      <c r="E7" s="84"/>
      <c r="F7" s="85">
        <v>38.630952380952372</v>
      </c>
      <c r="G7" s="86">
        <v>2222</v>
      </c>
      <c r="H7" s="87">
        <f t="shared" si="0"/>
        <v>85837.976190476169</v>
      </c>
      <c r="I7" s="88"/>
      <c r="J7" s="89">
        <v>18</v>
      </c>
      <c r="K7" s="86">
        <v>2800</v>
      </c>
      <c r="L7" s="90">
        <v>155.55555555555554</v>
      </c>
      <c r="M7" s="91">
        <v>18</v>
      </c>
      <c r="N7" s="86">
        <f t="shared" si="1"/>
        <v>2468.8888888888901</v>
      </c>
      <c r="O7" s="90">
        <f t="shared" si="2"/>
        <v>137.16049382716056</v>
      </c>
      <c r="P7" s="92">
        <f t="shared" si="3"/>
        <v>0</v>
      </c>
      <c r="Q7" s="93">
        <f t="shared" si="4"/>
        <v>-18.395061728394978</v>
      </c>
      <c r="R7" s="94">
        <f t="shared" si="5"/>
        <v>0.88174603174603228</v>
      </c>
      <c r="S7" s="620"/>
      <c r="T7" s="96">
        <v>0.38680555555555551</v>
      </c>
      <c r="U7" s="96">
        <v>0.42430555555555549</v>
      </c>
      <c r="V7" s="65">
        <v>23</v>
      </c>
      <c r="W7" s="88">
        <f t="shared" si="8"/>
        <v>53.999999999999972</v>
      </c>
      <c r="X7" s="99">
        <v>0.3743055555555555</v>
      </c>
      <c r="Y7" s="99">
        <v>0.3840277777777778</v>
      </c>
      <c r="Z7" s="100"/>
      <c r="AA7" s="100"/>
      <c r="AB7" s="601"/>
      <c r="AC7" s="601"/>
      <c r="AD7" s="101"/>
      <c r="AE7" s="101"/>
      <c r="AF7" s="92">
        <f t="shared" si="6"/>
        <v>-331.11111111110995</v>
      </c>
      <c r="AG7" s="94">
        <f t="shared" si="7"/>
        <v>0.88174603174603217</v>
      </c>
      <c r="AH7" s="620"/>
    </row>
    <row r="8" spans="1:34" ht="19.149999999999999" customHeight="1">
      <c r="A8" s="657"/>
      <c r="B8" s="81" t="s">
        <v>385</v>
      </c>
      <c r="C8" s="82"/>
      <c r="D8" s="83" t="s">
        <v>127</v>
      </c>
      <c r="E8" s="84"/>
      <c r="F8" s="85">
        <v>38</v>
      </c>
      <c r="G8" s="86">
        <v>3806</v>
      </c>
      <c r="H8" s="87">
        <f t="shared" si="0"/>
        <v>144628</v>
      </c>
      <c r="I8" s="88"/>
      <c r="J8" s="89">
        <v>19</v>
      </c>
      <c r="K8" s="86">
        <v>2800</v>
      </c>
      <c r="L8" s="90">
        <v>147.36842105263159</v>
      </c>
      <c r="M8" s="91">
        <v>18</v>
      </c>
      <c r="N8" s="86">
        <f t="shared" si="1"/>
        <v>2482.1739130434785</v>
      </c>
      <c r="O8" s="90">
        <f t="shared" si="2"/>
        <v>137.89855072463769</v>
      </c>
      <c r="P8" s="92">
        <f t="shared" si="3"/>
        <v>-1</v>
      </c>
      <c r="Q8" s="93">
        <f t="shared" si="4"/>
        <v>-9.4698703279939025</v>
      </c>
      <c r="R8" s="94">
        <f t="shared" si="5"/>
        <v>0.93574016563147</v>
      </c>
      <c r="S8" s="620"/>
      <c r="T8" s="96">
        <v>0.4277777777777777</v>
      </c>
      <c r="U8" s="96">
        <v>0.49166666666666659</v>
      </c>
      <c r="V8" s="65">
        <v>5</v>
      </c>
      <c r="W8" s="88">
        <f t="shared" si="8"/>
        <v>92</v>
      </c>
      <c r="X8" s="99"/>
      <c r="Y8" s="99"/>
      <c r="Z8" s="100"/>
      <c r="AA8" s="100"/>
      <c r="AB8" s="601"/>
      <c r="AC8" s="601"/>
      <c r="AD8" s="101"/>
      <c r="AE8" s="101"/>
      <c r="AF8" s="92">
        <f t="shared" si="6"/>
        <v>-317.82608695652152</v>
      </c>
      <c r="AG8" s="94">
        <f t="shared" si="7"/>
        <v>0.88649068322981373</v>
      </c>
      <c r="AH8" s="620"/>
    </row>
    <row r="9" spans="1:34" ht="19.149999999999999" customHeight="1">
      <c r="A9" s="657"/>
      <c r="B9" s="81" t="s">
        <v>386</v>
      </c>
      <c r="C9" s="102"/>
      <c r="D9" s="83" t="s">
        <v>128</v>
      </c>
      <c r="E9" s="103"/>
      <c r="F9" s="85">
        <v>59.34</v>
      </c>
      <c r="G9" s="104">
        <v>432</v>
      </c>
      <c r="H9" s="87">
        <f t="shared" si="0"/>
        <v>25634.880000000001</v>
      </c>
      <c r="I9" s="101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1234.2857142857092</v>
      </c>
      <c r="O9" s="90">
        <f t="shared" si="2"/>
        <v>64.962406015037331</v>
      </c>
      <c r="P9" s="92">
        <f t="shared" si="3"/>
        <v>0</v>
      </c>
      <c r="Q9" s="93">
        <f t="shared" si="4"/>
        <v>-10.827067669173189</v>
      </c>
      <c r="R9" s="94">
        <f t="shared" si="5"/>
        <v>0.85714285714285376</v>
      </c>
      <c r="S9" s="620"/>
      <c r="T9" s="96">
        <v>0.53263888888888877</v>
      </c>
      <c r="U9" s="96">
        <v>0.54722222222222217</v>
      </c>
      <c r="V9" s="65">
        <v>6</v>
      </c>
      <c r="W9" s="88">
        <f t="shared" si="8"/>
        <v>21.000000000000085</v>
      </c>
      <c r="X9" s="99"/>
      <c r="Y9" s="99"/>
      <c r="Z9" s="100"/>
      <c r="AA9" s="100"/>
      <c r="AB9" s="601"/>
      <c r="AC9" s="601"/>
      <c r="AD9" s="101">
        <v>1</v>
      </c>
      <c r="AE9" s="101"/>
      <c r="AF9" s="92">
        <f t="shared" si="6"/>
        <v>-205.71428571429078</v>
      </c>
      <c r="AG9" s="94">
        <f t="shared" si="7"/>
        <v>0.85714285714285365</v>
      </c>
      <c r="AH9" s="620"/>
    </row>
    <row r="10" spans="1:34" ht="19.149999999999999" customHeight="1">
      <c r="A10" s="658"/>
      <c r="B10" s="81" t="s">
        <v>386</v>
      </c>
      <c r="C10" s="82"/>
      <c r="D10" s="83" t="s">
        <v>129</v>
      </c>
      <c r="E10" s="84"/>
      <c r="F10" s="85">
        <v>71.55</v>
      </c>
      <c r="G10" s="86">
        <v>590</v>
      </c>
      <c r="H10" s="87">
        <f t="shared" si="0"/>
        <v>42214.5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1011.4285714285704</v>
      </c>
      <c r="O10" s="90">
        <f t="shared" si="2"/>
        <v>56.190476190476133</v>
      </c>
      <c r="P10" s="92">
        <f t="shared" si="3"/>
        <v>0</v>
      </c>
      <c r="Q10" s="93">
        <f t="shared" si="4"/>
        <v>-20.75396825396831</v>
      </c>
      <c r="R10" s="94">
        <f t="shared" si="5"/>
        <v>0.73027333677153095</v>
      </c>
      <c r="S10" s="623"/>
      <c r="T10" s="96">
        <v>0.55208333333333337</v>
      </c>
      <c r="U10" s="96">
        <v>0.57638888888888895</v>
      </c>
      <c r="V10" s="65">
        <v>7</v>
      </c>
      <c r="W10" s="88">
        <f t="shared" si="8"/>
        <v>35.000000000000036</v>
      </c>
      <c r="X10" s="99"/>
      <c r="Y10" s="99"/>
      <c r="Z10" s="100"/>
      <c r="AA10" s="100"/>
      <c r="AB10" s="601"/>
      <c r="AC10" s="601"/>
      <c r="AD10" s="101"/>
      <c r="AE10" s="101"/>
      <c r="AF10" s="92">
        <f t="shared" si="6"/>
        <v>-373.57142857142958</v>
      </c>
      <c r="AG10" s="94">
        <f t="shared" si="7"/>
        <v>0.73027333677153095</v>
      </c>
      <c r="AH10" s="623"/>
    </row>
    <row r="11" spans="1:34" ht="19.149999999999999" customHeight="1">
      <c r="A11" s="658"/>
      <c r="B11" s="81" t="s">
        <v>386</v>
      </c>
      <c r="C11" s="82"/>
      <c r="D11" s="83" t="s">
        <v>130</v>
      </c>
      <c r="E11" s="84"/>
      <c r="F11" s="85">
        <v>77.34</v>
      </c>
      <c r="G11" s="86">
        <v>481</v>
      </c>
      <c r="H11" s="87">
        <f t="shared" si="0"/>
        <v>37200.54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1068.8888888888926</v>
      </c>
      <c r="O11" s="90">
        <f t="shared" si="2"/>
        <v>59.382716049382921</v>
      </c>
      <c r="P11" s="92">
        <f t="shared" si="3"/>
        <v>0</v>
      </c>
      <c r="Q11" s="93">
        <f t="shared" si="4"/>
        <v>-20.617283950617079</v>
      </c>
      <c r="R11" s="94">
        <f t="shared" si="5"/>
        <v>0.74228395061728647</v>
      </c>
      <c r="S11" s="623"/>
      <c r="T11" s="96">
        <v>0.5805555555555556</v>
      </c>
      <c r="U11" s="96">
        <v>0.59930555555555554</v>
      </c>
      <c r="V11" s="65">
        <v>6</v>
      </c>
      <c r="W11" s="88">
        <f t="shared" si="8"/>
        <v>26.999999999999904</v>
      </c>
      <c r="X11" s="99"/>
      <c r="Y11" s="99"/>
      <c r="Z11" s="100"/>
      <c r="AA11" s="100"/>
      <c r="AB11" s="601"/>
      <c r="AC11" s="601"/>
      <c r="AD11" s="101"/>
      <c r="AE11" s="101"/>
      <c r="AF11" s="92">
        <f t="shared" si="6"/>
        <v>-371.11111111110745</v>
      </c>
      <c r="AG11" s="94">
        <f t="shared" si="7"/>
        <v>0.74228395061728647</v>
      </c>
      <c r="AH11" s="623"/>
    </row>
    <row r="12" spans="1:34" ht="19.149999999999999" customHeight="1">
      <c r="A12" s="658"/>
      <c r="B12" s="81" t="s">
        <v>386</v>
      </c>
      <c r="C12" s="82"/>
      <c r="D12" s="83" t="s">
        <v>131</v>
      </c>
      <c r="E12" s="84"/>
      <c r="F12" s="85">
        <v>59.54</v>
      </c>
      <c r="G12" s="86">
        <v>1238</v>
      </c>
      <c r="H12" s="87">
        <f t="shared" si="0"/>
        <v>73710.52</v>
      </c>
      <c r="I12" s="88"/>
      <c r="J12" s="89">
        <v>18</v>
      </c>
      <c r="K12" s="86">
        <v>1385</v>
      </c>
      <c r="L12" s="90">
        <v>76.944444444444443</v>
      </c>
      <c r="M12" s="91">
        <v>18</v>
      </c>
      <c r="N12" s="86">
        <f t="shared" si="1"/>
        <v>1217.7049180327879</v>
      </c>
      <c r="O12" s="90">
        <f t="shared" si="2"/>
        <v>67.650273224043772</v>
      </c>
      <c r="P12" s="92">
        <f t="shared" si="3"/>
        <v>0</v>
      </c>
      <c r="Q12" s="93">
        <f t="shared" si="4"/>
        <v>-9.2941712204006706</v>
      </c>
      <c r="R12" s="94">
        <f t="shared" si="5"/>
        <v>0.87920932709948585</v>
      </c>
      <c r="S12" s="623"/>
      <c r="T12" s="96">
        <v>0.61458333333333337</v>
      </c>
      <c r="U12" s="96">
        <v>0.65694444444444444</v>
      </c>
      <c r="V12" s="65">
        <v>22</v>
      </c>
      <c r="W12" s="88">
        <f t="shared" si="8"/>
        <v>60.999999999999943</v>
      </c>
      <c r="X12" s="99">
        <v>0.60486111111111118</v>
      </c>
      <c r="Y12" s="99">
        <v>0.61388888888888882</v>
      </c>
      <c r="Z12" s="100"/>
      <c r="AA12" s="100"/>
      <c r="AB12" s="601"/>
      <c r="AC12" s="601"/>
      <c r="AD12" s="101"/>
      <c r="AE12" s="101"/>
      <c r="AF12" s="92"/>
      <c r="AG12" s="94"/>
      <c r="AH12" s="623"/>
    </row>
    <row r="13" spans="1:34" ht="19.149999999999999" customHeight="1">
      <c r="A13" s="658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4"/>
      <c r="S13" s="623"/>
      <c r="T13" s="111"/>
      <c r="U13" s="111"/>
      <c r="V13" s="109"/>
      <c r="W13" s="88"/>
      <c r="X13" s="112"/>
      <c r="Y13" s="112"/>
      <c r="Z13" s="100"/>
      <c r="AA13" s="100"/>
      <c r="AB13" s="601"/>
      <c r="AC13" s="601"/>
      <c r="AD13" s="101"/>
      <c r="AE13" s="101"/>
      <c r="AF13" s="113"/>
      <c r="AG13" s="114"/>
      <c r="AH13" s="623"/>
    </row>
    <row r="14" spans="1:34" ht="19.149999999999999" customHeight="1">
      <c r="A14" s="658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4"/>
      <c r="S14" s="623"/>
      <c r="T14" s="111"/>
      <c r="U14" s="111"/>
      <c r="V14" s="109"/>
      <c r="W14" s="88"/>
      <c r="X14" s="112"/>
      <c r="Y14" s="112"/>
      <c r="Z14" s="100"/>
      <c r="AA14" s="100"/>
      <c r="AB14" s="601"/>
      <c r="AC14" s="601"/>
      <c r="AD14" s="101"/>
      <c r="AE14" s="101"/>
      <c r="AF14" s="113"/>
      <c r="AG14" s="114"/>
      <c r="AH14" s="623"/>
    </row>
    <row r="15" spans="1:34" ht="19.149999999999999" customHeight="1">
      <c r="A15" s="658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4"/>
      <c r="S15" s="623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01"/>
      <c r="AC15" s="601"/>
      <c r="AD15" s="101"/>
      <c r="AE15" s="101"/>
      <c r="AF15" s="113"/>
      <c r="AG15" s="114"/>
      <c r="AH15" s="623"/>
    </row>
    <row r="16" spans="1:34" ht="19.149999999999999" customHeight="1">
      <c r="A16" s="658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4"/>
      <c r="S16" s="623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01"/>
      <c r="AC16" s="601"/>
      <c r="AD16" s="101"/>
      <c r="AE16" s="101"/>
      <c r="AF16" s="113"/>
      <c r="AG16" s="114"/>
      <c r="AH16" s="623"/>
    </row>
    <row r="17" spans="1:34" ht="19.149999999999999" customHeight="1">
      <c r="A17" s="658"/>
      <c r="B17" s="118">
        <v>0</v>
      </c>
      <c r="C17" s="118" t="s">
        <v>255</v>
      </c>
      <c r="D17" s="607" t="s">
        <v>256</v>
      </c>
      <c r="E17" s="607"/>
      <c r="F17" s="119"/>
      <c r="G17" s="120"/>
      <c r="H17" s="121"/>
      <c r="I17" s="122"/>
      <c r="J17" s="120">
        <v>18.5</v>
      </c>
      <c r="K17" s="120">
        <v>2018.75</v>
      </c>
      <c r="L17" s="123">
        <v>109.07529239766082</v>
      </c>
      <c r="M17" s="120">
        <f t="shared" ref="M17:O17" si="9">AVERAGE(M5:M16)</f>
        <v>18.375</v>
      </c>
      <c r="N17" s="120">
        <f t="shared" si="9"/>
        <v>1759.6379516827928</v>
      </c>
      <c r="O17" s="123">
        <f t="shared" si="9"/>
        <v>95.842250448542771</v>
      </c>
      <c r="P17" s="113">
        <f t="shared" ref="P17:P24" si="10">M17-J17</f>
        <v>-0.125</v>
      </c>
      <c r="Q17" s="124">
        <f t="shared" ref="Q17:Q24" si="11">O17-L17</f>
        <v>-13.233041949118046</v>
      </c>
      <c r="R17" s="125">
        <f>O17/L17</f>
        <v>0.87867974810579708</v>
      </c>
      <c r="S17" s="623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01"/>
      <c r="AC17" s="601"/>
      <c r="AD17" s="129">
        <f>SUM(AD5:AD16)</f>
        <v>1</v>
      </c>
      <c r="AE17" s="129">
        <f>SUM(AE5:AE16)</f>
        <v>0</v>
      </c>
      <c r="AF17" s="113">
        <f t="shared" si="6"/>
        <v>-259.11204831720715</v>
      </c>
      <c r="AG17" s="114">
        <f t="shared" si="7"/>
        <v>0.87164728256732771</v>
      </c>
      <c r="AH17" s="623"/>
    </row>
    <row r="18" spans="1:34" ht="19.149999999999999" customHeight="1">
      <c r="A18" s="604" t="s">
        <v>257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1175</v>
      </c>
      <c r="H18" s="135">
        <f t="shared" ref="H18:H29" si="12">F18*G18</f>
        <v>43310.5</v>
      </c>
      <c r="I18" s="101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2073.5294117647063</v>
      </c>
      <c r="O18" s="137">
        <f t="shared" ref="O18:O24" si="14">N18/M18</f>
        <v>109.13312693498455</v>
      </c>
      <c r="P18" s="100">
        <f t="shared" si="10"/>
        <v>1</v>
      </c>
      <c r="Q18" s="139">
        <f t="shared" si="11"/>
        <v>-15.866873065015454</v>
      </c>
      <c r="R18" s="140">
        <f t="shared" ref="R18:R24" si="15">O18/L18</f>
        <v>0.87306501547987636</v>
      </c>
      <c r="S18" s="605">
        <f>R30</f>
        <v>0.82618923386180743</v>
      </c>
      <c r="T18" s="142">
        <v>0.16666666666666666</v>
      </c>
      <c r="U18" s="142">
        <v>0.19027777777777777</v>
      </c>
      <c r="V18" s="101">
        <v>5</v>
      </c>
      <c r="W18" s="143">
        <f>(U18-T18)*24*60</f>
        <v>34</v>
      </c>
      <c r="X18" s="137"/>
      <c r="Y18" s="137"/>
      <c r="Z18" s="100"/>
      <c r="AA18" s="100"/>
      <c r="AB18" s="601"/>
      <c r="AC18" s="601"/>
      <c r="AD18" s="101"/>
      <c r="AE18" s="101"/>
      <c r="AF18" s="144">
        <f t="shared" si="6"/>
        <v>-176.47058823529369</v>
      </c>
      <c r="AG18" s="145">
        <f t="shared" si="7"/>
        <v>0.92156862745098056</v>
      </c>
      <c r="AH18" s="646">
        <f>AG30</f>
        <v>0.85500274661630271</v>
      </c>
    </row>
    <row r="19" spans="1:34" ht="19.149999999999999" customHeight="1">
      <c r="A19" s="604"/>
      <c r="B19" s="146" t="s">
        <v>387</v>
      </c>
      <c r="C19" s="147"/>
      <c r="D19" s="132" t="s">
        <v>134</v>
      </c>
      <c r="E19" s="133"/>
      <c r="F19" s="85">
        <v>56.43</v>
      </c>
      <c r="G19" s="104">
        <v>1240</v>
      </c>
      <c r="H19" s="135">
        <f t="shared" si="12"/>
        <v>69973.2</v>
      </c>
      <c r="I19" s="101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1305.2631578947369</v>
      </c>
      <c r="O19" s="150">
        <f t="shared" si="14"/>
        <v>72.514619883040936</v>
      </c>
      <c r="P19" s="100">
        <f t="shared" si="10"/>
        <v>1</v>
      </c>
      <c r="Q19" s="139">
        <f t="shared" si="11"/>
        <v>-15.720674234606122</v>
      </c>
      <c r="R19" s="140">
        <f t="shared" si="15"/>
        <v>0.82183235867446391</v>
      </c>
      <c r="S19" s="605"/>
      <c r="T19" s="142">
        <v>0.19444444444444445</v>
      </c>
      <c r="U19" s="142">
        <v>0.23402777777777778</v>
      </c>
      <c r="V19" s="101">
        <v>6</v>
      </c>
      <c r="W19" s="143">
        <f>(U19-T19)*24*60</f>
        <v>57</v>
      </c>
      <c r="X19" s="151"/>
      <c r="Y19" s="151"/>
      <c r="Z19" s="100"/>
      <c r="AA19" s="100"/>
      <c r="AB19" s="601"/>
      <c r="AC19" s="601"/>
      <c r="AD19" s="101"/>
      <c r="AE19" s="101"/>
      <c r="AF19" s="92">
        <f t="shared" si="6"/>
        <v>-194.73684210526312</v>
      </c>
      <c r="AG19" s="94">
        <f t="shared" si="7"/>
        <v>0.87017543859649127</v>
      </c>
      <c r="AH19" s="647"/>
    </row>
    <row r="20" spans="1:34" ht="19.149999999999999" customHeight="1">
      <c r="A20" s="604"/>
      <c r="B20" s="146" t="s">
        <v>387</v>
      </c>
      <c r="C20" s="102"/>
      <c r="D20" s="83" t="s">
        <v>135</v>
      </c>
      <c r="E20" s="133"/>
      <c r="F20" s="85">
        <v>49.9</v>
      </c>
      <c r="G20" s="104">
        <v>808</v>
      </c>
      <c r="H20" s="135">
        <f t="shared" si="12"/>
        <v>40319.199999999997</v>
      </c>
      <c r="I20" s="101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1275.7894736842095</v>
      </c>
      <c r="O20" s="150">
        <f t="shared" si="14"/>
        <v>75.046439628482915</v>
      </c>
      <c r="P20" s="100">
        <f t="shared" si="10"/>
        <v>0</v>
      </c>
      <c r="Q20" s="139">
        <f t="shared" si="11"/>
        <v>-13.188854489164143</v>
      </c>
      <c r="R20" s="140">
        <f t="shared" si="15"/>
        <v>0.85052631578947302</v>
      </c>
      <c r="S20" s="605"/>
      <c r="T20" s="142">
        <v>0.24930555555555556</v>
      </c>
      <c r="U20" s="142">
        <v>0.27569444444444446</v>
      </c>
      <c r="V20" s="101">
        <v>22</v>
      </c>
      <c r="W20" s="143">
        <f t="shared" ref="W20:W29" si="16">(U20-T20)*24*60</f>
        <v>38.000000000000028</v>
      </c>
      <c r="X20" s="151">
        <v>0.23750000000000002</v>
      </c>
      <c r="Y20" s="151">
        <v>0.24652777777777779</v>
      </c>
      <c r="Z20" s="100"/>
      <c r="AA20" s="100"/>
      <c r="AB20" s="601"/>
      <c r="AC20" s="601"/>
      <c r="AD20" s="101"/>
      <c r="AE20" s="101"/>
      <c r="AF20" s="92">
        <f t="shared" si="6"/>
        <v>-224.2105263157905</v>
      </c>
      <c r="AG20" s="94">
        <f t="shared" si="7"/>
        <v>0.85052631578947302</v>
      </c>
      <c r="AH20" s="647"/>
    </row>
    <row r="21" spans="1:34" ht="19.149999999999999" customHeight="1">
      <c r="A21" s="604"/>
      <c r="B21" s="146" t="s">
        <v>387</v>
      </c>
      <c r="C21" s="152"/>
      <c r="D21" s="153" t="s">
        <v>136</v>
      </c>
      <c r="E21" s="84"/>
      <c r="F21" s="85">
        <v>56.43</v>
      </c>
      <c r="G21" s="86">
        <v>1011</v>
      </c>
      <c r="H21" s="135">
        <f t="shared" si="12"/>
        <v>57050.73</v>
      </c>
      <c r="I21" s="65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1378.6363636363635</v>
      </c>
      <c r="O21" s="150">
        <f t="shared" si="14"/>
        <v>76.590909090909079</v>
      </c>
      <c r="P21" s="100">
        <f t="shared" si="10"/>
        <v>0</v>
      </c>
      <c r="Q21" s="139">
        <f t="shared" si="11"/>
        <v>-14.297979797979806</v>
      </c>
      <c r="R21" s="140">
        <f t="shared" si="15"/>
        <v>0.84268726383640802</v>
      </c>
      <c r="S21" s="605"/>
      <c r="T21" s="142">
        <v>0.28125</v>
      </c>
      <c r="U21" s="142">
        <v>0.31180555555555556</v>
      </c>
      <c r="V21" s="101">
        <v>8</v>
      </c>
      <c r="W21" s="143">
        <f t="shared" si="16"/>
        <v>44</v>
      </c>
      <c r="X21" s="151"/>
      <c r="Y21" s="151"/>
      <c r="Z21" s="100"/>
      <c r="AA21" s="100"/>
      <c r="AB21" s="601"/>
      <c r="AC21" s="601"/>
      <c r="AD21" s="101"/>
      <c r="AE21" s="101"/>
      <c r="AF21" s="92">
        <f t="shared" si="6"/>
        <v>-257.36363636363649</v>
      </c>
      <c r="AG21" s="94">
        <f t="shared" si="7"/>
        <v>0.84268726383640802</v>
      </c>
      <c r="AH21" s="648"/>
    </row>
    <row r="22" spans="1:34" ht="19.149999999999999" customHeight="1">
      <c r="A22" s="604"/>
      <c r="B22" s="146" t="s">
        <v>388</v>
      </c>
      <c r="C22" s="152"/>
      <c r="D22" s="83" t="s">
        <v>137</v>
      </c>
      <c r="E22" s="84"/>
      <c r="F22" s="85">
        <v>43.14</v>
      </c>
      <c r="G22" s="86">
        <v>1270</v>
      </c>
      <c r="H22" s="135">
        <f t="shared" si="12"/>
        <v>54787.8</v>
      </c>
      <c r="I22" s="65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1269.9999999999995</v>
      </c>
      <c r="O22" s="150">
        <f t="shared" si="14"/>
        <v>74.705882352941146</v>
      </c>
      <c r="P22" s="100">
        <f t="shared" si="10"/>
        <v>0</v>
      </c>
      <c r="Q22" s="139">
        <f t="shared" si="11"/>
        <v>-10.000000000000028</v>
      </c>
      <c r="R22" s="140">
        <f t="shared" si="15"/>
        <v>0.88194444444444409</v>
      </c>
      <c r="S22" s="605"/>
      <c r="T22" s="142">
        <v>0.31666666666666665</v>
      </c>
      <c r="U22" s="142">
        <v>0.35833333333333334</v>
      </c>
      <c r="V22" s="101">
        <v>7</v>
      </c>
      <c r="W22" s="143">
        <f t="shared" si="16"/>
        <v>60.000000000000028</v>
      </c>
      <c r="X22" s="151"/>
      <c r="Y22" s="151"/>
      <c r="Z22" s="100"/>
      <c r="AA22" s="100"/>
      <c r="AB22" s="601"/>
      <c r="AC22" s="601"/>
      <c r="AD22" s="101"/>
      <c r="AE22" s="101"/>
      <c r="AF22" s="92">
        <f t="shared" si="6"/>
        <v>-170.00000000000045</v>
      </c>
      <c r="AG22" s="94">
        <f t="shared" si="7"/>
        <v>0.88194444444444409</v>
      </c>
      <c r="AH22" s="648"/>
    </row>
    <row r="23" spans="1:34" ht="19.149999999999999" customHeight="1">
      <c r="A23" s="604"/>
      <c r="B23" s="146" t="s">
        <v>387</v>
      </c>
      <c r="C23" s="152"/>
      <c r="D23" s="83" t="s">
        <v>138</v>
      </c>
      <c r="E23" s="84"/>
      <c r="F23" s="85">
        <v>38.39</v>
      </c>
      <c r="G23" s="86">
        <v>1894.5</v>
      </c>
      <c r="H23" s="135">
        <f t="shared" si="12"/>
        <v>72729.854999999996</v>
      </c>
      <c r="I23" s="65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1306.5517241379307</v>
      </c>
      <c r="O23" s="150">
        <f t="shared" si="14"/>
        <v>72.586206896551701</v>
      </c>
      <c r="P23" s="100">
        <f t="shared" si="10"/>
        <v>1</v>
      </c>
      <c r="Q23" s="139">
        <f t="shared" si="11"/>
        <v>-23.649087221095357</v>
      </c>
      <c r="R23" s="140">
        <f t="shared" si="15"/>
        <v>0.75425765112553722</v>
      </c>
      <c r="S23" s="605"/>
      <c r="T23" s="142">
        <v>0.37430555555555556</v>
      </c>
      <c r="U23" s="142">
        <v>0.43472222222222223</v>
      </c>
      <c r="V23" s="101">
        <v>23</v>
      </c>
      <c r="W23" s="143">
        <f t="shared" si="16"/>
        <v>87.000000000000014</v>
      </c>
      <c r="X23" s="151">
        <v>0.36180555555555555</v>
      </c>
      <c r="Y23" s="151">
        <v>0.37152777777777773</v>
      </c>
      <c r="Z23" s="100"/>
      <c r="AA23" s="100"/>
      <c r="AB23" s="601"/>
      <c r="AC23" s="601"/>
      <c r="AD23" s="101"/>
      <c r="AE23" s="101"/>
      <c r="AF23" s="92"/>
      <c r="AG23" s="94"/>
      <c r="AH23" s="648"/>
    </row>
    <row r="24" spans="1:34" ht="19.149999999999999" customHeight="1">
      <c r="A24" s="604"/>
      <c r="B24" s="146" t="s">
        <v>387</v>
      </c>
      <c r="C24" s="131"/>
      <c r="D24" s="132" t="s">
        <v>138</v>
      </c>
      <c r="E24" s="133"/>
      <c r="F24" s="85">
        <v>38.39</v>
      </c>
      <c r="G24" s="104">
        <v>631.5</v>
      </c>
      <c r="H24" s="135">
        <f t="shared" si="12"/>
        <v>24243.285</v>
      </c>
      <c r="I24" s="143"/>
      <c r="J24" s="148">
        <v>17</v>
      </c>
      <c r="K24" s="86">
        <v>1636</v>
      </c>
      <c r="L24" s="90">
        <v>96.235294117647058</v>
      </c>
      <c r="M24" s="138">
        <v>18</v>
      </c>
      <c r="N24" s="149">
        <f t="shared" si="13"/>
        <v>1306.5517241379321</v>
      </c>
      <c r="O24" s="150">
        <f t="shared" si="14"/>
        <v>72.586206896551786</v>
      </c>
      <c r="P24" s="100">
        <f t="shared" si="10"/>
        <v>1</v>
      </c>
      <c r="Q24" s="139">
        <f t="shared" si="11"/>
        <v>-23.649087221095272</v>
      </c>
      <c r="R24" s="140">
        <f t="shared" si="15"/>
        <v>0.75425765112553811</v>
      </c>
      <c r="S24" s="605"/>
      <c r="T24" s="142">
        <v>0.47569444444444442</v>
      </c>
      <c r="U24" s="142">
        <v>0.49583333333333329</v>
      </c>
      <c r="V24" s="101">
        <v>6</v>
      </c>
      <c r="W24" s="143">
        <f t="shared" si="16"/>
        <v>28.999999999999979</v>
      </c>
      <c r="X24" s="101"/>
      <c r="Y24" s="101"/>
      <c r="Z24" s="100"/>
      <c r="AA24" s="100"/>
      <c r="AB24" s="601"/>
      <c r="AC24" s="601"/>
      <c r="AD24" s="101"/>
      <c r="AE24" s="101"/>
      <c r="AF24" s="92">
        <f t="shared" si="6"/>
        <v>-329.44827586206793</v>
      </c>
      <c r="AG24" s="94"/>
      <c r="AH24" s="648"/>
    </row>
    <row r="25" spans="1:34" ht="19.149999999999999" customHeight="1">
      <c r="A25" s="604"/>
      <c r="B25" s="146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0"/>
      <c r="S25" s="605"/>
      <c r="T25" s="142"/>
      <c r="U25" s="142"/>
      <c r="V25" s="101"/>
      <c r="W25" s="143">
        <f t="shared" si="16"/>
        <v>0</v>
      </c>
      <c r="X25" s="101"/>
      <c r="Y25" s="101"/>
      <c r="Z25" s="100"/>
      <c r="AA25" s="100"/>
      <c r="AB25" s="601"/>
      <c r="AC25" s="601"/>
      <c r="AD25" s="101"/>
      <c r="AE25" s="101"/>
      <c r="AF25" s="92">
        <f t="shared" si="6"/>
        <v>0</v>
      </c>
      <c r="AG25" s="94"/>
      <c r="AH25" s="648"/>
    </row>
    <row r="26" spans="1:34" ht="19.149999999999999" customHeight="1">
      <c r="A26" s="604"/>
      <c r="B26" s="146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0"/>
      <c r="S26" s="605"/>
      <c r="T26" s="142"/>
      <c r="U26" s="142"/>
      <c r="V26" s="101"/>
      <c r="W26" s="143">
        <f t="shared" si="16"/>
        <v>0</v>
      </c>
      <c r="X26" s="101"/>
      <c r="Y26" s="101"/>
      <c r="Z26" s="100"/>
      <c r="AA26" s="100"/>
      <c r="AB26" s="601"/>
      <c r="AC26" s="601"/>
      <c r="AD26" s="101"/>
      <c r="AE26" s="101"/>
      <c r="AF26" s="92">
        <f t="shared" si="6"/>
        <v>0</v>
      </c>
      <c r="AG26" s="94"/>
      <c r="AH26" s="648"/>
    </row>
    <row r="27" spans="1:34" ht="19.149999999999999" customHeight="1">
      <c r="A27" s="604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0"/>
      <c r="S27" s="605"/>
      <c r="T27" s="142"/>
      <c r="U27" s="142"/>
      <c r="V27" s="101"/>
      <c r="W27" s="143">
        <f t="shared" si="16"/>
        <v>0</v>
      </c>
      <c r="X27" s="101"/>
      <c r="Y27" s="101"/>
      <c r="Z27" s="100"/>
      <c r="AA27" s="100"/>
      <c r="AB27" s="601"/>
      <c r="AC27" s="601"/>
      <c r="AD27" s="101"/>
      <c r="AE27" s="101"/>
      <c r="AF27" s="92">
        <f t="shared" si="6"/>
        <v>0</v>
      </c>
      <c r="AG27" s="94"/>
      <c r="AH27" s="648"/>
    </row>
    <row r="28" spans="1:34" ht="19.149999999999999" customHeight="1">
      <c r="A28" s="604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0"/>
      <c r="S28" s="605"/>
      <c r="T28" s="142"/>
      <c r="U28" s="142"/>
      <c r="V28" s="101"/>
      <c r="W28" s="143">
        <f t="shared" si="16"/>
        <v>0</v>
      </c>
      <c r="X28" s="101"/>
      <c r="Y28" s="101"/>
      <c r="Z28" s="100"/>
      <c r="AA28" s="100"/>
      <c r="AB28" s="601"/>
      <c r="AC28" s="601"/>
      <c r="AD28" s="101"/>
      <c r="AE28" s="101"/>
      <c r="AF28" s="92">
        <f t="shared" si="6"/>
        <v>0</v>
      </c>
      <c r="AG28" s="94"/>
      <c r="AH28" s="648"/>
    </row>
    <row r="29" spans="1:34" ht="19.149999999999999" customHeight="1">
      <c r="A29" s="604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0"/>
      <c r="S29" s="605"/>
      <c r="T29" s="142"/>
      <c r="U29" s="142"/>
      <c r="V29" s="101"/>
      <c r="W29" s="143">
        <f t="shared" si="16"/>
        <v>0</v>
      </c>
      <c r="X29" s="101"/>
      <c r="Y29" s="101"/>
      <c r="Z29" s="100"/>
      <c r="AA29" s="100"/>
      <c r="AB29" s="601"/>
      <c r="AC29" s="601"/>
      <c r="AD29" s="101"/>
      <c r="AE29" s="101"/>
      <c r="AF29" s="92">
        <f t="shared" si="6"/>
        <v>0</v>
      </c>
      <c r="AG29" s="94"/>
      <c r="AH29" s="648"/>
    </row>
    <row r="30" spans="1:34" ht="19.149999999999999" customHeight="1">
      <c r="A30" s="604"/>
      <c r="B30" s="155">
        <v>0</v>
      </c>
      <c r="C30" s="156" t="s">
        <v>258</v>
      </c>
      <c r="D30" s="645" t="s">
        <v>256</v>
      </c>
      <c r="E30" s="645"/>
      <c r="F30" s="157"/>
      <c r="G30" s="158"/>
      <c r="H30" s="159"/>
      <c r="I30" s="160"/>
      <c r="J30" s="158">
        <v>17.285714285714285</v>
      </c>
      <c r="K30" s="158">
        <v>1656.8571428571429</v>
      </c>
      <c r="L30" s="161">
        <v>95.647992530345476</v>
      </c>
      <c r="M30" s="158">
        <f t="shared" ref="M30:O30" si="17">AVERAGE(M18:M29)</f>
        <v>17.857142857142858</v>
      </c>
      <c r="N30" s="158">
        <f t="shared" si="17"/>
        <v>1416.617407893697</v>
      </c>
      <c r="O30" s="161">
        <f t="shared" si="17"/>
        <v>79.023341669066014</v>
      </c>
      <c r="P30" s="100">
        <f t="shared" ref="P30:P36" si="18">M30-J30</f>
        <v>0.57142857142857295</v>
      </c>
      <c r="Q30" s="139">
        <f t="shared" ref="Q30:Q36" si="19">O30-L30</f>
        <v>-16.624650861279463</v>
      </c>
      <c r="R30" s="162">
        <f t="shared" ref="R30:R36" si="20">O30/L30</f>
        <v>0.82618923386180743</v>
      </c>
      <c r="S30" s="605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01"/>
      <c r="AC30" s="601"/>
      <c r="AD30" s="164">
        <f>SUM(AD18:AD29)</f>
        <v>0</v>
      </c>
      <c r="AE30" s="164">
        <f>SUM(AE18:AE29)</f>
        <v>0</v>
      </c>
      <c r="AF30" s="165">
        <f t="shared" si="6"/>
        <v>-240.23973496344593</v>
      </c>
      <c r="AG30" s="166">
        <f t="shared" ref="AG30" si="21">N30/K30</f>
        <v>0.85500274661630271</v>
      </c>
      <c r="AH30" s="649"/>
    </row>
    <row r="31" spans="1:34" ht="19.149999999999999" customHeight="1">
      <c r="A31" s="642" t="s">
        <v>259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1506</v>
      </c>
      <c r="H31" s="171">
        <f t="shared" ref="H31:H40" si="22">F31*G31</f>
        <v>51550.38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2053.6363636363635</v>
      </c>
      <c r="O31" s="174">
        <f t="shared" ref="O31:O36" si="24">N31/M31</f>
        <v>157.97202797202797</v>
      </c>
      <c r="P31" s="175">
        <f t="shared" si="18"/>
        <v>0</v>
      </c>
      <c r="Q31" s="176">
        <f t="shared" si="19"/>
        <v>-15.104895104895093</v>
      </c>
      <c r="R31" s="177">
        <f t="shared" si="20"/>
        <v>0.91272727272727283</v>
      </c>
      <c r="S31" s="644">
        <f>R43</f>
        <v>0.89311415047479392</v>
      </c>
      <c r="T31" s="178">
        <v>0.16666666666666666</v>
      </c>
      <c r="U31" s="178">
        <v>0.19722222222222222</v>
      </c>
      <c r="V31" s="98">
        <v>5</v>
      </c>
      <c r="W31" s="179">
        <f t="shared" ref="W31:W42" si="25">(U31-T31)*24*60</f>
        <v>44</v>
      </c>
      <c r="X31" s="98"/>
      <c r="Y31" s="98"/>
      <c r="Z31" s="97"/>
      <c r="AA31" s="97"/>
      <c r="AB31" s="601"/>
      <c r="AC31" s="601"/>
      <c r="AD31" s="98"/>
      <c r="AE31" s="98"/>
      <c r="AF31" s="175">
        <f t="shared" si="6"/>
        <v>-196.36363636363649</v>
      </c>
      <c r="AG31" s="180">
        <f t="shared" si="7"/>
        <v>0.91272727272727272</v>
      </c>
      <c r="AH31" s="622">
        <f>AG43</f>
        <v>0.87946772741903012</v>
      </c>
    </row>
    <row r="32" spans="1:34" ht="19.149999999999999" customHeight="1">
      <c r="A32" s="643"/>
      <c r="B32" s="182" t="s">
        <v>389</v>
      </c>
      <c r="C32" s="183"/>
      <c r="D32" s="153" t="s">
        <v>141</v>
      </c>
      <c r="E32" s="84"/>
      <c r="F32" s="85">
        <v>35.33</v>
      </c>
      <c r="G32" s="86">
        <v>1774</v>
      </c>
      <c r="H32" s="135">
        <f t="shared" si="22"/>
        <v>62675.42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2046.923076923078</v>
      </c>
      <c r="O32" s="90">
        <f t="shared" si="24"/>
        <v>170.57692307692318</v>
      </c>
      <c r="P32" s="92">
        <f t="shared" si="18"/>
        <v>0</v>
      </c>
      <c r="Q32" s="93">
        <f t="shared" si="19"/>
        <v>-16.92307692307682</v>
      </c>
      <c r="R32" s="94">
        <f t="shared" si="20"/>
        <v>0.90974358974359026</v>
      </c>
      <c r="S32" s="605"/>
      <c r="T32" s="142">
        <v>0.20208333333333334</v>
      </c>
      <c r="U32" s="142">
        <v>0.23819444444444443</v>
      </c>
      <c r="V32" s="101">
        <v>7</v>
      </c>
      <c r="W32" s="143">
        <f t="shared" si="25"/>
        <v>51.999999999999972</v>
      </c>
      <c r="X32" s="184"/>
      <c r="Y32" s="184"/>
      <c r="Z32" s="185"/>
      <c r="AA32" s="185"/>
      <c r="AB32" s="601"/>
      <c r="AC32" s="601"/>
      <c r="AD32" s="101"/>
      <c r="AE32" s="101"/>
      <c r="AF32" s="92">
        <f t="shared" si="6"/>
        <v>-203.07692307692196</v>
      </c>
      <c r="AG32" s="94">
        <f t="shared" si="7"/>
        <v>0.90974358974359026</v>
      </c>
      <c r="AH32" s="620"/>
    </row>
    <row r="33" spans="1:34" ht="19.149999999999999" customHeight="1">
      <c r="A33" s="643"/>
      <c r="B33" s="182" t="s">
        <v>389</v>
      </c>
      <c r="C33" s="101"/>
      <c r="D33" s="132" t="s">
        <v>142</v>
      </c>
      <c r="E33" s="133"/>
      <c r="F33" s="85">
        <v>36.409999999999997</v>
      </c>
      <c r="G33" s="104">
        <v>2103.15</v>
      </c>
      <c r="H33" s="135">
        <f t="shared" si="22"/>
        <v>76575.691500000001</v>
      </c>
      <c r="I33" s="101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2068.6721311475417</v>
      </c>
      <c r="O33" s="90">
        <f t="shared" si="24"/>
        <v>206.86721311475418</v>
      </c>
      <c r="P33" s="92">
        <f t="shared" si="18"/>
        <v>0</v>
      </c>
      <c r="Q33" s="93">
        <f t="shared" si="19"/>
        <v>-18.132786885245821</v>
      </c>
      <c r="R33" s="94">
        <f t="shared" si="20"/>
        <v>0.91940983606557414</v>
      </c>
      <c r="S33" s="605"/>
      <c r="T33" s="142">
        <v>0.24374999999999999</v>
      </c>
      <c r="U33" s="142">
        <v>0.28611111111111109</v>
      </c>
      <c r="V33" s="101">
        <v>8</v>
      </c>
      <c r="W33" s="143">
        <f t="shared" si="25"/>
        <v>60.999999999999986</v>
      </c>
      <c r="X33" s="184"/>
      <c r="Y33" s="184"/>
      <c r="Z33" s="185"/>
      <c r="AA33" s="185"/>
      <c r="AB33" s="601"/>
      <c r="AC33" s="601"/>
      <c r="AD33" s="101"/>
      <c r="AE33" s="101"/>
      <c r="AF33" s="92">
        <f t="shared" si="6"/>
        <v>-181.32786885245832</v>
      </c>
      <c r="AG33" s="186">
        <f t="shared" si="7"/>
        <v>0.91940983606557403</v>
      </c>
      <c r="AH33" s="620"/>
    </row>
    <row r="34" spans="1:34" ht="19.149999999999999" customHeight="1">
      <c r="A34" s="643"/>
      <c r="B34" s="182" t="s">
        <v>390</v>
      </c>
      <c r="C34" s="187"/>
      <c r="D34" s="132" t="s">
        <v>143</v>
      </c>
      <c r="E34" s="133"/>
      <c r="F34" s="85">
        <v>49.91</v>
      </c>
      <c r="G34" s="104">
        <v>475</v>
      </c>
      <c r="H34" s="135">
        <f t="shared" si="22"/>
        <v>23707.25</v>
      </c>
      <c r="I34" s="101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1140.0000000000005</v>
      </c>
      <c r="O34" s="90">
        <f t="shared" si="24"/>
        <v>63.333333333333357</v>
      </c>
      <c r="P34" s="92">
        <f t="shared" si="18"/>
        <v>0</v>
      </c>
      <c r="Q34" s="93">
        <f t="shared" si="19"/>
        <v>-19.999999999999972</v>
      </c>
      <c r="R34" s="94">
        <f t="shared" si="20"/>
        <v>0.76000000000000034</v>
      </c>
      <c r="S34" s="605"/>
      <c r="T34" s="142">
        <v>0.30208333333333331</v>
      </c>
      <c r="U34" s="142">
        <v>0.31944444444444442</v>
      </c>
      <c r="V34" s="101">
        <v>23</v>
      </c>
      <c r="W34" s="143">
        <f t="shared" si="25"/>
        <v>24.999999999999993</v>
      </c>
      <c r="X34" s="184">
        <v>0.28958333333333336</v>
      </c>
      <c r="Y34" s="184">
        <v>0.29930555555555555</v>
      </c>
      <c r="Z34" s="185"/>
      <c r="AA34" s="185"/>
      <c r="AB34" s="601"/>
      <c r="AC34" s="601"/>
      <c r="AD34" s="101">
        <v>1</v>
      </c>
      <c r="AE34" s="101"/>
      <c r="AF34" s="92">
        <f t="shared" si="6"/>
        <v>-359.99999999999955</v>
      </c>
      <c r="AG34" s="186">
        <f t="shared" si="7"/>
        <v>0.76000000000000034</v>
      </c>
      <c r="AH34" s="620"/>
    </row>
    <row r="35" spans="1:34" ht="19.149999999999999" customHeight="1">
      <c r="A35" s="643"/>
      <c r="B35" s="182" t="s">
        <v>390</v>
      </c>
      <c r="C35" s="82"/>
      <c r="D35" s="83" t="s">
        <v>144</v>
      </c>
      <c r="E35" s="84"/>
      <c r="F35" s="85">
        <v>53.27</v>
      </c>
      <c r="G35" s="188">
        <v>955</v>
      </c>
      <c r="H35" s="135">
        <f t="shared" si="22"/>
        <v>50872.850000000006</v>
      </c>
      <c r="I35" s="65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1332.5581395348834</v>
      </c>
      <c r="O35" s="90">
        <f t="shared" si="24"/>
        <v>74.031007751937963</v>
      </c>
      <c r="P35" s="92">
        <f t="shared" si="18"/>
        <v>0</v>
      </c>
      <c r="Q35" s="93">
        <f t="shared" si="19"/>
        <v>-9.3023255813953654</v>
      </c>
      <c r="R35" s="94">
        <f t="shared" si="20"/>
        <v>0.88837209302325559</v>
      </c>
      <c r="S35" s="605"/>
      <c r="T35" s="142">
        <v>0.32430555555555551</v>
      </c>
      <c r="U35" s="142">
        <v>0.35416666666666663</v>
      </c>
      <c r="V35" s="101">
        <v>7</v>
      </c>
      <c r="W35" s="143">
        <f t="shared" si="25"/>
        <v>43.000000000000007</v>
      </c>
      <c r="X35" s="184"/>
      <c r="Y35" s="184"/>
      <c r="Z35" s="185"/>
      <c r="AA35" s="185"/>
      <c r="AB35" s="601"/>
      <c r="AC35" s="601"/>
      <c r="AD35" s="101"/>
      <c r="AE35" s="101"/>
      <c r="AF35" s="92">
        <f t="shared" si="6"/>
        <v>-167.44186046511663</v>
      </c>
      <c r="AG35" s="186">
        <f t="shared" si="7"/>
        <v>0.88837209302325559</v>
      </c>
      <c r="AH35" s="623"/>
    </row>
    <row r="36" spans="1:34" ht="19.149999999999999" customHeight="1">
      <c r="A36" s="643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2254</v>
      </c>
      <c r="H36" s="135">
        <f t="shared" si="22"/>
        <v>65621.039755351667</v>
      </c>
      <c r="I36" s="101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1252.2222222222219</v>
      </c>
      <c r="O36" s="90">
        <f t="shared" si="24"/>
        <v>69.567901234567884</v>
      </c>
      <c r="P36" s="92">
        <f t="shared" si="18"/>
        <v>-1</v>
      </c>
      <c r="Q36" s="93">
        <f t="shared" si="19"/>
        <v>-9.3794671864847459</v>
      </c>
      <c r="R36" s="94">
        <f t="shared" si="20"/>
        <v>0.88119341563785991</v>
      </c>
      <c r="S36" s="605"/>
      <c r="T36" s="142">
        <v>0.36944444444444441</v>
      </c>
      <c r="U36" s="142">
        <v>0.44444444444444442</v>
      </c>
      <c r="V36" s="101">
        <v>22</v>
      </c>
      <c r="W36" s="143">
        <f t="shared" si="25"/>
        <v>108.00000000000001</v>
      </c>
      <c r="X36" s="184">
        <v>0.3576388888888889</v>
      </c>
      <c r="Y36" s="184">
        <v>0.3666666666666667</v>
      </c>
      <c r="Z36" s="185"/>
      <c r="AA36" s="185"/>
      <c r="AB36" s="601"/>
      <c r="AC36" s="601"/>
      <c r="AD36" s="101"/>
      <c r="AE36" s="101"/>
      <c r="AF36" s="92">
        <f t="shared" si="6"/>
        <v>-247.77777777777806</v>
      </c>
      <c r="AG36" s="186">
        <f t="shared" si="7"/>
        <v>0.83481481481481468</v>
      </c>
      <c r="AH36" s="623"/>
    </row>
    <row r="37" spans="1:34" ht="19.149999999999999" customHeight="1">
      <c r="A37" s="643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101"/>
      <c r="J37" s="89"/>
      <c r="K37" s="86"/>
      <c r="L37" s="90"/>
      <c r="M37" s="189"/>
      <c r="N37" s="86"/>
      <c r="O37" s="90"/>
      <c r="P37" s="92"/>
      <c r="Q37" s="93"/>
      <c r="R37" s="94"/>
      <c r="S37" s="605"/>
      <c r="T37" s="142"/>
      <c r="U37" s="142"/>
      <c r="V37" s="101"/>
      <c r="W37" s="143"/>
      <c r="X37" s="184"/>
      <c r="Y37" s="184"/>
      <c r="Z37" s="185"/>
      <c r="AA37" s="185"/>
      <c r="AB37" s="601"/>
      <c r="AC37" s="601"/>
      <c r="AD37" s="101"/>
      <c r="AE37" s="101"/>
      <c r="AF37" s="92">
        <f t="shared" si="6"/>
        <v>0</v>
      </c>
      <c r="AG37" s="186" t="e">
        <f t="shared" si="7"/>
        <v>#DIV/0!</v>
      </c>
      <c r="AH37" s="623"/>
    </row>
    <row r="38" spans="1:34" ht="19.149999999999999" customHeight="1">
      <c r="A38" s="643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101"/>
      <c r="J38" s="89"/>
      <c r="K38" s="86"/>
      <c r="L38" s="90"/>
      <c r="M38" s="189"/>
      <c r="N38" s="86"/>
      <c r="O38" s="90"/>
      <c r="P38" s="92"/>
      <c r="Q38" s="93"/>
      <c r="R38" s="94"/>
      <c r="S38" s="605"/>
      <c r="T38" s="142"/>
      <c r="U38" s="142"/>
      <c r="V38" s="101"/>
      <c r="W38" s="143"/>
      <c r="X38" s="184"/>
      <c r="Y38" s="184"/>
      <c r="Z38" s="185"/>
      <c r="AA38" s="185"/>
      <c r="AB38" s="601"/>
      <c r="AC38" s="601"/>
      <c r="AD38" s="101"/>
      <c r="AE38" s="101"/>
      <c r="AF38" s="92">
        <f t="shared" si="6"/>
        <v>0</v>
      </c>
      <c r="AG38" s="186" t="e">
        <f t="shared" si="7"/>
        <v>#DIV/0!</v>
      </c>
      <c r="AH38" s="623"/>
    </row>
    <row r="39" spans="1:34" ht="19.149999999999999" customHeight="1">
      <c r="A39" s="643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101"/>
      <c r="J39" s="89"/>
      <c r="K39" s="86"/>
      <c r="L39" s="90"/>
      <c r="M39" s="189"/>
      <c r="N39" s="86"/>
      <c r="O39" s="90"/>
      <c r="P39" s="92"/>
      <c r="Q39" s="93"/>
      <c r="R39" s="94"/>
      <c r="S39" s="605"/>
      <c r="T39" s="142"/>
      <c r="U39" s="142"/>
      <c r="V39" s="101"/>
      <c r="W39" s="143"/>
      <c r="X39" s="184"/>
      <c r="Y39" s="184"/>
      <c r="Z39" s="185"/>
      <c r="AA39" s="185"/>
      <c r="AB39" s="601"/>
      <c r="AC39" s="601"/>
      <c r="AD39" s="101"/>
      <c r="AE39" s="101"/>
      <c r="AF39" s="92"/>
      <c r="AG39" s="191"/>
      <c r="AH39" s="623"/>
    </row>
    <row r="40" spans="1:34" ht="19.149999999999999" customHeight="1">
      <c r="A40" s="643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65"/>
      <c r="J40" s="193"/>
      <c r="K40" s="194"/>
      <c r="L40" s="195"/>
      <c r="M40" s="91"/>
      <c r="N40" s="86"/>
      <c r="O40" s="90"/>
      <c r="P40" s="92"/>
      <c r="Q40" s="93"/>
      <c r="R40" s="94"/>
      <c r="S40" s="605"/>
      <c r="T40" s="142"/>
      <c r="U40" s="142"/>
      <c r="V40" s="101"/>
      <c r="W40" s="143">
        <f t="shared" si="25"/>
        <v>0</v>
      </c>
      <c r="X40" s="184"/>
      <c r="Y40" s="184"/>
      <c r="Z40" s="185"/>
      <c r="AA40" s="185"/>
      <c r="AB40" s="601"/>
      <c r="AC40" s="601"/>
      <c r="AD40" s="101"/>
      <c r="AE40" s="101"/>
      <c r="AF40" s="92"/>
      <c r="AG40" s="191"/>
      <c r="AH40" s="623"/>
    </row>
    <row r="41" spans="1:34" ht="19.149999999999999" customHeight="1">
      <c r="A41" s="643"/>
      <c r="B41" s="101">
        <v>0</v>
      </c>
      <c r="C41" s="102"/>
      <c r="D41" s="132"/>
      <c r="E41" s="133"/>
      <c r="F41" s="85" t="s">
        <v>391</v>
      </c>
      <c r="G41" s="104"/>
      <c r="H41" s="135"/>
      <c r="I41" s="101"/>
      <c r="J41" s="138"/>
      <c r="K41" s="104"/>
      <c r="L41" s="137"/>
      <c r="M41" s="189"/>
      <c r="N41" s="104"/>
      <c r="O41" s="137"/>
      <c r="P41" s="100"/>
      <c r="Q41" s="139"/>
      <c r="R41" s="140"/>
      <c r="S41" s="605"/>
      <c r="T41" s="142"/>
      <c r="U41" s="142"/>
      <c r="V41" s="101"/>
      <c r="W41" s="143">
        <f t="shared" si="25"/>
        <v>0</v>
      </c>
      <c r="X41" s="184"/>
      <c r="Y41" s="184"/>
      <c r="Z41" s="185"/>
      <c r="AA41" s="185"/>
      <c r="AB41" s="601"/>
      <c r="AC41" s="601"/>
      <c r="AD41" s="101"/>
      <c r="AE41" s="101"/>
      <c r="AF41" s="92"/>
      <c r="AG41" s="191"/>
      <c r="AH41" s="623"/>
    </row>
    <row r="42" spans="1:34" ht="19.149999999999999" customHeight="1">
      <c r="A42" s="643"/>
      <c r="B42" s="101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101"/>
      <c r="J42" s="138"/>
      <c r="K42" s="104"/>
      <c r="L42" s="137"/>
      <c r="M42" s="189"/>
      <c r="N42" s="104"/>
      <c r="O42" s="137"/>
      <c r="P42" s="100"/>
      <c r="Q42" s="139"/>
      <c r="R42" s="140"/>
      <c r="S42" s="605"/>
      <c r="T42" s="142"/>
      <c r="U42" s="142"/>
      <c r="V42" s="101"/>
      <c r="W42" s="143">
        <f t="shared" si="25"/>
        <v>0</v>
      </c>
      <c r="X42" s="184"/>
      <c r="Y42" s="184"/>
      <c r="Z42" s="185"/>
      <c r="AA42" s="185"/>
      <c r="AB42" s="601"/>
      <c r="AC42" s="601"/>
      <c r="AD42" s="101"/>
      <c r="AE42" s="101"/>
      <c r="AF42" s="92"/>
      <c r="AG42" s="191"/>
      <c r="AH42" s="623"/>
    </row>
    <row r="43" spans="1:34" ht="19.149999999999999" customHeight="1">
      <c r="A43" s="643"/>
      <c r="B43" s="182">
        <v>0</v>
      </c>
      <c r="C43" s="156" t="s">
        <v>260</v>
      </c>
      <c r="D43" s="602" t="s">
        <v>256</v>
      </c>
      <c r="E43" s="602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1649.0019889106816</v>
      </c>
      <c r="O43" s="161">
        <f t="shared" si="26"/>
        <v>123.72473441392411</v>
      </c>
      <c r="P43" s="100">
        <f>M43-J43</f>
        <v>-0.16666666666666607</v>
      </c>
      <c r="Q43" s="139">
        <f>N43-K43</f>
        <v>-225.99801108931842</v>
      </c>
      <c r="R43" s="162">
        <f t="shared" ref="R43:R46" si="27">O43/L43</f>
        <v>0.89311415047479392</v>
      </c>
      <c r="S43" s="605"/>
      <c r="T43" s="142"/>
      <c r="U43" s="142"/>
      <c r="V43" s="101"/>
      <c r="W43" s="101"/>
      <c r="X43" s="184"/>
      <c r="Y43" s="184"/>
      <c r="Z43" s="197">
        <f>SUM(Z31:Z42)</f>
        <v>0</v>
      </c>
      <c r="AA43" s="197">
        <f>SUM(AA31:AA42)</f>
        <v>0</v>
      </c>
      <c r="AB43" s="601"/>
      <c r="AC43" s="601"/>
      <c r="AD43" s="164">
        <f>SUM(AD31:AD42)</f>
        <v>1</v>
      </c>
      <c r="AE43" s="164">
        <f>SUM(AE31:AE42)</f>
        <v>0</v>
      </c>
      <c r="AF43" s="92">
        <f t="shared" ref="AF43:AF52" si="28">N43-K43</f>
        <v>-225.99801108931842</v>
      </c>
      <c r="AG43" s="114">
        <f t="shared" si="7"/>
        <v>0.87946772741903012</v>
      </c>
      <c r="AH43" s="623"/>
    </row>
    <row r="44" spans="1:34" s="213" customFormat="1" ht="19.149999999999999" customHeight="1">
      <c r="A44" s="638" t="s">
        <v>261</v>
      </c>
      <c r="B44" s="152" t="s">
        <v>388</v>
      </c>
      <c r="C44" s="198"/>
      <c r="D44" s="83" t="s">
        <v>262</v>
      </c>
      <c r="E44" s="84"/>
      <c r="F44" s="199">
        <v>31.43</v>
      </c>
      <c r="G44" s="200">
        <v>2156</v>
      </c>
      <c r="H44" s="87">
        <f>F44*G44</f>
        <v>67763.08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1390.9677419354834</v>
      </c>
      <c r="O44" s="204">
        <f>N44/M44</f>
        <v>231.82795698924724</v>
      </c>
      <c r="P44" s="97">
        <f t="shared" ref="P44:P45" si="29">M44-J44</f>
        <v>0</v>
      </c>
      <c r="Q44" s="205">
        <f t="shared" ref="Q44:Q45" si="30">O44-L44</f>
        <v>-18.172043010752759</v>
      </c>
      <c r="R44" s="206">
        <f t="shared" si="27"/>
        <v>0.92731182795698897</v>
      </c>
      <c r="S44" s="620">
        <f>R56</f>
        <v>0.86192331761215091</v>
      </c>
      <c r="T44" s="207">
        <v>0.16666666666666666</v>
      </c>
      <c r="U44" s="207">
        <v>0.23125000000000001</v>
      </c>
      <c r="V44" s="208">
        <v>5</v>
      </c>
      <c r="W44" s="209">
        <f t="shared" ref="W44:W56" si="31">(U44-T44)*24*60</f>
        <v>93.000000000000028</v>
      </c>
      <c r="X44" s="184"/>
      <c r="Y44" s="184"/>
      <c r="Z44" s="185"/>
      <c r="AA44" s="185"/>
      <c r="AB44" s="601"/>
      <c r="AC44" s="601"/>
      <c r="AD44" s="101"/>
      <c r="AE44" s="101"/>
      <c r="AF44" s="210">
        <f t="shared" si="28"/>
        <v>-109.03225806451655</v>
      </c>
      <c r="AG44" s="211">
        <f t="shared" si="7"/>
        <v>0.92731182795698897</v>
      </c>
      <c r="AH44" s="641">
        <f>AG56</f>
        <v>0.9060600605369431</v>
      </c>
    </row>
    <row r="45" spans="1:34" s="213" customFormat="1" ht="19.149999999999999" customHeight="1">
      <c r="A45" s="639"/>
      <c r="B45" s="152" t="s">
        <v>388</v>
      </c>
      <c r="C45" s="198"/>
      <c r="D45" s="83" t="s">
        <v>148</v>
      </c>
      <c r="E45" s="84"/>
      <c r="F45" s="199">
        <v>11.6</v>
      </c>
      <c r="G45" s="200">
        <v>2053</v>
      </c>
      <c r="H45" s="87">
        <f>F45*G45</f>
        <v>23814.799999999999</v>
      </c>
      <c r="I45" s="214"/>
      <c r="J45" s="202">
        <v>6</v>
      </c>
      <c r="K45" s="203">
        <v>1636</v>
      </c>
      <c r="L45" s="204">
        <v>272.66666666666669</v>
      </c>
      <c r="M45" s="110">
        <v>7</v>
      </c>
      <c r="N45" s="203">
        <f>G45/W45*60</f>
        <v>1432.3255813953488</v>
      </c>
      <c r="O45" s="204">
        <f>N45/M45</f>
        <v>204.61794019933555</v>
      </c>
      <c r="P45" s="97">
        <f t="shared" si="29"/>
        <v>1</v>
      </c>
      <c r="Q45" s="205">
        <f t="shared" si="30"/>
        <v>-68.048726467331136</v>
      </c>
      <c r="R45" s="206">
        <f t="shared" si="27"/>
        <v>0.75043254351834543</v>
      </c>
      <c r="S45" s="620"/>
      <c r="T45" s="207">
        <v>0.25208333333333333</v>
      </c>
      <c r="U45" s="207">
        <v>0.31180555555555556</v>
      </c>
      <c r="V45" s="208">
        <v>30</v>
      </c>
      <c r="W45" s="209">
        <f t="shared" si="31"/>
        <v>86.000000000000014</v>
      </c>
      <c r="X45" s="184">
        <v>0.23472222222222219</v>
      </c>
      <c r="Y45" s="184">
        <v>0.24930555555555556</v>
      </c>
      <c r="Z45" s="185"/>
      <c r="AA45" s="185"/>
      <c r="AB45" s="601"/>
      <c r="AC45" s="601"/>
      <c r="AD45" s="101"/>
      <c r="AE45" s="101"/>
      <c r="AF45" s="210">
        <f t="shared" si="28"/>
        <v>-203.67441860465124</v>
      </c>
      <c r="AG45" s="211">
        <f t="shared" si="7"/>
        <v>0.87550463410473645</v>
      </c>
      <c r="AH45" s="641"/>
    </row>
    <row r="46" spans="1:34" s="213" customFormat="1" ht="19.149999999999999" customHeight="1">
      <c r="A46" s="639"/>
      <c r="B46" s="152" t="s">
        <v>390</v>
      </c>
      <c r="C46" s="198"/>
      <c r="D46" s="83" t="s">
        <v>149</v>
      </c>
      <c r="E46" s="84"/>
      <c r="F46" s="199">
        <v>10.09</v>
      </c>
      <c r="G46" s="200">
        <v>4108.6499999999996</v>
      </c>
      <c r="H46" s="87">
        <f t="shared" ref="H46:H51" si="32">F46*G46</f>
        <v>41456.278499999993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1377.2011173184358</v>
      </c>
      <c r="O46" s="204">
        <f>N46/M46</f>
        <v>229.53351955307264</v>
      </c>
      <c r="P46" s="97">
        <f>M46-J46</f>
        <v>0</v>
      </c>
      <c r="Q46" s="205">
        <f>O46-L46</f>
        <v>-20.466480446927363</v>
      </c>
      <c r="R46" s="206">
        <f t="shared" si="27"/>
        <v>0.91813407821229054</v>
      </c>
      <c r="S46" s="620"/>
      <c r="T46" s="207">
        <v>0.33263888888888887</v>
      </c>
      <c r="U46" s="207">
        <v>0.45694444444444443</v>
      </c>
      <c r="V46" s="208">
        <v>30</v>
      </c>
      <c r="W46" s="209">
        <f t="shared" si="31"/>
        <v>179</v>
      </c>
      <c r="X46" s="184">
        <v>0.31527777777777777</v>
      </c>
      <c r="Y46" s="184">
        <v>0.3298611111111111</v>
      </c>
      <c r="Z46" s="185"/>
      <c r="AA46" s="185"/>
      <c r="AB46" s="601"/>
      <c r="AC46" s="601"/>
      <c r="AD46" s="101"/>
      <c r="AE46" s="101"/>
      <c r="AF46" s="210">
        <f t="shared" si="28"/>
        <v>-122.79888268156424</v>
      </c>
      <c r="AG46" s="211">
        <f t="shared" si="7"/>
        <v>0.91813407821229054</v>
      </c>
      <c r="AH46" s="641"/>
    </row>
    <row r="47" spans="1:34" s="213" customFormat="1" ht="19.149999999999999" customHeight="1">
      <c r="A47" s="639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0"/>
      <c r="T47" s="207"/>
      <c r="U47" s="207"/>
      <c r="V47" s="203"/>
      <c r="W47" s="209"/>
      <c r="X47" s="184"/>
      <c r="Y47" s="184"/>
      <c r="Z47" s="185"/>
      <c r="AA47" s="185"/>
      <c r="AB47" s="601"/>
      <c r="AC47" s="601"/>
      <c r="AD47" s="101"/>
      <c r="AE47" s="101"/>
      <c r="AF47" s="210">
        <f t="shared" si="28"/>
        <v>0</v>
      </c>
      <c r="AG47" s="211" t="e">
        <f t="shared" si="7"/>
        <v>#DIV/0!</v>
      </c>
      <c r="AH47" s="641"/>
    </row>
    <row r="48" spans="1:34" s="213" customFormat="1" ht="19.149999999999999" customHeight="1">
      <c r="A48" s="639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0"/>
      <c r="T48" s="219"/>
      <c r="U48" s="219"/>
      <c r="V48" s="200"/>
      <c r="W48" s="209"/>
      <c r="X48" s="184"/>
      <c r="Y48" s="184"/>
      <c r="Z48" s="185"/>
      <c r="AA48" s="185"/>
      <c r="AB48" s="601"/>
      <c r="AC48" s="601"/>
      <c r="AD48" s="101"/>
      <c r="AE48" s="101"/>
      <c r="AF48" s="210">
        <f t="shared" si="28"/>
        <v>0</v>
      </c>
      <c r="AG48" s="211" t="e">
        <f t="shared" si="7"/>
        <v>#DIV/0!</v>
      </c>
      <c r="AH48" s="641"/>
    </row>
    <row r="49" spans="1:34" s="213" customFormat="1" ht="19.149999999999999" customHeight="1">
      <c r="A49" s="639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0"/>
      <c r="T49" s="219"/>
      <c r="U49" s="219"/>
      <c r="V49" s="200"/>
      <c r="W49" s="209"/>
      <c r="X49" s="220"/>
      <c r="Y49" s="220"/>
      <c r="Z49" s="221"/>
      <c r="AA49" s="185"/>
      <c r="AB49" s="601"/>
      <c r="AC49" s="601"/>
      <c r="AD49" s="101"/>
      <c r="AE49" s="101"/>
      <c r="AF49" s="210">
        <f t="shared" si="28"/>
        <v>0</v>
      </c>
      <c r="AG49" s="211" t="e">
        <f t="shared" si="7"/>
        <v>#DIV/0!</v>
      </c>
      <c r="AH49" s="641"/>
    </row>
    <row r="50" spans="1:34" s="213" customFormat="1" ht="19.149999999999999" customHeight="1">
      <c r="A50" s="639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0"/>
      <c r="T50" s="219"/>
      <c r="U50" s="219"/>
      <c r="V50" s="200"/>
      <c r="W50" s="209"/>
      <c r="X50" s="220"/>
      <c r="Y50" s="220"/>
      <c r="Z50" s="221"/>
      <c r="AA50" s="221"/>
      <c r="AB50" s="601"/>
      <c r="AC50" s="601"/>
      <c r="AD50" s="101"/>
      <c r="AE50" s="101"/>
      <c r="AF50" s="210">
        <f t="shared" si="28"/>
        <v>0</v>
      </c>
      <c r="AG50" s="211" t="e">
        <f t="shared" si="7"/>
        <v>#DIV/0!</v>
      </c>
      <c r="AH50" s="641"/>
    </row>
    <row r="51" spans="1:34" s="213" customFormat="1" ht="19.149999999999999" customHeight="1">
      <c r="A51" s="639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0"/>
      <c r="T51" s="219"/>
      <c r="U51" s="219"/>
      <c r="V51" s="200"/>
      <c r="W51" s="209"/>
      <c r="X51" s="220"/>
      <c r="Y51" s="220"/>
      <c r="Z51" s="221"/>
      <c r="AA51" s="221"/>
      <c r="AB51" s="601"/>
      <c r="AC51" s="601"/>
      <c r="AD51" s="101"/>
      <c r="AE51" s="101"/>
      <c r="AF51" s="210">
        <f t="shared" si="28"/>
        <v>0</v>
      </c>
      <c r="AG51" s="211" t="e">
        <f t="shared" si="7"/>
        <v>#DIV/0!</v>
      </c>
      <c r="AH51" s="641"/>
    </row>
    <row r="52" spans="1:34" s="213" customFormat="1" ht="19.149999999999999" customHeight="1">
      <c r="A52" s="639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0"/>
      <c r="S52" s="620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01"/>
      <c r="AC52" s="601"/>
      <c r="AD52" s="101"/>
      <c r="AE52" s="101"/>
      <c r="AF52" s="210">
        <f t="shared" si="28"/>
        <v>0</v>
      </c>
      <c r="AG52" s="211" t="e">
        <f t="shared" si="7"/>
        <v>#DIV/0!</v>
      </c>
      <c r="AH52" s="641"/>
    </row>
    <row r="53" spans="1:34" s="213" customFormat="1" ht="19.149999999999999" customHeight="1">
      <c r="A53" s="639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0"/>
      <c r="S53" s="620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01"/>
      <c r="AC53" s="601"/>
      <c r="AD53" s="101"/>
      <c r="AE53" s="101"/>
      <c r="AF53" s="210"/>
      <c r="AG53" s="211"/>
      <c r="AH53" s="641"/>
    </row>
    <row r="54" spans="1:34" s="213" customFormat="1" ht="19.149999999999999" customHeight="1">
      <c r="A54" s="639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0"/>
      <c r="S54" s="620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01"/>
      <c r="AC54" s="601"/>
      <c r="AD54" s="101"/>
      <c r="AE54" s="101"/>
      <c r="AF54" s="210"/>
      <c r="AG54" s="211"/>
      <c r="AH54" s="641"/>
    </row>
    <row r="55" spans="1:34" s="213" customFormat="1" ht="19.149999999999999" customHeight="1">
      <c r="A55" s="639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0"/>
      <c r="S55" s="620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01"/>
      <c r="AC55" s="601"/>
      <c r="AD55" s="101"/>
      <c r="AE55" s="101"/>
      <c r="AF55" s="210"/>
      <c r="AG55" s="211"/>
      <c r="AH55" s="641"/>
    </row>
    <row r="56" spans="1:34" ht="19.149999999999999" customHeight="1">
      <c r="A56" s="640"/>
      <c r="B56" s="226">
        <v>0</v>
      </c>
      <c r="C56" s="156" t="s">
        <v>263</v>
      </c>
      <c r="D56" s="602" t="s">
        <v>256</v>
      </c>
      <c r="E56" s="602"/>
      <c r="F56" s="157"/>
      <c r="G56" s="158"/>
      <c r="H56" s="159"/>
      <c r="I56" s="160"/>
      <c r="J56" s="158">
        <v>6</v>
      </c>
      <c r="K56" s="158">
        <v>1545.3333333333333</v>
      </c>
      <c r="L56" s="161">
        <v>257.5555555555556</v>
      </c>
      <c r="M56" s="158">
        <f t="shared" ref="M56:O56" si="33">AVERAGE(M44:M55)</f>
        <v>6.333333333333333</v>
      </c>
      <c r="N56" s="158">
        <f t="shared" si="33"/>
        <v>1400.164813549756</v>
      </c>
      <c r="O56" s="161">
        <f t="shared" si="33"/>
        <v>221.99313891388513</v>
      </c>
      <c r="P56" s="227">
        <f>M56-J56</f>
        <v>0.33333333333333304</v>
      </c>
      <c r="Q56" s="176">
        <f>N56-K56</f>
        <v>-145.16851978357727</v>
      </c>
      <c r="R56" s="228">
        <f t="shared" ref="R56:R60" si="34">O56/L56</f>
        <v>0.86192331761215091</v>
      </c>
      <c r="S56" s="620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01"/>
      <c r="AC56" s="601"/>
      <c r="AD56" s="164">
        <f>SUM(AD44:AD55)</f>
        <v>0</v>
      </c>
      <c r="AE56" s="164">
        <f>SUM(AE44:AE55)</f>
        <v>0</v>
      </c>
      <c r="AF56" s="232">
        <f>N56-K56</f>
        <v>-145.16851978357727</v>
      </c>
      <c r="AG56" s="140">
        <f>N56/K56</f>
        <v>0.9060600605369431</v>
      </c>
      <c r="AH56" s="641"/>
    </row>
    <row r="57" spans="1:34" ht="19.149999999999999" customHeight="1">
      <c r="A57" s="634" t="s">
        <v>264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1262</v>
      </c>
      <c r="H57" s="135">
        <f t="shared" ref="H57:H66" si="35">F57*G57</f>
        <v>35664.120000000003</v>
      </c>
      <c r="I57" s="101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1328.421052631579</v>
      </c>
      <c r="O57" s="137">
        <f t="shared" ref="O57:O60" si="37">N57/M57</f>
        <v>189.77443609022558</v>
      </c>
      <c r="P57" s="235">
        <f t="shared" ref="P57:P60" si="38">M57-J57</f>
        <v>1</v>
      </c>
      <c r="Q57" s="93">
        <f t="shared" ref="Q57:Q60" si="39">O57-L57</f>
        <v>-60.225563909774422</v>
      </c>
      <c r="R57" s="94">
        <f t="shared" si="34"/>
        <v>0.75909774436090227</v>
      </c>
      <c r="S57" s="620">
        <f>R69</f>
        <v>0.83880270924372913</v>
      </c>
      <c r="T57" s="207">
        <v>0.16666666666666666</v>
      </c>
      <c r="U57" s="207">
        <v>0.20624999999999999</v>
      </c>
      <c r="V57" s="65">
        <v>5</v>
      </c>
      <c r="W57" s="88">
        <f>(U57-T57)*24*60</f>
        <v>57</v>
      </c>
      <c r="X57" s="99"/>
      <c r="Y57" s="99"/>
      <c r="Z57" s="100"/>
      <c r="AA57" s="100"/>
      <c r="AB57" s="601"/>
      <c r="AC57" s="601"/>
      <c r="AD57" s="101"/>
      <c r="AE57" s="101"/>
      <c r="AF57" s="92">
        <f t="shared" si="6"/>
        <v>-171.57894736842104</v>
      </c>
      <c r="AG57" s="177">
        <f t="shared" si="7"/>
        <v>0.8856140350877193</v>
      </c>
      <c r="AH57" s="622">
        <f>AG69</f>
        <v>0.93959319145919717</v>
      </c>
    </row>
    <row r="58" spans="1:34" ht="19.149999999999999" customHeight="1">
      <c r="A58" s="635"/>
      <c r="B58" s="152" t="s">
        <v>388</v>
      </c>
      <c r="C58" s="147"/>
      <c r="D58" s="83" t="s">
        <v>153</v>
      </c>
      <c r="E58" s="84"/>
      <c r="F58" s="85">
        <v>27.88</v>
      </c>
      <c r="G58" s="200">
        <v>2057</v>
      </c>
      <c r="H58" s="87">
        <f t="shared" si="35"/>
        <v>57349.159999999996</v>
      </c>
      <c r="I58" s="65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1435.1162790697679</v>
      </c>
      <c r="O58" s="90">
        <f t="shared" si="37"/>
        <v>205.01661129568112</v>
      </c>
      <c r="P58" s="235">
        <f t="shared" si="38"/>
        <v>1</v>
      </c>
      <c r="Q58" s="93">
        <f t="shared" si="39"/>
        <v>-44.983388704318884</v>
      </c>
      <c r="R58" s="94">
        <f t="shared" si="34"/>
        <v>0.82006644518272442</v>
      </c>
      <c r="S58" s="620"/>
      <c r="T58" s="236">
        <v>0.21180555555555555</v>
      </c>
      <c r="U58" s="236">
        <v>0.27152777777777776</v>
      </c>
      <c r="V58" s="65">
        <v>8</v>
      </c>
      <c r="W58" s="88">
        <f>(U58-T58)*24*60</f>
        <v>85.999999999999972</v>
      </c>
      <c r="X58" s="99"/>
      <c r="Y58" s="99"/>
      <c r="Z58" s="100"/>
      <c r="AA58" s="100"/>
      <c r="AB58" s="636"/>
      <c r="AC58" s="637"/>
      <c r="AD58" s="101"/>
      <c r="AE58" s="101"/>
      <c r="AF58" s="92">
        <f t="shared" si="6"/>
        <v>-64.88372093023213</v>
      </c>
      <c r="AG58" s="94">
        <f t="shared" si="7"/>
        <v>0.9567441860465119</v>
      </c>
      <c r="AH58" s="620"/>
    </row>
    <row r="59" spans="1:34" ht="19.149999999999999" customHeight="1">
      <c r="A59" s="635"/>
      <c r="B59" s="152" t="s">
        <v>388</v>
      </c>
      <c r="C59" s="147"/>
      <c r="D59" s="83" t="s">
        <v>154</v>
      </c>
      <c r="E59" s="84"/>
      <c r="F59" s="85">
        <v>28</v>
      </c>
      <c r="G59" s="200">
        <v>2180</v>
      </c>
      <c r="H59" s="87">
        <f t="shared" si="35"/>
        <v>61040</v>
      </c>
      <c r="I59" s="65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1469.6629213483147</v>
      </c>
      <c r="O59" s="90">
        <f t="shared" si="37"/>
        <v>209.95184590690209</v>
      </c>
      <c r="P59" s="235">
        <f t="shared" si="38"/>
        <v>1</v>
      </c>
      <c r="Q59" s="93">
        <f t="shared" si="39"/>
        <v>-40.048154093097907</v>
      </c>
      <c r="R59" s="94">
        <f t="shared" si="34"/>
        <v>0.83980738362760843</v>
      </c>
      <c r="S59" s="620"/>
      <c r="T59" s="236">
        <v>0.28611111111111109</v>
      </c>
      <c r="U59" s="236">
        <v>0.34791666666666665</v>
      </c>
      <c r="V59" s="208">
        <v>21</v>
      </c>
      <c r="W59" s="88">
        <f>(U59-T59)*24*60</f>
        <v>89</v>
      </c>
      <c r="X59" s="99">
        <v>0.27361111111111108</v>
      </c>
      <c r="Y59" s="99">
        <v>0.28333333333333333</v>
      </c>
      <c r="Z59" s="100"/>
      <c r="AA59" s="100"/>
      <c r="AB59" s="601"/>
      <c r="AC59" s="601"/>
      <c r="AD59" s="101"/>
      <c r="AE59" s="101"/>
      <c r="AF59" s="92">
        <f t="shared" si="6"/>
        <v>-30.33707865168526</v>
      </c>
      <c r="AG59" s="94">
        <f t="shared" si="7"/>
        <v>0.97977528089887644</v>
      </c>
      <c r="AH59" s="620"/>
    </row>
    <row r="60" spans="1:34" ht="19.149999999999999" customHeight="1">
      <c r="A60" s="635"/>
      <c r="B60" s="152" t="s">
        <v>390</v>
      </c>
      <c r="C60" s="147"/>
      <c r="D60" s="83" t="s">
        <v>149</v>
      </c>
      <c r="E60" s="84"/>
      <c r="F60" s="85">
        <v>10.09</v>
      </c>
      <c r="G60" s="200">
        <v>7630.35</v>
      </c>
      <c r="H60" s="87">
        <f t="shared" si="35"/>
        <v>76990.231500000009</v>
      </c>
      <c r="I60" s="65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1404.3588957055217</v>
      </c>
      <c r="O60" s="90">
        <f t="shared" si="37"/>
        <v>234.0598159509203</v>
      </c>
      <c r="P60" s="235">
        <f t="shared" si="38"/>
        <v>0</v>
      </c>
      <c r="Q60" s="93">
        <f t="shared" si="39"/>
        <v>-15.940184049079704</v>
      </c>
      <c r="R60" s="94">
        <f t="shared" si="34"/>
        <v>0.93623926380368117</v>
      </c>
      <c r="S60" s="620"/>
      <c r="T60" s="236">
        <v>0.35347222222222219</v>
      </c>
      <c r="U60" s="236">
        <v>0.57986111111111105</v>
      </c>
      <c r="V60" s="208">
        <v>8</v>
      </c>
      <c r="W60" s="88">
        <f>(U60-T60)*24*60</f>
        <v>325.99999999999994</v>
      </c>
      <c r="X60" s="99"/>
      <c r="Y60" s="99"/>
      <c r="Z60" s="100"/>
      <c r="AA60" s="100"/>
      <c r="AB60" s="601"/>
      <c r="AC60" s="601"/>
      <c r="AD60" s="101">
        <v>1</v>
      </c>
      <c r="AE60" s="101"/>
      <c r="AF60" s="92">
        <f t="shared" si="6"/>
        <v>-95.641104294478282</v>
      </c>
      <c r="AG60" s="177">
        <f t="shared" si="7"/>
        <v>0.93623926380368117</v>
      </c>
      <c r="AH60" s="620"/>
    </row>
    <row r="61" spans="1:34" ht="19.149999999999999" customHeight="1">
      <c r="A61" s="635"/>
      <c r="B61" s="152">
        <v>0</v>
      </c>
      <c r="C61" s="147"/>
      <c r="D61" s="83"/>
      <c r="E61" s="84"/>
      <c r="F61" s="85"/>
      <c r="G61" s="200"/>
      <c r="H61" s="87"/>
      <c r="I61" s="65"/>
      <c r="J61" s="89"/>
      <c r="K61" s="86"/>
      <c r="L61" s="137"/>
      <c r="M61" s="110"/>
      <c r="N61" s="86"/>
      <c r="O61" s="90"/>
      <c r="P61" s="235"/>
      <c r="Q61" s="93"/>
      <c r="R61" s="94"/>
      <c r="S61" s="620"/>
      <c r="T61" s="236"/>
      <c r="U61" s="236"/>
      <c r="V61" s="208"/>
      <c r="W61" s="88"/>
      <c r="X61" s="99"/>
      <c r="Y61" s="99"/>
      <c r="Z61" s="100"/>
      <c r="AA61" s="100"/>
      <c r="AB61" s="601"/>
      <c r="AC61" s="601"/>
      <c r="AD61" s="101"/>
      <c r="AE61" s="101"/>
      <c r="AF61" s="92">
        <f t="shared" si="6"/>
        <v>0</v>
      </c>
      <c r="AG61" s="177" t="e">
        <f t="shared" si="7"/>
        <v>#DIV/0!</v>
      </c>
      <c r="AH61" s="620"/>
    </row>
    <row r="62" spans="1:34" ht="19.149999999999999" customHeight="1">
      <c r="A62" s="635"/>
      <c r="B62" s="152">
        <v>0</v>
      </c>
      <c r="C62" s="147"/>
      <c r="D62" s="83"/>
      <c r="E62" s="84"/>
      <c r="F62" s="85" t="s">
        <v>391</v>
      </c>
      <c r="G62" s="200"/>
      <c r="H62" s="87">
        <f t="shared" si="35"/>
        <v>0</v>
      </c>
      <c r="I62" s="65"/>
      <c r="J62" s="239"/>
      <c r="K62" s="108"/>
      <c r="L62" s="137"/>
      <c r="M62" s="110"/>
      <c r="N62" s="86"/>
      <c r="O62" s="90"/>
      <c r="P62" s="235"/>
      <c r="Q62" s="93"/>
      <c r="R62" s="94"/>
      <c r="S62" s="620"/>
      <c r="T62" s="236"/>
      <c r="U62" s="236"/>
      <c r="V62" s="208"/>
      <c r="W62" s="88"/>
      <c r="X62" s="99"/>
      <c r="Y62" s="99"/>
      <c r="Z62" s="100"/>
      <c r="AA62" s="100"/>
      <c r="AB62" s="601"/>
      <c r="AC62" s="601"/>
      <c r="AD62" s="101"/>
      <c r="AE62" s="101"/>
      <c r="AF62" s="92">
        <f t="shared" si="6"/>
        <v>0</v>
      </c>
      <c r="AG62" s="177" t="e">
        <f t="shared" si="7"/>
        <v>#DIV/0!</v>
      </c>
      <c r="AH62" s="620"/>
    </row>
    <row r="63" spans="1:34" ht="19.149999999999999" customHeight="1">
      <c r="A63" s="635"/>
      <c r="B63" s="152">
        <v>0</v>
      </c>
      <c r="C63" s="147"/>
      <c r="D63" s="83"/>
      <c r="E63" s="84"/>
      <c r="F63" s="85" t="s">
        <v>391</v>
      </c>
      <c r="G63" s="200"/>
      <c r="H63" s="87">
        <f t="shared" si="35"/>
        <v>0</v>
      </c>
      <c r="I63" s="65"/>
      <c r="J63" s="89"/>
      <c r="K63" s="86"/>
      <c r="L63" s="137"/>
      <c r="M63" s="110"/>
      <c r="N63" s="86"/>
      <c r="O63" s="90"/>
      <c r="P63" s="235"/>
      <c r="Q63" s="93"/>
      <c r="R63" s="94"/>
      <c r="S63" s="620"/>
      <c r="T63" s="236"/>
      <c r="U63" s="236"/>
      <c r="V63" s="208"/>
      <c r="W63" s="88"/>
      <c r="X63" s="99"/>
      <c r="Y63" s="99"/>
      <c r="Z63" s="100"/>
      <c r="AA63" s="100"/>
      <c r="AB63" s="601"/>
      <c r="AC63" s="601"/>
      <c r="AD63" s="101"/>
      <c r="AE63" s="101"/>
      <c r="AF63" s="92">
        <f t="shared" si="6"/>
        <v>0</v>
      </c>
      <c r="AG63" s="177" t="e">
        <f t="shared" si="7"/>
        <v>#DIV/0!</v>
      </c>
      <c r="AH63" s="620"/>
    </row>
    <row r="64" spans="1:34" ht="19.149999999999999" customHeight="1">
      <c r="A64" s="635"/>
      <c r="B64" s="152">
        <v>0</v>
      </c>
      <c r="C64" s="147"/>
      <c r="D64" s="83"/>
      <c r="E64" s="84"/>
      <c r="F64" s="85" t="s">
        <v>391</v>
      </c>
      <c r="G64" s="200"/>
      <c r="H64" s="87">
        <f t="shared" si="35"/>
        <v>0</v>
      </c>
      <c r="I64" s="65"/>
      <c r="J64" s="239"/>
      <c r="K64" s="108"/>
      <c r="L64" s="137"/>
      <c r="M64" s="110"/>
      <c r="N64" s="86"/>
      <c r="O64" s="90"/>
      <c r="P64" s="235"/>
      <c r="Q64" s="93"/>
      <c r="R64" s="94"/>
      <c r="S64" s="620"/>
      <c r="T64" s="236"/>
      <c r="U64" s="236"/>
      <c r="V64" s="208"/>
      <c r="W64" s="88"/>
      <c r="X64" s="65"/>
      <c r="Y64" s="65"/>
      <c r="Z64" s="100"/>
      <c r="AA64" s="100"/>
      <c r="AB64" s="601"/>
      <c r="AC64" s="601"/>
      <c r="AD64" s="101"/>
      <c r="AE64" s="101"/>
      <c r="AF64" s="92">
        <f t="shared" si="6"/>
        <v>0</v>
      </c>
      <c r="AG64" s="177" t="e">
        <f t="shared" si="7"/>
        <v>#DIV/0!</v>
      </c>
      <c r="AH64" s="620"/>
    </row>
    <row r="65" spans="1:34" ht="19.149999999999999" customHeight="1">
      <c r="A65" s="635"/>
      <c r="B65" s="152">
        <v>0</v>
      </c>
      <c r="C65" s="147"/>
      <c r="D65" s="83"/>
      <c r="E65" s="84"/>
      <c r="F65" s="85" t="s">
        <v>391</v>
      </c>
      <c r="G65" s="200"/>
      <c r="H65" s="87">
        <f t="shared" si="35"/>
        <v>0</v>
      </c>
      <c r="I65" s="65"/>
      <c r="J65" s="239"/>
      <c r="K65" s="108"/>
      <c r="L65" s="137"/>
      <c r="M65" s="110"/>
      <c r="N65" s="108"/>
      <c r="O65" s="127"/>
      <c r="P65" s="92"/>
      <c r="Q65" s="93"/>
      <c r="R65" s="94"/>
      <c r="S65" s="620"/>
      <c r="T65" s="236"/>
      <c r="U65" s="236"/>
      <c r="V65" s="208"/>
      <c r="W65" s="88">
        <f t="shared" ref="W65:W69" si="40">(U65-T65)*24*60</f>
        <v>0</v>
      </c>
      <c r="X65" s="65"/>
      <c r="Y65" s="65"/>
      <c r="Z65" s="100"/>
      <c r="AA65" s="100"/>
      <c r="AB65" s="601"/>
      <c r="AC65" s="601"/>
      <c r="AD65" s="101"/>
      <c r="AE65" s="101"/>
      <c r="AF65" s="92">
        <f t="shared" si="6"/>
        <v>0</v>
      </c>
      <c r="AG65" s="177" t="e">
        <f t="shared" si="7"/>
        <v>#DIV/0!</v>
      </c>
      <c r="AH65" s="620"/>
    </row>
    <row r="66" spans="1:34" ht="19.149999999999999" customHeight="1">
      <c r="A66" s="635"/>
      <c r="B66" s="152">
        <v>0</v>
      </c>
      <c r="C66" s="147"/>
      <c r="D66" s="83"/>
      <c r="E66" s="84"/>
      <c r="F66" s="85" t="s">
        <v>391</v>
      </c>
      <c r="G66" s="200"/>
      <c r="H66" s="87">
        <f t="shared" si="35"/>
        <v>0</v>
      </c>
      <c r="I66" s="65"/>
      <c r="J66" s="239"/>
      <c r="K66" s="108"/>
      <c r="L66" s="137"/>
      <c r="M66" s="110"/>
      <c r="N66" s="108"/>
      <c r="O66" s="127"/>
      <c r="P66" s="92"/>
      <c r="Q66" s="93"/>
      <c r="R66" s="94"/>
      <c r="S66" s="620"/>
      <c r="T66" s="236"/>
      <c r="U66" s="236"/>
      <c r="V66" s="208"/>
      <c r="W66" s="88">
        <f t="shared" si="40"/>
        <v>0</v>
      </c>
      <c r="X66" s="65"/>
      <c r="Y66" s="65"/>
      <c r="Z66" s="100"/>
      <c r="AA66" s="100"/>
      <c r="AB66" s="601"/>
      <c r="AC66" s="601"/>
      <c r="AD66" s="101"/>
      <c r="AE66" s="101"/>
      <c r="AF66" s="92">
        <f t="shared" si="6"/>
        <v>0</v>
      </c>
      <c r="AG66" s="177" t="e">
        <f t="shared" si="7"/>
        <v>#DIV/0!</v>
      </c>
      <c r="AH66" s="620"/>
    </row>
    <row r="67" spans="1:34" ht="19.149999999999999" customHeight="1">
      <c r="A67" s="635"/>
      <c r="B67" s="152">
        <v>0</v>
      </c>
      <c r="C67" s="147"/>
      <c r="D67" s="83"/>
      <c r="E67" s="84"/>
      <c r="F67" s="85" t="s">
        <v>391</v>
      </c>
      <c r="G67" s="200"/>
      <c r="H67" s="87">
        <f>F67*G67</f>
        <v>0</v>
      </c>
      <c r="I67" s="65"/>
      <c r="J67" s="239"/>
      <c r="K67" s="108"/>
      <c r="L67" s="137"/>
      <c r="M67" s="110"/>
      <c r="N67" s="108"/>
      <c r="O67" s="127"/>
      <c r="P67" s="92"/>
      <c r="Q67" s="93"/>
      <c r="R67" s="94"/>
      <c r="S67" s="620"/>
      <c r="T67" s="236"/>
      <c r="U67" s="236"/>
      <c r="V67" s="208"/>
      <c r="W67" s="88">
        <f t="shared" si="40"/>
        <v>0</v>
      </c>
      <c r="X67" s="65"/>
      <c r="Y67" s="65"/>
      <c r="Z67" s="100"/>
      <c r="AA67" s="100"/>
      <c r="AB67" s="601"/>
      <c r="AC67" s="601"/>
      <c r="AD67" s="101"/>
      <c r="AE67" s="101"/>
      <c r="AF67" s="92">
        <f t="shared" si="6"/>
        <v>0</v>
      </c>
      <c r="AG67" s="177" t="e">
        <f t="shared" si="7"/>
        <v>#DIV/0!</v>
      </c>
      <c r="AH67" s="620"/>
    </row>
    <row r="68" spans="1:34" ht="19.149999999999999" customHeight="1">
      <c r="A68" s="635"/>
      <c r="B68" s="65">
        <v>0</v>
      </c>
      <c r="C68" s="147"/>
      <c r="D68" s="83"/>
      <c r="E68" s="84"/>
      <c r="F68" s="199" t="s">
        <v>391</v>
      </c>
      <c r="G68" s="200"/>
      <c r="H68" s="87">
        <f>F68*G68</f>
        <v>0</v>
      </c>
      <c r="I68" s="65"/>
      <c r="J68" s="239"/>
      <c r="K68" s="108"/>
      <c r="L68" s="137"/>
      <c r="M68" s="110"/>
      <c r="N68" s="108"/>
      <c r="O68" s="127"/>
      <c r="P68" s="92"/>
      <c r="Q68" s="93"/>
      <c r="R68" s="94"/>
      <c r="S68" s="620"/>
      <c r="T68" s="236"/>
      <c r="U68" s="236"/>
      <c r="V68" s="208"/>
      <c r="W68" s="88">
        <f t="shared" si="40"/>
        <v>0</v>
      </c>
      <c r="X68" s="65"/>
      <c r="Y68" s="65"/>
      <c r="Z68" s="100"/>
      <c r="AA68" s="100"/>
      <c r="AB68" s="601"/>
      <c r="AC68" s="601"/>
      <c r="AD68" s="101"/>
      <c r="AE68" s="101"/>
      <c r="AF68" s="92"/>
      <c r="AG68" s="94"/>
      <c r="AH68" s="620"/>
    </row>
    <row r="69" spans="1:34" ht="19.149999999999999" customHeight="1">
      <c r="A69" s="635"/>
      <c r="B69" s="240">
        <v>0</v>
      </c>
      <c r="C69" s="12" t="s">
        <v>265</v>
      </c>
      <c r="D69" s="602" t="s">
        <v>256</v>
      </c>
      <c r="E69" s="602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1409.3897871887957</v>
      </c>
      <c r="O69" s="123">
        <f t="shared" si="41"/>
        <v>209.70067731093229</v>
      </c>
      <c r="P69" s="92">
        <f>M69-J69</f>
        <v>0.75</v>
      </c>
      <c r="Q69" s="93">
        <f>N69-K69</f>
        <v>-90.610212811204292</v>
      </c>
      <c r="R69" s="245">
        <f t="shared" ref="R69:R70" si="42">O69/L69</f>
        <v>0.83880270924372913</v>
      </c>
      <c r="S69" s="620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01"/>
      <c r="AC69" s="601"/>
      <c r="AD69" s="164">
        <f>SUM(AD57:AD68)</f>
        <v>1</v>
      </c>
      <c r="AE69" s="164">
        <f>SUM(AE57:AE68)</f>
        <v>0</v>
      </c>
      <c r="AF69" s="92">
        <f t="shared" si="6"/>
        <v>-90.610212811204292</v>
      </c>
      <c r="AG69" s="94">
        <f t="shared" si="7"/>
        <v>0.93959319145919717</v>
      </c>
      <c r="AH69" s="620"/>
    </row>
    <row r="70" spans="1:34" ht="19.149999999999999" customHeight="1">
      <c r="A70" s="632" t="s">
        <v>266</v>
      </c>
      <c r="B70" s="65" t="s">
        <v>387</v>
      </c>
      <c r="C70" s="152"/>
      <c r="D70" s="83" t="s">
        <v>157</v>
      </c>
      <c r="E70" s="84"/>
      <c r="F70" s="85">
        <v>62.13</v>
      </c>
      <c r="G70" s="86">
        <v>365</v>
      </c>
      <c r="H70" s="87">
        <f>F70*G70</f>
        <v>22677.45</v>
      </c>
      <c r="I70" s="65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4" si="43">G70/W70*60</f>
        <v>1094.9999999999995</v>
      </c>
      <c r="O70" s="90">
        <f t="shared" ref="O70:O74" si="44">N70/M70</f>
        <v>84.230769230769198</v>
      </c>
      <c r="P70" s="92">
        <f t="shared" ref="P70:P74" si="45">M70-J70</f>
        <v>-1</v>
      </c>
      <c r="Q70" s="93">
        <f t="shared" ref="Q70" si="46">O70-L70</f>
        <v>-22.912087912087941</v>
      </c>
      <c r="R70" s="94">
        <f t="shared" si="42"/>
        <v>0.78615384615384587</v>
      </c>
      <c r="S70" s="620">
        <f>R82</f>
        <v>0.87376658407524566</v>
      </c>
      <c r="T70" s="96">
        <v>0.29166666666666669</v>
      </c>
      <c r="U70" s="96">
        <v>0.30555555555555558</v>
      </c>
      <c r="V70" s="65">
        <v>5</v>
      </c>
      <c r="W70" s="88">
        <f>(U70-T70)*24*60</f>
        <v>20.000000000000007</v>
      </c>
      <c r="X70" s="65"/>
      <c r="Y70" s="65"/>
      <c r="Z70" s="100"/>
      <c r="AA70" s="100"/>
      <c r="AB70" s="601"/>
      <c r="AC70" s="601"/>
      <c r="AD70" s="101"/>
      <c r="AE70" s="101"/>
      <c r="AF70" s="92">
        <f t="shared" si="6"/>
        <v>-405.00000000000045</v>
      </c>
      <c r="AG70" s="94">
        <f t="shared" si="7"/>
        <v>0.72999999999999965</v>
      </c>
      <c r="AH70" s="620">
        <f>AG82</f>
        <v>0.86674863058290041</v>
      </c>
    </row>
    <row r="71" spans="1:34" ht="19.149999999999999" customHeight="1">
      <c r="A71" s="632"/>
      <c r="B71" s="65" t="s">
        <v>386</v>
      </c>
      <c r="C71" s="82"/>
      <c r="D71" s="246" t="s">
        <v>158</v>
      </c>
      <c r="E71" s="84"/>
      <c r="F71" s="85">
        <v>47.65</v>
      </c>
      <c r="G71" s="86">
        <v>1592</v>
      </c>
      <c r="H71" s="87">
        <f>F71*G71</f>
        <v>75858.8</v>
      </c>
      <c r="I71" s="65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1240.5194805194808</v>
      </c>
      <c r="O71" s="90">
        <f t="shared" si="44"/>
        <v>68.917748917748938</v>
      </c>
      <c r="P71" s="92">
        <f t="shared" si="45"/>
        <v>0</v>
      </c>
      <c r="Q71" s="93">
        <f>O71-L71</f>
        <v>-11.082251082251062</v>
      </c>
      <c r="R71" s="94">
        <f>O71/L71</f>
        <v>0.86147186147186172</v>
      </c>
      <c r="S71" s="620"/>
      <c r="T71" s="96">
        <v>0.30972222222222223</v>
      </c>
      <c r="U71" s="96">
        <v>0.36319444444444443</v>
      </c>
      <c r="V71" s="65">
        <v>6</v>
      </c>
      <c r="W71" s="88">
        <f t="shared" ref="W71:W81" si="47">(U71-T71)*24*60</f>
        <v>76.999999999999972</v>
      </c>
      <c r="X71" s="99"/>
      <c r="Y71" s="99"/>
      <c r="Z71" s="100"/>
      <c r="AA71" s="100"/>
      <c r="AB71" s="601"/>
      <c r="AC71" s="601"/>
      <c r="AD71" s="101"/>
      <c r="AE71" s="101"/>
      <c r="AF71" s="92">
        <f>N71-K71</f>
        <v>-199.48051948051921</v>
      </c>
      <c r="AG71" s="94">
        <f>N71/K71</f>
        <v>0.86147186147186161</v>
      </c>
      <c r="AH71" s="620"/>
    </row>
    <row r="72" spans="1:34" ht="19.149999999999999" customHeight="1">
      <c r="A72" s="632"/>
      <c r="B72" s="65" t="s">
        <v>386</v>
      </c>
      <c r="C72" s="115"/>
      <c r="D72" s="246" t="s">
        <v>160</v>
      </c>
      <c r="E72" s="84"/>
      <c r="F72" s="85">
        <v>53.76</v>
      </c>
      <c r="G72" s="104">
        <v>1660.8000000000002</v>
      </c>
      <c r="H72" s="87">
        <f t="shared" ref="H72:H80" si="48">F72*G72</f>
        <v>89284.608000000007</v>
      </c>
      <c r="I72" s="65"/>
      <c r="J72" s="138">
        <v>16</v>
      </c>
      <c r="K72" s="104">
        <v>1440</v>
      </c>
      <c r="L72" s="137">
        <v>90</v>
      </c>
      <c r="M72" s="91">
        <v>16</v>
      </c>
      <c r="N72" s="86">
        <f t="shared" si="43"/>
        <v>1277.5384615384623</v>
      </c>
      <c r="O72" s="90">
        <f t="shared" si="44"/>
        <v>79.846153846153896</v>
      </c>
      <c r="P72" s="92">
        <f t="shared" si="45"/>
        <v>0</v>
      </c>
      <c r="Q72" s="93">
        <f>O72-L72</f>
        <v>-10.153846153846104</v>
      </c>
      <c r="R72" s="94">
        <f>O72/L72</f>
        <v>0.88717948717948769</v>
      </c>
      <c r="S72" s="620"/>
      <c r="T72" s="96">
        <v>0.40486111111111106</v>
      </c>
      <c r="U72" s="96">
        <v>0.4590277777777777</v>
      </c>
      <c r="V72" s="65">
        <v>7</v>
      </c>
      <c r="W72" s="88">
        <f t="shared" si="47"/>
        <v>77.999999999999957</v>
      </c>
      <c r="X72" s="99"/>
      <c r="Y72" s="99"/>
      <c r="Z72" s="100"/>
      <c r="AA72" s="100"/>
      <c r="AB72" s="601"/>
      <c r="AC72" s="601"/>
      <c r="AD72" s="101"/>
      <c r="AE72" s="101">
        <v>1</v>
      </c>
      <c r="AF72" s="92">
        <f>N72-K72</f>
        <v>-162.46153846153766</v>
      </c>
      <c r="AG72" s="94">
        <f>N72/K72</f>
        <v>0.88717948717948769</v>
      </c>
      <c r="AH72" s="620"/>
    </row>
    <row r="73" spans="1:34" ht="19.149999999999999" customHeight="1">
      <c r="A73" s="632"/>
      <c r="B73" s="65" t="s">
        <v>386</v>
      </c>
      <c r="C73" s="248"/>
      <c r="D73" s="249" t="s">
        <v>161</v>
      </c>
      <c r="E73" s="250"/>
      <c r="F73" s="85">
        <v>47.51</v>
      </c>
      <c r="G73" s="104">
        <v>2193</v>
      </c>
      <c r="H73" s="87">
        <f t="shared" si="48"/>
        <v>104189.43</v>
      </c>
      <c r="I73" s="101"/>
      <c r="J73" s="251">
        <v>16</v>
      </c>
      <c r="K73" s="252">
        <v>1440</v>
      </c>
      <c r="L73" s="137">
        <v>90</v>
      </c>
      <c r="M73" s="189">
        <v>16</v>
      </c>
      <c r="N73" s="86">
        <f t="shared" si="43"/>
        <v>1265.1923076923074</v>
      </c>
      <c r="O73" s="90">
        <f t="shared" si="44"/>
        <v>79.074519230769212</v>
      </c>
      <c r="P73" s="92">
        <f t="shared" si="45"/>
        <v>0</v>
      </c>
      <c r="Q73" s="93">
        <f>O73-L73</f>
        <v>-10.925480769230788</v>
      </c>
      <c r="R73" s="94">
        <f>O73/L73</f>
        <v>0.87860576923076905</v>
      </c>
      <c r="S73" s="620"/>
      <c r="T73" s="96">
        <v>0.47499999999999992</v>
      </c>
      <c r="U73" s="96">
        <v>0.54722222222222217</v>
      </c>
      <c r="V73" s="65">
        <v>23</v>
      </c>
      <c r="W73" s="88">
        <f t="shared" si="47"/>
        <v>104.00000000000003</v>
      </c>
      <c r="X73" s="253">
        <v>0.46249999999999997</v>
      </c>
      <c r="Y73" s="253">
        <v>0.47222222222222227</v>
      </c>
      <c r="Z73" s="185"/>
      <c r="AA73" s="185"/>
      <c r="AB73" s="601"/>
      <c r="AC73" s="601"/>
      <c r="AD73" s="101"/>
      <c r="AE73" s="101"/>
      <c r="AF73" s="92">
        <f>N73-K73</f>
        <v>-174.80769230769261</v>
      </c>
      <c r="AG73" s="94">
        <f>N73/K73</f>
        <v>0.87860576923076905</v>
      </c>
      <c r="AH73" s="620"/>
    </row>
    <row r="74" spans="1:34" ht="19.149999999999999" customHeight="1">
      <c r="A74" s="632"/>
      <c r="B74" s="65" t="s">
        <v>386</v>
      </c>
      <c r="C74" s="248"/>
      <c r="D74" s="249" t="s">
        <v>159</v>
      </c>
      <c r="E74" s="250"/>
      <c r="F74" s="85">
        <v>53.36</v>
      </c>
      <c r="G74" s="247">
        <v>2241.2000000000003</v>
      </c>
      <c r="H74" s="87">
        <f t="shared" si="48"/>
        <v>119590.43200000002</v>
      </c>
      <c r="I74" s="65">
        <v>2</v>
      </c>
      <c r="J74" s="89">
        <v>18</v>
      </c>
      <c r="K74" s="247">
        <v>1300</v>
      </c>
      <c r="L74" s="90">
        <v>72.222222222222229</v>
      </c>
      <c r="M74" s="91">
        <v>18</v>
      </c>
      <c r="N74" s="86">
        <f t="shared" si="43"/>
        <v>1293.0000000000009</v>
      </c>
      <c r="O74" s="90">
        <f t="shared" si="44"/>
        <v>71.833333333333385</v>
      </c>
      <c r="P74" s="92">
        <f t="shared" si="45"/>
        <v>0</v>
      </c>
      <c r="Q74" s="93">
        <f>O74-L74</f>
        <v>-0.3888888888888431</v>
      </c>
      <c r="R74" s="94">
        <f>O74/L74</f>
        <v>0.99461538461538523</v>
      </c>
      <c r="S74" s="620"/>
      <c r="T74" s="96">
        <v>0.55208333333333326</v>
      </c>
      <c r="U74" s="96">
        <v>0.62430555555555545</v>
      </c>
      <c r="V74" s="65">
        <v>7</v>
      </c>
      <c r="W74" s="88">
        <f t="shared" si="47"/>
        <v>103.99999999999994</v>
      </c>
      <c r="X74" s="253"/>
      <c r="Y74" s="253"/>
      <c r="Z74" s="185"/>
      <c r="AA74" s="185"/>
      <c r="AB74" s="601"/>
      <c r="AC74" s="601"/>
      <c r="AD74" s="101"/>
      <c r="AE74" s="101"/>
      <c r="AF74" s="92">
        <f>N74-K74</f>
        <v>-6.9999999999990905</v>
      </c>
      <c r="AG74" s="94">
        <f>N74/K74</f>
        <v>0.99461538461538535</v>
      </c>
      <c r="AH74" s="620"/>
    </row>
    <row r="75" spans="1:34" ht="19.149999999999999" customHeight="1">
      <c r="A75" s="632"/>
      <c r="B75" s="65">
        <v>0</v>
      </c>
      <c r="C75" s="115"/>
      <c r="D75" s="246"/>
      <c r="E75" s="84"/>
      <c r="F75" s="85" t="s">
        <v>391</v>
      </c>
      <c r="G75" s="104"/>
      <c r="H75" s="87">
        <f t="shared" si="48"/>
        <v>0</v>
      </c>
      <c r="I75" s="65"/>
      <c r="J75" s="138"/>
      <c r="K75" s="104"/>
      <c r="L75" s="137"/>
      <c r="M75" s="91"/>
      <c r="N75" s="86"/>
      <c r="O75" s="90"/>
      <c r="P75" s="92"/>
      <c r="Q75" s="93"/>
      <c r="R75" s="94"/>
      <c r="S75" s="620"/>
      <c r="T75" s="96"/>
      <c r="U75" s="96"/>
      <c r="V75" s="65"/>
      <c r="W75" s="88">
        <f t="shared" si="47"/>
        <v>0</v>
      </c>
      <c r="X75" s="253"/>
      <c r="Y75" s="253"/>
      <c r="Z75" s="185"/>
      <c r="AA75" s="185"/>
      <c r="AB75" s="601"/>
      <c r="AC75" s="601"/>
      <c r="AD75" s="101"/>
      <c r="AE75" s="101"/>
      <c r="AF75" s="92">
        <f>N75-K75</f>
        <v>0</v>
      </c>
      <c r="AG75" s="94" t="e">
        <f>N75/K75</f>
        <v>#DIV/0!</v>
      </c>
      <c r="AH75" s="620"/>
    </row>
    <row r="76" spans="1:34" ht="19.149999999999999" customHeight="1">
      <c r="A76" s="632"/>
      <c r="B76" s="65">
        <v>0</v>
      </c>
      <c r="C76" s="248"/>
      <c r="D76" s="249"/>
      <c r="E76" s="250"/>
      <c r="F76" s="85" t="s">
        <v>391</v>
      </c>
      <c r="G76" s="247"/>
      <c r="H76" s="87">
        <f t="shared" si="48"/>
        <v>0</v>
      </c>
      <c r="I76" s="65"/>
      <c r="J76" s="251"/>
      <c r="K76" s="252"/>
      <c r="L76" s="137"/>
      <c r="M76" s="189" t="s">
        <v>49</v>
      </c>
      <c r="N76" s="86"/>
      <c r="O76" s="90"/>
      <c r="P76" s="92"/>
      <c r="Q76" s="93"/>
      <c r="R76" s="94"/>
      <c r="S76" s="620"/>
      <c r="T76" s="96"/>
      <c r="U76" s="96"/>
      <c r="V76" s="65"/>
      <c r="W76" s="88"/>
      <c r="X76" s="253"/>
      <c r="Y76" s="253"/>
      <c r="Z76" s="185"/>
      <c r="AA76" s="185"/>
      <c r="AB76" s="601"/>
      <c r="AC76" s="601"/>
      <c r="AD76" s="101"/>
      <c r="AE76" s="101"/>
      <c r="AF76" s="92">
        <f t="shared" ref="AF76:AF80" si="49">N76-K76</f>
        <v>0</v>
      </c>
      <c r="AG76" s="94" t="e">
        <f t="shared" ref="AG76:AG80" si="50">N76/K76</f>
        <v>#DIV/0!</v>
      </c>
      <c r="AH76" s="620"/>
    </row>
    <row r="77" spans="1:34" ht="19.149999999999999" customHeight="1">
      <c r="A77" s="632"/>
      <c r="B77" s="65">
        <v>0</v>
      </c>
      <c r="C77" s="147"/>
      <c r="D77" s="249"/>
      <c r="E77" s="84"/>
      <c r="F77" s="85" t="s">
        <v>391</v>
      </c>
      <c r="G77" s="247"/>
      <c r="H77" s="87">
        <f t="shared" si="48"/>
        <v>0</v>
      </c>
      <c r="I77" s="101"/>
      <c r="J77" s="89"/>
      <c r="K77" s="247"/>
      <c r="L77" s="90"/>
      <c r="M77" s="189"/>
      <c r="N77" s="86"/>
      <c r="O77" s="90"/>
      <c r="P77" s="92"/>
      <c r="Q77" s="93"/>
      <c r="R77" s="94"/>
      <c r="S77" s="620"/>
      <c r="T77" s="96"/>
      <c r="U77" s="96"/>
      <c r="V77" s="65"/>
      <c r="W77" s="88"/>
      <c r="X77" s="253"/>
      <c r="Y77" s="253"/>
      <c r="Z77" s="185"/>
      <c r="AA77" s="185"/>
      <c r="AB77" s="601"/>
      <c r="AC77" s="601"/>
      <c r="AD77" s="101"/>
      <c r="AE77" s="101"/>
      <c r="AF77" s="92">
        <f t="shared" si="49"/>
        <v>0</v>
      </c>
      <c r="AG77" s="94" t="e">
        <f t="shared" si="50"/>
        <v>#DIV/0!</v>
      </c>
      <c r="AH77" s="620"/>
    </row>
    <row r="78" spans="1:34" ht="19.149999999999999" customHeight="1">
      <c r="A78" s="632"/>
      <c r="B78" s="65">
        <v>0</v>
      </c>
      <c r="C78" s="147"/>
      <c r="D78" s="83"/>
      <c r="E78" s="84"/>
      <c r="F78" s="85" t="s">
        <v>391</v>
      </c>
      <c r="G78" s="104"/>
      <c r="H78" s="87">
        <f t="shared" si="48"/>
        <v>0</v>
      </c>
      <c r="I78" s="101"/>
      <c r="J78" s="138"/>
      <c r="K78" s="104"/>
      <c r="L78" s="137"/>
      <c r="M78" s="189"/>
      <c r="N78" s="86"/>
      <c r="O78" s="90"/>
      <c r="P78" s="92"/>
      <c r="Q78" s="93"/>
      <c r="R78" s="94"/>
      <c r="S78" s="620"/>
      <c r="T78" s="96"/>
      <c r="U78" s="96"/>
      <c r="V78" s="65"/>
      <c r="W78" s="88"/>
      <c r="X78" s="253"/>
      <c r="Y78" s="253"/>
      <c r="Z78" s="185"/>
      <c r="AA78" s="185"/>
      <c r="AB78" s="601"/>
      <c r="AC78" s="601"/>
      <c r="AD78" s="101"/>
      <c r="AE78" s="101"/>
      <c r="AF78" s="92">
        <f t="shared" si="49"/>
        <v>0</v>
      </c>
      <c r="AG78" s="94" t="e">
        <f t="shared" si="50"/>
        <v>#DIV/0!</v>
      </c>
      <c r="AH78" s="620"/>
    </row>
    <row r="79" spans="1:34" ht="19.149999999999999" customHeight="1">
      <c r="A79" s="632"/>
      <c r="B79" s="65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101"/>
      <c r="J79" s="138"/>
      <c r="K79" s="104"/>
      <c r="L79" s="137"/>
      <c r="M79" s="189"/>
      <c r="N79" s="104"/>
      <c r="O79" s="254"/>
      <c r="P79" s="165"/>
      <c r="Q79" s="255"/>
      <c r="R79" s="166"/>
      <c r="S79" s="620"/>
      <c r="T79" s="96"/>
      <c r="U79" s="96"/>
      <c r="V79" s="65"/>
      <c r="W79" s="88">
        <f t="shared" si="47"/>
        <v>0</v>
      </c>
      <c r="X79" s="253"/>
      <c r="Y79" s="253"/>
      <c r="Z79" s="185"/>
      <c r="AA79" s="185"/>
      <c r="AB79" s="601"/>
      <c r="AC79" s="601"/>
      <c r="AD79" s="101"/>
      <c r="AE79" s="101"/>
      <c r="AF79" s="92">
        <f t="shared" si="49"/>
        <v>0</v>
      </c>
      <c r="AG79" s="94" t="e">
        <f t="shared" si="50"/>
        <v>#DIV/0!</v>
      </c>
      <c r="AH79" s="620"/>
    </row>
    <row r="80" spans="1:34" ht="19.149999999999999" customHeight="1">
      <c r="A80" s="632"/>
      <c r="B80" s="65">
        <v>0</v>
      </c>
      <c r="C80" s="147"/>
      <c r="D80" s="83"/>
      <c r="E80" s="84"/>
      <c r="F80" s="85"/>
      <c r="G80" s="104"/>
      <c r="H80" s="87">
        <f t="shared" si="48"/>
        <v>0</v>
      </c>
      <c r="I80" s="101"/>
      <c r="J80" s="138"/>
      <c r="K80" s="104"/>
      <c r="L80" s="137"/>
      <c r="M80" s="189"/>
      <c r="N80" s="104"/>
      <c r="O80" s="256"/>
      <c r="P80" s="100"/>
      <c r="Q80" s="139"/>
      <c r="R80" s="257"/>
      <c r="S80" s="620"/>
      <c r="T80" s="96"/>
      <c r="U80" s="96"/>
      <c r="V80" s="65"/>
      <c r="W80" s="88">
        <f t="shared" si="47"/>
        <v>0</v>
      </c>
      <c r="X80" s="253"/>
      <c r="Y80" s="253"/>
      <c r="Z80" s="185"/>
      <c r="AA80" s="185"/>
      <c r="AB80" s="601"/>
      <c r="AC80" s="601"/>
      <c r="AD80" s="101"/>
      <c r="AE80" s="101"/>
      <c r="AF80" s="92">
        <f t="shared" si="49"/>
        <v>0</v>
      </c>
      <c r="AG80" s="94" t="e">
        <f t="shared" si="50"/>
        <v>#DIV/0!</v>
      </c>
      <c r="AH80" s="620"/>
    </row>
    <row r="81" spans="1:34" ht="19.149999999999999" customHeight="1">
      <c r="A81" s="632"/>
      <c r="B81" s="65">
        <v>0</v>
      </c>
      <c r="C81" s="147"/>
      <c r="D81" s="83"/>
      <c r="E81" s="84"/>
      <c r="F81" s="199"/>
      <c r="G81" s="104"/>
      <c r="H81" s="135"/>
      <c r="I81" s="101"/>
      <c r="J81" s="138"/>
      <c r="K81" s="104"/>
      <c r="L81" s="137"/>
      <c r="M81" s="189"/>
      <c r="N81" s="104"/>
      <c r="O81" s="256"/>
      <c r="P81" s="100"/>
      <c r="Q81" s="139"/>
      <c r="R81" s="257"/>
      <c r="S81" s="620"/>
      <c r="T81" s="96"/>
      <c r="U81" s="96"/>
      <c r="V81" s="65"/>
      <c r="W81" s="88">
        <f t="shared" si="47"/>
        <v>0</v>
      </c>
      <c r="X81" s="253"/>
      <c r="Y81" s="253"/>
      <c r="Z81" s="185"/>
      <c r="AA81" s="185"/>
      <c r="AB81" s="601"/>
      <c r="AC81" s="601"/>
      <c r="AD81" s="101"/>
      <c r="AE81" s="101"/>
      <c r="AF81" s="92"/>
      <c r="AG81" s="186"/>
      <c r="AH81" s="620"/>
    </row>
    <row r="82" spans="1:34" ht="19.149999999999999" customHeight="1">
      <c r="A82" s="633"/>
      <c r="B82" s="240">
        <v>0</v>
      </c>
      <c r="C82" s="156" t="s">
        <v>267</v>
      </c>
      <c r="D82" s="602" t="s">
        <v>256</v>
      </c>
      <c r="E82" s="602"/>
      <c r="F82" s="258"/>
      <c r="G82" s="158"/>
      <c r="H82" s="159"/>
      <c r="I82" s="160"/>
      <c r="J82" s="158">
        <v>16.399999999999999</v>
      </c>
      <c r="K82" s="158">
        <v>1424</v>
      </c>
      <c r="L82" s="161">
        <v>87.873015873015873</v>
      </c>
      <c r="M82" s="158">
        <f t="shared" ref="M82:O82" si="51">AVERAGE(M70:M81)</f>
        <v>16.2</v>
      </c>
      <c r="N82" s="158">
        <f t="shared" si="51"/>
        <v>1234.2500499500502</v>
      </c>
      <c r="O82" s="259">
        <f t="shared" si="51"/>
        <v>76.780504911754917</v>
      </c>
      <c r="P82" s="175">
        <f>M82-J82</f>
        <v>-0.19999999999999929</v>
      </c>
      <c r="Q82" s="176">
        <f>N82-K82</f>
        <v>-189.7499500499498</v>
      </c>
      <c r="R82" s="245">
        <f>O82/L82</f>
        <v>0.87376658407524566</v>
      </c>
      <c r="S82" s="620"/>
      <c r="T82" s="96"/>
      <c r="U82" s="96"/>
      <c r="V82" s="65"/>
      <c r="W82" s="86"/>
      <c r="X82" s="90"/>
      <c r="Y82" s="90"/>
      <c r="Z82" s="163">
        <f>SUM(Z70:Z81)</f>
        <v>0</v>
      </c>
      <c r="AA82" s="163">
        <f>SUM(AA70:AA81)</f>
        <v>0</v>
      </c>
      <c r="AB82" s="601"/>
      <c r="AC82" s="601"/>
      <c r="AD82" s="164">
        <f>SUM(AD70:AD81)</f>
        <v>0</v>
      </c>
      <c r="AE82" s="164">
        <f>SUM(AE70:AE81)</f>
        <v>1</v>
      </c>
      <c r="AF82" s="92">
        <f>N82-K82</f>
        <v>-189.7499500499498</v>
      </c>
      <c r="AG82" s="94">
        <f>N82/K82</f>
        <v>0.86674863058290041</v>
      </c>
      <c r="AH82" s="620"/>
    </row>
    <row r="83" spans="1:34" ht="19.149999999999999" customHeight="1">
      <c r="A83" s="630" t="s">
        <v>268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3361.7999999999997</v>
      </c>
      <c r="H83" s="135">
        <f t="shared" ref="H83:H94" si="52">F83*G83</f>
        <v>179385.64799999999</v>
      </c>
      <c r="I83" s="101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7" si="53">G83/W83*60</f>
        <v>1276.632911392405</v>
      </c>
      <c r="O83" s="256">
        <f t="shared" ref="O83:O87" si="54">N83/M83</f>
        <v>70.924050632911388</v>
      </c>
      <c r="P83" s="100">
        <f t="shared" ref="P83:P87" si="55">M83-J83</f>
        <v>0</v>
      </c>
      <c r="Q83" s="139">
        <f t="shared" ref="Q83:Q87" si="56">O83-L83</f>
        <v>-1.2981715893108401</v>
      </c>
      <c r="R83" s="261">
        <f t="shared" ref="R83:R87" si="57">O83/L83</f>
        <v>0.98202531645569602</v>
      </c>
      <c r="S83" s="620">
        <f>R95</f>
        <v>0.87991745038163549</v>
      </c>
      <c r="T83" s="96">
        <v>0.33333333333333331</v>
      </c>
      <c r="U83" s="96">
        <v>0.44305555555555554</v>
      </c>
      <c r="V83" s="65">
        <v>5</v>
      </c>
      <c r="W83" s="88">
        <f t="shared" ref="W83:W93" si="58">(U83-T83)*24*60</f>
        <v>158</v>
      </c>
      <c r="X83" s="99"/>
      <c r="Y83" s="99"/>
      <c r="Z83" s="100"/>
      <c r="AA83" s="100"/>
      <c r="AB83" s="601"/>
      <c r="AC83" s="601"/>
      <c r="AD83" s="101"/>
      <c r="AE83" s="101"/>
      <c r="AF83" s="92">
        <f t="shared" ref="AF83:AF173" si="59">N83-K83</f>
        <v>-23.367088607594951</v>
      </c>
      <c r="AG83" s="94">
        <f t="shared" ref="AG83:AG173" si="60">N83/K83</f>
        <v>0.98202531645569624</v>
      </c>
      <c r="AH83" s="620">
        <f>AG95</f>
        <v>0.84108383416636823</v>
      </c>
    </row>
    <row r="84" spans="1:34" ht="19.149999999999999" customHeight="1">
      <c r="A84" s="631"/>
      <c r="B84" s="167" t="s">
        <v>387</v>
      </c>
      <c r="C84" s="147"/>
      <c r="D84" s="262" t="s">
        <v>164</v>
      </c>
      <c r="E84" s="84"/>
      <c r="F84" s="199">
        <v>56.43</v>
      </c>
      <c r="G84" s="86">
        <v>720</v>
      </c>
      <c r="H84" s="135">
        <f t="shared" si="52"/>
        <v>40629.599999999999</v>
      </c>
      <c r="I84" s="65"/>
      <c r="J84" s="138">
        <v>19</v>
      </c>
      <c r="K84" s="104">
        <v>1385</v>
      </c>
      <c r="L84" s="137">
        <v>72.89473684210526</v>
      </c>
      <c r="M84" s="189">
        <v>18</v>
      </c>
      <c r="N84" s="104">
        <f t="shared" si="53"/>
        <v>1053.6585365853655</v>
      </c>
      <c r="O84" s="256">
        <f t="shared" si="54"/>
        <v>58.536585365853639</v>
      </c>
      <c r="P84" s="100">
        <f t="shared" si="55"/>
        <v>-1</v>
      </c>
      <c r="Q84" s="139">
        <f t="shared" si="56"/>
        <v>-14.358151476251621</v>
      </c>
      <c r="R84" s="261">
        <f t="shared" si="57"/>
        <v>0.80302896891784781</v>
      </c>
      <c r="S84" s="620"/>
      <c r="T84" s="96">
        <v>0.48402777777777772</v>
      </c>
      <c r="U84" s="96">
        <v>0.51249999999999996</v>
      </c>
      <c r="V84" s="65">
        <v>6</v>
      </c>
      <c r="W84" s="88">
        <f t="shared" si="58"/>
        <v>41.000000000000014</v>
      </c>
      <c r="X84" s="99"/>
      <c r="Y84" s="99"/>
      <c r="Z84" s="100"/>
      <c r="AA84" s="100"/>
      <c r="AB84" s="601"/>
      <c r="AC84" s="601"/>
      <c r="AD84" s="101"/>
      <c r="AE84" s="101"/>
      <c r="AF84" s="92">
        <f t="shared" si="59"/>
        <v>-331.34146341463452</v>
      </c>
      <c r="AG84" s="94">
        <f t="shared" si="60"/>
        <v>0.76076428634322413</v>
      </c>
      <c r="AH84" s="620"/>
    </row>
    <row r="85" spans="1:34" ht="19.149999999999999" customHeight="1">
      <c r="A85" s="631"/>
      <c r="B85" s="167" t="s">
        <v>388</v>
      </c>
      <c r="C85" s="183"/>
      <c r="D85" s="262" t="s">
        <v>150</v>
      </c>
      <c r="E85" s="84"/>
      <c r="F85" s="199">
        <v>31.43</v>
      </c>
      <c r="G85" s="86">
        <v>924</v>
      </c>
      <c r="H85" s="135">
        <f t="shared" si="52"/>
        <v>29041.32</v>
      </c>
      <c r="I85" s="65"/>
      <c r="J85" s="138">
        <v>6</v>
      </c>
      <c r="K85" s="104">
        <v>1500</v>
      </c>
      <c r="L85" s="137">
        <v>250</v>
      </c>
      <c r="M85" s="189">
        <v>6</v>
      </c>
      <c r="N85" s="104">
        <f t="shared" si="53"/>
        <v>1385.9999999999995</v>
      </c>
      <c r="O85" s="256">
        <f t="shared" si="54"/>
        <v>230.99999999999991</v>
      </c>
      <c r="P85" s="100">
        <f t="shared" si="55"/>
        <v>0</v>
      </c>
      <c r="Q85" s="139">
        <f t="shared" si="56"/>
        <v>-19.000000000000085</v>
      </c>
      <c r="R85" s="261">
        <f t="shared" si="57"/>
        <v>0.92399999999999971</v>
      </c>
      <c r="S85" s="620"/>
      <c r="T85" s="96">
        <v>0.51736111111111105</v>
      </c>
      <c r="U85" s="96">
        <v>0.54513888888888884</v>
      </c>
      <c r="V85" s="65">
        <v>7</v>
      </c>
      <c r="W85" s="88">
        <f t="shared" si="58"/>
        <v>40.000000000000014</v>
      </c>
      <c r="X85" s="99"/>
      <c r="Y85" s="99"/>
      <c r="Z85" s="100"/>
      <c r="AA85" s="100"/>
      <c r="AB85" s="601"/>
      <c r="AC85" s="601"/>
      <c r="AD85" s="101">
        <v>1</v>
      </c>
      <c r="AE85" s="101"/>
      <c r="AF85" s="92">
        <f t="shared" si="59"/>
        <v>-114.00000000000045</v>
      </c>
      <c r="AG85" s="94">
        <f t="shared" si="60"/>
        <v>0.92399999999999971</v>
      </c>
      <c r="AH85" s="620"/>
    </row>
    <row r="86" spans="1:34" ht="19.149999999999999" customHeight="1">
      <c r="A86" s="631"/>
      <c r="B86" s="167" t="s">
        <v>390</v>
      </c>
      <c r="C86" s="152"/>
      <c r="D86" s="262" t="s">
        <v>165</v>
      </c>
      <c r="E86" s="84"/>
      <c r="F86" s="199">
        <v>58.17</v>
      </c>
      <c r="G86" s="86">
        <v>1049</v>
      </c>
      <c r="H86" s="135">
        <f t="shared" si="52"/>
        <v>61020.33</v>
      </c>
      <c r="I86" s="65"/>
      <c r="J86" s="138">
        <v>19</v>
      </c>
      <c r="K86" s="104">
        <v>1385</v>
      </c>
      <c r="L86" s="137">
        <v>72.89473684210526</v>
      </c>
      <c r="M86" s="189">
        <v>19</v>
      </c>
      <c r="N86" s="104">
        <f t="shared" si="53"/>
        <v>1066.7796610169501</v>
      </c>
      <c r="O86" s="256">
        <f t="shared" si="54"/>
        <v>56.146297948260532</v>
      </c>
      <c r="P86" s="100">
        <f t="shared" si="55"/>
        <v>0</v>
      </c>
      <c r="Q86" s="139">
        <f t="shared" si="56"/>
        <v>-16.748438893844728</v>
      </c>
      <c r="R86" s="261">
        <f t="shared" si="57"/>
        <v>0.7702380223949099</v>
      </c>
      <c r="S86" s="620"/>
      <c r="T86" s="96">
        <v>0.70833333333333337</v>
      </c>
      <c r="U86" s="96">
        <v>0.74930555555555556</v>
      </c>
      <c r="V86" s="65">
        <v>5</v>
      </c>
      <c r="W86" s="88">
        <f t="shared" si="58"/>
        <v>58.99999999999995</v>
      </c>
      <c r="X86" s="99"/>
      <c r="Y86" s="99"/>
      <c r="Z86" s="100"/>
      <c r="AA86" s="100"/>
      <c r="AB86" s="601"/>
      <c r="AC86" s="601"/>
      <c r="AD86" s="101"/>
      <c r="AE86" s="101"/>
      <c r="AF86" s="92">
        <f t="shared" si="59"/>
        <v>-318.22033898304994</v>
      </c>
      <c r="AG86" s="94">
        <f t="shared" si="60"/>
        <v>0.77023802239490979</v>
      </c>
      <c r="AH86" s="620"/>
    </row>
    <row r="87" spans="1:34" ht="19.149999999999999" customHeight="1">
      <c r="A87" s="631"/>
      <c r="B87" s="167" t="s">
        <v>390</v>
      </c>
      <c r="C87" s="152"/>
      <c r="D87" s="262" t="s">
        <v>166</v>
      </c>
      <c r="E87" s="84"/>
      <c r="F87" s="199">
        <v>53.68</v>
      </c>
      <c r="G87" s="86">
        <v>1151</v>
      </c>
      <c r="H87" s="135">
        <f t="shared" si="52"/>
        <v>61785.68</v>
      </c>
      <c r="I87" s="65"/>
      <c r="J87" s="138">
        <v>20</v>
      </c>
      <c r="K87" s="104">
        <v>1380</v>
      </c>
      <c r="L87" s="137">
        <v>69</v>
      </c>
      <c r="M87" s="189">
        <v>19</v>
      </c>
      <c r="N87" s="104">
        <f t="shared" si="53"/>
        <v>1062.4615384615395</v>
      </c>
      <c r="O87" s="256">
        <f t="shared" si="54"/>
        <v>55.919028340081027</v>
      </c>
      <c r="P87" s="100">
        <f t="shared" si="55"/>
        <v>-1</v>
      </c>
      <c r="Q87" s="139">
        <f t="shared" si="56"/>
        <v>-13.080971659918973</v>
      </c>
      <c r="R87" s="261">
        <f t="shared" si="57"/>
        <v>0.81042070058088445</v>
      </c>
      <c r="S87" s="620"/>
      <c r="T87" s="96">
        <v>0.76527777777777772</v>
      </c>
      <c r="U87" s="96">
        <v>0.81041666666666656</v>
      </c>
      <c r="V87" s="65">
        <v>23</v>
      </c>
      <c r="W87" s="88">
        <f t="shared" si="58"/>
        <v>64.999999999999929</v>
      </c>
      <c r="X87" s="99">
        <v>0.75277777777777777</v>
      </c>
      <c r="Y87" s="99">
        <v>0.76250000000000007</v>
      </c>
      <c r="Z87" s="100"/>
      <c r="AA87" s="100"/>
      <c r="AB87" s="601"/>
      <c r="AC87" s="601"/>
      <c r="AD87" s="101"/>
      <c r="AE87" s="101"/>
      <c r="AF87" s="92">
        <f t="shared" si="59"/>
        <v>-317.53846153846052</v>
      </c>
      <c r="AG87" s="94">
        <f t="shared" si="60"/>
        <v>0.7698996655518402</v>
      </c>
      <c r="AH87" s="620"/>
    </row>
    <row r="88" spans="1:34" ht="19.149999999999999" customHeight="1">
      <c r="A88" s="631"/>
      <c r="B88" s="167">
        <v>0</v>
      </c>
      <c r="C88" s="147"/>
      <c r="D88" s="262"/>
      <c r="E88" s="84"/>
      <c r="F88" s="199" t="s">
        <v>391</v>
      </c>
      <c r="G88" s="104"/>
      <c r="H88" s="135">
        <f t="shared" si="52"/>
        <v>0</v>
      </c>
      <c r="I88" s="65"/>
      <c r="J88" s="138"/>
      <c r="K88" s="104"/>
      <c r="L88" s="137"/>
      <c r="M88" s="189"/>
      <c r="N88" s="104"/>
      <c r="O88" s="256"/>
      <c r="P88" s="100"/>
      <c r="Q88" s="139"/>
      <c r="R88" s="261"/>
      <c r="S88" s="620"/>
      <c r="T88" s="96"/>
      <c r="U88" s="96"/>
      <c r="V88" s="65"/>
      <c r="W88" s="88"/>
      <c r="X88" s="99"/>
      <c r="Y88" s="99"/>
      <c r="Z88" s="100"/>
      <c r="AA88" s="100"/>
      <c r="AB88" s="601"/>
      <c r="AC88" s="601"/>
      <c r="AD88" s="101"/>
      <c r="AE88" s="101"/>
      <c r="AF88" s="92">
        <f t="shared" si="59"/>
        <v>0</v>
      </c>
      <c r="AG88" s="94" t="e">
        <f t="shared" si="60"/>
        <v>#DIV/0!</v>
      </c>
      <c r="AH88" s="620"/>
    </row>
    <row r="89" spans="1:34" ht="19.149999999999999" customHeight="1">
      <c r="A89" s="631"/>
      <c r="B89" s="167">
        <v>0</v>
      </c>
      <c r="C89" s="147"/>
      <c r="D89" s="83"/>
      <c r="E89" s="84"/>
      <c r="F89" s="199" t="s">
        <v>391</v>
      </c>
      <c r="G89" s="173"/>
      <c r="H89" s="135">
        <f t="shared" si="52"/>
        <v>0</v>
      </c>
      <c r="I89" s="65"/>
      <c r="J89" s="138"/>
      <c r="K89" s="104"/>
      <c r="L89" s="137"/>
      <c r="M89" s="189"/>
      <c r="N89" s="104"/>
      <c r="O89" s="256"/>
      <c r="P89" s="100"/>
      <c r="Q89" s="139"/>
      <c r="R89" s="261"/>
      <c r="S89" s="620"/>
      <c r="T89" s="96"/>
      <c r="U89" s="96"/>
      <c r="V89" s="65"/>
      <c r="W89" s="88"/>
      <c r="X89" s="99"/>
      <c r="Y89" s="99"/>
      <c r="Z89" s="100"/>
      <c r="AA89" s="100"/>
      <c r="AB89" s="601"/>
      <c r="AC89" s="601"/>
      <c r="AD89" s="101"/>
      <c r="AE89" s="101"/>
      <c r="AF89" s="92">
        <f t="shared" si="59"/>
        <v>0</v>
      </c>
      <c r="AG89" s="94" t="e">
        <f t="shared" si="60"/>
        <v>#DIV/0!</v>
      </c>
      <c r="AH89" s="620"/>
    </row>
    <row r="90" spans="1:34" ht="19.149999999999999" customHeight="1">
      <c r="A90" s="631"/>
      <c r="B90" s="167">
        <v>0</v>
      </c>
      <c r="C90" s="147"/>
      <c r="D90" s="83"/>
      <c r="E90" s="84"/>
      <c r="F90" s="199" t="s">
        <v>391</v>
      </c>
      <c r="G90" s="188"/>
      <c r="H90" s="135">
        <f t="shared" si="52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0"/>
      <c r="T90" s="96"/>
      <c r="U90" s="96"/>
      <c r="V90" s="65"/>
      <c r="W90" s="88"/>
      <c r="X90" s="264"/>
      <c r="Y90" s="264"/>
      <c r="Z90" s="100"/>
      <c r="AA90" s="100"/>
      <c r="AB90" s="601"/>
      <c r="AC90" s="601"/>
      <c r="AD90" s="101"/>
      <c r="AE90" s="101"/>
      <c r="AF90" s="92">
        <f t="shared" si="59"/>
        <v>0</v>
      </c>
      <c r="AG90" s="94" t="e">
        <f t="shared" si="60"/>
        <v>#DIV/0!</v>
      </c>
      <c r="AH90" s="620"/>
    </row>
    <row r="91" spans="1:34" ht="19.149999999999999" customHeight="1">
      <c r="A91" s="631"/>
      <c r="B91" s="167">
        <v>0</v>
      </c>
      <c r="C91" s="147"/>
      <c r="D91" s="83"/>
      <c r="E91" s="84"/>
      <c r="F91" s="199" t="s">
        <v>391</v>
      </c>
      <c r="G91" s="86"/>
      <c r="H91" s="135">
        <f t="shared" si="52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3"/>
      <c r="T91" s="96"/>
      <c r="U91" s="96"/>
      <c r="V91" s="65"/>
      <c r="W91" s="88"/>
      <c r="X91" s="174"/>
      <c r="Y91" s="174"/>
      <c r="Z91" s="100"/>
      <c r="AA91" s="100"/>
      <c r="AB91" s="601"/>
      <c r="AC91" s="601"/>
      <c r="AD91" s="101"/>
      <c r="AE91" s="101"/>
      <c r="AF91" s="92">
        <f t="shared" si="59"/>
        <v>0</v>
      </c>
      <c r="AG91" s="94" t="e">
        <f t="shared" si="60"/>
        <v>#DIV/0!</v>
      </c>
      <c r="AH91" s="623"/>
    </row>
    <row r="92" spans="1:34" ht="19.149999999999999" customHeight="1">
      <c r="A92" s="631"/>
      <c r="B92" s="167">
        <v>0</v>
      </c>
      <c r="C92" s="147"/>
      <c r="D92" s="83"/>
      <c r="E92" s="84"/>
      <c r="F92" s="199" t="s">
        <v>391</v>
      </c>
      <c r="G92" s="86"/>
      <c r="H92" s="135">
        <f t="shared" si="52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1"/>
      <c r="S92" s="623"/>
      <c r="T92" s="96"/>
      <c r="U92" s="96"/>
      <c r="V92" s="65"/>
      <c r="W92" s="88"/>
      <c r="X92" s="253"/>
      <c r="Y92" s="253"/>
      <c r="Z92" s="185"/>
      <c r="AA92" s="185"/>
      <c r="AB92" s="601"/>
      <c r="AC92" s="601"/>
      <c r="AD92" s="101"/>
      <c r="AE92" s="101"/>
      <c r="AF92" s="92">
        <f t="shared" si="59"/>
        <v>0</v>
      </c>
      <c r="AG92" s="94" t="e">
        <f t="shared" si="60"/>
        <v>#DIV/0!</v>
      </c>
      <c r="AH92" s="623"/>
    </row>
    <row r="93" spans="1:34" ht="19.149999999999999" customHeight="1">
      <c r="A93" s="631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2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0"/>
      <c r="S93" s="629"/>
      <c r="T93" s="111"/>
      <c r="U93" s="111"/>
      <c r="V93" s="109"/>
      <c r="W93" s="88">
        <f t="shared" si="58"/>
        <v>0</v>
      </c>
      <c r="X93" s="275"/>
      <c r="Y93" s="275"/>
      <c r="Z93" s="185"/>
      <c r="AA93" s="185"/>
      <c r="AB93" s="601"/>
      <c r="AC93" s="601"/>
      <c r="AD93" s="101"/>
      <c r="AE93" s="101"/>
      <c r="AF93" s="92">
        <f t="shared" si="59"/>
        <v>0</v>
      </c>
      <c r="AG93" s="94" t="e">
        <f t="shared" si="60"/>
        <v>#DIV/0!</v>
      </c>
      <c r="AH93" s="623"/>
    </row>
    <row r="94" spans="1:34" ht="19.149999999999999" customHeight="1">
      <c r="A94" s="631"/>
      <c r="B94" s="109">
        <v>0</v>
      </c>
      <c r="C94" s="272"/>
      <c r="D94" s="83"/>
      <c r="E94" s="84"/>
      <c r="F94" s="199" t="s">
        <v>391</v>
      </c>
      <c r="G94" s="86"/>
      <c r="H94" s="135">
        <f t="shared" si="52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0"/>
      <c r="S94" s="629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01"/>
      <c r="AC94" s="601"/>
      <c r="AD94" s="101"/>
      <c r="AE94" s="101"/>
      <c r="AF94" s="92">
        <f t="shared" si="59"/>
        <v>0</v>
      </c>
      <c r="AG94" s="94" t="e">
        <f t="shared" si="60"/>
        <v>#DIV/0!</v>
      </c>
      <c r="AH94" s="623"/>
    </row>
    <row r="95" spans="1:34" ht="19.149999999999999" customHeight="1">
      <c r="A95" s="631"/>
      <c r="B95" s="278">
        <v>0</v>
      </c>
      <c r="C95" s="156" t="s">
        <v>269</v>
      </c>
      <c r="D95" s="602" t="s">
        <v>256</v>
      </c>
      <c r="E95" s="602"/>
      <c r="F95" s="119"/>
      <c r="G95" s="120"/>
      <c r="H95" s="279"/>
      <c r="I95" s="160"/>
      <c r="J95" s="280">
        <v>16.399999999999999</v>
      </c>
      <c r="K95" s="280">
        <v>1390</v>
      </c>
      <c r="L95" s="281">
        <v>107.40233918128656</v>
      </c>
      <c r="M95" s="280">
        <f t="shared" ref="M95:O95" si="61">AVERAGE(M83:M94)</f>
        <v>16</v>
      </c>
      <c r="N95" s="280">
        <f t="shared" si="61"/>
        <v>1169.1065294912519</v>
      </c>
      <c r="O95" s="281">
        <f t="shared" si="61"/>
        <v>94.505192457421302</v>
      </c>
      <c r="P95" s="282">
        <f>M95-J95</f>
        <v>-0.39999999999999858</v>
      </c>
      <c r="Q95" s="283">
        <f t="shared" ref="Q95:Q102" si="62">O95-L95</f>
        <v>-12.897146723865262</v>
      </c>
      <c r="R95" s="284">
        <f>O95/L95</f>
        <v>0.87991745038163549</v>
      </c>
      <c r="S95" s="623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01"/>
      <c r="AC95" s="601"/>
      <c r="AD95" s="164">
        <f>SUM(AD83:AD94)</f>
        <v>1</v>
      </c>
      <c r="AE95" s="164">
        <f>SUM(AE83:AE94)</f>
        <v>0</v>
      </c>
      <c r="AF95" s="113">
        <f t="shared" si="59"/>
        <v>-220.89347050874812</v>
      </c>
      <c r="AG95" s="114">
        <f t="shared" si="60"/>
        <v>0.84108383416636823</v>
      </c>
      <c r="AH95" s="623"/>
    </row>
    <row r="96" spans="1:34" ht="19.149999999999999" customHeight="1">
      <c r="A96" s="628" t="s">
        <v>270</v>
      </c>
      <c r="B96" s="65" t="s">
        <v>388</v>
      </c>
      <c r="C96" s="152"/>
      <c r="D96" s="83" t="s">
        <v>168</v>
      </c>
      <c r="E96" s="84"/>
      <c r="F96" s="85">
        <v>36.92</v>
      </c>
      <c r="G96" s="86">
        <v>357</v>
      </c>
      <c r="H96" s="87">
        <f t="shared" ref="H96:H106" si="63">F96*G96</f>
        <v>13180.44</v>
      </c>
      <c r="I96" s="65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2" si="64">G96/W96*60</f>
        <v>1127.3684210526308</v>
      </c>
      <c r="O96" s="90">
        <f t="shared" ref="O96:O102" si="65">N96/M96</f>
        <v>225.47368421052616</v>
      </c>
      <c r="P96" s="92">
        <f t="shared" ref="P96:P102" si="66">M96-J96</f>
        <v>-1</v>
      </c>
      <c r="Q96" s="93">
        <f t="shared" si="62"/>
        <v>-24.526315789473841</v>
      </c>
      <c r="R96" s="94">
        <f t="shared" ref="R96:R102" si="67">O96/L96</f>
        <v>0.90189473684210464</v>
      </c>
      <c r="S96" s="620">
        <f>R108</f>
        <v>0.83828709734911189</v>
      </c>
      <c r="T96" s="142">
        <v>0.29166666666666669</v>
      </c>
      <c r="U96" s="142">
        <v>0.30486111111111114</v>
      </c>
      <c r="V96" s="101">
        <v>5</v>
      </c>
      <c r="W96" s="143">
        <f t="shared" ref="W96:W122" si="68">(U96-T96)*24*60</f>
        <v>19.000000000000014</v>
      </c>
      <c r="X96" s="151"/>
      <c r="Y96" s="151"/>
      <c r="Z96" s="100"/>
      <c r="AA96" s="100"/>
      <c r="AB96" s="601"/>
      <c r="AC96" s="601"/>
      <c r="AD96" s="101"/>
      <c r="AE96" s="101"/>
      <c r="AF96" s="100">
        <f t="shared" si="59"/>
        <v>-372.63157894736923</v>
      </c>
      <c r="AG96" s="140">
        <f t="shared" si="60"/>
        <v>0.75157894736842046</v>
      </c>
      <c r="AH96" s="605">
        <f>AG108</f>
        <v>0.94173258581850161</v>
      </c>
    </row>
    <row r="97" spans="1:34" s="294" customFormat="1" ht="19.149999999999999" customHeight="1">
      <c r="A97" s="628"/>
      <c r="B97" s="65" t="s">
        <v>389</v>
      </c>
      <c r="C97" s="285"/>
      <c r="D97" s="286" t="s">
        <v>169</v>
      </c>
      <c r="E97" s="103"/>
      <c r="F97" s="287">
        <v>24.73</v>
      </c>
      <c r="G97" s="288">
        <v>1637</v>
      </c>
      <c r="H97" s="289">
        <f t="shared" si="63"/>
        <v>40483.01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4"/>
        <v>2089.7872340425533</v>
      </c>
      <c r="O97" s="90">
        <f t="shared" si="65"/>
        <v>417.95744680851067</v>
      </c>
      <c r="P97" s="92">
        <f t="shared" si="66"/>
        <v>1</v>
      </c>
      <c r="Q97" s="93">
        <f t="shared" si="62"/>
        <v>-82.042553191489333</v>
      </c>
      <c r="R97" s="94">
        <f t="shared" si="67"/>
        <v>0.83591489361702132</v>
      </c>
      <c r="S97" s="620"/>
      <c r="T97" s="290">
        <v>0.30972222222222223</v>
      </c>
      <c r="U97" s="290">
        <v>0.34236111111111112</v>
      </c>
      <c r="V97" s="291">
        <v>7</v>
      </c>
      <c r="W97" s="143">
        <f t="shared" si="68"/>
        <v>46.999999999999993</v>
      </c>
      <c r="X97" s="99"/>
      <c r="Y97" s="99"/>
      <c r="Z97" s="100"/>
      <c r="AA97" s="100"/>
      <c r="AB97" s="601"/>
      <c r="AC97" s="601"/>
      <c r="AD97" s="291"/>
      <c r="AE97" s="291"/>
      <c r="AF97" s="292">
        <f t="shared" si="59"/>
        <v>89.787234042553337</v>
      </c>
      <c r="AG97" s="293">
        <f t="shared" si="60"/>
        <v>1.0448936170212766</v>
      </c>
      <c r="AH97" s="605"/>
    </row>
    <row r="98" spans="1:34" s="298" customFormat="1" ht="19.149999999999999" customHeight="1">
      <c r="A98" s="628"/>
      <c r="B98" s="65" t="s">
        <v>389</v>
      </c>
      <c r="C98" s="102"/>
      <c r="D98" s="83" t="s">
        <v>170</v>
      </c>
      <c r="E98" s="133"/>
      <c r="F98" s="287">
        <v>24.73</v>
      </c>
      <c r="G98" s="104">
        <v>1490</v>
      </c>
      <c r="H98" s="289">
        <f t="shared" si="63"/>
        <v>36847.699999999997</v>
      </c>
      <c r="I98" s="101"/>
      <c r="J98" s="89">
        <v>4</v>
      </c>
      <c r="K98" s="86">
        <v>2000</v>
      </c>
      <c r="L98" s="90">
        <v>500</v>
      </c>
      <c r="M98" s="138">
        <v>5</v>
      </c>
      <c r="N98" s="86">
        <f t="shared" si="64"/>
        <v>2128.571428571428</v>
      </c>
      <c r="O98" s="90">
        <f t="shared" si="65"/>
        <v>425.71428571428561</v>
      </c>
      <c r="P98" s="92">
        <f t="shared" si="66"/>
        <v>1</v>
      </c>
      <c r="Q98" s="93">
        <f t="shared" si="62"/>
        <v>-74.285714285714391</v>
      </c>
      <c r="R98" s="94">
        <f t="shared" si="67"/>
        <v>0.8514285714285712</v>
      </c>
      <c r="S98" s="620"/>
      <c r="T98" s="142">
        <v>0.35833333333333334</v>
      </c>
      <c r="U98" s="142">
        <v>0.38750000000000001</v>
      </c>
      <c r="V98" s="101">
        <v>23</v>
      </c>
      <c r="W98" s="143">
        <f t="shared" si="68"/>
        <v>42.000000000000014</v>
      </c>
      <c r="X98" s="295">
        <v>0.34583333333333338</v>
      </c>
      <c r="Y98" s="295">
        <v>0.35555555555555557</v>
      </c>
      <c r="Z98" s="296"/>
      <c r="AA98" s="296"/>
      <c r="AB98" s="601"/>
      <c r="AC98" s="601"/>
      <c r="AD98" s="101"/>
      <c r="AE98" s="101"/>
      <c r="AF98" s="297">
        <f t="shared" si="59"/>
        <v>128.57142857142799</v>
      </c>
      <c r="AG98" s="94">
        <f t="shared" si="60"/>
        <v>1.0642857142857141</v>
      </c>
      <c r="AH98" s="605"/>
    </row>
    <row r="99" spans="1:34" ht="19.149999999999999" customHeight="1">
      <c r="A99" s="628"/>
      <c r="B99" s="65" t="s">
        <v>389</v>
      </c>
      <c r="C99" s="131"/>
      <c r="D99" s="132" t="s">
        <v>171</v>
      </c>
      <c r="E99" s="133"/>
      <c r="F99" s="287">
        <v>22.83</v>
      </c>
      <c r="G99" s="104">
        <v>205</v>
      </c>
      <c r="H99" s="289">
        <f t="shared" si="63"/>
        <v>4680.1499999999996</v>
      </c>
      <c r="I99" s="101"/>
      <c r="J99" s="89">
        <v>6</v>
      </c>
      <c r="K99" s="86">
        <v>2000</v>
      </c>
      <c r="L99" s="90">
        <v>333.33333333333331</v>
      </c>
      <c r="M99" s="91">
        <v>7</v>
      </c>
      <c r="N99" s="86">
        <f t="shared" si="64"/>
        <v>1757.1428571428635</v>
      </c>
      <c r="O99" s="90">
        <f t="shared" si="65"/>
        <v>251.02040816326621</v>
      </c>
      <c r="P99" s="92">
        <f t="shared" si="66"/>
        <v>1</v>
      </c>
      <c r="Q99" s="93">
        <f t="shared" si="62"/>
        <v>-82.312925170067103</v>
      </c>
      <c r="R99" s="94">
        <f t="shared" si="67"/>
        <v>0.75306122448979873</v>
      </c>
      <c r="S99" s="620"/>
      <c r="T99" s="142">
        <v>0.3923611111111111</v>
      </c>
      <c r="U99" s="142">
        <v>0.3972222222222222</v>
      </c>
      <c r="V99" s="101">
        <v>7</v>
      </c>
      <c r="W99" s="143">
        <f t="shared" si="68"/>
        <v>6.9999999999999751</v>
      </c>
      <c r="X99" s="253"/>
      <c r="Y99" s="253"/>
      <c r="Z99" s="185"/>
      <c r="AA99" s="185"/>
      <c r="AB99" s="601"/>
      <c r="AC99" s="601"/>
      <c r="AD99" s="101"/>
      <c r="AE99" s="101"/>
      <c r="AF99" s="92">
        <f t="shared" si="59"/>
        <v>-242.85714285713652</v>
      </c>
      <c r="AG99" s="186">
        <f t="shared" si="60"/>
        <v>0.87857142857143178</v>
      </c>
      <c r="AH99" s="605"/>
    </row>
    <row r="100" spans="1:34" s="298" customFormat="1" ht="19.149999999999999" customHeight="1">
      <c r="A100" s="628"/>
      <c r="B100" s="65" t="s">
        <v>389</v>
      </c>
      <c r="C100" s="102"/>
      <c r="D100" s="83" t="s">
        <v>172</v>
      </c>
      <c r="E100" s="133"/>
      <c r="F100" s="287">
        <v>22.27</v>
      </c>
      <c r="G100" s="104">
        <v>706</v>
      </c>
      <c r="H100" s="289">
        <f t="shared" si="63"/>
        <v>15722.619999999999</v>
      </c>
      <c r="I100" s="101"/>
      <c r="J100" s="89">
        <v>4</v>
      </c>
      <c r="K100" s="86">
        <v>2000</v>
      </c>
      <c r="L100" s="90">
        <v>500</v>
      </c>
      <c r="M100" s="138">
        <v>5</v>
      </c>
      <c r="N100" s="86">
        <f t="shared" si="64"/>
        <v>2117.9999999999995</v>
      </c>
      <c r="O100" s="90">
        <f t="shared" si="65"/>
        <v>423.59999999999991</v>
      </c>
      <c r="P100" s="92">
        <f t="shared" si="66"/>
        <v>1</v>
      </c>
      <c r="Q100" s="93">
        <f t="shared" si="62"/>
        <v>-76.400000000000091</v>
      </c>
      <c r="R100" s="94">
        <f t="shared" si="67"/>
        <v>0.84719999999999984</v>
      </c>
      <c r="S100" s="620"/>
      <c r="T100" s="290">
        <v>0.40069444444444441</v>
      </c>
      <c r="U100" s="290">
        <v>0.4145833333333333</v>
      </c>
      <c r="V100" s="291">
        <v>5</v>
      </c>
      <c r="W100" s="143">
        <f t="shared" si="68"/>
        <v>20.000000000000007</v>
      </c>
      <c r="X100" s="299"/>
      <c r="Y100" s="299"/>
      <c r="Z100" s="296"/>
      <c r="AA100" s="296"/>
      <c r="AB100" s="601"/>
      <c r="AC100" s="601"/>
      <c r="AD100" s="101"/>
      <c r="AE100" s="101"/>
      <c r="AF100" s="297">
        <f t="shared" si="59"/>
        <v>117.99999999999955</v>
      </c>
      <c r="AG100" s="94">
        <f t="shared" si="60"/>
        <v>1.0589999999999997</v>
      </c>
      <c r="AH100" s="605"/>
    </row>
    <row r="101" spans="1:34" s="298" customFormat="1" ht="19.149999999999999" customHeight="1">
      <c r="A101" s="628"/>
      <c r="B101" s="65" t="s">
        <v>390</v>
      </c>
      <c r="C101" s="102"/>
      <c r="D101" s="132" t="s">
        <v>174</v>
      </c>
      <c r="E101" s="133"/>
      <c r="F101" s="287">
        <v>53.68</v>
      </c>
      <c r="G101" s="104">
        <v>848</v>
      </c>
      <c r="H101" s="289">
        <f t="shared" si="63"/>
        <v>45520.639999999999</v>
      </c>
      <c r="I101" s="101"/>
      <c r="J101" s="89">
        <v>16</v>
      </c>
      <c r="K101" s="86">
        <v>1500</v>
      </c>
      <c r="L101" s="90">
        <v>93.75</v>
      </c>
      <c r="M101" s="138">
        <v>16</v>
      </c>
      <c r="N101" s="86">
        <f t="shared" si="64"/>
        <v>1271.9999999999995</v>
      </c>
      <c r="O101" s="90">
        <f t="shared" si="65"/>
        <v>79.499999999999972</v>
      </c>
      <c r="P101" s="92">
        <f t="shared" si="66"/>
        <v>0</v>
      </c>
      <c r="Q101" s="93">
        <f t="shared" si="62"/>
        <v>-14.250000000000028</v>
      </c>
      <c r="R101" s="94">
        <f t="shared" si="67"/>
        <v>0.84799999999999964</v>
      </c>
      <c r="S101" s="620"/>
      <c r="T101" s="290">
        <v>0.45555555555555549</v>
      </c>
      <c r="U101" s="142">
        <v>0.48333333333333328</v>
      </c>
      <c r="V101" s="291">
        <v>6</v>
      </c>
      <c r="W101" s="143">
        <f t="shared" si="68"/>
        <v>40.000000000000014</v>
      </c>
      <c r="X101" s="300"/>
      <c r="Y101" s="300"/>
      <c r="Z101" s="296"/>
      <c r="AA101" s="296"/>
      <c r="AB101" s="601"/>
      <c r="AC101" s="601"/>
      <c r="AD101" s="101"/>
      <c r="AE101" s="101"/>
      <c r="AF101" s="92">
        <f t="shared" si="59"/>
        <v>-228.00000000000045</v>
      </c>
      <c r="AG101" s="186">
        <f t="shared" si="60"/>
        <v>0.84799999999999964</v>
      </c>
      <c r="AH101" s="605"/>
    </row>
    <row r="102" spans="1:34" s="298" customFormat="1" ht="19.149999999999999" customHeight="1">
      <c r="A102" s="628"/>
      <c r="B102" s="65" t="s">
        <v>390</v>
      </c>
      <c r="C102" s="248"/>
      <c r="D102" s="249" t="s">
        <v>175</v>
      </c>
      <c r="E102" s="250"/>
      <c r="F102" s="287">
        <v>57.734999999999999</v>
      </c>
      <c r="G102" s="104">
        <v>1608</v>
      </c>
      <c r="H102" s="289">
        <f t="shared" si="63"/>
        <v>92837.88</v>
      </c>
      <c r="I102" s="65"/>
      <c r="J102" s="89">
        <v>16</v>
      </c>
      <c r="K102" s="86">
        <v>1565</v>
      </c>
      <c r="L102" s="90">
        <v>97.8125</v>
      </c>
      <c r="M102" s="138">
        <v>16</v>
      </c>
      <c r="N102" s="86">
        <f t="shared" si="64"/>
        <v>1339.9999999999989</v>
      </c>
      <c r="O102" s="90">
        <f t="shared" si="65"/>
        <v>83.749999999999929</v>
      </c>
      <c r="P102" s="92">
        <f t="shared" si="66"/>
        <v>0</v>
      </c>
      <c r="Q102" s="93">
        <f t="shared" si="62"/>
        <v>-14.062500000000071</v>
      </c>
      <c r="R102" s="94">
        <f t="shared" si="67"/>
        <v>0.85623003194888103</v>
      </c>
      <c r="S102" s="620"/>
      <c r="T102" s="290">
        <v>0.48819444444444438</v>
      </c>
      <c r="U102" s="290">
        <v>0.53819444444444442</v>
      </c>
      <c r="V102" s="291">
        <v>7</v>
      </c>
      <c r="W102" s="143">
        <f t="shared" si="68"/>
        <v>72.000000000000057</v>
      </c>
      <c r="X102" s="300"/>
      <c r="Y102" s="300"/>
      <c r="Z102" s="296"/>
      <c r="AA102" s="296"/>
      <c r="AB102" s="601"/>
      <c r="AC102" s="601"/>
      <c r="AD102" s="101"/>
      <c r="AE102" s="101"/>
      <c r="AF102" s="297">
        <f t="shared" si="59"/>
        <v>-225.00000000000114</v>
      </c>
      <c r="AG102" s="94">
        <f t="shared" si="60"/>
        <v>0.85623003194888103</v>
      </c>
      <c r="AH102" s="605"/>
    </row>
    <row r="103" spans="1:34" s="298" customFormat="1" ht="19.149999999999999" customHeight="1">
      <c r="A103" s="628"/>
      <c r="B103" s="65">
        <v>0</v>
      </c>
      <c r="C103" s="301"/>
      <c r="D103" s="132"/>
      <c r="E103" s="133"/>
      <c r="F103" s="287" t="s">
        <v>391</v>
      </c>
      <c r="G103" s="104"/>
      <c r="H103" s="289">
        <f t="shared" si="63"/>
        <v>0</v>
      </c>
      <c r="I103" s="302"/>
      <c r="J103" s="89"/>
      <c r="K103" s="86"/>
      <c r="L103" s="90"/>
      <c r="M103" s="138"/>
      <c r="N103" s="86"/>
      <c r="O103" s="90"/>
      <c r="P103" s="92"/>
      <c r="Q103" s="93"/>
      <c r="R103" s="94"/>
      <c r="S103" s="620"/>
      <c r="T103" s="290"/>
      <c r="U103" s="290"/>
      <c r="V103" s="291"/>
      <c r="W103" s="143"/>
      <c r="X103" s="300"/>
      <c r="Y103" s="300"/>
      <c r="Z103" s="296"/>
      <c r="AA103" s="296"/>
      <c r="AB103" s="601"/>
      <c r="AC103" s="601"/>
      <c r="AD103" s="101"/>
      <c r="AE103" s="101"/>
      <c r="AF103" s="92">
        <f t="shared" si="59"/>
        <v>0</v>
      </c>
      <c r="AG103" s="186" t="e">
        <f t="shared" si="60"/>
        <v>#DIV/0!</v>
      </c>
      <c r="AH103" s="605"/>
    </row>
    <row r="104" spans="1:34" s="298" customFormat="1" ht="19.149999999999999" customHeight="1">
      <c r="A104" s="628"/>
      <c r="B104" s="65">
        <v>0</v>
      </c>
      <c r="C104" s="303"/>
      <c r="D104" s="132"/>
      <c r="E104" s="133"/>
      <c r="F104" s="287" t="s">
        <v>391</v>
      </c>
      <c r="G104" s="288"/>
      <c r="H104" s="289">
        <f t="shared" si="63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4"/>
      <c r="S104" s="623"/>
      <c r="T104" s="290"/>
      <c r="U104" s="290"/>
      <c r="V104" s="291"/>
      <c r="W104" s="143"/>
      <c r="X104" s="300"/>
      <c r="Y104" s="300"/>
      <c r="Z104" s="296"/>
      <c r="AA104" s="296"/>
      <c r="AB104" s="601"/>
      <c r="AC104" s="601"/>
      <c r="AD104" s="101"/>
      <c r="AE104" s="101"/>
      <c r="AF104" s="297">
        <f t="shared" si="59"/>
        <v>0</v>
      </c>
      <c r="AG104" s="94" t="e">
        <f t="shared" si="60"/>
        <v>#DIV/0!</v>
      </c>
      <c r="AH104" s="605"/>
    </row>
    <row r="105" spans="1:34" s="298" customFormat="1" ht="19.149999999999999" customHeight="1">
      <c r="A105" s="628"/>
      <c r="B105" s="65">
        <v>0</v>
      </c>
      <c r="C105" s="303"/>
      <c r="D105" s="132"/>
      <c r="E105" s="133"/>
      <c r="F105" s="287" t="s">
        <v>391</v>
      </c>
      <c r="G105" s="288"/>
      <c r="H105" s="289">
        <f t="shared" si="63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4"/>
      <c r="S105" s="623"/>
      <c r="T105" s="290"/>
      <c r="U105" s="290"/>
      <c r="V105" s="291"/>
      <c r="W105" s="143">
        <f t="shared" si="68"/>
        <v>0</v>
      </c>
      <c r="X105" s="300"/>
      <c r="Y105" s="300"/>
      <c r="Z105" s="296"/>
      <c r="AA105" s="296"/>
      <c r="AB105" s="601"/>
      <c r="AC105" s="601"/>
      <c r="AD105" s="101"/>
      <c r="AE105" s="101"/>
      <c r="AF105" s="296"/>
      <c r="AG105" s="140"/>
      <c r="AH105" s="605"/>
    </row>
    <row r="106" spans="1:34" s="298" customFormat="1" ht="19.149999999999999" customHeight="1">
      <c r="A106" s="628"/>
      <c r="B106" s="65">
        <v>0</v>
      </c>
      <c r="C106" s="303"/>
      <c r="D106" s="132"/>
      <c r="E106" s="133"/>
      <c r="F106" s="85" t="s">
        <v>391</v>
      </c>
      <c r="G106" s="288"/>
      <c r="H106" s="289">
        <f t="shared" si="63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0"/>
      <c r="S106" s="629"/>
      <c r="T106" s="290"/>
      <c r="U106" s="290"/>
      <c r="V106" s="291"/>
      <c r="W106" s="143">
        <f t="shared" si="68"/>
        <v>0</v>
      </c>
      <c r="X106" s="300"/>
      <c r="Y106" s="300"/>
      <c r="Z106" s="296"/>
      <c r="AA106" s="296"/>
      <c r="AB106" s="601"/>
      <c r="AC106" s="601"/>
      <c r="AD106" s="101"/>
      <c r="AE106" s="101"/>
      <c r="AF106" s="296"/>
      <c r="AG106" s="140"/>
      <c r="AH106" s="605"/>
    </row>
    <row r="107" spans="1:34" s="298" customFormat="1" ht="19.149999999999999" customHeight="1">
      <c r="A107" s="628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0"/>
      <c r="S107" s="629"/>
      <c r="T107" s="290"/>
      <c r="U107" s="290"/>
      <c r="V107" s="291"/>
      <c r="W107" s="143">
        <f t="shared" si="68"/>
        <v>0</v>
      </c>
      <c r="X107" s="300"/>
      <c r="Y107" s="300"/>
      <c r="Z107" s="296"/>
      <c r="AA107" s="296"/>
      <c r="AB107" s="601"/>
      <c r="AC107" s="601"/>
      <c r="AD107" s="101"/>
      <c r="AE107" s="101"/>
      <c r="AF107" s="296"/>
      <c r="AG107" s="140"/>
      <c r="AH107" s="605"/>
    </row>
    <row r="108" spans="1:34" ht="19.149999999999999" customHeight="1">
      <c r="A108" s="628"/>
      <c r="B108" s="167">
        <v>0</v>
      </c>
      <c r="C108" s="156" t="s">
        <v>271</v>
      </c>
      <c r="D108" s="602" t="s">
        <v>256</v>
      </c>
      <c r="E108" s="602"/>
      <c r="F108" s="307"/>
      <c r="G108" s="158"/>
      <c r="H108" s="159"/>
      <c r="I108" s="160"/>
      <c r="J108" s="158">
        <v>8</v>
      </c>
      <c r="K108" s="158">
        <v>1795</v>
      </c>
      <c r="L108" s="161">
        <v>324.98511904761898</v>
      </c>
      <c r="M108" s="158">
        <f t="shared" ref="M108:O108" si="69">AVERAGE(M96:M107)</f>
        <v>8.4285714285714288</v>
      </c>
      <c r="N108" s="158">
        <f t="shared" si="69"/>
        <v>1690.4099915442105</v>
      </c>
      <c r="O108" s="161">
        <f t="shared" si="69"/>
        <v>272.43083212808409</v>
      </c>
      <c r="P108" s="100">
        <f t="shared" ref="P108:P115" si="70">M108-J108</f>
        <v>0.42857142857142883</v>
      </c>
      <c r="Q108" s="139">
        <f t="shared" ref="Q108:Q115" si="71">O108-L108</f>
        <v>-52.554286919534889</v>
      </c>
      <c r="R108" s="162">
        <f t="shared" ref="R108:R115" si="72">O108/L108</f>
        <v>0.83828709734911189</v>
      </c>
      <c r="S108" s="623"/>
      <c r="T108" s="142"/>
      <c r="U108" s="142"/>
      <c r="V108" s="104"/>
      <c r="W108" s="143">
        <f t="shared" si="68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01"/>
      <c r="AC108" s="601"/>
      <c r="AD108" s="164">
        <f>SUM(AD96:AD107)</f>
        <v>0</v>
      </c>
      <c r="AE108" s="164">
        <f>SUM(AE96:AE107)</f>
        <v>0</v>
      </c>
      <c r="AF108" s="100">
        <f t="shared" si="59"/>
        <v>-104.59000845578953</v>
      </c>
      <c r="AG108" s="140">
        <f t="shared" si="60"/>
        <v>0.94173258581850161</v>
      </c>
      <c r="AH108" s="605"/>
    </row>
    <row r="109" spans="1:34" ht="19.149999999999999" customHeight="1">
      <c r="A109" s="624" t="s">
        <v>272</v>
      </c>
      <c r="B109" s="65" t="s">
        <v>390</v>
      </c>
      <c r="C109" s="147"/>
      <c r="D109" s="249" t="s">
        <v>177</v>
      </c>
      <c r="E109" s="84"/>
      <c r="F109" s="85">
        <v>56.43</v>
      </c>
      <c r="G109" s="86">
        <v>796</v>
      </c>
      <c r="H109" s="87">
        <f t="shared" ref="H109:H118" si="73">F109*G109</f>
        <v>44918.28</v>
      </c>
      <c r="I109" s="65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5" si="74">G109/W109*60</f>
        <v>1404.7058823529394</v>
      </c>
      <c r="O109" s="90">
        <f t="shared" ref="O109:O115" si="75">N109/M109</f>
        <v>78.039215686274417</v>
      </c>
      <c r="P109" s="92">
        <f t="shared" si="70"/>
        <v>0</v>
      </c>
      <c r="Q109" s="93">
        <f t="shared" si="71"/>
        <v>-5.2941176470589113</v>
      </c>
      <c r="R109" s="94">
        <f t="shared" si="72"/>
        <v>0.93647058823529306</v>
      </c>
      <c r="S109" s="627">
        <f>R121</f>
        <v>0.85482225426517544</v>
      </c>
      <c r="T109" s="308">
        <v>0.5</v>
      </c>
      <c r="U109" s="308">
        <v>0.52361111111111114</v>
      </c>
      <c r="V109" s="309">
        <v>5</v>
      </c>
      <c r="W109" s="88">
        <f t="shared" si="68"/>
        <v>34.000000000000043</v>
      </c>
      <c r="X109" s="99"/>
      <c r="Y109" s="99"/>
      <c r="Z109" s="100"/>
      <c r="AA109" s="100"/>
      <c r="AB109" s="601"/>
      <c r="AC109" s="601"/>
      <c r="AD109" s="101"/>
      <c r="AE109" s="101"/>
      <c r="AF109" s="92">
        <f t="shared" si="59"/>
        <v>-95.294117647060602</v>
      </c>
      <c r="AG109" s="186">
        <f t="shared" si="60"/>
        <v>0.93647058823529294</v>
      </c>
      <c r="AH109" s="605">
        <f>AG121</f>
        <v>0.85664071510957274</v>
      </c>
    </row>
    <row r="110" spans="1:34" ht="19.149999999999999" customHeight="1">
      <c r="A110" s="625"/>
      <c r="B110" s="65" t="s">
        <v>390</v>
      </c>
      <c r="C110" s="248"/>
      <c r="D110" s="83" t="s">
        <v>178</v>
      </c>
      <c r="E110" s="250"/>
      <c r="F110" s="85">
        <v>54.09</v>
      </c>
      <c r="G110" s="247">
        <v>1074</v>
      </c>
      <c r="H110" s="87">
        <f t="shared" si="73"/>
        <v>58092.66</v>
      </c>
      <c r="I110" s="65"/>
      <c r="J110" s="89">
        <v>20</v>
      </c>
      <c r="K110" s="86">
        <v>1500</v>
      </c>
      <c r="L110" s="90">
        <v>75</v>
      </c>
      <c r="M110" s="91">
        <v>20</v>
      </c>
      <c r="N110" s="86">
        <f t="shared" si="74"/>
        <v>1263.5294117647065</v>
      </c>
      <c r="O110" s="90">
        <f t="shared" si="75"/>
        <v>63.176470588235325</v>
      </c>
      <c r="P110" s="92">
        <f t="shared" si="70"/>
        <v>0</v>
      </c>
      <c r="Q110" s="93">
        <f t="shared" si="71"/>
        <v>-11.823529411764675</v>
      </c>
      <c r="R110" s="94">
        <f t="shared" si="72"/>
        <v>0.84235294117647097</v>
      </c>
      <c r="S110" s="616"/>
      <c r="T110" s="308">
        <v>0.52847222222222223</v>
      </c>
      <c r="U110" s="308">
        <v>0.56388888888888888</v>
      </c>
      <c r="V110" s="309">
        <v>7</v>
      </c>
      <c r="W110" s="88">
        <f t="shared" si="68"/>
        <v>50.999999999999979</v>
      </c>
      <c r="X110" s="264"/>
      <c r="Y110" s="264"/>
      <c r="Z110" s="100"/>
      <c r="AA110" s="100"/>
      <c r="AB110" s="601"/>
      <c r="AC110" s="601"/>
      <c r="AD110" s="101"/>
      <c r="AE110" s="101"/>
      <c r="AF110" s="165">
        <f t="shared" si="59"/>
        <v>-236.47058823529346</v>
      </c>
      <c r="AG110" s="186">
        <f t="shared" si="60"/>
        <v>0.84235294117647097</v>
      </c>
      <c r="AH110" s="605"/>
    </row>
    <row r="111" spans="1:34" ht="19.149999999999999" customHeight="1">
      <c r="A111" s="625"/>
      <c r="B111" s="65" t="s">
        <v>390</v>
      </c>
      <c r="C111" s="248"/>
      <c r="D111" s="83" t="s">
        <v>179</v>
      </c>
      <c r="E111" s="250"/>
      <c r="F111" s="85">
        <v>51.75</v>
      </c>
      <c r="G111" s="104">
        <v>940</v>
      </c>
      <c r="H111" s="87">
        <f t="shared" si="73"/>
        <v>48645</v>
      </c>
      <c r="I111" s="65"/>
      <c r="J111" s="89">
        <v>21</v>
      </c>
      <c r="K111" s="86">
        <v>1500</v>
      </c>
      <c r="L111" s="90">
        <v>71.428571428571431</v>
      </c>
      <c r="M111" s="310">
        <v>20</v>
      </c>
      <c r="N111" s="86">
        <f t="shared" si="74"/>
        <v>1175.0000000000005</v>
      </c>
      <c r="O111" s="90">
        <f t="shared" si="75"/>
        <v>58.750000000000021</v>
      </c>
      <c r="P111" s="92">
        <f t="shared" si="70"/>
        <v>-1</v>
      </c>
      <c r="Q111" s="93">
        <f t="shared" si="71"/>
        <v>-12.678571428571409</v>
      </c>
      <c r="R111" s="94">
        <f t="shared" si="72"/>
        <v>0.82250000000000023</v>
      </c>
      <c r="S111" s="616"/>
      <c r="T111" s="308">
        <v>0.57986111111111116</v>
      </c>
      <c r="U111" s="308">
        <v>0.61319444444444449</v>
      </c>
      <c r="V111" s="309">
        <v>23</v>
      </c>
      <c r="W111" s="88">
        <f t="shared" si="68"/>
        <v>47.999999999999986</v>
      </c>
      <c r="X111" s="99">
        <v>0.56736111111111109</v>
      </c>
      <c r="Y111" s="99">
        <v>0.57708333333333328</v>
      </c>
      <c r="Z111" s="100"/>
      <c r="AA111" s="100"/>
      <c r="AB111" s="601"/>
      <c r="AC111" s="601"/>
      <c r="AD111" s="101"/>
      <c r="AE111" s="101"/>
      <c r="AF111" s="92">
        <f t="shared" si="59"/>
        <v>-324.99999999999955</v>
      </c>
      <c r="AG111" s="186">
        <f t="shared" si="60"/>
        <v>0.78333333333333366</v>
      </c>
      <c r="AH111" s="605"/>
    </row>
    <row r="112" spans="1:34" ht="19.149999999999999" customHeight="1">
      <c r="A112" s="625"/>
      <c r="B112" s="65" t="s">
        <v>390</v>
      </c>
      <c r="C112" s="248"/>
      <c r="D112" s="249" t="s">
        <v>180</v>
      </c>
      <c r="E112" s="250"/>
      <c r="F112" s="85">
        <v>54.29</v>
      </c>
      <c r="G112" s="104">
        <v>1036</v>
      </c>
      <c r="H112" s="87">
        <f t="shared" si="73"/>
        <v>56244.44</v>
      </c>
      <c r="I112" s="101"/>
      <c r="J112" s="89">
        <v>16</v>
      </c>
      <c r="K112" s="86">
        <v>1440</v>
      </c>
      <c r="L112" s="90">
        <v>90</v>
      </c>
      <c r="M112" s="310">
        <v>16</v>
      </c>
      <c r="N112" s="86">
        <f t="shared" si="74"/>
        <v>1295.0000000000005</v>
      </c>
      <c r="O112" s="90">
        <f t="shared" si="75"/>
        <v>80.937500000000028</v>
      </c>
      <c r="P112" s="92">
        <f t="shared" si="70"/>
        <v>0</v>
      </c>
      <c r="Q112" s="93">
        <f t="shared" si="71"/>
        <v>-9.0624999999999716</v>
      </c>
      <c r="R112" s="94">
        <f t="shared" si="72"/>
        <v>0.89930555555555591</v>
      </c>
      <c r="S112" s="616"/>
      <c r="T112" s="308">
        <v>0.70833333333333337</v>
      </c>
      <c r="U112" s="308">
        <v>0.7416666666666667</v>
      </c>
      <c r="V112" s="309">
        <v>5</v>
      </c>
      <c r="W112" s="88">
        <f t="shared" si="68"/>
        <v>47.999999999999986</v>
      </c>
      <c r="X112" s="99"/>
      <c r="Y112" s="99"/>
      <c r="Z112" s="100"/>
      <c r="AA112" s="100"/>
      <c r="AB112" s="601"/>
      <c r="AC112" s="601"/>
      <c r="AD112" s="101">
        <v>1</v>
      </c>
      <c r="AE112" s="101"/>
      <c r="AF112" s="92">
        <f t="shared" si="59"/>
        <v>-144.99999999999955</v>
      </c>
      <c r="AG112" s="186">
        <f t="shared" si="60"/>
        <v>0.89930555555555591</v>
      </c>
      <c r="AH112" s="605"/>
    </row>
    <row r="113" spans="1:34" s="298" customFormat="1" ht="19.149999999999999" customHeight="1">
      <c r="A113" s="625"/>
      <c r="B113" s="65" t="s">
        <v>390</v>
      </c>
      <c r="C113" s="248"/>
      <c r="D113" s="249" t="s">
        <v>181</v>
      </c>
      <c r="E113" s="250"/>
      <c r="F113" s="85">
        <v>55.32</v>
      </c>
      <c r="G113" s="104">
        <v>441</v>
      </c>
      <c r="H113" s="87">
        <f t="shared" si="73"/>
        <v>24396.12</v>
      </c>
      <c r="I113" s="101"/>
      <c r="J113" s="89">
        <v>15</v>
      </c>
      <c r="K113" s="86">
        <v>1440</v>
      </c>
      <c r="L113" s="90">
        <v>96</v>
      </c>
      <c r="M113" s="310">
        <v>15</v>
      </c>
      <c r="N113" s="86">
        <f t="shared" si="74"/>
        <v>1102.4999999999966</v>
      </c>
      <c r="O113" s="90">
        <f t="shared" si="75"/>
        <v>73.499999999999773</v>
      </c>
      <c r="P113" s="92">
        <f t="shared" si="70"/>
        <v>0</v>
      </c>
      <c r="Q113" s="93">
        <f t="shared" si="71"/>
        <v>-22.500000000000227</v>
      </c>
      <c r="R113" s="94">
        <f t="shared" si="72"/>
        <v>0.76562499999999767</v>
      </c>
      <c r="S113" s="616"/>
      <c r="T113" s="308">
        <v>0.74722222222222223</v>
      </c>
      <c r="U113" s="308">
        <v>0.76388888888888895</v>
      </c>
      <c r="V113" s="309">
        <v>8</v>
      </c>
      <c r="W113" s="88">
        <f t="shared" si="68"/>
        <v>24.000000000000075</v>
      </c>
      <c r="X113" s="295"/>
      <c r="Y113" s="295"/>
      <c r="Z113" s="296"/>
      <c r="AA113" s="296"/>
      <c r="AB113" s="601"/>
      <c r="AC113" s="601"/>
      <c r="AD113" s="301"/>
      <c r="AE113" s="301"/>
      <c r="AF113" s="165">
        <f t="shared" si="59"/>
        <v>-337.50000000000341</v>
      </c>
      <c r="AG113" s="186">
        <f t="shared" si="60"/>
        <v>0.76562499999999767</v>
      </c>
      <c r="AH113" s="605"/>
    </row>
    <row r="114" spans="1:34" s="298" customFormat="1" ht="19.149999999999999" customHeight="1">
      <c r="A114" s="625"/>
      <c r="B114" s="65" t="s">
        <v>390</v>
      </c>
      <c r="C114" s="248"/>
      <c r="D114" s="249" t="s">
        <v>182</v>
      </c>
      <c r="E114" s="250"/>
      <c r="F114" s="85">
        <v>55.56</v>
      </c>
      <c r="G114" s="104">
        <v>715</v>
      </c>
      <c r="H114" s="87">
        <f t="shared" si="73"/>
        <v>39725.4</v>
      </c>
      <c r="I114" s="101"/>
      <c r="J114" s="89">
        <v>16</v>
      </c>
      <c r="K114" s="86">
        <v>1440</v>
      </c>
      <c r="L114" s="90">
        <v>90</v>
      </c>
      <c r="M114" s="310">
        <v>16</v>
      </c>
      <c r="N114" s="86">
        <f t="shared" si="74"/>
        <v>1299.9999999999984</v>
      </c>
      <c r="O114" s="90">
        <f t="shared" si="75"/>
        <v>81.249999999999901</v>
      </c>
      <c r="P114" s="92">
        <f t="shared" si="70"/>
        <v>0</v>
      </c>
      <c r="Q114" s="93">
        <f t="shared" si="71"/>
        <v>-8.7500000000000995</v>
      </c>
      <c r="R114" s="94">
        <f t="shared" si="72"/>
        <v>0.90277777777777668</v>
      </c>
      <c r="S114" s="616"/>
      <c r="T114" s="308">
        <v>0.76875000000000004</v>
      </c>
      <c r="U114" s="308">
        <v>0.79166666666666674</v>
      </c>
      <c r="V114" s="309">
        <v>7</v>
      </c>
      <c r="W114" s="88">
        <f t="shared" si="68"/>
        <v>33.000000000000043</v>
      </c>
      <c r="X114" s="295"/>
      <c r="Y114" s="295"/>
      <c r="Z114" s="296"/>
      <c r="AA114" s="296"/>
      <c r="AB114" s="601"/>
      <c r="AC114" s="601"/>
      <c r="AD114" s="301"/>
      <c r="AE114" s="301"/>
      <c r="AF114" s="92">
        <f t="shared" si="59"/>
        <v>-140.00000000000159</v>
      </c>
      <c r="AG114" s="186">
        <f t="shared" si="60"/>
        <v>0.90277777777777668</v>
      </c>
      <c r="AH114" s="605"/>
    </row>
    <row r="115" spans="1:34" s="298" customFormat="1" ht="19.149999999999999" customHeight="1">
      <c r="A115" s="625"/>
      <c r="B115" s="65" t="s">
        <v>390</v>
      </c>
      <c r="C115" s="248"/>
      <c r="D115" s="249" t="s">
        <v>183</v>
      </c>
      <c r="E115" s="250"/>
      <c r="F115" s="85">
        <v>57.73</v>
      </c>
      <c r="G115" s="247">
        <v>798</v>
      </c>
      <c r="H115" s="87">
        <f t="shared" si="73"/>
        <v>46068.54</v>
      </c>
      <c r="I115" s="101"/>
      <c r="J115" s="89">
        <v>16</v>
      </c>
      <c r="K115" s="86">
        <v>1380</v>
      </c>
      <c r="L115" s="90">
        <v>86.25</v>
      </c>
      <c r="M115" s="91">
        <v>17</v>
      </c>
      <c r="N115" s="86">
        <f t="shared" si="74"/>
        <v>1196.9999999999995</v>
      </c>
      <c r="O115" s="90">
        <f t="shared" si="75"/>
        <v>70.41176470588232</v>
      </c>
      <c r="P115" s="92">
        <f t="shared" si="70"/>
        <v>1</v>
      </c>
      <c r="Q115" s="93">
        <f t="shared" si="71"/>
        <v>-15.83823529411768</v>
      </c>
      <c r="R115" s="94">
        <f t="shared" si="72"/>
        <v>0.81636828644501236</v>
      </c>
      <c r="S115" s="616"/>
      <c r="T115" s="308">
        <v>0.79583333333333339</v>
      </c>
      <c r="U115" s="308">
        <v>0.82361111111111118</v>
      </c>
      <c r="V115" s="309">
        <v>6</v>
      </c>
      <c r="W115" s="88">
        <f t="shared" si="68"/>
        <v>40.000000000000014</v>
      </c>
      <c r="X115" s="295"/>
      <c r="Y115" s="295"/>
      <c r="Z115" s="296"/>
      <c r="AA115" s="296"/>
      <c r="AB115" s="601"/>
      <c r="AC115" s="601"/>
      <c r="AD115" s="301"/>
      <c r="AE115" s="301"/>
      <c r="AF115" s="92">
        <f t="shared" si="59"/>
        <v>-183.00000000000045</v>
      </c>
      <c r="AG115" s="186">
        <f t="shared" si="60"/>
        <v>0.86739130434782574</v>
      </c>
      <c r="AH115" s="605"/>
    </row>
    <row r="116" spans="1:34" s="298" customFormat="1" ht="19.149999999999999" customHeight="1">
      <c r="A116" s="625"/>
      <c r="B116" s="65">
        <v>0</v>
      </c>
      <c r="C116" s="102"/>
      <c r="D116" s="132"/>
      <c r="E116" s="133"/>
      <c r="F116" s="85"/>
      <c r="G116" s="104"/>
      <c r="H116" s="87">
        <f t="shared" si="73"/>
        <v>0</v>
      </c>
      <c r="I116" s="101"/>
      <c r="J116" s="89"/>
      <c r="K116" s="86"/>
      <c r="L116" s="90"/>
      <c r="M116" s="189"/>
      <c r="N116" s="86"/>
      <c r="O116" s="90"/>
      <c r="P116" s="92"/>
      <c r="Q116" s="93"/>
      <c r="R116" s="94"/>
      <c r="S116" s="616"/>
      <c r="T116" s="308"/>
      <c r="U116" s="308"/>
      <c r="V116" s="309"/>
      <c r="W116" s="88"/>
      <c r="X116" s="295"/>
      <c r="Y116" s="295"/>
      <c r="Z116" s="296"/>
      <c r="AA116" s="296"/>
      <c r="AB116" s="601"/>
      <c r="AC116" s="601"/>
      <c r="AD116" s="301"/>
      <c r="AE116" s="301"/>
      <c r="AF116" s="165">
        <f t="shared" si="59"/>
        <v>0</v>
      </c>
      <c r="AG116" s="186" t="e">
        <f t="shared" si="60"/>
        <v>#DIV/0!</v>
      </c>
      <c r="AH116" s="605"/>
    </row>
    <row r="117" spans="1:34" s="298" customFormat="1" ht="19.149999999999999" customHeight="1">
      <c r="A117" s="625"/>
      <c r="B117" s="65">
        <v>0</v>
      </c>
      <c r="C117" s="102"/>
      <c r="D117" s="249"/>
      <c r="E117" s="133"/>
      <c r="F117" s="85" t="s">
        <v>391</v>
      </c>
      <c r="G117" s="104"/>
      <c r="H117" s="87">
        <f t="shared" si="73"/>
        <v>0</v>
      </c>
      <c r="I117" s="101"/>
      <c r="J117" s="89"/>
      <c r="K117" s="86"/>
      <c r="L117" s="137"/>
      <c r="M117" s="189"/>
      <c r="N117" s="104"/>
      <c r="O117" s="137"/>
      <c r="P117" s="100"/>
      <c r="Q117" s="139"/>
      <c r="R117" s="140"/>
      <c r="S117" s="616"/>
      <c r="T117" s="308"/>
      <c r="U117" s="308"/>
      <c r="V117" s="309"/>
      <c r="W117" s="88">
        <f t="shared" si="68"/>
        <v>0</v>
      </c>
      <c r="X117" s="295"/>
      <c r="Y117" s="295"/>
      <c r="Z117" s="296"/>
      <c r="AA117" s="296"/>
      <c r="AB117" s="601"/>
      <c r="AC117" s="601"/>
      <c r="AD117" s="301"/>
      <c r="AE117" s="301"/>
      <c r="AF117" s="92">
        <f t="shared" si="59"/>
        <v>0</v>
      </c>
      <c r="AG117" s="186" t="e">
        <f t="shared" si="60"/>
        <v>#DIV/0!</v>
      </c>
      <c r="AH117" s="605"/>
    </row>
    <row r="118" spans="1:34" s="298" customFormat="1" ht="19.149999999999999" customHeight="1">
      <c r="A118" s="625"/>
      <c r="B118" s="65">
        <v>0</v>
      </c>
      <c r="C118" s="233"/>
      <c r="D118" s="249"/>
      <c r="E118" s="84"/>
      <c r="F118" s="199" t="s">
        <v>391</v>
      </c>
      <c r="G118" s="86"/>
      <c r="H118" s="87">
        <f t="shared" si="73"/>
        <v>0</v>
      </c>
      <c r="I118" s="101"/>
      <c r="J118" s="89"/>
      <c r="K118" s="86"/>
      <c r="L118" s="90"/>
      <c r="M118" s="189"/>
      <c r="N118" s="86"/>
      <c r="O118" s="90"/>
      <c r="P118" s="92"/>
      <c r="Q118" s="93"/>
      <c r="R118" s="94"/>
      <c r="S118" s="616"/>
      <c r="T118" s="308"/>
      <c r="U118" s="308"/>
      <c r="V118" s="309"/>
      <c r="W118" s="88">
        <f t="shared" si="68"/>
        <v>0</v>
      </c>
      <c r="X118" s="295"/>
      <c r="Y118" s="295"/>
      <c r="Z118" s="296"/>
      <c r="AA118" s="296"/>
      <c r="AB118" s="601"/>
      <c r="AC118" s="601"/>
      <c r="AD118" s="301"/>
      <c r="AE118" s="301"/>
      <c r="AF118" s="297"/>
      <c r="AG118" s="186"/>
      <c r="AH118" s="605"/>
    </row>
    <row r="119" spans="1:34" s="298" customFormat="1" ht="19.149999999999999" customHeight="1">
      <c r="A119" s="625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101"/>
      <c r="J119" s="251"/>
      <c r="K119" s="313"/>
      <c r="L119" s="90"/>
      <c r="M119" s="189"/>
      <c r="N119" s="252"/>
      <c r="O119" s="305"/>
      <c r="P119" s="235"/>
      <c r="Q119" s="93"/>
      <c r="R119" s="94"/>
      <c r="S119" s="616"/>
      <c r="T119" s="308"/>
      <c r="U119" s="308"/>
      <c r="V119" s="309"/>
      <c r="W119" s="88">
        <f t="shared" si="68"/>
        <v>0</v>
      </c>
      <c r="X119" s="295"/>
      <c r="Y119" s="295"/>
      <c r="Z119" s="296"/>
      <c r="AA119" s="296"/>
      <c r="AB119" s="601"/>
      <c r="AC119" s="601"/>
      <c r="AD119" s="301"/>
      <c r="AE119" s="301"/>
      <c r="AF119" s="297"/>
      <c r="AG119" s="186"/>
      <c r="AH119" s="605"/>
    </row>
    <row r="120" spans="1:34" s="298" customFormat="1" ht="19.149999999999999" customHeight="1">
      <c r="A120" s="625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101"/>
      <c r="J120" s="251"/>
      <c r="K120" s="313"/>
      <c r="L120" s="90"/>
      <c r="M120" s="189"/>
      <c r="N120" s="252"/>
      <c r="O120" s="305"/>
      <c r="P120" s="235"/>
      <c r="Q120" s="93"/>
      <c r="R120" s="94"/>
      <c r="S120" s="616"/>
      <c r="T120" s="308"/>
      <c r="U120" s="308"/>
      <c r="V120" s="309"/>
      <c r="W120" s="88">
        <f t="shared" si="68"/>
        <v>0</v>
      </c>
      <c r="X120" s="295"/>
      <c r="Y120" s="295"/>
      <c r="Z120" s="296"/>
      <c r="AA120" s="296"/>
      <c r="AB120" s="601"/>
      <c r="AC120" s="601"/>
      <c r="AD120" s="301"/>
      <c r="AE120" s="301"/>
      <c r="AF120" s="297"/>
      <c r="AG120" s="186"/>
      <c r="AH120" s="605"/>
    </row>
    <row r="121" spans="1:34" ht="19.149999999999999" customHeight="1">
      <c r="A121" s="626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17.428571428571427</v>
      </c>
      <c r="K121" s="280">
        <v>1457.1428571428571</v>
      </c>
      <c r="L121" s="281">
        <v>84.573129251700692</v>
      </c>
      <c r="M121" s="280">
        <f t="shared" ref="M121:O121" si="76">AVERAGE(M109:M120)</f>
        <v>17.428571428571427</v>
      </c>
      <c r="N121" s="280">
        <f t="shared" si="76"/>
        <v>1248.2478991596631</v>
      </c>
      <c r="O121" s="281">
        <f t="shared" si="76"/>
        <v>72.294992997198833</v>
      </c>
      <c r="P121" s="92">
        <f t="shared" ref="P121:P131" si="77">M121-J121</f>
        <v>0</v>
      </c>
      <c r="Q121" s="93">
        <f t="shared" ref="Q121:Q131" si="78">O121-L121</f>
        <v>-12.27813625450186</v>
      </c>
      <c r="R121" s="245">
        <f t="shared" ref="R121:R131" si="79">O121/L121</f>
        <v>0.85482225426517544</v>
      </c>
      <c r="S121" s="622"/>
      <c r="T121" s="96"/>
      <c r="U121" s="96"/>
      <c r="V121" s="86"/>
      <c r="W121" s="88">
        <f t="shared" si="68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01"/>
      <c r="AC121" s="601"/>
      <c r="AD121" s="164">
        <f>SUM(AD109:AD120)</f>
        <v>1</v>
      </c>
      <c r="AE121" s="164">
        <f>SUM(AE109:AE120)</f>
        <v>0</v>
      </c>
      <c r="AF121" s="92">
        <f>N121-K121</f>
        <v>-208.89495798319399</v>
      </c>
      <c r="AG121" s="186">
        <f>N121/K121</f>
        <v>0.85664071510957274</v>
      </c>
      <c r="AH121" s="605"/>
    </row>
    <row r="122" spans="1:34" ht="19.149999999999999" customHeight="1">
      <c r="A122" s="619" t="s">
        <v>274</v>
      </c>
      <c r="B122" s="192" t="s">
        <v>386</v>
      </c>
      <c r="C122" s="233"/>
      <c r="D122" s="249" t="s">
        <v>185</v>
      </c>
      <c r="E122" s="84"/>
      <c r="F122" s="85">
        <v>65.400000000000006</v>
      </c>
      <c r="G122" s="86">
        <v>340</v>
      </c>
      <c r="H122" s="87">
        <f t="shared" ref="H122:H132" si="80">F122*G122</f>
        <v>22236.000000000004</v>
      </c>
      <c r="I122" s="65"/>
      <c r="J122" s="89">
        <v>18</v>
      </c>
      <c r="K122" s="86">
        <v>1440</v>
      </c>
      <c r="L122" s="90">
        <v>80</v>
      </c>
      <c r="M122" s="91">
        <v>19</v>
      </c>
      <c r="N122" s="247">
        <f t="shared" ref="N122:N131" si="81">G122/W122*60</f>
        <v>1073.6842105263197</v>
      </c>
      <c r="O122" s="319">
        <f t="shared" ref="O122:O131" si="82">N122/M122</f>
        <v>56.509695290858929</v>
      </c>
      <c r="P122" s="165">
        <f t="shared" si="77"/>
        <v>1</v>
      </c>
      <c r="Q122" s="255">
        <f t="shared" si="78"/>
        <v>-23.490304709141071</v>
      </c>
      <c r="R122" s="166">
        <f t="shared" si="79"/>
        <v>0.70637119113573665</v>
      </c>
      <c r="S122" s="620">
        <f>R134</f>
        <v>0.81512363731332083</v>
      </c>
      <c r="T122" s="96">
        <v>0.5</v>
      </c>
      <c r="U122" s="96">
        <v>0.5131944444444444</v>
      </c>
      <c r="V122" s="309">
        <v>5</v>
      </c>
      <c r="W122" s="88">
        <f t="shared" si="68"/>
        <v>18.999999999999932</v>
      </c>
      <c r="X122" s="99"/>
      <c r="Y122" s="99"/>
      <c r="Z122" s="100"/>
      <c r="AA122" s="100"/>
      <c r="AB122" s="601"/>
      <c r="AC122" s="601"/>
      <c r="AD122" s="101"/>
      <c r="AE122" s="101"/>
      <c r="AF122" s="92">
        <f t="shared" si="59"/>
        <v>-366.3157894736803</v>
      </c>
      <c r="AG122" s="94">
        <f t="shared" si="60"/>
        <v>0.74561403508772206</v>
      </c>
      <c r="AH122" s="622">
        <f>AG134</f>
        <v>0.81778255479736373</v>
      </c>
    </row>
    <row r="123" spans="1:34" ht="19.149999999999999" customHeight="1">
      <c r="A123" s="619"/>
      <c r="B123" s="192" t="s">
        <v>386</v>
      </c>
      <c r="C123" s="152"/>
      <c r="D123" s="83" t="s">
        <v>186</v>
      </c>
      <c r="E123" s="250"/>
      <c r="F123" s="85">
        <v>59.52</v>
      </c>
      <c r="G123" s="86">
        <v>1344.8000000000002</v>
      </c>
      <c r="H123" s="87">
        <f t="shared" si="80"/>
        <v>80042.496000000014</v>
      </c>
      <c r="I123" s="101"/>
      <c r="J123" s="138">
        <v>21</v>
      </c>
      <c r="K123" s="104">
        <v>1385</v>
      </c>
      <c r="L123" s="137">
        <v>65.952380952380949</v>
      </c>
      <c r="M123" s="189">
        <v>20</v>
      </c>
      <c r="N123" s="104">
        <f t="shared" si="81"/>
        <v>1241.3538461538476</v>
      </c>
      <c r="O123" s="137">
        <f t="shared" si="82"/>
        <v>62.067692307692383</v>
      </c>
      <c r="P123" s="100">
        <f t="shared" si="77"/>
        <v>-1</v>
      </c>
      <c r="Q123" s="139">
        <f t="shared" si="78"/>
        <v>-3.8846886446885662</v>
      </c>
      <c r="R123" s="140">
        <f t="shared" si="79"/>
        <v>0.94109858372674371</v>
      </c>
      <c r="S123" s="620"/>
      <c r="T123" s="96">
        <v>0.51736111111111105</v>
      </c>
      <c r="U123" s="96">
        <v>0.56249999999999989</v>
      </c>
      <c r="V123" s="309">
        <v>6</v>
      </c>
      <c r="W123" s="88">
        <f>(U123-T123)*24*60</f>
        <v>64.999999999999929</v>
      </c>
      <c r="X123" s="99"/>
      <c r="Y123" s="99"/>
      <c r="Z123" s="100"/>
      <c r="AA123" s="100"/>
      <c r="AB123" s="601"/>
      <c r="AC123" s="601"/>
      <c r="AD123" s="101"/>
      <c r="AE123" s="101"/>
      <c r="AF123" s="92">
        <f t="shared" si="59"/>
        <v>-143.6461538461524</v>
      </c>
      <c r="AG123" s="94">
        <f t="shared" si="60"/>
        <v>0.89628436545404155</v>
      </c>
      <c r="AH123" s="620"/>
    </row>
    <row r="124" spans="1:34" ht="19.149999999999999" customHeight="1">
      <c r="A124" s="619"/>
      <c r="B124" s="192" t="s">
        <v>386</v>
      </c>
      <c r="C124" s="248"/>
      <c r="D124" s="249" t="s">
        <v>187</v>
      </c>
      <c r="E124" s="250"/>
      <c r="F124" s="85">
        <v>58.67</v>
      </c>
      <c r="G124" s="247">
        <v>997.6</v>
      </c>
      <c r="H124" s="87">
        <f t="shared" si="80"/>
        <v>58529.192000000003</v>
      </c>
      <c r="I124" s="320"/>
      <c r="J124" s="138">
        <v>19</v>
      </c>
      <c r="K124" s="104">
        <v>1440</v>
      </c>
      <c r="L124" s="137">
        <v>75.78947368421052</v>
      </c>
      <c r="M124" s="91">
        <v>20</v>
      </c>
      <c r="N124" s="247">
        <f t="shared" si="81"/>
        <v>1247.0000000000002</v>
      </c>
      <c r="O124" s="319">
        <f t="shared" si="82"/>
        <v>62.350000000000009</v>
      </c>
      <c r="P124" s="165">
        <f t="shared" si="77"/>
        <v>1</v>
      </c>
      <c r="Q124" s="255">
        <f t="shared" si="78"/>
        <v>-13.439473684210512</v>
      </c>
      <c r="R124" s="166">
        <f t="shared" si="79"/>
        <v>0.82267361111111126</v>
      </c>
      <c r="S124" s="621"/>
      <c r="T124" s="96">
        <v>0.57847222222222205</v>
      </c>
      <c r="U124" s="96">
        <v>0.61180555555555538</v>
      </c>
      <c r="V124" s="309">
        <v>23</v>
      </c>
      <c r="W124" s="322">
        <f>(U124-T124)*24*60</f>
        <v>47.999999999999986</v>
      </c>
      <c r="X124" s="264">
        <v>0.56597222222222221</v>
      </c>
      <c r="Y124" s="264">
        <v>0.5756944444444444</v>
      </c>
      <c r="Z124" s="100"/>
      <c r="AA124" s="100"/>
      <c r="AB124" s="601"/>
      <c r="AC124" s="601"/>
      <c r="AD124" s="101"/>
      <c r="AE124" s="101"/>
      <c r="AF124" s="165">
        <f t="shared" si="59"/>
        <v>-192.99999999999977</v>
      </c>
      <c r="AG124" s="166">
        <f t="shared" si="60"/>
        <v>0.86597222222222237</v>
      </c>
      <c r="AH124" s="620"/>
    </row>
    <row r="125" spans="1:34" ht="19.149999999999999" customHeight="1">
      <c r="A125" s="619"/>
      <c r="B125" s="192" t="s">
        <v>390</v>
      </c>
      <c r="C125" s="152"/>
      <c r="D125" s="83" t="s">
        <v>188</v>
      </c>
      <c r="E125" s="84"/>
      <c r="F125" s="85">
        <v>56.79</v>
      </c>
      <c r="G125" s="86">
        <v>1116</v>
      </c>
      <c r="H125" s="87">
        <f t="shared" si="80"/>
        <v>63377.64</v>
      </c>
      <c r="I125" s="65"/>
      <c r="J125" s="138">
        <v>18</v>
      </c>
      <c r="K125" s="104">
        <v>1636</v>
      </c>
      <c r="L125" s="137">
        <v>90.888888888888886</v>
      </c>
      <c r="M125" s="91">
        <v>18</v>
      </c>
      <c r="N125" s="104">
        <f t="shared" si="81"/>
        <v>1287.6923076923085</v>
      </c>
      <c r="O125" s="137">
        <f t="shared" si="82"/>
        <v>71.53846153846159</v>
      </c>
      <c r="P125" s="100">
        <f t="shared" si="77"/>
        <v>0</v>
      </c>
      <c r="Q125" s="139">
        <f t="shared" si="78"/>
        <v>-19.350427350427296</v>
      </c>
      <c r="R125" s="140">
        <f t="shared" si="79"/>
        <v>0.78709798758698568</v>
      </c>
      <c r="S125" s="621"/>
      <c r="T125" s="96">
        <v>0.70833333333333337</v>
      </c>
      <c r="U125" s="96">
        <v>0.74444444444444446</v>
      </c>
      <c r="V125" s="309">
        <v>5</v>
      </c>
      <c r="W125" s="322">
        <f t="shared" ref="W125:W133" si="83">(U125-T125)*24*60</f>
        <v>51.999999999999972</v>
      </c>
      <c r="X125" s="112"/>
      <c r="Y125" s="112"/>
      <c r="Z125" s="100"/>
      <c r="AA125" s="100"/>
      <c r="AB125" s="601"/>
      <c r="AC125" s="601"/>
      <c r="AD125" s="101"/>
      <c r="AE125" s="101"/>
      <c r="AF125" s="92">
        <f t="shared" si="59"/>
        <v>-348.30769230769147</v>
      </c>
      <c r="AG125" s="94">
        <f t="shared" si="60"/>
        <v>0.78709798758698568</v>
      </c>
      <c r="AH125" s="623"/>
    </row>
    <row r="126" spans="1:34" ht="19.149999999999999" customHeight="1">
      <c r="A126" s="619"/>
      <c r="B126" s="192" t="s">
        <v>390</v>
      </c>
      <c r="C126" s="101"/>
      <c r="D126" s="83" t="s">
        <v>189</v>
      </c>
      <c r="E126" s="250"/>
      <c r="F126" s="85">
        <v>56.87</v>
      </c>
      <c r="G126" s="104">
        <v>814</v>
      </c>
      <c r="H126" s="87">
        <f t="shared" si="80"/>
        <v>46292.18</v>
      </c>
      <c r="I126" s="101"/>
      <c r="J126" s="138">
        <v>18</v>
      </c>
      <c r="K126" s="104">
        <v>1636</v>
      </c>
      <c r="L126" s="137">
        <v>90.888888888888886</v>
      </c>
      <c r="M126" s="189">
        <v>18</v>
      </c>
      <c r="N126" s="104">
        <f t="shared" si="81"/>
        <v>1285.2631578947357</v>
      </c>
      <c r="O126" s="137">
        <f t="shared" si="82"/>
        <v>71.403508771929765</v>
      </c>
      <c r="P126" s="100">
        <f t="shared" si="77"/>
        <v>0</v>
      </c>
      <c r="Q126" s="139">
        <f t="shared" si="78"/>
        <v>-19.485380116959121</v>
      </c>
      <c r="R126" s="140">
        <f t="shared" si="79"/>
        <v>0.78561317719727131</v>
      </c>
      <c r="S126" s="621"/>
      <c r="T126" s="96">
        <v>0.74930555555555556</v>
      </c>
      <c r="U126" s="96">
        <v>0.77569444444444446</v>
      </c>
      <c r="V126" s="309">
        <v>7</v>
      </c>
      <c r="W126" s="322">
        <f t="shared" si="83"/>
        <v>38.000000000000028</v>
      </c>
      <c r="X126" s="112"/>
      <c r="Y126" s="112"/>
      <c r="Z126" s="100"/>
      <c r="AA126" s="100"/>
      <c r="AB126" s="601"/>
      <c r="AC126" s="601"/>
      <c r="AD126" s="101"/>
      <c r="AE126" s="101"/>
      <c r="AF126" s="165">
        <f t="shared" si="59"/>
        <v>-350.73684210526426</v>
      </c>
      <c r="AG126" s="166">
        <f t="shared" si="60"/>
        <v>0.7856131771972712</v>
      </c>
      <c r="AH126" s="623"/>
    </row>
    <row r="127" spans="1:34" ht="19.149999999999999" customHeight="1">
      <c r="A127" s="619"/>
      <c r="B127" s="192" t="s">
        <v>390</v>
      </c>
      <c r="C127" s="303"/>
      <c r="D127" s="132" t="s">
        <v>190</v>
      </c>
      <c r="E127" s="133"/>
      <c r="F127" s="85">
        <v>54.09</v>
      </c>
      <c r="G127" s="288">
        <v>1348</v>
      </c>
      <c r="H127" s="87">
        <f t="shared" si="80"/>
        <v>72913.320000000007</v>
      </c>
      <c r="I127" s="301"/>
      <c r="J127" s="138">
        <v>16</v>
      </c>
      <c r="K127" s="104">
        <v>1565</v>
      </c>
      <c r="L127" s="137">
        <v>97.8125</v>
      </c>
      <c r="M127" s="91">
        <v>17</v>
      </c>
      <c r="N127" s="247">
        <f t="shared" si="81"/>
        <v>1244.3076923076937</v>
      </c>
      <c r="O127" s="319">
        <f t="shared" si="82"/>
        <v>73.194570135746687</v>
      </c>
      <c r="P127" s="165">
        <f t="shared" si="77"/>
        <v>1</v>
      </c>
      <c r="Q127" s="255">
        <f t="shared" si="78"/>
        <v>-24.617929864253313</v>
      </c>
      <c r="R127" s="166">
        <f t="shared" si="79"/>
        <v>0.74831509403958274</v>
      </c>
      <c r="S127" s="621"/>
      <c r="T127" s="96">
        <v>0.78125</v>
      </c>
      <c r="U127" s="96">
        <v>0.82638888888888884</v>
      </c>
      <c r="V127" s="65">
        <v>8</v>
      </c>
      <c r="W127" s="322">
        <f t="shared" si="83"/>
        <v>64.999999999999929</v>
      </c>
      <c r="X127" s="112"/>
      <c r="Y127" s="112"/>
      <c r="Z127" s="100"/>
      <c r="AA127" s="100"/>
      <c r="AB127" s="601"/>
      <c r="AC127" s="601"/>
      <c r="AD127" s="101"/>
      <c r="AE127" s="101"/>
      <c r="AF127" s="165">
        <f t="shared" si="59"/>
        <v>-320.69230769230626</v>
      </c>
      <c r="AG127" s="166">
        <f t="shared" si="60"/>
        <v>0.79508478741705668</v>
      </c>
      <c r="AH127" s="623"/>
    </row>
    <row r="128" spans="1:34" ht="19.149999999999999" customHeight="1">
      <c r="A128" s="619"/>
      <c r="B128" s="192" t="s">
        <v>390</v>
      </c>
      <c r="C128" s="226"/>
      <c r="D128" s="106" t="s">
        <v>191</v>
      </c>
      <c r="E128" s="133"/>
      <c r="F128" s="85">
        <v>50.67</v>
      </c>
      <c r="G128" s="104">
        <v>447</v>
      </c>
      <c r="H128" s="87">
        <f t="shared" si="80"/>
        <v>22649.49</v>
      </c>
      <c r="I128" s="101"/>
      <c r="J128" s="138">
        <v>18</v>
      </c>
      <c r="K128" s="104">
        <v>1440</v>
      </c>
      <c r="L128" s="137">
        <v>80</v>
      </c>
      <c r="M128" s="138">
        <v>17</v>
      </c>
      <c r="N128" s="104">
        <f t="shared" si="81"/>
        <v>1072.799999999997</v>
      </c>
      <c r="O128" s="137">
        <f t="shared" si="82"/>
        <v>63.105882352941002</v>
      </c>
      <c r="P128" s="100">
        <f t="shared" si="77"/>
        <v>-1</v>
      </c>
      <c r="Q128" s="139">
        <f t="shared" si="78"/>
        <v>-16.894117647058998</v>
      </c>
      <c r="R128" s="140">
        <f t="shared" si="79"/>
        <v>0.78882352941176248</v>
      </c>
      <c r="S128" s="621"/>
      <c r="T128" s="96">
        <v>0.84166666666666656</v>
      </c>
      <c r="U128" s="96">
        <v>0.85902777777777772</v>
      </c>
      <c r="V128" s="65">
        <v>22</v>
      </c>
      <c r="W128" s="322">
        <f t="shared" si="83"/>
        <v>25.000000000000071</v>
      </c>
      <c r="X128" s="112">
        <v>0.82986111111111116</v>
      </c>
      <c r="Y128" s="112">
        <v>0.83888888888888891</v>
      </c>
      <c r="Z128" s="100"/>
      <c r="AA128" s="100"/>
      <c r="AB128" s="601"/>
      <c r="AC128" s="601"/>
      <c r="AD128" s="101"/>
      <c r="AE128" s="101"/>
      <c r="AF128" s="165">
        <f t="shared" si="59"/>
        <v>-367.200000000003</v>
      </c>
      <c r="AG128" s="166">
        <f t="shared" si="60"/>
        <v>0.74499999999999789</v>
      </c>
      <c r="AH128" s="623"/>
    </row>
    <row r="129" spans="1:34" ht="19.149999999999999" customHeight="1">
      <c r="A129" s="619"/>
      <c r="B129" s="192" t="s">
        <v>390</v>
      </c>
      <c r="C129" s="226"/>
      <c r="D129" s="106" t="s">
        <v>192</v>
      </c>
      <c r="E129" s="107"/>
      <c r="F129" s="85">
        <v>47.6</v>
      </c>
      <c r="G129" s="104">
        <v>1158</v>
      </c>
      <c r="H129" s="87">
        <f t="shared" si="80"/>
        <v>55120.800000000003</v>
      </c>
      <c r="I129" s="101"/>
      <c r="J129" s="138">
        <v>19</v>
      </c>
      <c r="K129" s="104">
        <v>1440</v>
      </c>
      <c r="L129" s="137">
        <v>75.78947368421052</v>
      </c>
      <c r="M129" s="189">
        <v>18</v>
      </c>
      <c r="N129" s="104">
        <f t="shared" si="81"/>
        <v>1310.9433962264159</v>
      </c>
      <c r="O129" s="137">
        <f t="shared" si="82"/>
        <v>72.830188679245325</v>
      </c>
      <c r="P129" s="100">
        <f t="shared" si="77"/>
        <v>-1</v>
      </c>
      <c r="Q129" s="139">
        <f t="shared" si="78"/>
        <v>-2.9592850049651958</v>
      </c>
      <c r="R129" s="140">
        <f t="shared" si="79"/>
        <v>0.96095387840670921</v>
      </c>
      <c r="S129" s="621"/>
      <c r="T129" s="96">
        <v>0.86458333333333326</v>
      </c>
      <c r="U129" s="96">
        <v>0.9013888888888888</v>
      </c>
      <c r="V129" s="65">
        <v>8</v>
      </c>
      <c r="W129" s="322">
        <f t="shared" si="83"/>
        <v>52.999999999999972</v>
      </c>
      <c r="X129" s="112"/>
      <c r="Y129" s="112"/>
      <c r="Z129" s="100"/>
      <c r="AA129" s="100"/>
      <c r="AB129" s="601"/>
      <c r="AC129" s="601"/>
      <c r="AD129" s="101"/>
      <c r="AE129" s="101"/>
      <c r="AF129" s="165"/>
      <c r="AG129" s="166"/>
      <c r="AH129" s="623"/>
    </row>
    <row r="130" spans="1:34" ht="19.149999999999999" customHeight="1">
      <c r="A130" s="619"/>
      <c r="B130" s="278" t="s">
        <v>390</v>
      </c>
      <c r="C130" s="226"/>
      <c r="D130" s="106" t="s">
        <v>193</v>
      </c>
      <c r="E130" s="107"/>
      <c r="F130" s="85">
        <v>57.3</v>
      </c>
      <c r="G130" s="104">
        <v>799</v>
      </c>
      <c r="H130" s="87">
        <f t="shared" si="80"/>
        <v>45782.7</v>
      </c>
      <c r="I130" s="101"/>
      <c r="J130" s="138">
        <v>17</v>
      </c>
      <c r="K130" s="104">
        <v>1385</v>
      </c>
      <c r="L130" s="137">
        <v>81.470588235294116</v>
      </c>
      <c r="M130" s="189">
        <v>18</v>
      </c>
      <c r="N130" s="104">
        <f t="shared" si="81"/>
        <v>1198.4999999999995</v>
      </c>
      <c r="O130" s="137">
        <f t="shared" si="82"/>
        <v>66.583333333333314</v>
      </c>
      <c r="P130" s="100">
        <f t="shared" si="77"/>
        <v>1</v>
      </c>
      <c r="Q130" s="139">
        <f t="shared" si="78"/>
        <v>-14.887254901960802</v>
      </c>
      <c r="R130" s="140">
        <f t="shared" si="79"/>
        <v>0.81726835138387466</v>
      </c>
      <c r="S130" s="621"/>
      <c r="T130" s="96">
        <v>0.90624999999999989</v>
      </c>
      <c r="U130" s="96">
        <v>0.93402777777777768</v>
      </c>
      <c r="V130" s="65">
        <v>7</v>
      </c>
      <c r="W130" s="322">
        <f t="shared" si="83"/>
        <v>40.000000000000014</v>
      </c>
      <c r="X130" s="112"/>
      <c r="Y130" s="112"/>
      <c r="Z130" s="100"/>
      <c r="AA130" s="100"/>
      <c r="AB130" s="601"/>
      <c r="AC130" s="601"/>
      <c r="AD130" s="101"/>
      <c r="AE130" s="101"/>
      <c r="AF130" s="113"/>
      <c r="AG130" s="114"/>
      <c r="AH130" s="623"/>
    </row>
    <row r="131" spans="1:34" ht="19.149999999999999" customHeight="1">
      <c r="A131" s="619"/>
      <c r="B131" s="278" t="s">
        <v>390</v>
      </c>
      <c r="C131" s="226"/>
      <c r="D131" s="106" t="s">
        <v>194</v>
      </c>
      <c r="E131" s="133"/>
      <c r="F131" s="85">
        <v>50.67</v>
      </c>
      <c r="G131" s="288">
        <v>741</v>
      </c>
      <c r="H131" s="87">
        <f t="shared" si="80"/>
        <v>37546.47</v>
      </c>
      <c r="I131" s="301"/>
      <c r="J131" s="138">
        <v>19</v>
      </c>
      <c r="K131" s="104">
        <v>1636</v>
      </c>
      <c r="L131" s="137">
        <v>86.10526315789474</v>
      </c>
      <c r="M131" s="138">
        <v>18</v>
      </c>
      <c r="N131" s="247">
        <f t="shared" si="81"/>
        <v>1307.6470588235279</v>
      </c>
      <c r="O131" s="319">
        <f t="shared" si="82"/>
        <v>72.647058823529335</v>
      </c>
      <c r="P131" s="165">
        <f t="shared" si="77"/>
        <v>-1</v>
      </c>
      <c r="Q131" s="255">
        <f t="shared" si="78"/>
        <v>-13.458204334365405</v>
      </c>
      <c r="R131" s="166">
        <f t="shared" si="79"/>
        <v>0.84370056090895929</v>
      </c>
      <c r="S131" s="621"/>
      <c r="T131" s="96">
        <v>0.93819444444444433</v>
      </c>
      <c r="U131" s="96">
        <v>0.96180555555555547</v>
      </c>
      <c r="V131" s="65">
        <v>6</v>
      </c>
      <c r="W131" s="322">
        <f t="shared" si="83"/>
        <v>34.000000000000043</v>
      </c>
      <c r="X131" s="112"/>
      <c r="Y131" s="112"/>
      <c r="Z131" s="100"/>
      <c r="AA131" s="100"/>
      <c r="AB131" s="601"/>
      <c r="AC131" s="601"/>
      <c r="AD131" s="101"/>
      <c r="AE131" s="101"/>
      <c r="AF131" s="113"/>
      <c r="AG131" s="114"/>
      <c r="AH131" s="623"/>
    </row>
    <row r="132" spans="1:34" ht="19.149999999999999" customHeight="1">
      <c r="A132" s="619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0"/>
        <v>0</v>
      </c>
      <c r="I132" s="101"/>
      <c r="J132" s="138"/>
      <c r="K132" s="104"/>
      <c r="L132" s="137"/>
      <c r="M132" s="189"/>
      <c r="N132" s="104"/>
      <c r="O132" s="137"/>
      <c r="P132" s="100"/>
      <c r="Q132" s="139"/>
      <c r="R132" s="140"/>
      <c r="S132" s="621"/>
      <c r="T132" s="96"/>
      <c r="U132" s="96"/>
      <c r="V132" s="65"/>
      <c r="W132" s="322">
        <f t="shared" si="83"/>
        <v>0</v>
      </c>
      <c r="X132" s="112"/>
      <c r="Y132" s="112"/>
      <c r="Z132" s="100"/>
      <c r="AA132" s="100"/>
      <c r="AB132" s="601"/>
      <c r="AC132" s="601"/>
      <c r="AD132" s="101"/>
      <c r="AE132" s="101"/>
      <c r="AF132" s="113"/>
      <c r="AG132" s="114"/>
      <c r="AH132" s="623"/>
    </row>
    <row r="133" spans="1:34" ht="19.149999999999999" customHeight="1">
      <c r="A133" s="619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101"/>
      <c r="J133" s="138"/>
      <c r="K133" s="104"/>
      <c r="L133" s="137"/>
      <c r="M133" s="189"/>
      <c r="N133" s="104"/>
      <c r="O133" s="137"/>
      <c r="P133" s="100"/>
      <c r="Q133" s="139"/>
      <c r="R133" s="140"/>
      <c r="S133" s="621"/>
      <c r="T133" s="96"/>
      <c r="U133" s="96"/>
      <c r="V133" s="65"/>
      <c r="W133" s="322">
        <f t="shared" si="83"/>
        <v>0</v>
      </c>
      <c r="X133" s="112"/>
      <c r="Y133" s="112"/>
      <c r="Z133" s="100"/>
      <c r="AA133" s="100"/>
      <c r="AB133" s="601"/>
      <c r="AC133" s="601"/>
      <c r="AD133" s="101"/>
      <c r="AE133" s="101"/>
      <c r="AF133" s="113"/>
      <c r="AG133" s="114"/>
      <c r="AH133" s="623"/>
    </row>
    <row r="134" spans="1:34" ht="19.149999999999999" customHeight="1">
      <c r="A134" s="619"/>
      <c r="B134" s="240">
        <v>0</v>
      </c>
      <c r="C134" s="156" t="s">
        <v>287</v>
      </c>
      <c r="D134" s="602" t="s">
        <v>256</v>
      </c>
      <c r="E134" s="602"/>
      <c r="F134" s="258"/>
      <c r="G134" s="158"/>
      <c r="H134" s="159"/>
      <c r="I134" s="325"/>
      <c r="J134" s="326">
        <v>18.3</v>
      </c>
      <c r="K134" s="326">
        <v>1500.3</v>
      </c>
      <c r="L134" s="327">
        <v>82.46974574917688</v>
      </c>
      <c r="M134" s="326">
        <f t="shared" ref="M134:O134" si="84">AVERAGE(M122:M133)</f>
        <v>18.3</v>
      </c>
      <c r="N134" s="326">
        <f t="shared" si="84"/>
        <v>1226.9191669624847</v>
      </c>
      <c r="O134" s="327">
        <f t="shared" si="84"/>
        <v>67.223039123373837</v>
      </c>
      <c r="P134" s="97">
        <f t="shared" ref="P134:P141" si="85">M134-J134</f>
        <v>0</v>
      </c>
      <c r="Q134" s="205">
        <f t="shared" ref="Q134:Q141" si="86">O134-L134</f>
        <v>-15.246706625803043</v>
      </c>
      <c r="R134" s="328">
        <f t="shared" ref="R134:R141" si="87">O134/L134</f>
        <v>0.81512363731332083</v>
      </c>
      <c r="S134" s="620"/>
      <c r="T134" s="96"/>
      <c r="U134" s="96"/>
      <c r="V134" s="65"/>
      <c r="W134" s="65"/>
      <c r="X134" s="99"/>
      <c r="Y134" s="99"/>
      <c r="Z134" s="163">
        <f>SUM(Z122:Z133)</f>
        <v>0</v>
      </c>
      <c r="AA134" s="163">
        <f>SUM(AA122:AA133)</f>
        <v>0</v>
      </c>
      <c r="AB134" s="601"/>
      <c r="AC134" s="601"/>
      <c r="AD134" s="164">
        <f>SUM(AD122:AD133)</f>
        <v>0</v>
      </c>
      <c r="AE134" s="164">
        <f>SUM(AE122:AE133)</f>
        <v>0</v>
      </c>
      <c r="AF134" s="92">
        <f t="shared" si="59"/>
        <v>-273.38083303751523</v>
      </c>
      <c r="AG134" s="94">
        <f t="shared" si="60"/>
        <v>0.81778255479736373</v>
      </c>
      <c r="AH134" s="623"/>
    </row>
    <row r="135" spans="1:34" ht="19.149999999999999" customHeight="1">
      <c r="A135" s="612" t="s">
        <v>288</v>
      </c>
      <c r="B135" s="65" t="s">
        <v>390</v>
      </c>
      <c r="C135" s="101"/>
      <c r="D135" s="132" t="s">
        <v>196</v>
      </c>
      <c r="E135" s="133"/>
      <c r="F135" s="85">
        <v>50.67</v>
      </c>
      <c r="G135" s="104">
        <v>718</v>
      </c>
      <c r="H135" s="329">
        <f t="shared" ref="H135:H146" si="88">F135*G135</f>
        <v>36381.06</v>
      </c>
      <c r="I135" s="101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89">G135/W135*60</f>
        <v>1267.0588235294103</v>
      </c>
      <c r="O135" s="174">
        <f t="shared" ref="O135:O141" si="90">N135/M135</f>
        <v>74.532871972318262</v>
      </c>
      <c r="P135" s="100">
        <f t="shared" si="85"/>
        <v>0</v>
      </c>
      <c r="Q135" s="139">
        <f t="shared" si="86"/>
        <v>-13.702422145328796</v>
      </c>
      <c r="R135" s="140">
        <f t="shared" si="87"/>
        <v>0.84470588235294031</v>
      </c>
      <c r="S135" s="616">
        <f>R147</f>
        <v>0.86702784601650829</v>
      </c>
      <c r="T135" s="330">
        <v>0.70833333333333337</v>
      </c>
      <c r="U135" s="96">
        <v>0.73194444444444451</v>
      </c>
      <c r="V135" s="208">
        <v>5</v>
      </c>
      <c r="W135" s="331">
        <f t="shared" ref="W135:W147" si="91">(U135-T135)*24*60</f>
        <v>34.000000000000043</v>
      </c>
      <c r="X135" s="230"/>
      <c r="Y135" s="230"/>
      <c r="Z135" s="100"/>
      <c r="AA135" s="100"/>
      <c r="AB135" s="601"/>
      <c r="AC135" s="601"/>
      <c r="AD135" s="101"/>
      <c r="AE135" s="101"/>
      <c r="AF135" s="175">
        <f t="shared" si="59"/>
        <v>-232.94117647058965</v>
      </c>
      <c r="AG135" s="180">
        <f t="shared" si="60"/>
        <v>0.8447058823529402</v>
      </c>
      <c r="AH135" s="605">
        <f>AG147</f>
        <v>0.88051619744717868</v>
      </c>
    </row>
    <row r="136" spans="1:34" ht="19.149999999999999" customHeight="1">
      <c r="A136" s="613"/>
      <c r="B136" s="65" t="s">
        <v>390</v>
      </c>
      <c r="C136" s="101"/>
      <c r="D136" s="132" t="s">
        <v>197</v>
      </c>
      <c r="E136" s="332"/>
      <c r="F136" s="85">
        <v>50.98</v>
      </c>
      <c r="G136" s="104">
        <v>1426</v>
      </c>
      <c r="H136" s="135">
        <f t="shared" si="88"/>
        <v>72697.48</v>
      </c>
      <c r="I136" s="101"/>
      <c r="J136" s="89">
        <v>18</v>
      </c>
      <c r="K136" s="104">
        <v>1440</v>
      </c>
      <c r="L136" s="137">
        <v>80</v>
      </c>
      <c r="M136" s="189">
        <v>19</v>
      </c>
      <c r="N136" s="104">
        <f t="shared" si="89"/>
        <v>1316.3076923076937</v>
      </c>
      <c r="O136" s="137">
        <f t="shared" si="90"/>
        <v>69.279352226720718</v>
      </c>
      <c r="P136" s="100">
        <f t="shared" si="85"/>
        <v>1</v>
      </c>
      <c r="Q136" s="139">
        <f t="shared" si="86"/>
        <v>-10.720647773279282</v>
      </c>
      <c r="R136" s="140">
        <f t="shared" si="87"/>
        <v>0.86599190283400895</v>
      </c>
      <c r="S136" s="616"/>
      <c r="T136" s="330">
        <v>0.73611111111111116</v>
      </c>
      <c r="U136" s="96">
        <v>0.78125</v>
      </c>
      <c r="V136" s="208">
        <v>6</v>
      </c>
      <c r="W136" s="88">
        <f t="shared" si="91"/>
        <v>64.999999999999929</v>
      </c>
      <c r="X136" s="99"/>
      <c r="Y136" s="99"/>
      <c r="Z136" s="100"/>
      <c r="AA136" s="100"/>
      <c r="AB136" s="601"/>
      <c r="AC136" s="601"/>
      <c r="AD136" s="101"/>
      <c r="AE136" s="101"/>
      <c r="AF136" s="92">
        <f t="shared" si="59"/>
        <v>-123.69230769230626</v>
      </c>
      <c r="AG136" s="186">
        <f t="shared" si="60"/>
        <v>0.91410256410256507</v>
      </c>
      <c r="AH136" s="605"/>
    </row>
    <row r="137" spans="1:34" ht="19.149999999999999" customHeight="1">
      <c r="A137" s="613"/>
      <c r="B137" s="65" t="s">
        <v>390</v>
      </c>
      <c r="C137" s="101"/>
      <c r="D137" s="132" t="s">
        <v>198</v>
      </c>
      <c r="E137" s="133"/>
      <c r="F137" s="85">
        <v>54.09</v>
      </c>
      <c r="G137" s="288">
        <v>814</v>
      </c>
      <c r="H137" s="135">
        <f t="shared" si="88"/>
        <v>44029.26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89"/>
        <v>1252.3076923076917</v>
      </c>
      <c r="O137" s="137">
        <f t="shared" si="90"/>
        <v>69.572649572649539</v>
      </c>
      <c r="P137" s="100">
        <f t="shared" si="85"/>
        <v>-1</v>
      </c>
      <c r="Q137" s="139">
        <f t="shared" si="86"/>
        <v>-9.3747188484030914</v>
      </c>
      <c r="R137" s="140">
        <f t="shared" si="87"/>
        <v>0.8812535612535608</v>
      </c>
      <c r="S137" s="616"/>
      <c r="T137" s="96">
        <v>0.78611111111111109</v>
      </c>
      <c r="U137" s="96">
        <v>0.81319444444444444</v>
      </c>
      <c r="V137" s="333">
        <v>7</v>
      </c>
      <c r="W137" s="88">
        <f t="shared" si="91"/>
        <v>39.000000000000021</v>
      </c>
      <c r="X137" s="99"/>
      <c r="Y137" s="99"/>
      <c r="Z137" s="100"/>
      <c r="AA137" s="100"/>
      <c r="AB137" s="601"/>
      <c r="AC137" s="601"/>
      <c r="AD137" s="101"/>
      <c r="AE137" s="101"/>
      <c r="AF137" s="92">
        <f t="shared" si="59"/>
        <v>-247.6923076923083</v>
      </c>
      <c r="AG137" s="186">
        <f t="shared" si="60"/>
        <v>0.83487179487179441</v>
      </c>
      <c r="AH137" s="605"/>
    </row>
    <row r="138" spans="1:34" ht="19.149999999999999" customHeight="1">
      <c r="A138" s="613"/>
      <c r="B138" s="65" t="s">
        <v>390</v>
      </c>
      <c r="C138" s="303"/>
      <c r="D138" s="132" t="s">
        <v>199</v>
      </c>
      <c r="E138" s="133"/>
      <c r="F138" s="85">
        <v>50.92</v>
      </c>
      <c r="G138" s="104">
        <v>1717</v>
      </c>
      <c r="H138" s="135">
        <f t="shared" si="88"/>
        <v>87429.64</v>
      </c>
      <c r="I138" s="101"/>
      <c r="J138" s="138">
        <v>17</v>
      </c>
      <c r="K138" s="104">
        <v>1440</v>
      </c>
      <c r="L138" s="137">
        <v>84.705882352941174</v>
      </c>
      <c r="M138" s="310">
        <v>17</v>
      </c>
      <c r="N138" s="104">
        <f t="shared" si="89"/>
        <v>1355.5263157894728</v>
      </c>
      <c r="O138" s="137">
        <f t="shared" si="90"/>
        <v>79.736842105263108</v>
      </c>
      <c r="P138" s="100">
        <f t="shared" si="85"/>
        <v>0</v>
      </c>
      <c r="Q138" s="139">
        <f t="shared" si="86"/>
        <v>-4.9690402476780662</v>
      </c>
      <c r="R138" s="257">
        <f t="shared" si="87"/>
        <v>0.94133771929824506</v>
      </c>
      <c r="S138" s="616"/>
      <c r="T138" s="96">
        <v>0.82916666666666661</v>
      </c>
      <c r="U138" s="96">
        <v>0.88194444444444442</v>
      </c>
      <c r="V138" s="333">
        <v>23</v>
      </c>
      <c r="W138" s="88">
        <f t="shared" si="91"/>
        <v>76.000000000000057</v>
      </c>
      <c r="X138" s="99">
        <v>0.81666666666666676</v>
      </c>
      <c r="Y138" s="99">
        <v>0.82638888888888884</v>
      </c>
      <c r="Z138" s="100"/>
      <c r="AA138" s="100"/>
      <c r="AB138" s="601"/>
      <c r="AC138" s="601"/>
      <c r="AD138" s="101"/>
      <c r="AE138" s="101"/>
      <c r="AF138" s="92">
        <f t="shared" si="59"/>
        <v>-84.473684210527153</v>
      </c>
      <c r="AG138" s="186">
        <f t="shared" si="60"/>
        <v>0.94133771929824506</v>
      </c>
      <c r="AH138" s="605"/>
    </row>
    <row r="139" spans="1:34" ht="19.149999999999999" customHeight="1">
      <c r="A139" s="613"/>
      <c r="B139" s="65" t="s">
        <v>390</v>
      </c>
      <c r="C139" s="147"/>
      <c r="D139" s="83" t="s">
        <v>200</v>
      </c>
      <c r="E139" s="84"/>
      <c r="F139" s="85">
        <v>50.29</v>
      </c>
      <c r="G139" s="104">
        <v>617</v>
      </c>
      <c r="H139" s="135">
        <f t="shared" si="88"/>
        <v>31028.93</v>
      </c>
      <c r="I139" s="101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89"/>
        <v>1233.999999999998</v>
      </c>
      <c r="O139" s="137">
        <f t="shared" si="90"/>
        <v>68.555555555555443</v>
      </c>
      <c r="P139" s="100">
        <f t="shared" si="85"/>
        <v>0</v>
      </c>
      <c r="Q139" s="139">
        <f t="shared" si="86"/>
        <v>-11.444444444444557</v>
      </c>
      <c r="R139" s="140">
        <f t="shared" si="87"/>
        <v>0.85694444444444307</v>
      </c>
      <c r="S139" s="616"/>
      <c r="T139" s="96">
        <v>0.88611111111111107</v>
      </c>
      <c r="U139" s="96">
        <v>0.90694444444444444</v>
      </c>
      <c r="V139" s="334">
        <v>6</v>
      </c>
      <c r="W139" s="88">
        <f t="shared" si="91"/>
        <v>30.000000000000053</v>
      </c>
      <c r="X139" s="99"/>
      <c r="Y139" s="99"/>
      <c r="Z139" s="100"/>
      <c r="AA139" s="100"/>
      <c r="AB139" s="601"/>
      <c r="AC139" s="601"/>
      <c r="AD139" s="101"/>
      <c r="AE139" s="101"/>
      <c r="AF139" s="92">
        <f t="shared" si="59"/>
        <v>-206.00000000000205</v>
      </c>
      <c r="AG139" s="186">
        <f t="shared" si="60"/>
        <v>0.85694444444444307</v>
      </c>
      <c r="AH139" s="605"/>
    </row>
    <row r="140" spans="1:34" ht="19.149999999999999" customHeight="1">
      <c r="A140" s="614"/>
      <c r="B140" s="65" t="s">
        <v>390</v>
      </c>
      <c r="C140" s="147"/>
      <c r="D140" s="335" t="s">
        <v>201</v>
      </c>
      <c r="E140" s="133"/>
      <c r="F140" s="85">
        <v>50.67</v>
      </c>
      <c r="G140" s="104">
        <v>912</v>
      </c>
      <c r="H140" s="135">
        <f t="shared" si="88"/>
        <v>46211.040000000001</v>
      </c>
      <c r="I140" s="101"/>
      <c r="J140" s="89">
        <v>17</v>
      </c>
      <c r="K140" s="104">
        <v>1440</v>
      </c>
      <c r="L140" s="137">
        <v>84.705882352941174</v>
      </c>
      <c r="M140" s="310">
        <v>19</v>
      </c>
      <c r="N140" s="104">
        <f t="shared" si="89"/>
        <v>1302.8571428571424</v>
      </c>
      <c r="O140" s="137">
        <f t="shared" si="90"/>
        <v>68.571428571428555</v>
      </c>
      <c r="P140" s="100">
        <f t="shared" si="85"/>
        <v>2</v>
      </c>
      <c r="Q140" s="139">
        <f t="shared" si="86"/>
        <v>-16.134453781512619</v>
      </c>
      <c r="R140" s="140">
        <f t="shared" si="87"/>
        <v>0.80952380952380931</v>
      </c>
      <c r="S140" s="617"/>
      <c r="T140" s="111">
        <v>0.91180555555555554</v>
      </c>
      <c r="U140" s="336">
        <v>0.94097222222222221</v>
      </c>
      <c r="V140" s="337">
        <v>7</v>
      </c>
      <c r="W140" s="88">
        <f t="shared" si="91"/>
        <v>42.000000000000014</v>
      </c>
      <c r="X140" s="99"/>
      <c r="Y140" s="99"/>
      <c r="Z140" s="100"/>
      <c r="AA140" s="100"/>
      <c r="AB140" s="601"/>
      <c r="AC140" s="601"/>
      <c r="AD140" s="101"/>
      <c r="AE140" s="101"/>
      <c r="AF140" s="92">
        <f t="shared" si="59"/>
        <v>-137.14285714285757</v>
      </c>
      <c r="AG140" s="186">
        <f t="shared" si="60"/>
        <v>0.90476190476190443</v>
      </c>
      <c r="AH140" s="605"/>
    </row>
    <row r="141" spans="1:34" ht="19.149999999999999" customHeight="1">
      <c r="A141" s="614"/>
      <c r="B141" s="65" t="s">
        <v>390</v>
      </c>
      <c r="C141" s="147"/>
      <c r="D141" s="83" t="s">
        <v>202</v>
      </c>
      <c r="E141" s="338"/>
      <c r="F141" s="85">
        <v>50.49</v>
      </c>
      <c r="G141" s="104">
        <v>1107</v>
      </c>
      <c r="H141" s="135">
        <f t="shared" si="88"/>
        <v>55892.43</v>
      </c>
      <c r="I141" s="101"/>
      <c r="J141" s="89">
        <v>15</v>
      </c>
      <c r="K141" s="86">
        <v>1440</v>
      </c>
      <c r="L141" s="90">
        <v>96</v>
      </c>
      <c r="M141" s="310">
        <v>15</v>
      </c>
      <c r="N141" s="104">
        <f t="shared" si="89"/>
        <v>1253.207547169812</v>
      </c>
      <c r="O141" s="137">
        <f t="shared" si="90"/>
        <v>83.547169811320799</v>
      </c>
      <c r="P141" s="100">
        <f t="shared" si="85"/>
        <v>0</v>
      </c>
      <c r="Q141" s="139">
        <f t="shared" si="86"/>
        <v>-12.452830188679201</v>
      </c>
      <c r="R141" s="257">
        <f t="shared" si="87"/>
        <v>0.87028301886792503</v>
      </c>
      <c r="S141" s="617"/>
      <c r="T141" s="111">
        <v>0.94652777777777775</v>
      </c>
      <c r="U141" s="336">
        <v>0.98333333333333328</v>
      </c>
      <c r="V141" s="102">
        <v>8</v>
      </c>
      <c r="W141" s="88">
        <f t="shared" si="91"/>
        <v>52.999999999999972</v>
      </c>
      <c r="X141" s="99"/>
      <c r="Y141" s="99"/>
      <c r="Z141" s="100"/>
      <c r="AA141" s="100"/>
      <c r="AB141" s="601"/>
      <c r="AC141" s="601"/>
      <c r="AD141" s="101"/>
      <c r="AE141" s="101"/>
      <c r="AF141" s="92">
        <f t="shared" si="59"/>
        <v>-186.79245283018804</v>
      </c>
      <c r="AG141" s="186">
        <f t="shared" si="60"/>
        <v>0.87028301886792492</v>
      </c>
      <c r="AH141" s="605"/>
    </row>
    <row r="142" spans="1:34" ht="19.149999999999999" customHeight="1">
      <c r="A142" s="614"/>
      <c r="B142" s="65">
        <v>0</v>
      </c>
      <c r="C142" s="147"/>
      <c r="D142" s="83"/>
      <c r="E142" s="338"/>
      <c r="F142" s="85" t="s">
        <v>391</v>
      </c>
      <c r="G142" s="104"/>
      <c r="H142" s="135">
        <f t="shared" si="88"/>
        <v>0</v>
      </c>
      <c r="I142" s="101"/>
      <c r="J142" s="138"/>
      <c r="K142" s="104"/>
      <c r="L142" s="137"/>
      <c r="M142" s="310"/>
      <c r="N142" s="104"/>
      <c r="O142" s="137"/>
      <c r="P142" s="100"/>
      <c r="Q142" s="139"/>
      <c r="R142" s="140"/>
      <c r="S142" s="617"/>
      <c r="T142" s="111"/>
      <c r="U142" s="336"/>
      <c r="V142" s="102"/>
      <c r="W142" s="88"/>
      <c r="X142" s="99"/>
      <c r="Y142" s="99"/>
      <c r="Z142" s="100"/>
      <c r="AA142" s="100"/>
      <c r="AB142" s="601"/>
      <c r="AC142" s="601"/>
      <c r="AD142" s="101"/>
      <c r="AE142" s="101"/>
      <c r="AF142" s="92">
        <f t="shared" si="59"/>
        <v>0</v>
      </c>
      <c r="AG142" s="186" t="e">
        <f t="shared" si="60"/>
        <v>#DIV/0!</v>
      </c>
      <c r="AH142" s="605"/>
    </row>
    <row r="143" spans="1:34" ht="19.149999999999999" customHeight="1">
      <c r="A143" s="614"/>
      <c r="B143" s="65">
        <v>0</v>
      </c>
      <c r="C143" s="339"/>
      <c r="D143" s="132"/>
      <c r="E143" s="133"/>
      <c r="F143" s="85" t="s">
        <v>391</v>
      </c>
      <c r="G143" s="104"/>
      <c r="H143" s="135">
        <f t="shared" si="88"/>
        <v>0</v>
      </c>
      <c r="I143" s="101"/>
      <c r="J143" s="89"/>
      <c r="K143" s="86"/>
      <c r="L143" s="90"/>
      <c r="M143" s="310"/>
      <c r="N143" s="104"/>
      <c r="O143" s="137"/>
      <c r="P143" s="100"/>
      <c r="Q143" s="139"/>
      <c r="R143" s="140"/>
      <c r="S143" s="617"/>
      <c r="T143" s="111"/>
      <c r="U143" s="336"/>
      <c r="V143" s="102"/>
      <c r="W143" s="88"/>
      <c r="X143" s="99"/>
      <c r="Y143" s="99"/>
      <c r="Z143" s="100"/>
      <c r="AA143" s="100"/>
      <c r="AB143" s="601"/>
      <c r="AC143" s="601"/>
      <c r="AD143" s="101"/>
      <c r="AE143" s="101"/>
      <c r="AF143" s="92">
        <f t="shared" si="59"/>
        <v>0</v>
      </c>
      <c r="AG143" s="186" t="e">
        <f t="shared" si="60"/>
        <v>#DIV/0!</v>
      </c>
      <c r="AH143" s="605"/>
    </row>
    <row r="144" spans="1:34" ht="19.149999999999999" customHeight="1">
      <c r="A144" s="614"/>
      <c r="B144" s="65">
        <v>0</v>
      </c>
      <c r="C144" s="147"/>
      <c r="D144" s="83"/>
      <c r="E144" s="338"/>
      <c r="F144" s="85" t="s">
        <v>391</v>
      </c>
      <c r="G144" s="104"/>
      <c r="H144" s="135">
        <f t="shared" si="88"/>
        <v>0</v>
      </c>
      <c r="I144" s="101"/>
      <c r="J144" s="89"/>
      <c r="K144" s="104"/>
      <c r="L144" s="137"/>
      <c r="M144" s="189"/>
      <c r="N144" s="104"/>
      <c r="O144" s="137"/>
      <c r="P144" s="100"/>
      <c r="Q144" s="139"/>
      <c r="R144" s="257"/>
      <c r="S144" s="617"/>
      <c r="T144" s="111"/>
      <c r="U144" s="336"/>
      <c r="V144" s="102"/>
      <c r="W144" s="88"/>
      <c r="X144" s="99"/>
      <c r="Y144" s="99"/>
      <c r="Z144" s="100"/>
      <c r="AA144" s="100"/>
      <c r="AB144" s="601"/>
      <c r="AC144" s="601"/>
      <c r="AD144" s="101"/>
      <c r="AE144" s="101"/>
      <c r="AF144" s="92">
        <f t="shared" si="59"/>
        <v>0</v>
      </c>
      <c r="AG144" s="186" t="e">
        <f t="shared" si="60"/>
        <v>#DIV/0!</v>
      </c>
      <c r="AH144" s="605"/>
    </row>
    <row r="145" spans="1:34" ht="19.149999999999999" customHeight="1">
      <c r="A145" s="614"/>
      <c r="B145" s="65">
        <v>0</v>
      </c>
      <c r="C145" s="147"/>
      <c r="D145" s="83"/>
      <c r="E145" s="338"/>
      <c r="F145" s="85" t="s">
        <v>391</v>
      </c>
      <c r="G145" s="104"/>
      <c r="H145" s="135">
        <f t="shared" si="88"/>
        <v>0</v>
      </c>
      <c r="I145" s="101"/>
      <c r="J145" s="138"/>
      <c r="K145" s="104"/>
      <c r="L145" s="137"/>
      <c r="M145" s="189"/>
      <c r="N145" s="104"/>
      <c r="O145" s="137"/>
      <c r="P145" s="100"/>
      <c r="Q145" s="139"/>
      <c r="R145" s="140"/>
      <c r="S145" s="617"/>
      <c r="T145" s="111"/>
      <c r="U145" s="336"/>
      <c r="V145" s="102"/>
      <c r="W145" s="88">
        <f t="shared" si="91"/>
        <v>0</v>
      </c>
      <c r="X145" s="99"/>
      <c r="Y145" s="99"/>
      <c r="Z145" s="100"/>
      <c r="AA145" s="100"/>
      <c r="AB145" s="601"/>
      <c r="AC145" s="601"/>
      <c r="AD145" s="101"/>
      <c r="AE145" s="101"/>
      <c r="AF145" s="92">
        <f t="shared" si="59"/>
        <v>0</v>
      </c>
      <c r="AG145" s="186" t="e">
        <f t="shared" si="60"/>
        <v>#DIV/0!</v>
      </c>
      <c r="AH145" s="605"/>
    </row>
    <row r="146" spans="1:34" ht="19.149999999999999" customHeight="1">
      <c r="A146" s="614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88"/>
        <v>0</v>
      </c>
      <c r="I146" s="101"/>
      <c r="J146" s="138"/>
      <c r="K146" s="104"/>
      <c r="L146" s="137"/>
      <c r="M146" s="189"/>
      <c r="N146" s="104"/>
      <c r="O146" s="137"/>
      <c r="P146" s="100"/>
      <c r="Q146" s="139"/>
      <c r="R146" s="140"/>
      <c r="S146" s="617"/>
      <c r="T146" s="111"/>
      <c r="U146" s="336"/>
      <c r="V146" s="102"/>
      <c r="W146" s="88">
        <f t="shared" si="91"/>
        <v>0</v>
      </c>
      <c r="X146" s="99"/>
      <c r="Y146" s="99"/>
      <c r="Z146" s="100"/>
      <c r="AA146" s="100"/>
      <c r="AB146" s="601"/>
      <c r="AC146" s="601"/>
      <c r="AD146" s="101"/>
      <c r="AE146" s="101"/>
      <c r="AF146" s="100"/>
      <c r="AG146" s="140"/>
      <c r="AH146" s="605"/>
    </row>
    <row r="147" spans="1:34" ht="19.149999999999999" customHeight="1">
      <c r="A147" s="615"/>
      <c r="B147" s="341">
        <v>0</v>
      </c>
      <c r="C147" s="156" t="s">
        <v>278</v>
      </c>
      <c r="D147" s="602" t="s">
        <v>256</v>
      </c>
      <c r="E147" s="602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2">AVERAGE(M135:M146)</f>
        <v>17.571428571428573</v>
      </c>
      <c r="N147" s="326">
        <f t="shared" si="92"/>
        <v>1283.037887708746</v>
      </c>
      <c r="O147" s="327">
        <f t="shared" si="92"/>
        <v>73.399409973608059</v>
      </c>
      <c r="P147" s="97">
        <f t="shared" ref="P147:P152" si="93">M147-J147</f>
        <v>0.28571428571428825</v>
      </c>
      <c r="Q147" s="205">
        <f t="shared" ref="Q147:Q152" si="94">O147-L147</f>
        <v>-11.256936775617945</v>
      </c>
      <c r="R147" s="343">
        <f t="shared" ref="R147:R152" si="95">O147/L147</f>
        <v>0.86702784601650829</v>
      </c>
      <c r="S147" s="618"/>
      <c r="T147" s="111"/>
      <c r="U147" s="111"/>
      <c r="V147" s="102"/>
      <c r="W147" s="88">
        <f t="shared" si="91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01"/>
      <c r="AC147" s="601"/>
      <c r="AD147" s="164">
        <f>SUM(AD135:AD146)</f>
        <v>0</v>
      </c>
      <c r="AE147" s="164">
        <f>SUM(AE135:AE146)</f>
        <v>0</v>
      </c>
      <c r="AF147" s="282">
        <f t="shared" si="59"/>
        <v>-174.10496943411113</v>
      </c>
      <c r="AG147" s="344">
        <f t="shared" si="60"/>
        <v>0.88051619744717868</v>
      </c>
      <c r="AH147" s="605"/>
    </row>
    <row r="148" spans="1:34" ht="19.149999999999999" customHeight="1">
      <c r="A148" s="608" t="s">
        <v>279</v>
      </c>
      <c r="B148" s="101" t="s">
        <v>390</v>
      </c>
      <c r="C148" s="182"/>
      <c r="D148" s="246" t="s">
        <v>204</v>
      </c>
      <c r="E148" s="84"/>
      <c r="F148" s="199">
        <v>57.3</v>
      </c>
      <c r="G148" s="104">
        <v>1071</v>
      </c>
      <c r="H148" s="135">
        <f t="shared" ref="H148:H172" si="96">F148*G148</f>
        <v>61368.299999999996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1285.2000000000003</v>
      </c>
      <c r="O148" s="90">
        <f>N148/M148</f>
        <v>71.40000000000002</v>
      </c>
      <c r="P148" s="92">
        <f t="shared" si="93"/>
        <v>-1</v>
      </c>
      <c r="Q148" s="93">
        <f t="shared" si="94"/>
        <v>-4.3894736842105004</v>
      </c>
      <c r="R148" s="94">
        <f t="shared" si="95"/>
        <v>0.94208333333333372</v>
      </c>
      <c r="S148" s="609">
        <f>R160</f>
        <v>0.87141548464925478</v>
      </c>
      <c r="T148" s="330">
        <v>0.70833333333333337</v>
      </c>
      <c r="U148" s="96">
        <v>0.74305555555555558</v>
      </c>
      <c r="V148" s="65">
        <v>5</v>
      </c>
      <c r="W148" s="88">
        <f>(U148-T148)*24*60</f>
        <v>49.999999999999986</v>
      </c>
      <c r="X148" s="99"/>
      <c r="Y148" s="99"/>
      <c r="Z148" s="100"/>
      <c r="AA148" s="100"/>
      <c r="AB148" s="601"/>
      <c r="AC148" s="601"/>
      <c r="AD148" s="101"/>
      <c r="AE148" s="101"/>
      <c r="AF148" s="92">
        <f t="shared" si="59"/>
        <v>-154.79999999999973</v>
      </c>
      <c r="AG148" s="186">
        <f t="shared" si="60"/>
        <v>0.89250000000000018</v>
      </c>
      <c r="AH148" s="605">
        <f>AG160</f>
        <v>0.8567030042950059</v>
      </c>
    </row>
    <row r="149" spans="1:34" ht="19.149999999999999" customHeight="1">
      <c r="A149" s="608"/>
      <c r="B149" s="101" t="s">
        <v>390</v>
      </c>
      <c r="C149" s="301"/>
      <c r="D149" s="335" t="s">
        <v>205</v>
      </c>
      <c r="E149" s="107"/>
      <c r="F149" s="199">
        <v>50.67</v>
      </c>
      <c r="G149" s="104">
        <v>686</v>
      </c>
      <c r="H149" s="135">
        <f t="shared" si="96"/>
        <v>34759.620000000003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1286.2499999999982</v>
      </c>
      <c r="O149" s="90">
        <f>N149/M149</f>
        <v>75.661764705882248</v>
      </c>
      <c r="P149" s="92">
        <f t="shared" si="93"/>
        <v>1</v>
      </c>
      <c r="Q149" s="93">
        <f t="shared" si="94"/>
        <v>-14.338235294117752</v>
      </c>
      <c r="R149" s="94">
        <f t="shared" si="95"/>
        <v>0.84068627450980271</v>
      </c>
      <c r="S149" s="610"/>
      <c r="T149" s="330">
        <v>0.74861111111111112</v>
      </c>
      <c r="U149" s="96">
        <v>0.77083333333333337</v>
      </c>
      <c r="V149" s="65">
        <v>8</v>
      </c>
      <c r="W149" s="88">
        <f t="shared" ref="W149:W159" si="97">(U149-T149)*24*60</f>
        <v>32.000000000000043</v>
      </c>
      <c r="X149" s="99"/>
      <c r="Y149" s="99"/>
      <c r="Z149" s="100"/>
      <c r="AA149" s="100"/>
      <c r="AB149" s="601"/>
      <c r="AC149" s="601"/>
      <c r="AD149" s="101"/>
      <c r="AE149" s="101">
        <v>1</v>
      </c>
      <c r="AF149" s="92">
        <f t="shared" si="59"/>
        <v>-153.75000000000182</v>
      </c>
      <c r="AG149" s="186">
        <f t="shared" si="60"/>
        <v>0.89322916666666541</v>
      </c>
      <c r="AH149" s="611"/>
    </row>
    <row r="150" spans="1:34" ht="19.149999999999999" customHeight="1">
      <c r="A150" s="608"/>
      <c r="B150" s="101" t="s">
        <v>386</v>
      </c>
      <c r="C150" s="301"/>
      <c r="D150" s="249" t="s">
        <v>186</v>
      </c>
      <c r="E150" s="107"/>
      <c r="F150" s="199">
        <v>59.52</v>
      </c>
      <c r="G150" s="104">
        <v>336.20000000000005</v>
      </c>
      <c r="H150" s="135">
        <f t="shared" si="96"/>
        <v>20010.624000000003</v>
      </c>
      <c r="I150" s="345">
        <v>2</v>
      </c>
      <c r="J150" s="138">
        <v>21</v>
      </c>
      <c r="K150" s="104">
        <v>1385</v>
      </c>
      <c r="L150" s="137">
        <v>65.952380952380949</v>
      </c>
      <c r="M150" s="310">
        <v>20</v>
      </c>
      <c r="N150" s="86">
        <f>G150/W150*60</f>
        <v>1186.5882352941219</v>
      </c>
      <c r="O150" s="90">
        <f>N150/M150</f>
        <v>59.329411764706094</v>
      </c>
      <c r="P150" s="92">
        <f t="shared" si="93"/>
        <v>-1</v>
      </c>
      <c r="Q150" s="93">
        <f t="shared" si="94"/>
        <v>-6.6229691876748547</v>
      </c>
      <c r="R150" s="94">
        <f t="shared" si="95"/>
        <v>0.8995795285623307</v>
      </c>
      <c r="S150" s="610"/>
      <c r="T150" s="330">
        <v>0.77569444444444446</v>
      </c>
      <c r="U150" s="96">
        <v>0.78749999999999998</v>
      </c>
      <c r="V150" s="65">
        <v>7</v>
      </c>
      <c r="W150" s="88">
        <f t="shared" si="97"/>
        <v>16.99999999999994</v>
      </c>
      <c r="X150" s="295"/>
      <c r="Y150" s="295"/>
      <c r="Z150" s="296"/>
      <c r="AA150" s="296"/>
      <c r="AB150" s="601"/>
      <c r="AC150" s="601"/>
      <c r="AD150" s="101"/>
      <c r="AE150" s="101"/>
      <c r="AF150" s="92">
        <f t="shared" si="59"/>
        <v>-198.41176470587811</v>
      </c>
      <c r="AG150" s="186">
        <f t="shared" si="60"/>
        <v>0.85674240815460068</v>
      </c>
      <c r="AH150" s="611"/>
    </row>
    <row r="151" spans="1:34" s="298" customFormat="1" ht="19.149999999999999" customHeight="1">
      <c r="A151" s="608"/>
      <c r="B151" s="101" t="s">
        <v>390</v>
      </c>
      <c r="C151" s="301"/>
      <c r="D151" s="106" t="s">
        <v>179</v>
      </c>
      <c r="E151" s="107"/>
      <c r="F151" s="199">
        <v>51.75</v>
      </c>
      <c r="G151" s="104">
        <v>235</v>
      </c>
      <c r="H151" s="135">
        <f t="shared" si="96"/>
        <v>12161.25</v>
      </c>
      <c r="I151" s="345">
        <v>2</v>
      </c>
      <c r="J151" s="138">
        <v>21</v>
      </c>
      <c r="K151" s="104">
        <v>1500</v>
      </c>
      <c r="L151" s="137">
        <v>71.428571428571431</v>
      </c>
      <c r="M151" s="310">
        <v>20</v>
      </c>
      <c r="N151" s="86">
        <f>G151/W151*60</f>
        <v>1175.0000000000041</v>
      </c>
      <c r="O151" s="90">
        <f>N151/M151</f>
        <v>58.750000000000206</v>
      </c>
      <c r="P151" s="92">
        <f t="shared" si="93"/>
        <v>-1</v>
      </c>
      <c r="Q151" s="93">
        <f t="shared" si="94"/>
        <v>-12.678571428571225</v>
      </c>
      <c r="R151" s="94">
        <f t="shared" si="95"/>
        <v>0.8225000000000029</v>
      </c>
      <c r="S151" s="610"/>
      <c r="T151" s="330">
        <v>0.79166666666666663</v>
      </c>
      <c r="U151" s="96">
        <v>0.79999999999999993</v>
      </c>
      <c r="V151" s="65">
        <v>6</v>
      </c>
      <c r="W151" s="88">
        <f t="shared" si="97"/>
        <v>11.999999999999957</v>
      </c>
      <c r="X151" s="295"/>
      <c r="Y151" s="295"/>
      <c r="Z151" s="296"/>
      <c r="AA151" s="296"/>
      <c r="AB151" s="601"/>
      <c r="AC151" s="601"/>
      <c r="AD151" s="301"/>
      <c r="AE151" s="301"/>
      <c r="AF151" s="92">
        <f t="shared" si="59"/>
        <v>-324.99999999999591</v>
      </c>
      <c r="AG151" s="186">
        <f t="shared" si="60"/>
        <v>0.7833333333333361</v>
      </c>
      <c r="AH151" s="611"/>
    </row>
    <row r="152" spans="1:34" s="298" customFormat="1" ht="19.149999999999999" customHeight="1">
      <c r="A152" s="608"/>
      <c r="B152" s="101" t="s">
        <v>390</v>
      </c>
      <c r="C152" s="301"/>
      <c r="D152" s="335" t="s">
        <v>206</v>
      </c>
      <c r="E152" s="107"/>
      <c r="F152" s="199">
        <v>57.3</v>
      </c>
      <c r="G152" s="104">
        <v>1420</v>
      </c>
      <c r="H152" s="135">
        <f t="shared" si="96"/>
        <v>81366</v>
      </c>
      <c r="I152" s="345"/>
      <c r="J152" s="138">
        <v>17</v>
      </c>
      <c r="K152" s="104">
        <v>1500</v>
      </c>
      <c r="L152" s="137">
        <v>88.235294117647058</v>
      </c>
      <c r="M152" s="310">
        <v>17</v>
      </c>
      <c r="N152" s="86">
        <f>G152/W152*60</f>
        <v>1290.9090909090921</v>
      </c>
      <c r="O152" s="90">
        <f>N152/M152</f>
        <v>75.93582887700542</v>
      </c>
      <c r="P152" s="92">
        <f t="shared" si="93"/>
        <v>0</v>
      </c>
      <c r="Q152" s="93">
        <f t="shared" si="94"/>
        <v>-12.299465240641638</v>
      </c>
      <c r="R152" s="94">
        <f t="shared" si="95"/>
        <v>0.86060606060606148</v>
      </c>
      <c r="S152" s="610"/>
      <c r="T152" s="346">
        <v>0.81527777777777766</v>
      </c>
      <c r="U152" s="111">
        <v>0.86111111111111094</v>
      </c>
      <c r="V152" s="109">
        <v>22</v>
      </c>
      <c r="W152" s="88">
        <f t="shared" si="97"/>
        <v>65.999999999999929</v>
      </c>
      <c r="X152" s="299">
        <v>0.80347222222222225</v>
      </c>
      <c r="Y152" s="299">
        <v>0.8125</v>
      </c>
      <c r="Z152" s="296"/>
      <c r="AA152" s="296"/>
      <c r="AB152" s="601"/>
      <c r="AC152" s="601"/>
      <c r="AD152" s="301"/>
      <c r="AE152" s="301"/>
      <c r="AF152" s="92">
        <f t="shared" si="59"/>
        <v>-209.09090909090787</v>
      </c>
      <c r="AG152" s="186">
        <f t="shared" si="60"/>
        <v>0.86060606060606137</v>
      </c>
      <c r="AH152" s="611"/>
    </row>
    <row r="153" spans="1:34" s="298" customFormat="1" ht="19.149999999999999" customHeight="1">
      <c r="A153" s="608"/>
      <c r="B153" s="101">
        <v>0</v>
      </c>
      <c r="C153" s="301"/>
      <c r="D153" s="335"/>
      <c r="E153" s="107"/>
      <c r="F153" s="199" t="s">
        <v>391</v>
      </c>
      <c r="G153" s="104"/>
      <c r="H153" s="135">
        <f t="shared" si="96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4"/>
      <c r="S153" s="610"/>
      <c r="T153" s="346"/>
      <c r="U153" s="111"/>
      <c r="V153" s="109"/>
      <c r="W153" s="88">
        <f t="shared" si="97"/>
        <v>0</v>
      </c>
      <c r="X153" s="299"/>
      <c r="Y153" s="299"/>
      <c r="Z153" s="296"/>
      <c r="AA153" s="296"/>
      <c r="AB153" s="601"/>
      <c r="AC153" s="601"/>
      <c r="AD153" s="301"/>
      <c r="AE153" s="301"/>
      <c r="AF153" s="92">
        <f t="shared" si="59"/>
        <v>0</v>
      </c>
      <c r="AG153" s="186" t="e">
        <f t="shared" si="60"/>
        <v>#DIV/0!</v>
      </c>
      <c r="AH153" s="611"/>
    </row>
    <row r="154" spans="1:34" s="298" customFormat="1" ht="19.149999999999999" customHeight="1">
      <c r="A154" s="608"/>
      <c r="B154" s="101">
        <v>0</v>
      </c>
      <c r="C154" s="301"/>
      <c r="D154" s="335"/>
      <c r="E154" s="107"/>
      <c r="F154" s="199" t="s">
        <v>391</v>
      </c>
      <c r="G154" s="104"/>
      <c r="H154" s="135">
        <f t="shared" si="96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10"/>
      <c r="T154" s="346"/>
      <c r="U154" s="111"/>
      <c r="V154" s="109"/>
      <c r="W154" s="88">
        <f t="shared" si="97"/>
        <v>0</v>
      </c>
      <c r="X154" s="299"/>
      <c r="Y154" s="299"/>
      <c r="Z154" s="296"/>
      <c r="AA154" s="296"/>
      <c r="AB154" s="601"/>
      <c r="AC154" s="601"/>
      <c r="AD154" s="301"/>
      <c r="AE154" s="301"/>
      <c r="AF154" s="92">
        <f t="shared" si="59"/>
        <v>0</v>
      </c>
      <c r="AG154" s="186" t="e">
        <f t="shared" si="60"/>
        <v>#DIV/0!</v>
      </c>
      <c r="AH154" s="611"/>
    </row>
    <row r="155" spans="1:34" s="298" customFormat="1" ht="19.149999999999999" customHeight="1">
      <c r="A155" s="608"/>
      <c r="B155" s="101">
        <v>0</v>
      </c>
      <c r="C155" s="301"/>
      <c r="D155" s="335"/>
      <c r="E155" s="107"/>
      <c r="F155" s="199" t="s">
        <v>391</v>
      </c>
      <c r="G155" s="104"/>
      <c r="H155" s="135">
        <f t="shared" si="96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10"/>
      <c r="T155" s="346"/>
      <c r="U155" s="111"/>
      <c r="V155" s="109"/>
      <c r="W155" s="88">
        <f t="shared" si="97"/>
        <v>0</v>
      </c>
      <c r="X155" s="299"/>
      <c r="Y155" s="299"/>
      <c r="Z155" s="296"/>
      <c r="AA155" s="296"/>
      <c r="AB155" s="601"/>
      <c r="AC155" s="601"/>
      <c r="AD155" s="301"/>
      <c r="AE155" s="301"/>
      <c r="AF155" s="349"/>
      <c r="AG155" s="191"/>
      <c r="AH155" s="611"/>
    </row>
    <row r="156" spans="1:34" s="298" customFormat="1" ht="19.149999999999999" customHeight="1">
      <c r="A156" s="608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6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10"/>
      <c r="T156" s="346"/>
      <c r="U156" s="111"/>
      <c r="V156" s="109"/>
      <c r="W156" s="350">
        <f t="shared" si="97"/>
        <v>0</v>
      </c>
      <c r="X156" s="299"/>
      <c r="Y156" s="299"/>
      <c r="Z156" s="296"/>
      <c r="AA156" s="296"/>
      <c r="AB156" s="601"/>
      <c r="AC156" s="601"/>
      <c r="AD156" s="301"/>
      <c r="AE156" s="301"/>
      <c r="AF156" s="349"/>
      <c r="AG156" s="191"/>
      <c r="AH156" s="611"/>
    </row>
    <row r="157" spans="1:34" s="298" customFormat="1" ht="19.149999999999999" customHeight="1">
      <c r="A157" s="608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6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10"/>
      <c r="T157" s="346"/>
      <c r="U157" s="111"/>
      <c r="V157" s="109"/>
      <c r="W157" s="350">
        <f t="shared" si="97"/>
        <v>0</v>
      </c>
      <c r="X157" s="299"/>
      <c r="Y157" s="299"/>
      <c r="Z157" s="296"/>
      <c r="AA157" s="296"/>
      <c r="AB157" s="601"/>
      <c r="AC157" s="601"/>
      <c r="AD157" s="301"/>
      <c r="AE157" s="301"/>
      <c r="AF157" s="349"/>
      <c r="AG157" s="191"/>
      <c r="AH157" s="611"/>
    </row>
    <row r="158" spans="1:34" s="298" customFormat="1" ht="19.149999999999999" customHeight="1">
      <c r="A158" s="608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6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10"/>
      <c r="T158" s="346"/>
      <c r="U158" s="111"/>
      <c r="V158" s="109"/>
      <c r="W158" s="350">
        <f t="shared" si="97"/>
        <v>0</v>
      </c>
      <c r="X158" s="299"/>
      <c r="Y158" s="299"/>
      <c r="Z158" s="296"/>
      <c r="AA158" s="296"/>
      <c r="AB158" s="601"/>
      <c r="AC158" s="601"/>
      <c r="AD158" s="301"/>
      <c r="AE158" s="301"/>
      <c r="AF158" s="349"/>
      <c r="AG158" s="191"/>
      <c r="AH158" s="611"/>
    </row>
    <row r="159" spans="1:34" s="298" customFormat="1" ht="19.149999999999999" customHeight="1">
      <c r="A159" s="608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6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10"/>
      <c r="T159" s="346"/>
      <c r="U159" s="111"/>
      <c r="V159" s="109"/>
      <c r="W159" s="351">
        <f t="shared" si="97"/>
        <v>0</v>
      </c>
      <c r="X159" s="299"/>
      <c r="Y159" s="299"/>
      <c r="Z159" s="296"/>
      <c r="AA159" s="296"/>
      <c r="AB159" s="601"/>
      <c r="AC159" s="601"/>
      <c r="AD159" s="301"/>
      <c r="AE159" s="301"/>
      <c r="AF159" s="349"/>
      <c r="AG159" s="191"/>
      <c r="AH159" s="611"/>
    </row>
    <row r="160" spans="1:34" ht="19.149999999999999" customHeight="1">
      <c r="A160" s="608"/>
      <c r="B160" s="352">
        <v>0</v>
      </c>
      <c r="C160" s="353" t="s">
        <v>280</v>
      </c>
      <c r="D160" s="606" t="s">
        <v>256</v>
      </c>
      <c r="E160" s="607"/>
      <c r="F160" s="119"/>
      <c r="G160" s="280"/>
      <c r="H160" s="279"/>
      <c r="I160" s="122"/>
      <c r="J160" s="354">
        <v>18.8</v>
      </c>
      <c r="K160" s="354">
        <v>1453</v>
      </c>
      <c r="L160" s="355">
        <v>78.281144036561997</v>
      </c>
      <c r="M160" s="354">
        <f t="shared" ref="M160:O160" si="98">AVERAGE(M148:M159)</f>
        <v>18.399999999999999</v>
      </c>
      <c r="N160" s="354">
        <f t="shared" si="98"/>
        <v>1244.7894652406435</v>
      </c>
      <c r="O160" s="355">
        <f t="shared" si="98"/>
        <v>68.215401069518791</v>
      </c>
      <c r="P160" s="113">
        <f t="shared" ref="P160:P165" si="99">M160-J160</f>
        <v>-0.40000000000000213</v>
      </c>
      <c r="Q160" s="124">
        <f t="shared" ref="Q160:Q165" si="100">O160-L160</f>
        <v>-10.065742967043207</v>
      </c>
      <c r="R160" s="356">
        <f>O160/L160</f>
        <v>0.87141548464925478</v>
      </c>
      <c r="S160" s="610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01"/>
      <c r="AC160" s="601"/>
      <c r="AD160" s="129">
        <f>SUM(AD148:AD159)</f>
        <v>0</v>
      </c>
      <c r="AE160" s="129">
        <f>SUM(AE148:AE159)</f>
        <v>1</v>
      </c>
      <c r="AF160" s="113">
        <f t="shared" si="59"/>
        <v>-208.21053475935651</v>
      </c>
      <c r="AG160" s="191">
        <f t="shared" si="60"/>
        <v>0.8567030042950059</v>
      </c>
      <c r="AH160" s="611"/>
    </row>
    <row r="161" spans="1:36" ht="19.149999999999999" customHeight="1">
      <c r="A161" s="604" t="s">
        <v>281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2046</v>
      </c>
      <c r="H161" s="135">
        <f t="shared" ref="H161:H170" si="101">F161*G161</f>
        <v>70034.579999999987</v>
      </c>
      <c r="I161" s="101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2">G161/W161*60</f>
        <v>2231.9999999999995</v>
      </c>
      <c r="O161" s="137">
        <f t="shared" ref="O161:O165" si="103">N161/M161</f>
        <v>185.99999999999997</v>
      </c>
      <c r="P161" s="100">
        <f t="shared" si="99"/>
        <v>0</v>
      </c>
      <c r="Q161" s="139">
        <f t="shared" si="100"/>
        <v>-1.5000000000000284</v>
      </c>
      <c r="R161" s="140">
        <f t="shared" ref="R161:R165" si="104">O161/L161</f>
        <v>0.99199999999999988</v>
      </c>
      <c r="S161" s="605">
        <f>R173</f>
        <v>0.97870586077284238</v>
      </c>
      <c r="T161" s="142">
        <v>0.16666666666666666</v>
      </c>
      <c r="U161" s="142">
        <v>0.2048611111111111</v>
      </c>
      <c r="V161" s="101">
        <v>5</v>
      </c>
      <c r="W161" s="143">
        <f t="shared" ref="W161:W165" si="105">(U161-T161)*24*60</f>
        <v>55.000000000000007</v>
      </c>
      <c r="X161" s="151"/>
      <c r="Y161" s="151"/>
      <c r="Z161" s="100"/>
      <c r="AA161" s="100"/>
      <c r="AB161" s="601"/>
      <c r="AC161" s="601"/>
      <c r="AD161" s="101"/>
      <c r="AE161" s="101"/>
      <c r="AF161" s="100">
        <f t="shared" si="59"/>
        <v>-18.000000000000455</v>
      </c>
      <c r="AG161" s="140">
        <f t="shared" si="60"/>
        <v>0.99199999999999977</v>
      </c>
      <c r="AH161" s="605">
        <f>AG173</f>
        <v>0.97905921293400955</v>
      </c>
    </row>
    <row r="162" spans="1:36" ht="19.149999999999999" customHeight="1">
      <c r="A162" s="604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2931</v>
      </c>
      <c r="H162" s="135">
        <f t="shared" si="101"/>
        <v>100328.12999999999</v>
      </c>
      <c r="I162" s="101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2"/>
        <v>2171.1111111111113</v>
      </c>
      <c r="O162" s="137">
        <f t="shared" si="103"/>
        <v>167.00854700854703</v>
      </c>
      <c r="P162" s="100">
        <f t="shared" si="99"/>
        <v>0</v>
      </c>
      <c r="Q162" s="139">
        <f t="shared" si="100"/>
        <v>-6.0683760683760397</v>
      </c>
      <c r="R162" s="140">
        <f t="shared" si="104"/>
        <v>0.96493827160493839</v>
      </c>
      <c r="S162" s="605"/>
      <c r="T162" s="142">
        <v>0.20902777777777778</v>
      </c>
      <c r="U162" s="142">
        <v>0.26527777777777778</v>
      </c>
      <c r="V162" s="101">
        <v>6</v>
      </c>
      <c r="W162" s="143">
        <f t="shared" si="105"/>
        <v>80.999999999999986</v>
      </c>
      <c r="X162" s="151"/>
      <c r="Y162" s="151"/>
      <c r="Z162" s="100"/>
      <c r="AA162" s="100"/>
      <c r="AB162" s="601"/>
      <c r="AC162" s="601"/>
      <c r="AD162" s="101"/>
      <c r="AE162" s="101"/>
      <c r="AF162" s="100">
        <f t="shared" si="59"/>
        <v>-78.888888888888687</v>
      </c>
      <c r="AG162" s="140">
        <f t="shared" si="60"/>
        <v>0.96493827160493839</v>
      </c>
      <c r="AH162" s="605"/>
    </row>
    <row r="163" spans="1:36" ht="19.149999999999999" customHeight="1">
      <c r="A163" s="604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2425</v>
      </c>
      <c r="H163" s="135">
        <f t="shared" si="101"/>
        <v>83007.749999999985</v>
      </c>
      <c r="I163" s="101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2"/>
        <v>2238.4615384615381</v>
      </c>
      <c r="O163" s="137">
        <f t="shared" si="103"/>
        <v>186.53846153846152</v>
      </c>
      <c r="P163" s="100">
        <f t="shared" si="99"/>
        <v>0</v>
      </c>
      <c r="Q163" s="139">
        <f t="shared" si="100"/>
        <v>-0.96153846153848122</v>
      </c>
      <c r="R163" s="140">
        <f t="shared" si="104"/>
        <v>0.99487179487179478</v>
      </c>
      <c r="S163" s="605"/>
      <c r="T163" s="142">
        <v>0.30694444444444441</v>
      </c>
      <c r="U163" s="142">
        <v>0.3520833333333333</v>
      </c>
      <c r="V163" s="101">
        <v>7</v>
      </c>
      <c r="W163" s="143">
        <f t="shared" si="105"/>
        <v>65.000000000000014</v>
      </c>
      <c r="X163" s="151"/>
      <c r="Y163" s="151"/>
      <c r="Z163" s="100"/>
      <c r="AA163" s="100"/>
      <c r="AB163" s="601"/>
      <c r="AC163" s="601"/>
      <c r="AD163" s="101"/>
      <c r="AE163" s="101"/>
      <c r="AF163" s="100">
        <f t="shared" si="59"/>
        <v>-11.538461538461888</v>
      </c>
      <c r="AG163" s="140">
        <f t="shared" si="60"/>
        <v>0.99487179487179467</v>
      </c>
      <c r="AH163" s="605"/>
    </row>
    <row r="164" spans="1:36" ht="19.149999999999999" customHeight="1">
      <c r="A164" s="604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4516</v>
      </c>
      <c r="H164" s="135">
        <f t="shared" si="101"/>
        <v>161808.28</v>
      </c>
      <c r="I164" s="101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2"/>
        <v>2202.9268292682932</v>
      </c>
      <c r="O164" s="137">
        <f t="shared" si="103"/>
        <v>200.26607538802665</v>
      </c>
      <c r="P164" s="100">
        <f t="shared" si="99"/>
        <v>0</v>
      </c>
      <c r="Q164" s="139">
        <f t="shared" si="100"/>
        <v>-4.2793791574278828</v>
      </c>
      <c r="R164" s="140">
        <f t="shared" si="104"/>
        <v>0.97907859078590809</v>
      </c>
      <c r="S164" s="605"/>
      <c r="T164" s="142">
        <v>0.36736111111111108</v>
      </c>
      <c r="U164" s="142">
        <v>0.45277777777777772</v>
      </c>
      <c r="V164" s="101">
        <v>22</v>
      </c>
      <c r="W164" s="143">
        <f t="shared" si="105"/>
        <v>122.99999999999996</v>
      </c>
      <c r="X164" s="151">
        <v>0.35555555555555557</v>
      </c>
      <c r="Y164" s="151">
        <v>0.36458333333333331</v>
      </c>
      <c r="Z164" s="100"/>
      <c r="AA164" s="100"/>
      <c r="AB164" s="601"/>
      <c r="AC164" s="601"/>
      <c r="AD164" s="101"/>
      <c r="AE164" s="101"/>
      <c r="AF164" s="100">
        <f t="shared" si="59"/>
        <v>-47.073170731706796</v>
      </c>
      <c r="AG164" s="140">
        <f t="shared" si="60"/>
        <v>0.97907859078590809</v>
      </c>
      <c r="AH164" s="605"/>
    </row>
    <row r="165" spans="1:36" ht="19.149999999999999" customHeight="1">
      <c r="A165" s="604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3905.85</v>
      </c>
      <c r="H165" s="135">
        <f t="shared" si="101"/>
        <v>142211.99849999999</v>
      </c>
      <c r="I165" s="101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2"/>
        <v>2169.9166666666665</v>
      </c>
      <c r="O165" s="137">
        <f t="shared" si="103"/>
        <v>216.99166666666665</v>
      </c>
      <c r="P165" s="100">
        <f t="shared" si="99"/>
        <v>0</v>
      </c>
      <c r="Q165" s="139">
        <f t="shared" si="100"/>
        <v>-8.0083333333333542</v>
      </c>
      <c r="R165" s="140">
        <f t="shared" si="104"/>
        <v>0.96440740740740727</v>
      </c>
      <c r="S165" s="605"/>
      <c r="T165" s="142">
        <v>0.46666666666666662</v>
      </c>
      <c r="U165" s="142">
        <v>0.54166666666666663</v>
      </c>
      <c r="V165" s="101">
        <v>20</v>
      </c>
      <c r="W165" s="143">
        <f t="shared" si="105"/>
        <v>108.00000000000001</v>
      </c>
      <c r="X165" s="151">
        <v>0.45624999999999999</v>
      </c>
      <c r="Y165" s="151">
        <v>0.46388888888888885</v>
      </c>
      <c r="Z165" s="100"/>
      <c r="AA165" s="100"/>
      <c r="AB165" s="601"/>
      <c r="AC165" s="601"/>
      <c r="AD165" s="101"/>
      <c r="AE165" s="101"/>
      <c r="AF165" s="100">
        <f t="shared" si="59"/>
        <v>-80.083333333333485</v>
      </c>
      <c r="AG165" s="140">
        <f t="shared" si="60"/>
        <v>0.96440740740740738</v>
      </c>
      <c r="AH165" s="605"/>
    </row>
    <row r="166" spans="1:36" ht="19.149999999999999" customHeight="1">
      <c r="A166" s="604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1"/>
        <v>0</v>
      </c>
      <c r="I166" s="101"/>
      <c r="J166" s="138"/>
      <c r="K166" s="104"/>
      <c r="L166" s="137"/>
      <c r="M166" s="138"/>
      <c r="N166" s="104"/>
      <c r="O166" s="137"/>
      <c r="P166" s="100"/>
      <c r="Q166" s="139"/>
      <c r="R166" s="140"/>
      <c r="S166" s="605"/>
      <c r="T166" s="142"/>
      <c r="U166" s="142"/>
      <c r="V166" s="101"/>
      <c r="W166" s="143"/>
      <c r="X166" s="151"/>
      <c r="Y166" s="151"/>
      <c r="Z166" s="100"/>
      <c r="AA166" s="100"/>
      <c r="AB166" s="601"/>
      <c r="AC166" s="601"/>
      <c r="AD166" s="101"/>
      <c r="AE166" s="101"/>
      <c r="AF166" s="100">
        <f t="shared" si="59"/>
        <v>0</v>
      </c>
      <c r="AG166" s="140" t="e">
        <f t="shared" si="60"/>
        <v>#DIV/0!</v>
      </c>
      <c r="AH166" s="605"/>
    </row>
    <row r="167" spans="1:36" ht="19.149999999999999" customHeight="1">
      <c r="A167" s="604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1"/>
        <v>0</v>
      </c>
      <c r="I167" s="101"/>
      <c r="J167" s="138"/>
      <c r="K167" s="104"/>
      <c r="L167" s="137"/>
      <c r="M167" s="138"/>
      <c r="N167" s="104"/>
      <c r="O167" s="137"/>
      <c r="P167" s="100"/>
      <c r="Q167" s="139"/>
      <c r="R167" s="140"/>
      <c r="S167" s="605"/>
      <c r="T167" s="142"/>
      <c r="U167" s="142"/>
      <c r="V167" s="101"/>
      <c r="W167" s="143"/>
      <c r="X167" s="151"/>
      <c r="Y167" s="151"/>
      <c r="Z167" s="100"/>
      <c r="AA167" s="100"/>
      <c r="AB167" s="601"/>
      <c r="AC167" s="601"/>
      <c r="AD167" s="101"/>
      <c r="AE167" s="101"/>
      <c r="AF167" s="100">
        <f t="shared" si="59"/>
        <v>0</v>
      </c>
      <c r="AG167" s="140" t="e">
        <f t="shared" si="60"/>
        <v>#DIV/0!</v>
      </c>
      <c r="AH167" s="605"/>
    </row>
    <row r="168" spans="1:36" ht="19.149999999999999" customHeight="1">
      <c r="A168" s="604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1"/>
        <v>0</v>
      </c>
      <c r="I168" s="101"/>
      <c r="J168" s="138"/>
      <c r="K168" s="104"/>
      <c r="L168" s="137"/>
      <c r="M168" s="138"/>
      <c r="N168" s="104"/>
      <c r="O168" s="137"/>
      <c r="P168" s="100"/>
      <c r="Q168" s="139"/>
      <c r="R168" s="140"/>
      <c r="S168" s="605"/>
      <c r="T168" s="142"/>
      <c r="U168" s="142"/>
      <c r="V168" s="101"/>
      <c r="W168" s="143"/>
      <c r="X168" s="151"/>
      <c r="Y168" s="151"/>
      <c r="Z168" s="100"/>
      <c r="AA168" s="100"/>
      <c r="AB168" s="601"/>
      <c r="AC168" s="601"/>
      <c r="AD168" s="101"/>
      <c r="AE168" s="101"/>
      <c r="AF168" s="100">
        <f t="shared" si="59"/>
        <v>0</v>
      </c>
      <c r="AG168" s="140" t="e">
        <f t="shared" si="60"/>
        <v>#DIV/0!</v>
      </c>
      <c r="AH168" s="605"/>
    </row>
    <row r="169" spans="1:36" ht="19.149999999999999" customHeight="1">
      <c r="A169" s="604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1"/>
        <v>0</v>
      </c>
      <c r="I169" s="101"/>
      <c r="J169" s="138"/>
      <c r="K169" s="104"/>
      <c r="L169" s="137"/>
      <c r="M169" s="138"/>
      <c r="N169" s="104"/>
      <c r="O169" s="137"/>
      <c r="P169" s="100"/>
      <c r="Q169" s="139"/>
      <c r="R169" s="140"/>
      <c r="S169" s="605"/>
      <c r="T169" s="142"/>
      <c r="U169" s="142"/>
      <c r="V169" s="101" t="s">
        <v>49</v>
      </c>
      <c r="W169" s="143">
        <f>(U169-T169)*24*60</f>
        <v>0</v>
      </c>
      <c r="X169" s="151"/>
      <c r="Y169" s="151"/>
      <c r="Z169" s="100"/>
      <c r="AA169" s="100"/>
      <c r="AB169" s="601"/>
      <c r="AC169" s="601"/>
      <c r="AD169" s="101"/>
      <c r="AE169" s="101"/>
      <c r="AF169" s="100">
        <f t="shared" si="59"/>
        <v>0</v>
      </c>
      <c r="AG169" s="140" t="e">
        <f t="shared" si="60"/>
        <v>#DIV/0!</v>
      </c>
      <c r="AH169" s="605"/>
    </row>
    <row r="170" spans="1:36" ht="19.149999999999999" customHeight="1">
      <c r="A170" s="604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1"/>
        <v>0</v>
      </c>
      <c r="I170" s="101"/>
      <c r="J170" s="138"/>
      <c r="K170" s="104"/>
      <c r="L170" s="137"/>
      <c r="M170" s="138"/>
      <c r="N170" s="104"/>
      <c r="O170" s="137"/>
      <c r="P170" s="100"/>
      <c r="Q170" s="139"/>
      <c r="R170" s="140"/>
      <c r="S170" s="605"/>
      <c r="T170" s="142"/>
      <c r="U170" s="142"/>
      <c r="V170" s="101"/>
      <c r="W170" s="143">
        <f>(U170-T170)*24*60</f>
        <v>0</v>
      </c>
      <c r="X170" s="151"/>
      <c r="Y170" s="151"/>
      <c r="Z170" s="100"/>
      <c r="AA170" s="100"/>
      <c r="AB170" s="601"/>
      <c r="AC170" s="601"/>
      <c r="AD170" s="101"/>
      <c r="AE170" s="101"/>
      <c r="AF170" s="100">
        <f t="shared" si="59"/>
        <v>0</v>
      </c>
      <c r="AG170" s="140" t="e">
        <f t="shared" si="60"/>
        <v>#DIV/0!</v>
      </c>
      <c r="AH170" s="605"/>
    </row>
    <row r="171" spans="1:36" ht="19.149999999999999" customHeight="1">
      <c r="A171" s="604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6"/>
        <v>0</v>
      </c>
      <c r="I171" s="101"/>
      <c r="J171" s="138"/>
      <c r="K171" s="104"/>
      <c r="L171" s="137"/>
      <c r="M171" s="138"/>
      <c r="N171" s="104"/>
      <c r="O171" s="137"/>
      <c r="P171" s="100"/>
      <c r="Q171" s="139"/>
      <c r="R171" s="140"/>
      <c r="S171" s="605"/>
      <c r="T171" s="142"/>
      <c r="U171" s="142"/>
      <c r="V171" s="101"/>
      <c r="W171" s="143">
        <f>(U171-T171)*24*60</f>
        <v>0</v>
      </c>
      <c r="X171" s="151"/>
      <c r="Y171" s="151"/>
      <c r="Z171" s="100"/>
      <c r="AA171" s="100"/>
      <c r="AB171" s="601"/>
      <c r="AC171" s="601"/>
      <c r="AD171" s="101"/>
      <c r="AE171" s="101"/>
      <c r="AF171" s="100"/>
      <c r="AG171" s="140"/>
      <c r="AH171" s="605"/>
    </row>
    <row r="172" spans="1:36" ht="19.149999999999999" customHeight="1">
      <c r="A172" s="604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6"/>
        <v>0</v>
      </c>
      <c r="I172" s="101"/>
      <c r="J172" s="138"/>
      <c r="K172" s="104"/>
      <c r="L172" s="137"/>
      <c r="M172" s="138"/>
      <c r="N172" s="104"/>
      <c r="O172" s="137"/>
      <c r="P172" s="100"/>
      <c r="Q172" s="139"/>
      <c r="R172" s="140"/>
      <c r="S172" s="605"/>
      <c r="T172" s="142"/>
      <c r="U172" s="142"/>
      <c r="V172" s="101"/>
      <c r="W172" s="143">
        <f>(U172-T172)*24*60</f>
        <v>0</v>
      </c>
      <c r="X172" s="151"/>
      <c r="Y172" s="151"/>
      <c r="Z172" s="100"/>
      <c r="AA172" s="100"/>
      <c r="AB172" s="601"/>
      <c r="AC172" s="601"/>
      <c r="AD172" s="101"/>
      <c r="AE172" s="101"/>
      <c r="AF172" s="100"/>
      <c r="AG172" s="140"/>
      <c r="AH172" s="605"/>
    </row>
    <row r="173" spans="1:36" ht="19.149999999999999" customHeight="1">
      <c r="A173" s="604"/>
      <c r="B173" s="182">
        <v>0</v>
      </c>
      <c r="C173" s="156" t="s">
        <v>282</v>
      </c>
      <c r="D173" s="602" t="s">
        <v>256</v>
      </c>
      <c r="E173" s="602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6">AVERAGE(M161:M172)</f>
        <v>11.6</v>
      </c>
      <c r="N173" s="158">
        <f t="shared" si="106"/>
        <v>2202.8832291015215</v>
      </c>
      <c r="O173" s="161">
        <f t="shared" si="106"/>
        <v>191.36095012034036</v>
      </c>
      <c r="P173" s="100">
        <f>M173-J173</f>
        <v>0</v>
      </c>
      <c r="Q173" s="139">
        <f>O173-L173</f>
        <v>-4.1635254041351573</v>
      </c>
      <c r="R173" s="162">
        <f>O173/L173</f>
        <v>0.97870586077284238</v>
      </c>
      <c r="S173" s="605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03"/>
      <c r="AC173" s="603"/>
      <c r="AD173" s="164">
        <f>SUM(AD161:AD172)</f>
        <v>0</v>
      </c>
      <c r="AE173" s="164">
        <f>SUM(AE161:AE172)</f>
        <v>0</v>
      </c>
      <c r="AF173" s="100">
        <f t="shared" si="59"/>
        <v>-47.116770898478535</v>
      </c>
      <c r="AG173" s="140">
        <f t="shared" si="60"/>
        <v>0.97905921293400955</v>
      </c>
      <c r="AH173" s="605"/>
    </row>
    <row r="174" spans="1:36" ht="19.149999999999999" customHeight="1">
      <c r="AJ174" s="361" t="s">
        <v>212</v>
      </c>
    </row>
    <row r="175" spans="1:36" ht="19.149999999999999" customHeight="1">
      <c r="AJ175" s="361" t="s">
        <v>214</v>
      </c>
    </row>
    <row r="176" spans="1:36" ht="19.149999999999999" customHeight="1">
      <c r="AJ176" s="361" t="s">
        <v>283</v>
      </c>
    </row>
    <row r="177" spans="23:36" ht="19.149999999999999" customHeight="1">
      <c r="W177" s="71"/>
      <c r="AJ177" s="361" t="s">
        <v>216</v>
      </c>
    </row>
    <row r="178" spans="23:36" ht="19.149999999999999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284</v>
      </c>
    </row>
    <row r="186" spans="23:36">
      <c r="W186" s="71"/>
      <c r="AJ186" s="361" t="s">
        <v>285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4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20845" priority="3391" operator="lessThan">
      <formula>0</formula>
    </cfRule>
  </conditionalFormatting>
  <conditionalFormatting sqref="AH57 AH70 S43 S123 S95 AH95 S5:S9 AH5:AH9 S134 AH17:AH18 S17:S18 S32 S82 AH82 S57:S70">
    <cfRule type="cellIs" dxfId="20844" priority="3390" operator="lessThan">
      <formula>0.8</formula>
    </cfRule>
  </conditionalFormatting>
  <conditionalFormatting sqref="R147 R173 R30 R121 R95 R43 R134 R82 R154:R159 R17:R18 R57:R70">
    <cfRule type="cellIs" dxfId="20843" priority="3388" operator="lessThan">
      <formula>0.8</formula>
    </cfRule>
    <cfRule type="cellIs" dxfId="20842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20841" priority="3386" operator="greaterThan">
      <formula>1</formula>
    </cfRule>
    <cfRule type="cellIs" dxfId="20840" priority="3387" operator="lessThan">
      <formula>0.8</formula>
    </cfRule>
  </conditionalFormatting>
  <conditionalFormatting sqref="P147 P30 P121 P95 P43 P134 P82 P154:P159 P17:P18 P57:P70">
    <cfRule type="cellIs" dxfId="20839" priority="3385" operator="greaterThan">
      <formula>0</formula>
    </cfRule>
  </conditionalFormatting>
  <conditionalFormatting sqref="S161">
    <cfRule type="cellIs" dxfId="20838" priority="3384" operator="lessThan">
      <formula>0.8</formula>
    </cfRule>
  </conditionalFormatting>
  <conditionalFormatting sqref="Q161:Q166">
    <cfRule type="cellIs" dxfId="20837" priority="3383" operator="lessThan">
      <formula>0</formula>
    </cfRule>
  </conditionalFormatting>
  <conditionalFormatting sqref="R161:R166">
    <cfRule type="cellIs" dxfId="20836" priority="3381" operator="lessThan">
      <formula>0.8</formula>
    </cfRule>
    <cfRule type="cellIs" dxfId="20835" priority="3382" operator="greaterThan">
      <formula>1</formula>
    </cfRule>
  </conditionalFormatting>
  <conditionalFormatting sqref="R161:R166">
    <cfRule type="cellIs" dxfId="20834" priority="3379" operator="greaterThan">
      <formula>1</formula>
    </cfRule>
    <cfRule type="cellIs" dxfId="20833" priority="3380" operator="lessThan">
      <formula>0.8</formula>
    </cfRule>
  </conditionalFormatting>
  <conditionalFormatting sqref="P161:P166">
    <cfRule type="cellIs" dxfId="20832" priority="3378" operator="greaterThan">
      <formula>0</formula>
    </cfRule>
  </conditionalFormatting>
  <conditionalFormatting sqref="Q169:Q172 AF161:AF172">
    <cfRule type="cellIs" dxfId="20831" priority="3377" operator="lessThan">
      <formula>0</formula>
    </cfRule>
  </conditionalFormatting>
  <conditionalFormatting sqref="R169:R172">
    <cfRule type="cellIs" dxfId="20830" priority="3375" operator="lessThan">
      <formula>0.8</formula>
    </cfRule>
    <cfRule type="cellIs" dxfId="20829" priority="3376" operator="greaterThan">
      <formula>1</formula>
    </cfRule>
  </conditionalFormatting>
  <conditionalFormatting sqref="R169:R172 AG161:AG172">
    <cfRule type="cellIs" dxfId="20828" priority="3373" operator="greaterThan">
      <formula>1</formula>
    </cfRule>
    <cfRule type="cellIs" dxfId="20827" priority="3374" operator="lessThan">
      <formula>0.8</formula>
    </cfRule>
  </conditionalFormatting>
  <conditionalFormatting sqref="P169:P172">
    <cfRule type="cellIs" dxfId="20826" priority="3372" operator="greaterThan">
      <formula>0</formula>
    </cfRule>
  </conditionalFormatting>
  <conditionalFormatting sqref="AF145">
    <cfRule type="cellIs" dxfId="20825" priority="3371" operator="lessThan">
      <formula>0</formula>
    </cfRule>
  </conditionalFormatting>
  <conditionalFormatting sqref="AG145">
    <cfRule type="cellIs" dxfId="20824" priority="3369" operator="greaterThan">
      <formula>1</formula>
    </cfRule>
    <cfRule type="cellIs" dxfId="20823" priority="3370" operator="lessThan">
      <formula>0.8</formula>
    </cfRule>
  </conditionalFormatting>
  <conditionalFormatting sqref="AF44:AF52">
    <cfRule type="cellIs" dxfId="20822" priority="3368" operator="lessThan">
      <formula>0</formula>
    </cfRule>
  </conditionalFormatting>
  <conditionalFormatting sqref="AG44:AG52">
    <cfRule type="cellIs" dxfId="20821" priority="3366" operator="greaterThan">
      <formula>1</formula>
    </cfRule>
    <cfRule type="cellIs" dxfId="20820" priority="3367" operator="lessThan">
      <formula>0.8</formula>
    </cfRule>
  </conditionalFormatting>
  <conditionalFormatting sqref="AF83:AF94">
    <cfRule type="cellIs" dxfId="20819" priority="3365" operator="lessThan">
      <formula>0</formula>
    </cfRule>
  </conditionalFormatting>
  <conditionalFormatting sqref="AH83">
    <cfRule type="cellIs" dxfId="20818" priority="3364" operator="lessThan">
      <formula>0.8</formula>
    </cfRule>
  </conditionalFormatting>
  <conditionalFormatting sqref="AG83:AG94">
    <cfRule type="cellIs" dxfId="20817" priority="3362" operator="greaterThan">
      <formula>1</formula>
    </cfRule>
    <cfRule type="cellIs" dxfId="20816" priority="3363" operator="lessThan">
      <formula>0.8</formula>
    </cfRule>
  </conditionalFormatting>
  <conditionalFormatting sqref="S83">
    <cfRule type="cellIs" dxfId="20815" priority="3361" operator="lessThan">
      <formula>0.8</formula>
    </cfRule>
  </conditionalFormatting>
  <conditionalFormatting sqref="AH84">
    <cfRule type="cellIs" dxfId="20814" priority="3360" operator="lessThan">
      <formula>0.8</formula>
    </cfRule>
  </conditionalFormatting>
  <conditionalFormatting sqref="S84">
    <cfRule type="cellIs" dxfId="20813" priority="3359" operator="lessThan">
      <formula>0.8</formula>
    </cfRule>
  </conditionalFormatting>
  <conditionalFormatting sqref="S90">
    <cfRule type="cellIs" dxfId="20812" priority="3358" operator="lessThan">
      <formula>0.8</formula>
    </cfRule>
  </conditionalFormatting>
  <conditionalFormatting sqref="AH90">
    <cfRule type="cellIs" dxfId="20811" priority="3357" operator="lessThan">
      <formula>0.8</formula>
    </cfRule>
  </conditionalFormatting>
  <conditionalFormatting sqref="AF122">
    <cfRule type="cellIs" dxfId="20810" priority="3356" operator="lessThan">
      <formula>0</formula>
    </cfRule>
  </conditionalFormatting>
  <conditionalFormatting sqref="S122">
    <cfRule type="cellIs" dxfId="20809" priority="3355" operator="lessThan">
      <formula>0.8</formula>
    </cfRule>
  </conditionalFormatting>
  <conditionalFormatting sqref="AG122">
    <cfRule type="cellIs" dxfId="20808" priority="3353" operator="greaterThan">
      <formula>1</formula>
    </cfRule>
    <cfRule type="cellIs" dxfId="20807" priority="3354" operator="lessThan">
      <formula>0.8</formula>
    </cfRule>
  </conditionalFormatting>
  <conditionalFormatting sqref="P162:P168">
    <cfRule type="cellIs" dxfId="20806" priority="3347" operator="greaterThan">
      <formula>0</formula>
    </cfRule>
  </conditionalFormatting>
  <conditionalFormatting sqref="R162:R168">
    <cfRule type="cellIs" dxfId="20805" priority="3350" operator="lessThan">
      <formula>0.8</formula>
    </cfRule>
    <cfRule type="cellIs" dxfId="20804" priority="3351" operator="greaterThan">
      <formula>1</formula>
    </cfRule>
  </conditionalFormatting>
  <conditionalFormatting sqref="R162:R168">
    <cfRule type="cellIs" dxfId="20803" priority="3348" operator="greaterThan">
      <formula>1</formula>
    </cfRule>
    <cfRule type="cellIs" dxfId="20802" priority="3349" operator="lessThan">
      <formula>0.8</formula>
    </cfRule>
  </conditionalFormatting>
  <conditionalFormatting sqref="Q162:Q168">
    <cfRule type="cellIs" dxfId="20801" priority="3352" operator="lessThan">
      <formula>0</formula>
    </cfRule>
  </conditionalFormatting>
  <conditionalFormatting sqref="P132:P133">
    <cfRule type="cellIs" dxfId="20800" priority="3340" operator="greaterThan">
      <formula>0</formula>
    </cfRule>
  </conditionalFormatting>
  <conditionalFormatting sqref="AF124 Q132:Q133 AF126:AF133">
    <cfRule type="cellIs" dxfId="20799" priority="3346" operator="lessThan">
      <formula>0</formula>
    </cfRule>
  </conditionalFormatting>
  <conditionalFormatting sqref="S124:S133">
    <cfRule type="cellIs" dxfId="20798" priority="3345" operator="lessThan">
      <formula>0.8</formula>
    </cfRule>
  </conditionalFormatting>
  <conditionalFormatting sqref="R132:R133">
    <cfRule type="cellIs" dxfId="20797" priority="3343" operator="lessThan">
      <formula>0.8</formula>
    </cfRule>
    <cfRule type="cellIs" dxfId="20796" priority="3344" operator="greaterThan">
      <formula>1</formula>
    </cfRule>
  </conditionalFormatting>
  <conditionalFormatting sqref="AG124 R132:R133 AG126:AG133">
    <cfRule type="cellIs" dxfId="20795" priority="3341" operator="greaterThan">
      <formula>1</formula>
    </cfRule>
    <cfRule type="cellIs" dxfId="20794" priority="3342" operator="lessThan">
      <formula>0.8</formula>
    </cfRule>
  </conditionalFormatting>
  <conditionalFormatting sqref="AF112 AF115">
    <cfRule type="cellIs" dxfId="20793" priority="3339" operator="lessThan">
      <formula>0</formula>
    </cfRule>
  </conditionalFormatting>
  <conditionalFormatting sqref="AG112 AG115">
    <cfRule type="cellIs" dxfId="20792" priority="3337" operator="greaterThan">
      <formula>1</formula>
    </cfRule>
    <cfRule type="cellIs" dxfId="20791" priority="3338" operator="lessThan">
      <formula>0.8</formula>
    </cfRule>
  </conditionalFormatting>
  <conditionalFormatting sqref="AF111 AF114 AF117">
    <cfRule type="cellIs" dxfId="20790" priority="3336" operator="lessThan">
      <formula>0</formula>
    </cfRule>
  </conditionalFormatting>
  <conditionalFormatting sqref="AH109">
    <cfRule type="cellIs" dxfId="20789" priority="3335" operator="lessThan">
      <formula>0.8</formula>
    </cfRule>
  </conditionalFormatting>
  <conditionalFormatting sqref="AG111 AG114 AG117">
    <cfRule type="cellIs" dxfId="20788" priority="3333" operator="greaterThan">
      <formula>1</formula>
    </cfRule>
    <cfRule type="cellIs" dxfId="20787" priority="3334" operator="lessThan">
      <formula>0.8</formula>
    </cfRule>
  </conditionalFormatting>
  <conditionalFormatting sqref="R160 AG160">
    <cfRule type="cellIs" dxfId="20786" priority="3328" operator="greaterThan">
      <formula>1</formula>
    </cfRule>
    <cfRule type="cellIs" dxfId="20785" priority="3329" operator="lessThan">
      <formula>0.8</formula>
    </cfRule>
  </conditionalFormatting>
  <conditionalFormatting sqref="R160">
    <cfRule type="cellIs" dxfId="20784" priority="3330" operator="lessThan">
      <formula>0.8</formula>
    </cfRule>
    <cfRule type="cellIs" dxfId="20783" priority="3331" operator="greaterThan">
      <formula>1</formula>
    </cfRule>
  </conditionalFormatting>
  <conditionalFormatting sqref="P160">
    <cfRule type="cellIs" dxfId="20782" priority="3327" operator="greaterThan">
      <formula>0</formula>
    </cfRule>
  </conditionalFormatting>
  <conditionalFormatting sqref="AH148">
    <cfRule type="cellIs" dxfId="20781" priority="3326" operator="lessThan">
      <formula>0.8</formula>
    </cfRule>
  </conditionalFormatting>
  <conditionalFormatting sqref="Q160 AF160">
    <cfRule type="cellIs" dxfId="20780" priority="3332" operator="lessThan">
      <formula>0</formula>
    </cfRule>
  </conditionalFormatting>
  <conditionalFormatting sqref="AF148:AF154">
    <cfRule type="cellIs" dxfId="20779" priority="3325" operator="lessThan">
      <formula>0</formula>
    </cfRule>
  </conditionalFormatting>
  <conditionalFormatting sqref="S148">
    <cfRule type="cellIs" dxfId="20778" priority="3324" operator="lessThan">
      <formula>0.8</formula>
    </cfRule>
  </conditionalFormatting>
  <conditionalFormatting sqref="AG148:AG154">
    <cfRule type="cellIs" dxfId="20777" priority="3322" operator="greaterThan">
      <formula>1</formula>
    </cfRule>
    <cfRule type="cellIs" dxfId="20776" priority="3323" operator="lessThan">
      <formula>0.8</formula>
    </cfRule>
  </conditionalFormatting>
  <conditionalFormatting sqref="S86">
    <cfRule type="cellIs" dxfId="20775" priority="3321" operator="lessThan">
      <formula>0.8</formula>
    </cfRule>
  </conditionalFormatting>
  <conditionalFormatting sqref="S88 AH88">
    <cfRule type="cellIs" dxfId="20774" priority="3316" operator="lessThan">
      <formula>0.8</formula>
    </cfRule>
  </conditionalFormatting>
  <conditionalFormatting sqref="AH86">
    <cfRule type="cellIs" dxfId="20773" priority="3320" operator="lessThan">
      <formula>0.8</formula>
    </cfRule>
  </conditionalFormatting>
  <conditionalFormatting sqref="S87">
    <cfRule type="cellIs" dxfId="20772" priority="3319" operator="lessThan">
      <formula>0.8</formula>
    </cfRule>
  </conditionalFormatting>
  <conditionalFormatting sqref="AH87">
    <cfRule type="cellIs" dxfId="20771" priority="3318" operator="lessThan">
      <formula>0.8</formula>
    </cfRule>
  </conditionalFormatting>
  <conditionalFormatting sqref="S89 AH89">
    <cfRule type="cellIs" dxfId="20770" priority="3317" operator="lessThan">
      <formula>0.8</formula>
    </cfRule>
  </conditionalFormatting>
  <conditionalFormatting sqref="AF31">
    <cfRule type="cellIs" dxfId="20769" priority="3315" operator="lessThan">
      <formula>0</formula>
    </cfRule>
  </conditionalFormatting>
  <conditionalFormatting sqref="AH31 S31">
    <cfRule type="cellIs" dxfId="20768" priority="3314" operator="lessThan">
      <formula>0.8</formula>
    </cfRule>
  </conditionalFormatting>
  <conditionalFormatting sqref="AG31">
    <cfRule type="cellIs" dxfId="20767" priority="3312" operator="greaterThan">
      <formula>1</formula>
    </cfRule>
    <cfRule type="cellIs" dxfId="20766" priority="3313" operator="lessThan">
      <formula>0.8</formula>
    </cfRule>
  </conditionalFormatting>
  <conditionalFormatting sqref="AF135">
    <cfRule type="cellIs" dxfId="20765" priority="3311" operator="lessThan">
      <formula>0</formula>
    </cfRule>
  </conditionalFormatting>
  <conditionalFormatting sqref="AH135 S135">
    <cfRule type="cellIs" dxfId="20764" priority="3310" operator="lessThan">
      <formula>0.8</formula>
    </cfRule>
  </conditionalFormatting>
  <conditionalFormatting sqref="AG135">
    <cfRule type="cellIs" dxfId="20763" priority="3308" operator="greaterThan">
      <formula>1</formula>
    </cfRule>
    <cfRule type="cellIs" dxfId="20762" priority="3309" operator="lessThan">
      <formula>0.8</formula>
    </cfRule>
  </conditionalFormatting>
  <conditionalFormatting sqref="AF110 AF113 AF116">
    <cfRule type="cellIs" dxfId="20761" priority="3307" operator="lessThan">
      <formula>0</formula>
    </cfRule>
  </conditionalFormatting>
  <conditionalFormatting sqref="AG110 AG113 AG116">
    <cfRule type="cellIs" dxfId="20760" priority="3305" operator="greaterThan">
      <formula>1</formula>
    </cfRule>
    <cfRule type="cellIs" dxfId="20759" priority="3306" operator="lessThan">
      <formula>0.8</formula>
    </cfRule>
  </conditionalFormatting>
  <conditionalFormatting sqref="AF108 Q108">
    <cfRule type="cellIs" dxfId="20758" priority="3304" operator="lessThan">
      <formula>0</formula>
    </cfRule>
  </conditionalFormatting>
  <conditionalFormatting sqref="R108">
    <cfRule type="cellIs" dxfId="20757" priority="3302" operator="lessThan">
      <formula>0.8</formula>
    </cfRule>
    <cfRule type="cellIs" dxfId="20756" priority="3303" operator="greaterThan">
      <formula>1</formula>
    </cfRule>
  </conditionalFormatting>
  <conditionalFormatting sqref="AG108 R108">
    <cfRule type="cellIs" dxfId="20755" priority="3300" operator="greaterThan">
      <formula>1</formula>
    </cfRule>
    <cfRule type="cellIs" dxfId="20754" priority="3301" operator="lessThan">
      <formula>0.8</formula>
    </cfRule>
  </conditionalFormatting>
  <conditionalFormatting sqref="P108">
    <cfRule type="cellIs" dxfId="20753" priority="3299" operator="greaterThan">
      <formula>0</formula>
    </cfRule>
  </conditionalFormatting>
  <conditionalFormatting sqref="AH97">
    <cfRule type="cellIs" dxfId="20752" priority="3294" operator="lessThan">
      <formula>0.8</formula>
    </cfRule>
  </conditionalFormatting>
  <conditionalFormatting sqref="AG96">
    <cfRule type="cellIs" dxfId="20751" priority="3296" operator="greaterThan">
      <formula>1</formula>
    </cfRule>
    <cfRule type="cellIs" dxfId="20750" priority="3297" operator="lessThan">
      <formula>0.8</formula>
    </cfRule>
  </conditionalFormatting>
  <conditionalFormatting sqref="AF96">
    <cfRule type="cellIs" dxfId="20749" priority="3298" operator="lessThan">
      <formula>0</formula>
    </cfRule>
  </conditionalFormatting>
  <conditionalFormatting sqref="AG97">
    <cfRule type="cellIs" dxfId="20748" priority="3292" operator="greaterThan">
      <formula>1</formula>
    </cfRule>
    <cfRule type="cellIs" dxfId="20747" priority="3293" operator="lessThan">
      <formula>0.8</formula>
    </cfRule>
  </conditionalFormatting>
  <conditionalFormatting sqref="AF97">
    <cfRule type="cellIs" dxfId="20746" priority="3295" operator="lessThan">
      <formula>0</formula>
    </cfRule>
  </conditionalFormatting>
  <conditionalFormatting sqref="AF71 AF73 AF75 AF77 AF79">
    <cfRule type="cellIs" dxfId="20745" priority="3289" operator="lessThan">
      <formula>0</formula>
    </cfRule>
  </conditionalFormatting>
  <conditionalFormatting sqref="S71 AH71">
    <cfRule type="cellIs" dxfId="20744" priority="3288" operator="lessThan">
      <formula>0.8</formula>
    </cfRule>
  </conditionalFormatting>
  <conditionalFormatting sqref="AG71 AG73 AG75 AG77 AG79">
    <cfRule type="cellIs" dxfId="20743" priority="3286" operator="greaterThan">
      <formula>1</formula>
    </cfRule>
    <cfRule type="cellIs" dxfId="20742" priority="3287" operator="lessThan">
      <formula>0.8</formula>
    </cfRule>
  </conditionalFormatting>
  <conditionalFormatting sqref="AF72 AF74 AF76 AF78 AF80">
    <cfRule type="cellIs" dxfId="20741" priority="3285" operator="lessThan">
      <formula>0</formula>
    </cfRule>
  </conditionalFormatting>
  <conditionalFormatting sqref="S72 AH72">
    <cfRule type="cellIs" dxfId="20740" priority="3284" operator="lessThan">
      <formula>0.8</formula>
    </cfRule>
  </conditionalFormatting>
  <conditionalFormatting sqref="S11">
    <cfRule type="cellIs" dxfId="20739" priority="3291" operator="lessThan">
      <formula>0.8</formula>
    </cfRule>
  </conditionalFormatting>
  <conditionalFormatting sqref="S10">
    <cfRule type="cellIs" dxfId="20738" priority="3290" operator="lessThan">
      <formula>0.8</formula>
    </cfRule>
  </conditionalFormatting>
  <conditionalFormatting sqref="AG72 AG74 AG76 AG78 AG80">
    <cfRule type="cellIs" dxfId="20737" priority="3282" operator="greaterThan">
      <formula>1</formula>
    </cfRule>
    <cfRule type="cellIs" dxfId="20736" priority="3283" operator="lessThan">
      <formula>0.8</formula>
    </cfRule>
  </conditionalFormatting>
  <conditionalFormatting sqref="AF13:AF16 Q15:Q16">
    <cfRule type="cellIs" dxfId="20735" priority="3281" operator="lessThan">
      <formula>0</formula>
    </cfRule>
  </conditionalFormatting>
  <conditionalFormatting sqref="R15:R16">
    <cfRule type="cellIs" dxfId="20734" priority="3279" operator="lessThan">
      <formula>0.8</formula>
    </cfRule>
    <cfRule type="cellIs" dxfId="20733" priority="3280" operator="greaterThan">
      <formula>1</formula>
    </cfRule>
  </conditionalFormatting>
  <conditionalFormatting sqref="AG12:AG16 R15:R16">
    <cfRule type="cellIs" dxfId="20732" priority="3277" operator="greaterThan">
      <formula>1</formula>
    </cfRule>
    <cfRule type="cellIs" dxfId="20731" priority="3278" operator="lessThan">
      <formula>0.8</formula>
    </cfRule>
  </conditionalFormatting>
  <conditionalFormatting sqref="P15:P16">
    <cfRule type="cellIs" dxfId="20730" priority="3276" operator="greaterThan">
      <formula>0</formula>
    </cfRule>
  </conditionalFormatting>
  <conditionalFormatting sqref="AF98 AF100 AF102 AF104">
    <cfRule type="cellIs" dxfId="20729" priority="3275" operator="lessThan">
      <formula>0</formula>
    </cfRule>
  </conditionalFormatting>
  <conditionalFormatting sqref="AH98">
    <cfRule type="cellIs" dxfId="20728" priority="3274" operator="lessThan">
      <formula>0.8</formula>
    </cfRule>
  </conditionalFormatting>
  <conditionalFormatting sqref="AG98 AG100 AG102 AG104">
    <cfRule type="cellIs" dxfId="20727" priority="3272" operator="greaterThan">
      <formula>1</formula>
    </cfRule>
    <cfRule type="cellIs" dxfId="20726" priority="3273" operator="lessThan">
      <formula>0.8</formula>
    </cfRule>
  </conditionalFormatting>
  <conditionalFormatting sqref="AF20 AF22 AF24 AF26 AF28">
    <cfRule type="cellIs" dxfId="20725" priority="3271" operator="lessThan">
      <formula>0</formula>
    </cfRule>
  </conditionalFormatting>
  <conditionalFormatting sqref="AG20 AG22 AG24 AG26 AG28">
    <cfRule type="cellIs" dxfId="20724" priority="3269" operator="greaterThan">
      <formula>1</formula>
    </cfRule>
    <cfRule type="cellIs" dxfId="20723" priority="3270" operator="lessThan">
      <formula>0.8</formula>
    </cfRule>
  </conditionalFormatting>
  <conditionalFormatting sqref="AF33">
    <cfRule type="cellIs" dxfId="20722" priority="3268" operator="lessThan">
      <formula>0</formula>
    </cfRule>
  </conditionalFormatting>
  <conditionalFormatting sqref="AG33">
    <cfRule type="cellIs" dxfId="20721" priority="3266" operator="greaterThan">
      <formula>1</formula>
    </cfRule>
    <cfRule type="cellIs" dxfId="20720" priority="3267" operator="lessThan">
      <formula>0.8</formula>
    </cfRule>
  </conditionalFormatting>
  <conditionalFormatting sqref="P41:P42">
    <cfRule type="cellIs" dxfId="20719" priority="3260" operator="greaterThan">
      <formula>0</formula>
    </cfRule>
  </conditionalFormatting>
  <conditionalFormatting sqref="Q41:Q42 AF34:AF42">
    <cfRule type="cellIs" dxfId="20718" priority="3265" operator="lessThan">
      <formula>0</formula>
    </cfRule>
  </conditionalFormatting>
  <conditionalFormatting sqref="R41:R42">
    <cfRule type="cellIs" dxfId="20717" priority="3263" operator="lessThan">
      <formula>0.8</formula>
    </cfRule>
    <cfRule type="cellIs" dxfId="20716" priority="3264" operator="greaterThan">
      <formula>1</formula>
    </cfRule>
  </conditionalFormatting>
  <conditionalFormatting sqref="R41:R42 AG34:AG42">
    <cfRule type="cellIs" dxfId="20715" priority="3261" operator="greaterThan">
      <formula>1</formula>
    </cfRule>
    <cfRule type="cellIs" dxfId="20714" priority="3262" operator="lessThan">
      <formula>0.8</formula>
    </cfRule>
  </conditionalFormatting>
  <conditionalFormatting sqref="AF137:AF144">
    <cfRule type="cellIs" dxfId="20713" priority="3259" operator="lessThan">
      <formula>0</formula>
    </cfRule>
  </conditionalFormatting>
  <conditionalFormatting sqref="AH137 S137">
    <cfRule type="cellIs" dxfId="20712" priority="3258" operator="lessThan">
      <formula>0.8</formula>
    </cfRule>
  </conditionalFormatting>
  <conditionalFormatting sqref="AG137:AG144">
    <cfRule type="cellIs" dxfId="20711" priority="3256" operator="greaterThan">
      <formula>1</formula>
    </cfRule>
    <cfRule type="cellIs" dxfId="20710" priority="3257" operator="lessThan">
      <formula>0.8</formula>
    </cfRule>
  </conditionalFormatting>
  <conditionalFormatting sqref="AF53:AF55">
    <cfRule type="cellIs" dxfId="20709" priority="3255" operator="lessThan">
      <formula>0</formula>
    </cfRule>
  </conditionalFormatting>
  <conditionalFormatting sqref="AG53:AG55">
    <cfRule type="cellIs" dxfId="20708" priority="3253" operator="greaterThan">
      <formula>1</formula>
    </cfRule>
    <cfRule type="cellIs" dxfId="20707" priority="3254" operator="lessThan">
      <formula>0.8</formula>
    </cfRule>
  </conditionalFormatting>
  <conditionalFormatting sqref="AF56 Q56">
    <cfRule type="cellIs" dxfId="20706" priority="3252" operator="lessThan">
      <formula>0</formula>
    </cfRule>
  </conditionalFormatting>
  <conditionalFormatting sqref="R56">
    <cfRule type="cellIs" dxfId="20705" priority="3250" operator="lessThan">
      <formula>0.8</formula>
    </cfRule>
    <cfRule type="cellIs" dxfId="20704" priority="3251" operator="greaterThan">
      <formula>1</formula>
    </cfRule>
  </conditionalFormatting>
  <conditionalFormatting sqref="AG56 R56">
    <cfRule type="cellIs" dxfId="20703" priority="3248" operator="greaterThan">
      <formula>1</formula>
    </cfRule>
    <cfRule type="cellIs" dxfId="20702" priority="3249" operator="lessThan">
      <formula>0.8</formula>
    </cfRule>
  </conditionalFormatting>
  <conditionalFormatting sqref="P56">
    <cfRule type="cellIs" dxfId="20701" priority="3247" operator="greaterThan">
      <formula>0</formula>
    </cfRule>
  </conditionalFormatting>
  <conditionalFormatting sqref="P52:P55">
    <cfRule type="cellIs" dxfId="20700" priority="3241" operator="greaterThan">
      <formula>0</formula>
    </cfRule>
  </conditionalFormatting>
  <conditionalFormatting sqref="Q52:Q55">
    <cfRule type="cellIs" dxfId="20699" priority="3246" operator="lessThan">
      <formula>0</formula>
    </cfRule>
  </conditionalFormatting>
  <conditionalFormatting sqref="R52:R55">
    <cfRule type="cellIs" dxfId="20698" priority="3244" operator="lessThan">
      <formula>0.8</formula>
    </cfRule>
    <cfRule type="cellIs" dxfId="20697" priority="3245" operator="greaterThan">
      <formula>1</formula>
    </cfRule>
  </conditionalFormatting>
  <conditionalFormatting sqref="R52:R55">
    <cfRule type="cellIs" dxfId="20696" priority="3242" operator="greaterThan">
      <formula>1</formula>
    </cfRule>
    <cfRule type="cellIs" dxfId="20695" priority="3243" operator="lessThan">
      <formula>0.8</formula>
    </cfRule>
  </conditionalFormatting>
  <conditionalFormatting sqref="P80:P81">
    <cfRule type="cellIs" dxfId="20694" priority="3235" operator="greaterThan">
      <formula>0</formula>
    </cfRule>
  </conditionalFormatting>
  <conditionalFormatting sqref="AF81 Q80:Q81">
    <cfRule type="cellIs" dxfId="20693" priority="3240" operator="lessThan">
      <formula>0</formula>
    </cfRule>
  </conditionalFormatting>
  <conditionalFormatting sqref="R80:R81">
    <cfRule type="cellIs" dxfId="20692" priority="3238" operator="lessThan">
      <formula>0.8</formula>
    </cfRule>
    <cfRule type="cellIs" dxfId="20691" priority="3239" operator="greaterThan">
      <formula>1</formula>
    </cfRule>
  </conditionalFormatting>
  <conditionalFormatting sqref="AG81 R80:R81">
    <cfRule type="cellIs" dxfId="20690" priority="3236" operator="greaterThan">
      <formula>1</formula>
    </cfRule>
    <cfRule type="cellIs" dxfId="20689" priority="3237" operator="lessThan">
      <formula>0.8</formula>
    </cfRule>
  </conditionalFormatting>
  <conditionalFormatting sqref="AH85">
    <cfRule type="cellIs" dxfId="20688" priority="3234" operator="lessThan">
      <formula>0.8</formula>
    </cfRule>
  </conditionalFormatting>
  <conditionalFormatting sqref="S85">
    <cfRule type="cellIs" dxfId="20687" priority="3233" operator="lessThan">
      <formula>0.8</formula>
    </cfRule>
  </conditionalFormatting>
  <conditionalFormatting sqref="AF99 AF101 AF103">
    <cfRule type="cellIs" dxfId="20686" priority="3232" operator="lessThan">
      <formula>0</formula>
    </cfRule>
  </conditionalFormatting>
  <conditionalFormatting sqref="AG99 AG101 AG103">
    <cfRule type="cellIs" dxfId="20685" priority="3230" operator="greaterThan">
      <formula>1</formula>
    </cfRule>
    <cfRule type="cellIs" dxfId="20684" priority="3231" operator="lessThan">
      <formula>0.8</formula>
    </cfRule>
  </conditionalFormatting>
  <conditionalFormatting sqref="AF105:AF107">
    <cfRule type="cellIs" dxfId="20683" priority="3229" operator="lessThan">
      <formula>0</formula>
    </cfRule>
  </conditionalFormatting>
  <conditionalFormatting sqref="AH100:AH107">
    <cfRule type="cellIs" dxfId="20682" priority="3228" operator="lessThan">
      <formula>0.8</formula>
    </cfRule>
  </conditionalFormatting>
  <conditionalFormatting sqref="AG105:AG107">
    <cfRule type="cellIs" dxfId="20681" priority="3226" operator="greaterThan">
      <formula>1</formula>
    </cfRule>
    <cfRule type="cellIs" dxfId="20680" priority="3227" operator="lessThan">
      <formula>0.8</formula>
    </cfRule>
  </conditionalFormatting>
  <conditionalFormatting sqref="P106:P107">
    <cfRule type="cellIs" dxfId="20679" priority="3220" operator="greaterThan">
      <formula>0</formula>
    </cfRule>
  </conditionalFormatting>
  <conditionalFormatting sqref="Q106:Q107">
    <cfRule type="cellIs" dxfId="20678" priority="3225" operator="lessThan">
      <formula>0</formula>
    </cfRule>
  </conditionalFormatting>
  <conditionalFormatting sqref="R106:R107">
    <cfRule type="cellIs" dxfId="20677" priority="3223" operator="lessThan">
      <formula>0.8</formula>
    </cfRule>
    <cfRule type="cellIs" dxfId="20676" priority="3224" operator="greaterThan">
      <formula>1</formula>
    </cfRule>
  </conditionalFormatting>
  <conditionalFormatting sqref="R106:R107">
    <cfRule type="cellIs" dxfId="20675" priority="3221" operator="greaterThan">
      <formula>1</formula>
    </cfRule>
    <cfRule type="cellIs" dxfId="20674" priority="3222" operator="lessThan">
      <formula>0.8</formula>
    </cfRule>
  </conditionalFormatting>
  <conditionalFormatting sqref="AF109">
    <cfRule type="cellIs" dxfId="20673" priority="3219" operator="lessThan">
      <formula>0</formula>
    </cfRule>
  </conditionalFormatting>
  <conditionalFormatting sqref="S109">
    <cfRule type="cellIs" dxfId="20672" priority="3218" operator="lessThan">
      <formula>0.8</formula>
    </cfRule>
  </conditionalFormatting>
  <conditionalFormatting sqref="AG109">
    <cfRule type="cellIs" dxfId="20671" priority="3216" operator="greaterThan">
      <formula>1</formula>
    </cfRule>
    <cfRule type="cellIs" dxfId="20670" priority="3217" operator="lessThan">
      <formula>0.8</formula>
    </cfRule>
  </conditionalFormatting>
  <conditionalFormatting sqref="S150">
    <cfRule type="cellIs" dxfId="20669" priority="3215" operator="lessThan">
      <formula>0.8</formula>
    </cfRule>
  </conditionalFormatting>
  <conditionalFormatting sqref="AH150">
    <cfRule type="cellIs" dxfId="20668" priority="3214" operator="lessThan">
      <formula>0.8</formula>
    </cfRule>
  </conditionalFormatting>
  <conditionalFormatting sqref="S149">
    <cfRule type="cellIs" dxfId="20667" priority="3213" operator="lessThan">
      <formula>0.8</formula>
    </cfRule>
  </conditionalFormatting>
  <conditionalFormatting sqref="Q26:Q29">
    <cfRule type="cellIs" dxfId="20666" priority="3212" operator="lessThan">
      <formula>0</formula>
    </cfRule>
  </conditionalFormatting>
  <conditionalFormatting sqref="S21:S29 AH21:AH29">
    <cfRule type="cellIs" dxfId="20665" priority="3211" operator="lessThan">
      <formula>0.8</formula>
    </cfRule>
  </conditionalFormatting>
  <conditionalFormatting sqref="R26:R29">
    <cfRule type="cellIs" dxfId="20664" priority="3209" operator="lessThan">
      <formula>0.8</formula>
    </cfRule>
    <cfRule type="cellIs" dxfId="20663" priority="3210" operator="greaterThan">
      <formula>1</formula>
    </cfRule>
  </conditionalFormatting>
  <conditionalFormatting sqref="R26:R29">
    <cfRule type="cellIs" dxfId="20662" priority="3207" operator="greaterThan">
      <formula>1</formula>
    </cfRule>
    <cfRule type="cellIs" dxfId="20661" priority="3208" operator="lessThan">
      <formula>0.8</formula>
    </cfRule>
  </conditionalFormatting>
  <conditionalFormatting sqref="P26:P29">
    <cfRule type="cellIs" dxfId="20660" priority="3206" operator="greaterThan">
      <formula>0</formula>
    </cfRule>
  </conditionalFormatting>
  <conditionalFormatting sqref="AH91 S91">
    <cfRule type="cellIs" dxfId="20659" priority="3205" operator="lessThan">
      <formula>0.8</formula>
    </cfRule>
  </conditionalFormatting>
  <conditionalFormatting sqref="P92:P94">
    <cfRule type="cellIs" dxfId="20658" priority="3199" operator="greaterThan">
      <formula>0</formula>
    </cfRule>
  </conditionalFormatting>
  <conditionalFormatting sqref="Q92:Q94">
    <cfRule type="cellIs" dxfId="20657" priority="3204" operator="lessThan">
      <formula>0</formula>
    </cfRule>
  </conditionalFormatting>
  <conditionalFormatting sqref="R92:R94">
    <cfRule type="cellIs" dxfId="20656" priority="3202" operator="lessThan">
      <formula>0.8</formula>
    </cfRule>
    <cfRule type="cellIs" dxfId="20655" priority="3203" operator="greaterThan">
      <formula>1</formula>
    </cfRule>
  </conditionalFormatting>
  <conditionalFormatting sqref="R92:R94">
    <cfRule type="cellIs" dxfId="20654" priority="3200" operator="greaterThan">
      <formula>1</formula>
    </cfRule>
    <cfRule type="cellIs" dxfId="20653" priority="3201" operator="lessThan">
      <formula>0.8</formula>
    </cfRule>
  </conditionalFormatting>
  <conditionalFormatting sqref="AF146 Q145:Q146">
    <cfRule type="cellIs" dxfId="20652" priority="3198" operator="lessThan">
      <formula>0</formula>
    </cfRule>
  </conditionalFormatting>
  <conditionalFormatting sqref="AH139:AH146 S139:S146">
    <cfRule type="cellIs" dxfId="20651" priority="3197" operator="lessThan">
      <formula>0.8</formula>
    </cfRule>
  </conditionalFormatting>
  <conditionalFormatting sqref="R145:R146">
    <cfRule type="cellIs" dxfId="20650" priority="3195" operator="lessThan">
      <formula>0.8</formula>
    </cfRule>
    <cfRule type="cellIs" dxfId="20649" priority="3196" operator="greaterThan">
      <formula>1</formula>
    </cfRule>
  </conditionalFormatting>
  <conditionalFormatting sqref="AG146 R145:R146">
    <cfRule type="cellIs" dxfId="20648" priority="3193" operator="greaterThan">
      <formula>1</formula>
    </cfRule>
    <cfRule type="cellIs" dxfId="20647" priority="3194" operator="lessThan">
      <formula>0.8</formula>
    </cfRule>
  </conditionalFormatting>
  <conditionalFormatting sqref="P145:P146">
    <cfRule type="cellIs" dxfId="20646" priority="3192" operator="greaterThan">
      <formula>0</formula>
    </cfRule>
  </conditionalFormatting>
  <conditionalFormatting sqref="Q119:Q120">
    <cfRule type="cellIs" dxfId="20645" priority="3191" operator="lessThan">
      <formula>0</formula>
    </cfRule>
  </conditionalFormatting>
  <conditionalFormatting sqref="R119:R120">
    <cfRule type="cellIs" dxfId="20644" priority="3189" operator="lessThan">
      <formula>0.8</formula>
    </cfRule>
    <cfRule type="cellIs" dxfId="20643" priority="3190" operator="greaterThan">
      <formula>1</formula>
    </cfRule>
  </conditionalFormatting>
  <conditionalFormatting sqref="R119:R120">
    <cfRule type="cellIs" dxfId="20642" priority="3187" operator="greaterThan">
      <formula>1</formula>
    </cfRule>
    <cfRule type="cellIs" dxfId="20641" priority="3188" operator="lessThan">
      <formula>0.8</formula>
    </cfRule>
  </conditionalFormatting>
  <conditionalFormatting sqref="P119:P120">
    <cfRule type="cellIs" dxfId="20640" priority="3186" operator="greaterThan">
      <formula>0</formula>
    </cfRule>
  </conditionalFormatting>
  <conditionalFormatting sqref="AF118:AF120">
    <cfRule type="cellIs" dxfId="20639" priority="3185" operator="lessThan">
      <formula>0</formula>
    </cfRule>
  </conditionalFormatting>
  <conditionalFormatting sqref="AG118:AG120">
    <cfRule type="cellIs" dxfId="20638" priority="3183" operator="greaterThan">
      <formula>1</formula>
    </cfRule>
    <cfRule type="cellIs" dxfId="20637" priority="3184" operator="lessThan">
      <formula>0.8</formula>
    </cfRule>
  </conditionalFormatting>
  <conditionalFormatting sqref="S44:S56">
    <cfRule type="cellIs" dxfId="20636" priority="3182" operator="lessThan">
      <formula>0.8</formula>
    </cfRule>
  </conditionalFormatting>
  <conditionalFormatting sqref="S108">
    <cfRule type="cellIs" dxfId="20635" priority="3181" operator="lessThan">
      <formula>0.8</formula>
    </cfRule>
  </conditionalFormatting>
  <conditionalFormatting sqref="S96">
    <cfRule type="cellIs" dxfId="20634" priority="3180" operator="lessThan">
      <formula>0.8</formula>
    </cfRule>
  </conditionalFormatting>
  <conditionalFormatting sqref="S97">
    <cfRule type="cellIs" dxfId="20633" priority="3179" operator="lessThan">
      <formula>0.8</formula>
    </cfRule>
  </conditionalFormatting>
  <conditionalFormatting sqref="S103">
    <cfRule type="cellIs" dxfId="20632" priority="3178" operator="lessThan">
      <formula>0.8</formula>
    </cfRule>
  </conditionalFormatting>
  <conditionalFormatting sqref="S99">
    <cfRule type="cellIs" dxfId="20631" priority="3177" operator="lessThan">
      <formula>0.8</formula>
    </cfRule>
  </conditionalFormatting>
  <conditionalFormatting sqref="S101">
    <cfRule type="cellIs" dxfId="20630" priority="3174" operator="lessThan">
      <formula>0.8</formula>
    </cfRule>
  </conditionalFormatting>
  <conditionalFormatting sqref="S100">
    <cfRule type="cellIs" dxfId="20629" priority="3176" operator="lessThan">
      <formula>0.8</formula>
    </cfRule>
  </conditionalFormatting>
  <conditionalFormatting sqref="S102">
    <cfRule type="cellIs" dxfId="20628" priority="3175" operator="lessThan">
      <formula>0.8</formula>
    </cfRule>
  </conditionalFormatting>
  <conditionalFormatting sqref="S98">
    <cfRule type="cellIs" dxfId="20627" priority="3173" operator="lessThan">
      <formula>0.8</formula>
    </cfRule>
  </conditionalFormatting>
  <conditionalFormatting sqref="S104">
    <cfRule type="cellIs" dxfId="20626" priority="3172" operator="lessThan">
      <formula>0.8</formula>
    </cfRule>
  </conditionalFormatting>
  <conditionalFormatting sqref="P118">
    <cfRule type="cellIs" dxfId="20625" priority="3166" operator="greaterThan">
      <formula>0</formula>
    </cfRule>
  </conditionalFormatting>
  <conditionalFormatting sqref="Q118">
    <cfRule type="cellIs" dxfId="20624" priority="3171" operator="lessThan">
      <formula>0</formula>
    </cfRule>
  </conditionalFormatting>
  <conditionalFormatting sqref="R118">
    <cfRule type="cellIs" dxfId="20623" priority="3169" operator="lessThan">
      <formula>0.8</formula>
    </cfRule>
    <cfRule type="cellIs" dxfId="20622" priority="3170" operator="greaterThan">
      <formula>1</formula>
    </cfRule>
  </conditionalFormatting>
  <conditionalFormatting sqref="R118">
    <cfRule type="cellIs" dxfId="20621" priority="3167" operator="greaterThan">
      <formula>1</formula>
    </cfRule>
    <cfRule type="cellIs" dxfId="20620" priority="3168" operator="lessThan">
      <formula>0.8</formula>
    </cfRule>
  </conditionalFormatting>
  <conditionalFormatting sqref="Q162:Q166">
    <cfRule type="cellIs" dxfId="20619" priority="3165" operator="lessThan">
      <formula>0</formula>
    </cfRule>
  </conditionalFormatting>
  <conditionalFormatting sqref="R162:R166">
    <cfRule type="cellIs" dxfId="20618" priority="3163" operator="lessThan">
      <formula>0.8</formula>
    </cfRule>
    <cfRule type="cellIs" dxfId="20617" priority="3164" operator="greaterThan">
      <formula>1</formula>
    </cfRule>
  </conditionalFormatting>
  <conditionalFormatting sqref="R162:R166">
    <cfRule type="cellIs" dxfId="20616" priority="3161" operator="greaterThan">
      <formula>1</formula>
    </cfRule>
    <cfRule type="cellIs" dxfId="20615" priority="3162" operator="lessThan">
      <formula>0.8</formula>
    </cfRule>
  </conditionalFormatting>
  <conditionalFormatting sqref="P162:P166">
    <cfRule type="cellIs" dxfId="20614" priority="3160" operator="greaterThan">
      <formula>0</formula>
    </cfRule>
  </conditionalFormatting>
  <conditionalFormatting sqref="P167:P168">
    <cfRule type="cellIs" dxfId="20613" priority="3154" operator="greaterThan">
      <formula>0</formula>
    </cfRule>
  </conditionalFormatting>
  <conditionalFormatting sqref="R167:R168">
    <cfRule type="cellIs" dxfId="20612" priority="3157" operator="lessThan">
      <formula>0.8</formula>
    </cfRule>
    <cfRule type="cellIs" dxfId="20611" priority="3158" operator="greaterThan">
      <formula>1</formula>
    </cfRule>
  </conditionalFormatting>
  <conditionalFormatting sqref="R167:R168">
    <cfRule type="cellIs" dxfId="20610" priority="3155" operator="greaterThan">
      <formula>1</formula>
    </cfRule>
    <cfRule type="cellIs" dxfId="20609" priority="3156" operator="lessThan">
      <formula>0.8</formula>
    </cfRule>
  </conditionalFormatting>
  <conditionalFormatting sqref="Q167:Q168">
    <cfRule type="cellIs" dxfId="20608" priority="3159" operator="lessThan">
      <formula>0</formula>
    </cfRule>
  </conditionalFormatting>
  <conditionalFormatting sqref="Q117">
    <cfRule type="cellIs" dxfId="20607" priority="3153" operator="lessThan">
      <formula>0</formula>
    </cfRule>
  </conditionalFormatting>
  <conditionalFormatting sqref="R117">
    <cfRule type="cellIs" dxfId="20606" priority="3151" operator="lessThan">
      <formula>0.8</formula>
    </cfRule>
    <cfRule type="cellIs" dxfId="20605" priority="3152" operator="greaterThan">
      <formula>1</formula>
    </cfRule>
  </conditionalFormatting>
  <conditionalFormatting sqref="R117">
    <cfRule type="cellIs" dxfId="20604" priority="3149" operator="greaterThan">
      <formula>1</formula>
    </cfRule>
    <cfRule type="cellIs" dxfId="20603" priority="3150" operator="lessThan">
      <formula>0.8</formula>
    </cfRule>
  </conditionalFormatting>
  <conditionalFormatting sqref="P117">
    <cfRule type="cellIs" dxfId="20602" priority="3148" operator="greaterThan">
      <formula>0</formula>
    </cfRule>
  </conditionalFormatting>
  <conditionalFormatting sqref="Q117">
    <cfRule type="cellIs" dxfId="20601" priority="3147" operator="lessThan">
      <formula>0</formula>
    </cfRule>
  </conditionalFormatting>
  <conditionalFormatting sqref="R117">
    <cfRule type="cellIs" dxfId="20600" priority="3145" operator="lessThan">
      <formula>0.8</formula>
    </cfRule>
    <cfRule type="cellIs" dxfId="20599" priority="3146" operator="greaterThan">
      <formula>1</formula>
    </cfRule>
  </conditionalFormatting>
  <conditionalFormatting sqref="R117">
    <cfRule type="cellIs" dxfId="20598" priority="3143" operator="greaterThan">
      <formula>1</formula>
    </cfRule>
    <cfRule type="cellIs" dxfId="20597" priority="3144" operator="lessThan">
      <formula>0.8</formula>
    </cfRule>
  </conditionalFormatting>
  <conditionalFormatting sqref="P117">
    <cfRule type="cellIs" dxfId="20596" priority="3142" operator="greaterThan">
      <formula>0</formula>
    </cfRule>
  </conditionalFormatting>
  <conditionalFormatting sqref="P117">
    <cfRule type="cellIs" dxfId="20595" priority="3136" operator="greaterThan">
      <formula>0</formula>
    </cfRule>
  </conditionalFormatting>
  <conditionalFormatting sqref="Q117">
    <cfRule type="cellIs" dxfId="20594" priority="3141" operator="lessThan">
      <formula>0</formula>
    </cfRule>
  </conditionalFormatting>
  <conditionalFormatting sqref="R117">
    <cfRule type="cellIs" dxfId="20593" priority="3139" operator="lessThan">
      <formula>0.8</formula>
    </cfRule>
    <cfRule type="cellIs" dxfId="20592" priority="3140" operator="greaterThan">
      <formula>1</formula>
    </cfRule>
  </conditionalFormatting>
  <conditionalFormatting sqref="R117">
    <cfRule type="cellIs" dxfId="20591" priority="3137" operator="greaterThan">
      <formula>1</formula>
    </cfRule>
    <cfRule type="cellIs" dxfId="20590" priority="3138" operator="lessThan">
      <formula>0.8</formula>
    </cfRule>
  </conditionalFormatting>
  <conditionalFormatting sqref="P117">
    <cfRule type="cellIs" dxfId="20589" priority="3130" operator="greaterThan">
      <formula>0</formula>
    </cfRule>
  </conditionalFormatting>
  <conditionalFormatting sqref="Q117">
    <cfRule type="cellIs" dxfId="20588" priority="3135" operator="lessThan">
      <formula>0</formula>
    </cfRule>
  </conditionalFormatting>
  <conditionalFormatting sqref="R117">
    <cfRule type="cellIs" dxfId="20587" priority="3133" operator="lessThan">
      <formula>0.8</formula>
    </cfRule>
    <cfRule type="cellIs" dxfId="20586" priority="3134" operator="greaterThan">
      <formula>1</formula>
    </cfRule>
  </conditionalFormatting>
  <conditionalFormatting sqref="R117">
    <cfRule type="cellIs" dxfId="20585" priority="3131" operator="greaterThan">
      <formula>1</formula>
    </cfRule>
    <cfRule type="cellIs" dxfId="20584" priority="3132" operator="lessThan">
      <formula>0.8</formula>
    </cfRule>
  </conditionalFormatting>
  <conditionalFormatting sqref="P117">
    <cfRule type="cellIs" dxfId="20583" priority="3124" operator="greaterThan">
      <formula>0</formula>
    </cfRule>
  </conditionalFormatting>
  <conditionalFormatting sqref="Q117">
    <cfRule type="cellIs" dxfId="20582" priority="3129" operator="lessThan">
      <formula>0</formula>
    </cfRule>
  </conditionalFormatting>
  <conditionalFormatting sqref="R117">
    <cfRule type="cellIs" dxfId="20581" priority="3127" operator="lessThan">
      <formula>0.8</formula>
    </cfRule>
    <cfRule type="cellIs" dxfId="20580" priority="3128" operator="greaterThan">
      <formula>1</formula>
    </cfRule>
  </conditionalFormatting>
  <conditionalFormatting sqref="R117">
    <cfRule type="cellIs" dxfId="20579" priority="3125" operator="greaterThan">
      <formula>1</formula>
    </cfRule>
    <cfRule type="cellIs" dxfId="20578" priority="3126" operator="lessThan">
      <formula>0.8</formula>
    </cfRule>
  </conditionalFormatting>
  <conditionalFormatting sqref="Q117">
    <cfRule type="cellIs" dxfId="20577" priority="3123" operator="lessThan">
      <formula>0</formula>
    </cfRule>
  </conditionalFormatting>
  <conditionalFormatting sqref="R117">
    <cfRule type="cellIs" dxfId="20576" priority="3121" operator="lessThan">
      <formula>0.8</formula>
    </cfRule>
    <cfRule type="cellIs" dxfId="20575" priority="3122" operator="greaterThan">
      <formula>1</formula>
    </cfRule>
  </conditionalFormatting>
  <conditionalFormatting sqref="R117">
    <cfRule type="cellIs" dxfId="20574" priority="3119" operator="greaterThan">
      <formula>1</formula>
    </cfRule>
    <cfRule type="cellIs" dxfId="20573" priority="3120" operator="lessThan">
      <formula>0.8</formula>
    </cfRule>
  </conditionalFormatting>
  <conditionalFormatting sqref="P117">
    <cfRule type="cellIs" dxfId="20572" priority="3118" operator="greaterThan">
      <formula>0</formula>
    </cfRule>
  </conditionalFormatting>
  <conditionalFormatting sqref="P117">
    <cfRule type="cellIs" dxfId="20571" priority="3112" operator="greaterThan">
      <formula>0</formula>
    </cfRule>
  </conditionalFormatting>
  <conditionalFormatting sqref="Q117">
    <cfRule type="cellIs" dxfId="20570" priority="3117" operator="lessThan">
      <formula>0</formula>
    </cfRule>
  </conditionalFormatting>
  <conditionalFormatting sqref="R117">
    <cfRule type="cellIs" dxfId="20569" priority="3115" operator="lessThan">
      <formula>0.8</formula>
    </cfRule>
    <cfRule type="cellIs" dxfId="20568" priority="3116" operator="greaterThan">
      <formula>1</formula>
    </cfRule>
  </conditionalFormatting>
  <conditionalFormatting sqref="R117">
    <cfRule type="cellIs" dxfId="20567" priority="3113" operator="greaterThan">
      <formula>1</formula>
    </cfRule>
    <cfRule type="cellIs" dxfId="20566" priority="3114" operator="lessThan">
      <formula>0.8</formula>
    </cfRule>
  </conditionalFormatting>
  <conditionalFormatting sqref="P117">
    <cfRule type="cellIs" dxfId="20565" priority="3106" operator="greaterThan">
      <formula>0</formula>
    </cfRule>
  </conditionalFormatting>
  <conditionalFormatting sqref="Q117">
    <cfRule type="cellIs" dxfId="20564" priority="3111" operator="lessThan">
      <formula>0</formula>
    </cfRule>
  </conditionalFormatting>
  <conditionalFormatting sqref="R117">
    <cfRule type="cellIs" dxfId="20563" priority="3109" operator="lessThan">
      <formula>0.8</formula>
    </cfRule>
    <cfRule type="cellIs" dxfId="20562" priority="3110" operator="greaterThan">
      <formula>1</formula>
    </cfRule>
  </conditionalFormatting>
  <conditionalFormatting sqref="R117">
    <cfRule type="cellIs" dxfId="20561" priority="3107" operator="greaterThan">
      <formula>1</formula>
    </cfRule>
    <cfRule type="cellIs" dxfId="20560" priority="3108" operator="lessThan">
      <formula>0.8</formula>
    </cfRule>
  </conditionalFormatting>
  <conditionalFormatting sqref="Q117">
    <cfRule type="cellIs" dxfId="20559" priority="3105" operator="lessThan">
      <formula>0</formula>
    </cfRule>
  </conditionalFormatting>
  <conditionalFormatting sqref="R117">
    <cfRule type="cellIs" dxfId="20558" priority="3103" operator="lessThan">
      <formula>0.8</formula>
    </cfRule>
    <cfRule type="cellIs" dxfId="20557" priority="3104" operator="greaterThan">
      <formula>1</formula>
    </cfRule>
  </conditionalFormatting>
  <conditionalFormatting sqref="R117">
    <cfRule type="cellIs" dxfId="20556" priority="3101" operator="greaterThan">
      <formula>1</formula>
    </cfRule>
    <cfRule type="cellIs" dxfId="20555" priority="3102" operator="lessThan">
      <formula>0.8</formula>
    </cfRule>
  </conditionalFormatting>
  <conditionalFormatting sqref="P117">
    <cfRule type="cellIs" dxfId="20554" priority="3100" operator="greaterThan">
      <formula>0</formula>
    </cfRule>
  </conditionalFormatting>
  <conditionalFormatting sqref="P117">
    <cfRule type="cellIs" dxfId="20553" priority="3094" operator="greaterThan">
      <formula>0</formula>
    </cfRule>
  </conditionalFormatting>
  <conditionalFormatting sqref="Q117">
    <cfRule type="cellIs" dxfId="20552" priority="3099" operator="lessThan">
      <formula>0</formula>
    </cfRule>
  </conditionalFormatting>
  <conditionalFormatting sqref="R117">
    <cfRule type="cellIs" dxfId="20551" priority="3097" operator="lessThan">
      <formula>0.8</formula>
    </cfRule>
    <cfRule type="cellIs" dxfId="20550" priority="3098" operator="greaterThan">
      <formula>1</formula>
    </cfRule>
  </conditionalFormatting>
  <conditionalFormatting sqref="R117">
    <cfRule type="cellIs" dxfId="20549" priority="3095" operator="greaterThan">
      <formula>1</formula>
    </cfRule>
    <cfRule type="cellIs" dxfId="20548" priority="3096" operator="lessThan">
      <formula>0.8</formula>
    </cfRule>
  </conditionalFormatting>
  <conditionalFormatting sqref="Q117">
    <cfRule type="cellIs" dxfId="20547" priority="3093" operator="lessThan">
      <formula>0</formula>
    </cfRule>
  </conditionalFormatting>
  <conditionalFormatting sqref="R117">
    <cfRule type="cellIs" dxfId="20546" priority="3091" operator="lessThan">
      <formula>0.8</formula>
    </cfRule>
    <cfRule type="cellIs" dxfId="20545" priority="3092" operator="greaterThan">
      <formula>1</formula>
    </cfRule>
  </conditionalFormatting>
  <conditionalFormatting sqref="R117">
    <cfRule type="cellIs" dxfId="20544" priority="3089" operator="greaterThan">
      <formula>1</formula>
    </cfRule>
    <cfRule type="cellIs" dxfId="20543" priority="3090" operator="lessThan">
      <formula>0.8</formula>
    </cfRule>
  </conditionalFormatting>
  <conditionalFormatting sqref="P117">
    <cfRule type="cellIs" dxfId="20542" priority="3088" operator="greaterThan">
      <formula>0</formula>
    </cfRule>
  </conditionalFormatting>
  <conditionalFormatting sqref="Q117">
    <cfRule type="cellIs" dxfId="20541" priority="3087" operator="lessThan">
      <formula>0</formula>
    </cfRule>
  </conditionalFormatting>
  <conditionalFormatting sqref="R117">
    <cfRule type="cellIs" dxfId="20540" priority="3085" operator="lessThan">
      <formula>0.8</formula>
    </cfRule>
    <cfRule type="cellIs" dxfId="20539" priority="3086" operator="greaterThan">
      <formula>1</formula>
    </cfRule>
  </conditionalFormatting>
  <conditionalFormatting sqref="R117">
    <cfRule type="cellIs" dxfId="20538" priority="3083" operator="greaterThan">
      <formula>1</formula>
    </cfRule>
    <cfRule type="cellIs" dxfId="20537" priority="3084" operator="lessThan">
      <formula>0.8</formula>
    </cfRule>
  </conditionalFormatting>
  <conditionalFormatting sqref="P117">
    <cfRule type="cellIs" dxfId="20536" priority="3082" operator="greaterThan">
      <formula>0</formula>
    </cfRule>
  </conditionalFormatting>
  <conditionalFormatting sqref="Q83">
    <cfRule type="cellIs" dxfId="20535" priority="3081" operator="lessThan">
      <formula>0</formula>
    </cfRule>
  </conditionalFormatting>
  <conditionalFormatting sqref="R83">
    <cfRule type="cellIs" dxfId="20534" priority="3079" operator="lessThan">
      <formula>0.8</formula>
    </cfRule>
    <cfRule type="cellIs" dxfId="20533" priority="3080" operator="greaterThan">
      <formula>1</formula>
    </cfRule>
  </conditionalFormatting>
  <conditionalFormatting sqref="R83">
    <cfRule type="cellIs" dxfId="20532" priority="3077" operator="greaterThan">
      <formula>1</formula>
    </cfRule>
    <cfRule type="cellIs" dxfId="20531" priority="3078" operator="lessThan">
      <formula>0.8</formula>
    </cfRule>
  </conditionalFormatting>
  <conditionalFormatting sqref="P83">
    <cfRule type="cellIs" dxfId="20530" priority="3076" operator="greaterThan">
      <formula>0</formula>
    </cfRule>
  </conditionalFormatting>
  <conditionalFormatting sqref="Q83">
    <cfRule type="cellIs" dxfId="20529" priority="3075" operator="lessThan">
      <formula>0</formula>
    </cfRule>
  </conditionalFormatting>
  <conditionalFormatting sqref="R83">
    <cfRule type="cellIs" dxfId="20528" priority="3073" operator="lessThan">
      <formula>0.8</formula>
    </cfRule>
    <cfRule type="cellIs" dxfId="20527" priority="3074" operator="greaterThan">
      <formula>1</formula>
    </cfRule>
  </conditionalFormatting>
  <conditionalFormatting sqref="R83">
    <cfRule type="cellIs" dxfId="20526" priority="3071" operator="greaterThan">
      <formula>1</formula>
    </cfRule>
    <cfRule type="cellIs" dxfId="20525" priority="3072" operator="lessThan">
      <formula>0.8</formula>
    </cfRule>
  </conditionalFormatting>
  <conditionalFormatting sqref="P83">
    <cfRule type="cellIs" dxfId="20524" priority="3070" operator="greaterThan">
      <formula>0</formula>
    </cfRule>
  </conditionalFormatting>
  <conditionalFormatting sqref="Q83">
    <cfRule type="cellIs" dxfId="20523" priority="3069" operator="lessThan">
      <formula>0</formula>
    </cfRule>
  </conditionalFormatting>
  <conditionalFormatting sqref="R83">
    <cfRule type="cellIs" dxfId="20522" priority="3067" operator="lessThan">
      <formula>0.8</formula>
    </cfRule>
    <cfRule type="cellIs" dxfId="20521" priority="3068" operator="greaterThan">
      <formula>1</formula>
    </cfRule>
  </conditionalFormatting>
  <conditionalFormatting sqref="R83">
    <cfRule type="cellIs" dxfId="20520" priority="3065" operator="greaterThan">
      <formula>1</formula>
    </cfRule>
    <cfRule type="cellIs" dxfId="20519" priority="3066" operator="lessThan">
      <formula>0.8</formula>
    </cfRule>
  </conditionalFormatting>
  <conditionalFormatting sqref="P83">
    <cfRule type="cellIs" dxfId="20518" priority="3064" operator="greaterThan">
      <formula>0</formula>
    </cfRule>
  </conditionalFormatting>
  <conditionalFormatting sqref="Q83">
    <cfRule type="cellIs" dxfId="20517" priority="3063" operator="lessThan">
      <formula>0</formula>
    </cfRule>
  </conditionalFormatting>
  <conditionalFormatting sqref="R83">
    <cfRule type="cellIs" dxfId="20516" priority="3061" operator="lessThan">
      <formula>0.8</formula>
    </cfRule>
    <cfRule type="cellIs" dxfId="20515" priority="3062" operator="greaterThan">
      <formula>1</formula>
    </cfRule>
  </conditionalFormatting>
  <conditionalFormatting sqref="R83">
    <cfRule type="cellIs" dxfId="20514" priority="3059" operator="greaterThan">
      <formula>1</formula>
    </cfRule>
    <cfRule type="cellIs" dxfId="20513" priority="3060" operator="lessThan">
      <formula>0.8</formula>
    </cfRule>
  </conditionalFormatting>
  <conditionalFormatting sqref="P83">
    <cfRule type="cellIs" dxfId="20512" priority="3058" operator="greaterThan">
      <formula>0</formula>
    </cfRule>
  </conditionalFormatting>
  <conditionalFormatting sqref="P83">
    <cfRule type="cellIs" dxfId="20511" priority="3052" operator="greaterThan">
      <formula>0</formula>
    </cfRule>
  </conditionalFormatting>
  <conditionalFormatting sqref="Q83">
    <cfRule type="cellIs" dxfId="20510" priority="3057" operator="lessThan">
      <formula>0</formula>
    </cfRule>
  </conditionalFormatting>
  <conditionalFormatting sqref="R83">
    <cfRule type="cellIs" dxfId="20509" priority="3055" operator="lessThan">
      <formula>0.8</formula>
    </cfRule>
    <cfRule type="cellIs" dxfId="20508" priority="3056" operator="greaterThan">
      <formula>1</formula>
    </cfRule>
  </conditionalFormatting>
  <conditionalFormatting sqref="R83">
    <cfRule type="cellIs" dxfId="20507" priority="3053" operator="greaterThan">
      <formula>1</formula>
    </cfRule>
    <cfRule type="cellIs" dxfId="20506" priority="3054" operator="lessThan">
      <formula>0.8</formula>
    </cfRule>
  </conditionalFormatting>
  <conditionalFormatting sqref="P83">
    <cfRule type="cellIs" dxfId="20505" priority="3046" operator="greaterThan">
      <formula>0</formula>
    </cfRule>
  </conditionalFormatting>
  <conditionalFormatting sqref="Q83">
    <cfRule type="cellIs" dxfId="20504" priority="3051" operator="lessThan">
      <formula>0</formula>
    </cfRule>
  </conditionalFormatting>
  <conditionalFormatting sqref="R83">
    <cfRule type="cellIs" dxfId="20503" priority="3049" operator="lessThan">
      <formula>0.8</formula>
    </cfRule>
    <cfRule type="cellIs" dxfId="20502" priority="3050" operator="greaterThan">
      <formula>1</formula>
    </cfRule>
  </conditionalFormatting>
  <conditionalFormatting sqref="R83">
    <cfRule type="cellIs" dxfId="20501" priority="3047" operator="greaterThan">
      <formula>1</formula>
    </cfRule>
    <cfRule type="cellIs" dxfId="20500" priority="3048" operator="lessThan">
      <formula>0.8</formula>
    </cfRule>
  </conditionalFormatting>
  <conditionalFormatting sqref="R83">
    <cfRule type="cellIs" dxfId="20499" priority="3043" operator="lessThan">
      <formula>0.8</formula>
    </cfRule>
    <cfRule type="cellIs" dxfId="20498" priority="3044" operator="greaterThan">
      <formula>1</formula>
    </cfRule>
  </conditionalFormatting>
  <conditionalFormatting sqref="R83">
    <cfRule type="cellIs" dxfId="20497" priority="3041" operator="greaterThan">
      <formula>1</formula>
    </cfRule>
    <cfRule type="cellIs" dxfId="20496" priority="3042" operator="lessThan">
      <formula>0.8</formula>
    </cfRule>
  </conditionalFormatting>
  <conditionalFormatting sqref="P83">
    <cfRule type="cellIs" dxfId="20495" priority="3040" operator="greaterThan">
      <formula>0</formula>
    </cfRule>
  </conditionalFormatting>
  <conditionalFormatting sqref="Q83">
    <cfRule type="cellIs" dxfId="20494" priority="3045" operator="lessThan">
      <formula>0</formula>
    </cfRule>
  </conditionalFormatting>
  <conditionalFormatting sqref="Q83">
    <cfRule type="cellIs" dxfId="20493" priority="3039" operator="lessThan">
      <formula>0</formula>
    </cfRule>
  </conditionalFormatting>
  <conditionalFormatting sqref="R83">
    <cfRule type="cellIs" dxfId="20492" priority="3037" operator="lessThan">
      <formula>0.8</formula>
    </cfRule>
    <cfRule type="cellIs" dxfId="20491" priority="3038" operator="greaterThan">
      <formula>1</formula>
    </cfRule>
  </conditionalFormatting>
  <conditionalFormatting sqref="R83">
    <cfRule type="cellIs" dxfId="20490" priority="3035" operator="greaterThan">
      <formula>1</formula>
    </cfRule>
    <cfRule type="cellIs" dxfId="20489" priority="3036" operator="lessThan">
      <formula>0.8</formula>
    </cfRule>
  </conditionalFormatting>
  <conditionalFormatting sqref="P83">
    <cfRule type="cellIs" dxfId="20488" priority="3034" operator="greaterThan">
      <formula>0</formula>
    </cfRule>
  </conditionalFormatting>
  <conditionalFormatting sqref="P83">
    <cfRule type="cellIs" dxfId="20487" priority="3028" operator="greaterThan">
      <formula>0</formula>
    </cfRule>
  </conditionalFormatting>
  <conditionalFormatting sqref="Q83">
    <cfRule type="cellIs" dxfId="20486" priority="3033" operator="lessThan">
      <formula>0</formula>
    </cfRule>
  </conditionalFormatting>
  <conditionalFormatting sqref="R83">
    <cfRule type="cellIs" dxfId="20485" priority="3031" operator="lessThan">
      <formula>0.8</formula>
    </cfRule>
    <cfRule type="cellIs" dxfId="20484" priority="3032" operator="greaterThan">
      <formula>1</formula>
    </cfRule>
  </conditionalFormatting>
  <conditionalFormatting sqref="R83">
    <cfRule type="cellIs" dxfId="20483" priority="3029" operator="greaterThan">
      <formula>1</formula>
    </cfRule>
    <cfRule type="cellIs" dxfId="20482" priority="3030" operator="lessThan">
      <formula>0.8</formula>
    </cfRule>
  </conditionalFormatting>
  <conditionalFormatting sqref="P83">
    <cfRule type="cellIs" dxfId="20481" priority="3022" operator="greaterThan">
      <formula>0</formula>
    </cfRule>
  </conditionalFormatting>
  <conditionalFormatting sqref="Q83">
    <cfRule type="cellIs" dxfId="20480" priority="3027" operator="lessThan">
      <formula>0</formula>
    </cfRule>
  </conditionalFormatting>
  <conditionalFormatting sqref="R83">
    <cfRule type="cellIs" dxfId="20479" priority="3025" operator="lessThan">
      <formula>0.8</formula>
    </cfRule>
    <cfRule type="cellIs" dxfId="20478" priority="3026" operator="greaterThan">
      <formula>1</formula>
    </cfRule>
  </conditionalFormatting>
  <conditionalFormatting sqref="R83">
    <cfRule type="cellIs" dxfId="20477" priority="3023" operator="greaterThan">
      <formula>1</formula>
    </cfRule>
    <cfRule type="cellIs" dxfId="20476" priority="3024" operator="lessThan">
      <formula>0.8</formula>
    </cfRule>
  </conditionalFormatting>
  <conditionalFormatting sqref="R83">
    <cfRule type="cellIs" dxfId="20475" priority="3019" operator="lessThan">
      <formula>0.8</formula>
    </cfRule>
    <cfRule type="cellIs" dxfId="20474" priority="3020" operator="greaterThan">
      <formula>1</formula>
    </cfRule>
  </conditionalFormatting>
  <conditionalFormatting sqref="R83">
    <cfRule type="cellIs" dxfId="20473" priority="3017" operator="greaterThan">
      <formula>1</formula>
    </cfRule>
    <cfRule type="cellIs" dxfId="20472" priority="3018" operator="lessThan">
      <formula>0.8</formula>
    </cfRule>
  </conditionalFormatting>
  <conditionalFormatting sqref="P83">
    <cfRule type="cellIs" dxfId="20471" priority="3016" operator="greaterThan">
      <formula>0</formula>
    </cfRule>
  </conditionalFormatting>
  <conditionalFormatting sqref="Q83">
    <cfRule type="cellIs" dxfId="20470" priority="3021" operator="lessThan">
      <formula>0</formula>
    </cfRule>
  </conditionalFormatting>
  <conditionalFormatting sqref="P83">
    <cfRule type="cellIs" dxfId="20469" priority="3010" operator="greaterThan">
      <formula>0</formula>
    </cfRule>
  </conditionalFormatting>
  <conditionalFormatting sqref="Q83">
    <cfRule type="cellIs" dxfId="20468" priority="3015" operator="lessThan">
      <formula>0</formula>
    </cfRule>
  </conditionalFormatting>
  <conditionalFormatting sqref="R83">
    <cfRule type="cellIs" dxfId="20467" priority="3013" operator="lessThan">
      <formula>0.8</formula>
    </cfRule>
    <cfRule type="cellIs" dxfId="20466" priority="3014" operator="greaterThan">
      <formula>1</formula>
    </cfRule>
  </conditionalFormatting>
  <conditionalFormatting sqref="R83">
    <cfRule type="cellIs" dxfId="20465" priority="3011" operator="greaterThan">
      <formula>1</formula>
    </cfRule>
    <cfRule type="cellIs" dxfId="20464" priority="3012" operator="lessThan">
      <formula>0.8</formula>
    </cfRule>
  </conditionalFormatting>
  <conditionalFormatting sqref="R83">
    <cfRule type="cellIs" dxfId="20463" priority="3007" operator="lessThan">
      <formula>0.8</formula>
    </cfRule>
    <cfRule type="cellIs" dxfId="20462" priority="3008" operator="greaterThan">
      <formula>1</formula>
    </cfRule>
  </conditionalFormatting>
  <conditionalFormatting sqref="R83">
    <cfRule type="cellIs" dxfId="20461" priority="3005" operator="greaterThan">
      <formula>1</formula>
    </cfRule>
    <cfRule type="cellIs" dxfId="20460" priority="3006" operator="lessThan">
      <formula>0.8</formula>
    </cfRule>
  </conditionalFormatting>
  <conditionalFormatting sqref="P83">
    <cfRule type="cellIs" dxfId="20459" priority="3004" operator="greaterThan">
      <formula>0</formula>
    </cfRule>
  </conditionalFormatting>
  <conditionalFormatting sqref="Q83">
    <cfRule type="cellIs" dxfId="20458" priority="3009" operator="lessThan">
      <formula>0</formula>
    </cfRule>
  </conditionalFormatting>
  <conditionalFormatting sqref="R83">
    <cfRule type="cellIs" dxfId="20457" priority="3001" operator="lessThan">
      <formula>0.8</formula>
    </cfRule>
    <cfRule type="cellIs" dxfId="20456" priority="3002" operator="greaterThan">
      <formula>1</formula>
    </cfRule>
  </conditionalFormatting>
  <conditionalFormatting sqref="R83">
    <cfRule type="cellIs" dxfId="20455" priority="2999" operator="greaterThan">
      <formula>1</formula>
    </cfRule>
    <cfRule type="cellIs" dxfId="20454" priority="3000" operator="lessThan">
      <formula>0.8</formula>
    </cfRule>
  </conditionalFormatting>
  <conditionalFormatting sqref="P83">
    <cfRule type="cellIs" dxfId="20453" priority="2998" operator="greaterThan">
      <formula>0</formula>
    </cfRule>
  </conditionalFormatting>
  <conditionalFormatting sqref="Q83">
    <cfRule type="cellIs" dxfId="20452" priority="3003" operator="lessThan">
      <formula>0</formula>
    </cfRule>
  </conditionalFormatting>
  <conditionalFormatting sqref="Q83">
    <cfRule type="cellIs" dxfId="20451" priority="2997" operator="lessThan">
      <formula>0</formula>
    </cfRule>
  </conditionalFormatting>
  <conditionalFormatting sqref="R83">
    <cfRule type="cellIs" dxfId="20450" priority="2995" operator="lessThan">
      <formula>0.8</formula>
    </cfRule>
    <cfRule type="cellIs" dxfId="20449" priority="2996" operator="greaterThan">
      <formula>1</formula>
    </cfRule>
  </conditionalFormatting>
  <conditionalFormatting sqref="R83">
    <cfRule type="cellIs" dxfId="20448" priority="2993" operator="greaterThan">
      <formula>1</formula>
    </cfRule>
    <cfRule type="cellIs" dxfId="20447" priority="2994" operator="lessThan">
      <formula>0.8</formula>
    </cfRule>
  </conditionalFormatting>
  <conditionalFormatting sqref="P83">
    <cfRule type="cellIs" dxfId="20446" priority="2992" operator="greaterThan">
      <formula>0</formula>
    </cfRule>
  </conditionalFormatting>
  <conditionalFormatting sqref="Q83">
    <cfRule type="cellIs" dxfId="20445" priority="2986" operator="lessThan">
      <formula>0</formula>
    </cfRule>
  </conditionalFormatting>
  <conditionalFormatting sqref="R83">
    <cfRule type="cellIs" dxfId="20444" priority="2990" operator="lessThan">
      <formula>0.8</formula>
    </cfRule>
    <cfRule type="cellIs" dxfId="20443" priority="2991" operator="greaterThan">
      <formula>1</formula>
    </cfRule>
  </conditionalFormatting>
  <conditionalFormatting sqref="R83">
    <cfRule type="cellIs" dxfId="20442" priority="2988" operator="greaterThan">
      <formula>1</formula>
    </cfRule>
    <cfRule type="cellIs" dxfId="20441" priority="2989" operator="lessThan">
      <formula>0.8</formula>
    </cfRule>
  </conditionalFormatting>
  <conditionalFormatting sqref="P83">
    <cfRule type="cellIs" dxfId="20440" priority="2987" operator="greaterThan">
      <formula>0</formula>
    </cfRule>
  </conditionalFormatting>
  <conditionalFormatting sqref="Q83">
    <cfRule type="cellIs" dxfId="20439" priority="2985" operator="lessThan">
      <formula>0</formula>
    </cfRule>
  </conditionalFormatting>
  <conditionalFormatting sqref="R83">
    <cfRule type="cellIs" dxfId="20438" priority="2983" operator="lessThan">
      <formula>0.8</formula>
    </cfRule>
    <cfRule type="cellIs" dxfId="20437" priority="2984" operator="greaterThan">
      <formula>1</formula>
    </cfRule>
  </conditionalFormatting>
  <conditionalFormatting sqref="R83">
    <cfRule type="cellIs" dxfId="20436" priority="2981" operator="greaterThan">
      <formula>1</formula>
    </cfRule>
    <cfRule type="cellIs" dxfId="20435" priority="2982" operator="lessThan">
      <formula>0.8</formula>
    </cfRule>
  </conditionalFormatting>
  <conditionalFormatting sqref="P83">
    <cfRule type="cellIs" dxfId="20434" priority="2980" operator="greaterThan">
      <formula>0</formula>
    </cfRule>
  </conditionalFormatting>
  <conditionalFormatting sqref="Q83">
    <cfRule type="cellIs" dxfId="20433" priority="2979" operator="lessThan">
      <formula>0</formula>
    </cfRule>
  </conditionalFormatting>
  <conditionalFormatting sqref="R83">
    <cfRule type="cellIs" dxfId="20432" priority="2977" operator="lessThan">
      <formula>0.8</formula>
    </cfRule>
    <cfRule type="cellIs" dxfId="20431" priority="2978" operator="greaterThan">
      <formula>1</formula>
    </cfRule>
  </conditionalFormatting>
  <conditionalFormatting sqref="R83">
    <cfRule type="cellIs" dxfId="20430" priority="2975" operator="greaterThan">
      <formula>1</formula>
    </cfRule>
    <cfRule type="cellIs" dxfId="20429" priority="2976" operator="lessThan">
      <formula>0.8</formula>
    </cfRule>
  </conditionalFormatting>
  <conditionalFormatting sqref="P83">
    <cfRule type="cellIs" dxfId="20428" priority="2974" operator="greaterThan">
      <formula>0</formula>
    </cfRule>
  </conditionalFormatting>
  <conditionalFormatting sqref="Q83">
    <cfRule type="cellIs" dxfId="20427" priority="2973" operator="lessThan">
      <formula>0</formula>
    </cfRule>
  </conditionalFormatting>
  <conditionalFormatting sqref="R83">
    <cfRule type="cellIs" dxfId="20426" priority="2971" operator="lessThan">
      <formula>0.8</formula>
    </cfRule>
    <cfRule type="cellIs" dxfId="20425" priority="2972" operator="greaterThan">
      <formula>1</formula>
    </cfRule>
  </conditionalFormatting>
  <conditionalFormatting sqref="R83">
    <cfRule type="cellIs" dxfId="20424" priority="2969" operator="greaterThan">
      <formula>1</formula>
    </cfRule>
    <cfRule type="cellIs" dxfId="20423" priority="2970" operator="lessThan">
      <formula>0.8</formula>
    </cfRule>
  </conditionalFormatting>
  <conditionalFormatting sqref="P83">
    <cfRule type="cellIs" dxfId="20422" priority="2968" operator="greaterThan">
      <formula>0</formula>
    </cfRule>
  </conditionalFormatting>
  <conditionalFormatting sqref="Q83">
    <cfRule type="cellIs" dxfId="20421" priority="2967" operator="lessThan">
      <formula>0</formula>
    </cfRule>
  </conditionalFormatting>
  <conditionalFormatting sqref="R83">
    <cfRule type="cellIs" dxfId="20420" priority="2965" operator="lessThan">
      <formula>0.8</formula>
    </cfRule>
    <cfRule type="cellIs" dxfId="20419" priority="2966" operator="greaterThan">
      <formula>1</formula>
    </cfRule>
  </conditionalFormatting>
  <conditionalFormatting sqref="R83">
    <cfRule type="cellIs" dxfId="20418" priority="2963" operator="greaterThan">
      <formula>1</formula>
    </cfRule>
    <cfRule type="cellIs" dxfId="20417" priority="2964" operator="lessThan">
      <formula>0.8</formula>
    </cfRule>
  </conditionalFormatting>
  <conditionalFormatting sqref="P83">
    <cfRule type="cellIs" dxfId="20416" priority="2962" operator="greaterThan">
      <formula>0</formula>
    </cfRule>
  </conditionalFormatting>
  <conditionalFormatting sqref="Q83">
    <cfRule type="cellIs" dxfId="20415" priority="2961" operator="lessThan">
      <formula>0</formula>
    </cfRule>
  </conditionalFormatting>
  <conditionalFormatting sqref="R83">
    <cfRule type="cellIs" dxfId="20414" priority="2959" operator="lessThan">
      <formula>0.8</formula>
    </cfRule>
    <cfRule type="cellIs" dxfId="20413" priority="2960" operator="greaterThan">
      <formula>1</formula>
    </cfRule>
  </conditionalFormatting>
  <conditionalFormatting sqref="R83">
    <cfRule type="cellIs" dxfId="20412" priority="2957" operator="greaterThan">
      <formula>1</formula>
    </cfRule>
    <cfRule type="cellIs" dxfId="20411" priority="2958" operator="lessThan">
      <formula>0.8</formula>
    </cfRule>
  </conditionalFormatting>
  <conditionalFormatting sqref="P83">
    <cfRule type="cellIs" dxfId="20410" priority="2956" operator="greaterThan">
      <formula>0</formula>
    </cfRule>
  </conditionalFormatting>
  <conditionalFormatting sqref="P83">
    <cfRule type="cellIs" dxfId="20409" priority="2950" operator="greaterThan">
      <formula>0</formula>
    </cfRule>
  </conditionalFormatting>
  <conditionalFormatting sqref="Q83">
    <cfRule type="cellIs" dxfId="20408" priority="2955" operator="lessThan">
      <formula>0</formula>
    </cfRule>
  </conditionalFormatting>
  <conditionalFormatting sqref="R83">
    <cfRule type="cellIs" dxfId="20407" priority="2953" operator="lessThan">
      <formula>0.8</formula>
    </cfRule>
    <cfRule type="cellIs" dxfId="20406" priority="2954" operator="greaterThan">
      <formula>1</formula>
    </cfRule>
  </conditionalFormatting>
  <conditionalFormatting sqref="R83">
    <cfRule type="cellIs" dxfId="20405" priority="2951" operator="greaterThan">
      <formula>1</formula>
    </cfRule>
    <cfRule type="cellIs" dxfId="20404" priority="2952" operator="lessThan">
      <formula>0.8</formula>
    </cfRule>
  </conditionalFormatting>
  <conditionalFormatting sqref="P83">
    <cfRule type="cellIs" dxfId="20403" priority="2944" operator="greaterThan">
      <formula>0</formula>
    </cfRule>
  </conditionalFormatting>
  <conditionalFormatting sqref="Q83">
    <cfRule type="cellIs" dxfId="20402" priority="2949" operator="lessThan">
      <formula>0</formula>
    </cfRule>
  </conditionalFormatting>
  <conditionalFormatting sqref="R83">
    <cfRule type="cellIs" dxfId="20401" priority="2947" operator="lessThan">
      <formula>0.8</formula>
    </cfRule>
    <cfRule type="cellIs" dxfId="20400" priority="2948" operator="greaterThan">
      <formula>1</formula>
    </cfRule>
  </conditionalFormatting>
  <conditionalFormatting sqref="R83">
    <cfRule type="cellIs" dxfId="20399" priority="2945" operator="greaterThan">
      <formula>1</formula>
    </cfRule>
    <cfRule type="cellIs" dxfId="20398" priority="2946" operator="lessThan">
      <formula>0.8</formula>
    </cfRule>
  </conditionalFormatting>
  <conditionalFormatting sqref="R83">
    <cfRule type="cellIs" dxfId="20397" priority="2941" operator="lessThan">
      <formula>0.8</formula>
    </cfRule>
    <cfRule type="cellIs" dxfId="20396" priority="2942" operator="greaterThan">
      <formula>1</formula>
    </cfRule>
  </conditionalFormatting>
  <conditionalFormatting sqref="R83">
    <cfRule type="cellIs" dxfId="20395" priority="2939" operator="greaterThan">
      <formula>1</formula>
    </cfRule>
    <cfRule type="cellIs" dxfId="20394" priority="2940" operator="lessThan">
      <formula>0.8</formula>
    </cfRule>
  </conditionalFormatting>
  <conditionalFormatting sqref="P83">
    <cfRule type="cellIs" dxfId="20393" priority="2938" operator="greaterThan">
      <formula>0</formula>
    </cfRule>
  </conditionalFormatting>
  <conditionalFormatting sqref="Q83">
    <cfRule type="cellIs" dxfId="20392" priority="2943" operator="lessThan">
      <formula>0</formula>
    </cfRule>
  </conditionalFormatting>
  <conditionalFormatting sqref="Q83">
    <cfRule type="cellIs" dxfId="20391" priority="2937" operator="lessThan">
      <formula>0</formula>
    </cfRule>
  </conditionalFormatting>
  <conditionalFormatting sqref="R83">
    <cfRule type="cellIs" dxfId="20390" priority="2935" operator="lessThan">
      <formula>0.8</formula>
    </cfRule>
    <cfRule type="cellIs" dxfId="20389" priority="2936" operator="greaterThan">
      <formula>1</formula>
    </cfRule>
  </conditionalFormatting>
  <conditionalFormatting sqref="R83">
    <cfRule type="cellIs" dxfId="20388" priority="2933" operator="greaterThan">
      <formula>1</formula>
    </cfRule>
    <cfRule type="cellIs" dxfId="20387" priority="2934" operator="lessThan">
      <formula>0.8</formula>
    </cfRule>
  </conditionalFormatting>
  <conditionalFormatting sqref="P83">
    <cfRule type="cellIs" dxfId="20386" priority="2932" operator="greaterThan">
      <formula>0</formula>
    </cfRule>
  </conditionalFormatting>
  <conditionalFormatting sqref="Q83">
    <cfRule type="cellIs" dxfId="20385" priority="2931" operator="lessThan">
      <formula>0</formula>
    </cfRule>
  </conditionalFormatting>
  <conditionalFormatting sqref="R83">
    <cfRule type="cellIs" dxfId="20384" priority="2929" operator="lessThan">
      <formula>0.8</formula>
    </cfRule>
    <cfRule type="cellIs" dxfId="20383" priority="2930" operator="greaterThan">
      <formula>1</formula>
    </cfRule>
  </conditionalFormatting>
  <conditionalFormatting sqref="R83">
    <cfRule type="cellIs" dxfId="20382" priority="2927" operator="greaterThan">
      <formula>1</formula>
    </cfRule>
    <cfRule type="cellIs" dxfId="20381" priority="2928" operator="lessThan">
      <formula>0.8</formula>
    </cfRule>
  </conditionalFormatting>
  <conditionalFormatting sqref="P83">
    <cfRule type="cellIs" dxfId="20380" priority="2926" operator="greaterThan">
      <formula>0</formula>
    </cfRule>
  </conditionalFormatting>
  <conditionalFormatting sqref="Q83">
    <cfRule type="cellIs" dxfId="20379" priority="2925" operator="lessThan">
      <formula>0</formula>
    </cfRule>
  </conditionalFormatting>
  <conditionalFormatting sqref="R83">
    <cfRule type="cellIs" dxfId="20378" priority="2923" operator="lessThan">
      <formula>0.8</formula>
    </cfRule>
    <cfRule type="cellIs" dxfId="20377" priority="2924" operator="greaterThan">
      <formula>1</formula>
    </cfRule>
  </conditionalFormatting>
  <conditionalFormatting sqref="R83">
    <cfRule type="cellIs" dxfId="20376" priority="2921" operator="greaterThan">
      <formula>1</formula>
    </cfRule>
    <cfRule type="cellIs" dxfId="20375" priority="2922" operator="lessThan">
      <formula>0.8</formula>
    </cfRule>
  </conditionalFormatting>
  <conditionalFormatting sqref="P83">
    <cfRule type="cellIs" dxfId="20374" priority="2920" operator="greaterThan">
      <formula>0</formula>
    </cfRule>
  </conditionalFormatting>
  <conditionalFormatting sqref="Q83">
    <cfRule type="cellIs" dxfId="20373" priority="2919" operator="lessThan">
      <formula>0</formula>
    </cfRule>
  </conditionalFormatting>
  <conditionalFormatting sqref="R83">
    <cfRule type="cellIs" dxfId="20372" priority="2917" operator="lessThan">
      <formula>0.8</formula>
    </cfRule>
    <cfRule type="cellIs" dxfId="20371" priority="2918" operator="greaterThan">
      <formula>1</formula>
    </cfRule>
  </conditionalFormatting>
  <conditionalFormatting sqref="R83">
    <cfRule type="cellIs" dxfId="20370" priority="2915" operator="greaterThan">
      <formula>1</formula>
    </cfRule>
    <cfRule type="cellIs" dxfId="20369" priority="2916" operator="lessThan">
      <formula>0.8</formula>
    </cfRule>
  </conditionalFormatting>
  <conditionalFormatting sqref="P83">
    <cfRule type="cellIs" dxfId="20368" priority="2914" operator="greaterThan">
      <formula>0</formula>
    </cfRule>
  </conditionalFormatting>
  <conditionalFormatting sqref="P83">
    <cfRule type="cellIs" dxfId="20367" priority="2908" operator="greaterThan">
      <formula>0</formula>
    </cfRule>
  </conditionalFormatting>
  <conditionalFormatting sqref="Q83">
    <cfRule type="cellIs" dxfId="20366" priority="2913" operator="lessThan">
      <formula>0</formula>
    </cfRule>
  </conditionalFormatting>
  <conditionalFormatting sqref="R83">
    <cfRule type="cellIs" dxfId="20365" priority="2911" operator="lessThan">
      <formula>0.8</formula>
    </cfRule>
    <cfRule type="cellIs" dxfId="20364" priority="2912" operator="greaterThan">
      <formula>1</formula>
    </cfRule>
  </conditionalFormatting>
  <conditionalFormatting sqref="R83">
    <cfRule type="cellIs" dxfId="20363" priority="2909" operator="greaterThan">
      <formula>1</formula>
    </cfRule>
    <cfRule type="cellIs" dxfId="20362" priority="2910" operator="lessThan">
      <formula>0.8</formula>
    </cfRule>
  </conditionalFormatting>
  <conditionalFormatting sqref="P83">
    <cfRule type="cellIs" dxfId="20361" priority="2902" operator="greaterThan">
      <formula>0</formula>
    </cfRule>
  </conditionalFormatting>
  <conditionalFormatting sqref="Q83">
    <cfRule type="cellIs" dxfId="20360" priority="2907" operator="lessThan">
      <formula>0</formula>
    </cfRule>
  </conditionalFormatting>
  <conditionalFormatting sqref="R83">
    <cfRule type="cellIs" dxfId="20359" priority="2905" operator="lessThan">
      <formula>0.8</formula>
    </cfRule>
    <cfRule type="cellIs" dxfId="20358" priority="2906" operator="greaterThan">
      <formula>1</formula>
    </cfRule>
  </conditionalFormatting>
  <conditionalFormatting sqref="R83">
    <cfRule type="cellIs" dxfId="20357" priority="2903" operator="greaterThan">
      <formula>1</formula>
    </cfRule>
    <cfRule type="cellIs" dxfId="20356" priority="2904" operator="lessThan">
      <formula>0.8</formula>
    </cfRule>
  </conditionalFormatting>
  <conditionalFormatting sqref="R83">
    <cfRule type="cellIs" dxfId="20355" priority="2899" operator="lessThan">
      <formula>0.8</formula>
    </cfRule>
    <cfRule type="cellIs" dxfId="20354" priority="2900" operator="greaterThan">
      <formula>1</formula>
    </cfRule>
  </conditionalFormatting>
  <conditionalFormatting sqref="R83">
    <cfRule type="cellIs" dxfId="20353" priority="2897" operator="greaterThan">
      <formula>1</formula>
    </cfRule>
    <cfRule type="cellIs" dxfId="20352" priority="2898" operator="lessThan">
      <formula>0.8</formula>
    </cfRule>
  </conditionalFormatting>
  <conditionalFormatting sqref="P83">
    <cfRule type="cellIs" dxfId="20351" priority="2896" operator="greaterThan">
      <formula>0</formula>
    </cfRule>
  </conditionalFormatting>
  <conditionalFormatting sqref="Q83">
    <cfRule type="cellIs" dxfId="20350" priority="2901" operator="lessThan">
      <formula>0</formula>
    </cfRule>
  </conditionalFormatting>
  <conditionalFormatting sqref="Q83">
    <cfRule type="cellIs" dxfId="20349" priority="2895" operator="lessThan">
      <formula>0</formula>
    </cfRule>
  </conditionalFormatting>
  <conditionalFormatting sqref="R83">
    <cfRule type="cellIs" dxfId="20348" priority="2893" operator="lessThan">
      <formula>0.8</formula>
    </cfRule>
    <cfRule type="cellIs" dxfId="20347" priority="2894" operator="greaterThan">
      <formula>1</formula>
    </cfRule>
  </conditionalFormatting>
  <conditionalFormatting sqref="R83">
    <cfRule type="cellIs" dxfId="20346" priority="2891" operator="greaterThan">
      <formula>1</formula>
    </cfRule>
    <cfRule type="cellIs" dxfId="20345" priority="2892" operator="lessThan">
      <formula>0.8</formula>
    </cfRule>
  </conditionalFormatting>
  <conditionalFormatting sqref="P83">
    <cfRule type="cellIs" dxfId="20344" priority="2890" operator="greaterThan">
      <formula>0</formula>
    </cfRule>
  </conditionalFormatting>
  <conditionalFormatting sqref="P83">
    <cfRule type="cellIs" dxfId="20343" priority="2884" operator="greaterThan">
      <formula>0</formula>
    </cfRule>
  </conditionalFormatting>
  <conditionalFormatting sqref="Q83">
    <cfRule type="cellIs" dxfId="20342" priority="2889" operator="lessThan">
      <formula>0</formula>
    </cfRule>
  </conditionalFormatting>
  <conditionalFormatting sqref="R83">
    <cfRule type="cellIs" dxfId="20341" priority="2887" operator="lessThan">
      <formula>0.8</formula>
    </cfRule>
    <cfRule type="cellIs" dxfId="20340" priority="2888" operator="greaterThan">
      <formula>1</formula>
    </cfRule>
  </conditionalFormatting>
  <conditionalFormatting sqref="R83">
    <cfRule type="cellIs" dxfId="20339" priority="2885" operator="greaterThan">
      <formula>1</formula>
    </cfRule>
    <cfRule type="cellIs" dxfId="20338" priority="2886" operator="lessThan">
      <formula>0.8</formula>
    </cfRule>
  </conditionalFormatting>
  <conditionalFormatting sqref="P83">
    <cfRule type="cellIs" dxfId="20337" priority="2878" operator="greaterThan">
      <formula>0</formula>
    </cfRule>
  </conditionalFormatting>
  <conditionalFormatting sqref="Q83">
    <cfRule type="cellIs" dxfId="20336" priority="2883" operator="lessThan">
      <formula>0</formula>
    </cfRule>
  </conditionalFormatting>
  <conditionalFormatting sqref="R83">
    <cfRule type="cellIs" dxfId="20335" priority="2881" operator="lessThan">
      <formula>0.8</formula>
    </cfRule>
    <cfRule type="cellIs" dxfId="20334" priority="2882" operator="greaterThan">
      <formula>1</formula>
    </cfRule>
  </conditionalFormatting>
  <conditionalFormatting sqref="R83">
    <cfRule type="cellIs" dxfId="20333" priority="2879" operator="greaterThan">
      <formula>1</formula>
    </cfRule>
    <cfRule type="cellIs" dxfId="20332" priority="2880" operator="lessThan">
      <formula>0.8</formula>
    </cfRule>
  </conditionalFormatting>
  <conditionalFormatting sqref="R83">
    <cfRule type="cellIs" dxfId="20331" priority="2875" operator="lessThan">
      <formula>0.8</formula>
    </cfRule>
    <cfRule type="cellIs" dxfId="20330" priority="2876" operator="greaterThan">
      <formula>1</formula>
    </cfRule>
  </conditionalFormatting>
  <conditionalFormatting sqref="R83">
    <cfRule type="cellIs" dxfId="20329" priority="2873" operator="greaterThan">
      <formula>1</formula>
    </cfRule>
    <cfRule type="cellIs" dxfId="20328" priority="2874" operator="lessThan">
      <formula>0.8</formula>
    </cfRule>
  </conditionalFormatting>
  <conditionalFormatting sqref="P83">
    <cfRule type="cellIs" dxfId="20327" priority="2872" operator="greaterThan">
      <formula>0</formula>
    </cfRule>
  </conditionalFormatting>
  <conditionalFormatting sqref="Q83">
    <cfRule type="cellIs" dxfId="20326" priority="2877" operator="lessThan">
      <formula>0</formula>
    </cfRule>
  </conditionalFormatting>
  <conditionalFormatting sqref="P83">
    <cfRule type="cellIs" dxfId="20325" priority="2866" operator="greaterThan">
      <formula>0</formula>
    </cfRule>
  </conditionalFormatting>
  <conditionalFormatting sqref="Q83">
    <cfRule type="cellIs" dxfId="20324" priority="2871" operator="lessThan">
      <formula>0</formula>
    </cfRule>
  </conditionalFormatting>
  <conditionalFormatting sqref="R83">
    <cfRule type="cellIs" dxfId="20323" priority="2869" operator="lessThan">
      <formula>0.8</formula>
    </cfRule>
    <cfRule type="cellIs" dxfId="20322" priority="2870" operator="greaterThan">
      <formula>1</formula>
    </cfRule>
  </conditionalFormatting>
  <conditionalFormatting sqref="R83">
    <cfRule type="cellIs" dxfId="20321" priority="2867" operator="greaterThan">
      <formula>1</formula>
    </cfRule>
    <cfRule type="cellIs" dxfId="20320" priority="2868" operator="lessThan">
      <formula>0.8</formula>
    </cfRule>
  </conditionalFormatting>
  <conditionalFormatting sqref="R83">
    <cfRule type="cellIs" dxfId="20319" priority="2863" operator="lessThan">
      <formula>0.8</formula>
    </cfRule>
    <cfRule type="cellIs" dxfId="20318" priority="2864" operator="greaterThan">
      <formula>1</formula>
    </cfRule>
  </conditionalFormatting>
  <conditionalFormatting sqref="R83">
    <cfRule type="cellIs" dxfId="20317" priority="2861" operator="greaterThan">
      <formula>1</formula>
    </cfRule>
    <cfRule type="cellIs" dxfId="20316" priority="2862" operator="lessThan">
      <formula>0.8</formula>
    </cfRule>
  </conditionalFormatting>
  <conditionalFormatting sqref="P83">
    <cfRule type="cellIs" dxfId="20315" priority="2860" operator="greaterThan">
      <formula>0</formula>
    </cfRule>
  </conditionalFormatting>
  <conditionalFormatting sqref="Q83">
    <cfRule type="cellIs" dxfId="20314" priority="2865" operator="lessThan">
      <formula>0</formula>
    </cfRule>
  </conditionalFormatting>
  <conditionalFormatting sqref="R83">
    <cfRule type="cellIs" dxfId="20313" priority="2857" operator="lessThan">
      <formula>0.8</formula>
    </cfRule>
    <cfRule type="cellIs" dxfId="20312" priority="2858" operator="greaterThan">
      <formula>1</formula>
    </cfRule>
  </conditionalFormatting>
  <conditionalFormatting sqref="R83">
    <cfRule type="cellIs" dxfId="20311" priority="2855" operator="greaterThan">
      <formula>1</formula>
    </cfRule>
    <cfRule type="cellIs" dxfId="20310" priority="2856" operator="lessThan">
      <formula>0.8</formula>
    </cfRule>
  </conditionalFormatting>
  <conditionalFormatting sqref="P83">
    <cfRule type="cellIs" dxfId="20309" priority="2854" operator="greaterThan">
      <formula>0</formula>
    </cfRule>
  </conditionalFormatting>
  <conditionalFormatting sqref="Q83">
    <cfRule type="cellIs" dxfId="20308" priority="2859" operator="lessThan">
      <formula>0</formula>
    </cfRule>
  </conditionalFormatting>
  <conditionalFormatting sqref="Q83">
    <cfRule type="cellIs" dxfId="20307" priority="2853" operator="lessThan">
      <formula>0</formula>
    </cfRule>
  </conditionalFormatting>
  <conditionalFormatting sqref="R83">
    <cfRule type="cellIs" dxfId="20306" priority="2851" operator="lessThan">
      <formula>0.8</formula>
    </cfRule>
    <cfRule type="cellIs" dxfId="20305" priority="2852" operator="greaterThan">
      <formula>1</formula>
    </cfRule>
  </conditionalFormatting>
  <conditionalFormatting sqref="R83">
    <cfRule type="cellIs" dxfId="20304" priority="2849" operator="greaterThan">
      <formula>1</formula>
    </cfRule>
    <cfRule type="cellIs" dxfId="20303" priority="2850" operator="lessThan">
      <formula>0.8</formula>
    </cfRule>
  </conditionalFormatting>
  <conditionalFormatting sqref="P83">
    <cfRule type="cellIs" dxfId="20302" priority="2848" operator="greaterThan">
      <formula>0</formula>
    </cfRule>
  </conditionalFormatting>
  <conditionalFormatting sqref="Q83">
    <cfRule type="cellIs" dxfId="20301" priority="2842" operator="lessThan">
      <formula>0</formula>
    </cfRule>
  </conditionalFormatting>
  <conditionalFormatting sqref="R83">
    <cfRule type="cellIs" dxfId="20300" priority="2846" operator="lessThan">
      <formula>0.8</formula>
    </cfRule>
    <cfRule type="cellIs" dxfId="20299" priority="2847" operator="greaterThan">
      <formula>1</formula>
    </cfRule>
  </conditionalFormatting>
  <conditionalFormatting sqref="R83">
    <cfRule type="cellIs" dxfId="20298" priority="2844" operator="greaterThan">
      <formula>1</formula>
    </cfRule>
    <cfRule type="cellIs" dxfId="20297" priority="2845" operator="lessThan">
      <formula>0.8</formula>
    </cfRule>
  </conditionalFormatting>
  <conditionalFormatting sqref="P83">
    <cfRule type="cellIs" dxfId="20296" priority="2843" operator="greaterThan">
      <formula>0</formula>
    </cfRule>
  </conditionalFormatting>
  <conditionalFormatting sqref="Q83">
    <cfRule type="cellIs" dxfId="20295" priority="2841" operator="lessThan">
      <formula>0</formula>
    </cfRule>
  </conditionalFormatting>
  <conditionalFormatting sqref="R83">
    <cfRule type="cellIs" dxfId="20294" priority="2839" operator="lessThan">
      <formula>0.8</formula>
    </cfRule>
    <cfRule type="cellIs" dxfId="20293" priority="2840" operator="greaterThan">
      <formula>1</formula>
    </cfRule>
  </conditionalFormatting>
  <conditionalFormatting sqref="R83">
    <cfRule type="cellIs" dxfId="20292" priority="2837" operator="greaterThan">
      <formula>1</formula>
    </cfRule>
    <cfRule type="cellIs" dxfId="20291" priority="2838" operator="lessThan">
      <formula>0.8</formula>
    </cfRule>
  </conditionalFormatting>
  <conditionalFormatting sqref="P83">
    <cfRule type="cellIs" dxfId="20290" priority="2836" operator="greaterThan">
      <formula>0</formula>
    </cfRule>
  </conditionalFormatting>
  <conditionalFormatting sqref="Q83">
    <cfRule type="cellIs" dxfId="20289" priority="2835" operator="lessThan">
      <formula>0</formula>
    </cfRule>
  </conditionalFormatting>
  <conditionalFormatting sqref="R83">
    <cfRule type="cellIs" dxfId="20288" priority="2833" operator="lessThan">
      <formula>0.8</formula>
    </cfRule>
    <cfRule type="cellIs" dxfId="20287" priority="2834" operator="greaterThan">
      <formula>1</formula>
    </cfRule>
  </conditionalFormatting>
  <conditionalFormatting sqref="R83">
    <cfRule type="cellIs" dxfId="20286" priority="2831" operator="greaterThan">
      <formula>1</formula>
    </cfRule>
    <cfRule type="cellIs" dxfId="20285" priority="2832" operator="lessThan">
      <formula>0.8</formula>
    </cfRule>
  </conditionalFormatting>
  <conditionalFormatting sqref="P83">
    <cfRule type="cellIs" dxfId="20284" priority="2830" operator="greaterThan">
      <formula>0</formula>
    </cfRule>
  </conditionalFormatting>
  <conditionalFormatting sqref="Q83">
    <cfRule type="cellIs" dxfId="20283" priority="2829" operator="lessThan">
      <formula>0</formula>
    </cfRule>
  </conditionalFormatting>
  <conditionalFormatting sqref="R83">
    <cfRule type="cellIs" dxfId="20282" priority="2827" operator="lessThan">
      <formula>0.8</formula>
    </cfRule>
    <cfRule type="cellIs" dxfId="20281" priority="2828" operator="greaterThan">
      <formula>1</formula>
    </cfRule>
  </conditionalFormatting>
  <conditionalFormatting sqref="R83">
    <cfRule type="cellIs" dxfId="20280" priority="2825" operator="greaterThan">
      <formula>1</formula>
    </cfRule>
    <cfRule type="cellIs" dxfId="20279" priority="2826" operator="lessThan">
      <formula>0.8</formula>
    </cfRule>
  </conditionalFormatting>
  <conditionalFormatting sqref="P83">
    <cfRule type="cellIs" dxfId="20278" priority="2824" operator="greaterThan">
      <formula>0</formula>
    </cfRule>
  </conditionalFormatting>
  <conditionalFormatting sqref="Q83">
    <cfRule type="cellIs" dxfId="20277" priority="2823" operator="lessThan">
      <formula>0</formula>
    </cfRule>
  </conditionalFormatting>
  <conditionalFormatting sqref="R83">
    <cfRule type="cellIs" dxfId="20276" priority="2821" operator="lessThan">
      <formula>0.8</formula>
    </cfRule>
    <cfRule type="cellIs" dxfId="20275" priority="2822" operator="greaterThan">
      <formula>1</formula>
    </cfRule>
  </conditionalFormatting>
  <conditionalFormatting sqref="R83">
    <cfRule type="cellIs" dxfId="20274" priority="2819" operator="greaterThan">
      <formula>1</formula>
    </cfRule>
    <cfRule type="cellIs" dxfId="20273" priority="2820" operator="lessThan">
      <formula>0.8</formula>
    </cfRule>
  </conditionalFormatting>
  <conditionalFormatting sqref="P83">
    <cfRule type="cellIs" dxfId="20272" priority="2818" operator="greaterThan">
      <formula>0</formula>
    </cfRule>
  </conditionalFormatting>
  <conditionalFormatting sqref="Q83">
    <cfRule type="cellIs" dxfId="20271" priority="2817" operator="lessThan">
      <formula>0</formula>
    </cfRule>
  </conditionalFormatting>
  <conditionalFormatting sqref="R83">
    <cfRule type="cellIs" dxfId="20270" priority="2815" operator="lessThan">
      <formula>0.8</formula>
    </cfRule>
    <cfRule type="cellIs" dxfId="20269" priority="2816" operator="greaterThan">
      <formula>1</formula>
    </cfRule>
  </conditionalFormatting>
  <conditionalFormatting sqref="R83">
    <cfRule type="cellIs" dxfId="20268" priority="2813" operator="greaterThan">
      <formula>1</formula>
    </cfRule>
    <cfRule type="cellIs" dxfId="20267" priority="2814" operator="lessThan">
      <formula>0.8</formula>
    </cfRule>
  </conditionalFormatting>
  <conditionalFormatting sqref="P83">
    <cfRule type="cellIs" dxfId="20266" priority="2812" operator="greaterThan">
      <formula>0</formula>
    </cfRule>
  </conditionalFormatting>
  <conditionalFormatting sqref="P83">
    <cfRule type="cellIs" dxfId="20265" priority="2806" operator="greaterThan">
      <formula>0</formula>
    </cfRule>
  </conditionalFormatting>
  <conditionalFormatting sqref="Q83">
    <cfRule type="cellIs" dxfId="20264" priority="2811" operator="lessThan">
      <formula>0</formula>
    </cfRule>
  </conditionalFormatting>
  <conditionalFormatting sqref="R83">
    <cfRule type="cellIs" dxfId="20263" priority="2809" operator="lessThan">
      <formula>0.8</formula>
    </cfRule>
    <cfRule type="cellIs" dxfId="20262" priority="2810" operator="greaterThan">
      <formula>1</formula>
    </cfRule>
  </conditionalFormatting>
  <conditionalFormatting sqref="R83">
    <cfRule type="cellIs" dxfId="20261" priority="2807" operator="greaterThan">
      <formula>1</formula>
    </cfRule>
    <cfRule type="cellIs" dxfId="20260" priority="2808" operator="lessThan">
      <formula>0.8</formula>
    </cfRule>
  </conditionalFormatting>
  <conditionalFormatting sqref="P83">
    <cfRule type="cellIs" dxfId="20259" priority="2800" operator="greaterThan">
      <formula>0</formula>
    </cfRule>
  </conditionalFormatting>
  <conditionalFormatting sqref="Q83">
    <cfRule type="cellIs" dxfId="20258" priority="2805" operator="lessThan">
      <formula>0</formula>
    </cfRule>
  </conditionalFormatting>
  <conditionalFormatting sqref="R83">
    <cfRule type="cellIs" dxfId="20257" priority="2803" operator="lessThan">
      <formula>0.8</formula>
    </cfRule>
    <cfRule type="cellIs" dxfId="20256" priority="2804" operator="greaterThan">
      <formula>1</formula>
    </cfRule>
  </conditionalFormatting>
  <conditionalFormatting sqref="R83">
    <cfRule type="cellIs" dxfId="20255" priority="2801" operator="greaterThan">
      <formula>1</formula>
    </cfRule>
    <cfRule type="cellIs" dxfId="20254" priority="2802" operator="lessThan">
      <formula>0.8</formula>
    </cfRule>
  </conditionalFormatting>
  <conditionalFormatting sqref="R83">
    <cfRule type="cellIs" dxfId="20253" priority="2797" operator="lessThan">
      <formula>0.8</formula>
    </cfRule>
    <cfRule type="cellIs" dxfId="20252" priority="2798" operator="greaterThan">
      <formula>1</formula>
    </cfRule>
  </conditionalFormatting>
  <conditionalFormatting sqref="R83">
    <cfRule type="cellIs" dxfId="20251" priority="2795" operator="greaterThan">
      <formula>1</formula>
    </cfRule>
    <cfRule type="cellIs" dxfId="20250" priority="2796" operator="lessThan">
      <formula>0.8</formula>
    </cfRule>
  </conditionalFormatting>
  <conditionalFormatting sqref="P83">
    <cfRule type="cellIs" dxfId="20249" priority="2794" operator="greaterThan">
      <formula>0</formula>
    </cfRule>
  </conditionalFormatting>
  <conditionalFormatting sqref="Q83">
    <cfRule type="cellIs" dxfId="20248" priority="2799" operator="lessThan">
      <formula>0</formula>
    </cfRule>
  </conditionalFormatting>
  <conditionalFormatting sqref="Q83">
    <cfRule type="cellIs" dxfId="20247" priority="2788" operator="lessThan">
      <formula>0</formula>
    </cfRule>
  </conditionalFormatting>
  <conditionalFormatting sqref="P83">
    <cfRule type="cellIs" dxfId="20246" priority="2789" operator="greaterThan">
      <formula>0</formula>
    </cfRule>
  </conditionalFormatting>
  <conditionalFormatting sqref="R83">
    <cfRule type="cellIs" dxfId="20245" priority="2792" operator="lessThan">
      <formula>0.8</formula>
    </cfRule>
    <cfRule type="cellIs" dxfId="20244" priority="2793" operator="greaterThan">
      <formula>1</formula>
    </cfRule>
  </conditionalFormatting>
  <conditionalFormatting sqref="R83">
    <cfRule type="cellIs" dxfId="20243" priority="2790" operator="greaterThan">
      <formula>1</formula>
    </cfRule>
    <cfRule type="cellIs" dxfId="20242" priority="2791" operator="lessThan">
      <formula>0.8</formula>
    </cfRule>
  </conditionalFormatting>
  <conditionalFormatting sqref="Q83">
    <cfRule type="cellIs" dxfId="20241" priority="2782" operator="lessThan">
      <formula>0</formula>
    </cfRule>
  </conditionalFormatting>
  <conditionalFormatting sqref="R83">
    <cfRule type="cellIs" dxfId="20240" priority="2786" operator="lessThan">
      <formula>0.8</formula>
    </cfRule>
    <cfRule type="cellIs" dxfId="20239" priority="2787" operator="greaterThan">
      <formula>1</formula>
    </cfRule>
  </conditionalFormatting>
  <conditionalFormatting sqref="R83">
    <cfRule type="cellIs" dxfId="20238" priority="2784" operator="greaterThan">
      <formula>1</formula>
    </cfRule>
    <cfRule type="cellIs" dxfId="20237" priority="2785" operator="lessThan">
      <formula>0.8</formula>
    </cfRule>
  </conditionalFormatting>
  <conditionalFormatting sqref="P83">
    <cfRule type="cellIs" dxfId="20236" priority="2783" operator="greaterThan">
      <formula>0</formula>
    </cfRule>
  </conditionalFormatting>
  <conditionalFormatting sqref="Q83">
    <cfRule type="cellIs" dxfId="20235" priority="2781" operator="lessThan">
      <formula>0</formula>
    </cfRule>
  </conditionalFormatting>
  <conditionalFormatting sqref="R83">
    <cfRule type="cellIs" dxfId="20234" priority="2779" operator="lessThan">
      <formula>0.8</formula>
    </cfRule>
    <cfRule type="cellIs" dxfId="20233" priority="2780" operator="greaterThan">
      <formula>1</formula>
    </cfRule>
  </conditionalFormatting>
  <conditionalFormatting sqref="R83">
    <cfRule type="cellIs" dxfId="20232" priority="2777" operator="greaterThan">
      <formula>1</formula>
    </cfRule>
    <cfRule type="cellIs" dxfId="20231" priority="2778" operator="lessThan">
      <formula>0.8</formula>
    </cfRule>
  </conditionalFormatting>
  <conditionalFormatting sqref="P83">
    <cfRule type="cellIs" dxfId="20230" priority="2776" operator="greaterThan">
      <formula>0</formula>
    </cfRule>
  </conditionalFormatting>
  <conditionalFormatting sqref="Q83">
    <cfRule type="cellIs" dxfId="20229" priority="2775" operator="lessThan">
      <formula>0</formula>
    </cfRule>
  </conditionalFormatting>
  <conditionalFormatting sqref="R83">
    <cfRule type="cellIs" dxfId="20228" priority="2773" operator="lessThan">
      <formula>0.8</formula>
    </cfRule>
    <cfRule type="cellIs" dxfId="20227" priority="2774" operator="greaterThan">
      <formula>1</formula>
    </cfRule>
  </conditionalFormatting>
  <conditionalFormatting sqref="R83">
    <cfRule type="cellIs" dxfId="20226" priority="2771" operator="greaterThan">
      <formula>1</formula>
    </cfRule>
    <cfRule type="cellIs" dxfId="20225" priority="2772" operator="lessThan">
      <formula>0.8</formula>
    </cfRule>
  </conditionalFormatting>
  <conditionalFormatting sqref="P83">
    <cfRule type="cellIs" dxfId="20224" priority="2770" operator="greaterThan">
      <formula>0</formula>
    </cfRule>
  </conditionalFormatting>
  <conditionalFormatting sqref="Q83">
    <cfRule type="cellIs" dxfId="20223" priority="2769" operator="lessThan">
      <formula>0</formula>
    </cfRule>
  </conditionalFormatting>
  <conditionalFormatting sqref="R83">
    <cfRule type="cellIs" dxfId="20222" priority="2767" operator="lessThan">
      <formula>0.8</formula>
    </cfRule>
    <cfRule type="cellIs" dxfId="20221" priority="2768" operator="greaterThan">
      <formula>1</formula>
    </cfRule>
  </conditionalFormatting>
  <conditionalFormatting sqref="R83">
    <cfRule type="cellIs" dxfId="20220" priority="2765" operator="greaterThan">
      <formula>1</formula>
    </cfRule>
    <cfRule type="cellIs" dxfId="20219" priority="2766" operator="lessThan">
      <formula>0.8</formula>
    </cfRule>
  </conditionalFormatting>
  <conditionalFormatting sqref="P83">
    <cfRule type="cellIs" dxfId="20218" priority="2764" operator="greaterThan">
      <formula>0</formula>
    </cfRule>
  </conditionalFormatting>
  <conditionalFormatting sqref="Q83">
    <cfRule type="cellIs" dxfId="20217" priority="2763" operator="lessThan">
      <formula>0</formula>
    </cfRule>
  </conditionalFormatting>
  <conditionalFormatting sqref="R83">
    <cfRule type="cellIs" dxfId="20216" priority="2761" operator="lessThan">
      <formula>0.8</formula>
    </cfRule>
    <cfRule type="cellIs" dxfId="20215" priority="2762" operator="greaterThan">
      <formula>1</formula>
    </cfRule>
  </conditionalFormatting>
  <conditionalFormatting sqref="R83">
    <cfRule type="cellIs" dxfId="20214" priority="2759" operator="greaterThan">
      <formula>1</formula>
    </cfRule>
    <cfRule type="cellIs" dxfId="20213" priority="2760" operator="lessThan">
      <formula>0.8</formula>
    </cfRule>
  </conditionalFormatting>
  <conditionalFormatting sqref="P83">
    <cfRule type="cellIs" dxfId="20212" priority="2758" operator="greaterThan">
      <formula>0</formula>
    </cfRule>
  </conditionalFormatting>
  <conditionalFormatting sqref="Q83">
    <cfRule type="cellIs" dxfId="20211" priority="2757" operator="lessThan">
      <formula>0</formula>
    </cfRule>
  </conditionalFormatting>
  <conditionalFormatting sqref="R83">
    <cfRule type="cellIs" dxfId="20210" priority="2755" operator="lessThan">
      <formula>0.8</formula>
    </cfRule>
    <cfRule type="cellIs" dxfId="20209" priority="2756" operator="greaterThan">
      <formula>1</formula>
    </cfRule>
  </conditionalFormatting>
  <conditionalFormatting sqref="R83">
    <cfRule type="cellIs" dxfId="20208" priority="2753" operator="greaterThan">
      <formula>1</formula>
    </cfRule>
    <cfRule type="cellIs" dxfId="20207" priority="2754" operator="lessThan">
      <formula>0.8</formula>
    </cfRule>
  </conditionalFormatting>
  <conditionalFormatting sqref="P83">
    <cfRule type="cellIs" dxfId="20206" priority="2752" operator="greaterThan">
      <formula>0</formula>
    </cfRule>
  </conditionalFormatting>
  <conditionalFormatting sqref="Q83">
    <cfRule type="cellIs" dxfId="20205" priority="2751" operator="lessThan">
      <formula>0</formula>
    </cfRule>
  </conditionalFormatting>
  <conditionalFormatting sqref="R83">
    <cfRule type="cellIs" dxfId="20204" priority="2749" operator="lessThan">
      <formula>0.8</formula>
    </cfRule>
    <cfRule type="cellIs" dxfId="20203" priority="2750" operator="greaterThan">
      <formula>1</formula>
    </cfRule>
  </conditionalFormatting>
  <conditionalFormatting sqref="R83">
    <cfRule type="cellIs" dxfId="20202" priority="2747" operator="greaterThan">
      <formula>1</formula>
    </cfRule>
    <cfRule type="cellIs" dxfId="20201" priority="2748" operator="lessThan">
      <formula>0.8</formula>
    </cfRule>
  </conditionalFormatting>
  <conditionalFormatting sqref="P83">
    <cfRule type="cellIs" dxfId="20200" priority="2746" operator="greaterThan">
      <formula>0</formula>
    </cfRule>
  </conditionalFormatting>
  <conditionalFormatting sqref="Q83">
    <cfRule type="cellIs" dxfId="20199" priority="2745" operator="lessThan">
      <formula>0</formula>
    </cfRule>
  </conditionalFormatting>
  <conditionalFormatting sqref="R83">
    <cfRule type="cellIs" dxfId="20198" priority="2743" operator="lessThan">
      <formula>0.8</formula>
    </cfRule>
    <cfRule type="cellIs" dxfId="20197" priority="2744" operator="greaterThan">
      <formula>1</formula>
    </cfRule>
  </conditionalFormatting>
  <conditionalFormatting sqref="R83">
    <cfRule type="cellIs" dxfId="20196" priority="2741" operator="greaterThan">
      <formula>1</formula>
    </cfRule>
    <cfRule type="cellIs" dxfId="20195" priority="2742" operator="lessThan">
      <formula>0.8</formula>
    </cfRule>
  </conditionalFormatting>
  <conditionalFormatting sqref="P83">
    <cfRule type="cellIs" dxfId="20194" priority="2740" operator="greaterThan">
      <formula>0</formula>
    </cfRule>
  </conditionalFormatting>
  <conditionalFormatting sqref="P83">
    <cfRule type="cellIs" dxfId="20193" priority="2734" operator="greaterThan">
      <formula>0</formula>
    </cfRule>
  </conditionalFormatting>
  <conditionalFormatting sqref="Q83">
    <cfRule type="cellIs" dxfId="20192" priority="2739" operator="lessThan">
      <formula>0</formula>
    </cfRule>
  </conditionalFormatting>
  <conditionalFormatting sqref="R83">
    <cfRule type="cellIs" dxfId="20191" priority="2737" operator="lessThan">
      <formula>0.8</formula>
    </cfRule>
    <cfRule type="cellIs" dxfId="20190" priority="2738" operator="greaterThan">
      <formula>1</formula>
    </cfRule>
  </conditionalFormatting>
  <conditionalFormatting sqref="R83">
    <cfRule type="cellIs" dxfId="20189" priority="2735" operator="greaterThan">
      <formula>1</formula>
    </cfRule>
    <cfRule type="cellIs" dxfId="20188" priority="2736" operator="lessThan">
      <formula>0.8</formula>
    </cfRule>
  </conditionalFormatting>
  <conditionalFormatting sqref="P83">
    <cfRule type="cellIs" dxfId="20187" priority="2728" operator="greaterThan">
      <formula>0</formula>
    </cfRule>
  </conditionalFormatting>
  <conditionalFormatting sqref="Q83">
    <cfRule type="cellIs" dxfId="20186" priority="2733" operator="lessThan">
      <formula>0</formula>
    </cfRule>
  </conditionalFormatting>
  <conditionalFormatting sqref="R83">
    <cfRule type="cellIs" dxfId="20185" priority="2731" operator="lessThan">
      <formula>0.8</formula>
    </cfRule>
    <cfRule type="cellIs" dxfId="20184" priority="2732" operator="greaterThan">
      <formula>1</formula>
    </cfRule>
  </conditionalFormatting>
  <conditionalFormatting sqref="R83">
    <cfRule type="cellIs" dxfId="20183" priority="2729" operator="greaterThan">
      <formula>1</formula>
    </cfRule>
    <cfRule type="cellIs" dxfId="20182" priority="2730" operator="lessThan">
      <formula>0.8</formula>
    </cfRule>
  </conditionalFormatting>
  <conditionalFormatting sqref="R83">
    <cfRule type="cellIs" dxfId="20181" priority="2725" operator="lessThan">
      <formula>0.8</formula>
    </cfRule>
    <cfRule type="cellIs" dxfId="20180" priority="2726" operator="greaterThan">
      <formula>1</formula>
    </cfRule>
  </conditionalFormatting>
  <conditionalFormatting sqref="R83">
    <cfRule type="cellIs" dxfId="20179" priority="2723" operator="greaterThan">
      <formula>1</formula>
    </cfRule>
    <cfRule type="cellIs" dxfId="20178" priority="2724" operator="lessThan">
      <formula>0.8</formula>
    </cfRule>
  </conditionalFormatting>
  <conditionalFormatting sqref="P83">
    <cfRule type="cellIs" dxfId="20177" priority="2722" operator="greaterThan">
      <formula>0</formula>
    </cfRule>
  </conditionalFormatting>
  <conditionalFormatting sqref="Q83">
    <cfRule type="cellIs" dxfId="20176" priority="2727" operator="lessThan">
      <formula>0</formula>
    </cfRule>
  </conditionalFormatting>
  <conditionalFormatting sqref="Q83">
    <cfRule type="cellIs" dxfId="20175" priority="2721" operator="lessThan">
      <formula>0</formula>
    </cfRule>
  </conditionalFormatting>
  <conditionalFormatting sqref="R83">
    <cfRule type="cellIs" dxfId="20174" priority="2719" operator="lessThan">
      <formula>0.8</formula>
    </cfRule>
    <cfRule type="cellIs" dxfId="20173" priority="2720" operator="greaterThan">
      <formula>1</formula>
    </cfRule>
  </conditionalFormatting>
  <conditionalFormatting sqref="R83">
    <cfRule type="cellIs" dxfId="20172" priority="2717" operator="greaterThan">
      <formula>1</formula>
    </cfRule>
    <cfRule type="cellIs" dxfId="20171" priority="2718" operator="lessThan">
      <formula>0.8</formula>
    </cfRule>
  </conditionalFormatting>
  <conditionalFormatting sqref="P83">
    <cfRule type="cellIs" dxfId="20170" priority="2716" operator="greaterThan">
      <formula>0</formula>
    </cfRule>
  </conditionalFormatting>
  <conditionalFormatting sqref="P83">
    <cfRule type="cellIs" dxfId="20169" priority="2710" operator="greaterThan">
      <formula>0</formula>
    </cfRule>
  </conditionalFormatting>
  <conditionalFormatting sqref="Q83">
    <cfRule type="cellIs" dxfId="20168" priority="2715" operator="lessThan">
      <formula>0</formula>
    </cfRule>
  </conditionalFormatting>
  <conditionalFormatting sqref="R83">
    <cfRule type="cellIs" dxfId="20167" priority="2713" operator="lessThan">
      <formula>0.8</formula>
    </cfRule>
    <cfRule type="cellIs" dxfId="20166" priority="2714" operator="greaterThan">
      <formula>1</formula>
    </cfRule>
  </conditionalFormatting>
  <conditionalFormatting sqref="R83">
    <cfRule type="cellIs" dxfId="20165" priority="2711" operator="greaterThan">
      <formula>1</formula>
    </cfRule>
    <cfRule type="cellIs" dxfId="20164" priority="2712" operator="lessThan">
      <formula>0.8</formula>
    </cfRule>
  </conditionalFormatting>
  <conditionalFormatting sqref="P83">
    <cfRule type="cellIs" dxfId="20163" priority="2704" operator="greaterThan">
      <formula>0</formula>
    </cfRule>
  </conditionalFormatting>
  <conditionalFormatting sqref="Q83">
    <cfRule type="cellIs" dxfId="20162" priority="2709" operator="lessThan">
      <formula>0</formula>
    </cfRule>
  </conditionalFormatting>
  <conditionalFormatting sqref="R83">
    <cfRule type="cellIs" dxfId="20161" priority="2707" operator="lessThan">
      <formula>0.8</formula>
    </cfRule>
    <cfRule type="cellIs" dxfId="20160" priority="2708" operator="greaterThan">
      <formula>1</formula>
    </cfRule>
  </conditionalFormatting>
  <conditionalFormatting sqref="R83">
    <cfRule type="cellIs" dxfId="20159" priority="2705" operator="greaterThan">
      <formula>1</formula>
    </cfRule>
    <cfRule type="cellIs" dxfId="20158" priority="2706" operator="lessThan">
      <formula>0.8</formula>
    </cfRule>
  </conditionalFormatting>
  <conditionalFormatting sqref="R83">
    <cfRule type="cellIs" dxfId="20157" priority="2701" operator="lessThan">
      <formula>0.8</formula>
    </cfRule>
    <cfRule type="cellIs" dxfId="20156" priority="2702" operator="greaterThan">
      <formula>1</formula>
    </cfRule>
  </conditionalFormatting>
  <conditionalFormatting sqref="R83">
    <cfRule type="cellIs" dxfId="20155" priority="2699" operator="greaterThan">
      <formula>1</formula>
    </cfRule>
    <cfRule type="cellIs" dxfId="20154" priority="2700" operator="lessThan">
      <formula>0.8</formula>
    </cfRule>
  </conditionalFormatting>
  <conditionalFormatting sqref="P83">
    <cfRule type="cellIs" dxfId="20153" priority="2698" operator="greaterThan">
      <formula>0</formula>
    </cfRule>
  </conditionalFormatting>
  <conditionalFormatting sqref="Q83">
    <cfRule type="cellIs" dxfId="20152" priority="2703" operator="lessThan">
      <formula>0</formula>
    </cfRule>
  </conditionalFormatting>
  <conditionalFormatting sqref="P83">
    <cfRule type="cellIs" dxfId="20151" priority="2692" operator="greaterThan">
      <formula>0</formula>
    </cfRule>
  </conditionalFormatting>
  <conditionalFormatting sqref="Q83">
    <cfRule type="cellIs" dxfId="20150" priority="2697" operator="lessThan">
      <formula>0</formula>
    </cfRule>
  </conditionalFormatting>
  <conditionalFormatting sqref="R83">
    <cfRule type="cellIs" dxfId="20149" priority="2695" operator="lessThan">
      <formula>0.8</formula>
    </cfRule>
    <cfRule type="cellIs" dxfId="20148" priority="2696" operator="greaterThan">
      <formula>1</formula>
    </cfRule>
  </conditionalFormatting>
  <conditionalFormatting sqref="R83">
    <cfRule type="cellIs" dxfId="20147" priority="2693" operator="greaterThan">
      <formula>1</formula>
    </cfRule>
    <cfRule type="cellIs" dxfId="20146" priority="2694" operator="lessThan">
      <formula>0.8</formula>
    </cfRule>
  </conditionalFormatting>
  <conditionalFormatting sqref="R83">
    <cfRule type="cellIs" dxfId="20145" priority="2689" operator="lessThan">
      <formula>0.8</formula>
    </cfRule>
    <cfRule type="cellIs" dxfId="20144" priority="2690" operator="greaterThan">
      <formula>1</formula>
    </cfRule>
  </conditionalFormatting>
  <conditionalFormatting sqref="R83">
    <cfRule type="cellIs" dxfId="20143" priority="2687" operator="greaterThan">
      <formula>1</formula>
    </cfRule>
    <cfRule type="cellIs" dxfId="20142" priority="2688" operator="lessThan">
      <formula>0.8</formula>
    </cfRule>
  </conditionalFormatting>
  <conditionalFormatting sqref="P83">
    <cfRule type="cellIs" dxfId="20141" priority="2686" operator="greaterThan">
      <formula>0</formula>
    </cfRule>
  </conditionalFormatting>
  <conditionalFormatting sqref="Q83">
    <cfRule type="cellIs" dxfId="20140" priority="2691" operator="lessThan">
      <formula>0</formula>
    </cfRule>
  </conditionalFormatting>
  <conditionalFormatting sqref="R83">
    <cfRule type="cellIs" dxfId="20139" priority="2683" operator="lessThan">
      <formula>0.8</formula>
    </cfRule>
    <cfRule type="cellIs" dxfId="20138" priority="2684" operator="greaterThan">
      <formula>1</formula>
    </cfRule>
  </conditionalFormatting>
  <conditionalFormatting sqref="R83">
    <cfRule type="cellIs" dxfId="20137" priority="2681" operator="greaterThan">
      <formula>1</formula>
    </cfRule>
    <cfRule type="cellIs" dxfId="20136" priority="2682" operator="lessThan">
      <formula>0.8</formula>
    </cfRule>
  </conditionalFormatting>
  <conditionalFormatting sqref="P83">
    <cfRule type="cellIs" dxfId="20135" priority="2680" operator="greaterThan">
      <formula>0</formula>
    </cfRule>
  </conditionalFormatting>
  <conditionalFormatting sqref="Q83">
    <cfRule type="cellIs" dxfId="20134" priority="2685" operator="lessThan">
      <formula>0</formula>
    </cfRule>
  </conditionalFormatting>
  <conditionalFormatting sqref="Q83">
    <cfRule type="cellIs" dxfId="20133" priority="2679" operator="lessThan">
      <formula>0</formula>
    </cfRule>
  </conditionalFormatting>
  <conditionalFormatting sqref="R83">
    <cfRule type="cellIs" dxfId="20132" priority="2677" operator="lessThan">
      <formula>0.8</formula>
    </cfRule>
    <cfRule type="cellIs" dxfId="20131" priority="2678" operator="greaterThan">
      <formula>1</formula>
    </cfRule>
  </conditionalFormatting>
  <conditionalFormatting sqref="R83">
    <cfRule type="cellIs" dxfId="20130" priority="2675" operator="greaterThan">
      <formula>1</formula>
    </cfRule>
    <cfRule type="cellIs" dxfId="20129" priority="2676" operator="lessThan">
      <formula>0.8</formula>
    </cfRule>
  </conditionalFormatting>
  <conditionalFormatting sqref="P83">
    <cfRule type="cellIs" dxfId="20128" priority="2674" operator="greaterThan">
      <formula>0</formula>
    </cfRule>
  </conditionalFormatting>
  <conditionalFormatting sqref="Q83">
    <cfRule type="cellIs" dxfId="20127" priority="2668" operator="lessThan">
      <formula>0</formula>
    </cfRule>
  </conditionalFormatting>
  <conditionalFormatting sqref="R83">
    <cfRule type="cellIs" dxfId="20126" priority="2672" operator="lessThan">
      <formula>0.8</formula>
    </cfRule>
    <cfRule type="cellIs" dxfId="20125" priority="2673" operator="greaterThan">
      <formula>1</formula>
    </cfRule>
  </conditionalFormatting>
  <conditionalFormatting sqref="R83">
    <cfRule type="cellIs" dxfId="20124" priority="2670" operator="greaterThan">
      <formula>1</formula>
    </cfRule>
    <cfRule type="cellIs" dxfId="20123" priority="2671" operator="lessThan">
      <formula>0.8</formula>
    </cfRule>
  </conditionalFormatting>
  <conditionalFormatting sqref="P83">
    <cfRule type="cellIs" dxfId="20122" priority="2669" operator="greaterThan">
      <formula>0</formula>
    </cfRule>
  </conditionalFormatting>
  <conditionalFormatting sqref="Q83">
    <cfRule type="cellIs" dxfId="20121" priority="2667" operator="lessThan">
      <formula>0</formula>
    </cfRule>
  </conditionalFormatting>
  <conditionalFormatting sqref="R83">
    <cfRule type="cellIs" dxfId="20120" priority="2665" operator="lessThan">
      <formula>0.8</formula>
    </cfRule>
    <cfRule type="cellIs" dxfId="20119" priority="2666" operator="greaterThan">
      <formula>1</formula>
    </cfRule>
  </conditionalFormatting>
  <conditionalFormatting sqref="R83">
    <cfRule type="cellIs" dxfId="20118" priority="2663" operator="greaterThan">
      <formula>1</formula>
    </cfRule>
    <cfRule type="cellIs" dxfId="20117" priority="2664" operator="lessThan">
      <formula>0.8</formula>
    </cfRule>
  </conditionalFormatting>
  <conditionalFormatting sqref="P83">
    <cfRule type="cellIs" dxfId="20116" priority="2662" operator="greaterThan">
      <formula>0</formula>
    </cfRule>
  </conditionalFormatting>
  <conditionalFormatting sqref="Q83">
    <cfRule type="cellIs" dxfId="20115" priority="2661" operator="lessThan">
      <formula>0</formula>
    </cfRule>
  </conditionalFormatting>
  <conditionalFormatting sqref="R83">
    <cfRule type="cellIs" dxfId="20114" priority="2659" operator="lessThan">
      <formula>0.8</formula>
    </cfRule>
    <cfRule type="cellIs" dxfId="20113" priority="2660" operator="greaterThan">
      <formula>1</formula>
    </cfRule>
  </conditionalFormatting>
  <conditionalFormatting sqref="R83">
    <cfRule type="cellIs" dxfId="20112" priority="2657" operator="greaterThan">
      <formula>1</formula>
    </cfRule>
    <cfRule type="cellIs" dxfId="20111" priority="2658" operator="lessThan">
      <formula>0.8</formula>
    </cfRule>
  </conditionalFormatting>
  <conditionalFormatting sqref="P83">
    <cfRule type="cellIs" dxfId="20110" priority="2656" operator="greaterThan">
      <formula>0</formula>
    </cfRule>
  </conditionalFormatting>
  <conditionalFormatting sqref="Q83">
    <cfRule type="cellIs" dxfId="20109" priority="2655" operator="lessThan">
      <formula>0</formula>
    </cfRule>
  </conditionalFormatting>
  <conditionalFormatting sqref="R83">
    <cfRule type="cellIs" dxfId="20108" priority="2653" operator="lessThan">
      <formula>0.8</formula>
    </cfRule>
    <cfRule type="cellIs" dxfId="20107" priority="2654" operator="greaterThan">
      <formula>1</formula>
    </cfRule>
  </conditionalFormatting>
  <conditionalFormatting sqref="R83">
    <cfRule type="cellIs" dxfId="20106" priority="2651" operator="greaterThan">
      <formula>1</formula>
    </cfRule>
    <cfRule type="cellIs" dxfId="20105" priority="2652" operator="lessThan">
      <formula>0.8</formula>
    </cfRule>
  </conditionalFormatting>
  <conditionalFormatting sqref="P83">
    <cfRule type="cellIs" dxfId="20104" priority="2650" operator="greaterThan">
      <formula>0</formula>
    </cfRule>
  </conditionalFormatting>
  <conditionalFormatting sqref="Q83">
    <cfRule type="cellIs" dxfId="20103" priority="2649" operator="lessThan">
      <formula>0</formula>
    </cfRule>
  </conditionalFormatting>
  <conditionalFormatting sqref="R83">
    <cfRule type="cellIs" dxfId="20102" priority="2647" operator="lessThan">
      <formula>0.8</formula>
    </cfRule>
    <cfRule type="cellIs" dxfId="20101" priority="2648" operator="greaterThan">
      <formula>1</formula>
    </cfRule>
  </conditionalFormatting>
  <conditionalFormatting sqref="R83">
    <cfRule type="cellIs" dxfId="20100" priority="2645" operator="greaterThan">
      <formula>1</formula>
    </cfRule>
    <cfRule type="cellIs" dxfId="20099" priority="2646" operator="lessThan">
      <formula>0.8</formula>
    </cfRule>
  </conditionalFormatting>
  <conditionalFormatting sqref="P83">
    <cfRule type="cellIs" dxfId="20098" priority="2644" operator="greaterThan">
      <formula>0</formula>
    </cfRule>
  </conditionalFormatting>
  <conditionalFormatting sqref="Q83">
    <cfRule type="cellIs" dxfId="20097" priority="2643" operator="lessThan">
      <formula>0</formula>
    </cfRule>
  </conditionalFormatting>
  <conditionalFormatting sqref="R83">
    <cfRule type="cellIs" dxfId="20096" priority="2641" operator="lessThan">
      <formula>0.8</formula>
    </cfRule>
    <cfRule type="cellIs" dxfId="20095" priority="2642" operator="greaterThan">
      <formula>1</formula>
    </cfRule>
  </conditionalFormatting>
  <conditionalFormatting sqref="R83">
    <cfRule type="cellIs" dxfId="20094" priority="2639" operator="greaterThan">
      <formula>1</formula>
    </cfRule>
    <cfRule type="cellIs" dxfId="20093" priority="2640" operator="lessThan">
      <formula>0.8</formula>
    </cfRule>
  </conditionalFormatting>
  <conditionalFormatting sqref="P83">
    <cfRule type="cellIs" dxfId="20092" priority="2638" operator="greaterThan">
      <formula>0</formula>
    </cfRule>
  </conditionalFormatting>
  <conditionalFormatting sqref="P83">
    <cfRule type="cellIs" dxfId="20091" priority="2632" operator="greaterThan">
      <formula>0</formula>
    </cfRule>
  </conditionalFormatting>
  <conditionalFormatting sqref="Q83">
    <cfRule type="cellIs" dxfId="20090" priority="2637" operator="lessThan">
      <formula>0</formula>
    </cfRule>
  </conditionalFormatting>
  <conditionalFormatting sqref="R83">
    <cfRule type="cellIs" dxfId="20089" priority="2635" operator="lessThan">
      <formula>0.8</formula>
    </cfRule>
    <cfRule type="cellIs" dxfId="20088" priority="2636" operator="greaterThan">
      <formula>1</formula>
    </cfRule>
  </conditionalFormatting>
  <conditionalFormatting sqref="R83">
    <cfRule type="cellIs" dxfId="20087" priority="2633" operator="greaterThan">
      <formula>1</formula>
    </cfRule>
    <cfRule type="cellIs" dxfId="20086" priority="2634" operator="lessThan">
      <formula>0.8</formula>
    </cfRule>
  </conditionalFormatting>
  <conditionalFormatting sqref="P83">
    <cfRule type="cellIs" dxfId="20085" priority="2626" operator="greaterThan">
      <formula>0</formula>
    </cfRule>
  </conditionalFormatting>
  <conditionalFormatting sqref="Q83">
    <cfRule type="cellIs" dxfId="20084" priority="2631" operator="lessThan">
      <formula>0</formula>
    </cfRule>
  </conditionalFormatting>
  <conditionalFormatting sqref="R83">
    <cfRule type="cellIs" dxfId="20083" priority="2629" operator="lessThan">
      <formula>0.8</formula>
    </cfRule>
    <cfRule type="cellIs" dxfId="20082" priority="2630" operator="greaterThan">
      <formula>1</formula>
    </cfRule>
  </conditionalFormatting>
  <conditionalFormatting sqref="R83">
    <cfRule type="cellIs" dxfId="20081" priority="2627" operator="greaterThan">
      <formula>1</formula>
    </cfRule>
    <cfRule type="cellIs" dxfId="20080" priority="2628" operator="lessThan">
      <formula>0.8</formula>
    </cfRule>
  </conditionalFormatting>
  <conditionalFormatting sqref="R83">
    <cfRule type="cellIs" dxfId="20079" priority="2623" operator="lessThan">
      <formula>0.8</formula>
    </cfRule>
    <cfRule type="cellIs" dxfId="20078" priority="2624" operator="greaterThan">
      <formula>1</formula>
    </cfRule>
  </conditionalFormatting>
  <conditionalFormatting sqref="R83">
    <cfRule type="cellIs" dxfId="20077" priority="2621" operator="greaterThan">
      <formula>1</formula>
    </cfRule>
    <cfRule type="cellIs" dxfId="20076" priority="2622" operator="lessThan">
      <formula>0.8</formula>
    </cfRule>
  </conditionalFormatting>
  <conditionalFormatting sqref="P83">
    <cfRule type="cellIs" dxfId="20075" priority="2620" operator="greaterThan">
      <formula>0</formula>
    </cfRule>
  </conditionalFormatting>
  <conditionalFormatting sqref="Q83">
    <cfRule type="cellIs" dxfId="20074" priority="2625" operator="lessThan">
      <formula>0</formula>
    </cfRule>
  </conditionalFormatting>
  <conditionalFormatting sqref="P123 P125:P126 P128:P130">
    <cfRule type="cellIs" dxfId="20073" priority="2614" operator="greaterThan">
      <formula>0</formula>
    </cfRule>
  </conditionalFormatting>
  <conditionalFormatting sqref="Q123 Q125:Q126 Q128:Q130">
    <cfRule type="cellIs" dxfId="20072" priority="2619" operator="lessThan">
      <formula>0</formula>
    </cfRule>
  </conditionalFormatting>
  <conditionalFormatting sqref="R123 R125:R126 R128:R130">
    <cfRule type="cellIs" dxfId="20071" priority="2617" operator="lessThan">
      <formula>0.8</formula>
    </cfRule>
    <cfRule type="cellIs" dxfId="20070" priority="2618" operator="greaterThan">
      <formula>1</formula>
    </cfRule>
  </conditionalFormatting>
  <conditionalFormatting sqref="R123 R125:R126 R128:R130">
    <cfRule type="cellIs" dxfId="20069" priority="2615" operator="greaterThan">
      <formula>1</formula>
    </cfRule>
    <cfRule type="cellIs" dxfId="20068" priority="2616" operator="lessThan">
      <formula>0.8</formula>
    </cfRule>
  </conditionalFormatting>
  <conditionalFormatting sqref="Q123 Q125:Q126 Q128:Q130">
    <cfRule type="cellIs" dxfId="20067" priority="2613" operator="lessThan">
      <formula>0</formula>
    </cfRule>
  </conditionalFormatting>
  <conditionalFormatting sqref="R123 R125:R126 R128:R130">
    <cfRule type="cellIs" dxfId="20066" priority="2611" operator="lessThan">
      <formula>0.8</formula>
    </cfRule>
    <cfRule type="cellIs" dxfId="20065" priority="2612" operator="greaterThan">
      <formula>1</formula>
    </cfRule>
  </conditionalFormatting>
  <conditionalFormatting sqref="R123 R125:R126 R128:R130">
    <cfRule type="cellIs" dxfId="20064" priority="2609" operator="greaterThan">
      <formula>1</formula>
    </cfRule>
    <cfRule type="cellIs" dxfId="20063" priority="2610" operator="lessThan">
      <formula>0.8</formula>
    </cfRule>
  </conditionalFormatting>
  <conditionalFormatting sqref="P123 P125:P126 P128:P130">
    <cfRule type="cellIs" dxfId="20062" priority="2608" operator="greaterThan">
      <formula>0</formula>
    </cfRule>
  </conditionalFormatting>
  <conditionalFormatting sqref="Q31">
    <cfRule type="cellIs" dxfId="20061" priority="2607" operator="lessThan">
      <formula>0</formula>
    </cfRule>
  </conditionalFormatting>
  <conditionalFormatting sqref="R31">
    <cfRule type="cellIs" dxfId="20060" priority="2605" operator="lessThan">
      <formula>0.8</formula>
    </cfRule>
    <cfRule type="cellIs" dxfId="20059" priority="2606" operator="greaterThan">
      <formula>1</formula>
    </cfRule>
  </conditionalFormatting>
  <conditionalFormatting sqref="R31">
    <cfRule type="cellIs" dxfId="20058" priority="2603" operator="greaterThan">
      <formula>1</formula>
    </cfRule>
    <cfRule type="cellIs" dxfId="20057" priority="2604" operator="lessThan">
      <formula>0.8</formula>
    </cfRule>
  </conditionalFormatting>
  <conditionalFormatting sqref="P31">
    <cfRule type="cellIs" dxfId="20056" priority="2602" operator="greaterThan">
      <formula>0</formula>
    </cfRule>
  </conditionalFormatting>
  <conditionalFormatting sqref="Q31">
    <cfRule type="cellIs" dxfId="20055" priority="2601" operator="lessThan">
      <formula>0</formula>
    </cfRule>
  </conditionalFormatting>
  <conditionalFormatting sqref="R31">
    <cfRule type="cellIs" dxfId="20054" priority="2599" operator="lessThan">
      <formula>0.8</formula>
    </cfRule>
    <cfRule type="cellIs" dxfId="20053" priority="2600" operator="greaterThan">
      <formula>1</formula>
    </cfRule>
  </conditionalFormatting>
  <conditionalFormatting sqref="R31">
    <cfRule type="cellIs" dxfId="20052" priority="2597" operator="greaterThan">
      <formula>1</formula>
    </cfRule>
    <cfRule type="cellIs" dxfId="20051" priority="2598" operator="lessThan">
      <formula>0.8</formula>
    </cfRule>
  </conditionalFormatting>
  <conditionalFormatting sqref="P31">
    <cfRule type="cellIs" dxfId="20050" priority="2596" operator="greaterThan">
      <formula>0</formula>
    </cfRule>
  </conditionalFormatting>
  <conditionalFormatting sqref="Q31">
    <cfRule type="cellIs" dxfId="20049" priority="2595" operator="lessThan">
      <formula>0</formula>
    </cfRule>
  </conditionalFormatting>
  <conditionalFormatting sqref="R31">
    <cfRule type="cellIs" dxfId="20048" priority="2593" operator="lessThan">
      <formula>0.8</formula>
    </cfRule>
    <cfRule type="cellIs" dxfId="20047" priority="2594" operator="greaterThan">
      <formula>1</formula>
    </cfRule>
  </conditionalFormatting>
  <conditionalFormatting sqref="R31">
    <cfRule type="cellIs" dxfId="20046" priority="2591" operator="greaterThan">
      <formula>1</formula>
    </cfRule>
    <cfRule type="cellIs" dxfId="20045" priority="2592" operator="lessThan">
      <formula>0.8</formula>
    </cfRule>
  </conditionalFormatting>
  <conditionalFormatting sqref="P31">
    <cfRule type="cellIs" dxfId="20044" priority="2590" operator="greaterThan">
      <formula>0</formula>
    </cfRule>
  </conditionalFormatting>
  <conditionalFormatting sqref="Q31">
    <cfRule type="cellIs" dxfId="20043" priority="2589" operator="lessThan">
      <formula>0</formula>
    </cfRule>
  </conditionalFormatting>
  <conditionalFormatting sqref="R31">
    <cfRule type="cellIs" dxfId="20042" priority="2587" operator="lessThan">
      <formula>0.8</formula>
    </cfRule>
    <cfRule type="cellIs" dxfId="20041" priority="2588" operator="greaterThan">
      <formula>1</formula>
    </cfRule>
  </conditionalFormatting>
  <conditionalFormatting sqref="R31">
    <cfRule type="cellIs" dxfId="20040" priority="2585" operator="greaterThan">
      <formula>1</formula>
    </cfRule>
    <cfRule type="cellIs" dxfId="20039" priority="2586" operator="lessThan">
      <formula>0.8</formula>
    </cfRule>
  </conditionalFormatting>
  <conditionalFormatting sqref="P31">
    <cfRule type="cellIs" dxfId="20038" priority="2584" operator="greaterThan">
      <formula>0</formula>
    </cfRule>
  </conditionalFormatting>
  <conditionalFormatting sqref="P31">
    <cfRule type="cellIs" dxfId="20037" priority="2578" operator="greaterThan">
      <formula>0</formula>
    </cfRule>
  </conditionalFormatting>
  <conditionalFormatting sqref="Q31">
    <cfRule type="cellIs" dxfId="20036" priority="2583" operator="lessThan">
      <formula>0</formula>
    </cfRule>
  </conditionalFormatting>
  <conditionalFormatting sqref="R31">
    <cfRule type="cellIs" dxfId="20035" priority="2581" operator="lessThan">
      <formula>0.8</formula>
    </cfRule>
    <cfRule type="cellIs" dxfId="20034" priority="2582" operator="greaterThan">
      <formula>1</formula>
    </cfRule>
  </conditionalFormatting>
  <conditionalFormatting sqref="R31">
    <cfRule type="cellIs" dxfId="20033" priority="2579" operator="greaterThan">
      <formula>1</formula>
    </cfRule>
    <cfRule type="cellIs" dxfId="20032" priority="2580" operator="lessThan">
      <formula>0.8</formula>
    </cfRule>
  </conditionalFormatting>
  <conditionalFormatting sqref="P31">
    <cfRule type="cellIs" dxfId="20031" priority="2572" operator="greaterThan">
      <formula>0</formula>
    </cfRule>
  </conditionalFormatting>
  <conditionalFormatting sqref="Q31">
    <cfRule type="cellIs" dxfId="20030" priority="2577" operator="lessThan">
      <formula>0</formula>
    </cfRule>
  </conditionalFormatting>
  <conditionalFormatting sqref="R31">
    <cfRule type="cellIs" dxfId="20029" priority="2575" operator="lessThan">
      <formula>0.8</formula>
    </cfRule>
    <cfRule type="cellIs" dxfId="20028" priority="2576" operator="greaterThan">
      <formula>1</formula>
    </cfRule>
  </conditionalFormatting>
  <conditionalFormatting sqref="R31">
    <cfRule type="cellIs" dxfId="20027" priority="2573" operator="greaterThan">
      <formula>1</formula>
    </cfRule>
    <cfRule type="cellIs" dxfId="20026" priority="2574" operator="lessThan">
      <formula>0.8</formula>
    </cfRule>
  </conditionalFormatting>
  <conditionalFormatting sqref="R31">
    <cfRule type="cellIs" dxfId="20025" priority="2569" operator="lessThan">
      <formula>0.8</formula>
    </cfRule>
    <cfRule type="cellIs" dxfId="20024" priority="2570" operator="greaterThan">
      <formula>1</formula>
    </cfRule>
  </conditionalFormatting>
  <conditionalFormatting sqref="R31">
    <cfRule type="cellIs" dxfId="20023" priority="2567" operator="greaterThan">
      <formula>1</formula>
    </cfRule>
    <cfRule type="cellIs" dxfId="20022" priority="2568" operator="lessThan">
      <formula>0.8</formula>
    </cfRule>
  </conditionalFormatting>
  <conditionalFormatting sqref="P31">
    <cfRule type="cellIs" dxfId="20021" priority="2566" operator="greaterThan">
      <formula>0</formula>
    </cfRule>
  </conditionalFormatting>
  <conditionalFormatting sqref="Q31">
    <cfRule type="cellIs" dxfId="20020" priority="2571" operator="lessThan">
      <formula>0</formula>
    </cfRule>
  </conditionalFormatting>
  <conditionalFormatting sqref="Q31">
    <cfRule type="cellIs" dxfId="20019" priority="2565" operator="lessThan">
      <formula>0</formula>
    </cfRule>
  </conditionalFormatting>
  <conditionalFormatting sqref="R31">
    <cfRule type="cellIs" dxfId="20018" priority="2563" operator="lessThan">
      <formula>0.8</formula>
    </cfRule>
    <cfRule type="cellIs" dxfId="20017" priority="2564" operator="greaterThan">
      <formula>1</formula>
    </cfRule>
  </conditionalFormatting>
  <conditionalFormatting sqref="R31">
    <cfRule type="cellIs" dxfId="20016" priority="2561" operator="greaterThan">
      <formula>1</formula>
    </cfRule>
    <cfRule type="cellIs" dxfId="20015" priority="2562" operator="lessThan">
      <formula>0.8</formula>
    </cfRule>
  </conditionalFormatting>
  <conditionalFormatting sqref="P31">
    <cfRule type="cellIs" dxfId="20014" priority="2560" operator="greaterThan">
      <formula>0</formula>
    </cfRule>
  </conditionalFormatting>
  <conditionalFormatting sqref="P31">
    <cfRule type="cellIs" dxfId="20013" priority="2554" operator="greaterThan">
      <formula>0</formula>
    </cfRule>
  </conditionalFormatting>
  <conditionalFormatting sqref="Q31">
    <cfRule type="cellIs" dxfId="20012" priority="2559" operator="lessThan">
      <formula>0</formula>
    </cfRule>
  </conditionalFormatting>
  <conditionalFormatting sqref="R31">
    <cfRule type="cellIs" dxfId="20011" priority="2557" operator="lessThan">
      <formula>0.8</formula>
    </cfRule>
    <cfRule type="cellIs" dxfId="20010" priority="2558" operator="greaterThan">
      <formula>1</formula>
    </cfRule>
  </conditionalFormatting>
  <conditionalFormatting sqref="R31">
    <cfRule type="cellIs" dxfId="20009" priority="2555" operator="greaterThan">
      <formula>1</formula>
    </cfRule>
    <cfRule type="cellIs" dxfId="20008" priority="2556" operator="lessThan">
      <formula>0.8</formula>
    </cfRule>
  </conditionalFormatting>
  <conditionalFormatting sqref="P31">
    <cfRule type="cellIs" dxfId="20007" priority="2548" operator="greaterThan">
      <formula>0</formula>
    </cfRule>
  </conditionalFormatting>
  <conditionalFormatting sqref="Q31">
    <cfRule type="cellIs" dxfId="20006" priority="2553" operator="lessThan">
      <formula>0</formula>
    </cfRule>
  </conditionalFormatting>
  <conditionalFormatting sqref="R31">
    <cfRule type="cellIs" dxfId="20005" priority="2551" operator="lessThan">
      <formula>0.8</formula>
    </cfRule>
    <cfRule type="cellIs" dxfId="20004" priority="2552" operator="greaterThan">
      <formula>1</formula>
    </cfRule>
  </conditionalFormatting>
  <conditionalFormatting sqref="R31">
    <cfRule type="cellIs" dxfId="20003" priority="2549" operator="greaterThan">
      <formula>1</formula>
    </cfRule>
    <cfRule type="cellIs" dxfId="20002" priority="2550" operator="lessThan">
      <formula>0.8</formula>
    </cfRule>
  </conditionalFormatting>
  <conditionalFormatting sqref="R31">
    <cfRule type="cellIs" dxfId="20001" priority="2545" operator="lessThan">
      <formula>0.8</formula>
    </cfRule>
    <cfRule type="cellIs" dxfId="20000" priority="2546" operator="greaterThan">
      <formula>1</formula>
    </cfRule>
  </conditionalFormatting>
  <conditionalFormatting sqref="R31">
    <cfRule type="cellIs" dxfId="19999" priority="2543" operator="greaterThan">
      <formula>1</formula>
    </cfRule>
    <cfRule type="cellIs" dxfId="19998" priority="2544" operator="lessThan">
      <formula>0.8</formula>
    </cfRule>
  </conditionalFormatting>
  <conditionalFormatting sqref="P31">
    <cfRule type="cellIs" dxfId="19997" priority="2542" operator="greaterThan">
      <formula>0</formula>
    </cfRule>
  </conditionalFormatting>
  <conditionalFormatting sqref="Q31">
    <cfRule type="cellIs" dxfId="19996" priority="2547" operator="lessThan">
      <formula>0</formula>
    </cfRule>
  </conditionalFormatting>
  <conditionalFormatting sqref="P31">
    <cfRule type="cellIs" dxfId="19995" priority="2536" operator="greaterThan">
      <formula>0</formula>
    </cfRule>
  </conditionalFormatting>
  <conditionalFormatting sqref="Q31">
    <cfRule type="cellIs" dxfId="19994" priority="2541" operator="lessThan">
      <formula>0</formula>
    </cfRule>
  </conditionalFormatting>
  <conditionalFormatting sqref="R31">
    <cfRule type="cellIs" dxfId="19993" priority="2539" operator="lessThan">
      <formula>0.8</formula>
    </cfRule>
    <cfRule type="cellIs" dxfId="19992" priority="2540" operator="greaterThan">
      <formula>1</formula>
    </cfRule>
  </conditionalFormatting>
  <conditionalFormatting sqref="R31">
    <cfRule type="cellIs" dxfId="19991" priority="2537" operator="greaterThan">
      <formula>1</formula>
    </cfRule>
    <cfRule type="cellIs" dxfId="19990" priority="2538" operator="lessThan">
      <formula>0.8</formula>
    </cfRule>
  </conditionalFormatting>
  <conditionalFormatting sqref="R31">
    <cfRule type="cellIs" dxfId="19989" priority="2533" operator="lessThan">
      <formula>0.8</formula>
    </cfRule>
    <cfRule type="cellIs" dxfId="19988" priority="2534" operator="greaterThan">
      <formula>1</formula>
    </cfRule>
  </conditionalFormatting>
  <conditionalFormatting sqref="R31">
    <cfRule type="cellIs" dxfId="19987" priority="2531" operator="greaterThan">
      <formula>1</formula>
    </cfRule>
    <cfRule type="cellIs" dxfId="19986" priority="2532" operator="lessThan">
      <formula>0.8</formula>
    </cfRule>
  </conditionalFormatting>
  <conditionalFormatting sqref="P31">
    <cfRule type="cellIs" dxfId="19985" priority="2530" operator="greaterThan">
      <formula>0</formula>
    </cfRule>
  </conditionalFormatting>
  <conditionalFormatting sqref="Q31">
    <cfRule type="cellIs" dxfId="19984" priority="2535" operator="lessThan">
      <formula>0</formula>
    </cfRule>
  </conditionalFormatting>
  <conditionalFormatting sqref="R31">
    <cfRule type="cellIs" dxfId="19983" priority="2527" operator="lessThan">
      <formula>0.8</formula>
    </cfRule>
    <cfRule type="cellIs" dxfId="19982" priority="2528" operator="greaterThan">
      <formula>1</formula>
    </cfRule>
  </conditionalFormatting>
  <conditionalFormatting sqref="R31">
    <cfRule type="cellIs" dxfId="19981" priority="2525" operator="greaterThan">
      <formula>1</formula>
    </cfRule>
    <cfRule type="cellIs" dxfId="19980" priority="2526" operator="lessThan">
      <formula>0.8</formula>
    </cfRule>
  </conditionalFormatting>
  <conditionalFormatting sqref="P31">
    <cfRule type="cellIs" dxfId="19979" priority="2524" operator="greaterThan">
      <formula>0</formula>
    </cfRule>
  </conditionalFormatting>
  <conditionalFormatting sqref="Q31">
    <cfRule type="cellIs" dxfId="19978" priority="2529" operator="lessThan">
      <formula>0</formula>
    </cfRule>
  </conditionalFormatting>
  <conditionalFormatting sqref="Q31">
    <cfRule type="cellIs" dxfId="19977" priority="2523" operator="lessThan">
      <formula>0</formula>
    </cfRule>
  </conditionalFormatting>
  <conditionalFormatting sqref="R31">
    <cfRule type="cellIs" dxfId="19976" priority="2521" operator="lessThan">
      <formula>0.8</formula>
    </cfRule>
    <cfRule type="cellIs" dxfId="19975" priority="2522" operator="greaterThan">
      <formula>1</formula>
    </cfRule>
  </conditionalFormatting>
  <conditionalFormatting sqref="R31">
    <cfRule type="cellIs" dxfId="19974" priority="2519" operator="greaterThan">
      <formula>1</formula>
    </cfRule>
    <cfRule type="cellIs" dxfId="19973" priority="2520" operator="lessThan">
      <formula>0.8</formula>
    </cfRule>
  </conditionalFormatting>
  <conditionalFormatting sqref="P31">
    <cfRule type="cellIs" dxfId="19972" priority="2518" operator="greaterThan">
      <formula>0</formula>
    </cfRule>
  </conditionalFormatting>
  <conditionalFormatting sqref="Q31">
    <cfRule type="cellIs" dxfId="19971" priority="2512" operator="lessThan">
      <formula>0</formula>
    </cfRule>
  </conditionalFormatting>
  <conditionalFormatting sqref="R31">
    <cfRule type="cellIs" dxfId="19970" priority="2516" operator="lessThan">
      <formula>0.8</formula>
    </cfRule>
    <cfRule type="cellIs" dxfId="19969" priority="2517" operator="greaterThan">
      <formula>1</formula>
    </cfRule>
  </conditionalFormatting>
  <conditionalFormatting sqref="R31">
    <cfRule type="cellIs" dxfId="19968" priority="2514" operator="greaterThan">
      <formula>1</formula>
    </cfRule>
    <cfRule type="cellIs" dxfId="19967" priority="2515" operator="lessThan">
      <formula>0.8</formula>
    </cfRule>
  </conditionalFormatting>
  <conditionalFormatting sqref="P31">
    <cfRule type="cellIs" dxfId="19966" priority="2513" operator="greaterThan">
      <formula>0</formula>
    </cfRule>
  </conditionalFormatting>
  <conditionalFormatting sqref="Q31">
    <cfRule type="cellIs" dxfId="19965" priority="2511" operator="lessThan">
      <formula>0</formula>
    </cfRule>
  </conditionalFormatting>
  <conditionalFormatting sqref="R31">
    <cfRule type="cellIs" dxfId="19964" priority="2509" operator="lessThan">
      <formula>0.8</formula>
    </cfRule>
    <cfRule type="cellIs" dxfId="19963" priority="2510" operator="greaterThan">
      <formula>1</formula>
    </cfRule>
  </conditionalFormatting>
  <conditionalFormatting sqref="R31">
    <cfRule type="cellIs" dxfId="19962" priority="2507" operator="greaterThan">
      <formula>1</formula>
    </cfRule>
    <cfRule type="cellIs" dxfId="19961" priority="2508" operator="lessThan">
      <formula>0.8</formula>
    </cfRule>
  </conditionalFormatting>
  <conditionalFormatting sqref="P31">
    <cfRule type="cellIs" dxfId="19960" priority="2506" operator="greaterThan">
      <formula>0</formula>
    </cfRule>
  </conditionalFormatting>
  <conditionalFormatting sqref="Q31">
    <cfRule type="cellIs" dxfId="19959" priority="2505" operator="lessThan">
      <formula>0</formula>
    </cfRule>
  </conditionalFormatting>
  <conditionalFormatting sqref="R31">
    <cfRule type="cellIs" dxfId="19958" priority="2503" operator="lessThan">
      <formula>0.8</formula>
    </cfRule>
    <cfRule type="cellIs" dxfId="19957" priority="2504" operator="greaterThan">
      <formula>1</formula>
    </cfRule>
  </conditionalFormatting>
  <conditionalFormatting sqref="R31">
    <cfRule type="cellIs" dxfId="19956" priority="2501" operator="greaterThan">
      <formula>1</formula>
    </cfRule>
    <cfRule type="cellIs" dxfId="19955" priority="2502" operator="lessThan">
      <formula>0.8</formula>
    </cfRule>
  </conditionalFormatting>
  <conditionalFormatting sqref="P31">
    <cfRule type="cellIs" dxfId="19954" priority="2500" operator="greaterThan">
      <formula>0</formula>
    </cfRule>
  </conditionalFormatting>
  <conditionalFormatting sqref="Q31">
    <cfRule type="cellIs" dxfId="19953" priority="2499" operator="lessThan">
      <formula>0</formula>
    </cfRule>
  </conditionalFormatting>
  <conditionalFormatting sqref="R31">
    <cfRule type="cellIs" dxfId="19952" priority="2497" operator="lessThan">
      <formula>0.8</formula>
    </cfRule>
    <cfRule type="cellIs" dxfId="19951" priority="2498" operator="greaterThan">
      <formula>1</formula>
    </cfRule>
  </conditionalFormatting>
  <conditionalFormatting sqref="R31">
    <cfRule type="cellIs" dxfId="19950" priority="2495" operator="greaterThan">
      <formula>1</formula>
    </cfRule>
    <cfRule type="cellIs" dxfId="19949" priority="2496" operator="lessThan">
      <formula>0.8</formula>
    </cfRule>
  </conditionalFormatting>
  <conditionalFormatting sqref="P31">
    <cfRule type="cellIs" dxfId="19948" priority="2494" operator="greaterThan">
      <formula>0</formula>
    </cfRule>
  </conditionalFormatting>
  <conditionalFormatting sqref="Q31">
    <cfRule type="cellIs" dxfId="19947" priority="2493" operator="lessThan">
      <formula>0</formula>
    </cfRule>
  </conditionalFormatting>
  <conditionalFormatting sqref="R31">
    <cfRule type="cellIs" dxfId="19946" priority="2491" operator="lessThan">
      <formula>0.8</formula>
    </cfRule>
    <cfRule type="cellIs" dxfId="19945" priority="2492" operator="greaterThan">
      <formula>1</formula>
    </cfRule>
  </conditionalFormatting>
  <conditionalFormatting sqref="R31">
    <cfRule type="cellIs" dxfId="19944" priority="2489" operator="greaterThan">
      <formula>1</formula>
    </cfRule>
    <cfRule type="cellIs" dxfId="19943" priority="2490" operator="lessThan">
      <formula>0.8</formula>
    </cfRule>
  </conditionalFormatting>
  <conditionalFormatting sqref="P31">
    <cfRule type="cellIs" dxfId="19942" priority="2488" operator="greaterThan">
      <formula>0</formula>
    </cfRule>
  </conditionalFormatting>
  <conditionalFormatting sqref="Q31">
    <cfRule type="cellIs" dxfId="19941" priority="2487" operator="lessThan">
      <formula>0</formula>
    </cfRule>
  </conditionalFormatting>
  <conditionalFormatting sqref="R31">
    <cfRule type="cellIs" dxfId="19940" priority="2485" operator="lessThan">
      <formula>0.8</formula>
    </cfRule>
    <cfRule type="cellIs" dxfId="19939" priority="2486" operator="greaterThan">
      <formula>1</formula>
    </cfRule>
  </conditionalFormatting>
  <conditionalFormatting sqref="R31">
    <cfRule type="cellIs" dxfId="19938" priority="2483" operator="greaterThan">
      <formula>1</formula>
    </cfRule>
    <cfRule type="cellIs" dxfId="19937" priority="2484" operator="lessThan">
      <formula>0.8</formula>
    </cfRule>
  </conditionalFormatting>
  <conditionalFormatting sqref="P31">
    <cfRule type="cellIs" dxfId="19936" priority="2482" operator="greaterThan">
      <formula>0</formula>
    </cfRule>
  </conditionalFormatting>
  <conditionalFormatting sqref="P31">
    <cfRule type="cellIs" dxfId="19935" priority="2476" operator="greaterThan">
      <formula>0</formula>
    </cfRule>
  </conditionalFormatting>
  <conditionalFormatting sqref="Q31">
    <cfRule type="cellIs" dxfId="19934" priority="2481" operator="lessThan">
      <formula>0</formula>
    </cfRule>
  </conditionalFormatting>
  <conditionalFormatting sqref="R31">
    <cfRule type="cellIs" dxfId="19933" priority="2479" operator="lessThan">
      <formula>0.8</formula>
    </cfRule>
    <cfRule type="cellIs" dxfId="19932" priority="2480" operator="greaterThan">
      <formula>1</formula>
    </cfRule>
  </conditionalFormatting>
  <conditionalFormatting sqref="R31">
    <cfRule type="cellIs" dxfId="19931" priority="2477" operator="greaterThan">
      <formula>1</formula>
    </cfRule>
    <cfRule type="cellIs" dxfId="19930" priority="2478" operator="lessThan">
      <formula>0.8</formula>
    </cfRule>
  </conditionalFormatting>
  <conditionalFormatting sqref="P31">
    <cfRule type="cellIs" dxfId="19929" priority="2470" operator="greaterThan">
      <formula>0</formula>
    </cfRule>
  </conditionalFormatting>
  <conditionalFormatting sqref="Q31">
    <cfRule type="cellIs" dxfId="19928" priority="2475" operator="lessThan">
      <formula>0</formula>
    </cfRule>
  </conditionalFormatting>
  <conditionalFormatting sqref="R31">
    <cfRule type="cellIs" dxfId="19927" priority="2473" operator="lessThan">
      <formula>0.8</formula>
    </cfRule>
    <cfRule type="cellIs" dxfId="19926" priority="2474" operator="greaterThan">
      <formula>1</formula>
    </cfRule>
  </conditionalFormatting>
  <conditionalFormatting sqref="R31">
    <cfRule type="cellIs" dxfId="19925" priority="2471" operator="greaterThan">
      <formula>1</formula>
    </cfRule>
    <cfRule type="cellIs" dxfId="19924" priority="2472" operator="lessThan">
      <formula>0.8</formula>
    </cfRule>
  </conditionalFormatting>
  <conditionalFormatting sqref="R31">
    <cfRule type="cellIs" dxfId="19923" priority="2467" operator="lessThan">
      <formula>0.8</formula>
    </cfRule>
    <cfRule type="cellIs" dxfId="19922" priority="2468" operator="greaterThan">
      <formula>1</formula>
    </cfRule>
  </conditionalFormatting>
  <conditionalFormatting sqref="R31">
    <cfRule type="cellIs" dxfId="19921" priority="2465" operator="greaterThan">
      <formula>1</formula>
    </cfRule>
    <cfRule type="cellIs" dxfId="19920" priority="2466" operator="lessThan">
      <formula>0.8</formula>
    </cfRule>
  </conditionalFormatting>
  <conditionalFormatting sqref="P31">
    <cfRule type="cellIs" dxfId="19919" priority="2464" operator="greaterThan">
      <formula>0</formula>
    </cfRule>
  </conditionalFormatting>
  <conditionalFormatting sqref="Q31">
    <cfRule type="cellIs" dxfId="19918" priority="2469" operator="lessThan">
      <formula>0</formula>
    </cfRule>
  </conditionalFormatting>
  <conditionalFormatting sqref="Q31">
    <cfRule type="cellIs" dxfId="19917" priority="2463" operator="lessThan">
      <formula>0</formula>
    </cfRule>
  </conditionalFormatting>
  <conditionalFormatting sqref="R31">
    <cfRule type="cellIs" dxfId="19916" priority="2461" operator="lessThan">
      <formula>0.8</formula>
    </cfRule>
    <cfRule type="cellIs" dxfId="19915" priority="2462" operator="greaterThan">
      <formula>1</formula>
    </cfRule>
  </conditionalFormatting>
  <conditionalFormatting sqref="R31">
    <cfRule type="cellIs" dxfId="19914" priority="2459" operator="greaterThan">
      <formula>1</formula>
    </cfRule>
    <cfRule type="cellIs" dxfId="19913" priority="2460" operator="lessThan">
      <formula>0.8</formula>
    </cfRule>
  </conditionalFormatting>
  <conditionalFormatting sqref="P31">
    <cfRule type="cellIs" dxfId="19912" priority="2458" operator="greaterThan">
      <formula>0</formula>
    </cfRule>
  </conditionalFormatting>
  <conditionalFormatting sqref="Q31">
    <cfRule type="cellIs" dxfId="19911" priority="2457" operator="lessThan">
      <formula>0</formula>
    </cfRule>
  </conditionalFormatting>
  <conditionalFormatting sqref="R31">
    <cfRule type="cellIs" dxfId="19910" priority="2455" operator="lessThan">
      <formula>0.8</formula>
    </cfRule>
    <cfRule type="cellIs" dxfId="19909" priority="2456" operator="greaterThan">
      <formula>1</formula>
    </cfRule>
  </conditionalFormatting>
  <conditionalFormatting sqref="R31">
    <cfRule type="cellIs" dxfId="19908" priority="2453" operator="greaterThan">
      <formula>1</formula>
    </cfRule>
    <cfRule type="cellIs" dxfId="19907" priority="2454" operator="lessThan">
      <formula>0.8</formula>
    </cfRule>
  </conditionalFormatting>
  <conditionalFormatting sqref="P31">
    <cfRule type="cellIs" dxfId="19906" priority="2452" operator="greaterThan">
      <formula>0</formula>
    </cfRule>
  </conditionalFormatting>
  <conditionalFormatting sqref="Q31">
    <cfRule type="cellIs" dxfId="19905" priority="2451" operator="lessThan">
      <formula>0</formula>
    </cfRule>
  </conditionalFormatting>
  <conditionalFormatting sqref="R31">
    <cfRule type="cellIs" dxfId="19904" priority="2449" operator="lessThan">
      <formula>0.8</formula>
    </cfRule>
    <cfRule type="cellIs" dxfId="19903" priority="2450" operator="greaterThan">
      <formula>1</formula>
    </cfRule>
  </conditionalFormatting>
  <conditionalFormatting sqref="R31">
    <cfRule type="cellIs" dxfId="19902" priority="2447" operator="greaterThan">
      <formula>1</formula>
    </cfRule>
    <cfRule type="cellIs" dxfId="19901" priority="2448" operator="lessThan">
      <formula>0.8</formula>
    </cfRule>
  </conditionalFormatting>
  <conditionalFormatting sqref="P31">
    <cfRule type="cellIs" dxfId="19900" priority="2446" operator="greaterThan">
      <formula>0</formula>
    </cfRule>
  </conditionalFormatting>
  <conditionalFormatting sqref="Q31">
    <cfRule type="cellIs" dxfId="19899" priority="2445" operator="lessThan">
      <formula>0</formula>
    </cfRule>
  </conditionalFormatting>
  <conditionalFormatting sqref="R31">
    <cfRule type="cellIs" dxfId="19898" priority="2443" operator="lessThan">
      <formula>0.8</formula>
    </cfRule>
    <cfRule type="cellIs" dxfId="19897" priority="2444" operator="greaterThan">
      <formula>1</formula>
    </cfRule>
  </conditionalFormatting>
  <conditionalFormatting sqref="R31">
    <cfRule type="cellIs" dxfId="19896" priority="2441" operator="greaterThan">
      <formula>1</formula>
    </cfRule>
    <cfRule type="cellIs" dxfId="19895" priority="2442" operator="lessThan">
      <formula>0.8</formula>
    </cfRule>
  </conditionalFormatting>
  <conditionalFormatting sqref="P31">
    <cfRule type="cellIs" dxfId="19894" priority="2440" operator="greaterThan">
      <formula>0</formula>
    </cfRule>
  </conditionalFormatting>
  <conditionalFormatting sqref="P31">
    <cfRule type="cellIs" dxfId="19893" priority="2434" operator="greaterThan">
      <formula>0</formula>
    </cfRule>
  </conditionalFormatting>
  <conditionalFormatting sqref="Q31">
    <cfRule type="cellIs" dxfId="19892" priority="2439" operator="lessThan">
      <formula>0</formula>
    </cfRule>
  </conditionalFormatting>
  <conditionalFormatting sqref="R31">
    <cfRule type="cellIs" dxfId="19891" priority="2437" operator="lessThan">
      <formula>0.8</formula>
    </cfRule>
    <cfRule type="cellIs" dxfId="19890" priority="2438" operator="greaterThan">
      <formula>1</formula>
    </cfRule>
  </conditionalFormatting>
  <conditionalFormatting sqref="R31">
    <cfRule type="cellIs" dxfId="19889" priority="2435" operator="greaterThan">
      <formula>1</formula>
    </cfRule>
    <cfRule type="cellIs" dxfId="19888" priority="2436" operator="lessThan">
      <formula>0.8</formula>
    </cfRule>
  </conditionalFormatting>
  <conditionalFormatting sqref="P31">
    <cfRule type="cellIs" dxfId="19887" priority="2428" operator="greaterThan">
      <formula>0</formula>
    </cfRule>
  </conditionalFormatting>
  <conditionalFormatting sqref="Q31">
    <cfRule type="cellIs" dxfId="19886" priority="2433" operator="lessThan">
      <formula>0</formula>
    </cfRule>
  </conditionalFormatting>
  <conditionalFormatting sqref="R31">
    <cfRule type="cellIs" dxfId="19885" priority="2431" operator="lessThan">
      <formula>0.8</formula>
    </cfRule>
    <cfRule type="cellIs" dxfId="19884" priority="2432" operator="greaterThan">
      <formula>1</formula>
    </cfRule>
  </conditionalFormatting>
  <conditionalFormatting sqref="R31">
    <cfRule type="cellIs" dxfId="19883" priority="2429" operator="greaterThan">
      <formula>1</formula>
    </cfRule>
    <cfRule type="cellIs" dxfId="19882" priority="2430" operator="lessThan">
      <formula>0.8</formula>
    </cfRule>
  </conditionalFormatting>
  <conditionalFormatting sqref="R31">
    <cfRule type="cellIs" dxfId="19881" priority="2425" operator="lessThan">
      <formula>0.8</formula>
    </cfRule>
    <cfRule type="cellIs" dxfId="19880" priority="2426" operator="greaterThan">
      <formula>1</formula>
    </cfRule>
  </conditionalFormatting>
  <conditionalFormatting sqref="R31">
    <cfRule type="cellIs" dxfId="19879" priority="2423" operator="greaterThan">
      <formula>1</formula>
    </cfRule>
    <cfRule type="cellIs" dxfId="19878" priority="2424" operator="lessThan">
      <formula>0.8</formula>
    </cfRule>
  </conditionalFormatting>
  <conditionalFormatting sqref="P31">
    <cfRule type="cellIs" dxfId="19877" priority="2422" operator="greaterThan">
      <formula>0</formula>
    </cfRule>
  </conditionalFormatting>
  <conditionalFormatting sqref="Q31">
    <cfRule type="cellIs" dxfId="19876" priority="2427" operator="lessThan">
      <formula>0</formula>
    </cfRule>
  </conditionalFormatting>
  <conditionalFormatting sqref="Q31">
    <cfRule type="cellIs" dxfId="19875" priority="2421" operator="lessThan">
      <formula>0</formula>
    </cfRule>
  </conditionalFormatting>
  <conditionalFormatting sqref="R31">
    <cfRule type="cellIs" dxfId="19874" priority="2419" operator="lessThan">
      <formula>0.8</formula>
    </cfRule>
    <cfRule type="cellIs" dxfId="19873" priority="2420" operator="greaterThan">
      <formula>1</formula>
    </cfRule>
  </conditionalFormatting>
  <conditionalFormatting sqref="R31">
    <cfRule type="cellIs" dxfId="19872" priority="2417" operator="greaterThan">
      <formula>1</formula>
    </cfRule>
    <cfRule type="cellIs" dxfId="19871" priority="2418" operator="lessThan">
      <formula>0.8</formula>
    </cfRule>
  </conditionalFormatting>
  <conditionalFormatting sqref="P31">
    <cfRule type="cellIs" dxfId="19870" priority="2416" operator="greaterThan">
      <formula>0</formula>
    </cfRule>
  </conditionalFormatting>
  <conditionalFormatting sqref="P31">
    <cfRule type="cellIs" dxfId="19869" priority="2410" operator="greaterThan">
      <formula>0</formula>
    </cfRule>
  </conditionalFormatting>
  <conditionalFormatting sqref="Q31">
    <cfRule type="cellIs" dxfId="19868" priority="2415" operator="lessThan">
      <formula>0</formula>
    </cfRule>
  </conditionalFormatting>
  <conditionalFormatting sqref="R31">
    <cfRule type="cellIs" dxfId="19867" priority="2413" operator="lessThan">
      <formula>0.8</formula>
    </cfRule>
    <cfRule type="cellIs" dxfId="19866" priority="2414" operator="greaterThan">
      <formula>1</formula>
    </cfRule>
  </conditionalFormatting>
  <conditionalFormatting sqref="R31">
    <cfRule type="cellIs" dxfId="19865" priority="2411" operator="greaterThan">
      <formula>1</formula>
    </cfRule>
    <cfRule type="cellIs" dxfId="19864" priority="2412" operator="lessThan">
      <formula>0.8</formula>
    </cfRule>
  </conditionalFormatting>
  <conditionalFormatting sqref="P31">
    <cfRule type="cellIs" dxfId="19863" priority="2404" operator="greaterThan">
      <formula>0</formula>
    </cfRule>
  </conditionalFormatting>
  <conditionalFormatting sqref="Q31">
    <cfRule type="cellIs" dxfId="19862" priority="2409" operator="lessThan">
      <formula>0</formula>
    </cfRule>
  </conditionalFormatting>
  <conditionalFormatting sqref="R31">
    <cfRule type="cellIs" dxfId="19861" priority="2407" operator="lessThan">
      <formula>0.8</formula>
    </cfRule>
    <cfRule type="cellIs" dxfId="19860" priority="2408" operator="greaterThan">
      <formula>1</formula>
    </cfRule>
  </conditionalFormatting>
  <conditionalFormatting sqref="R31">
    <cfRule type="cellIs" dxfId="19859" priority="2405" operator="greaterThan">
      <formula>1</formula>
    </cfRule>
    <cfRule type="cellIs" dxfId="19858" priority="2406" operator="lessThan">
      <formula>0.8</formula>
    </cfRule>
  </conditionalFormatting>
  <conditionalFormatting sqref="R31">
    <cfRule type="cellIs" dxfId="19857" priority="2401" operator="lessThan">
      <formula>0.8</formula>
    </cfRule>
    <cfRule type="cellIs" dxfId="19856" priority="2402" operator="greaterThan">
      <formula>1</formula>
    </cfRule>
  </conditionalFormatting>
  <conditionalFormatting sqref="R31">
    <cfRule type="cellIs" dxfId="19855" priority="2399" operator="greaterThan">
      <formula>1</formula>
    </cfRule>
    <cfRule type="cellIs" dxfId="19854" priority="2400" operator="lessThan">
      <formula>0.8</formula>
    </cfRule>
  </conditionalFormatting>
  <conditionalFormatting sqref="P31">
    <cfRule type="cellIs" dxfId="19853" priority="2398" operator="greaterThan">
      <formula>0</formula>
    </cfRule>
  </conditionalFormatting>
  <conditionalFormatting sqref="Q31">
    <cfRule type="cellIs" dxfId="19852" priority="2403" operator="lessThan">
      <formula>0</formula>
    </cfRule>
  </conditionalFormatting>
  <conditionalFormatting sqref="P31">
    <cfRule type="cellIs" dxfId="19851" priority="2392" operator="greaterThan">
      <formula>0</formula>
    </cfRule>
  </conditionalFormatting>
  <conditionalFormatting sqref="Q31">
    <cfRule type="cellIs" dxfId="19850" priority="2397" operator="lessThan">
      <formula>0</formula>
    </cfRule>
  </conditionalFormatting>
  <conditionalFormatting sqref="R31">
    <cfRule type="cellIs" dxfId="19849" priority="2395" operator="lessThan">
      <formula>0.8</formula>
    </cfRule>
    <cfRule type="cellIs" dxfId="19848" priority="2396" operator="greaterThan">
      <formula>1</formula>
    </cfRule>
  </conditionalFormatting>
  <conditionalFormatting sqref="R31">
    <cfRule type="cellIs" dxfId="19847" priority="2393" operator="greaterThan">
      <formula>1</formula>
    </cfRule>
    <cfRule type="cellIs" dxfId="19846" priority="2394" operator="lessThan">
      <formula>0.8</formula>
    </cfRule>
  </conditionalFormatting>
  <conditionalFormatting sqref="R31">
    <cfRule type="cellIs" dxfId="19845" priority="2389" operator="lessThan">
      <formula>0.8</formula>
    </cfRule>
    <cfRule type="cellIs" dxfId="19844" priority="2390" operator="greaterThan">
      <formula>1</formula>
    </cfRule>
  </conditionalFormatting>
  <conditionalFormatting sqref="R31">
    <cfRule type="cellIs" dxfId="19843" priority="2387" operator="greaterThan">
      <formula>1</formula>
    </cfRule>
    <cfRule type="cellIs" dxfId="19842" priority="2388" operator="lessThan">
      <formula>0.8</formula>
    </cfRule>
  </conditionalFormatting>
  <conditionalFormatting sqref="P31">
    <cfRule type="cellIs" dxfId="19841" priority="2386" operator="greaterThan">
      <formula>0</formula>
    </cfRule>
  </conditionalFormatting>
  <conditionalFormatting sqref="Q31">
    <cfRule type="cellIs" dxfId="19840" priority="2391" operator="lessThan">
      <formula>0</formula>
    </cfRule>
  </conditionalFormatting>
  <conditionalFormatting sqref="R31">
    <cfRule type="cellIs" dxfId="19839" priority="2383" operator="lessThan">
      <formula>0.8</formula>
    </cfRule>
    <cfRule type="cellIs" dxfId="19838" priority="2384" operator="greaterThan">
      <formula>1</formula>
    </cfRule>
  </conditionalFormatting>
  <conditionalFormatting sqref="R31">
    <cfRule type="cellIs" dxfId="19837" priority="2381" operator="greaterThan">
      <formula>1</formula>
    </cfRule>
    <cfRule type="cellIs" dxfId="19836" priority="2382" operator="lessThan">
      <formula>0.8</formula>
    </cfRule>
  </conditionalFormatting>
  <conditionalFormatting sqref="P31">
    <cfRule type="cellIs" dxfId="19835" priority="2380" operator="greaterThan">
      <formula>0</formula>
    </cfRule>
  </conditionalFormatting>
  <conditionalFormatting sqref="Q31">
    <cfRule type="cellIs" dxfId="19834" priority="2385" operator="lessThan">
      <formula>0</formula>
    </cfRule>
  </conditionalFormatting>
  <conditionalFormatting sqref="Q31">
    <cfRule type="cellIs" dxfId="19833" priority="2379" operator="lessThan">
      <formula>0</formula>
    </cfRule>
  </conditionalFormatting>
  <conditionalFormatting sqref="R31">
    <cfRule type="cellIs" dxfId="19832" priority="2377" operator="lessThan">
      <formula>0.8</formula>
    </cfRule>
    <cfRule type="cellIs" dxfId="19831" priority="2378" operator="greaterThan">
      <formula>1</formula>
    </cfRule>
  </conditionalFormatting>
  <conditionalFormatting sqref="R31">
    <cfRule type="cellIs" dxfId="19830" priority="2375" operator="greaterThan">
      <formula>1</formula>
    </cfRule>
    <cfRule type="cellIs" dxfId="19829" priority="2376" operator="lessThan">
      <formula>0.8</formula>
    </cfRule>
  </conditionalFormatting>
  <conditionalFormatting sqref="P31">
    <cfRule type="cellIs" dxfId="19828" priority="2374" operator="greaterThan">
      <formula>0</formula>
    </cfRule>
  </conditionalFormatting>
  <conditionalFormatting sqref="Q31">
    <cfRule type="cellIs" dxfId="19827" priority="2368" operator="lessThan">
      <formula>0</formula>
    </cfRule>
  </conditionalFormatting>
  <conditionalFormatting sqref="R31">
    <cfRule type="cellIs" dxfId="19826" priority="2372" operator="lessThan">
      <formula>0.8</formula>
    </cfRule>
    <cfRule type="cellIs" dxfId="19825" priority="2373" operator="greaterThan">
      <formula>1</formula>
    </cfRule>
  </conditionalFormatting>
  <conditionalFormatting sqref="R31">
    <cfRule type="cellIs" dxfId="19824" priority="2370" operator="greaterThan">
      <formula>1</formula>
    </cfRule>
    <cfRule type="cellIs" dxfId="19823" priority="2371" operator="lessThan">
      <formula>0.8</formula>
    </cfRule>
  </conditionalFormatting>
  <conditionalFormatting sqref="P31">
    <cfRule type="cellIs" dxfId="19822" priority="2369" operator="greaterThan">
      <formula>0</formula>
    </cfRule>
  </conditionalFormatting>
  <conditionalFormatting sqref="Q31">
    <cfRule type="cellIs" dxfId="19821" priority="2367" operator="lessThan">
      <formula>0</formula>
    </cfRule>
  </conditionalFormatting>
  <conditionalFormatting sqref="R31">
    <cfRule type="cellIs" dxfId="19820" priority="2365" operator="lessThan">
      <formula>0.8</formula>
    </cfRule>
    <cfRule type="cellIs" dxfId="19819" priority="2366" operator="greaterThan">
      <formula>1</formula>
    </cfRule>
  </conditionalFormatting>
  <conditionalFormatting sqref="R31">
    <cfRule type="cellIs" dxfId="19818" priority="2363" operator="greaterThan">
      <formula>1</formula>
    </cfRule>
    <cfRule type="cellIs" dxfId="19817" priority="2364" operator="lessThan">
      <formula>0.8</formula>
    </cfRule>
  </conditionalFormatting>
  <conditionalFormatting sqref="P31">
    <cfRule type="cellIs" dxfId="19816" priority="2362" operator="greaterThan">
      <formula>0</formula>
    </cfRule>
  </conditionalFormatting>
  <conditionalFormatting sqref="Q31">
    <cfRule type="cellIs" dxfId="19815" priority="2361" operator="lessThan">
      <formula>0</formula>
    </cfRule>
  </conditionalFormatting>
  <conditionalFormatting sqref="R31">
    <cfRule type="cellIs" dxfId="19814" priority="2359" operator="lessThan">
      <formula>0.8</formula>
    </cfRule>
    <cfRule type="cellIs" dxfId="19813" priority="2360" operator="greaterThan">
      <formula>1</formula>
    </cfRule>
  </conditionalFormatting>
  <conditionalFormatting sqref="R31">
    <cfRule type="cellIs" dxfId="19812" priority="2357" operator="greaterThan">
      <formula>1</formula>
    </cfRule>
    <cfRule type="cellIs" dxfId="19811" priority="2358" operator="lessThan">
      <formula>0.8</formula>
    </cfRule>
  </conditionalFormatting>
  <conditionalFormatting sqref="P31">
    <cfRule type="cellIs" dxfId="19810" priority="2356" operator="greaterThan">
      <formula>0</formula>
    </cfRule>
  </conditionalFormatting>
  <conditionalFormatting sqref="Q31">
    <cfRule type="cellIs" dxfId="19809" priority="2355" operator="lessThan">
      <formula>0</formula>
    </cfRule>
  </conditionalFormatting>
  <conditionalFormatting sqref="R31">
    <cfRule type="cellIs" dxfId="19808" priority="2353" operator="lessThan">
      <formula>0.8</formula>
    </cfRule>
    <cfRule type="cellIs" dxfId="19807" priority="2354" operator="greaterThan">
      <formula>1</formula>
    </cfRule>
  </conditionalFormatting>
  <conditionalFormatting sqref="R31">
    <cfRule type="cellIs" dxfId="19806" priority="2351" operator="greaterThan">
      <formula>1</formula>
    </cfRule>
    <cfRule type="cellIs" dxfId="19805" priority="2352" operator="lessThan">
      <formula>0.8</formula>
    </cfRule>
  </conditionalFormatting>
  <conditionalFormatting sqref="P31">
    <cfRule type="cellIs" dxfId="19804" priority="2350" operator="greaterThan">
      <formula>0</formula>
    </cfRule>
  </conditionalFormatting>
  <conditionalFormatting sqref="Q31">
    <cfRule type="cellIs" dxfId="19803" priority="2349" operator="lessThan">
      <formula>0</formula>
    </cfRule>
  </conditionalFormatting>
  <conditionalFormatting sqref="R31">
    <cfRule type="cellIs" dxfId="19802" priority="2347" operator="lessThan">
      <formula>0.8</formula>
    </cfRule>
    <cfRule type="cellIs" dxfId="19801" priority="2348" operator="greaterThan">
      <formula>1</formula>
    </cfRule>
  </conditionalFormatting>
  <conditionalFormatting sqref="R31">
    <cfRule type="cellIs" dxfId="19800" priority="2345" operator="greaterThan">
      <formula>1</formula>
    </cfRule>
    <cfRule type="cellIs" dxfId="19799" priority="2346" operator="lessThan">
      <formula>0.8</formula>
    </cfRule>
  </conditionalFormatting>
  <conditionalFormatting sqref="P31">
    <cfRule type="cellIs" dxfId="19798" priority="2344" operator="greaterThan">
      <formula>0</formula>
    </cfRule>
  </conditionalFormatting>
  <conditionalFormatting sqref="Q31">
    <cfRule type="cellIs" dxfId="19797" priority="2343" operator="lessThan">
      <formula>0</formula>
    </cfRule>
  </conditionalFormatting>
  <conditionalFormatting sqref="R31">
    <cfRule type="cellIs" dxfId="19796" priority="2341" operator="lessThan">
      <formula>0.8</formula>
    </cfRule>
    <cfRule type="cellIs" dxfId="19795" priority="2342" operator="greaterThan">
      <formula>1</formula>
    </cfRule>
  </conditionalFormatting>
  <conditionalFormatting sqref="R31">
    <cfRule type="cellIs" dxfId="19794" priority="2339" operator="greaterThan">
      <formula>1</formula>
    </cfRule>
    <cfRule type="cellIs" dxfId="19793" priority="2340" operator="lessThan">
      <formula>0.8</formula>
    </cfRule>
  </conditionalFormatting>
  <conditionalFormatting sqref="P31">
    <cfRule type="cellIs" dxfId="19792" priority="2338" operator="greaterThan">
      <formula>0</formula>
    </cfRule>
  </conditionalFormatting>
  <conditionalFormatting sqref="P31">
    <cfRule type="cellIs" dxfId="19791" priority="2332" operator="greaterThan">
      <formula>0</formula>
    </cfRule>
  </conditionalFormatting>
  <conditionalFormatting sqref="Q31">
    <cfRule type="cellIs" dxfId="19790" priority="2337" operator="lessThan">
      <formula>0</formula>
    </cfRule>
  </conditionalFormatting>
  <conditionalFormatting sqref="R31">
    <cfRule type="cellIs" dxfId="19789" priority="2335" operator="lessThan">
      <formula>0.8</formula>
    </cfRule>
    <cfRule type="cellIs" dxfId="19788" priority="2336" operator="greaterThan">
      <formula>1</formula>
    </cfRule>
  </conditionalFormatting>
  <conditionalFormatting sqref="R31">
    <cfRule type="cellIs" dxfId="19787" priority="2333" operator="greaterThan">
      <formula>1</formula>
    </cfRule>
    <cfRule type="cellIs" dxfId="19786" priority="2334" operator="lessThan">
      <formula>0.8</formula>
    </cfRule>
  </conditionalFormatting>
  <conditionalFormatting sqref="P31">
    <cfRule type="cellIs" dxfId="19785" priority="2326" operator="greaterThan">
      <formula>0</formula>
    </cfRule>
  </conditionalFormatting>
  <conditionalFormatting sqref="Q31">
    <cfRule type="cellIs" dxfId="19784" priority="2331" operator="lessThan">
      <formula>0</formula>
    </cfRule>
  </conditionalFormatting>
  <conditionalFormatting sqref="R31">
    <cfRule type="cellIs" dxfId="19783" priority="2329" operator="lessThan">
      <formula>0.8</formula>
    </cfRule>
    <cfRule type="cellIs" dxfId="19782" priority="2330" operator="greaterThan">
      <formula>1</formula>
    </cfRule>
  </conditionalFormatting>
  <conditionalFormatting sqref="R31">
    <cfRule type="cellIs" dxfId="19781" priority="2327" operator="greaterThan">
      <formula>1</formula>
    </cfRule>
    <cfRule type="cellIs" dxfId="19780" priority="2328" operator="lessThan">
      <formula>0.8</formula>
    </cfRule>
  </conditionalFormatting>
  <conditionalFormatting sqref="R31">
    <cfRule type="cellIs" dxfId="19779" priority="2323" operator="lessThan">
      <formula>0.8</formula>
    </cfRule>
    <cfRule type="cellIs" dxfId="19778" priority="2324" operator="greaterThan">
      <formula>1</formula>
    </cfRule>
  </conditionalFormatting>
  <conditionalFormatting sqref="R31">
    <cfRule type="cellIs" dxfId="19777" priority="2321" operator="greaterThan">
      <formula>1</formula>
    </cfRule>
    <cfRule type="cellIs" dxfId="19776" priority="2322" operator="lessThan">
      <formula>0.8</formula>
    </cfRule>
  </conditionalFormatting>
  <conditionalFormatting sqref="P31">
    <cfRule type="cellIs" dxfId="19775" priority="2320" operator="greaterThan">
      <formula>0</formula>
    </cfRule>
  </conditionalFormatting>
  <conditionalFormatting sqref="Q31">
    <cfRule type="cellIs" dxfId="19774" priority="2325" operator="lessThan">
      <formula>0</formula>
    </cfRule>
  </conditionalFormatting>
  <conditionalFormatting sqref="P79">
    <cfRule type="cellIs" dxfId="19773" priority="2314" operator="greaterThan">
      <formula>0</formula>
    </cfRule>
  </conditionalFormatting>
  <conditionalFormatting sqref="Q79">
    <cfRule type="cellIs" dxfId="19772" priority="2319" operator="lessThan">
      <formula>0</formula>
    </cfRule>
  </conditionalFormatting>
  <conditionalFormatting sqref="R79">
    <cfRule type="cellIs" dxfId="19771" priority="2317" operator="lessThan">
      <formula>0.8</formula>
    </cfRule>
    <cfRule type="cellIs" dxfId="19770" priority="2318" operator="greaterThan">
      <formula>1</formula>
    </cfRule>
  </conditionalFormatting>
  <conditionalFormatting sqref="R79">
    <cfRule type="cellIs" dxfId="19769" priority="2315" operator="greaterThan">
      <formula>1</formula>
    </cfRule>
    <cfRule type="cellIs" dxfId="19768" priority="2316" operator="lessThan">
      <formula>0.8</formula>
    </cfRule>
  </conditionalFormatting>
  <conditionalFormatting sqref="Q79">
    <cfRule type="cellIs" dxfId="19767" priority="2313" operator="lessThan">
      <formula>0</formula>
    </cfRule>
  </conditionalFormatting>
  <conditionalFormatting sqref="R79">
    <cfRule type="cellIs" dxfId="19766" priority="2311" operator="lessThan">
      <formula>0.8</formula>
    </cfRule>
    <cfRule type="cellIs" dxfId="19765" priority="2312" operator="greaterThan">
      <formula>1</formula>
    </cfRule>
  </conditionalFormatting>
  <conditionalFormatting sqref="R79">
    <cfRule type="cellIs" dxfId="19764" priority="2309" operator="greaterThan">
      <formula>1</formula>
    </cfRule>
    <cfRule type="cellIs" dxfId="19763" priority="2310" operator="lessThan">
      <formula>0.8</formula>
    </cfRule>
  </conditionalFormatting>
  <conditionalFormatting sqref="P79">
    <cfRule type="cellIs" dxfId="19762" priority="2308" operator="greaterThan">
      <formula>0</formula>
    </cfRule>
  </conditionalFormatting>
  <conditionalFormatting sqref="P79">
    <cfRule type="cellIs" dxfId="19761" priority="2302" operator="greaterThan">
      <formula>0</formula>
    </cfRule>
  </conditionalFormatting>
  <conditionalFormatting sqref="Q79">
    <cfRule type="cellIs" dxfId="19760" priority="2307" operator="lessThan">
      <formula>0</formula>
    </cfRule>
  </conditionalFormatting>
  <conditionalFormatting sqref="R79">
    <cfRule type="cellIs" dxfId="19759" priority="2305" operator="lessThan">
      <formula>0.8</formula>
    </cfRule>
    <cfRule type="cellIs" dxfId="19758" priority="2306" operator="greaterThan">
      <formula>1</formula>
    </cfRule>
  </conditionalFormatting>
  <conditionalFormatting sqref="R79">
    <cfRule type="cellIs" dxfId="19757" priority="2303" operator="greaterThan">
      <formula>1</formula>
    </cfRule>
    <cfRule type="cellIs" dxfId="19756" priority="2304" operator="lessThan">
      <formula>0.8</formula>
    </cfRule>
  </conditionalFormatting>
  <conditionalFormatting sqref="Q79">
    <cfRule type="cellIs" dxfId="19755" priority="2296" operator="lessThan">
      <formula>0</formula>
    </cfRule>
  </conditionalFormatting>
  <conditionalFormatting sqref="P79">
    <cfRule type="cellIs" dxfId="19754" priority="2297" operator="greaterThan">
      <formula>0</formula>
    </cfRule>
  </conditionalFormatting>
  <conditionalFormatting sqref="R79">
    <cfRule type="cellIs" dxfId="19753" priority="2300" operator="lessThan">
      <formula>0.8</formula>
    </cfRule>
    <cfRule type="cellIs" dxfId="19752" priority="2301" operator="greaterThan">
      <formula>1</formula>
    </cfRule>
  </conditionalFormatting>
  <conditionalFormatting sqref="R79">
    <cfRule type="cellIs" dxfId="19751" priority="2298" operator="greaterThan">
      <formula>1</formula>
    </cfRule>
    <cfRule type="cellIs" dxfId="19750" priority="2299" operator="lessThan">
      <formula>0.8</formula>
    </cfRule>
  </conditionalFormatting>
  <conditionalFormatting sqref="Q79">
    <cfRule type="cellIs" dxfId="19749" priority="2290" operator="lessThan">
      <formula>0</formula>
    </cfRule>
  </conditionalFormatting>
  <conditionalFormatting sqref="R79">
    <cfRule type="cellIs" dxfId="19748" priority="2294" operator="lessThan">
      <formula>0.8</formula>
    </cfRule>
    <cfRule type="cellIs" dxfId="19747" priority="2295" operator="greaterThan">
      <formula>1</formula>
    </cfRule>
  </conditionalFormatting>
  <conditionalFormatting sqref="R79">
    <cfRule type="cellIs" dxfId="19746" priority="2292" operator="greaterThan">
      <formula>1</formula>
    </cfRule>
    <cfRule type="cellIs" dxfId="19745" priority="2293" operator="lessThan">
      <formula>0.8</formula>
    </cfRule>
  </conditionalFormatting>
  <conditionalFormatting sqref="P79">
    <cfRule type="cellIs" dxfId="19744" priority="2291" operator="greaterThan">
      <formula>0</formula>
    </cfRule>
  </conditionalFormatting>
  <conditionalFormatting sqref="Q79">
    <cfRule type="cellIs" dxfId="19743" priority="2289" operator="lessThan">
      <formula>0</formula>
    </cfRule>
  </conditionalFormatting>
  <conditionalFormatting sqref="R79">
    <cfRule type="cellIs" dxfId="19742" priority="2287" operator="lessThan">
      <formula>0.8</formula>
    </cfRule>
    <cfRule type="cellIs" dxfId="19741" priority="2288" operator="greaterThan">
      <formula>1</formula>
    </cfRule>
  </conditionalFormatting>
  <conditionalFormatting sqref="R79">
    <cfRule type="cellIs" dxfId="19740" priority="2285" operator="greaterThan">
      <formula>1</formula>
    </cfRule>
    <cfRule type="cellIs" dxfId="19739" priority="2286" operator="lessThan">
      <formula>0.8</formula>
    </cfRule>
  </conditionalFormatting>
  <conditionalFormatting sqref="P79">
    <cfRule type="cellIs" dxfId="19738" priority="2284" operator="greaterThan">
      <formula>0</formula>
    </cfRule>
  </conditionalFormatting>
  <conditionalFormatting sqref="Q79">
    <cfRule type="cellIs" dxfId="19737" priority="2283" operator="lessThan">
      <formula>0</formula>
    </cfRule>
  </conditionalFormatting>
  <conditionalFormatting sqref="R79">
    <cfRule type="cellIs" dxfId="19736" priority="2281" operator="lessThan">
      <formula>0.8</formula>
    </cfRule>
    <cfRule type="cellIs" dxfId="19735" priority="2282" operator="greaterThan">
      <formula>1</formula>
    </cfRule>
  </conditionalFormatting>
  <conditionalFormatting sqref="R79">
    <cfRule type="cellIs" dxfId="19734" priority="2279" operator="greaterThan">
      <formula>1</formula>
    </cfRule>
    <cfRule type="cellIs" dxfId="19733" priority="2280" operator="lessThan">
      <formula>0.8</formula>
    </cfRule>
  </conditionalFormatting>
  <conditionalFormatting sqref="P79">
    <cfRule type="cellIs" dxfId="19732" priority="2278" operator="greaterThan">
      <formula>0</formula>
    </cfRule>
  </conditionalFormatting>
  <conditionalFormatting sqref="P79">
    <cfRule type="cellIs" dxfId="19731" priority="2272" operator="greaterThan">
      <formula>0</formula>
    </cfRule>
  </conditionalFormatting>
  <conditionalFormatting sqref="Q79">
    <cfRule type="cellIs" dxfId="19730" priority="2277" operator="lessThan">
      <formula>0</formula>
    </cfRule>
  </conditionalFormatting>
  <conditionalFormatting sqref="R79">
    <cfRule type="cellIs" dxfId="19729" priority="2275" operator="lessThan">
      <formula>0.8</formula>
    </cfRule>
    <cfRule type="cellIs" dxfId="19728" priority="2276" operator="greaterThan">
      <formula>1</formula>
    </cfRule>
  </conditionalFormatting>
  <conditionalFormatting sqref="R79">
    <cfRule type="cellIs" dxfId="19727" priority="2273" operator="greaterThan">
      <formula>1</formula>
    </cfRule>
    <cfRule type="cellIs" dxfId="19726" priority="2274" operator="lessThan">
      <formula>0.8</formula>
    </cfRule>
  </conditionalFormatting>
  <conditionalFormatting sqref="P71:P78">
    <cfRule type="cellIs" dxfId="19725" priority="2266" operator="greaterThan">
      <formula>0</formula>
    </cfRule>
  </conditionalFormatting>
  <conditionalFormatting sqref="Q71:Q78">
    <cfRule type="cellIs" dxfId="19724" priority="2271" operator="lessThan">
      <formula>0</formula>
    </cfRule>
  </conditionalFormatting>
  <conditionalFormatting sqref="R71:R78">
    <cfRule type="cellIs" dxfId="19723" priority="2269" operator="lessThan">
      <formula>0.8</formula>
    </cfRule>
    <cfRule type="cellIs" dxfId="19722" priority="2270" operator="greaterThan">
      <formula>1</formula>
    </cfRule>
  </conditionalFormatting>
  <conditionalFormatting sqref="R71:R78">
    <cfRule type="cellIs" dxfId="19721" priority="2267" operator="greaterThan">
      <formula>1</formula>
    </cfRule>
    <cfRule type="cellIs" dxfId="19720" priority="2268" operator="lessThan">
      <formula>0.8</formula>
    </cfRule>
  </conditionalFormatting>
  <conditionalFormatting sqref="Q148:Q153">
    <cfRule type="cellIs" dxfId="19719" priority="2265" operator="lessThan">
      <formula>0</formula>
    </cfRule>
  </conditionalFormatting>
  <conditionalFormatting sqref="R148:R153">
    <cfRule type="cellIs" dxfId="19718" priority="2263" operator="lessThan">
      <formula>0.8</formula>
    </cfRule>
    <cfRule type="cellIs" dxfId="19717" priority="2264" operator="greaterThan">
      <formula>1</formula>
    </cfRule>
  </conditionalFormatting>
  <conditionalFormatting sqref="R148:R153">
    <cfRule type="cellIs" dxfId="19716" priority="2261" operator="greaterThan">
      <formula>1</formula>
    </cfRule>
    <cfRule type="cellIs" dxfId="19715" priority="2262" operator="lessThan">
      <formula>0.8</formula>
    </cfRule>
  </conditionalFormatting>
  <conditionalFormatting sqref="P148:P153">
    <cfRule type="cellIs" dxfId="19714" priority="2260" operator="greaterThan">
      <formula>0</formula>
    </cfRule>
  </conditionalFormatting>
  <conditionalFormatting sqref="Q148:Q153">
    <cfRule type="cellIs" dxfId="19713" priority="2259" operator="lessThan">
      <formula>0</formula>
    </cfRule>
  </conditionalFormatting>
  <conditionalFormatting sqref="R148:R153">
    <cfRule type="cellIs" dxfId="19712" priority="2257" operator="lessThan">
      <formula>0.8</formula>
    </cfRule>
    <cfRule type="cellIs" dxfId="19711" priority="2258" operator="greaterThan">
      <formula>1</formula>
    </cfRule>
  </conditionalFormatting>
  <conditionalFormatting sqref="R148:R153">
    <cfRule type="cellIs" dxfId="19710" priority="2255" operator="greaterThan">
      <formula>1</formula>
    </cfRule>
    <cfRule type="cellIs" dxfId="19709" priority="2256" operator="lessThan">
      <formula>0.8</formula>
    </cfRule>
  </conditionalFormatting>
  <conditionalFormatting sqref="P148:P153">
    <cfRule type="cellIs" dxfId="19708" priority="2254" operator="greaterThan">
      <formula>0</formula>
    </cfRule>
  </conditionalFormatting>
  <conditionalFormatting sqref="Q148:Q153">
    <cfRule type="cellIs" dxfId="19707" priority="2253" operator="lessThan">
      <formula>0</formula>
    </cfRule>
  </conditionalFormatting>
  <conditionalFormatting sqref="R148:R153">
    <cfRule type="cellIs" dxfId="19706" priority="2251" operator="lessThan">
      <formula>0.8</formula>
    </cfRule>
    <cfRule type="cellIs" dxfId="19705" priority="2252" operator="greaterThan">
      <formula>1</formula>
    </cfRule>
  </conditionalFormatting>
  <conditionalFormatting sqref="R148:R153">
    <cfRule type="cellIs" dxfId="19704" priority="2249" operator="greaterThan">
      <formula>1</formula>
    </cfRule>
    <cfRule type="cellIs" dxfId="19703" priority="2250" operator="lessThan">
      <formula>0.8</formula>
    </cfRule>
  </conditionalFormatting>
  <conditionalFormatting sqref="P148:P153">
    <cfRule type="cellIs" dxfId="19702" priority="2248" operator="greaterThan">
      <formula>0</formula>
    </cfRule>
  </conditionalFormatting>
  <conditionalFormatting sqref="Q148:Q153">
    <cfRule type="cellIs" dxfId="19701" priority="2247" operator="lessThan">
      <formula>0</formula>
    </cfRule>
  </conditionalFormatting>
  <conditionalFormatting sqref="R148:R153">
    <cfRule type="cellIs" dxfId="19700" priority="2245" operator="lessThan">
      <formula>0.8</formula>
    </cfRule>
    <cfRule type="cellIs" dxfId="19699" priority="2246" operator="greaterThan">
      <formula>1</formula>
    </cfRule>
  </conditionalFormatting>
  <conditionalFormatting sqref="R148:R153">
    <cfRule type="cellIs" dxfId="19698" priority="2243" operator="greaterThan">
      <formula>1</formula>
    </cfRule>
    <cfRule type="cellIs" dxfId="19697" priority="2244" operator="lessThan">
      <formula>0.8</formula>
    </cfRule>
  </conditionalFormatting>
  <conditionalFormatting sqref="P148:P153">
    <cfRule type="cellIs" dxfId="19696" priority="2242" operator="greaterThan">
      <formula>0</formula>
    </cfRule>
  </conditionalFormatting>
  <conditionalFormatting sqref="P148:P153">
    <cfRule type="cellIs" dxfId="19695" priority="2236" operator="greaterThan">
      <formula>0</formula>
    </cfRule>
  </conditionalFormatting>
  <conditionalFormatting sqref="Q148:Q153">
    <cfRule type="cellIs" dxfId="19694" priority="2241" operator="lessThan">
      <formula>0</formula>
    </cfRule>
  </conditionalFormatting>
  <conditionalFormatting sqref="R148:R153">
    <cfRule type="cellIs" dxfId="19693" priority="2239" operator="lessThan">
      <formula>0.8</formula>
    </cfRule>
    <cfRule type="cellIs" dxfId="19692" priority="2240" operator="greaterThan">
      <formula>1</formula>
    </cfRule>
  </conditionalFormatting>
  <conditionalFormatting sqref="R148:R153">
    <cfRule type="cellIs" dxfId="19691" priority="2237" operator="greaterThan">
      <formula>1</formula>
    </cfRule>
    <cfRule type="cellIs" dxfId="19690" priority="2238" operator="lessThan">
      <formula>0.8</formula>
    </cfRule>
  </conditionalFormatting>
  <conditionalFormatting sqref="P148:P153">
    <cfRule type="cellIs" dxfId="19689" priority="2230" operator="greaterThan">
      <formula>0</formula>
    </cfRule>
  </conditionalFormatting>
  <conditionalFormatting sqref="Q148:Q153">
    <cfRule type="cellIs" dxfId="19688" priority="2235" operator="lessThan">
      <formula>0</formula>
    </cfRule>
  </conditionalFormatting>
  <conditionalFormatting sqref="R148:R153">
    <cfRule type="cellIs" dxfId="19687" priority="2233" operator="lessThan">
      <formula>0.8</formula>
    </cfRule>
    <cfRule type="cellIs" dxfId="19686" priority="2234" operator="greaterThan">
      <formula>1</formula>
    </cfRule>
  </conditionalFormatting>
  <conditionalFormatting sqref="R148:R153">
    <cfRule type="cellIs" dxfId="19685" priority="2231" operator="greaterThan">
      <formula>1</formula>
    </cfRule>
    <cfRule type="cellIs" dxfId="19684" priority="2232" operator="lessThan">
      <formula>0.8</formula>
    </cfRule>
  </conditionalFormatting>
  <conditionalFormatting sqref="R148:R153">
    <cfRule type="cellIs" dxfId="19683" priority="2227" operator="lessThan">
      <formula>0.8</formula>
    </cfRule>
    <cfRule type="cellIs" dxfId="19682" priority="2228" operator="greaterThan">
      <formula>1</formula>
    </cfRule>
  </conditionalFormatting>
  <conditionalFormatting sqref="R148:R153">
    <cfRule type="cellIs" dxfId="19681" priority="2225" operator="greaterThan">
      <formula>1</formula>
    </cfRule>
    <cfRule type="cellIs" dxfId="19680" priority="2226" operator="lessThan">
      <formula>0.8</formula>
    </cfRule>
  </conditionalFormatting>
  <conditionalFormatting sqref="P148:P153">
    <cfRule type="cellIs" dxfId="19679" priority="2224" operator="greaterThan">
      <formula>0</formula>
    </cfRule>
  </conditionalFormatting>
  <conditionalFormatting sqref="Q148:Q153">
    <cfRule type="cellIs" dxfId="19678" priority="2229" operator="lessThan">
      <formula>0</formula>
    </cfRule>
  </conditionalFormatting>
  <conditionalFormatting sqref="Q148:Q153">
    <cfRule type="cellIs" dxfId="19677" priority="2223" operator="lessThan">
      <formula>0</formula>
    </cfRule>
  </conditionalFormatting>
  <conditionalFormatting sqref="R148:R153">
    <cfRule type="cellIs" dxfId="19676" priority="2221" operator="lessThan">
      <formula>0.8</formula>
    </cfRule>
    <cfRule type="cellIs" dxfId="19675" priority="2222" operator="greaterThan">
      <formula>1</formula>
    </cfRule>
  </conditionalFormatting>
  <conditionalFormatting sqref="R148:R153">
    <cfRule type="cellIs" dxfId="19674" priority="2219" operator="greaterThan">
      <formula>1</formula>
    </cfRule>
    <cfRule type="cellIs" dxfId="19673" priority="2220" operator="lessThan">
      <formula>0.8</formula>
    </cfRule>
  </conditionalFormatting>
  <conditionalFormatting sqref="P148:P153">
    <cfRule type="cellIs" dxfId="19672" priority="2218" operator="greaterThan">
      <formula>0</formula>
    </cfRule>
  </conditionalFormatting>
  <conditionalFormatting sqref="P148:P153">
    <cfRule type="cellIs" dxfId="19671" priority="2212" operator="greaterThan">
      <formula>0</formula>
    </cfRule>
  </conditionalFormatting>
  <conditionalFormatting sqref="Q148:Q153">
    <cfRule type="cellIs" dxfId="19670" priority="2217" operator="lessThan">
      <formula>0</formula>
    </cfRule>
  </conditionalFormatting>
  <conditionalFormatting sqref="R148:R153">
    <cfRule type="cellIs" dxfId="19669" priority="2215" operator="lessThan">
      <formula>0.8</formula>
    </cfRule>
    <cfRule type="cellIs" dxfId="19668" priority="2216" operator="greaterThan">
      <formula>1</formula>
    </cfRule>
  </conditionalFormatting>
  <conditionalFormatting sqref="R148:R153">
    <cfRule type="cellIs" dxfId="19667" priority="2213" operator="greaterThan">
      <formula>1</formula>
    </cfRule>
    <cfRule type="cellIs" dxfId="19666" priority="2214" operator="lessThan">
      <formula>0.8</formula>
    </cfRule>
  </conditionalFormatting>
  <conditionalFormatting sqref="P148:P153">
    <cfRule type="cellIs" dxfId="19665" priority="2206" operator="greaterThan">
      <formula>0</formula>
    </cfRule>
  </conditionalFormatting>
  <conditionalFormatting sqref="Q148:Q153">
    <cfRule type="cellIs" dxfId="19664" priority="2211" operator="lessThan">
      <formula>0</formula>
    </cfRule>
  </conditionalFormatting>
  <conditionalFormatting sqref="R148:R153">
    <cfRule type="cellIs" dxfId="19663" priority="2209" operator="lessThan">
      <formula>0.8</formula>
    </cfRule>
    <cfRule type="cellIs" dxfId="19662" priority="2210" operator="greaterThan">
      <formula>1</formula>
    </cfRule>
  </conditionalFormatting>
  <conditionalFormatting sqref="R148:R153">
    <cfRule type="cellIs" dxfId="19661" priority="2207" operator="greaterThan">
      <formula>1</formula>
    </cfRule>
    <cfRule type="cellIs" dxfId="19660" priority="2208" operator="lessThan">
      <formula>0.8</formula>
    </cfRule>
  </conditionalFormatting>
  <conditionalFormatting sqref="R148:R153">
    <cfRule type="cellIs" dxfId="19659" priority="2203" operator="lessThan">
      <formula>0.8</formula>
    </cfRule>
    <cfRule type="cellIs" dxfId="19658" priority="2204" operator="greaterThan">
      <formula>1</formula>
    </cfRule>
  </conditionalFormatting>
  <conditionalFormatting sqref="R148:R153">
    <cfRule type="cellIs" dxfId="19657" priority="2201" operator="greaterThan">
      <formula>1</formula>
    </cfRule>
    <cfRule type="cellIs" dxfId="19656" priority="2202" operator="lessThan">
      <formula>0.8</formula>
    </cfRule>
  </conditionalFormatting>
  <conditionalFormatting sqref="P148:P153">
    <cfRule type="cellIs" dxfId="19655" priority="2200" operator="greaterThan">
      <formula>0</formula>
    </cfRule>
  </conditionalFormatting>
  <conditionalFormatting sqref="Q148:Q153">
    <cfRule type="cellIs" dxfId="19654" priority="2205" operator="lessThan">
      <formula>0</formula>
    </cfRule>
  </conditionalFormatting>
  <conditionalFormatting sqref="P148:P153">
    <cfRule type="cellIs" dxfId="19653" priority="2194" operator="greaterThan">
      <formula>0</formula>
    </cfRule>
  </conditionalFormatting>
  <conditionalFormatting sqref="Q148:Q153">
    <cfRule type="cellIs" dxfId="19652" priority="2199" operator="lessThan">
      <formula>0</formula>
    </cfRule>
  </conditionalFormatting>
  <conditionalFormatting sqref="R148:R153">
    <cfRule type="cellIs" dxfId="19651" priority="2197" operator="lessThan">
      <formula>0.8</formula>
    </cfRule>
    <cfRule type="cellIs" dxfId="19650" priority="2198" operator="greaterThan">
      <formula>1</formula>
    </cfRule>
  </conditionalFormatting>
  <conditionalFormatting sqref="R148:R153">
    <cfRule type="cellIs" dxfId="19649" priority="2195" operator="greaterThan">
      <formula>1</formula>
    </cfRule>
    <cfRule type="cellIs" dxfId="19648" priority="2196" operator="lessThan">
      <formula>0.8</formula>
    </cfRule>
  </conditionalFormatting>
  <conditionalFormatting sqref="R148:R153">
    <cfRule type="cellIs" dxfId="19647" priority="2191" operator="lessThan">
      <formula>0.8</formula>
    </cfRule>
    <cfRule type="cellIs" dxfId="19646" priority="2192" operator="greaterThan">
      <formula>1</formula>
    </cfRule>
  </conditionalFormatting>
  <conditionalFormatting sqref="R148:R153">
    <cfRule type="cellIs" dxfId="19645" priority="2189" operator="greaterThan">
      <formula>1</formula>
    </cfRule>
    <cfRule type="cellIs" dxfId="19644" priority="2190" operator="lessThan">
      <formula>0.8</formula>
    </cfRule>
  </conditionalFormatting>
  <conditionalFormatting sqref="P148:P153">
    <cfRule type="cellIs" dxfId="19643" priority="2188" operator="greaterThan">
      <formula>0</formula>
    </cfRule>
  </conditionalFormatting>
  <conditionalFormatting sqref="Q148:Q153">
    <cfRule type="cellIs" dxfId="19642" priority="2193" operator="lessThan">
      <formula>0</formula>
    </cfRule>
  </conditionalFormatting>
  <conditionalFormatting sqref="R148:R153">
    <cfRule type="cellIs" dxfId="19641" priority="2185" operator="lessThan">
      <formula>0.8</formula>
    </cfRule>
    <cfRule type="cellIs" dxfId="19640" priority="2186" operator="greaterThan">
      <formula>1</formula>
    </cfRule>
  </conditionalFormatting>
  <conditionalFormatting sqref="R148:R153">
    <cfRule type="cellIs" dxfId="19639" priority="2183" operator="greaterThan">
      <formula>1</formula>
    </cfRule>
    <cfRule type="cellIs" dxfId="19638" priority="2184" operator="lessThan">
      <formula>0.8</formula>
    </cfRule>
  </conditionalFormatting>
  <conditionalFormatting sqref="P148:P153">
    <cfRule type="cellIs" dxfId="19637" priority="2182" operator="greaterThan">
      <formula>0</formula>
    </cfRule>
  </conditionalFormatting>
  <conditionalFormatting sqref="Q148:Q153">
    <cfRule type="cellIs" dxfId="19636" priority="2187" operator="lessThan">
      <formula>0</formula>
    </cfRule>
  </conditionalFormatting>
  <conditionalFormatting sqref="Q148:Q153">
    <cfRule type="cellIs" dxfId="19635" priority="2181" operator="lessThan">
      <formula>0</formula>
    </cfRule>
  </conditionalFormatting>
  <conditionalFormatting sqref="R148:R153">
    <cfRule type="cellIs" dxfId="19634" priority="2179" operator="lessThan">
      <formula>0.8</formula>
    </cfRule>
    <cfRule type="cellIs" dxfId="19633" priority="2180" operator="greaterThan">
      <formula>1</formula>
    </cfRule>
  </conditionalFormatting>
  <conditionalFormatting sqref="R148:R153">
    <cfRule type="cellIs" dxfId="19632" priority="2177" operator="greaterThan">
      <formula>1</formula>
    </cfRule>
    <cfRule type="cellIs" dxfId="19631" priority="2178" operator="lessThan">
      <formula>0.8</formula>
    </cfRule>
  </conditionalFormatting>
  <conditionalFormatting sqref="P148:P153">
    <cfRule type="cellIs" dxfId="19630" priority="2176" operator="greaterThan">
      <formula>0</formula>
    </cfRule>
  </conditionalFormatting>
  <conditionalFormatting sqref="Q148:Q153">
    <cfRule type="cellIs" dxfId="19629" priority="2170" operator="lessThan">
      <formula>0</formula>
    </cfRule>
  </conditionalFormatting>
  <conditionalFormatting sqref="R148:R153">
    <cfRule type="cellIs" dxfId="19628" priority="2174" operator="lessThan">
      <formula>0.8</formula>
    </cfRule>
    <cfRule type="cellIs" dxfId="19627" priority="2175" operator="greaterThan">
      <formula>1</formula>
    </cfRule>
  </conditionalFormatting>
  <conditionalFormatting sqref="R148:R153">
    <cfRule type="cellIs" dxfId="19626" priority="2172" operator="greaterThan">
      <formula>1</formula>
    </cfRule>
    <cfRule type="cellIs" dxfId="19625" priority="2173" operator="lessThan">
      <formula>0.8</formula>
    </cfRule>
  </conditionalFormatting>
  <conditionalFormatting sqref="P148:P153">
    <cfRule type="cellIs" dxfId="19624" priority="2171" operator="greaterThan">
      <formula>0</formula>
    </cfRule>
  </conditionalFormatting>
  <conditionalFormatting sqref="Q148:Q153">
    <cfRule type="cellIs" dxfId="19623" priority="2169" operator="lessThan">
      <formula>0</formula>
    </cfRule>
  </conditionalFormatting>
  <conditionalFormatting sqref="R148:R153">
    <cfRule type="cellIs" dxfId="19622" priority="2167" operator="lessThan">
      <formula>0.8</formula>
    </cfRule>
    <cfRule type="cellIs" dxfId="19621" priority="2168" operator="greaterThan">
      <formula>1</formula>
    </cfRule>
  </conditionalFormatting>
  <conditionalFormatting sqref="R148:R153">
    <cfRule type="cellIs" dxfId="19620" priority="2165" operator="greaterThan">
      <formula>1</formula>
    </cfRule>
    <cfRule type="cellIs" dxfId="19619" priority="2166" operator="lessThan">
      <formula>0.8</formula>
    </cfRule>
  </conditionalFormatting>
  <conditionalFormatting sqref="P148:P153">
    <cfRule type="cellIs" dxfId="19618" priority="2164" operator="greaterThan">
      <formula>0</formula>
    </cfRule>
  </conditionalFormatting>
  <conditionalFormatting sqref="Q148:Q153">
    <cfRule type="cellIs" dxfId="19617" priority="2163" operator="lessThan">
      <formula>0</formula>
    </cfRule>
  </conditionalFormatting>
  <conditionalFormatting sqref="R148:R153">
    <cfRule type="cellIs" dxfId="19616" priority="2161" operator="lessThan">
      <formula>0.8</formula>
    </cfRule>
    <cfRule type="cellIs" dxfId="19615" priority="2162" operator="greaterThan">
      <formula>1</formula>
    </cfRule>
  </conditionalFormatting>
  <conditionalFormatting sqref="R148:R153">
    <cfRule type="cellIs" dxfId="19614" priority="2159" operator="greaterThan">
      <formula>1</formula>
    </cfRule>
    <cfRule type="cellIs" dxfId="19613" priority="2160" operator="lessThan">
      <formula>0.8</formula>
    </cfRule>
  </conditionalFormatting>
  <conditionalFormatting sqref="P148:P153">
    <cfRule type="cellIs" dxfId="19612" priority="2158" operator="greaterThan">
      <formula>0</formula>
    </cfRule>
  </conditionalFormatting>
  <conditionalFormatting sqref="Q148:Q153">
    <cfRule type="cellIs" dxfId="19611" priority="2157" operator="lessThan">
      <formula>0</formula>
    </cfRule>
  </conditionalFormatting>
  <conditionalFormatting sqref="R148:R153">
    <cfRule type="cellIs" dxfId="19610" priority="2155" operator="lessThan">
      <formula>0.8</formula>
    </cfRule>
    <cfRule type="cellIs" dxfId="19609" priority="2156" operator="greaterThan">
      <formula>1</formula>
    </cfRule>
  </conditionalFormatting>
  <conditionalFormatting sqref="R148:R153">
    <cfRule type="cellIs" dxfId="19608" priority="2153" operator="greaterThan">
      <formula>1</formula>
    </cfRule>
    <cfRule type="cellIs" dxfId="19607" priority="2154" operator="lessThan">
      <formula>0.8</formula>
    </cfRule>
  </conditionalFormatting>
  <conditionalFormatting sqref="P148:P153">
    <cfRule type="cellIs" dxfId="19606" priority="2152" operator="greaterThan">
      <formula>0</formula>
    </cfRule>
  </conditionalFormatting>
  <conditionalFormatting sqref="Q148:Q153">
    <cfRule type="cellIs" dxfId="19605" priority="2151" operator="lessThan">
      <formula>0</formula>
    </cfRule>
  </conditionalFormatting>
  <conditionalFormatting sqref="R148:R153">
    <cfRule type="cellIs" dxfId="19604" priority="2149" operator="lessThan">
      <formula>0.8</formula>
    </cfRule>
    <cfRule type="cellIs" dxfId="19603" priority="2150" operator="greaterThan">
      <formula>1</formula>
    </cfRule>
  </conditionalFormatting>
  <conditionalFormatting sqref="R148:R153">
    <cfRule type="cellIs" dxfId="19602" priority="2147" operator="greaterThan">
      <formula>1</formula>
    </cfRule>
    <cfRule type="cellIs" dxfId="19601" priority="2148" operator="lessThan">
      <formula>0.8</formula>
    </cfRule>
  </conditionalFormatting>
  <conditionalFormatting sqref="P148:P153">
    <cfRule type="cellIs" dxfId="19600" priority="2146" operator="greaterThan">
      <formula>0</formula>
    </cfRule>
  </conditionalFormatting>
  <conditionalFormatting sqref="Q148:Q153">
    <cfRule type="cellIs" dxfId="19599" priority="2145" operator="lessThan">
      <formula>0</formula>
    </cfRule>
  </conditionalFormatting>
  <conditionalFormatting sqref="R148:R153">
    <cfRule type="cellIs" dxfId="19598" priority="2143" operator="lessThan">
      <formula>0.8</formula>
    </cfRule>
    <cfRule type="cellIs" dxfId="19597" priority="2144" operator="greaterThan">
      <formula>1</formula>
    </cfRule>
  </conditionalFormatting>
  <conditionalFormatting sqref="R148:R153">
    <cfRule type="cellIs" dxfId="19596" priority="2141" operator="greaterThan">
      <formula>1</formula>
    </cfRule>
    <cfRule type="cellIs" dxfId="19595" priority="2142" operator="lessThan">
      <formula>0.8</formula>
    </cfRule>
  </conditionalFormatting>
  <conditionalFormatting sqref="P148:P153">
    <cfRule type="cellIs" dxfId="19594" priority="2140" operator="greaterThan">
      <formula>0</formula>
    </cfRule>
  </conditionalFormatting>
  <conditionalFormatting sqref="P148:P153">
    <cfRule type="cellIs" dxfId="19593" priority="2134" operator="greaterThan">
      <formula>0</formula>
    </cfRule>
  </conditionalFormatting>
  <conditionalFormatting sqref="Q148:Q153">
    <cfRule type="cellIs" dxfId="19592" priority="2139" operator="lessThan">
      <formula>0</formula>
    </cfRule>
  </conditionalFormatting>
  <conditionalFormatting sqref="R148:R153">
    <cfRule type="cellIs" dxfId="19591" priority="2137" operator="lessThan">
      <formula>0.8</formula>
    </cfRule>
    <cfRule type="cellIs" dxfId="19590" priority="2138" operator="greaterThan">
      <formula>1</formula>
    </cfRule>
  </conditionalFormatting>
  <conditionalFormatting sqref="R148:R153">
    <cfRule type="cellIs" dxfId="19589" priority="2135" operator="greaterThan">
      <formula>1</formula>
    </cfRule>
    <cfRule type="cellIs" dxfId="19588" priority="2136" operator="lessThan">
      <formula>0.8</formula>
    </cfRule>
  </conditionalFormatting>
  <conditionalFormatting sqref="P148:P153">
    <cfRule type="cellIs" dxfId="19587" priority="2128" operator="greaterThan">
      <formula>0</formula>
    </cfRule>
  </conditionalFormatting>
  <conditionalFormatting sqref="Q148:Q153">
    <cfRule type="cellIs" dxfId="19586" priority="2133" operator="lessThan">
      <formula>0</formula>
    </cfRule>
  </conditionalFormatting>
  <conditionalFormatting sqref="R148:R153">
    <cfRule type="cellIs" dxfId="19585" priority="2131" operator="lessThan">
      <formula>0.8</formula>
    </cfRule>
    <cfRule type="cellIs" dxfId="19584" priority="2132" operator="greaterThan">
      <formula>1</formula>
    </cfRule>
  </conditionalFormatting>
  <conditionalFormatting sqref="R148:R153">
    <cfRule type="cellIs" dxfId="19583" priority="2129" operator="greaterThan">
      <formula>1</formula>
    </cfRule>
    <cfRule type="cellIs" dxfId="19582" priority="2130" operator="lessThan">
      <formula>0.8</formula>
    </cfRule>
  </conditionalFormatting>
  <conditionalFormatting sqref="R148:R153">
    <cfRule type="cellIs" dxfId="19581" priority="2125" operator="lessThan">
      <formula>0.8</formula>
    </cfRule>
    <cfRule type="cellIs" dxfId="19580" priority="2126" operator="greaterThan">
      <formula>1</formula>
    </cfRule>
  </conditionalFormatting>
  <conditionalFormatting sqref="R148:R153">
    <cfRule type="cellIs" dxfId="19579" priority="2123" operator="greaterThan">
      <formula>1</formula>
    </cfRule>
    <cfRule type="cellIs" dxfId="19578" priority="2124" operator="lessThan">
      <formula>0.8</formula>
    </cfRule>
  </conditionalFormatting>
  <conditionalFormatting sqref="P148:P153">
    <cfRule type="cellIs" dxfId="19577" priority="2122" operator="greaterThan">
      <formula>0</formula>
    </cfRule>
  </conditionalFormatting>
  <conditionalFormatting sqref="Q148:Q153">
    <cfRule type="cellIs" dxfId="19576" priority="2127" operator="lessThan">
      <formula>0</formula>
    </cfRule>
  </conditionalFormatting>
  <conditionalFormatting sqref="Q148:Q153">
    <cfRule type="cellIs" dxfId="19575" priority="2116" operator="lessThan">
      <formula>0</formula>
    </cfRule>
  </conditionalFormatting>
  <conditionalFormatting sqref="P148:P153">
    <cfRule type="cellIs" dxfId="19574" priority="2117" operator="greaterThan">
      <formula>0</formula>
    </cfRule>
  </conditionalFormatting>
  <conditionalFormatting sqref="R148:R153">
    <cfRule type="cellIs" dxfId="19573" priority="2120" operator="lessThan">
      <formula>0.8</formula>
    </cfRule>
    <cfRule type="cellIs" dxfId="19572" priority="2121" operator="greaterThan">
      <formula>1</formula>
    </cfRule>
  </conditionalFormatting>
  <conditionalFormatting sqref="R148:R153">
    <cfRule type="cellIs" dxfId="19571" priority="2118" operator="greaterThan">
      <formula>1</formula>
    </cfRule>
    <cfRule type="cellIs" dxfId="19570" priority="2119" operator="lessThan">
      <formula>0.8</formula>
    </cfRule>
  </conditionalFormatting>
  <conditionalFormatting sqref="Q148:Q153">
    <cfRule type="cellIs" dxfId="19569" priority="2110" operator="lessThan">
      <formula>0</formula>
    </cfRule>
  </conditionalFormatting>
  <conditionalFormatting sqref="R148:R153">
    <cfRule type="cellIs" dxfId="19568" priority="2114" operator="lessThan">
      <formula>0.8</formula>
    </cfRule>
    <cfRule type="cellIs" dxfId="19567" priority="2115" operator="greaterThan">
      <formula>1</formula>
    </cfRule>
  </conditionalFormatting>
  <conditionalFormatting sqref="R148:R153">
    <cfRule type="cellIs" dxfId="19566" priority="2112" operator="greaterThan">
      <formula>1</formula>
    </cfRule>
    <cfRule type="cellIs" dxfId="19565" priority="2113" operator="lessThan">
      <formula>0.8</formula>
    </cfRule>
  </conditionalFormatting>
  <conditionalFormatting sqref="P148:P153">
    <cfRule type="cellIs" dxfId="19564" priority="2111" operator="greaterThan">
      <formula>0</formula>
    </cfRule>
  </conditionalFormatting>
  <conditionalFormatting sqref="Q148:Q153">
    <cfRule type="cellIs" dxfId="19563" priority="2109" operator="lessThan">
      <formula>0</formula>
    </cfRule>
  </conditionalFormatting>
  <conditionalFormatting sqref="R148:R153">
    <cfRule type="cellIs" dxfId="19562" priority="2107" operator="lessThan">
      <formula>0.8</formula>
    </cfRule>
    <cfRule type="cellIs" dxfId="19561" priority="2108" operator="greaterThan">
      <formula>1</formula>
    </cfRule>
  </conditionalFormatting>
  <conditionalFormatting sqref="R148:R153">
    <cfRule type="cellIs" dxfId="19560" priority="2105" operator="greaterThan">
      <formula>1</formula>
    </cfRule>
    <cfRule type="cellIs" dxfId="19559" priority="2106" operator="lessThan">
      <formula>0.8</formula>
    </cfRule>
  </conditionalFormatting>
  <conditionalFormatting sqref="P148:P153">
    <cfRule type="cellIs" dxfId="19558" priority="2104" operator="greaterThan">
      <formula>0</formula>
    </cfRule>
  </conditionalFormatting>
  <conditionalFormatting sqref="Q148:Q153">
    <cfRule type="cellIs" dxfId="19557" priority="2103" operator="lessThan">
      <formula>0</formula>
    </cfRule>
  </conditionalFormatting>
  <conditionalFormatting sqref="R148:R153">
    <cfRule type="cellIs" dxfId="19556" priority="2101" operator="lessThan">
      <formula>0.8</formula>
    </cfRule>
    <cfRule type="cellIs" dxfId="19555" priority="2102" operator="greaterThan">
      <formula>1</formula>
    </cfRule>
  </conditionalFormatting>
  <conditionalFormatting sqref="R148:R153">
    <cfRule type="cellIs" dxfId="19554" priority="2099" operator="greaterThan">
      <formula>1</formula>
    </cfRule>
    <cfRule type="cellIs" dxfId="19553" priority="2100" operator="lessThan">
      <formula>0.8</formula>
    </cfRule>
  </conditionalFormatting>
  <conditionalFormatting sqref="P148:P153">
    <cfRule type="cellIs" dxfId="19552" priority="2098" operator="greaterThan">
      <formula>0</formula>
    </cfRule>
  </conditionalFormatting>
  <conditionalFormatting sqref="Q148:Q153">
    <cfRule type="cellIs" dxfId="19551" priority="2097" operator="lessThan">
      <formula>0</formula>
    </cfRule>
  </conditionalFormatting>
  <conditionalFormatting sqref="R148:R153">
    <cfRule type="cellIs" dxfId="19550" priority="2095" operator="lessThan">
      <formula>0.8</formula>
    </cfRule>
    <cfRule type="cellIs" dxfId="19549" priority="2096" operator="greaterThan">
      <formula>1</formula>
    </cfRule>
  </conditionalFormatting>
  <conditionalFormatting sqref="R148:R153">
    <cfRule type="cellIs" dxfId="19548" priority="2093" operator="greaterThan">
      <formula>1</formula>
    </cfRule>
    <cfRule type="cellIs" dxfId="19547" priority="2094" operator="lessThan">
      <formula>0.8</formula>
    </cfRule>
  </conditionalFormatting>
  <conditionalFormatting sqref="P148:P153">
    <cfRule type="cellIs" dxfId="19546" priority="2092" operator="greaterThan">
      <formula>0</formula>
    </cfRule>
  </conditionalFormatting>
  <conditionalFormatting sqref="Q148:Q153">
    <cfRule type="cellIs" dxfId="19545" priority="2091" operator="lessThan">
      <formula>0</formula>
    </cfRule>
  </conditionalFormatting>
  <conditionalFormatting sqref="R148:R153">
    <cfRule type="cellIs" dxfId="19544" priority="2089" operator="lessThan">
      <formula>0.8</formula>
    </cfRule>
    <cfRule type="cellIs" dxfId="19543" priority="2090" operator="greaterThan">
      <formula>1</formula>
    </cfRule>
  </conditionalFormatting>
  <conditionalFormatting sqref="R148:R153">
    <cfRule type="cellIs" dxfId="19542" priority="2087" operator="greaterThan">
      <formula>1</formula>
    </cfRule>
    <cfRule type="cellIs" dxfId="19541" priority="2088" operator="lessThan">
      <formula>0.8</formula>
    </cfRule>
  </conditionalFormatting>
  <conditionalFormatting sqref="P148:P153">
    <cfRule type="cellIs" dxfId="19540" priority="2086" operator="greaterThan">
      <formula>0</formula>
    </cfRule>
  </conditionalFormatting>
  <conditionalFormatting sqref="Q124 Q127 Q131">
    <cfRule type="cellIs" dxfId="19539" priority="2080" operator="lessThan">
      <formula>0</formula>
    </cfRule>
  </conditionalFormatting>
  <conditionalFormatting sqref="P124 P127 P131">
    <cfRule type="cellIs" dxfId="19538" priority="2081" operator="greaterThan">
      <formula>0</formula>
    </cfRule>
  </conditionalFormatting>
  <conditionalFormatting sqref="R124 R127 R131">
    <cfRule type="cellIs" dxfId="19537" priority="2084" operator="lessThan">
      <formula>0.8</formula>
    </cfRule>
    <cfRule type="cellIs" dxfId="19536" priority="2085" operator="greaterThan">
      <formula>1</formula>
    </cfRule>
  </conditionalFormatting>
  <conditionalFormatting sqref="R124 R127 R131">
    <cfRule type="cellIs" dxfId="19535" priority="2082" operator="greaterThan">
      <formula>1</formula>
    </cfRule>
    <cfRule type="cellIs" dxfId="19534" priority="2083" operator="lessThan">
      <formula>0.8</formula>
    </cfRule>
  </conditionalFormatting>
  <conditionalFormatting sqref="Q124 Q127 Q131">
    <cfRule type="cellIs" dxfId="19533" priority="2074" operator="lessThan">
      <formula>0</formula>
    </cfRule>
  </conditionalFormatting>
  <conditionalFormatting sqref="R124 R127 R131">
    <cfRule type="cellIs" dxfId="19532" priority="2078" operator="lessThan">
      <formula>0.8</formula>
    </cfRule>
    <cfRule type="cellIs" dxfId="19531" priority="2079" operator="greaterThan">
      <formula>1</formula>
    </cfRule>
  </conditionalFormatting>
  <conditionalFormatting sqref="R124 R127 R131">
    <cfRule type="cellIs" dxfId="19530" priority="2076" operator="greaterThan">
      <formula>1</formula>
    </cfRule>
    <cfRule type="cellIs" dxfId="19529" priority="2077" operator="lessThan">
      <formula>0.8</formula>
    </cfRule>
  </conditionalFormatting>
  <conditionalFormatting sqref="P124 P127 P131">
    <cfRule type="cellIs" dxfId="19528" priority="2075" operator="greaterThan">
      <formula>0</formula>
    </cfRule>
  </conditionalFormatting>
  <conditionalFormatting sqref="Q124 Q127 Q131">
    <cfRule type="cellIs" dxfId="19527" priority="2073" operator="lessThan">
      <formula>0</formula>
    </cfRule>
  </conditionalFormatting>
  <conditionalFormatting sqref="R124 R127 R131">
    <cfRule type="cellIs" dxfId="19526" priority="2071" operator="lessThan">
      <formula>0.8</formula>
    </cfRule>
    <cfRule type="cellIs" dxfId="19525" priority="2072" operator="greaterThan">
      <formula>1</formula>
    </cfRule>
  </conditionalFormatting>
  <conditionalFormatting sqref="R124 R127 R131">
    <cfRule type="cellIs" dxfId="19524" priority="2069" operator="greaterThan">
      <formula>1</formula>
    </cfRule>
    <cfRule type="cellIs" dxfId="19523" priority="2070" operator="lessThan">
      <formula>0.8</formula>
    </cfRule>
  </conditionalFormatting>
  <conditionalFormatting sqref="P124 P127 P131">
    <cfRule type="cellIs" dxfId="19522" priority="2068" operator="greaterThan">
      <formula>0</formula>
    </cfRule>
  </conditionalFormatting>
  <conditionalFormatting sqref="Q124 Q127 Q131">
    <cfRule type="cellIs" dxfId="19521" priority="2067" operator="lessThan">
      <formula>0</formula>
    </cfRule>
  </conditionalFormatting>
  <conditionalFormatting sqref="R124 R127 R131">
    <cfRule type="cellIs" dxfId="19520" priority="2065" operator="lessThan">
      <formula>0.8</formula>
    </cfRule>
    <cfRule type="cellIs" dxfId="19519" priority="2066" operator="greaterThan">
      <formula>1</formula>
    </cfRule>
  </conditionalFormatting>
  <conditionalFormatting sqref="R124 R127 R131">
    <cfRule type="cellIs" dxfId="19518" priority="2063" operator="greaterThan">
      <formula>1</formula>
    </cfRule>
    <cfRule type="cellIs" dxfId="19517" priority="2064" operator="lessThan">
      <formula>0.8</formula>
    </cfRule>
  </conditionalFormatting>
  <conditionalFormatting sqref="P124 P127 P131">
    <cfRule type="cellIs" dxfId="19516" priority="2062" operator="greaterThan">
      <formula>0</formula>
    </cfRule>
  </conditionalFormatting>
  <conditionalFormatting sqref="Q124 Q127 Q131">
    <cfRule type="cellIs" dxfId="19515" priority="2061" operator="lessThan">
      <formula>0</formula>
    </cfRule>
  </conditionalFormatting>
  <conditionalFormatting sqref="R124 R127 R131">
    <cfRule type="cellIs" dxfId="19514" priority="2059" operator="lessThan">
      <formula>0.8</formula>
    </cfRule>
    <cfRule type="cellIs" dxfId="19513" priority="2060" operator="greaterThan">
      <formula>1</formula>
    </cfRule>
  </conditionalFormatting>
  <conditionalFormatting sqref="R124 R127 R131">
    <cfRule type="cellIs" dxfId="19512" priority="2057" operator="greaterThan">
      <formula>1</formula>
    </cfRule>
    <cfRule type="cellIs" dxfId="19511" priority="2058" operator="lessThan">
      <formula>0.8</formula>
    </cfRule>
  </conditionalFormatting>
  <conditionalFormatting sqref="P124 P127 P131">
    <cfRule type="cellIs" dxfId="19510" priority="2056" operator="greaterThan">
      <formula>0</formula>
    </cfRule>
  </conditionalFormatting>
  <conditionalFormatting sqref="Q124 Q127 Q131">
    <cfRule type="cellIs" dxfId="19509" priority="2055" operator="lessThan">
      <formula>0</formula>
    </cfRule>
  </conditionalFormatting>
  <conditionalFormatting sqref="R124 R127 R131">
    <cfRule type="cellIs" dxfId="19508" priority="2053" operator="lessThan">
      <formula>0.8</formula>
    </cfRule>
    <cfRule type="cellIs" dxfId="19507" priority="2054" operator="greaterThan">
      <formula>1</formula>
    </cfRule>
  </conditionalFormatting>
  <conditionalFormatting sqref="R124 R127 R131">
    <cfRule type="cellIs" dxfId="19506" priority="2051" operator="greaterThan">
      <formula>1</formula>
    </cfRule>
    <cfRule type="cellIs" dxfId="19505" priority="2052" operator="lessThan">
      <formula>0.8</formula>
    </cfRule>
  </conditionalFormatting>
  <conditionalFormatting sqref="P124 P127 P131">
    <cfRule type="cellIs" dxfId="19504" priority="2050" operator="greaterThan">
      <formula>0</formula>
    </cfRule>
  </conditionalFormatting>
  <conditionalFormatting sqref="Q124 Q127 Q131">
    <cfRule type="cellIs" dxfId="19503" priority="2049" operator="lessThan">
      <formula>0</formula>
    </cfRule>
  </conditionalFormatting>
  <conditionalFormatting sqref="R124 R127 R131">
    <cfRule type="cellIs" dxfId="19502" priority="2047" operator="lessThan">
      <formula>0.8</formula>
    </cfRule>
    <cfRule type="cellIs" dxfId="19501" priority="2048" operator="greaterThan">
      <formula>1</formula>
    </cfRule>
  </conditionalFormatting>
  <conditionalFormatting sqref="R124 R127 R131">
    <cfRule type="cellIs" dxfId="19500" priority="2045" operator="greaterThan">
      <formula>1</formula>
    </cfRule>
    <cfRule type="cellIs" dxfId="19499" priority="2046" operator="lessThan">
      <formula>0.8</formula>
    </cfRule>
  </conditionalFormatting>
  <conditionalFormatting sqref="P124 P127 P131">
    <cfRule type="cellIs" dxfId="19498" priority="2044" operator="greaterThan">
      <formula>0</formula>
    </cfRule>
  </conditionalFormatting>
  <conditionalFormatting sqref="Q124 Q127 Q131">
    <cfRule type="cellIs" dxfId="19497" priority="2043" operator="lessThan">
      <formula>0</formula>
    </cfRule>
  </conditionalFormatting>
  <conditionalFormatting sqref="R124 R127 R131">
    <cfRule type="cellIs" dxfId="19496" priority="2041" operator="lessThan">
      <formula>0.8</formula>
    </cfRule>
    <cfRule type="cellIs" dxfId="19495" priority="2042" operator="greaterThan">
      <formula>1</formula>
    </cfRule>
  </conditionalFormatting>
  <conditionalFormatting sqref="R124 R127 R131">
    <cfRule type="cellIs" dxfId="19494" priority="2039" operator="greaterThan">
      <formula>1</formula>
    </cfRule>
    <cfRule type="cellIs" dxfId="19493" priority="2040" operator="lessThan">
      <formula>0.8</formula>
    </cfRule>
  </conditionalFormatting>
  <conditionalFormatting sqref="P124 P127 P131">
    <cfRule type="cellIs" dxfId="19492" priority="2038" operator="greaterThan">
      <formula>0</formula>
    </cfRule>
  </conditionalFormatting>
  <conditionalFormatting sqref="Q124 Q127 Q131">
    <cfRule type="cellIs" dxfId="19491" priority="2037" operator="lessThan">
      <formula>0</formula>
    </cfRule>
  </conditionalFormatting>
  <conditionalFormatting sqref="R124 R127 R131">
    <cfRule type="cellIs" dxfId="19490" priority="2035" operator="lessThan">
      <formula>0.8</formula>
    </cfRule>
    <cfRule type="cellIs" dxfId="19489" priority="2036" operator="greaterThan">
      <formula>1</formula>
    </cfRule>
  </conditionalFormatting>
  <conditionalFormatting sqref="R124 R127 R131">
    <cfRule type="cellIs" dxfId="19488" priority="2033" operator="greaterThan">
      <formula>1</formula>
    </cfRule>
    <cfRule type="cellIs" dxfId="19487" priority="2034" operator="lessThan">
      <formula>0.8</formula>
    </cfRule>
  </conditionalFormatting>
  <conditionalFormatting sqref="P124 P127 P131">
    <cfRule type="cellIs" dxfId="19486" priority="2032" operator="greaterThan">
      <formula>0</formula>
    </cfRule>
  </conditionalFormatting>
  <conditionalFormatting sqref="P124 P127 P131">
    <cfRule type="cellIs" dxfId="19485" priority="2026" operator="greaterThan">
      <formula>0</formula>
    </cfRule>
  </conditionalFormatting>
  <conditionalFormatting sqref="Q124 Q127 Q131">
    <cfRule type="cellIs" dxfId="19484" priority="2031" operator="lessThan">
      <formula>0</formula>
    </cfRule>
  </conditionalFormatting>
  <conditionalFormatting sqref="R124 R127 R131">
    <cfRule type="cellIs" dxfId="19483" priority="2029" operator="lessThan">
      <formula>0.8</formula>
    </cfRule>
    <cfRule type="cellIs" dxfId="19482" priority="2030" operator="greaterThan">
      <formula>1</formula>
    </cfRule>
  </conditionalFormatting>
  <conditionalFormatting sqref="R124 R127 R131">
    <cfRule type="cellIs" dxfId="19481" priority="2027" operator="greaterThan">
      <formula>1</formula>
    </cfRule>
    <cfRule type="cellIs" dxfId="19480" priority="2028" operator="lessThan">
      <formula>0.8</formula>
    </cfRule>
  </conditionalFormatting>
  <conditionalFormatting sqref="P124 P127 P131">
    <cfRule type="cellIs" dxfId="19479" priority="2020" operator="greaterThan">
      <formula>0</formula>
    </cfRule>
  </conditionalFormatting>
  <conditionalFormatting sqref="Q124 Q127 Q131">
    <cfRule type="cellIs" dxfId="19478" priority="2025" operator="lessThan">
      <formula>0</formula>
    </cfRule>
  </conditionalFormatting>
  <conditionalFormatting sqref="R124 R127 R131">
    <cfRule type="cellIs" dxfId="19477" priority="2023" operator="lessThan">
      <formula>0.8</formula>
    </cfRule>
    <cfRule type="cellIs" dxfId="19476" priority="2024" operator="greaterThan">
      <formula>1</formula>
    </cfRule>
  </conditionalFormatting>
  <conditionalFormatting sqref="R124 R127 R131">
    <cfRule type="cellIs" dxfId="19475" priority="2021" operator="greaterThan">
      <formula>1</formula>
    </cfRule>
    <cfRule type="cellIs" dxfId="19474" priority="2022" operator="lessThan">
      <formula>0.8</formula>
    </cfRule>
  </conditionalFormatting>
  <conditionalFormatting sqref="R124 R127 R131">
    <cfRule type="cellIs" dxfId="19473" priority="2017" operator="lessThan">
      <formula>0.8</formula>
    </cfRule>
    <cfRule type="cellIs" dxfId="19472" priority="2018" operator="greaterThan">
      <formula>1</formula>
    </cfRule>
  </conditionalFormatting>
  <conditionalFormatting sqref="R124 R127 R131">
    <cfRule type="cellIs" dxfId="19471" priority="2015" operator="greaterThan">
      <formula>1</formula>
    </cfRule>
    <cfRule type="cellIs" dxfId="19470" priority="2016" operator="lessThan">
      <formula>0.8</formula>
    </cfRule>
  </conditionalFormatting>
  <conditionalFormatting sqref="P124 P127 P131">
    <cfRule type="cellIs" dxfId="19469" priority="2014" operator="greaterThan">
      <formula>0</formula>
    </cfRule>
  </conditionalFormatting>
  <conditionalFormatting sqref="Q124 Q127 Q131">
    <cfRule type="cellIs" dxfId="19468" priority="2019" operator="lessThan">
      <formula>0</formula>
    </cfRule>
  </conditionalFormatting>
  <conditionalFormatting sqref="Q124 Q127 Q131">
    <cfRule type="cellIs" dxfId="19467" priority="2013" operator="lessThan">
      <formula>0</formula>
    </cfRule>
  </conditionalFormatting>
  <conditionalFormatting sqref="R124 R127 R131">
    <cfRule type="cellIs" dxfId="19466" priority="2011" operator="lessThan">
      <formula>0.8</formula>
    </cfRule>
    <cfRule type="cellIs" dxfId="19465" priority="2012" operator="greaterThan">
      <formula>1</formula>
    </cfRule>
  </conditionalFormatting>
  <conditionalFormatting sqref="R124 R127 R131">
    <cfRule type="cellIs" dxfId="19464" priority="2009" operator="greaterThan">
      <formula>1</formula>
    </cfRule>
    <cfRule type="cellIs" dxfId="19463" priority="2010" operator="lessThan">
      <formula>0.8</formula>
    </cfRule>
  </conditionalFormatting>
  <conditionalFormatting sqref="P124 P127 P131">
    <cfRule type="cellIs" dxfId="19462" priority="2008" operator="greaterThan">
      <formula>0</formula>
    </cfRule>
  </conditionalFormatting>
  <conditionalFormatting sqref="P124 P127 P131">
    <cfRule type="cellIs" dxfId="19461" priority="2002" operator="greaterThan">
      <formula>0</formula>
    </cfRule>
  </conditionalFormatting>
  <conditionalFormatting sqref="Q124 Q127 Q131">
    <cfRule type="cellIs" dxfId="19460" priority="2007" operator="lessThan">
      <formula>0</formula>
    </cfRule>
  </conditionalFormatting>
  <conditionalFormatting sqref="R124 R127 R131">
    <cfRule type="cellIs" dxfId="19459" priority="2005" operator="lessThan">
      <formula>0.8</formula>
    </cfRule>
    <cfRule type="cellIs" dxfId="19458" priority="2006" operator="greaterThan">
      <formula>1</formula>
    </cfRule>
  </conditionalFormatting>
  <conditionalFormatting sqref="R124 R127 R131">
    <cfRule type="cellIs" dxfId="19457" priority="2003" operator="greaterThan">
      <formula>1</formula>
    </cfRule>
    <cfRule type="cellIs" dxfId="19456" priority="2004" operator="lessThan">
      <formula>0.8</formula>
    </cfRule>
  </conditionalFormatting>
  <conditionalFormatting sqref="P124 P127 P131">
    <cfRule type="cellIs" dxfId="19455" priority="1996" operator="greaterThan">
      <formula>0</formula>
    </cfRule>
  </conditionalFormatting>
  <conditionalFormatting sqref="Q124 Q127 Q131">
    <cfRule type="cellIs" dxfId="19454" priority="2001" operator="lessThan">
      <formula>0</formula>
    </cfRule>
  </conditionalFormatting>
  <conditionalFormatting sqref="R124 R127 R131">
    <cfRule type="cellIs" dxfId="19453" priority="1999" operator="lessThan">
      <formula>0.8</formula>
    </cfRule>
    <cfRule type="cellIs" dxfId="19452" priority="2000" operator="greaterThan">
      <formula>1</formula>
    </cfRule>
  </conditionalFormatting>
  <conditionalFormatting sqref="R124 R127 R131">
    <cfRule type="cellIs" dxfId="19451" priority="1997" operator="greaterThan">
      <formula>1</formula>
    </cfRule>
    <cfRule type="cellIs" dxfId="19450" priority="1998" operator="lessThan">
      <formula>0.8</formula>
    </cfRule>
  </conditionalFormatting>
  <conditionalFormatting sqref="R124 R127 R131">
    <cfRule type="cellIs" dxfId="19449" priority="1993" operator="lessThan">
      <formula>0.8</formula>
    </cfRule>
    <cfRule type="cellIs" dxfId="19448" priority="1994" operator="greaterThan">
      <formula>1</formula>
    </cfRule>
  </conditionalFormatting>
  <conditionalFormatting sqref="R124 R127 R131">
    <cfRule type="cellIs" dxfId="19447" priority="1991" operator="greaterThan">
      <formula>1</formula>
    </cfRule>
    <cfRule type="cellIs" dxfId="19446" priority="1992" operator="lessThan">
      <formula>0.8</formula>
    </cfRule>
  </conditionalFormatting>
  <conditionalFormatting sqref="P124 P127 P131">
    <cfRule type="cellIs" dxfId="19445" priority="1990" operator="greaterThan">
      <formula>0</formula>
    </cfRule>
  </conditionalFormatting>
  <conditionalFormatting sqref="Q124 Q127 Q131">
    <cfRule type="cellIs" dxfId="19444" priority="1995" operator="lessThan">
      <formula>0</formula>
    </cfRule>
  </conditionalFormatting>
  <conditionalFormatting sqref="P124 P127 P131">
    <cfRule type="cellIs" dxfId="19443" priority="1984" operator="greaterThan">
      <formula>0</formula>
    </cfRule>
  </conditionalFormatting>
  <conditionalFormatting sqref="Q124 Q127 Q131">
    <cfRule type="cellIs" dxfId="19442" priority="1989" operator="lessThan">
      <formula>0</formula>
    </cfRule>
  </conditionalFormatting>
  <conditionalFormatting sqref="R124 R127 R131">
    <cfRule type="cellIs" dxfId="19441" priority="1987" operator="lessThan">
      <formula>0.8</formula>
    </cfRule>
    <cfRule type="cellIs" dxfId="19440" priority="1988" operator="greaterThan">
      <formula>1</formula>
    </cfRule>
  </conditionalFormatting>
  <conditionalFormatting sqref="R124 R127 R131">
    <cfRule type="cellIs" dxfId="19439" priority="1985" operator="greaterThan">
      <formula>1</formula>
    </cfRule>
    <cfRule type="cellIs" dxfId="19438" priority="1986" operator="lessThan">
      <formula>0.8</formula>
    </cfRule>
  </conditionalFormatting>
  <conditionalFormatting sqref="R124 R127 R131">
    <cfRule type="cellIs" dxfId="19437" priority="1981" operator="lessThan">
      <formula>0.8</formula>
    </cfRule>
    <cfRule type="cellIs" dxfId="19436" priority="1982" operator="greaterThan">
      <formula>1</formula>
    </cfRule>
  </conditionalFormatting>
  <conditionalFormatting sqref="R124 R127 R131">
    <cfRule type="cellIs" dxfId="19435" priority="1979" operator="greaterThan">
      <formula>1</formula>
    </cfRule>
    <cfRule type="cellIs" dxfId="19434" priority="1980" operator="lessThan">
      <formula>0.8</formula>
    </cfRule>
  </conditionalFormatting>
  <conditionalFormatting sqref="P124 P127 P131">
    <cfRule type="cellIs" dxfId="19433" priority="1978" operator="greaterThan">
      <formula>0</formula>
    </cfRule>
  </conditionalFormatting>
  <conditionalFormatting sqref="Q124 Q127 Q131">
    <cfRule type="cellIs" dxfId="19432" priority="1983" operator="lessThan">
      <formula>0</formula>
    </cfRule>
  </conditionalFormatting>
  <conditionalFormatting sqref="R124 R127 R131">
    <cfRule type="cellIs" dxfId="19431" priority="1975" operator="lessThan">
      <formula>0.8</formula>
    </cfRule>
    <cfRule type="cellIs" dxfId="19430" priority="1976" operator="greaterThan">
      <formula>1</formula>
    </cfRule>
  </conditionalFormatting>
  <conditionalFormatting sqref="R124 R127 R131">
    <cfRule type="cellIs" dxfId="19429" priority="1973" operator="greaterThan">
      <formula>1</formula>
    </cfRule>
    <cfRule type="cellIs" dxfId="19428" priority="1974" operator="lessThan">
      <formula>0.8</formula>
    </cfRule>
  </conditionalFormatting>
  <conditionalFormatting sqref="P124 P127 P131">
    <cfRule type="cellIs" dxfId="19427" priority="1972" operator="greaterThan">
      <formula>0</formula>
    </cfRule>
  </conditionalFormatting>
  <conditionalFormatting sqref="Q124 Q127 Q131">
    <cfRule type="cellIs" dxfId="19426" priority="1977" operator="lessThan">
      <formula>0</formula>
    </cfRule>
  </conditionalFormatting>
  <conditionalFormatting sqref="Q124 Q127 Q131">
    <cfRule type="cellIs" dxfId="19425" priority="1971" operator="lessThan">
      <formula>0</formula>
    </cfRule>
  </conditionalFormatting>
  <conditionalFormatting sqref="R124 R127 R131">
    <cfRule type="cellIs" dxfId="19424" priority="1969" operator="lessThan">
      <formula>0.8</formula>
    </cfRule>
    <cfRule type="cellIs" dxfId="19423" priority="1970" operator="greaterThan">
      <formula>1</formula>
    </cfRule>
  </conditionalFormatting>
  <conditionalFormatting sqref="R124 R127 R131">
    <cfRule type="cellIs" dxfId="19422" priority="1967" operator="greaterThan">
      <formula>1</formula>
    </cfRule>
    <cfRule type="cellIs" dxfId="19421" priority="1968" operator="lessThan">
      <formula>0.8</formula>
    </cfRule>
  </conditionalFormatting>
  <conditionalFormatting sqref="P124 P127 P131">
    <cfRule type="cellIs" dxfId="19420" priority="1966" operator="greaterThan">
      <formula>0</formula>
    </cfRule>
  </conditionalFormatting>
  <conditionalFormatting sqref="Q124 Q127 Q131">
    <cfRule type="cellIs" dxfId="19419" priority="1960" operator="lessThan">
      <formula>0</formula>
    </cfRule>
  </conditionalFormatting>
  <conditionalFormatting sqref="R124 R127 R131">
    <cfRule type="cellIs" dxfId="19418" priority="1964" operator="lessThan">
      <formula>0.8</formula>
    </cfRule>
    <cfRule type="cellIs" dxfId="19417" priority="1965" operator="greaterThan">
      <formula>1</formula>
    </cfRule>
  </conditionalFormatting>
  <conditionalFormatting sqref="R124 R127 R131">
    <cfRule type="cellIs" dxfId="19416" priority="1962" operator="greaterThan">
      <formula>1</formula>
    </cfRule>
    <cfRule type="cellIs" dxfId="19415" priority="1963" operator="lessThan">
      <formula>0.8</formula>
    </cfRule>
  </conditionalFormatting>
  <conditionalFormatting sqref="P124 P127 P131">
    <cfRule type="cellIs" dxfId="19414" priority="1961" operator="greaterThan">
      <formula>0</formula>
    </cfRule>
  </conditionalFormatting>
  <conditionalFormatting sqref="Q124 Q127 Q131">
    <cfRule type="cellIs" dxfId="19413" priority="1959" operator="lessThan">
      <formula>0</formula>
    </cfRule>
  </conditionalFormatting>
  <conditionalFormatting sqref="R124 R127 R131">
    <cfRule type="cellIs" dxfId="19412" priority="1957" operator="lessThan">
      <formula>0.8</formula>
    </cfRule>
    <cfRule type="cellIs" dxfId="19411" priority="1958" operator="greaterThan">
      <formula>1</formula>
    </cfRule>
  </conditionalFormatting>
  <conditionalFormatting sqref="R124 R127 R131">
    <cfRule type="cellIs" dxfId="19410" priority="1955" operator="greaterThan">
      <formula>1</formula>
    </cfRule>
    <cfRule type="cellIs" dxfId="19409" priority="1956" operator="lessThan">
      <formula>0.8</formula>
    </cfRule>
  </conditionalFormatting>
  <conditionalFormatting sqref="P124 P127 P131">
    <cfRule type="cellIs" dxfId="19408" priority="1954" operator="greaterThan">
      <formula>0</formula>
    </cfRule>
  </conditionalFormatting>
  <conditionalFormatting sqref="Q124 Q127 Q131">
    <cfRule type="cellIs" dxfId="19407" priority="1953" operator="lessThan">
      <formula>0</formula>
    </cfRule>
  </conditionalFormatting>
  <conditionalFormatting sqref="R124 R127 R131">
    <cfRule type="cellIs" dxfId="19406" priority="1951" operator="lessThan">
      <formula>0.8</formula>
    </cfRule>
    <cfRule type="cellIs" dxfId="19405" priority="1952" operator="greaterThan">
      <formula>1</formula>
    </cfRule>
  </conditionalFormatting>
  <conditionalFormatting sqref="R124 R127 R131">
    <cfRule type="cellIs" dxfId="19404" priority="1949" operator="greaterThan">
      <formula>1</formula>
    </cfRule>
    <cfRule type="cellIs" dxfId="19403" priority="1950" operator="lessThan">
      <formula>0.8</formula>
    </cfRule>
  </conditionalFormatting>
  <conditionalFormatting sqref="P124 P127 P131">
    <cfRule type="cellIs" dxfId="19402" priority="1948" operator="greaterThan">
      <formula>0</formula>
    </cfRule>
  </conditionalFormatting>
  <conditionalFormatting sqref="Q124 Q127 Q131">
    <cfRule type="cellIs" dxfId="19401" priority="1947" operator="lessThan">
      <formula>0</formula>
    </cfRule>
  </conditionalFormatting>
  <conditionalFormatting sqref="R124 R127 R131">
    <cfRule type="cellIs" dxfId="19400" priority="1945" operator="lessThan">
      <formula>0.8</formula>
    </cfRule>
    <cfRule type="cellIs" dxfId="19399" priority="1946" operator="greaterThan">
      <formula>1</formula>
    </cfRule>
  </conditionalFormatting>
  <conditionalFormatting sqref="R124 R127 R131">
    <cfRule type="cellIs" dxfId="19398" priority="1943" operator="greaterThan">
      <formula>1</formula>
    </cfRule>
    <cfRule type="cellIs" dxfId="19397" priority="1944" operator="lessThan">
      <formula>0.8</formula>
    </cfRule>
  </conditionalFormatting>
  <conditionalFormatting sqref="P124 P127 P131">
    <cfRule type="cellIs" dxfId="19396" priority="1942" operator="greaterThan">
      <formula>0</formula>
    </cfRule>
  </conditionalFormatting>
  <conditionalFormatting sqref="Q124 Q127 Q131">
    <cfRule type="cellIs" dxfId="19395" priority="1941" operator="lessThan">
      <formula>0</formula>
    </cfRule>
  </conditionalFormatting>
  <conditionalFormatting sqref="R124 R127 R131">
    <cfRule type="cellIs" dxfId="19394" priority="1939" operator="lessThan">
      <formula>0.8</formula>
    </cfRule>
    <cfRule type="cellIs" dxfId="19393" priority="1940" operator="greaterThan">
      <formula>1</formula>
    </cfRule>
  </conditionalFormatting>
  <conditionalFormatting sqref="R124 R127 R131">
    <cfRule type="cellIs" dxfId="19392" priority="1937" operator="greaterThan">
      <formula>1</formula>
    </cfRule>
    <cfRule type="cellIs" dxfId="19391" priority="1938" operator="lessThan">
      <formula>0.8</formula>
    </cfRule>
  </conditionalFormatting>
  <conditionalFormatting sqref="P124 P127 P131">
    <cfRule type="cellIs" dxfId="19390" priority="1936" operator="greaterThan">
      <formula>0</formula>
    </cfRule>
  </conditionalFormatting>
  <conditionalFormatting sqref="Q124 Q127 Q131">
    <cfRule type="cellIs" dxfId="19389" priority="1935" operator="lessThan">
      <formula>0</formula>
    </cfRule>
  </conditionalFormatting>
  <conditionalFormatting sqref="R124 R127 R131">
    <cfRule type="cellIs" dxfId="19388" priority="1933" operator="lessThan">
      <formula>0.8</formula>
    </cfRule>
    <cfRule type="cellIs" dxfId="19387" priority="1934" operator="greaterThan">
      <formula>1</formula>
    </cfRule>
  </conditionalFormatting>
  <conditionalFormatting sqref="R124 R127 R131">
    <cfRule type="cellIs" dxfId="19386" priority="1931" operator="greaterThan">
      <formula>1</formula>
    </cfRule>
    <cfRule type="cellIs" dxfId="19385" priority="1932" operator="lessThan">
      <formula>0.8</formula>
    </cfRule>
  </conditionalFormatting>
  <conditionalFormatting sqref="P124 P127 P131">
    <cfRule type="cellIs" dxfId="19384" priority="1930" operator="greaterThan">
      <formula>0</formula>
    </cfRule>
  </conditionalFormatting>
  <conditionalFormatting sqref="P124 P127 P131">
    <cfRule type="cellIs" dxfId="19383" priority="1924" operator="greaterThan">
      <formula>0</formula>
    </cfRule>
  </conditionalFormatting>
  <conditionalFormatting sqref="Q124 Q127 Q131">
    <cfRule type="cellIs" dxfId="19382" priority="1929" operator="lessThan">
      <formula>0</formula>
    </cfRule>
  </conditionalFormatting>
  <conditionalFormatting sqref="R124 R127 R131">
    <cfRule type="cellIs" dxfId="19381" priority="1927" operator="lessThan">
      <formula>0.8</formula>
    </cfRule>
    <cfRule type="cellIs" dxfId="19380" priority="1928" operator="greaterThan">
      <formula>1</formula>
    </cfRule>
  </conditionalFormatting>
  <conditionalFormatting sqref="R124 R127 R131">
    <cfRule type="cellIs" dxfId="19379" priority="1925" operator="greaterThan">
      <formula>1</formula>
    </cfRule>
    <cfRule type="cellIs" dxfId="19378" priority="1926" operator="lessThan">
      <formula>0.8</formula>
    </cfRule>
  </conditionalFormatting>
  <conditionalFormatting sqref="P124 P127 P131">
    <cfRule type="cellIs" dxfId="19377" priority="1918" operator="greaterThan">
      <formula>0</formula>
    </cfRule>
  </conditionalFormatting>
  <conditionalFormatting sqref="Q124 Q127 Q131">
    <cfRule type="cellIs" dxfId="19376" priority="1923" operator="lessThan">
      <formula>0</formula>
    </cfRule>
  </conditionalFormatting>
  <conditionalFormatting sqref="R124 R127 R131">
    <cfRule type="cellIs" dxfId="19375" priority="1921" operator="lessThan">
      <formula>0.8</formula>
    </cfRule>
    <cfRule type="cellIs" dxfId="19374" priority="1922" operator="greaterThan">
      <formula>1</formula>
    </cfRule>
  </conditionalFormatting>
  <conditionalFormatting sqref="R124 R127 R131">
    <cfRule type="cellIs" dxfId="19373" priority="1919" operator="greaterThan">
      <formula>1</formula>
    </cfRule>
    <cfRule type="cellIs" dxfId="19372" priority="1920" operator="lessThan">
      <formula>0.8</formula>
    </cfRule>
  </conditionalFormatting>
  <conditionalFormatting sqref="R124 R127 R131">
    <cfRule type="cellIs" dxfId="19371" priority="1915" operator="lessThan">
      <formula>0.8</formula>
    </cfRule>
    <cfRule type="cellIs" dxfId="19370" priority="1916" operator="greaterThan">
      <formula>1</formula>
    </cfRule>
  </conditionalFormatting>
  <conditionalFormatting sqref="R124 R127 R131">
    <cfRule type="cellIs" dxfId="19369" priority="1913" operator="greaterThan">
      <formula>1</formula>
    </cfRule>
    <cfRule type="cellIs" dxfId="19368" priority="1914" operator="lessThan">
      <formula>0.8</formula>
    </cfRule>
  </conditionalFormatting>
  <conditionalFormatting sqref="P124 P127 P131">
    <cfRule type="cellIs" dxfId="19367" priority="1912" operator="greaterThan">
      <formula>0</formula>
    </cfRule>
  </conditionalFormatting>
  <conditionalFormatting sqref="Q124 Q127 Q131">
    <cfRule type="cellIs" dxfId="19366" priority="1917" operator="lessThan">
      <formula>0</formula>
    </cfRule>
  </conditionalFormatting>
  <conditionalFormatting sqref="Q5:Q14">
    <cfRule type="cellIs" dxfId="19365" priority="1911" operator="lessThan">
      <formula>0</formula>
    </cfRule>
  </conditionalFormatting>
  <conditionalFormatting sqref="R5:R14">
    <cfRule type="cellIs" dxfId="19364" priority="1909" operator="lessThan">
      <formula>0.8</formula>
    </cfRule>
    <cfRule type="cellIs" dxfId="19363" priority="1910" operator="greaterThan">
      <formula>1</formula>
    </cfRule>
  </conditionalFormatting>
  <conditionalFormatting sqref="R5:R14">
    <cfRule type="cellIs" dxfId="19362" priority="1907" operator="greaterThan">
      <formula>1</formula>
    </cfRule>
    <cfRule type="cellIs" dxfId="19361" priority="1908" operator="lessThan">
      <formula>0.8</formula>
    </cfRule>
  </conditionalFormatting>
  <conditionalFormatting sqref="P5:P14">
    <cfRule type="cellIs" dxfId="19360" priority="1906" operator="greaterThan">
      <formula>0</formula>
    </cfRule>
  </conditionalFormatting>
  <conditionalFormatting sqref="Q83">
    <cfRule type="cellIs" dxfId="19359" priority="1905" operator="lessThan">
      <formula>0</formula>
    </cfRule>
  </conditionalFormatting>
  <conditionalFormatting sqref="R83">
    <cfRule type="cellIs" dxfId="19358" priority="1903" operator="lessThan">
      <formula>0.8</formula>
    </cfRule>
    <cfRule type="cellIs" dxfId="19357" priority="1904" operator="greaterThan">
      <formula>1</formula>
    </cfRule>
  </conditionalFormatting>
  <conditionalFormatting sqref="R83">
    <cfRule type="cellIs" dxfId="19356" priority="1901" operator="greaterThan">
      <formula>1</formula>
    </cfRule>
    <cfRule type="cellIs" dxfId="19355" priority="1902" operator="lessThan">
      <formula>0.8</formula>
    </cfRule>
  </conditionalFormatting>
  <conditionalFormatting sqref="P83">
    <cfRule type="cellIs" dxfId="19354" priority="1900" operator="greaterThan">
      <formula>0</formula>
    </cfRule>
  </conditionalFormatting>
  <conditionalFormatting sqref="Q83">
    <cfRule type="cellIs" dxfId="19353" priority="1899" operator="lessThan">
      <formula>0</formula>
    </cfRule>
  </conditionalFormatting>
  <conditionalFormatting sqref="R83">
    <cfRule type="cellIs" dxfId="19352" priority="1897" operator="lessThan">
      <formula>0.8</formula>
    </cfRule>
    <cfRule type="cellIs" dxfId="19351" priority="1898" operator="greaterThan">
      <formula>1</formula>
    </cfRule>
  </conditionalFormatting>
  <conditionalFormatting sqref="R83">
    <cfRule type="cellIs" dxfId="19350" priority="1895" operator="greaterThan">
      <formula>1</formula>
    </cfRule>
    <cfRule type="cellIs" dxfId="19349" priority="1896" operator="lessThan">
      <formula>0.8</formula>
    </cfRule>
  </conditionalFormatting>
  <conditionalFormatting sqref="P83">
    <cfRule type="cellIs" dxfId="19348" priority="1894" operator="greaterThan">
      <formula>0</formula>
    </cfRule>
  </conditionalFormatting>
  <conditionalFormatting sqref="Q83">
    <cfRule type="cellIs" dxfId="19347" priority="1893" operator="lessThan">
      <formula>0</formula>
    </cfRule>
  </conditionalFormatting>
  <conditionalFormatting sqref="R83">
    <cfRule type="cellIs" dxfId="19346" priority="1891" operator="lessThan">
      <formula>0.8</formula>
    </cfRule>
    <cfRule type="cellIs" dxfId="19345" priority="1892" operator="greaterThan">
      <formula>1</formula>
    </cfRule>
  </conditionalFormatting>
  <conditionalFormatting sqref="R83">
    <cfRule type="cellIs" dxfId="19344" priority="1889" operator="greaterThan">
      <formula>1</formula>
    </cfRule>
    <cfRule type="cellIs" dxfId="19343" priority="1890" operator="lessThan">
      <formula>0.8</formula>
    </cfRule>
  </conditionalFormatting>
  <conditionalFormatting sqref="P83">
    <cfRule type="cellIs" dxfId="19342" priority="1888" operator="greaterThan">
      <formula>0</formula>
    </cfRule>
  </conditionalFormatting>
  <conditionalFormatting sqref="Q83">
    <cfRule type="cellIs" dxfId="19341" priority="1887" operator="lessThan">
      <formula>0</formula>
    </cfRule>
  </conditionalFormatting>
  <conditionalFormatting sqref="R83">
    <cfRule type="cellIs" dxfId="19340" priority="1885" operator="lessThan">
      <formula>0.8</formula>
    </cfRule>
    <cfRule type="cellIs" dxfId="19339" priority="1886" operator="greaterThan">
      <formula>1</formula>
    </cfRule>
  </conditionalFormatting>
  <conditionalFormatting sqref="R83">
    <cfRule type="cellIs" dxfId="19338" priority="1883" operator="greaterThan">
      <formula>1</formula>
    </cfRule>
    <cfRule type="cellIs" dxfId="19337" priority="1884" operator="lessThan">
      <formula>0.8</formula>
    </cfRule>
  </conditionalFormatting>
  <conditionalFormatting sqref="P83">
    <cfRule type="cellIs" dxfId="19336" priority="1882" operator="greaterThan">
      <formula>0</formula>
    </cfRule>
  </conditionalFormatting>
  <conditionalFormatting sqref="P83">
    <cfRule type="cellIs" dxfId="19335" priority="1876" operator="greaterThan">
      <formula>0</formula>
    </cfRule>
  </conditionalFormatting>
  <conditionalFormatting sqref="Q83">
    <cfRule type="cellIs" dxfId="19334" priority="1881" operator="lessThan">
      <formula>0</formula>
    </cfRule>
  </conditionalFormatting>
  <conditionalFormatting sqref="R83">
    <cfRule type="cellIs" dxfId="19333" priority="1879" operator="lessThan">
      <formula>0.8</formula>
    </cfRule>
    <cfRule type="cellIs" dxfId="19332" priority="1880" operator="greaterThan">
      <formula>1</formula>
    </cfRule>
  </conditionalFormatting>
  <conditionalFormatting sqref="R83">
    <cfRule type="cellIs" dxfId="19331" priority="1877" operator="greaterThan">
      <formula>1</formula>
    </cfRule>
    <cfRule type="cellIs" dxfId="19330" priority="1878" operator="lessThan">
      <formula>0.8</formula>
    </cfRule>
  </conditionalFormatting>
  <conditionalFormatting sqref="P83">
    <cfRule type="cellIs" dxfId="19329" priority="1870" operator="greaterThan">
      <formula>0</formula>
    </cfRule>
  </conditionalFormatting>
  <conditionalFormatting sqref="Q83">
    <cfRule type="cellIs" dxfId="19328" priority="1875" operator="lessThan">
      <formula>0</formula>
    </cfRule>
  </conditionalFormatting>
  <conditionalFormatting sqref="R83">
    <cfRule type="cellIs" dxfId="19327" priority="1873" operator="lessThan">
      <formula>0.8</formula>
    </cfRule>
    <cfRule type="cellIs" dxfId="19326" priority="1874" operator="greaterThan">
      <formula>1</formula>
    </cfRule>
  </conditionalFormatting>
  <conditionalFormatting sqref="R83">
    <cfRule type="cellIs" dxfId="19325" priority="1871" operator="greaterThan">
      <formula>1</formula>
    </cfRule>
    <cfRule type="cellIs" dxfId="19324" priority="1872" operator="lessThan">
      <formula>0.8</formula>
    </cfRule>
  </conditionalFormatting>
  <conditionalFormatting sqref="R83">
    <cfRule type="cellIs" dxfId="19323" priority="1867" operator="lessThan">
      <formula>0.8</formula>
    </cfRule>
    <cfRule type="cellIs" dxfId="19322" priority="1868" operator="greaterThan">
      <formula>1</formula>
    </cfRule>
  </conditionalFormatting>
  <conditionalFormatting sqref="R83">
    <cfRule type="cellIs" dxfId="19321" priority="1865" operator="greaterThan">
      <formula>1</formula>
    </cfRule>
    <cfRule type="cellIs" dxfId="19320" priority="1866" operator="lessThan">
      <formula>0.8</formula>
    </cfRule>
  </conditionalFormatting>
  <conditionalFormatting sqref="P83">
    <cfRule type="cellIs" dxfId="19319" priority="1864" operator="greaterThan">
      <formula>0</formula>
    </cfRule>
  </conditionalFormatting>
  <conditionalFormatting sqref="Q83">
    <cfRule type="cellIs" dxfId="19318" priority="1869" operator="lessThan">
      <formula>0</formula>
    </cfRule>
  </conditionalFormatting>
  <conditionalFormatting sqref="Q83">
    <cfRule type="cellIs" dxfId="19317" priority="1863" operator="lessThan">
      <formula>0</formula>
    </cfRule>
  </conditionalFormatting>
  <conditionalFormatting sqref="R83">
    <cfRule type="cellIs" dxfId="19316" priority="1861" operator="lessThan">
      <formula>0.8</formula>
    </cfRule>
    <cfRule type="cellIs" dxfId="19315" priority="1862" operator="greaterThan">
      <formula>1</formula>
    </cfRule>
  </conditionalFormatting>
  <conditionalFormatting sqref="R83">
    <cfRule type="cellIs" dxfId="19314" priority="1859" operator="greaterThan">
      <formula>1</formula>
    </cfRule>
    <cfRule type="cellIs" dxfId="19313" priority="1860" operator="lessThan">
      <formula>0.8</formula>
    </cfRule>
  </conditionalFormatting>
  <conditionalFormatting sqref="P83">
    <cfRule type="cellIs" dxfId="19312" priority="1858" operator="greaterThan">
      <formula>0</formula>
    </cfRule>
  </conditionalFormatting>
  <conditionalFormatting sqref="P83">
    <cfRule type="cellIs" dxfId="19311" priority="1852" operator="greaterThan">
      <formula>0</formula>
    </cfRule>
  </conditionalFormatting>
  <conditionalFormatting sqref="Q83">
    <cfRule type="cellIs" dxfId="19310" priority="1857" operator="lessThan">
      <formula>0</formula>
    </cfRule>
  </conditionalFormatting>
  <conditionalFormatting sqref="R83">
    <cfRule type="cellIs" dxfId="19309" priority="1855" operator="lessThan">
      <formula>0.8</formula>
    </cfRule>
    <cfRule type="cellIs" dxfId="19308" priority="1856" operator="greaterThan">
      <formula>1</formula>
    </cfRule>
  </conditionalFormatting>
  <conditionalFormatting sqref="R83">
    <cfRule type="cellIs" dxfId="19307" priority="1853" operator="greaterThan">
      <formula>1</formula>
    </cfRule>
    <cfRule type="cellIs" dxfId="19306" priority="1854" operator="lessThan">
      <formula>0.8</formula>
    </cfRule>
  </conditionalFormatting>
  <conditionalFormatting sqref="P83">
    <cfRule type="cellIs" dxfId="19305" priority="1846" operator="greaterThan">
      <formula>0</formula>
    </cfRule>
  </conditionalFormatting>
  <conditionalFormatting sqref="Q83">
    <cfRule type="cellIs" dxfId="19304" priority="1851" operator="lessThan">
      <formula>0</formula>
    </cfRule>
  </conditionalFormatting>
  <conditionalFormatting sqref="R83">
    <cfRule type="cellIs" dxfId="19303" priority="1849" operator="lessThan">
      <formula>0.8</formula>
    </cfRule>
    <cfRule type="cellIs" dxfId="19302" priority="1850" operator="greaterThan">
      <formula>1</formula>
    </cfRule>
  </conditionalFormatting>
  <conditionalFormatting sqref="R83">
    <cfRule type="cellIs" dxfId="19301" priority="1847" operator="greaterThan">
      <formula>1</formula>
    </cfRule>
    <cfRule type="cellIs" dxfId="19300" priority="1848" operator="lessThan">
      <formula>0.8</formula>
    </cfRule>
  </conditionalFormatting>
  <conditionalFormatting sqref="R83">
    <cfRule type="cellIs" dxfId="19299" priority="1843" operator="lessThan">
      <formula>0.8</formula>
    </cfRule>
    <cfRule type="cellIs" dxfId="19298" priority="1844" operator="greaterThan">
      <formula>1</formula>
    </cfRule>
  </conditionalFormatting>
  <conditionalFormatting sqref="R83">
    <cfRule type="cellIs" dxfId="19297" priority="1841" operator="greaterThan">
      <formula>1</formula>
    </cfRule>
    <cfRule type="cellIs" dxfId="19296" priority="1842" operator="lessThan">
      <formula>0.8</formula>
    </cfRule>
  </conditionalFormatting>
  <conditionalFormatting sqref="P83">
    <cfRule type="cellIs" dxfId="19295" priority="1840" operator="greaterThan">
      <formula>0</formula>
    </cfRule>
  </conditionalFormatting>
  <conditionalFormatting sqref="Q83">
    <cfRule type="cellIs" dxfId="19294" priority="1845" operator="lessThan">
      <formula>0</formula>
    </cfRule>
  </conditionalFormatting>
  <conditionalFormatting sqref="P83">
    <cfRule type="cellIs" dxfId="19293" priority="1834" operator="greaterThan">
      <formula>0</formula>
    </cfRule>
  </conditionalFormatting>
  <conditionalFormatting sqref="Q83">
    <cfRule type="cellIs" dxfId="19292" priority="1839" operator="lessThan">
      <formula>0</formula>
    </cfRule>
  </conditionalFormatting>
  <conditionalFormatting sqref="R83">
    <cfRule type="cellIs" dxfId="19291" priority="1837" operator="lessThan">
      <formula>0.8</formula>
    </cfRule>
    <cfRule type="cellIs" dxfId="19290" priority="1838" operator="greaterThan">
      <formula>1</formula>
    </cfRule>
  </conditionalFormatting>
  <conditionalFormatting sqref="R83">
    <cfRule type="cellIs" dxfId="19289" priority="1835" operator="greaterThan">
      <formula>1</formula>
    </cfRule>
    <cfRule type="cellIs" dxfId="19288" priority="1836" operator="lessThan">
      <formula>0.8</formula>
    </cfRule>
  </conditionalFormatting>
  <conditionalFormatting sqref="R83">
    <cfRule type="cellIs" dxfId="19287" priority="1831" operator="lessThan">
      <formula>0.8</formula>
    </cfRule>
    <cfRule type="cellIs" dxfId="19286" priority="1832" operator="greaterThan">
      <formula>1</formula>
    </cfRule>
  </conditionalFormatting>
  <conditionalFormatting sqref="R83">
    <cfRule type="cellIs" dxfId="19285" priority="1829" operator="greaterThan">
      <formula>1</formula>
    </cfRule>
    <cfRule type="cellIs" dxfId="19284" priority="1830" operator="lessThan">
      <formula>0.8</formula>
    </cfRule>
  </conditionalFormatting>
  <conditionalFormatting sqref="P83">
    <cfRule type="cellIs" dxfId="19283" priority="1828" operator="greaterThan">
      <formula>0</formula>
    </cfRule>
  </conditionalFormatting>
  <conditionalFormatting sqref="Q83">
    <cfRule type="cellIs" dxfId="19282" priority="1833" operator="lessThan">
      <formula>0</formula>
    </cfRule>
  </conditionalFormatting>
  <conditionalFormatting sqref="R83">
    <cfRule type="cellIs" dxfId="19281" priority="1825" operator="lessThan">
      <formula>0.8</formula>
    </cfRule>
    <cfRule type="cellIs" dxfId="19280" priority="1826" operator="greaterThan">
      <formula>1</formula>
    </cfRule>
  </conditionalFormatting>
  <conditionalFormatting sqref="R83">
    <cfRule type="cellIs" dxfId="19279" priority="1823" operator="greaterThan">
      <formula>1</formula>
    </cfRule>
    <cfRule type="cellIs" dxfId="19278" priority="1824" operator="lessThan">
      <formula>0.8</formula>
    </cfRule>
  </conditionalFormatting>
  <conditionalFormatting sqref="P83">
    <cfRule type="cellIs" dxfId="19277" priority="1822" operator="greaterThan">
      <formula>0</formula>
    </cfRule>
  </conditionalFormatting>
  <conditionalFormatting sqref="Q83">
    <cfRule type="cellIs" dxfId="19276" priority="1827" operator="lessThan">
      <formula>0</formula>
    </cfRule>
  </conditionalFormatting>
  <conditionalFormatting sqref="Q83">
    <cfRule type="cellIs" dxfId="19275" priority="1821" operator="lessThan">
      <formula>0</formula>
    </cfRule>
  </conditionalFormatting>
  <conditionalFormatting sqref="R83">
    <cfRule type="cellIs" dxfId="19274" priority="1819" operator="lessThan">
      <formula>0.8</formula>
    </cfRule>
    <cfRule type="cellIs" dxfId="19273" priority="1820" operator="greaterThan">
      <formula>1</formula>
    </cfRule>
  </conditionalFormatting>
  <conditionalFormatting sqref="R83">
    <cfRule type="cellIs" dxfId="19272" priority="1817" operator="greaterThan">
      <formula>1</formula>
    </cfRule>
    <cfRule type="cellIs" dxfId="19271" priority="1818" operator="lessThan">
      <formula>0.8</formula>
    </cfRule>
  </conditionalFormatting>
  <conditionalFormatting sqref="P83">
    <cfRule type="cellIs" dxfId="19270" priority="1816" operator="greaterThan">
      <formula>0</formula>
    </cfRule>
  </conditionalFormatting>
  <conditionalFormatting sqref="Q83">
    <cfRule type="cellIs" dxfId="19269" priority="1810" operator="lessThan">
      <formula>0</formula>
    </cfRule>
  </conditionalFormatting>
  <conditionalFormatting sqref="R83">
    <cfRule type="cellIs" dxfId="19268" priority="1814" operator="lessThan">
      <formula>0.8</formula>
    </cfRule>
    <cfRule type="cellIs" dxfId="19267" priority="1815" operator="greaterThan">
      <formula>1</formula>
    </cfRule>
  </conditionalFormatting>
  <conditionalFormatting sqref="R83">
    <cfRule type="cellIs" dxfId="19266" priority="1812" operator="greaterThan">
      <formula>1</formula>
    </cfRule>
    <cfRule type="cellIs" dxfId="19265" priority="1813" operator="lessThan">
      <formula>0.8</formula>
    </cfRule>
  </conditionalFormatting>
  <conditionalFormatting sqref="P83">
    <cfRule type="cellIs" dxfId="19264" priority="1811" operator="greaterThan">
      <formula>0</formula>
    </cfRule>
  </conditionalFormatting>
  <conditionalFormatting sqref="Q83">
    <cfRule type="cellIs" dxfId="19263" priority="1809" operator="lessThan">
      <formula>0</formula>
    </cfRule>
  </conditionalFormatting>
  <conditionalFormatting sqref="R83">
    <cfRule type="cellIs" dxfId="19262" priority="1807" operator="lessThan">
      <formula>0.8</formula>
    </cfRule>
    <cfRule type="cellIs" dxfId="19261" priority="1808" operator="greaterThan">
      <formula>1</formula>
    </cfRule>
  </conditionalFormatting>
  <conditionalFormatting sqref="R83">
    <cfRule type="cellIs" dxfId="19260" priority="1805" operator="greaterThan">
      <formula>1</formula>
    </cfRule>
    <cfRule type="cellIs" dxfId="19259" priority="1806" operator="lessThan">
      <formula>0.8</formula>
    </cfRule>
  </conditionalFormatting>
  <conditionalFormatting sqref="P83">
    <cfRule type="cellIs" dxfId="19258" priority="1804" operator="greaterThan">
      <formula>0</formula>
    </cfRule>
  </conditionalFormatting>
  <conditionalFormatting sqref="Q83">
    <cfRule type="cellIs" dxfId="19257" priority="1803" operator="lessThan">
      <formula>0</formula>
    </cfRule>
  </conditionalFormatting>
  <conditionalFormatting sqref="R83">
    <cfRule type="cellIs" dxfId="19256" priority="1801" operator="lessThan">
      <formula>0.8</formula>
    </cfRule>
    <cfRule type="cellIs" dxfId="19255" priority="1802" operator="greaterThan">
      <formula>1</formula>
    </cfRule>
  </conditionalFormatting>
  <conditionalFormatting sqref="R83">
    <cfRule type="cellIs" dxfId="19254" priority="1799" operator="greaterThan">
      <formula>1</formula>
    </cfRule>
    <cfRule type="cellIs" dxfId="19253" priority="1800" operator="lessThan">
      <formula>0.8</formula>
    </cfRule>
  </conditionalFormatting>
  <conditionalFormatting sqref="P83">
    <cfRule type="cellIs" dxfId="19252" priority="1798" operator="greaterThan">
      <formula>0</formula>
    </cfRule>
  </conditionalFormatting>
  <conditionalFormatting sqref="Q83">
    <cfRule type="cellIs" dxfId="19251" priority="1797" operator="lessThan">
      <formula>0</formula>
    </cfRule>
  </conditionalFormatting>
  <conditionalFormatting sqref="R83">
    <cfRule type="cellIs" dxfId="19250" priority="1795" operator="lessThan">
      <formula>0.8</formula>
    </cfRule>
    <cfRule type="cellIs" dxfId="19249" priority="1796" operator="greaterThan">
      <formula>1</formula>
    </cfRule>
  </conditionalFormatting>
  <conditionalFormatting sqref="R83">
    <cfRule type="cellIs" dxfId="19248" priority="1793" operator="greaterThan">
      <formula>1</formula>
    </cfRule>
    <cfRule type="cellIs" dxfId="19247" priority="1794" operator="lessThan">
      <formula>0.8</formula>
    </cfRule>
  </conditionalFormatting>
  <conditionalFormatting sqref="P83">
    <cfRule type="cellIs" dxfId="19246" priority="1792" operator="greaterThan">
      <formula>0</formula>
    </cfRule>
  </conditionalFormatting>
  <conditionalFormatting sqref="Q83">
    <cfRule type="cellIs" dxfId="19245" priority="1791" operator="lessThan">
      <formula>0</formula>
    </cfRule>
  </conditionalFormatting>
  <conditionalFormatting sqref="R83">
    <cfRule type="cellIs" dxfId="19244" priority="1789" operator="lessThan">
      <formula>0.8</formula>
    </cfRule>
    <cfRule type="cellIs" dxfId="19243" priority="1790" operator="greaterThan">
      <formula>1</formula>
    </cfRule>
  </conditionalFormatting>
  <conditionalFormatting sqref="R83">
    <cfRule type="cellIs" dxfId="19242" priority="1787" operator="greaterThan">
      <formula>1</formula>
    </cfRule>
    <cfRule type="cellIs" dxfId="19241" priority="1788" operator="lessThan">
      <formula>0.8</formula>
    </cfRule>
  </conditionalFormatting>
  <conditionalFormatting sqref="P83">
    <cfRule type="cellIs" dxfId="19240" priority="1786" operator="greaterThan">
      <formula>0</formula>
    </cfRule>
  </conditionalFormatting>
  <conditionalFormatting sqref="Q83">
    <cfRule type="cellIs" dxfId="19239" priority="1785" operator="lessThan">
      <formula>0</formula>
    </cfRule>
  </conditionalFormatting>
  <conditionalFormatting sqref="R83">
    <cfRule type="cellIs" dxfId="19238" priority="1783" operator="lessThan">
      <formula>0.8</formula>
    </cfRule>
    <cfRule type="cellIs" dxfId="19237" priority="1784" operator="greaterThan">
      <formula>1</formula>
    </cfRule>
  </conditionalFormatting>
  <conditionalFormatting sqref="R83">
    <cfRule type="cellIs" dxfId="19236" priority="1781" operator="greaterThan">
      <formula>1</formula>
    </cfRule>
    <cfRule type="cellIs" dxfId="19235" priority="1782" operator="lessThan">
      <formula>0.8</formula>
    </cfRule>
  </conditionalFormatting>
  <conditionalFormatting sqref="P83">
    <cfRule type="cellIs" dxfId="19234" priority="1780" operator="greaterThan">
      <formula>0</formula>
    </cfRule>
  </conditionalFormatting>
  <conditionalFormatting sqref="P83">
    <cfRule type="cellIs" dxfId="19233" priority="1774" operator="greaterThan">
      <formula>0</formula>
    </cfRule>
  </conditionalFormatting>
  <conditionalFormatting sqref="Q83">
    <cfRule type="cellIs" dxfId="19232" priority="1779" operator="lessThan">
      <formula>0</formula>
    </cfRule>
  </conditionalFormatting>
  <conditionalFormatting sqref="R83">
    <cfRule type="cellIs" dxfId="19231" priority="1777" operator="lessThan">
      <formula>0.8</formula>
    </cfRule>
    <cfRule type="cellIs" dxfId="19230" priority="1778" operator="greaterThan">
      <formula>1</formula>
    </cfRule>
  </conditionalFormatting>
  <conditionalFormatting sqref="R83">
    <cfRule type="cellIs" dxfId="19229" priority="1775" operator="greaterThan">
      <formula>1</formula>
    </cfRule>
    <cfRule type="cellIs" dxfId="19228" priority="1776" operator="lessThan">
      <formula>0.8</formula>
    </cfRule>
  </conditionalFormatting>
  <conditionalFormatting sqref="P83">
    <cfRule type="cellIs" dxfId="19227" priority="1768" operator="greaterThan">
      <formula>0</formula>
    </cfRule>
  </conditionalFormatting>
  <conditionalFormatting sqref="Q83">
    <cfRule type="cellIs" dxfId="19226" priority="1773" operator="lessThan">
      <formula>0</formula>
    </cfRule>
  </conditionalFormatting>
  <conditionalFormatting sqref="R83">
    <cfRule type="cellIs" dxfId="19225" priority="1771" operator="lessThan">
      <formula>0.8</formula>
    </cfRule>
    <cfRule type="cellIs" dxfId="19224" priority="1772" operator="greaterThan">
      <formula>1</formula>
    </cfRule>
  </conditionalFormatting>
  <conditionalFormatting sqref="R83">
    <cfRule type="cellIs" dxfId="19223" priority="1769" operator="greaterThan">
      <formula>1</formula>
    </cfRule>
    <cfRule type="cellIs" dxfId="19222" priority="1770" operator="lessThan">
      <formula>0.8</formula>
    </cfRule>
  </conditionalFormatting>
  <conditionalFormatting sqref="R83">
    <cfRule type="cellIs" dxfId="19221" priority="1765" operator="lessThan">
      <formula>0.8</formula>
    </cfRule>
    <cfRule type="cellIs" dxfId="19220" priority="1766" operator="greaterThan">
      <formula>1</formula>
    </cfRule>
  </conditionalFormatting>
  <conditionalFormatting sqref="R83">
    <cfRule type="cellIs" dxfId="19219" priority="1763" operator="greaterThan">
      <formula>1</formula>
    </cfRule>
    <cfRule type="cellIs" dxfId="19218" priority="1764" operator="lessThan">
      <formula>0.8</formula>
    </cfRule>
  </conditionalFormatting>
  <conditionalFormatting sqref="P83">
    <cfRule type="cellIs" dxfId="19217" priority="1762" operator="greaterThan">
      <formula>0</formula>
    </cfRule>
  </conditionalFormatting>
  <conditionalFormatting sqref="Q83">
    <cfRule type="cellIs" dxfId="19216" priority="1767" operator="lessThan">
      <formula>0</formula>
    </cfRule>
  </conditionalFormatting>
  <conditionalFormatting sqref="Q83">
    <cfRule type="cellIs" dxfId="19215" priority="1756" operator="lessThan">
      <formula>0</formula>
    </cfRule>
  </conditionalFormatting>
  <conditionalFormatting sqref="P83">
    <cfRule type="cellIs" dxfId="19214" priority="1757" operator="greaterThan">
      <formula>0</formula>
    </cfRule>
  </conditionalFormatting>
  <conditionalFormatting sqref="R83">
    <cfRule type="cellIs" dxfId="19213" priority="1760" operator="lessThan">
      <formula>0.8</formula>
    </cfRule>
    <cfRule type="cellIs" dxfId="19212" priority="1761" operator="greaterThan">
      <formula>1</formula>
    </cfRule>
  </conditionalFormatting>
  <conditionalFormatting sqref="R83">
    <cfRule type="cellIs" dxfId="19211" priority="1758" operator="greaterThan">
      <formula>1</formula>
    </cfRule>
    <cfRule type="cellIs" dxfId="19210" priority="1759" operator="lessThan">
      <formula>0.8</formula>
    </cfRule>
  </conditionalFormatting>
  <conditionalFormatting sqref="Q83">
    <cfRule type="cellIs" dxfId="19209" priority="1750" operator="lessThan">
      <formula>0</formula>
    </cfRule>
  </conditionalFormatting>
  <conditionalFormatting sqref="R83">
    <cfRule type="cellIs" dxfId="19208" priority="1754" operator="lessThan">
      <formula>0.8</formula>
    </cfRule>
    <cfRule type="cellIs" dxfId="19207" priority="1755" operator="greaterThan">
      <formula>1</formula>
    </cfRule>
  </conditionalFormatting>
  <conditionalFormatting sqref="R83">
    <cfRule type="cellIs" dxfId="19206" priority="1752" operator="greaterThan">
      <formula>1</formula>
    </cfRule>
    <cfRule type="cellIs" dxfId="19205" priority="1753" operator="lessThan">
      <formula>0.8</formula>
    </cfRule>
  </conditionalFormatting>
  <conditionalFormatting sqref="P83">
    <cfRule type="cellIs" dxfId="19204" priority="1751" operator="greaterThan">
      <formula>0</formula>
    </cfRule>
  </conditionalFormatting>
  <conditionalFormatting sqref="Q83">
    <cfRule type="cellIs" dxfId="19203" priority="1749" operator="lessThan">
      <formula>0</formula>
    </cfRule>
  </conditionalFormatting>
  <conditionalFormatting sqref="R83">
    <cfRule type="cellIs" dxfId="19202" priority="1747" operator="lessThan">
      <formula>0.8</formula>
    </cfRule>
    <cfRule type="cellIs" dxfId="19201" priority="1748" operator="greaterThan">
      <formula>1</formula>
    </cfRule>
  </conditionalFormatting>
  <conditionalFormatting sqref="R83">
    <cfRule type="cellIs" dxfId="19200" priority="1745" operator="greaterThan">
      <formula>1</formula>
    </cfRule>
    <cfRule type="cellIs" dxfId="19199" priority="1746" operator="lessThan">
      <formula>0.8</formula>
    </cfRule>
  </conditionalFormatting>
  <conditionalFormatting sqref="P83">
    <cfRule type="cellIs" dxfId="19198" priority="1744" operator="greaterThan">
      <formula>0</formula>
    </cfRule>
  </conditionalFormatting>
  <conditionalFormatting sqref="Q83">
    <cfRule type="cellIs" dxfId="19197" priority="1743" operator="lessThan">
      <formula>0</formula>
    </cfRule>
  </conditionalFormatting>
  <conditionalFormatting sqref="R83">
    <cfRule type="cellIs" dxfId="19196" priority="1741" operator="lessThan">
      <formula>0.8</formula>
    </cfRule>
    <cfRule type="cellIs" dxfId="19195" priority="1742" operator="greaterThan">
      <formula>1</formula>
    </cfRule>
  </conditionalFormatting>
  <conditionalFormatting sqref="R83">
    <cfRule type="cellIs" dxfId="19194" priority="1739" operator="greaterThan">
      <formula>1</formula>
    </cfRule>
    <cfRule type="cellIs" dxfId="19193" priority="1740" operator="lessThan">
      <formula>0.8</formula>
    </cfRule>
  </conditionalFormatting>
  <conditionalFormatting sqref="P83">
    <cfRule type="cellIs" dxfId="19192" priority="1738" operator="greaterThan">
      <formula>0</formula>
    </cfRule>
  </conditionalFormatting>
  <conditionalFormatting sqref="Q83">
    <cfRule type="cellIs" dxfId="19191" priority="1737" operator="lessThan">
      <formula>0</formula>
    </cfRule>
  </conditionalFormatting>
  <conditionalFormatting sqref="R83">
    <cfRule type="cellIs" dxfId="19190" priority="1735" operator="lessThan">
      <formula>0.8</formula>
    </cfRule>
    <cfRule type="cellIs" dxfId="19189" priority="1736" operator="greaterThan">
      <formula>1</formula>
    </cfRule>
  </conditionalFormatting>
  <conditionalFormatting sqref="R83">
    <cfRule type="cellIs" dxfId="19188" priority="1733" operator="greaterThan">
      <formula>1</formula>
    </cfRule>
    <cfRule type="cellIs" dxfId="19187" priority="1734" operator="lessThan">
      <formula>0.8</formula>
    </cfRule>
  </conditionalFormatting>
  <conditionalFormatting sqref="P83">
    <cfRule type="cellIs" dxfId="19186" priority="1732" operator="greaterThan">
      <formula>0</formula>
    </cfRule>
  </conditionalFormatting>
  <conditionalFormatting sqref="Q32:Q39">
    <cfRule type="cellIs" dxfId="19185" priority="1726" operator="lessThan">
      <formula>0</formula>
    </cfRule>
  </conditionalFormatting>
  <conditionalFormatting sqref="P32:P39">
    <cfRule type="cellIs" dxfId="19184" priority="1727" operator="greaterThan">
      <formula>0</formula>
    </cfRule>
  </conditionalFormatting>
  <conditionalFormatting sqref="R32:R39">
    <cfRule type="cellIs" dxfId="19183" priority="1730" operator="lessThan">
      <formula>0.8</formula>
    </cfRule>
    <cfRule type="cellIs" dxfId="19182" priority="1731" operator="greaterThan">
      <formula>1</formula>
    </cfRule>
  </conditionalFormatting>
  <conditionalFormatting sqref="R32:R39">
    <cfRule type="cellIs" dxfId="19181" priority="1728" operator="greaterThan">
      <formula>1</formula>
    </cfRule>
    <cfRule type="cellIs" dxfId="19180" priority="1729" operator="lessThan">
      <formula>0.8</formula>
    </cfRule>
  </conditionalFormatting>
  <conditionalFormatting sqref="Q32:Q39">
    <cfRule type="cellIs" dxfId="19179" priority="1720" operator="lessThan">
      <formula>0</formula>
    </cfRule>
  </conditionalFormatting>
  <conditionalFormatting sqref="R32:R39">
    <cfRule type="cellIs" dxfId="19178" priority="1724" operator="lessThan">
      <formula>0.8</formula>
    </cfRule>
    <cfRule type="cellIs" dxfId="19177" priority="1725" operator="greaterThan">
      <formula>1</formula>
    </cfRule>
  </conditionalFormatting>
  <conditionalFormatting sqref="R32:R39">
    <cfRule type="cellIs" dxfId="19176" priority="1722" operator="greaterThan">
      <formula>1</formula>
    </cfRule>
    <cfRule type="cellIs" dxfId="19175" priority="1723" operator="lessThan">
      <formula>0.8</formula>
    </cfRule>
  </conditionalFormatting>
  <conditionalFormatting sqref="P32:P39">
    <cfRule type="cellIs" dxfId="19174" priority="1721" operator="greaterThan">
      <formula>0</formula>
    </cfRule>
  </conditionalFormatting>
  <conditionalFormatting sqref="Q32:Q39">
    <cfRule type="cellIs" dxfId="19173" priority="1719" operator="lessThan">
      <formula>0</formula>
    </cfRule>
  </conditionalFormatting>
  <conditionalFormatting sqref="R32:R39">
    <cfRule type="cellIs" dxfId="19172" priority="1717" operator="lessThan">
      <formula>0.8</formula>
    </cfRule>
    <cfRule type="cellIs" dxfId="19171" priority="1718" operator="greaterThan">
      <formula>1</formula>
    </cfRule>
  </conditionalFormatting>
  <conditionalFormatting sqref="R32:R39">
    <cfRule type="cellIs" dxfId="19170" priority="1715" operator="greaterThan">
      <formula>1</formula>
    </cfRule>
    <cfRule type="cellIs" dxfId="19169" priority="1716" operator="lessThan">
      <formula>0.8</formula>
    </cfRule>
  </conditionalFormatting>
  <conditionalFormatting sqref="P32:P39">
    <cfRule type="cellIs" dxfId="19168" priority="1714" operator="greaterThan">
      <formula>0</formula>
    </cfRule>
  </conditionalFormatting>
  <conditionalFormatting sqref="Q32:Q39">
    <cfRule type="cellIs" dxfId="19167" priority="1713" operator="lessThan">
      <formula>0</formula>
    </cfRule>
  </conditionalFormatting>
  <conditionalFormatting sqref="R32:R39">
    <cfRule type="cellIs" dxfId="19166" priority="1711" operator="lessThan">
      <formula>0.8</formula>
    </cfRule>
    <cfRule type="cellIs" dxfId="19165" priority="1712" operator="greaterThan">
      <formula>1</formula>
    </cfRule>
  </conditionalFormatting>
  <conditionalFormatting sqref="R32:R39">
    <cfRule type="cellIs" dxfId="19164" priority="1709" operator="greaterThan">
      <formula>1</formula>
    </cfRule>
    <cfRule type="cellIs" dxfId="19163" priority="1710" operator="lessThan">
      <formula>0.8</formula>
    </cfRule>
  </conditionalFormatting>
  <conditionalFormatting sqref="P32:P39">
    <cfRule type="cellIs" dxfId="19162" priority="1708" operator="greaterThan">
      <formula>0</formula>
    </cfRule>
  </conditionalFormatting>
  <conditionalFormatting sqref="Q32:Q39">
    <cfRule type="cellIs" dxfId="19161" priority="1702" operator="lessThan">
      <formula>0</formula>
    </cfRule>
  </conditionalFormatting>
  <conditionalFormatting sqref="R32:R39">
    <cfRule type="cellIs" dxfId="19160" priority="1706" operator="lessThan">
      <formula>0.8</formula>
    </cfRule>
    <cfRule type="cellIs" dxfId="19159" priority="1707" operator="greaterThan">
      <formula>1</formula>
    </cfRule>
  </conditionalFormatting>
  <conditionalFormatting sqref="R32:R39">
    <cfRule type="cellIs" dxfId="19158" priority="1704" operator="greaterThan">
      <formula>1</formula>
    </cfRule>
    <cfRule type="cellIs" dxfId="19157" priority="1705" operator="lessThan">
      <formula>0.8</formula>
    </cfRule>
  </conditionalFormatting>
  <conditionalFormatting sqref="P32:P39">
    <cfRule type="cellIs" dxfId="19156" priority="1703" operator="greaterThan">
      <formula>0</formula>
    </cfRule>
  </conditionalFormatting>
  <conditionalFormatting sqref="Q32:Q39">
    <cfRule type="cellIs" dxfId="19155" priority="1701" operator="lessThan">
      <formula>0</formula>
    </cfRule>
  </conditionalFormatting>
  <conditionalFormatting sqref="R32:R39">
    <cfRule type="cellIs" dxfId="19154" priority="1699" operator="lessThan">
      <formula>0.8</formula>
    </cfRule>
    <cfRule type="cellIs" dxfId="19153" priority="1700" operator="greaterThan">
      <formula>1</formula>
    </cfRule>
  </conditionalFormatting>
  <conditionalFormatting sqref="R32:R39">
    <cfRule type="cellIs" dxfId="19152" priority="1697" operator="greaterThan">
      <formula>1</formula>
    </cfRule>
    <cfRule type="cellIs" dxfId="19151" priority="1698" operator="lessThan">
      <formula>0.8</formula>
    </cfRule>
  </conditionalFormatting>
  <conditionalFormatting sqref="P32:P39">
    <cfRule type="cellIs" dxfId="19150" priority="1696" operator="greaterThan">
      <formula>0</formula>
    </cfRule>
  </conditionalFormatting>
  <conditionalFormatting sqref="Q32:Q39">
    <cfRule type="cellIs" dxfId="19149" priority="1695" operator="lessThan">
      <formula>0</formula>
    </cfRule>
  </conditionalFormatting>
  <conditionalFormatting sqref="R32:R39">
    <cfRule type="cellIs" dxfId="19148" priority="1693" operator="lessThan">
      <formula>0.8</formula>
    </cfRule>
    <cfRule type="cellIs" dxfId="19147" priority="1694" operator="greaterThan">
      <formula>1</formula>
    </cfRule>
  </conditionalFormatting>
  <conditionalFormatting sqref="R32:R39">
    <cfRule type="cellIs" dxfId="19146" priority="1691" operator="greaterThan">
      <formula>1</formula>
    </cfRule>
    <cfRule type="cellIs" dxfId="19145" priority="1692" operator="lessThan">
      <formula>0.8</formula>
    </cfRule>
  </conditionalFormatting>
  <conditionalFormatting sqref="P32:P39">
    <cfRule type="cellIs" dxfId="19144" priority="1690" operator="greaterThan">
      <formula>0</formula>
    </cfRule>
  </conditionalFormatting>
  <conditionalFormatting sqref="Q32:Q39">
    <cfRule type="cellIs" dxfId="19143" priority="1689" operator="lessThan">
      <formula>0</formula>
    </cfRule>
  </conditionalFormatting>
  <conditionalFormatting sqref="R32:R39">
    <cfRule type="cellIs" dxfId="19142" priority="1687" operator="lessThan">
      <formula>0.8</formula>
    </cfRule>
    <cfRule type="cellIs" dxfId="19141" priority="1688" operator="greaterThan">
      <formula>1</formula>
    </cfRule>
  </conditionalFormatting>
  <conditionalFormatting sqref="R32:R39">
    <cfRule type="cellIs" dxfId="19140" priority="1685" operator="greaterThan">
      <formula>1</formula>
    </cfRule>
    <cfRule type="cellIs" dxfId="19139" priority="1686" operator="lessThan">
      <formula>0.8</formula>
    </cfRule>
  </conditionalFormatting>
  <conditionalFormatting sqref="P32:P39">
    <cfRule type="cellIs" dxfId="19138" priority="1684" operator="greaterThan">
      <formula>0</formula>
    </cfRule>
  </conditionalFormatting>
  <conditionalFormatting sqref="Q32:Q39">
    <cfRule type="cellIs" dxfId="19137" priority="1683" operator="lessThan">
      <formula>0</formula>
    </cfRule>
  </conditionalFormatting>
  <conditionalFormatting sqref="R32:R39">
    <cfRule type="cellIs" dxfId="19136" priority="1681" operator="lessThan">
      <formula>0.8</formula>
    </cfRule>
    <cfRule type="cellIs" dxfId="19135" priority="1682" operator="greaterThan">
      <formula>1</formula>
    </cfRule>
  </conditionalFormatting>
  <conditionalFormatting sqref="R32:R39">
    <cfRule type="cellIs" dxfId="19134" priority="1679" operator="greaterThan">
      <formula>1</formula>
    </cfRule>
    <cfRule type="cellIs" dxfId="19133" priority="1680" operator="lessThan">
      <formula>0.8</formula>
    </cfRule>
  </conditionalFormatting>
  <conditionalFormatting sqref="P32:P39">
    <cfRule type="cellIs" dxfId="19132" priority="1678" operator="greaterThan">
      <formula>0</formula>
    </cfRule>
  </conditionalFormatting>
  <conditionalFormatting sqref="Q32:Q39">
    <cfRule type="cellIs" dxfId="19131" priority="1677" operator="lessThan">
      <formula>0</formula>
    </cfRule>
  </conditionalFormatting>
  <conditionalFormatting sqref="R32:R39">
    <cfRule type="cellIs" dxfId="19130" priority="1675" operator="lessThan">
      <formula>0.8</formula>
    </cfRule>
    <cfRule type="cellIs" dxfId="19129" priority="1676" operator="greaterThan">
      <formula>1</formula>
    </cfRule>
  </conditionalFormatting>
  <conditionalFormatting sqref="R32:R39">
    <cfRule type="cellIs" dxfId="19128" priority="1673" operator="greaterThan">
      <formula>1</formula>
    </cfRule>
    <cfRule type="cellIs" dxfId="19127" priority="1674" operator="lessThan">
      <formula>0.8</formula>
    </cfRule>
  </conditionalFormatting>
  <conditionalFormatting sqref="P32:P39">
    <cfRule type="cellIs" dxfId="19126" priority="1672" operator="greaterThan">
      <formula>0</formula>
    </cfRule>
  </conditionalFormatting>
  <conditionalFormatting sqref="P32:P39">
    <cfRule type="cellIs" dxfId="19125" priority="1666" operator="greaterThan">
      <formula>0</formula>
    </cfRule>
  </conditionalFormatting>
  <conditionalFormatting sqref="Q32:Q39">
    <cfRule type="cellIs" dxfId="19124" priority="1671" operator="lessThan">
      <formula>0</formula>
    </cfRule>
  </conditionalFormatting>
  <conditionalFormatting sqref="R32:R39">
    <cfRule type="cellIs" dxfId="19123" priority="1669" operator="lessThan">
      <formula>0.8</formula>
    </cfRule>
    <cfRule type="cellIs" dxfId="19122" priority="1670" operator="greaterThan">
      <formula>1</formula>
    </cfRule>
  </conditionalFormatting>
  <conditionalFormatting sqref="R32:R39">
    <cfRule type="cellIs" dxfId="19121" priority="1667" operator="greaterThan">
      <formula>1</formula>
    </cfRule>
    <cfRule type="cellIs" dxfId="19120" priority="1668" operator="lessThan">
      <formula>0.8</formula>
    </cfRule>
  </conditionalFormatting>
  <conditionalFormatting sqref="P32:P39">
    <cfRule type="cellIs" dxfId="19119" priority="1660" operator="greaterThan">
      <formula>0</formula>
    </cfRule>
  </conditionalFormatting>
  <conditionalFormatting sqref="Q32:Q39">
    <cfRule type="cellIs" dxfId="19118" priority="1665" operator="lessThan">
      <formula>0</formula>
    </cfRule>
  </conditionalFormatting>
  <conditionalFormatting sqref="R32:R39">
    <cfRule type="cellIs" dxfId="19117" priority="1663" operator="lessThan">
      <formula>0.8</formula>
    </cfRule>
    <cfRule type="cellIs" dxfId="19116" priority="1664" operator="greaterThan">
      <formula>1</formula>
    </cfRule>
  </conditionalFormatting>
  <conditionalFormatting sqref="R32:R39">
    <cfRule type="cellIs" dxfId="19115" priority="1661" operator="greaterThan">
      <formula>1</formula>
    </cfRule>
    <cfRule type="cellIs" dxfId="19114" priority="1662" operator="lessThan">
      <formula>0.8</formula>
    </cfRule>
  </conditionalFormatting>
  <conditionalFormatting sqref="R32:R39">
    <cfRule type="cellIs" dxfId="19113" priority="1657" operator="lessThan">
      <formula>0.8</formula>
    </cfRule>
    <cfRule type="cellIs" dxfId="19112" priority="1658" operator="greaterThan">
      <formula>1</formula>
    </cfRule>
  </conditionalFormatting>
  <conditionalFormatting sqref="R32:R39">
    <cfRule type="cellIs" dxfId="19111" priority="1655" operator="greaterThan">
      <formula>1</formula>
    </cfRule>
    <cfRule type="cellIs" dxfId="19110" priority="1656" operator="lessThan">
      <formula>0.8</formula>
    </cfRule>
  </conditionalFormatting>
  <conditionalFormatting sqref="P32:P39">
    <cfRule type="cellIs" dxfId="19109" priority="1654" operator="greaterThan">
      <formula>0</formula>
    </cfRule>
  </conditionalFormatting>
  <conditionalFormatting sqref="Q32:Q39">
    <cfRule type="cellIs" dxfId="19108" priority="1659" operator="lessThan">
      <formula>0</formula>
    </cfRule>
  </conditionalFormatting>
  <conditionalFormatting sqref="Q32:Q39">
    <cfRule type="cellIs" dxfId="19107" priority="1648" operator="lessThan">
      <formula>0</formula>
    </cfRule>
  </conditionalFormatting>
  <conditionalFormatting sqref="P32:P39">
    <cfRule type="cellIs" dxfId="19106" priority="1649" operator="greaterThan">
      <formula>0</formula>
    </cfRule>
  </conditionalFormatting>
  <conditionalFormatting sqref="R32:R39">
    <cfRule type="cellIs" dxfId="19105" priority="1652" operator="lessThan">
      <formula>0.8</formula>
    </cfRule>
    <cfRule type="cellIs" dxfId="19104" priority="1653" operator="greaterThan">
      <formula>1</formula>
    </cfRule>
  </conditionalFormatting>
  <conditionalFormatting sqref="R32:R39">
    <cfRule type="cellIs" dxfId="19103" priority="1650" operator="greaterThan">
      <formula>1</formula>
    </cfRule>
    <cfRule type="cellIs" dxfId="19102" priority="1651" operator="lessThan">
      <formula>0.8</formula>
    </cfRule>
  </conditionalFormatting>
  <conditionalFormatting sqref="Q32:Q39">
    <cfRule type="cellIs" dxfId="19101" priority="1642" operator="lessThan">
      <formula>0</formula>
    </cfRule>
  </conditionalFormatting>
  <conditionalFormatting sqref="R32:R39">
    <cfRule type="cellIs" dxfId="19100" priority="1646" operator="lessThan">
      <formula>0.8</formula>
    </cfRule>
    <cfRule type="cellIs" dxfId="19099" priority="1647" operator="greaterThan">
      <formula>1</formula>
    </cfRule>
  </conditionalFormatting>
  <conditionalFormatting sqref="R32:R39">
    <cfRule type="cellIs" dxfId="19098" priority="1644" operator="greaterThan">
      <formula>1</formula>
    </cfRule>
    <cfRule type="cellIs" dxfId="19097" priority="1645" operator="lessThan">
      <formula>0.8</formula>
    </cfRule>
  </conditionalFormatting>
  <conditionalFormatting sqref="P32:P39">
    <cfRule type="cellIs" dxfId="19096" priority="1643" operator="greaterThan">
      <formula>0</formula>
    </cfRule>
  </conditionalFormatting>
  <conditionalFormatting sqref="Q32:Q39">
    <cfRule type="cellIs" dxfId="19095" priority="1641" operator="lessThan">
      <formula>0</formula>
    </cfRule>
  </conditionalFormatting>
  <conditionalFormatting sqref="R32:R39">
    <cfRule type="cellIs" dxfId="19094" priority="1639" operator="lessThan">
      <formula>0.8</formula>
    </cfRule>
    <cfRule type="cellIs" dxfId="19093" priority="1640" operator="greaterThan">
      <formula>1</formula>
    </cfRule>
  </conditionalFormatting>
  <conditionalFormatting sqref="R32:R39">
    <cfRule type="cellIs" dxfId="19092" priority="1637" operator="greaterThan">
      <formula>1</formula>
    </cfRule>
    <cfRule type="cellIs" dxfId="19091" priority="1638" operator="lessThan">
      <formula>0.8</formula>
    </cfRule>
  </conditionalFormatting>
  <conditionalFormatting sqref="P32:P39">
    <cfRule type="cellIs" dxfId="19090" priority="1636" operator="greaterThan">
      <formula>0</formula>
    </cfRule>
  </conditionalFormatting>
  <conditionalFormatting sqref="Q32:Q39">
    <cfRule type="cellIs" dxfId="19089" priority="1635" operator="lessThan">
      <formula>0</formula>
    </cfRule>
  </conditionalFormatting>
  <conditionalFormatting sqref="R32:R39">
    <cfRule type="cellIs" dxfId="19088" priority="1633" operator="lessThan">
      <formula>0.8</formula>
    </cfRule>
    <cfRule type="cellIs" dxfId="19087" priority="1634" operator="greaterThan">
      <formula>1</formula>
    </cfRule>
  </conditionalFormatting>
  <conditionalFormatting sqref="R32:R39">
    <cfRule type="cellIs" dxfId="19086" priority="1631" operator="greaterThan">
      <formula>1</formula>
    </cfRule>
    <cfRule type="cellIs" dxfId="19085" priority="1632" operator="lessThan">
      <formula>0.8</formula>
    </cfRule>
  </conditionalFormatting>
  <conditionalFormatting sqref="P32:P39">
    <cfRule type="cellIs" dxfId="19084" priority="1630" operator="greaterThan">
      <formula>0</formula>
    </cfRule>
  </conditionalFormatting>
  <conditionalFormatting sqref="Q32:Q39">
    <cfRule type="cellIs" dxfId="19083" priority="1624" operator="lessThan">
      <formula>0</formula>
    </cfRule>
  </conditionalFormatting>
  <conditionalFormatting sqref="P32:P39">
    <cfRule type="cellIs" dxfId="19082" priority="1625" operator="greaterThan">
      <formula>0</formula>
    </cfRule>
  </conditionalFormatting>
  <conditionalFormatting sqref="R32:R39">
    <cfRule type="cellIs" dxfId="19081" priority="1628" operator="lessThan">
      <formula>0.8</formula>
    </cfRule>
    <cfRule type="cellIs" dxfId="19080" priority="1629" operator="greaterThan">
      <formula>1</formula>
    </cfRule>
  </conditionalFormatting>
  <conditionalFormatting sqref="R32:R39">
    <cfRule type="cellIs" dxfId="19079" priority="1626" operator="greaterThan">
      <formula>1</formula>
    </cfRule>
    <cfRule type="cellIs" dxfId="19078" priority="1627" operator="lessThan">
      <formula>0.8</formula>
    </cfRule>
  </conditionalFormatting>
  <conditionalFormatting sqref="Q32:Q39">
    <cfRule type="cellIs" dxfId="19077" priority="1618" operator="lessThan">
      <formula>0</formula>
    </cfRule>
  </conditionalFormatting>
  <conditionalFormatting sqref="R32:R39">
    <cfRule type="cellIs" dxfId="19076" priority="1622" operator="lessThan">
      <formula>0.8</formula>
    </cfRule>
    <cfRule type="cellIs" dxfId="19075" priority="1623" operator="greaterThan">
      <formula>1</formula>
    </cfRule>
  </conditionalFormatting>
  <conditionalFormatting sqref="R32:R39">
    <cfRule type="cellIs" dxfId="19074" priority="1620" operator="greaterThan">
      <formula>1</formula>
    </cfRule>
    <cfRule type="cellIs" dxfId="19073" priority="1621" operator="lessThan">
      <formula>0.8</formula>
    </cfRule>
  </conditionalFormatting>
  <conditionalFormatting sqref="P32:P39">
    <cfRule type="cellIs" dxfId="19072" priority="1619" operator="greaterThan">
      <formula>0</formula>
    </cfRule>
  </conditionalFormatting>
  <conditionalFormatting sqref="Q32:Q39">
    <cfRule type="cellIs" dxfId="19071" priority="1617" operator="lessThan">
      <formula>0</formula>
    </cfRule>
  </conditionalFormatting>
  <conditionalFormatting sqref="R32:R39">
    <cfRule type="cellIs" dxfId="19070" priority="1615" operator="lessThan">
      <formula>0.8</formula>
    </cfRule>
    <cfRule type="cellIs" dxfId="19069" priority="1616" operator="greaterThan">
      <formula>1</formula>
    </cfRule>
  </conditionalFormatting>
  <conditionalFormatting sqref="R32:R39">
    <cfRule type="cellIs" dxfId="19068" priority="1613" operator="greaterThan">
      <formula>1</formula>
    </cfRule>
    <cfRule type="cellIs" dxfId="19067" priority="1614" operator="lessThan">
      <formula>0.8</formula>
    </cfRule>
  </conditionalFormatting>
  <conditionalFormatting sqref="P32:P39">
    <cfRule type="cellIs" dxfId="19066" priority="1612" operator="greaterThan">
      <formula>0</formula>
    </cfRule>
  </conditionalFormatting>
  <conditionalFormatting sqref="Q32:Q39">
    <cfRule type="cellIs" dxfId="19065" priority="1611" operator="lessThan">
      <formula>0</formula>
    </cfRule>
  </conditionalFormatting>
  <conditionalFormatting sqref="R32:R39">
    <cfRule type="cellIs" dxfId="19064" priority="1609" operator="lessThan">
      <formula>0.8</formula>
    </cfRule>
    <cfRule type="cellIs" dxfId="19063" priority="1610" operator="greaterThan">
      <formula>1</formula>
    </cfRule>
  </conditionalFormatting>
  <conditionalFormatting sqref="R32:R39">
    <cfRule type="cellIs" dxfId="19062" priority="1607" operator="greaterThan">
      <formula>1</formula>
    </cfRule>
    <cfRule type="cellIs" dxfId="19061" priority="1608" operator="lessThan">
      <formula>0.8</formula>
    </cfRule>
  </conditionalFormatting>
  <conditionalFormatting sqref="P32:P39">
    <cfRule type="cellIs" dxfId="19060" priority="1606" operator="greaterThan">
      <formula>0</formula>
    </cfRule>
  </conditionalFormatting>
  <conditionalFormatting sqref="Q19:Q24">
    <cfRule type="cellIs" dxfId="19059" priority="1605" operator="lessThan">
      <formula>0</formula>
    </cfRule>
  </conditionalFormatting>
  <conditionalFormatting sqref="R19:R24">
    <cfRule type="cellIs" dxfId="19058" priority="1603" operator="lessThan">
      <formula>0.8</formula>
    </cfRule>
    <cfRule type="cellIs" dxfId="19057" priority="1604" operator="greaterThan">
      <formula>1</formula>
    </cfRule>
  </conditionalFormatting>
  <conditionalFormatting sqref="R19:R24">
    <cfRule type="cellIs" dxfId="19056" priority="1601" operator="greaterThan">
      <formula>1</formula>
    </cfRule>
    <cfRule type="cellIs" dxfId="19055" priority="1602" operator="lessThan">
      <formula>0.8</formula>
    </cfRule>
  </conditionalFormatting>
  <conditionalFormatting sqref="P19:P24">
    <cfRule type="cellIs" dxfId="19054" priority="1600" operator="greaterThan">
      <formula>0</formula>
    </cfRule>
  </conditionalFormatting>
  <conditionalFormatting sqref="R19:R24">
    <cfRule type="cellIs" dxfId="19053" priority="1597" operator="lessThan">
      <formula>0.8</formula>
    </cfRule>
    <cfRule type="cellIs" dxfId="19052" priority="1598" operator="greaterThan">
      <formula>1</formula>
    </cfRule>
  </conditionalFormatting>
  <conditionalFormatting sqref="R19:R24">
    <cfRule type="cellIs" dxfId="19051" priority="1595" operator="greaterThan">
      <formula>1</formula>
    </cfRule>
    <cfRule type="cellIs" dxfId="19050" priority="1596" operator="lessThan">
      <formula>0.8</formula>
    </cfRule>
  </conditionalFormatting>
  <conditionalFormatting sqref="P19:P24">
    <cfRule type="cellIs" dxfId="19049" priority="1594" operator="greaterThan">
      <formula>0</formula>
    </cfRule>
  </conditionalFormatting>
  <conditionalFormatting sqref="Q19:Q24">
    <cfRule type="cellIs" dxfId="19048" priority="1599" operator="lessThan">
      <formula>0</formula>
    </cfRule>
  </conditionalFormatting>
  <conditionalFormatting sqref="R19:R24">
    <cfRule type="cellIs" dxfId="19047" priority="1591" operator="lessThan">
      <formula>0.8</formula>
    </cfRule>
    <cfRule type="cellIs" dxfId="19046" priority="1592" operator="greaterThan">
      <formula>1</formula>
    </cfRule>
  </conditionalFormatting>
  <conditionalFormatting sqref="R19:R24">
    <cfRule type="cellIs" dxfId="19045" priority="1589" operator="greaterThan">
      <formula>1</formula>
    </cfRule>
    <cfRule type="cellIs" dxfId="19044" priority="1590" operator="lessThan">
      <formula>0.8</formula>
    </cfRule>
  </conditionalFormatting>
  <conditionalFormatting sqref="P19:P24">
    <cfRule type="cellIs" dxfId="19043" priority="1588" operator="greaterThan">
      <formula>0</formula>
    </cfRule>
  </conditionalFormatting>
  <conditionalFormatting sqref="Q19:Q24">
    <cfRule type="cellIs" dxfId="19042" priority="1593" operator="lessThan">
      <formula>0</formula>
    </cfRule>
  </conditionalFormatting>
  <conditionalFormatting sqref="Q19:Q24">
    <cfRule type="cellIs" dxfId="19041" priority="1587" operator="lessThan">
      <formula>0</formula>
    </cfRule>
  </conditionalFormatting>
  <conditionalFormatting sqref="R19:R24">
    <cfRule type="cellIs" dxfId="19040" priority="1585" operator="lessThan">
      <formula>0.8</formula>
    </cfRule>
    <cfRule type="cellIs" dxfId="19039" priority="1586" operator="greaterThan">
      <formula>1</formula>
    </cfRule>
  </conditionalFormatting>
  <conditionalFormatting sqref="R19:R24">
    <cfRule type="cellIs" dxfId="19038" priority="1583" operator="greaterThan">
      <formula>1</formula>
    </cfRule>
    <cfRule type="cellIs" dxfId="19037" priority="1584" operator="lessThan">
      <formula>0.8</formula>
    </cfRule>
  </conditionalFormatting>
  <conditionalFormatting sqref="P19:P24">
    <cfRule type="cellIs" dxfId="19036" priority="1582" operator="greaterThan">
      <formula>0</formula>
    </cfRule>
  </conditionalFormatting>
  <conditionalFormatting sqref="Q135:Q136 Q139 Q142">
    <cfRule type="cellIs" dxfId="19035" priority="1581" operator="lessThan">
      <formula>0</formula>
    </cfRule>
  </conditionalFormatting>
  <conditionalFormatting sqref="R135:R136 R139 R142">
    <cfRule type="cellIs" dxfId="19034" priority="1579" operator="lessThan">
      <formula>0.8</formula>
    </cfRule>
    <cfRule type="cellIs" dxfId="19033" priority="1580" operator="greaterThan">
      <formula>1</formula>
    </cfRule>
  </conditionalFormatting>
  <conditionalFormatting sqref="R135:R136 R139 R142">
    <cfRule type="cellIs" dxfId="19032" priority="1577" operator="greaterThan">
      <formula>1</formula>
    </cfRule>
    <cfRule type="cellIs" dxfId="19031" priority="1578" operator="lessThan">
      <formula>0.8</formula>
    </cfRule>
  </conditionalFormatting>
  <conditionalFormatting sqref="P135:P136 P139 P142">
    <cfRule type="cellIs" dxfId="19030" priority="1576" operator="greaterThan">
      <formula>0</formula>
    </cfRule>
  </conditionalFormatting>
  <conditionalFormatting sqref="P135:P136 P139 P142">
    <cfRule type="cellIs" dxfId="19029" priority="1570" operator="greaterThan">
      <formula>0</formula>
    </cfRule>
  </conditionalFormatting>
  <conditionalFormatting sqref="Q135:Q136 Q139 Q142">
    <cfRule type="cellIs" dxfId="19028" priority="1575" operator="lessThan">
      <formula>0</formula>
    </cfRule>
  </conditionalFormatting>
  <conditionalFormatting sqref="R135:R136 R139 R142">
    <cfRule type="cellIs" dxfId="19027" priority="1573" operator="lessThan">
      <formula>0.8</formula>
    </cfRule>
    <cfRule type="cellIs" dxfId="19026" priority="1574" operator="greaterThan">
      <formula>1</formula>
    </cfRule>
  </conditionalFormatting>
  <conditionalFormatting sqref="R135:R136 R139 R142">
    <cfRule type="cellIs" dxfId="19025" priority="1571" operator="greaterThan">
      <formula>1</formula>
    </cfRule>
    <cfRule type="cellIs" dxfId="19024" priority="1572" operator="lessThan">
      <formula>0.8</formula>
    </cfRule>
  </conditionalFormatting>
  <conditionalFormatting sqref="Q25">
    <cfRule type="cellIs" dxfId="19023" priority="1569" operator="lessThan">
      <formula>0</formula>
    </cfRule>
  </conditionalFormatting>
  <conditionalFormatting sqref="R25">
    <cfRule type="cellIs" dxfId="19022" priority="1567" operator="lessThan">
      <formula>0.8</formula>
    </cfRule>
    <cfRule type="cellIs" dxfId="19021" priority="1568" operator="greaterThan">
      <formula>1</formula>
    </cfRule>
  </conditionalFormatting>
  <conditionalFormatting sqref="R25">
    <cfRule type="cellIs" dxfId="19020" priority="1565" operator="greaterThan">
      <formula>1</formula>
    </cfRule>
    <cfRule type="cellIs" dxfId="19019" priority="1566" operator="lessThan">
      <formula>0.8</formula>
    </cfRule>
  </conditionalFormatting>
  <conditionalFormatting sqref="P25">
    <cfRule type="cellIs" dxfId="19018" priority="1564" operator="greaterThan">
      <formula>0</formula>
    </cfRule>
  </conditionalFormatting>
  <conditionalFormatting sqref="R25">
    <cfRule type="cellIs" dxfId="19017" priority="1561" operator="lessThan">
      <formula>0.8</formula>
    </cfRule>
    <cfRule type="cellIs" dxfId="19016" priority="1562" operator="greaterThan">
      <formula>1</formula>
    </cfRule>
  </conditionalFormatting>
  <conditionalFormatting sqref="R25">
    <cfRule type="cellIs" dxfId="19015" priority="1559" operator="greaterThan">
      <formula>1</formula>
    </cfRule>
    <cfRule type="cellIs" dxfId="19014" priority="1560" operator="lessThan">
      <formula>0.8</formula>
    </cfRule>
  </conditionalFormatting>
  <conditionalFormatting sqref="P25">
    <cfRule type="cellIs" dxfId="19013" priority="1558" operator="greaterThan">
      <formula>0</formula>
    </cfRule>
  </conditionalFormatting>
  <conditionalFormatting sqref="Q25">
    <cfRule type="cellIs" dxfId="19012" priority="1563" operator="lessThan">
      <formula>0</formula>
    </cfRule>
  </conditionalFormatting>
  <conditionalFormatting sqref="R25">
    <cfRule type="cellIs" dxfId="19011" priority="1555" operator="lessThan">
      <formula>0.8</formula>
    </cfRule>
    <cfRule type="cellIs" dxfId="19010" priority="1556" operator="greaterThan">
      <formula>1</formula>
    </cfRule>
  </conditionalFormatting>
  <conditionalFormatting sqref="R25">
    <cfRule type="cellIs" dxfId="19009" priority="1553" operator="greaterThan">
      <formula>1</formula>
    </cfRule>
    <cfRule type="cellIs" dxfId="19008" priority="1554" operator="lessThan">
      <formula>0.8</formula>
    </cfRule>
  </conditionalFormatting>
  <conditionalFormatting sqref="P25">
    <cfRule type="cellIs" dxfId="19007" priority="1552" operator="greaterThan">
      <formula>0</formula>
    </cfRule>
  </conditionalFormatting>
  <conditionalFormatting sqref="Q25">
    <cfRule type="cellIs" dxfId="19006" priority="1557" operator="lessThan">
      <formula>0</formula>
    </cfRule>
  </conditionalFormatting>
  <conditionalFormatting sqref="Q25">
    <cfRule type="cellIs" dxfId="19005" priority="1551" operator="lessThan">
      <formula>0</formula>
    </cfRule>
  </conditionalFormatting>
  <conditionalFormatting sqref="R25">
    <cfRule type="cellIs" dxfId="19004" priority="1549" operator="lessThan">
      <formula>0.8</formula>
    </cfRule>
    <cfRule type="cellIs" dxfId="19003" priority="1550" operator="greaterThan">
      <formula>1</formula>
    </cfRule>
  </conditionalFormatting>
  <conditionalFormatting sqref="R25">
    <cfRule type="cellIs" dxfId="19002" priority="1547" operator="greaterThan">
      <formula>1</formula>
    </cfRule>
    <cfRule type="cellIs" dxfId="19001" priority="1548" operator="lessThan">
      <formula>0.8</formula>
    </cfRule>
  </conditionalFormatting>
  <conditionalFormatting sqref="P25">
    <cfRule type="cellIs" dxfId="19000" priority="1546" operator="greaterThan">
      <formula>0</formula>
    </cfRule>
  </conditionalFormatting>
  <conditionalFormatting sqref="Q25">
    <cfRule type="cellIs" dxfId="18999" priority="1545" operator="lessThan">
      <formula>0</formula>
    </cfRule>
  </conditionalFormatting>
  <conditionalFormatting sqref="R25">
    <cfRule type="cellIs" dxfId="18998" priority="1543" operator="lessThan">
      <formula>0.8</formula>
    </cfRule>
    <cfRule type="cellIs" dxfId="18997" priority="1544" operator="greaterThan">
      <formula>1</formula>
    </cfRule>
  </conditionalFormatting>
  <conditionalFormatting sqref="R25">
    <cfRule type="cellIs" dxfId="18996" priority="1541" operator="greaterThan">
      <formula>1</formula>
    </cfRule>
    <cfRule type="cellIs" dxfId="18995" priority="1542" operator="lessThan">
      <formula>0.8</formula>
    </cfRule>
  </conditionalFormatting>
  <conditionalFormatting sqref="P25">
    <cfRule type="cellIs" dxfId="18994" priority="1540" operator="greaterThan">
      <formula>0</formula>
    </cfRule>
  </conditionalFormatting>
  <conditionalFormatting sqref="P19:P24">
    <cfRule type="cellIs" dxfId="18993" priority="1534" operator="greaterThan">
      <formula>0</formula>
    </cfRule>
  </conditionalFormatting>
  <conditionalFormatting sqref="Q19:Q24">
    <cfRule type="cellIs" dxfId="18992" priority="1539" operator="lessThan">
      <formula>0</formula>
    </cfRule>
  </conditionalFormatting>
  <conditionalFormatting sqref="R19:R24">
    <cfRule type="cellIs" dxfId="18991" priority="1537" operator="lessThan">
      <formula>0.8</formula>
    </cfRule>
    <cfRule type="cellIs" dxfId="18990" priority="1538" operator="greaterThan">
      <formula>1</formula>
    </cfRule>
  </conditionalFormatting>
  <conditionalFormatting sqref="R19:R24">
    <cfRule type="cellIs" dxfId="18989" priority="1535" operator="greaterThan">
      <formula>1</formula>
    </cfRule>
    <cfRule type="cellIs" dxfId="18988" priority="1536" operator="lessThan">
      <formula>0.8</formula>
    </cfRule>
  </conditionalFormatting>
  <conditionalFormatting sqref="Q19:Q24">
    <cfRule type="cellIs" dxfId="18987" priority="1533" operator="lessThan">
      <formula>0</formula>
    </cfRule>
  </conditionalFormatting>
  <conditionalFormatting sqref="R19:R24">
    <cfRule type="cellIs" dxfId="18986" priority="1531" operator="lessThan">
      <formula>0.8</formula>
    </cfRule>
    <cfRule type="cellIs" dxfId="18985" priority="1532" operator="greaterThan">
      <formula>1</formula>
    </cfRule>
  </conditionalFormatting>
  <conditionalFormatting sqref="R19:R24">
    <cfRule type="cellIs" dxfId="18984" priority="1529" operator="greaterThan">
      <formula>1</formula>
    </cfRule>
    <cfRule type="cellIs" dxfId="18983" priority="1530" operator="lessThan">
      <formula>0.8</formula>
    </cfRule>
  </conditionalFormatting>
  <conditionalFormatting sqref="P19:P24">
    <cfRule type="cellIs" dxfId="18982" priority="1528" operator="greaterThan">
      <formula>0</formula>
    </cfRule>
  </conditionalFormatting>
  <conditionalFormatting sqref="Q19:Q24">
    <cfRule type="cellIs" dxfId="18981" priority="1527" operator="lessThan">
      <formula>0</formula>
    </cfRule>
  </conditionalFormatting>
  <conditionalFormatting sqref="R19:R24">
    <cfRule type="cellIs" dxfId="18980" priority="1525" operator="lessThan">
      <formula>0.8</formula>
    </cfRule>
    <cfRule type="cellIs" dxfId="18979" priority="1526" operator="greaterThan">
      <formula>1</formula>
    </cfRule>
  </conditionalFormatting>
  <conditionalFormatting sqref="R19:R24">
    <cfRule type="cellIs" dxfId="18978" priority="1523" operator="greaterThan">
      <formula>1</formula>
    </cfRule>
    <cfRule type="cellIs" dxfId="18977" priority="1524" operator="lessThan">
      <formula>0.8</formula>
    </cfRule>
  </conditionalFormatting>
  <conditionalFormatting sqref="P19:P24">
    <cfRule type="cellIs" dxfId="18976" priority="1522" operator="greaterThan">
      <formula>0</formula>
    </cfRule>
  </conditionalFormatting>
  <conditionalFormatting sqref="Q19:Q24">
    <cfRule type="cellIs" dxfId="18975" priority="1521" operator="lessThan">
      <formula>0</formula>
    </cfRule>
  </conditionalFormatting>
  <conditionalFormatting sqref="R19:R24">
    <cfRule type="cellIs" dxfId="18974" priority="1519" operator="lessThan">
      <formula>0.8</formula>
    </cfRule>
    <cfRule type="cellIs" dxfId="18973" priority="1520" operator="greaterThan">
      <formula>1</formula>
    </cfRule>
  </conditionalFormatting>
  <conditionalFormatting sqref="R19:R24">
    <cfRule type="cellIs" dxfId="18972" priority="1517" operator="greaterThan">
      <formula>1</formula>
    </cfRule>
    <cfRule type="cellIs" dxfId="18971" priority="1518" operator="lessThan">
      <formula>0.8</formula>
    </cfRule>
  </conditionalFormatting>
  <conditionalFormatting sqref="P19:P24">
    <cfRule type="cellIs" dxfId="18970" priority="1516" operator="greaterThan">
      <formula>0</formula>
    </cfRule>
  </conditionalFormatting>
  <conditionalFormatting sqref="R19:R24">
    <cfRule type="cellIs" dxfId="18969" priority="1513" operator="lessThan">
      <formula>0.8</formula>
    </cfRule>
    <cfRule type="cellIs" dxfId="18968" priority="1514" operator="greaterThan">
      <formula>1</formula>
    </cfRule>
  </conditionalFormatting>
  <conditionalFormatting sqref="R19:R24">
    <cfRule type="cellIs" dxfId="18967" priority="1511" operator="greaterThan">
      <formula>1</formula>
    </cfRule>
    <cfRule type="cellIs" dxfId="18966" priority="1512" operator="lessThan">
      <formula>0.8</formula>
    </cfRule>
  </conditionalFormatting>
  <conditionalFormatting sqref="P19:P24">
    <cfRule type="cellIs" dxfId="18965" priority="1510" operator="greaterThan">
      <formula>0</formula>
    </cfRule>
  </conditionalFormatting>
  <conditionalFormatting sqref="Q19:Q24">
    <cfRule type="cellIs" dxfId="18964" priority="1515" operator="lessThan">
      <formula>0</formula>
    </cfRule>
  </conditionalFormatting>
  <conditionalFormatting sqref="Q19:Q24">
    <cfRule type="cellIs" dxfId="18963" priority="1509" operator="lessThan">
      <formula>0</formula>
    </cfRule>
  </conditionalFormatting>
  <conditionalFormatting sqref="R19:R24">
    <cfRule type="cellIs" dxfId="18962" priority="1507" operator="lessThan">
      <formula>0.8</formula>
    </cfRule>
    <cfRule type="cellIs" dxfId="18961" priority="1508" operator="greaterThan">
      <formula>1</formula>
    </cfRule>
  </conditionalFormatting>
  <conditionalFormatting sqref="R19:R24">
    <cfRule type="cellIs" dxfId="18960" priority="1505" operator="greaterThan">
      <formula>1</formula>
    </cfRule>
    <cfRule type="cellIs" dxfId="18959" priority="1506" operator="lessThan">
      <formula>0.8</formula>
    </cfRule>
  </conditionalFormatting>
  <conditionalFormatting sqref="P19:P24">
    <cfRule type="cellIs" dxfId="18958" priority="1504" operator="greaterThan">
      <formula>0</formula>
    </cfRule>
  </conditionalFormatting>
  <conditionalFormatting sqref="P19:P24">
    <cfRule type="cellIs" dxfId="18957" priority="1498" operator="greaterThan">
      <formula>0</formula>
    </cfRule>
  </conditionalFormatting>
  <conditionalFormatting sqref="Q19:Q24">
    <cfRule type="cellIs" dxfId="18956" priority="1503" operator="lessThan">
      <formula>0</formula>
    </cfRule>
  </conditionalFormatting>
  <conditionalFormatting sqref="R19:R24">
    <cfRule type="cellIs" dxfId="18955" priority="1501" operator="lessThan">
      <formula>0.8</formula>
    </cfRule>
    <cfRule type="cellIs" dxfId="18954" priority="1502" operator="greaterThan">
      <formula>1</formula>
    </cfRule>
  </conditionalFormatting>
  <conditionalFormatting sqref="R19:R24">
    <cfRule type="cellIs" dxfId="18953" priority="1499" operator="greaterThan">
      <formula>1</formula>
    </cfRule>
    <cfRule type="cellIs" dxfId="18952" priority="1500" operator="lessThan">
      <formula>0.8</formula>
    </cfRule>
  </conditionalFormatting>
  <conditionalFormatting sqref="P19:P24">
    <cfRule type="cellIs" dxfId="18951" priority="1492" operator="greaterThan">
      <formula>0</formula>
    </cfRule>
  </conditionalFormatting>
  <conditionalFormatting sqref="Q19:Q24">
    <cfRule type="cellIs" dxfId="18950" priority="1497" operator="lessThan">
      <formula>0</formula>
    </cfRule>
  </conditionalFormatting>
  <conditionalFormatting sqref="R19:R24">
    <cfRule type="cellIs" dxfId="18949" priority="1495" operator="lessThan">
      <formula>0.8</formula>
    </cfRule>
    <cfRule type="cellIs" dxfId="18948" priority="1496" operator="greaterThan">
      <formula>1</formula>
    </cfRule>
  </conditionalFormatting>
  <conditionalFormatting sqref="R19:R24">
    <cfRule type="cellIs" dxfId="18947" priority="1493" operator="greaterThan">
      <formula>1</formula>
    </cfRule>
    <cfRule type="cellIs" dxfId="18946" priority="1494" operator="lessThan">
      <formula>0.8</formula>
    </cfRule>
  </conditionalFormatting>
  <conditionalFormatting sqref="Q19:Q24">
    <cfRule type="cellIs" dxfId="18945" priority="1491" operator="lessThan">
      <formula>0</formula>
    </cfRule>
  </conditionalFormatting>
  <conditionalFormatting sqref="R19:R24">
    <cfRule type="cellIs" dxfId="18944" priority="1489" operator="lessThan">
      <formula>0.8</formula>
    </cfRule>
    <cfRule type="cellIs" dxfId="18943" priority="1490" operator="greaterThan">
      <formula>1</formula>
    </cfRule>
  </conditionalFormatting>
  <conditionalFormatting sqref="R19:R24">
    <cfRule type="cellIs" dxfId="18942" priority="1487" operator="greaterThan">
      <formula>1</formula>
    </cfRule>
    <cfRule type="cellIs" dxfId="18941" priority="1488" operator="lessThan">
      <formula>0.8</formula>
    </cfRule>
  </conditionalFormatting>
  <conditionalFormatting sqref="P19:P24">
    <cfRule type="cellIs" dxfId="18940" priority="1486" operator="greaterThan">
      <formula>0</formula>
    </cfRule>
  </conditionalFormatting>
  <conditionalFormatting sqref="Q19:Q24">
    <cfRule type="cellIs" dxfId="18939" priority="1485" operator="lessThan">
      <formula>0</formula>
    </cfRule>
  </conditionalFormatting>
  <conditionalFormatting sqref="R19:R24">
    <cfRule type="cellIs" dxfId="18938" priority="1483" operator="lessThan">
      <formula>0.8</formula>
    </cfRule>
    <cfRule type="cellIs" dxfId="18937" priority="1484" operator="greaterThan">
      <formula>1</formula>
    </cfRule>
  </conditionalFormatting>
  <conditionalFormatting sqref="R19:R24">
    <cfRule type="cellIs" dxfId="18936" priority="1481" operator="greaterThan">
      <formula>1</formula>
    </cfRule>
    <cfRule type="cellIs" dxfId="18935" priority="1482" operator="lessThan">
      <formula>0.8</formula>
    </cfRule>
  </conditionalFormatting>
  <conditionalFormatting sqref="P19:P24">
    <cfRule type="cellIs" dxfId="18934" priority="1480" operator="greaterThan">
      <formula>0</formula>
    </cfRule>
  </conditionalFormatting>
  <conditionalFormatting sqref="P19:P24">
    <cfRule type="cellIs" dxfId="18933" priority="1474" operator="greaterThan">
      <formula>0</formula>
    </cfRule>
  </conditionalFormatting>
  <conditionalFormatting sqref="Q19:Q24">
    <cfRule type="cellIs" dxfId="18932" priority="1479" operator="lessThan">
      <formula>0</formula>
    </cfRule>
  </conditionalFormatting>
  <conditionalFormatting sqref="R19:R24">
    <cfRule type="cellIs" dxfId="18931" priority="1477" operator="lessThan">
      <formula>0.8</formula>
    </cfRule>
    <cfRule type="cellIs" dxfId="18930" priority="1478" operator="greaterThan">
      <formula>1</formula>
    </cfRule>
  </conditionalFormatting>
  <conditionalFormatting sqref="R19:R24">
    <cfRule type="cellIs" dxfId="18929" priority="1475" operator="greaterThan">
      <formula>1</formula>
    </cfRule>
    <cfRule type="cellIs" dxfId="18928" priority="1476" operator="lessThan">
      <formula>0.8</formula>
    </cfRule>
  </conditionalFormatting>
  <conditionalFormatting sqref="Q19:Q24">
    <cfRule type="cellIs" dxfId="18927" priority="1473" operator="lessThan">
      <formula>0</formula>
    </cfRule>
  </conditionalFormatting>
  <conditionalFormatting sqref="R19:R24">
    <cfRule type="cellIs" dxfId="18926" priority="1471" operator="lessThan">
      <formula>0.8</formula>
    </cfRule>
    <cfRule type="cellIs" dxfId="18925" priority="1472" operator="greaterThan">
      <formula>1</formula>
    </cfRule>
  </conditionalFormatting>
  <conditionalFormatting sqref="R19:R24">
    <cfRule type="cellIs" dxfId="18924" priority="1469" operator="greaterThan">
      <formula>1</formula>
    </cfRule>
    <cfRule type="cellIs" dxfId="18923" priority="1470" operator="lessThan">
      <formula>0.8</formula>
    </cfRule>
  </conditionalFormatting>
  <conditionalFormatting sqref="P19:P24">
    <cfRule type="cellIs" dxfId="18922" priority="1468" operator="greaterThan">
      <formula>0</formula>
    </cfRule>
  </conditionalFormatting>
  <conditionalFormatting sqref="Q19:Q24">
    <cfRule type="cellIs" dxfId="18921" priority="1467" operator="lessThan">
      <formula>0</formula>
    </cfRule>
  </conditionalFormatting>
  <conditionalFormatting sqref="R19:R24">
    <cfRule type="cellIs" dxfId="18920" priority="1465" operator="lessThan">
      <formula>0.8</formula>
    </cfRule>
    <cfRule type="cellIs" dxfId="18919" priority="1466" operator="greaterThan">
      <formula>1</formula>
    </cfRule>
  </conditionalFormatting>
  <conditionalFormatting sqref="R19:R24">
    <cfRule type="cellIs" dxfId="18918" priority="1463" operator="greaterThan">
      <formula>1</formula>
    </cfRule>
    <cfRule type="cellIs" dxfId="18917" priority="1464" operator="lessThan">
      <formula>0.8</formula>
    </cfRule>
  </conditionalFormatting>
  <conditionalFormatting sqref="P19:P24">
    <cfRule type="cellIs" dxfId="18916" priority="1462" operator="greaterThan">
      <formula>0</formula>
    </cfRule>
  </conditionalFormatting>
  <conditionalFormatting sqref="Q19:Q24">
    <cfRule type="cellIs" dxfId="18915" priority="1461" operator="lessThan">
      <formula>0</formula>
    </cfRule>
  </conditionalFormatting>
  <conditionalFormatting sqref="R19:R24">
    <cfRule type="cellIs" dxfId="18914" priority="1459" operator="lessThan">
      <formula>0.8</formula>
    </cfRule>
    <cfRule type="cellIs" dxfId="18913" priority="1460" operator="greaterThan">
      <formula>1</formula>
    </cfRule>
  </conditionalFormatting>
  <conditionalFormatting sqref="R19:R24">
    <cfRule type="cellIs" dxfId="18912" priority="1457" operator="greaterThan">
      <formula>1</formula>
    </cfRule>
    <cfRule type="cellIs" dxfId="18911" priority="1458" operator="lessThan">
      <formula>0.8</formula>
    </cfRule>
  </conditionalFormatting>
  <conditionalFormatting sqref="P19:P24">
    <cfRule type="cellIs" dxfId="18910" priority="1456" operator="greaterThan">
      <formula>0</formula>
    </cfRule>
  </conditionalFormatting>
  <conditionalFormatting sqref="R19:R24">
    <cfRule type="cellIs" dxfId="18909" priority="1453" operator="lessThan">
      <formula>0.8</formula>
    </cfRule>
    <cfRule type="cellIs" dxfId="18908" priority="1454" operator="greaterThan">
      <formula>1</formula>
    </cfRule>
  </conditionalFormatting>
  <conditionalFormatting sqref="R19:R24">
    <cfRule type="cellIs" dxfId="18907" priority="1451" operator="greaterThan">
      <formula>1</formula>
    </cfRule>
    <cfRule type="cellIs" dxfId="18906" priority="1452" operator="lessThan">
      <formula>0.8</formula>
    </cfRule>
  </conditionalFormatting>
  <conditionalFormatting sqref="P19:P24">
    <cfRule type="cellIs" dxfId="18905" priority="1450" operator="greaterThan">
      <formula>0</formula>
    </cfRule>
  </conditionalFormatting>
  <conditionalFormatting sqref="Q19:Q24">
    <cfRule type="cellIs" dxfId="18904" priority="1455" operator="lessThan">
      <formula>0</formula>
    </cfRule>
  </conditionalFormatting>
  <conditionalFormatting sqref="Q40">
    <cfRule type="cellIs" dxfId="18903" priority="1449" operator="lessThan">
      <formula>0</formula>
    </cfRule>
  </conditionalFormatting>
  <conditionalFormatting sqref="R40">
    <cfRule type="cellIs" dxfId="18902" priority="1447" operator="lessThan">
      <formula>0.8</formula>
    </cfRule>
    <cfRule type="cellIs" dxfId="18901" priority="1448" operator="greaterThan">
      <formula>1</formula>
    </cfRule>
  </conditionalFormatting>
  <conditionalFormatting sqref="R40">
    <cfRule type="cellIs" dxfId="18900" priority="1445" operator="greaterThan">
      <formula>1</formula>
    </cfRule>
    <cfRule type="cellIs" dxfId="18899" priority="1446" operator="lessThan">
      <formula>0.8</formula>
    </cfRule>
  </conditionalFormatting>
  <conditionalFormatting sqref="P40">
    <cfRule type="cellIs" dxfId="18898" priority="1444" operator="greaterThan">
      <formula>0</formula>
    </cfRule>
  </conditionalFormatting>
  <conditionalFormatting sqref="P40">
    <cfRule type="cellIs" dxfId="18897" priority="1438" operator="greaterThan">
      <formula>0</formula>
    </cfRule>
  </conditionalFormatting>
  <conditionalFormatting sqref="Q40">
    <cfRule type="cellIs" dxfId="18896" priority="1443" operator="lessThan">
      <formula>0</formula>
    </cfRule>
  </conditionalFormatting>
  <conditionalFormatting sqref="R40">
    <cfRule type="cellIs" dxfId="18895" priority="1441" operator="lessThan">
      <formula>0.8</formula>
    </cfRule>
    <cfRule type="cellIs" dxfId="18894" priority="1442" operator="greaterThan">
      <formula>1</formula>
    </cfRule>
  </conditionalFormatting>
  <conditionalFormatting sqref="R40">
    <cfRule type="cellIs" dxfId="18893" priority="1439" operator="greaterThan">
      <formula>1</formula>
    </cfRule>
    <cfRule type="cellIs" dxfId="18892" priority="1440" operator="lessThan">
      <formula>0.8</formula>
    </cfRule>
  </conditionalFormatting>
  <conditionalFormatting sqref="P40">
    <cfRule type="cellIs" dxfId="18891" priority="1432" operator="greaterThan">
      <formula>0</formula>
    </cfRule>
  </conditionalFormatting>
  <conditionalFormatting sqref="Q40">
    <cfRule type="cellIs" dxfId="18890" priority="1437" operator="lessThan">
      <formula>0</formula>
    </cfRule>
  </conditionalFormatting>
  <conditionalFormatting sqref="R40">
    <cfRule type="cellIs" dxfId="18889" priority="1435" operator="lessThan">
      <formula>0.8</formula>
    </cfRule>
    <cfRule type="cellIs" dxfId="18888" priority="1436" operator="greaterThan">
      <formula>1</formula>
    </cfRule>
  </conditionalFormatting>
  <conditionalFormatting sqref="R40">
    <cfRule type="cellIs" dxfId="18887" priority="1433" operator="greaterThan">
      <formula>1</formula>
    </cfRule>
    <cfRule type="cellIs" dxfId="18886" priority="1434" operator="lessThan">
      <formula>0.8</formula>
    </cfRule>
  </conditionalFormatting>
  <conditionalFormatting sqref="Q40">
    <cfRule type="cellIs" dxfId="18885" priority="1431" operator="lessThan">
      <formula>0</formula>
    </cfRule>
  </conditionalFormatting>
  <conditionalFormatting sqref="R40">
    <cfRule type="cellIs" dxfId="18884" priority="1429" operator="lessThan">
      <formula>0.8</formula>
    </cfRule>
    <cfRule type="cellIs" dxfId="18883" priority="1430" operator="greaterThan">
      <formula>1</formula>
    </cfRule>
  </conditionalFormatting>
  <conditionalFormatting sqref="R40">
    <cfRule type="cellIs" dxfId="18882" priority="1427" operator="greaterThan">
      <formula>1</formula>
    </cfRule>
    <cfRule type="cellIs" dxfId="18881" priority="1428" operator="lessThan">
      <formula>0.8</formula>
    </cfRule>
  </conditionalFormatting>
  <conditionalFormatting sqref="P40">
    <cfRule type="cellIs" dxfId="18880" priority="1426" operator="greaterThan">
      <formula>0</formula>
    </cfRule>
  </conditionalFormatting>
  <conditionalFormatting sqref="P40">
    <cfRule type="cellIs" dxfId="18879" priority="1420" operator="greaterThan">
      <formula>0</formula>
    </cfRule>
  </conditionalFormatting>
  <conditionalFormatting sqref="Q40">
    <cfRule type="cellIs" dxfId="18878" priority="1425" operator="lessThan">
      <formula>0</formula>
    </cfRule>
  </conditionalFormatting>
  <conditionalFormatting sqref="R40">
    <cfRule type="cellIs" dxfId="18877" priority="1423" operator="lessThan">
      <formula>0.8</formula>
    </cfRule>
    <cfRule type="cellIs" dxfId="18876" priority="1424" operator="greaterThan">
      <formula>1</formula>
    </cfRule>
  </conditionalFormatting>
  <conditionalFormatting sqref="R40">
    <cfRule type="cellIs" dxfId="18875" priority="1421" operator="greaterThan">
      <formula>1</formula>
    </cfRule>
    <cfRule type="cellIs" dxfId="18874" priority="1422" operator="lessThan">
      <formula>0.8</formula>
    </cfRule>
  </conditionalFormatting>
  <conditionalFormatting sqref="P40">
    <cfRule type="cellIs" dxfId="18873" priority="1414" operator="greaterThan">
      <formula>0</formula>
    </cfRule>
  </conditionalFormatting>
  <conditionalFormatting sqref="Q40">
    <cfRule type="cellIs" dxfId="18872" priority="1419" operator="lessThan">
      <formula>0</formula>
    </cfRule>
  </conditionalFormatting>
  <conditionalFormatting sqref="R40">
    <cfRule type="cellIs" dxfId="18871" priority="1417" operator="lessThan">
      <formula>0.8</formula>
    </cfRule>
    <cfRule type="cellIs" dxfId="18870" priority="1418" operator="greaterThan">
      <formula>1</formula>
    </cfRule>
  </conditionalFormatting>
  <conditionalFormatting sqref="R40">
    <cfRule type="cellIs" dxfId="18869" priority="1415" operator="greaterThan">
      <formula>1</formula>
    </cfRule>
    <cfRule type="cellIs" dxfId="18868" priority="1416" operator="lessThan">
      <formula>0.8</formula>
    </cfRule>
  </conditionalFormatting>
  <conditionalFormatting sqref="P40">
    <cfRule type="cellIs" dxfId="18867" priority="1408" operator="greaterThan">
      <formula>0</formula>
    </cfRule>
  </conditionalFormatting>
  <conditionalFormatting sqref="Q40">
    <cfRule type="cellIs" dxfId="18866" priority="1413" operator="lessThan">
      <formula>0</formula>
    </cfRule>
  </conditionalFormatting>
  <conditionalFormatting sqref="R40">
    <cfRule type="cellIs" dxfId="18865" priority="1411" operator="lessThan">
      <formula>0.8</formula>
    </cfRule>
    <cfRule type="cellIs" dxfId="18864" priority="1412" operator="greaterThan">
      <formula>1</formula>
    </cfRule>
  </conditionalFormatting>
  <conditionalFormatting sqref="R40">
    <cfRule type="cellIs" dxfId="18863" priority="1409" operator="greaterThan">
      <formula>1</formula>
    </cfRule>
    <cfRule type="cellIs" dxfId="18862" priority="1410" operator="lessThan">
      <formula>0.8</formula>
    </cfRule>
  </conditionalFormatting>
  <conditionalFormatting sqref="Q40">
    <cfRule type="cellIs" dxfId="18861" priority="1402" operator="lessThan">
      <formula>0</formula>
    </cfRule>
  </conditionalFormatting>
  <conditionalFormatting sqref="P40">
    <cfRule type="cellIs" dxfId="18860" priority="1403" operator="greaterThan">
      <formula>0</formula>
    </cfRule>
  </conditionalFormatting>
  <conditionalFormatting sqref="R40">
    <cfRule type="cellIs" dxfId="18859" priority="1406" operator="lessThan">
      <formula>0.8</formula>
    </cfRule>
    <cfRule type="cellIs" dxfId="18858" priority="1407" operator="greaterThan">
      <formula>1</formula>
    </cfRule>
  </conditionalFormatting>
  <conditionalFormatting sqref="R40">
    <cfRule type="cellIs" dxfId="18857" priority="1404" operator="greaterThan">
      <formula>1</formula>
    </cfRule>
    <cfRule type="cellIs" dxfId="18856" priority="1405" operator="lessThan">
      <formula>0.8</formula>
    </cfRule>
  </conditionalFormatting>
  <conditionalFormatting sqref="Q40">
    <cfRule type="cellIs" dxfId="18855" priority="1396" operator="lessThan">
      <formula>0</formula>
    </cfRule>
  </conditionalFormatting>
  <conditionalFormatting sqref="R40">
    <cfRule type="cellIs" dxfId="18854" priority="1400" operator="lessThan">
      <formula>0.8</formula>
    </cfRule>
    <cfRule type="cellIs" dxfId="18853" priority="1401" operator="greaterThan">
      <formula>1</formula>
    </cfRule>
  </conditionalFormatting>
  <conditionalFormatting sqref="R40">
    <cfRule type="cellIs" dxfId="18852" priority="1398" operator="greaterThan">
      <formula>1</formula>
    </cfRule>
    <cfRule type="cellIs" dxfId="18851" priority="1399" operator="lessThan">
      <formula>0.8</formula>
    </cfRule>
  </conditionalFormatting>
  <conditionalFormatting sqref="P40">
    <cfRule type="cellIs" dxfId="18850" priority="1397" operator="greaterThan">
      <formula>0</formula>
    </cfRule>
  </conditionalFormatting>
  <conditionalFormatting sqref="Q40">
    <cfRule type="cellIs" dxfId="18849" priority="1395" operator="lessThan">
      <formula>0</formula>
    </cfRule>
  </conditionalFormatting>
  <conditionalFormatting sqref="R40">
    <cfRule type="cellIs" dxfId="18848" priority="1393" operator="lessThan">
      <formula>0.8</formula>
    </cfRule>
    <cfRule type="cellIs" dxfId="18847" priority="1394" operator="greaterThan">
      <formula>1</formula>
    </cfRule>
  </conditionalFormatting>
  <conditionalFormatting sqref="R40">
    <cfRule type="cellIs" dxfId="18846" priority="1391" operator="greaterThan">
      <formula>1</formula>
    </cfRule>
    <cfRule type="cellIs" dxfId="18845" priority="1392" operator="lessThan">
      <formula>0.8</formula>
    </cfRule>
  </conditionalFormatting>
  <conditionalFormatting sqref="P40">
    <cfRule type="cellIs" dxfId="18844" priority="1390" operator="greaterThan">
      <formula>0</formula>
    </cfRule>
  </conditionalFormatting>
  <conditionalFormatting sqref="Q40">
    <cfRule type="cellIs" dxfId="18843" priority="1389" operator="lessThan">
      <formula>0</formula>
    </cfRule>
  </conditionalFormatting>
  <conditionalFormatting sqref="R40">
    <cfRule type="cellIs" dxfId="18842" priority="1387" operator="lessThan">
      <formula>0.8</formula>
    </cfRule>
    <cfRule type="cellIs" dxfId="18841" priority="1388" operator="greaterThan">
      <formula>1</formula>
    </cfRule>
  </conditionalFormatting>
  <conditionalFormatting sqref="R40">
    <cfRule type="cellIs" dxfId="18840" priority="1385" operator="greaterThan">
      <formula>1</formula>
    </cfRule>
    <cfRule type="cellIs" dxfId="18839" priority="1386" operator="lessThan">
      <formula>0.8</formula>
    </cfRule>
  </conditionalFormatting>
  <conditionalFormatting sqref="P40">
    <cfRule type="cellIs" dxfId="18838" priority="1384" operator="greaterThan">
      <formula>0</formula>
    </cfRule>
  </conditionalFormatting>
  <conditionalFormatting sqref="Q32:Q39">
    <cfRule type="cellIs" dxfId="18837" priority="1383" operator="lessThan">
      <formula>0</formula>
    </cfRule>
  </conditionalFormatting>
  <conditionalFormatting sqref="R32:R39">
    <cfRule type="cellIs" dxfId="18836" priority="1381" operator="lessThan">
      <formula>0.8</formula>
    </cfRule>
    <cfRule type="cellIs" dxfId="18835" priority="1382" operator="greaterThan">
      <formula>1</formula>
    </cfRule>
  </conditionalFormatting>
  <conditionalFormatting sqref="R32:R39">
    <cfRule type="cellIs" dxfId="18834" priority="1379" operator="greaterThan">
      <formula>1</formula>
    </cfRule>
    <cfRule type="cellIs" dxfId="18833" priority="1380" operator="lessThan">
      <formula>0.8</formula>
    </cfRule>
  </conditionalFormatting>
  <conditionalFormatting sqref="P32:P39">
    <cfRule type="cellIs" dxfId="18832" priority="1378" operator="greaterThan">
      <formula>0</formula>
    </cfRule>
  </conditionalFormatting>
  <conditionalFormatting sqref="Q32:Q39">
    <cfRule type="cellIs" dxfId="18831" priority="1377" operator="lessThan">
      <formula>0</formula>
    </cfRule>
  </conditionalFormatting>
  <conditionalFormatting sqref="R32:R39">
    <cfRule type="cellIs" dxfId="18830" priority="1375" operator="lessThan">
      <formula>0.8</formula>
    </cfRule>
    <cfRule type="cellIs" dxfId="18829" priority="1376" operator="greaterThan">
      <formula>1</formula>
    </cfRule>
  </conditionalFormatting>
  <conditionalFormatting sqref="R32:R39">
    <cfRule type="cellIs" dxfId="18828" priority="1373" operator="greaterThan">
      <formula>1</formula>
    </cfRule>
    <cfRule type="cellIs" dxfId="18827" priority="1374" operator="lessThan">
      <formula>0.8</formula>
    </cfRule>
  </conditionalFormatting>
  <conditionalFormatting sqref="P32:P39">
    <cfRule type="cellIs" dxfId="18826" priority="1372" operator="greaterThan">
      <formula>0</formula>
    </cfRule>
  </conditionalFormatting>
  <conditionalFormatting sqref="Q32:Q39">
    <cfRule type="cellIs" dxfId="18825" priority="1371" operator="lessThan">
      <formula>0</formula>
    </cfRule>
  </conditionalFormatting>
  <conditionalFormatting sqref="R32:R39">
    <cfRule type="cellIs" dxfId="18824" priority="1369" operator="lessThan">
      <formula>0.8</formula>
    </cfRule>
    <cfRule type="cellIs" dxfId="18823" priority="1370" operator="greaterThan">
      <formula>1</formula>
    </cfRule>
  </conditionalFormatting>
  <conditionalFormatting sqref="R32:R39">
    <cfRule type="cellIs" dxfId="18822" priority="1367" operator="greaterThan">
      <formula>1</formula>
    </cfRule>
    <cfRule type="cellIs" dxfId="18821" priority="1368" operator="lessThan">
      <formula>0.8</formula>
    </cfRule>
  </conditionalFormatting>
  <conditionalFormatting sqref="P32:P39">
    <cfRule type="cellIs" dxfId="18820" priority="1366" operator="greaterThan">
      <formula>0</formula>
    </cfRule>
  </conditionalFormatting>
  <conditionalFormatting sqref="Q32:Q39">
    <cfRule type="cellIs" dxfId="18819" priority="1365" operator="lessThan">
      <formula>0</formula>
    </cfRule>
  </conditionalFormatting>
  <conditionalFormatting sqref="R32:R39">
    <cfRule type="cellIs" dxfId="18818" priority="1363" operator="lessThan">
      <formula>0.8</formula>
    </cfRule>
    <cfRule type="cellIs" dxfId="18817" priority="1364" operator="greaterThan">
      <formula>1</formula>
    </cfRule>
  </conditionalFormatting>
  <conditionalFormatting sqref="R32:R39">
    <cfRule type="cellIs" dxfId="18816" priority="1361" operator="greaterThan">
      <formula>1</formula>
    </cfRule>
    <cfRule type="cellIs" dxfId="18815" priority="1362" operator="lessThan">
      <formula>0.8</formula>
    </cfRule>
  </conditionalFormatting>
  <conditionalFormatting sqref="P32:P39">
    <cfRule type="cellIs" dxfId="18814" priority="1360" operator="greaterThan">
      <formula>0</formula>
    </cfRule>
  </conditionalFormatting>
  <conditionalFormatting sqref="P32:P39">
    <cfRule type="cellIs" dxfId="18813" priority="1354" operator="greaterThan">
      <formula>0</formula>
    </cfRule>
  </conditionalFormatting>
  <conditionalFormatting sqref="Q32:Q39">
    <cfRule type="cellIs" dxfId="18812" priority="1359" operator="lessThan">
      <formula>0</formula>
    </cfRule>
  </conditionalFormatting>
  <conditionalFormatting sqref="R32:R39">
    <cfRule type="cellIs" dxfId="18811" priority="1357" operator="lessThan">
      <formula>0.8</formula>
    </cfRule>
    <cfRule type="cellIs" dxfId="18810" priority="1358" operator="greaterThan">
      <formula>1</formula>
    </cfRule>
  </conditionalFormatting>
  <conditionalFormatting sqref="R32:R39">
    <cfRule type="cellIs" dxfId="18809" priority="1355" operator="greaterThan">
      <formula>1</formula>
    </cfRule>
    <cfRule type="cellIs" dxfId="18808" priority="1356" operator="lessThan">
      <formula>0.8</formula>
    </cfRule>
  </conditionalFormatting>
  <conditionalFormatting sqref="P32:P39">
    <cfRule type="cellIs" dxfId="18807" priority="1348" operator="greaterThan">
      <formula>0</formula>
    </cfRule>
  </conditionalFormatting>
  <conditionalFormatting sqref="Q32:Q39">
    <cfRule type="cellIs" dxfId="18806" priority="1353" operator="lessThan">
      <formula>0</formula>
    </cfRule>
  </conditionalFormatting>
  <conditionalFormatting sqref="R32:R39">
    <cfRule type="cellIs" dxfId="18805" priority="1351" operator="lessThan">
      <formula>0.8</formula>
    </cfRule>
    <cfRule type="cellIs" dxfId="18804" priority="1352" operator="greaterThan">
      <formula>1</formula>
    </cfRule>
  </conditionalFormatting>
  <conditionalFormatting sqref="R32:R39">
    <cfRule type="cellIs" dxfId="18803" priority="1349" operator="greaterThan">
      <formula>1</formula>
    </cfRule>
    <cfRule type="cellIs" dxfId="18802" priority="1350" operator="lessThan">
      <formula>0.8</formula>
    </cfRule>
  </conditionalFormatting>
  <conditionalFormatting sqref="R32:R39">
    <cfRule type="cellIs" dxfId="18801" priority="1345" operator="lessThan">
      <formula>0.8</formula>
    </cfRule>
    <cfRule type="cellIs" dxfId="18800" priority="1346" operator="greaterThan">
      <formula>1</formula>
    </cfRule>
  </conditionalFormatting>
  <conditionalFormatting sqref="R32:R39">
    <cfRule type="cellIs" dxfId="18799" priority="1343" operator="greaterThan">
      <formula>1</formula>
    </cfRule>
    <cfRule type="cellIs" dxfId="18798" priority="1344" operator="lessThan">
      <formula>0.8</formula>
    </cfRule>
  </conditionalFormatting>
  <conditionalFormatting sqref="P32:P39">
    <cfRule type="cellIs" dxfId="18797" priority="1342" operator="greaterThan">
      <formula>0</formula>
    </cfRule>
  </conditionalFormatting>
  <conditionalFormatting sqref="Q32:Q39">
    <cfRule type="cellIs" dxfId="18796" priority="1347" operator="lessThan">
      <formula>0</formula>
    </cfRule>
  </conditionalFormatting>
  <conditionalFormatting sqref="Q32:Q39">
    <cfRule type="cellIs" dxfId="18795" priority="1341" operator="lessThan">
      <formula>0</formula>
    </cfRule>
  </conditionalFormatting>
  <conditionalFormatting sqref="R32:R39">
    <cfRule type="cellIs" dxfId="18794" priority="1339" operator="lessThan">
      <formula>0.8</formula>
    </cfRule>
    <cfRule type="cellIs" dxfId="18793" priority="1340" operator="greaterThan">
      <formula>1</formula>
    </cfRule>
  </conditionalFormatting>
  <conditionalFormatting sqref="R32:R39">
    <cfRule type="cellIs" dxfId="18792" priority="1337" operator="greaterThan">
      <formula>1</formula>
    </cfRule>
    <cfRule type="cellIs" dxfId="18791" priority="1338" operator="lessThan">
      <formula>0.8</formula>
    </cfRule>
  </conditionalFormatting>
  <conditionalFormatting sqref="P32:P39">
    <cfRule type="cellIs" dxfId="18790" priority="1336" operator="greaterThan">
      <formula>0</formula>
    </cfRule>
  </conditionalFormatting>
  <conditionalFormatting sqref="P32:P39">
    <cfRule type="cellIs" dxfId="18789" priority="1330" operator="greaterThan">
      <formula>0</formula>
    </cfRule>
  </conditionalFormatting>
  <conditionalFormatting sqref="Q32:Q39">
    <cfRule type="cellIs" dxfId="18788" priority="1335" operator="lessThan">
      <formula>0</formula>
    </cfRule>
  </conditionalFormatting>
  <conditionalFormatting sqref="R32:R39">
    <cfRule type="cellIs" dxfId="18787" priority="1333" operator="lessThan">
      <formula>0.8</formula>
    </cfRule>
    <cfRule type="cellIs" dxfId="18786" priority="1334" operator="greaterThan">
      <formula>1</formula>
    </cfRule>
  </conditionalFormatting>
  <conditionalFormatting sqref="R32:R39">
    <cfRule type="cellIs" dxfId="18785" priority="1331" operator="greaterThan">
      <formula>1</formula>
    </cfRule>
    <cfRule type="cellIs" dxfId="18784" priority="1332" operator="lessThan">
      <formula>0.8</formula>
    </cfRule>
  </conditionalFormatting>
  <conditionalFormatting sqref="P32:P39">
    <cfRule type="cellIs" dxfId="18783" priority="1324" operator="greaterThan">
      <formula>0</formula>
    </cfRule>
  </conditionalFormatting>
  <conditionalFormatting sqref="Q32:Q39">
    <cfRule type="cellIs" dxfId="18782" priority="1329" operator="lessThan">
      <formula>0</formula>
    </cfRule>
  </conditionalFormatting>
  <conditionalFormatting sqref="R32:R39">
    <cfRule type="cellIs" dxfId="18781" priority="1327" operator="lessThan">
      <formula>0.8</formula>
    </cfRule>
    <cfRule type="cellIs" dxfId="18780" priority="1328" operator="greaterThan">
      <formula>1</formula>
    </cfRule>
  </conditionalFormatting>
  <conditionalFormatting sqref="R32:R39">
    <cfRule type="cellIs" dxfId="18779" priority="1325" operator="greaterThan">
      <formula>1</formula>
    </cfRule>
    <cfRule type="cellIs" dxfId="18778" priority="1326" operator="lessThan">
      <formula>0.8</formula>
    </cfRule>
  </conditionalFormatting>
  <conditionalFormatting sqref="R32:R39">
    <cfRule type="cellIs" dxfId="18777" priority="1321" operator="lessThan">
      <formula>0.8</formula>
    </cfRule>
    <cfRule type="cellIs" dxfId="18776" priority="1322" operator="greaterThan">
      <formula>1</formula>
    </cfRule>
  </conditionalFormatting>
  <conditionalFormatting sqref="R32:R39">
    <cfRule type="cellIs" dxfId="18775" priority="1319" operator="greaterThan">
      <formula>1</formula>
    </cfRule>
    <cfRule type="cellIs" dxfId="18774" priority="1320" operator="lessThan">
      <formula>0.8</formula>
    </cfRule>
  </conditionalFormatting>
  <conditionalFormatting sqref="P32:P39">
    <cfRule type="cellIs" dxfId="18773" priority="1318" operator="greaterThan">
      <formula>0</formula>
    </cfRule>
  </conditionalFormatting>
  <conditionalFormatting sqref="Q32:Q39">
    <cfRule type="cellIs" dxfId="18772" priority="1323" operator="lessThan">
      <formula>0</formula>
    </cfRule>
  </conditionalFormatting>
  <conditionalFormatting sqref="P32:P39">
    <cfRule type="cellIs" dxfId="18771" priority="1312" operator="greaterThan">
      <formula>0</formula>
    </cfRule>
  </conditionalFormatting>
  <conditionalFormatting sqref="Q32:Q39">
    <cfRule type="cellIs" dxfId="18770" priority="1317" operator="lessThan">
      <formula>0</formula>
    </cfRule>
  </conditionalFormatting>
  <conditionalFormatting sqref="R32:R39">
    <cfRule type="cellIs" dxfId="18769" priority="1315" operator="lessThan">
      <formula>0.8</formula>
    </cfRule>
    <cfRule type="cellIs" dxfId="18768" priority="1316" operator="greaterThan">
      <formula>1</formula>
    </cfRule>
  </conditionalFormatting>
  <conditionalFormatting sqref="R32:R39">
    <cfRule type="cellIs" dxfId="18767" priority="1313" operator="greaterThan">
      <formula>1</formula>
    </cfRule>
    <cfRule type="cellIs" dxfId="18766" priority="1314" operator="lessThan">
      <formula>0.8</formula>
    </cfRule>
  </conditionalFormatting>
  <conditionalFormatting sqref="R32:R39">
    <cfRule type="cellIs" dxfId="18765" priority="1309" operator="lessThan">
      <formula>0.8</formula>
    </cfRule>
    <cfRule type="cellIs" dxfId="18764" priority="1310" operator="greaterThan">
      <formula>1</formula>
    </cfRule>
  </conditionalFormatting>
  <conditionalFormatting sqref="R32:R39">
    <cfRule type="cellIs" dxfId="18763" priority="1307" operator="greaterThan">
      <formula>1</formula>
    </cfRule>
    <cfRule type="cellIs" dxfId="18762" priority="1308" operator="lessThan">
      <formula>0.8</formula>
    </cfRule>
  </conditionalFormatting>
  <conditionalFormatting sqref="P32:P39">
    <cfRule type="cellIs" dxfId="18761" priority="1306" operator="greaterThan">
      <formula>0</formula>
    </cfRule>
  </conditionalFormatting>
  <conditionalFormatting sqref="Q32:Q39">
    <cfRule type="cellIs" dxfId="18760" priority="1311" operator="lessThan">
      <formula>0</formula>
    </cfRule>
  </conditionalFormatting>
  <conditionalFormatting sqref="R32:R39">
    <cfRule type="cellIs" dxfId="18759" priority="1303" operator="lessThan">
      <formula>0.8</formula>
    </cfRule>
    <cfRule type="cellIs" dxfId="18758" priority="1304" operator="greaterThan">
      <formula>1</formula>
    </cfRule>
  </conditionalFormatting>
  <conditionalFormatting sqref="R32:R39">
    <cfRule type="cellIs" dxfId="18757" priority="1301" operator="greaterThan">
      <formula>1</formula>
    </cfRule>
    <cfRule type="cellIs" dxfId="18756" priority="1302" operator="lessThan">
      <formula>0.8</formula>
    </cfRule>
  </conditionalFormatting>
  <conditionalFormatting sqref="P32:P39">
    <cfRule type="cellIs" dxfId="18755" priority="1300" operator="greaterThan">
      <formula>0</formula>
    </cfRule>
  </conditionalFormatting>
  <conditionalFormatting sqref="Q32:Q39">
    <cfRule type="cellIs" dxfId="18754" priority="1305" operator="lessThan">
      <formula>0</formula>
    </cfRule>
  </conditionalFormatting>
  <conditionalFormatting sqref="Q32:Q39">
    <cfRule type="cellIs" dxfId="18753" priority="1299" operator="lessThan">
      <formula>0</formula>
    </cfRule>
  </conditionalFormatting>
  <conditionalFormatting sqref="R32:R39">
    <cfRule type="cellIs" dxfId="18752" priority="1297" operator="lessThan">
      <formula>0.8</formula>
    </cfRule>
    <cfRule type="cellIs" dxfId="18751" priority="1298" operator="greaterThan">
      <formula>1</formula>
    </cfRule>
  </conditionalFormatting>
  <conditionalFormatting sqref="R32:R39">
    <cfRule type="cellIs" dxfId="18750" priority="1295" operator="greaterThan">
      <formula>1</formula>
    </cfRule>
    <cfRule type="cellIs" dxfId="18749" priority="1296" operator="lessThan">
      <formula>0.8</formula>
    </cfRule>
  </conditionalFormatting>
  <conditionalFormatting sqref="P32:P39">
    <cfRule type="cellIs" dxfId="18748" priority="1294" operator="greaterThan">
      <formula>0</formula>
    </cfRule>
  </conditionalFormatting>
  <conditionalFormatting sqref="Q32:Q39">
    <cfRule type="cellIs" dxfId="18747" priority="1288" operator="lessThan">
      <formula>0</formula>
    </cfRule>
  </conditionalFormatting>
  <conditionalFormatting sqref="R32:R39">
    <cfRule type="cellIs" dxfId="18746" priority="1292" operator="lessThan">
      <formula>0.8</formula>
    </cfRule>
    <cfRule type="cellIs" dxfId="18745" priority="1293" operator="greaterThan">
      <formula>1</formula>
    </cfRule>
  </conditionalFormatting>
  <conditionalFormatting sqref="R32:R39">
    <cfRule type="cellIs" dxfId="18744" priority="1290" operator="greaterThan">
      <formula>1</formula>
    </cfRule>
    <cfRule type="cellIs" dxfId="18743" priority="1291" operator="lessThan">
      <formula>0.8</formula>
    </cfRule>
  </conditionalFormatting>
  <conditionalFormatting sqref="P32:P39">
    <cfRule type="cellIs" dxfId="18742" priority="1289" operator="greaterThan">
      <formula>0</formula>
    </cfRule>
  </conditionalFormatting>
  <conditionalFormatting sqref="Q32:Q39">
    <cfRule type="cellIs" dxfId="18741" priority="1287" operator="lessThan">
      <formula>0</formula>
    </cfRule>
  </conditionalFormatting>
  <conditionalFormatting sqref="R32:R39">
    <cfRule type="cellIs" dxfId="18740" priority="1285" operator="lessThan">
      <formula>0.8</formula>
    </cfRule>
    <cfRule type="cellIs" dxfId="18739" priority="1286" operator="greaterThan">
      <formula>1</formula>
    </cfRule>
  </conditionalFormatting>
  <conditionalFormatting sqref="R32:R39">
    <cfRule type="cellIs" dxfId="18738" priority="1283" operator="greaterThan">
      <formula>1</formula>
    </cfRule>
    <cfRule type="cellIs" dxfId="18737" priority="1284" operator="lessThan">
      <formula>0.8</formula>
    </cfRule>
  </conditionalFormatting>
  <conditionalFormatting sqref="P32:P39">
    <cfRule type="cellIs" dxfId="18736" priority="1282" operator="greaterThan">
      <formula>0</formula>
    </cfRule>
  </conditionalFormatting>
  <conditionalFormatting sqref="Q32:Q39">
    <cfRule type="cellIs" dxfId="18735" priority="1281" operator="lessThan">
      <formula>0</formula>
    </cfRule>
  </conditionalFormatting>
  <conditionalFormatting sqref="R32:R39">
    <cfRule type="cellIs" dxfId="18734" priority="1279" operator="lessThan">
      <formula>0.8</formula>
    </cfRule>
    <cfRule type="cellIs" dxfId="18733" priority="1280" operator="greaterThan">
      <formula>1</formula>
    </cfRule>
  </conditionalFormatting>
  <conditionalFormatting sqref="R32:R39">
    <cfRule type="cellIs" dxfId="18732" priority="1277" operator="greaterThan">
      <formula>1</formula>
    </cfRule>
    <cfRule type="cellIs" dxfId="18731" priority="1278" operator="lessThan">
      <formula>0.8</formula>
    </cfRule>
  </conditionalFormatting>
  <conditionalFormatting sqref="P32:P39">
    <cfRule type="cellIs" dxfId="18730" priority="1276" operator="greaterThan">
      <formula>0</formula>
    </cfRule>
  </conditionalFormatting>
  <conditionalFormatting sqref="Q32:Q39">
    <cfRule type="cellIs" dxfId="18729" priority="1275" operator="lessThan">
      <formula>0</formula>
    </cfRule>
  </conditionalFormatting>
  <conditionalFormatting sqref="R32:R39">
    <cfRule type="cellIs" dxfId="18728" priority="1273" operator="lessThan">
      <formula>0.8</formula>
    </cfRule>
    <cfRule type="cellIs" dxfId="18727" priority="1274" operator="greaterThan">
      <formula>1</formula>
    </cfRule>
  </conditionalFormatting>
  <conditionalFormatting sqref="R32:R39">
    <cfRule type="cellIs" dxfId="18726" priority="1271" operator="greaterThan">
      <formula>1</formula>
    </cfRule>
    <cfRule type="cellIs" dxfId="18725" priority="1272" operator="lessThan">
      <formula>0.8</formula>
    </cfRule>
  </conditionalFormatting>
  <conditionalFormatting sqref="P32:P39">
    <cfRule type="cellIs" dxfId="18724" priority="1270" operator="greaterThan">
      <formula>0</formula>
    </cfRule>
  </conditionalFormatting>
  <conditionalFormatting sqref="Q32:Q39">
    <cfRule type="cellIs" dxfId="18723" priority="1269" operator="lessThan">
      <formula>0</formula>
    </cfRule>
  </conditionalFormatting>
  <conditionalFormatting sqref="R32:R39">
    <cfRule type="cellIs" dxfId="18722" priority="1267" operator="lessThan">
      <formula>0.8</formula>
    </cfRule>
    <cfRule type="cellIs" dxfId="18721" priority="1268" operator="greaterThan">
      <formula>1</formula>
    </cfRule>
  </conditionalFormatting>
  <conditionalFormatting sqref="R32:R39">
    <cfRule type="cellIs" dxfId="18720" priority="1265" operator="greaterThan">
      <formula>1</formula>
    </cfRule>
    <cfRule type="cellIs" dxfId="18719" priority="1266" operator="lessThan">
      <formula>0.8</formula>
    </cfRule>
  </conditionalFormatting>
  <conditionalFormatting sqref="P32:P39">
    <cfRule type="cellIs" dxfId="18718" priority="1264" operator="greaterThan">
      <formula>0</formula>
    </cfRule>
  </conditionalFormatting>
  <conditionalFormatting sqref="Q32:Q39">
    <cfRule type="cellIs" dxfId="18717" priority="1263" operator="lessThan">
      <formula>0</formula>
    </cfRule>
  </conditionalFormatting>
  <conditionalFormatting sqref="R32:R39">
    <cfRule type="cellIs" dxfId="18716" priority="1261" operator="lessThan">
      <formula>0.8</formula>
    </cfRule>
    <cfRule type="cellIs" dxfId="18715" priority="1262" operator="greaterThan">
      <formula>1</formula>
    </cfRule>
  </conditionalFormatting>
  <conditionalFormatting sqref="R32:R39">
    <cfRule type="cellIs" dxfId="18714" priority="1259" operator="greaterThan">
      <formula>1</formula>
    </cfRule>
    <cfRule type="cellIs" dxfId="18713" priority="1260" operator="lessThan">
      <formula>0.8</formula>
    </cfRule>
  </conditionalFormatting>
  <conditionalFormatting sqref="P32:P39">
    <cfRule type="cellIs" dxfId="18712" priority="1258" operator="greaterThan">
      <formula>0</formula>
    </cfRule>
  </conditionalFormatting>
  <conditionalFormatting sqref="P32:P39">
    <cfRule type="cellIs" dxfId="18711" priority="1252" operator="greaterThan">
      <formula>0</formula>
    </cfRule>
  </conditionalFormatting>
  <conditionalFormatting sqref="Q32:Q39">
    <cfRule type="cellIs" dxfId="18710" priority="1257" operator="lessThan">
      <formula>0</formula>
    </cfRule>
  </conditionalFormatting>
  <conditionalFormatting sqref="R32:R39">
    <cfRule type="cellIs" dxfId="18709" priority="1255" operator="lessThan">
      <formula>0.8</formula>
    </cfRule>
    <cfRule type="cellIs" dxfId="18708" priority="1256" operator="greaterThan">
      <formula>1</formula>
    </cfRule>
  </conditionalFormatting>
  <conditionalFormatting sqref="R32:R39">
    <cfRule type="cellIs" dxfId="18707" priority="1253" operator="greaterThan">
      <formula>1</formula>
    </cfRule>
    <cfRule type="cellIs" dxfId="18706" priority="1254" operator="lessThan">
      <formula>0.8</formula>
    </cfRule>
  </conditionalFormatting>
  <conditionalFormatting sqref="P32:P39">
    <cfRule type="cellIs" dxfId="18705" priority="1246" operator="greaterThan">
      <formula>0</formula>
    </cfRule>
  </conditionalFormatting>
  <conditionalFormatting sqref="Q32:Q39">
    <cfRule type="cellIs" dxfId="18704" priority="1251" operator="lessThan">
      <formula>0</formula>
    </cfRule>
  </conditionalFormatting>
  <conditionalFormatting sqref="R32:R39">
    <cfRule type="cellIs" dxfId="18703" priority="1249" operator="lessThan">
      <formula>0.8</formula>
    </cfRule>
    <cfRule type="cellIs" dxfId="18702" priority="1250" operator="greaterThan">
      <formula>1</formula>
    </cfRule>
  </conditionalFormatting>
  <conditionalFormatting sqref="R32:R39">
    <cfRule type="cellIs" dxfId="18701" priority="1247" operator="greaterThan">
      <formula>1</formula>
    </cfRule>
    <cfRule type="cellIs" dxfId="18700" priority="1248" operator="lessThan">
      <formula>0.8</formula>
    </cfRule>
  </conditionalFormatting>
  <conditionalFormatting sqref="R32:R39">
    <cfRule type="cellIs" dxfId="18699" priority="1243" operator="lessThan">
      <formula>0.8</formula>
    </cfRule>
    <cfRule type="cellIs" dxfId="18698" priority="1244" operator="greaterThan">
      <formula>1</formula>
    </cfRule>
  </conditionalFormatting>
  <conditionalFormatting sqref="R32:R39">
    <cfRule type="cellIs" dxfId="18697" priority="1241" operator="greaterThan">
      <formula>1</formula>
    </cfRule>
    <cfRule type="cellIs" dxfId="18696" priority="1242" operator="lessThan">
      <formula>0.8</formula>
    </cfRule>
  </conditionalFormatting>
  <conditionalFormatting sqref="P32:P39">
    <cfRule type="cellIs" dxfId="18695" priority="1240" operator="greaterThan">
      <formula>0</formula>
    </cfRule>
  </conditionalFormatting>
  <conditionalFormatting sqref="Q32:Q39">
    <cfRule type="cellIs" dxfId="18694" priority="1245" operator="lessThan">
      <formula>0</formula>
    </cfRule>
  </conditionalFormatting>
  <conditionalFormatting sqref="Q32:Q39">
    <cfRule type="cellIs" dxfId="18693" priority="1234" operator="lessThan">
      <formula>0</formula>
    </cfRule>
  </conditionalFormatting>
  <conditionalFormatting sqref="P32:P39">
    <cfRule type="cellIs" dxfId="18692" priority="1235" operator="greaterThan">
      <formula>0</formula>
    </cfRule>
  </conditionalFormatting>
  <conditionalFormatting sqref="R32:R39">
    <cfRule type="cellIs" dxfId="18691" priority="1238" operator="lessThan">
      <formula>0.8</formula>
    </cfRule>
    <cfRule type="cellIs" dxfId="18690" priority="1239" operator="greaterThan">
      <formula>1</formula>
    </cfRule>
  </conditionalFormatting>
  <conditionalFormatting sqref="R32:R39">
    <cfRule type="cellIs" dxfId="18689" priority="1236" operator="greaterThan">
      <formula>1</formula>
    </cfRule>
    <cfRule type="cellIs" dxfId="18688" priority="1237" operator="lessThan">
      <formula>0.8</formula>
    </cfRule>
  </conditionalFormatting>
  <conditionalFormatting sqref="Q32:Q39">
    <cfRule type="cellIs" dxfId="18687" priority="1228" operator="lessThan">
      <formula>0</formula>
    </cfRule>
  </conditionalFormatting>
  <conditionalFormatting sqref="R32:R39">
    <cfRule type="cellIs" dxfId="18686" priority="1232" operator="lessThan">
      <formula>0.8</formula>
    </cfRule>
    <cfRule type="cellIs" dxfId="18685" priority="1233" operator="greaterThan">
      <formula>1</formula>
    </cfRule>
  </conditionalFormatting>
  <conditionalFormatting sqref="R32:R39">
    <cfRule type="cellIs" dxfId="18684" priority="1230" operator="greaterThan">
      <formula>1</formula>
    </cfRule>
    <cfRule type="cellIs" dxfId="18683" priority="1231" operator="lessThan">
      <formula>0.8</formula>
    </cfRule>
  </conditionalFormatting>
  <conditionalFormatting sqref="P32:P39">
    <cfRule type="cellIs" dxfId="18682" priority="1229" operator="greaterThan">
      <formula>0</formula>
    </cfRule>
  </conditionalFormatting>
  <conditionalFormatting sqref="Q32:Q39">
    <cfRule type="cellIs" dxfId="18681" priority="1227" operator="lessThan">
      <formula>0</formula>
    </cfRule>
  </conditionalFormatting>
  <conditionalFormatting sqref="R32:R39">
    <cfRule type="cellIs" dxfId="18680" priority="1225" operator="lessThan">
      <formula>0.8</formula>
    </cfRule>
    <cfRule type="cellIs" dxfId="18679" priority="1226" operator="greaterThan">
      <formula>1</formula>
    </cfRule>
  </conditionalFormatting>
  <conditionalFormatting sqref="R32:R39">
    <cfRule type="cellIs" dxfId="18678" priority="1223" operator="greaterThan">
      <formula>1</formula>
    </cfRule>
    <cfRule type="cellIs" dxfId="18677" priority="1224" operator="lessThan">
      <formula>0.8</formula>
    </cfRule>
  </conditionalFormatting>
  <conditionalFormatting sqref="P32:P39">
    <cfRule type="cellIs" dxfId="18676" priority="1222" operator="greaterThan">
      <formula>0</formula>
    </cfRule>
  </conditionalFormatting>
  <conditionalFormatting sqref="Q32:Q39">
    <cfRule type="cellIs" dxfId="18675" priority="1221" operator="lessThan">
      <formula>0</formula>
    </cfRule>
  </conditionalFormatting>
  <conditionalFormatting sqref="R32:R39">
    <cfRule type="cellIs" dxfId="18674" priority="1219" operator="lessThan">
      <formula>0.8</formula>
    </cfRule>
    <cfRule type="cellIs" dxfId="18673" priority="1220" operator="greaterThan">
      <formula>1</formula>
    </cfRule>
  </conditionalFormatting>
  <conditionalFormatting sqref="R32:R39">
    <cfRule type="cellIs" dxfId="18672" priority="1217" operator="greaterThan">
      <formula>1</formula>
    </cfRule>
    <cfRule type="cellIs" dxfId="18671" priority="1218" operator="lessThan">
      <formula>0.8</formula>
    </cfRule>
  </conditionalFormatting>
  <conditionalFormatting sqref="P32:P39">
    <cfRule type="cellIs" dxfId="18670" priority="1216" operator="greaterThan">
      <formula>0</formula>
    </cfRule>
  </conditionalFormatting>
  <conditionalFormatting sqref="Q32:Q39">
    <cfRule type="cellIs" dxfId="18669" priority="1215" operator="lessThan">
      <formula>0</formula>
    </cfRule>
  </conditionalFormatting>
  <conditionalFormatting sqref="R32:R39">
    <cfRule type="cellIs" dxfId="18668" priority="1213" operator="lessThan">
      <formula>0.8</formula>
    </cfRule>
    <cfRule type="cellIs" dxfId="18667" priority="1214" operator="greaterThan">
      <formula>1</formula>
    </cfRule>
  </conditionalFormatting>
  <conditionalFormatting sqref="R32:R39">
    <cfRule type="cellIs" dxfId="18666" priority="1211" operator="greaterThan">
      <formula>1</formula>
    </cfRule>
    <cfRule type="cellIs" dxfId="18665" priority="1212" operator="lessThan">
      <formula>0.8</formula>
    </cfRule>
  </conditionalFormatting>
  <conditionalFormatting sqref="P32:P39">
    <cfRule type="cellIs" dxfId="18664" priority="1210" operator="greaterThan">
      <formula>0</formula>
    </cfRule>
  </conditionalFormatting>
  <conditionalFormatting sqref="Q32:Q39">
    <cfRule type="cellIs" dxfId="18663" priority="1209" operator="lessThan">
      <formula>0</formula>
    </cfRule>
  </conditionalFormatting>
  <conditionalFormatting sqref="R32:R39">
    <cfRule type="cellIs" dxfId="18662" priority="1207" operator="lessThan">
      <formula>0.8</formula>
    </cfRule>
    <cfRule type="cellIs" dxfId="18661" priority="1208" operator="greaterThan">
      <formula>1</formula>
    </cfRule>
  </conditionalFormatting>
  <conditionalFormatting sqref="R32:R39">
    <cfRule type="cellIs" dxfId="18660" priority="1205" operator="greaterThan">
      <formula>1</formula>
    </cfRule>
    <cfRule type="cellIs" dxfId="18659" priority="1206" operator="lessThan">
      <formula>0.8</formula>
    </cfRule>
  </conditionalFormatting>
  <conditionalFormatting sqref="P32:P39">
    <cfRule type="cellIs" dxfId="18658" priority="1204" operator="greaterThan">
      <formula>0</formula>
    </cfRule>
  </conditionalFormatting>
  <conditionalFormatting sqref="Q105">
    <cfRule type="cellIs" dxfId="18657" priority="1203" operator="lessThan">
      <formula>0</formula>
    </cfRule>
  </conditionalFormatting>
  <conditionalFormatting sqref="P105">
    <cfRule type="cellIs" dxfId="18656" priority="1202" operator="greaterThan">
      <formula>0</formula>
    </cfRule>
  </conditionalFormatting>
  <conditionalFormatting sqref="P105">
    <cfRule type="cellIs" dxfId="18655" priority="1200" operator="greaterThan">
      <formula>0</formula>
    </cfRule>
  </conditionalFormatting>
  <conditionalFormatting sqref="Q105">
    <cfRule type="cellIs" dxfId="18654" priority="1201" operator="lessThan">
      <formula>0</formula>
    </cfRule>
  </conditionalFormatting>
  <conditionalFormatting sqref="Q105">
    <cfRule type="cellIs" dxfId="18653" priority="1199" operator="lessThan">
      <formula>0</formula>
    </cfRule>
  </conditionalFormatting>
  <conditionalFormatting sqref="P105">
    <cfRule type="cellIs" dxfId="18652" priority="1198" operator="greaterThan">
      <formula>0</formula>
    </cfRule>
  </conditionalFormatting>
  <conditionalFormatting sqref="Q96:Q104">
    <cfRule type="cellIs" dxfId="18651" priority="1192" operator="lessThan">
      <formula>0</formula>
    </cfRule>
  </conditionalFormatting>
  <conditionalFormatting sqref="P96:P104">
    <cfRule type="cellIs" dxfId="18650" priority="1193" operator="greaterThan">
      <formula>0</formula>
    </cfRule>
  </conditionalFormatting>
  <conditionalFormatting sqref="R96:R105">
    <cfRule type="cellIs" dxfId="18649" priority="1196" operator="lessThan">
      <formula>0.8</formula>
    </cfRule>
    <cfRule type="cellIs" dxfId="18648" priority="1197" operator="greaterThan">
      <formula>1</formula>
    </cfRule>
  </conditionalFormatting>
  <conditionalFormatting sqref="R96:R105">
    <cfRule type="cellIs" dxfId="18647" priority="1194" operator="greaterThan">
      <formula>1</formula>
    </cfRule>
    <cfRule type="cellIs" dxfId="18646" priority="1195" operator="lessThan">
      <formula>0.8</formula>
    </cfRule>
  </conditionalFormatting>
  <conditionalFormatting sqref="Q96:Q104">
    <cfRule type="cellIs" dxfId="18645" priority="1186" operator="lessThan">
      <formula>0</formula>
    </cfRule>
  </conditionalFormatting>
  <conditionalFormatting sqref="R96:R105">
    <cfRule type="cellIs" dxfId="18644" priority="1190" operator="lessThan">
      <formula>0.8</formula>
    </cfRule>
    <cfRule type="cellIs" dxfId="18643" priority="1191" operator="greaterThan">
      <formula>1</formula>
    </cfRule>
  </conditionalFormatting>
  <conditionalFormatting sqref="R96:R105">
    <cfRule type="cellIs" dxfId="18642" priority="1188" operator="greaterThan">
      <formula>1</formula>
    </cfRule>
    <cfRule type="cellIs" dxfId="18641" priority="1189" operator="lessThan">
      <formula>0.8</formula>
    </cfRule>
  </conditionalFormatting>
  <conditionalFormatting sqref="P96:P104">
    <cfRule type="cellIs" dxfId="18640" priority="1187" operator="greaterThan">
      <formula>0</formula>
    </cfRule>
  </conditionalFormatting>
  <conditionalFormatting sqref="Q96:Q104">
    <cfRule type="cellIs" dxfId="18639" priority="1185" operator="lessThan">
      <formula>0</formula>
    </cfRule>
  </conditionalFormatting>
  <conditionalFormatting sqref="R96:R105">
    <cfRule type="cellIs" dxfId="18638" priority="1183" operator="lessThan">
      <formula>0.8</formula>
    </cfRule>
    <cfRule type="cellIs" dxfId="18637" priority="1184" operator="greaterThan">
      <formula>1</formula>
    </cfRule>
  </conditionalFormatting>
  <conditionalFormatting sqref="R96:R105">
    <cfRule type="cellIs" dxfId="18636" priority="1181" operator="greaterThan">
      <formula>1</formula>
    </cfRule>
    <cfRule type="cellIs" dxfId="18635" priority="1182" operator="lessThan">
      <formula>0.8</formula>
    </cfRule>
  </conditionalFormatting>
  <conditionalFormatting sqref="P96:P104">
    <cfRule type="cellIs" dxfId="18634" priority="1180" operator="greaterThan">
      <formula>0</formula>
    </cfRule>
  </conditionalFormatting>
  <conditionalFormatting sqref="Q96:Q104">
    <cfRule type="cellIs" dxfId="18633" priority="1179" operator="lessThan">
      <formula>0</formula>
    </cfRule>
  </conditionalFormatting>
  <conditionalFormatting sqref="R96:R105">
    <cfRule type="cellIs" dxfId="18632" priority="1177" operator="lessThan">
      <formula>0.8</formula>
    </cfRule>
    <cfRule type="cellIs" dxfId="18631" priority="1178" operator="greaterThan">
      <formula>1</formula>
    </cfRule>
  </conditionalFormatting>
  <conditionalFormatting sqref="R96:R105">
    <cfRule type="cellIs" dxfId="18630" priority="1175" operator="greaterThan">
      <formula>1</formula>
    </cfRule>
    <cfRule type="cellIs" dxfId="18629" priority="1176" operator="lessThan">
      <formula>0.8</formula>
    </cfRule>
  </conditionalFormatting>
  <conditionalFormatting sqref="P96:P104">
    <cfRule type="cellIs" dxfId="18628" priority="1174" operator="greaterThan">
      <formula>0</formula>
    </cfRule>
  </conditionalFormatting>
  <conditionalFormatting sqref="Q96:Q104">
    <cfRule type="cellIs" dxfId="18627" priority="1168" operator="lessThan">
      <formula>0</formula>
    </cfRule>
  </conditionalFormatting>
  <conditionalFormatting sqref="R96:R105">
    <cfRule type="cellIs" dxfId="18626" priority="1172" operator="lessThan">
      <formula>0.8</formula>
    </cfRule>
    <cfRule type="cellIs" dxfId="18625" priority="1173" operator="greaterThan">
      <formula>1</formula>
    </cfRule>
  </conditionalFormatting>
  <conditionalFormatting sqref="R96:R105">
    <cfRule type="cellIs" dxfId="18624" priority="1170" operator="greaterThan">
      <formula>1</formula>
    </cfRule>
    <cfRule type="cellIs" dxfId="18623" priority="1171" operator="lessThan">
      <formula>0.8</formula>
    </cfRule>
  </conditionalFormatting>
  <conditionalFormatting sqref="P96:P104">
    <cfRule type="cellIs" dxfId="18622" priority="1169" operator="greaterThan">
      <formula>0</formula>
    </cfRule>
  </conditionalFormatting>
  <conditionalFormatting sqref="Q96:Q104">
    <cfRule type="cellIs" dxfId="18621" priority="1167" operator="lessThan">
      <formula>0</formula>
    </cfRule>
  </conditionalFormatting>
  <conditionalFormatting sqref="R96:R105">
    <cfRule type="cellIs" dxfId="18620" priority="1165" operator="lessThan">
      <formula>0.8</formula>
    </cfRule>
    <cfRule type="cellIs" dxfId="18619" priority="1166" operator="greaterThan">
      <formula>1</formula>
    </cfRule>
  </conditionalFormatting>
  <conditionalFormatting sqref="R96:R105">
    <cfRule type="cellIs" dxfId="18618" priority="1163" operator="greaterThan">
      <formula>1</formula>
    </cfRule>
    <cfRule type="cellIs" dxfId="18617" priority="1164" operator="lessThan">
      <formula>0.8</formula>
    </cfRule>
  </conditionalFormatting>
  <conditionalFormatting sqref="P96:P104">
    <cfRule type="cellIs" dxfId="18616" priority="1162" operator="greaterThan">
      <formula>0</formula>
    </cfRule>
  </conditionalFormatting>
  <conditionalFormatting sqref="Q96:Q104">
    <cfRule type="cellIs" dxfId="18615" priority="1161" operator="lessThan">
      <formula>0</formula>
    </cfRule>
  </conditionalFormatting>
  <conditionalFormatting sqref="R96:R105">
    <cfRule type="cellIs" dxfId="18614" priority="1159" operator="lessThan">
      <formula>0.8</formula>
    </cfRule>
    <cfRule type="cellIs" dxfId="18613" priority="1160" operator="greaterThan">
      <formula>1</formula>
    </cfRule>
  </conditionalFormatting>
  <conditionalFormatting sqref="R96:R105">
    <cfRule type="cellIs" dxfId="18612" priority="1157" operator="greaterThan">
      <formula>1</formula>
    </cfRule>
    <cfRule type="cellIs" dxfId="18611" priority="1158" operator="lessThan">
      <formula>0.8</formula>
    </cfRule>
  </conditionalFormatting>
  <conditionalFormatting sqref="P96:P104">
    <cfRule type="cellIs" dxfId="18610" priority="1156" operator="greaterThan">
      <formula>0</formula>
    </cfRule>
  </conditionalFormatting>
  <conditionalFormatting sqref="Q96:Q104">
    <cfRule type="cellIs" dxfId="18609" priority="1155" operator="lessThan">
      <formula>0</formula>
    </cfRule>
  </conditionalFormatting>
  <conditionalFormatting sqref="R96:R105">
    <cfRule type="cellIs" dxfId="18608" priority="1153" operator="lessThan">
      <formula>0.8</formula>
    </cfRule>
    <cfRule type="cellIs" dxfId="18607" priority="1154" operator="greaterThan">
      <formula>1</formula>
    </cfRule>
  </conditionalFormatting>
  <conditionalFormatting sqref="R96:R105">
    <cfRule type="cellIs" dxfId="18606" priority="1151" operator="greaterThan">
      <formula>1</formula>
    </cfRule>
    <cfRule type="cellIs" dxfId="18605" priority="1152" operator="lessThan">
      <formula>0.8</formula>
    </cfRule>
  </conditionalFormatting>
  <conditionalFormatting sqref="P96:P104">
    <cfRule type="cellIs" dxfId="18604" priority="1150" operator="greaterThan">
      <formula>0</formula>
    </cfRule>
  </conditionalFormatting>
  <conditionalFormatting sqref="Q96:Q104">
    <cfRule type="cellIs" dxfId="18603" priority="1149" operator="lessThan">
      <formula>0</formula>
    </cfRule>
  </conditionalFormatting>
  <conditionalFormatting sqref="R96:R105">
    <cfRule type="cellIs" dxfId="18602" priority="1147" operator="lessThan">
      <formula>0.8</formula>
    </cfRule>
    <cfRule type="cellIs" dxfId="18601" priority="1148" operator="greaterThan">
      <formula>1</formula>
    </cfRule>
  </conditionalFormatting>
  <conditionalFormatting sqref="R96:R105">
    <cfRule type="cellIs" dxfId="18600" priority="1145" operator="greaterThan">
      <formula>1</formula>
    </cfRule>
    <cfRule type="cellIs" dxfId="18599" priority="1146" operator="lessThan">
      <formula>0.8</formula>
    </cfRule>
  </conditionalFormatting>
  <conditionalFormatting sqref="P96:P104">
    <cfRule type="cellIs" dxfId="18598" priority="1144" operator="greaterThan">
      <formula>0</formula>
    </cfRule>
  </conditionalFormatting>
  <conditionalFormatting sqref="Q96:Q104">
    <cfRule type="cellIs" dxfId="18597" priority="1143" operator="lessThan">
      <formula>0</formula>
    </cfRule>
  </conditionalFormatting>
  <conditionalFormatting sqref="R96:R105">
    <cfRule type="cellIs" dxfId="18596" priority="1141" operator="lessThan">
      <formula>0.8</formula>
    </cfRule>
    <cfRule type="cellIs" dxfId="18595" priority="1142" operator="greaterThan">
      <formula>1</formula>
    </cfRule>
  </conditionalFormatting>
  <conditionalFormatting sqref="R96:R105">
    <cfRule type="cellIs" dxfId="18594" priority="1139" operator="greaterThan">
      <formula>1</formula>
    </cfRule>
    <cfRule type="cellIs" dxfId="18593" priority="1140" operator="lessThan">
      <formula>0.8</formula>
    </cfRule>
  </conditionalFormatting>
  <conditionalFormatting sqref="P96:P104">
    <cfRule type="cellIs" dxfId="18592" priority="1138" operator="greaterThan">
      <formula>0</formula>
    </cfRule>
  </conditionalFormatting>
  <conditionalFormatting sqref="P96:P104">
    <cfRule type="cellIs" dxfId="18591" priority="1132" operator="greaterThan">
      <formula>0</formula>
    </cfRule>
  </conditionalFormatting>
  <conditionalFormatting sqref="Q96:Q104">
    <cfRule type="cellIs" dxfId="18590" priority="1137" operator="lessThan">
      <formula>0</formula>
    </cfRule>
  </conditionalFormatting>
  <conditionalFormatting sqref="R96:R105">
    <cfRule type="cellIs" dxfId="18589" priority="1135" operator="lessThan">
      <formula>0.8</formula>
    </cfRule>
    <cfRule type="cellIs" dxfId="18588" priority="1136" operator="greaterThan">
      <formula>1</formula>
    </cfRule>
  </conditionalFormatting>
  <conditionalFormatting sqref="R96:R105">
    <cfRule type="cellIs" dxfId="18587" priority="1133" operator="greaterThan">
      <formula>1</formula>
    </cfRule>
    <cfRule type="cellIs" dxfId="18586" priority="1134" operator="lessThan">
      <formula>0.8</formula>
    </cfRule>
  </conditionalFormatting>
  <conditionalFormatting sqref="P96:P104">
    <cfRule type="cellIs" dxfId="18585" priority="1126" operator="greaterThan">
      <formula>0</formula>
    </cfRule>
  </conditionalFormatting>
  <conditionalFormatting sqref="Q96:Q104">
    <cfRule type="cellIs" dxfId="18584" priority="1131" operator="lessThan">
      <formula>0</formula>
    </cfRule>
  </conditionalFormatting>
  <conditionalFormatting sqref="R96:R105">
    <cfRule type="cellIs" dxfId="18583" priority="1129" operator="lessThan">
      <formula>0.8</formula>
    </cfRule>
    <cfRule type="cellIs" dxfId="18582" priority="1130" operator="greaterThan">
      <formula>1</formula>
    </cfRule>
  </conditionalFormatting>
  <conditionalFormatting sqref="R96:R105">
    <cfRule type="cellIs" dxfId="18581" priority="1127" operator="greaterThan">
      <formula>1</formula>
    </cfRule>
    <cfRule type="cellIs" dxfId="18580" priority="1128" operator="lessThan">
      <formula>0.8</formula>
    </cfRule>
  </conditionalFormatting>
  <conditionalFormatting sqref="R96:R105">
    <cfRule type="cellIs" dxfId="18579" priority="1123" operator="lessThan">
      <formula>0.8</formula>
    </cfRule>
    <cfRule type="cellIs" dxfId="18578" priority="1124" operator="greaterThan">
      <formula>1</formula>
    </cfRule>
  </conditionalFormatting>
  <conditionalFormatting sqref="R96:R105">
    <cfRule type="cellIs" dxfId="18577" priority="1121" operator="greaterThan">
      <formula>1</formula>
    </cfRule>
    <cfRule type="cellIs" dxfId="18576" priority="1122" operator="lessThan">
      <formula>0.8</formula>
    </cfRule>
  </conditionalFormatting>
  <conditionalFormatting sqref="P96:P104">
    <cfRule type="cellIs" dxfId="18575" priority="1120" operator="greaterThan">
      <formula>0</formula>
    </cfRule>
  </conditionalFormatting>
  <conditionalFormatting sqref="Q96:Q104">
    <cfRule type="cellIs" dxfId="18574" priority="1125" operator="lessThan">
      <formula>0</formula>
    </cfRule>
  </conditionalFormatting>
  <conditionalFormatting sqref="Q96:Q104">
    <cfRule type="cellIs" dxfId="18573" priority="1114" operator="lessThan">
      <formula>0</formula>
    </cfRule>
  </conditionalFormatting>
  <conditionalFormatting sqref="P96:P104">
    <cfRule type="cellIs" dxfId="18572" priority="1115" operator="greaterThan">
      <formula>0</formula>
    </cfRule>
  </conditionalFormatting>
  <conditionalFormatting sqref="R96:R105">
    <cfRule type="cellIs" dxfId="18571" priority="1118" operator="lessThan">
      <formula>0.8</formula>
    </cfRule>
    <cfRule type="cellIs" dxfId="18570" priority="1119" operator="greaterThan">
      <formula>1</formula>
    </cfRule>
  </conditionalFormatting>
  <conditionalFormatting sqref="R96:R105">
    <cfRule type="cellIs" dxfId="18569" priority="1116" operator="greaterThan">
      <formula>1</formula>
    </cfRule>
    <cfRule type="cellIs" dxfId="18568" priority="1117" operator="lessThan">
      <formula>0.8</formula>
    </cfRule>
  </conditionalFormatting>
  <conditionalFormatting sqref="Q96:Q104">
    <cfRule type="cellIs" dxfId="18567" priority="1108" operator="lessThan">
      <formula>0</formula>
    </cfRule>
  </conditionalFormatting>
  <conditionalFormatting sqref="R96:R105">
    <cfRule type="cellIs" dxfId="18566" priority="1112" operator="lessThan">
      <formula>0.8</formula>
    </cfRule>
    <cfRule type="cellIs" dxfId="18565" priority="1113" operator="greaterThan">
      <formula>1</formula>
    </cfRule>
  </conditionalFormatting>
  <conditionalFormatting sqref="R96:R105">
    <cfRule type="cellIs" dxfId="18564" priority="1110" operator="greaterThan">
      <formula>1</formula>
    </cfRule>
    <cfRule type="cellIs" dxfId="18563" priority="1111" operator="lessThan">
      <formula>0.8</formula>
    </cfRule>
  </conditionalFormatting>
  <conditionalFormatting sqref="P96:P104">
    <cfRule type="cellIs" dxfId="18562" priority="1109" operator="greaterThan">
      <formula>0</formula>
    </cfRule>
  </conditionalFormatting>
  <conditionalFormatting sqref="Q96:Q104">
    <cfRule type="cellIs" dxfId="18561" priority="1107" operator="lessThan">
      <formula>0</formula>
    </cfRule>
  </conditionalFormatting>
  <conditionalFormatting sqref="R96:R105">
    <cfRule type="cellIs" dxfId="18560" priority="1105" operator="lessThan">
      <formula>0.8</formula>
    </cfRule>
    <cfRule type="cellIs" dxfId="18559" priority="1106" operator="greaterThan">
      <formula>1</formula>
    </cfRule>
  </conditionalFormatting>
  <conditionalFormatting sqref="R96:R105">
    <cfRule type="cellIs" dxfId="18558" priority="1103" operator="greaterThan">
      <formula>1</formula>
    </cfRule>
    <cfRule type="cellIs" dxfId="18557" priority="1104" operator="lessThan">
      <formula>0.8</formula>
    </cfRule>
  </conditionalFormatting>
  <conditionalFormatting sqref="P96:P104">
    <cfRule type="cellIs" dxfId="18556" priority="1102" operator="greaterThan">
      <formula>0</formula>
    </cfRule>
  </conditionalFormatting>
  <conditionalFormatting sqref="Q96:Q104">
    <cfRule type="cellIs" dxfId="18555" priority="1101" operator="lessThan">
      <formula>0</formula>
    </cfRule>
  </conditionalFormatting>
  <conditionalFormatting sqref="R96:R105">
    <cfRule type="cellIs" dxfId="18554" priority="1099" operator="lessThan">
      <formula>0.8</formula>
    </cfRule>
    <cfRule type="cellIs" dxfId="18553" priority="1100" operator="greaterThan">
      <formula>1</formula>
    </cfRule>
  </conditionalFormatting>
  <conditionalFormatting sqref="R96:R105">
    <cfRule type="cellIs" dxfId="18552" priority="1097" operator="greaterThan">
      <formula>1</formula>
    </cfRule>
    <cfRule type="cellIs" dxfId="18551" priority="1098" operator="lessThan">
      <formula>0.8</formula>
    </cfRule>
  </conditionalFormatting>
  <conditionalFormatting sqref="P96:P104">
    <cfRule type="cellIs" dxfId="18550" priority="1096" operator="greaterThan">
      <formula>0</formula>
    </cfRule>
  </conditionalFormatting>
  <conditionalFormatting sqref="Q96:Q104">
    <cfRule type="cellIs" dxfId="18549" priority="1090" operator="lessThan">
      <formula>0</formula>
    </cfRule>
  </conditionalFormatting>
  <conditionalFormatting sqref="P96:P104">
    <cfRule type="cellIs" dxfId="18548" priority="1091" operator="greaterThan">
      <formula>0</formula>
    </cfRule>
  </conditionalFormatting>
  <conditionalFormatting sqref="R96:R105">
    <cfRule type="cellIs" dxfId="18547" priority="1094" operator="lessThan">
      <formula>0.8</formula>
    </cfRule>
    <cfRule type="cellIs" dxfId="18546" priority="1095" operator="greaterThan">
      <formula>1</formula>
    </cfRule>
  </conditionalFormatting>
  <conditionalFormatting sqref="R96:R105">
    <cfRule type="cellIs" dxfId="18545" priority="1092" operator="greaterThan">
      <formula>1</formula>
    </cfRule>
    <cfRule type="cellIs" dxfId="18544" priority="1093" operator="lessThan">
      <formula>0.8</formula>
    </cfRule>
  </conditionalFormatting>
  <conditionalFormatting sqref="Q96:Q104">
    <cfRule type="cellIs" dxfId="18543" priority="1084" operator="lessThan">
      <formula>0</formula>
    </cfRule>
  </conditionalFormatting>
  <conditionalFormatting sqref="R96:R105">
    <cfRule type="cellIs" dxfId="18542" priority="1088" operator="lessThan">
      <formula>0.8</formula>
    </cfRule>
    <cfRule type="cellIs" dxfId="18541" priority="1089" operator="greaterThan">
      <formula>1</formula>
    </cfRule>
  </conditionalFormatting>
  <conditionalFormatting sqref="R96:R105">
    <cfRule type="cellIs" dxfId="18540" priority="1086" operator="greaterThan">
      <formula>1</formula>
    </cfRule>
    <cfRule type="cellIs" dxfId="18539" priority="1087" operator="lessThan">
      <formula>0.8</formula>
    </cfRule>
  </conditionalFormatting>
  <conditionalFormatting sqref="P96:P104">
    <cfRule type="cellIs" dxfId="18538" priority="1085" operator="greaterThan">
      <formula>0</formula>
    </cfRule>
  </conditionalFormatting>
  <conditionalFormatting sqref="Q96:Q104">
    <cfRule type="cellIs" dxfId="18537" priority="1083" operator="lessThan">
      <formula>0</formula>
    </cfRule>
  </conditionalFormatting>
  <conditionalFormatting sqref="R96:R105">
    <cfRule type="cellIs" dxfId="18536" priority="1081" operator="lessThan">
      <formula>0.8</formula>
    </cfRule>
    <cfRule type="cellIs" dxfId="18535" priority="1082" operator="greaterThan">
      <formula>1</formula>
    </cfRule>
  </conditionalFormatting>
  <conditionalFormatting sqref="R96:R105">
    <cfRule type="cellIs" dxfId="18534" priority="1079" operator="greaterThan">
      <formula>1</formula>
    </cfRule>
    <cfRule type="cellIs" dxfId="18533" priority="1080" operator="lessThan">
      <formula>0.8</formula>
    </cfRule>
  </conditionalFormatting>
  <conditionalFormatting sqref="P96:P104">
    <cfRule type="cellIs" dxfId="18532" priority="1078" operator="greaterThan">
      <formula>0</formula>
    </cfRule>
  </conditionalFormatting>
  <conditionalFormatting sqref="Q96:Q104">
    <cfRule type="cellIs" dxfId="18531" priority="1077" operator="lessThan">
      <formula>0</formula>
    </cfRule>
  </conditionalFormatting>
  <conditionalFormatting sqref="R96:R105">
    <cfRule type="cellIs" dxfId="18530" priority="1075" operator="lessThan">
      <formula>0.8</formula>
    </cfRule>
    <cfRule type="cellIs" dxfId="18529" priority="1076" operator="greaterThan">
      <formula>1</formula>
    </cfRule>
  </conditionalFormatting>
  <conditionalFormatting sqref="R96:R105">
    <cfRule type="cellIs" dxfId="18528" priority="1073" operator="greaterThan">
      <formula>1</formula>
    </cfRule>
    <cfRule type="cellIs" dxfId="18527" priority="1074" operator="lessThan">
      <formula>0.8</formula>
    </cfRule>
  </conditionalFormatting>
  <conditionalFormatting sqref="P96:P104">
    <cfRule type="cellIs" dxfId="18526" priority="1072" operator="greaterThan">
      <formula>0</formula>
    </cfRule>
  </conditionalFormatting>
  <conditionalFormatting sqref="P124 P127 P131">
    <cfRule type="cellIs" dxfId="18525" priority="1066" operator="greaterThan">
      <formula>0</formula>
    </cfRule>
  </conditionalFormatting>
  <conditionalFormatting sqref="Q124 Q127 Q131">
    <cfRule type="cellIs" dxfId="18524" priority="1071" operator="lessThan">
      <formula>0</formula>
    </cfRule>
  </conditionalFormatting>
  <conditionalFormatting sqref="R124 R127 R131">
    <cfRule type="cellIs" dxfId="18523" priority="1069" operator="lessThan">
      <formula>0.8</formula>
    </cfRule>
    <cfRule type="cellIs" dxfId="18522" priority="1070" operator="greaterThan">
      <formula>1</formula>
    </cfRule>
  </conditionalFormatting>
  <conditionalFormatting sqref="R124 R127 R131">
    <cfRule type="cellIs" dxfId="18521" priority="1067" operator="greaterThan">
      <formula>1</formula>
    </cfRule>
    <cfRule type="cellIs" dxfId="18520" priority="1068" operator="lessThan">
      <formula>0.8</formula>
    </cfRule>
  </conditionalFormatting>
  <conditionalFormatting sqref="Q124 Q127 Q131">
    <cfRule type="cellIs" dxfId="18519" priority="1065" operator="lessThan">
      <formula>0</formula>
    </cfRule>
  </conditionalFormatting>
  <conditionalFormatting sqref="R124 R127 R131">
    <cfRule type="cellIs" dxfId="18518" priority="1063" operator="lessThan">
      <formula>0.8</formula>
    </cfRule>
    <cfRule type="cellIs" dxfId="18517" priority="1064" operator="greaterThan">
      <formula>1</formula>
    </cfRule>
  </conditionalFormatting>
  <conditionalFormatting sqref="R124 R127 R131">
    <cfRule type="cellIs" dxfId="18516" priority="1061" operator="greaterThan">
      <formula>1</formula>
    </cfRule>
    <cfRule type="cellIs" dxfId="18515" priority="1062" operator="lessThan">
      <formula>0.8</formula>
    </cfRule>
  </conditionalFormatting>
  <conditionalFormatting sqref="P124 P127 P131">
    <cfRule type="cellIs" dxfId="18514" priority="1060" operator="greaterThan">
      <formula>0</formula>
    </cfRule>
  </conditionalFormatting>
  <conditionalFormatting sqref="Q123 Q125:Q126 Q128:Q130">
    <cfRule type="cellIs" dxfId="18513" priority="1059" operator="lessThan">
      <formula>0</formula>
    </cfRule>
  </conditionalFormatting>
  <conditionalFormatting sqref="R123 R125:R126 R128:R130">
    <cfRule type="cellIs" dxfId="18512" priority="1057" operator="lessThan">
      <formula>0.8</formula>
    </cfRule>
    <cfRule type="cellIs" dxfId="18511" priority="1058" operator="greaterThan">
      <formula>1</formula>
    </cfRule>
  </conditionalFormatting>
  <conditionalFormatting sqref="R123 R125:R126 R128:R130">
    <cfRule type="cellIs" dxfId="18510" priority="1055" operator="greaterThan">
      <formula>1</formula>
    </cfRule>
    <cfRule type="cellIs" dxfId="18509" priority="1056" operator="lessThan">
      <formula>0.8</formula>
    </cfRule>
  </conditionalFormatting>
  <conditionalFormatting sqref="P123 P125:P126 P128:P130">
    <cfRule type="cellIs" dxfId="18508" priority="1054" operator="greaterThan">
      <formula>0</formula>
    </cfRule>
  </conditionalFormatting>
  <conditionalFormatting sqref="P123 P125:P126 P128:P130">
    <cfRule type="cellIs" dxfId="18507" priority="1048" operator="greaterThan">
      <formula>0</formula>
    </cfRule>
  </conditionalFormatting>
  <conditionalFormatting sqref="Q123 Q125:Q126 Q128:Q130">
    <cfRule type="cellIs" dxfId="18506" priority="1053" operator="lessThan">
      <formula>0</formula>
    </cfRule>
  </conditionalFormatting>
  <conditionalFormatting sqref="R123 R125:R126 R128:R130">
    <cfRule type="cellIs" dxfId="18505" priority="1051" operator="lessThan">
      <formula>0.8</formula>
    </cfRule>
    <cfRule type="cellIs" dxfId="18504" priority="1052" operator="greaterThan">
      <formula>1</formula>
    </cfRule>
  </conditionalFormatting>
  <conditionalFormatting sqref="R123 R125:R126 R128:R130">
    <cfRule type="cellIs" dxfId="18503" priority="1049" operator="greaterThan">
      <formula>1</formula>
    </cfRule>
    <cfRule type="cellIs" dxfId="18502" priority="1050" operator="lessThan">
      <formula>0.8</formula>
    </cfRule>
  </conditionalFormatting>
  <conditionalFormatting sqref="P122">
    <cfRule type="cellIs" dxfId="18501" priority="1042" operator="greaterThan">
      <formula>0</formula>
    </cfRule>
  </conditionalFormatting>
  <conditionalFormatting sqref="Q122">
    <cfRule type="cellIs" dxfId="18500" priority="1047" operator="lessThan">
      <formula>0</formula>
    </cfRule>
  </conditionalFormatting>
  <conditionalFormatting sqref="R122">
    <cfRule type="cellIs" dxfId="18499" priority="1045" operator="lessThan">
      <formula>0.8</formula>
    </cfRule>
    <cfRule type="cellIs" dxfId="18498" priority="1046" operator="greaterThan">
      <formula>1</formula>
    </cfRule>
  </conditionalFormatting>
  <conditionalFormatting sqref="R122">
    <cfRule type="cellIs" dxfId="18497" priority="1043" operator="greaterThan">
      <formula>1</formula>
    </cfRule>
    <cfRule type="cellIs" dxfId="18496" priority="1044" operator="lessThan">
      <formula>0.8</formula>
    </cfRule>
  </conditionalFormatting>
  <conditionalFormatting sqref="Q109:Q116">
    <cfRule type="cellIs" dxfId="18495" priority="1041" operator="lessThan">
      <formula>0</formula>
    </cfRule>
  </conditionalFormatting>
  <conditionalFormatting sqref="R109:R116">
    <cfRule type="cellIs" dxfId="18494" priority="1039" operator="lessThan">
      <formula>0.8</formula>
    </cfRule>
    <cfRule type="cellIs" dxfId="18493" priority="1040" operator="greaterThan">
      <formula>1</formula>
    </cfRule>
  </conditionalFormatting>
  <conditionalFormatting sqref="R109:R116">
    <cfRule type="cellIs" dxfId="18492" priority="1037" operator="greaterThan">
      <formula>1</formula>
    </cfRule>
    <cfRule type="cellIs" dxfId="18491" priority="1038" operator="lessThan">
      <formula>0.8</formula>
    </cfRule>
  </conditionalFormatting>
  <conditionalFormatting sqref="P109:P116">
    <cfRule type="cellIs" dxfId="18490" priority="1036" operator="greaterThan">
      <formula>0</formula>
    </cfRule>
  </conditionalFormatting>
  <conditionalFormatting sqref="P137 P140 P143">
    <cfRule type="cellIs" dxfId="18489" priority="1035" operator="greaterThan">
      <formula>0</formula>
    </cfRule>
  </conditionalFormatting>
  <conditionalFormatting sqref="Q137 Q140 Q143">
    <cfRule type="cellIs" dxfId="18488" priority="1034" operator="lessThan">
      <formula>0</formula>
    </cfRule>
  </conditionalFormatting>
  <conditionalFormatting sqref="R137 R140 R143">
    <cfRule type="cellIs" dxfId="18487" priority="1032" operator="lessThan">
      <formula>0.8</formula>
    </cfRule>
    <cfRule type="cellIs" dxfId="18486" priority="1033" operator="greaterThan">
      <formula>1</formula>
    </cfRule>
  </conditionalFormatting>
  <conditionalFormatting sqref="R137 R140 R143">
    <cfRule type="cellIs" dxfId="18485" priority="1030" operator="greaterThan">
      <formula>1</formula>
    </cfRule>
    <cfRule type="cellIs" dxfId="18484" priority="1031" operator="lessThan">
      <formula>0.8</formula>
    </cfRule>
  </conditionalFormatting>
  <conditionalFormatting sqref="P137 P140 P143">
    <cfRule type="cellIs" dxfId="18483" priority="1029" operator="greaterThan">
      <formula>0</formula>
    </cfRule>
  </conditionalFormatting>
  <conditionalFormatting sqref="Q137 Q140 Q143">
    <cfRule type="cellIs" dxfId="18482" priority="1028" operator="lessThan">
      <formula>0</formula>
    </cfRule>
  </conditionalFormatting>
  <conditionalFormatting sqref="R137 R140 R143">
    <cfRule type="cellIs" dxfId="18481" priority="1026" operator="lessThan">
      <formula>0.8</formula>
    </cfRule>
    <cfRule type="cellIs" dxfId="18480" priority="1027" operator="greaterThan">
      <formula>1</formula>
    </cfRule>
  </conditionalFormatting>
  <conditionalFormatting sqref="R137 R140 R143">
    <cfRule type="cellIs" dxfId="18479" priority="1024" operator="greaterThan">
      <formula>1</formula>
    </cfRule>
    <cfRule type="cellIs" dxfId="18478" priority="1025" operator="lessThan">
      <formula>0.8</formula>
    </cfRule>
  </conditionalFormatting>
  <conditionalFormatting sqref="P137 P140 P143">
    <cfRule type="cellIs" dxfId="18477" priority="1023" operator="greaterThan">
      <formula>0</formula>
    </cfRule>
  </conditionalFormatting>
  <conditionalFormatting sqref="P137 P140 P143">
    <cfRule type="cellIs" dxfId="18476" priority="1017" operator="greaterThan">
      <formula>0</formula>
    </cfRule>
  </conditionalFormatting>
  <conditionalFormatting sqref="Q137 Q140 Q143">
    <cfRule type="cellIs" dxfId="18475" priority="1022" operator="lessThan">
      <formula>0</formula>
    </cfRule>
  </conditionalFormatting>
  <conditionalFormatting sqref="R137 R140 R143">
    <cfRule type="cellIs" dxfId="18474" priority="1020" operator="lessThan">
      <formula>0.8</formula>
    </cfRule>
    <cfRule type="cellIs" dxfId="18473" priority="1021" operator="greaterThan">
      <formula>1</formula>
    </cfRule>
  </conditionalFormatting>
  <conditionalFormatting sqref="R137 R140 R143">
    <cfRule type="cellIs" dxfId="18472" priority="1018" operator="greaterThan">
      <formula>1</formula>
    </cfRule>
    <cfRule type="cellIs" dxfId="18471" priority="1019" operator="lessThan">
      <formula>0.8</formula>
    </cfRule>
  </conditionalFormatting>
  <conditionalFormatting sqref="Q137 Q140 Q143">
    <cfRule type="cellIs" dxfId="18470" priority="1016" operator="lessThan">
      <formula>0</formula>
    </cfRule>
  </conditionalFormatting>
  <conditionalFormatting sqref="R137 R140 R143">
    <cfRule type="cellIs" dxfId="18469" priority="1014" operator="lessThan">
      <formula>0.8</formula>
    </cfRule>
    <cfRule type="cellIs" dxfId="18468" priority="1015" operator="greaterThan">
      <formula>1</formula>
    </cfRule>
  </conditionalFormatting>
  <conditionalFormatting sqref="R137 R140 R143">
    <cfRule type="cellIs" dxfId="18467" priority="1012" operator="greaterThan">
      <formula>1</formula>
    </cfRule>
    <cfRule type="cellIs" dxfId="18466" priority="1013" operator="lessThan">
      <formula>0.8</formula>
    </cfRule>
  </conditionalFormatting>
  <conditionalFormatting sqref="P137 P140 P143">
    <cfRule type="cellIs" dxfId="18465" priority="1011" operator="greaterThan">
      <formula>0</formula>
    </cfRule>
  </conditionalFormatting>
  <conditionalFormatting sqref="Q137 Q140 Q143">
    <cfRule type="cellIs" dxfId="18464" priority="1010" operator="lessThan">
      <formula>0</formula>
    </cfRule>
  </conditionalFormatting>
  <conditionalFormatting sqref="R137 R140 R143">
    <cfRule type="cellIs" dxfId="18463" priority="1008" operator="lessThan">
      <formula>0.8</formula>
    </cfRule>
    <cfRule type="cellIs" dxfId="18462" priority="1009" operator="greaterThan">
      <formula>1</formula>
    </cfRule>
  </conditionalFormatting>
  <conditionalFormatting sqref="R137 R140 R143">
    <cfRule type="cellIs" dxfId="18461" priority="1006" operator="greaterThan">
      <formula>1</formula>
    </cfRule>
    <cfRule type="cellIs" dxfId="18460" priority="1007" operator="lessThan">
      <formula>0.8</formula>
    </cfRule>
  </conditionalFormatting>
  <conditionalFormatting sqref="P137 P140 P143">
    <cfRule type="cellIs" dxfId="18459" priority="1005" operator="greaterThan">
      <formula>0</formula>
    </cfRule>
  </conditionalFormatting>
  <conditionalFormatting sqref="P137 P140 P143">
    <cfRule type="cellIs" dxfId="18458" priority="999" operator="greaterThan">
      <formula>0</formula>
    </cfRule>
  </conditionalFormatting>
  <conditionalFormatting sqref="Q137 Q140 Q143">
    <cfRule type="cellIs" dxfId="18457" priority="1004" operator="lessThan">
      <formula>0</formula>
    </cfRule>
  </conditionalFormatting>
  <conditionalFormatting sqref="R137 R140 R143">
    <cfRule type="cellIs" dxfId="18456" priority="1002" operator="lessThan">
      <formula>0.8</formula>
    </cfRule>
    <cfRule type="cellIs" dxfId="18455" priority="1003" operator="greaterThan">
      <formula>1</formula>
    </cfRule>
  </conditionalFormatting>
  <conditionalFormatting sqref="R137 R140 R143">
    <cfRule type="cellIs" dxfId="18454" priority="1000" operator="greaterThan">
      <formula>1</formula>
    </cfRule>
    <cfRule type="cellIs" dxfId="18453" priority="1001" operator="lessThan">
      <formula>0.8</formula>
    </cfRule>
  </conditionalFormatting>
  <conditionalFormatting sqref="Q137 Q140 Q143">
    <cfRule type="cellIs" dxfId="18452" priority="998" operator="lessThan">
      <formula>0</formula>
    </cfRule>
  </conditionalFormatting>
  <conditionalFormatting sqref="R137 R140 R143">
    <cfRule type="cellIs" dxfId="18451" priority="996" operator="lessThan">
      <formula>0.8</formula>
    </cfRule>
    <cfRule type="cellIs" dxfId="18450" priority="997" operator="greaterThan">
      <formula>1</formula>
    </cfRule>
  </conditionalFormatting>
  <conditionalFormatting sqref="R137 R140 R143">
    <cfRule type="cellIs" dxfId="18449" priority="994" operator="greaterThan">
      <formula>1</formula>
    </cfRule>
    <cfRule type="cellIs" dxfId="18448" priority="995" operator="lessThan">
      <formula>0.8</formula>
    </cfRule>
  </conditionalFormatting>
  <conditionalFormatting sqref="P137 P140 P143">
    <cfRule type="cellIs" dxfId="18447" priority="993" operator="greaterThan">
      <formula>0</formula>
    </cfRule>
  </conditionalFormatting>
  <conditionalFormatting sqref="Q137 Q140 Q143">
    <cfRule type="cellIs" dxfId="18446" priority="992" operator="lessThan">
      <formula>0</formula>
    </cfRule>
  </conditionalFormatting>
  <conditionalFormatting sqref="R137 R140 R143">
    <cfRule type="cellIs" dxfId="18445" priority="990" operator="lessThan">
      <formula>0.8</formula>
    </cfRule>
    <cfRule type="cellIs" dxfId="18444" priority="991" operator="greaterThan">
      <formula>1</formula>
    </cfRule>
  </conditionalFormatting>
  <conditionalFormatting sqref="R137 R140 R143">
    <cfRule type="cellIs" dxfId="18443" priority="988" operator="greaterThan">
      <formula>1</formula>
    </cfRule>
    <cfRule type="cellIs" dxfId="18442" priority="989" operator="lessThan">
      <formula>0.8</formula>
    </cfRule>
  </conditionalFormatting>
  <conditionalFormatting sqref="P137 P140 P143">
    <cfRule type="cellIs" dxfId="18441" priority="987" operator="greaterThan">
      <formula>0</formula>
    </cfRule>
  </conditionalFormatting>
  <conditionalFormatting sqref="P137 P140 P143">
    <cfRule type="cellIs" dxfId="18440" priority="981" operator="greaterThan">
      <formula>0</formula>
    </cfRule>
  </conditionalFormatting>
  <conditionalFormatting sqref="Q137 Q140 Q143">
    <cfRule type="cellIs" dxfId="18439" priority="986" operator="lessThan">
      <formula>0</formula>
    </cfRule>
  </conditionalFormatting>
  <conditionalFormatting sqref="R137 R140 R143">
    <cfRule type="cellIs" dxfId="18438" priority="984" operator="lessThan">
      <formula>0.8</formula>
    </cfRule>
    <cfRule type="cellIs" dxfId="18437" priority="985" operator="greaterThan">
      <formula>1</formula>
    </cfRule>
  </conditionalFormatting>
  <conditionalFormatting sqref="R137 R140 R143">
    <cfRule type="cellIs" dxfId="18436" priority="982" operator="greaterThan">
      <formula>1</formula>
    </cfRule>
    <cfRule type="cellIs" dxfId="18435" priority="983" operator="lessThan">
      <formula>0.8</formula>
    </cfRule>
  </conditionalFormatting>
  <conditionalFormatting sqref="Q137 Q140 Q143">
    <cfRule type="cellIs" dxfId="18434" priority="980" operator="lessThan">
      <formula>0</formula>
    </cfRule>
  </conditionalFormatting>
  <conditionalFormatting sqref="R137 R140 R143">
    <cfRule type="cellIs" dxfId="18433" priority="978" operator="lessThan">
      <formula>0.8</formula>
    </cfRule>
    <cfRule type="cellIs" dxfId="18432" priority="979" operator="greaterThan">
      <formula>1</formula>
    </cfRule>
  </conditionalFormatting>
  <conditionalFormatting sqref="R137 R140 R143">
    <cfRule type="cellIs" dxfId="18431" priority="976" operator="greaterThan">
      <formula>1</formula>
    </cfRule>
    <cfRule type="cellIs" dxfId="18430" priority="977" operator="lessThan">
      <formula>0.8</formula>
    </cfRule>
  </conditionalFormatting>
  <conditionalFormatting sqref="P137 P140 P143">
    <cfRule type="cellIs" dxfId="18429" priority="975" operator="greaterThan">
      <formula>0</formula>
    </cfRule>
  </conditionalFormatting>
  <conditionalFormatting sqref="P138 P141 P144">
    <cfRule type="cellIs" dxfId="18428" priority="969" operator="greaterThan">
      <formula>0</formula>
    </cfRule>
  </conditionalFormatting>
  <conditionalFormatting sqref="Q138 Q141 Q144">
    <cfRule type="cellIs" dxfId="18427" priority="974" operator="lessThan">
      <formula>0</formula>
    </cfRule>
  </conditionalFormatting>
  <conditionalFormatting sqref="R138 R141 R144">
    <cfRule type="cellIs" dxfId="18426" priority="972" operator="lessThan">
      <formula>0.8</formula>
    </cfRule>
    <cfRule type="cellIs" dxfId="18425" priority="973" operator="greaterThan">
      <formula>1</formula>
    </cfRule>
  </conditionalFormatting>
  <conditionalFormatting sqref="R138 R141 R144">
    <cfRule type="cellIs" dxfId="18424" priority="970" operator="greaterThan">
      <formula>1</formula>
    </cfRule>
    <cfRule type="cellIs" dxfId="18423" priority="971" operator="lessThan">
      <formula>0.8</formula>
    </cfRule>
  </conditionalFormatting>
  <conditionalFormatting sqref="Q138 Q141 Q144">
    <cfRule type="cellIs" dxfId="18422" priority="968" operator="lessThan">
      <formula>0</formula>
    </cfRule>
  </conditionalFormatting>
  <conditionalFormatting sqref="R138 R141 R144">
    <cfRule type="cellIs" dxfId="18421" priority="966" operator="lessThan">
      <formula>0.8</formula>
    </cfRule>
    <cfRule type="cellIs" dxfId="18420" priority="967" operator="greaterThan">
      <formula>1</formula>
    </cfRule>
  </conditionalFormatting>
  <conditionalFormatting sqref="R138 R141 R144">
    <cfRule type="cellIs" dxfId="18419" priority="964" operator="greaterThan">
      <formula>1</formula>
    </cfRule>
    <cfRule type="cellIs" dxfId="18418" priority="965" operator="lessThan">
      <formula>0.8</formula>
    </cfRule>
  </conditionalFormatting>
  <conditionalFormatting sqref="P138 P141 P144">
    <cfRule type="cellIs" dxfId="18417" priority="963" operator="greaterThan">
      <formula>0</formula>
    </cfRule>
  </conditionalFormatting>
  <conditionalFormatting sqref="Q138 Q141 Q144">
    <cfRule type="cellIs" dxfId="18416" priority="962" operator="lessThan">
      <formula>0</formula>
    </cfRule>
  </conditionalFormatting>
  <conditionalFormatting sqref="R138 R141 R144">
    <cfRule type="cellIs" dxfId="18415" priority="960" operator="lessThan">
      <formula>0.8</formula>
    </cfRule>
    <cfRule type="cellIs" dxfId="18414" priority="961" operator="greaterThan">
      <formula>1</formula>
    </cfRule>
  </conditionalFormatting>
  <conditionalFormatting sqref="R138 R141 R144">
    <cfRule type="cellIs" dxfId="18413" priority="958" operator="greaterThan">
      <formula>1</formula>
    </cfRule>
    <cfRule type="cellIs" dxfId="18412" priority="959" operator="lessThan">
      <formula>0.8</formula>
    </cfRule>
  </conditionalFormatting>
  <conditionalFormatting sqref="P138 P141 P144">
    <cfRule type="cellIs" dxfId="18411" priority="957" operator="greaterThan">
      <formula>0</formula>
    </cfRule>
  </conditionalFormatting>
  <conditionalFormatting sqref="Q138 Q141 Q144">
    <cfRule type="cellIs" dxfId="18410" priority="956" operator="lessThan">
      <formula>0</formula>
    </cfRule>
  </conditionalFormatting>
  <conditionalFormatting sqref="R138 R141 R144">
    <cfRule type="cellIs" dxfId="18409" priority="954" operator="lessThan">
      <formula>0.8</formula>
    </cfRule>
    <cfRule type="cellIs" dxfId="18408" priority="955" operator="greaterThan">
      <formula>1</formula>
    </cfRule>
  </conditionalFormatting>
  <conditionalFormatting sqref="R138 R141 R144">
    <cfRule type="cellIs" dxfId="18407" priority="952" operator="greaterThan">
      <formula>1</formula>
    </cfRule>
    <cfRule type="cellIs" dxfId="18406" priority="953" operator="lessThan">
      <formula>0.8</formula>
    </cfRule>
  </conditionalFormatting>
  <conditionalFormatting sqref="P138 P141 P144">
    <cfRule type="cellIs" dxfId="18405" priority="951" operator="greaterThan">
      <formula>0</formula>
    </cfRule>
  </conditionalFormatting>
  <conditionalFormatting sqref="Q138 Q141 Q144">
    <cfRule type="cellIs" dxfId="18404" priority="950" operator="lessThan">
      <formula>0</formula>
    </cfRule>
  </conditionalFormatting>
  <conditionalFormatting sqref="R138 R141 R144">
    <cfRule type="cellIs" dxfId="18403" priority="948" operator="lessThan">
      <formula>0.8</formula>
    </cfRule>
    <cfRule type="cellIs" dxfId="18402" priority="949" operator="greaterThan">
      <formula>1</formula>
    </cfRule>
  </conditionalFormatting>
  <conditionalFormatting sqref="R138 R141 R144">
    <cfRule type="cellIs" dxfId="18401" priority="946" operator="greaterThan">
      <formula>1</formula>
    </cfRule>
    <cfRule type="cellIs" dxfId="18400" priority="947" operator="lessThan">
      <formula>0.8</formula>
    </cfRule>
  </conditionalFormatting>
  <conditionalFormatting sqref="Q138 Q141 Q144">
    <cfRule type="cellIs" dxfId="18399" priority="945" operator="lessThan">
      <formula>0</formula>
    </cfRule>
  </conditionalFormatting>
  <conditionalFormatting sqref="R138 R141 R144">
    <cfRule type="cellIs" dxfId="18398" priority="943" operator="lessThan">
      <formula>0.8</formula>
    </cfRule>
    <cfRule type="cellIs" dxfId="18397" priority="944" operator="greaterThan">
      <formula>1</formula>
    </cfRule>
  </conditionalFormatting>
  <conditionalFormatting sqref="R138 R141 R144">
    <cfRule type="cellIs" dxfId="18396" priority="941" operator="greaterThan">
      <formula>1</formula>
    </cfRule>
    <cfRule type="cellIs" dxfId="18395" priority="942" operator="lessThan">
      <formula>0.8</formula>
    </cfRule>
  </conditionalFormatting>
  <conditionalFormatting sqref="P138 P141 P144">
    <cfRule type="cellIs" dxfId="18394" priority="940" operator="greaterThan">
      <formula>0</formula>
    </cfRule>
  </conditionalFormatting>
  <conditionalFormatting sqref="P138 P141 P144">
    <cfRule type="cellIs" dxfId="18393" priority="934" operator="greaterThan">
      <formula>0</formula>
    </cfRule>
  </conditionalFormatting>
  <conditionalFormatting sqref="Q138 Q141 Q144">
    <cfRule type="cellIs" dxfId="18392" priority="939" operator="lessThan">
      <formula>0</formula>
    </cfRule>
  </conditionalFormatting>
  <conditionalFormatting sqref="R138 R141 R144">
    <cfRule type="cellIs" dxfId="18391" priority="937" operator="lessThan">
      <formula>0.8</formula>
    </cfRule>
    <cfRule type="cellIs" dxfId="18390" priority="938" operator="greaterThan">
      <formula>1</formula>
    </cfRule>
  </conditionalFormatting>
  <conditionalFormatting sqref="R138 R141 R144">
    <cfRule type="cellIs" dxfId="18389" priority="935" operator="greaterThan">
      <formula>1</formula>
    </cfRule>
    <cfRule type="cellIs" dxfId="18388" priority="936" operator="lessThan">
      <formula>0.8</formula>
    </cfRule>
  </conditionalFormatting>
  <conditionalFormatting sqref="Q138 Q141 Q144">
    <cfRule type="cellIs" dxfId="18387" priority="933" operator="lessThan">
      <formula>0</formula>
    </cfRule>
  </conditionalFormatting>
  <conditionalFormatting sqref="R138 R141 R144">
    <cfRule type="cellIs" dxfId="18386" priority="931" operator="lessThan">
      <formula>0.8</formula>
    </cfRule>
    <cfRule type="cellIs" dxfId="18385" priority="932" operator="greaterThan">
      <formula>1</formula>
    </cfRule>
  </conditionalFormatting>
  <conditionalFormatting sqref="R138 R141 R144">
    <cfRule type="cellIs" dxfId="18384" priority="929" operator="greaterThan">
      <formula>1</formula>
    </cfRule>
    <cfRule type="cellIs" dxfId="18383" priority="930" operator="lessThan">
      <formula>0.8</formula>
    </cfRule>
  </conditionalFormatting>
  <conditionalFormatting sqref="P138 P141 P144">
    <cfRule type="cellIs" dxfId="18382" priority="928" operator="greaterThan">
      <formula>0</formula>
    </cfRule>
  </conditionalFormatting>
  <conditionalFormatting sqref="Q148:Q153">
    <cfRule type="cellIs" dxfId="18381" priority="927" operator="lessThan">
      <formula>0</formula>
    </cfRule>
  </conditionalFormatting>
  <conditionalFormatting sqref="R148:R153">
    <cfRule type="cellIs" dxfId="18380" priority="925" operator="lessThan">
      <formula>0.8</formula>
    </cfRule>
    <cfRule type="cellIs" dxfId="18379" priority="926" operator="greaterThan">
      <formula>1</formula>
    </cfRule>
  </conditionalFormatting>
  <conditionalFormatting sqref="R148:R153">
    <cfRule type="cellIs" dxfId="18378" priority="923" operator="greaterThan">
      <formula>1</formula>
    </cfRule>
    <cfRule type="cellIs" dxfId="18377" priority="924" operator="lessThan">
      <formula>0.8</formula>
    </cfRule>
  </conditionalFormatting>
  <conditionalFormatting sqref="P148:P153">
    <cfRule type="cellIs" dxfId="18376" priority="922" operator="greaterThan">
      <formula>0</formula>
    </cfRule>
  </conditionalFormatting>
  <conditionalFormatting sqref="P148:P153">
    <cfRule type="cellIs" dxfId="18375" priority="916" operator="greaterThan">
      <formula>0</formula>
    </cfRule>
  </conditionalFormatting>
  <conditionalFormatting sqref="Q148:Q153">
    <cfRule type="cellIs" dxfId="18374" priority="921" operator="lessThan">
      <formula>0</formula>
    </cfRule>
  </conditionalFormatting>
  <conditionalFormatting sqref="R148:R153">
    <cfRule type="cellIs" dxfId="18373" priority="919" operator="lessThan">
      <formula>0.8</formula>
    </cfRule>
    <cfRule type="cellIs" dxfId="18372" priority="920" operator="greaterThan">
      <formula>1</formula>
    </cfRule>
  </conditionalFormatting>
  <conditionalFormatting sqref="R148:R153">
    <cfRule type="cellIs" dxfId="18371" priority="917" operator="greaterThan">
      <formula>1</formula>
    </cfRule>
    <cfRule type="cellIs" dxfId="18370" priority="918" operator="lessThan">
      <formula>0.8</formula>
    </cfRule>
  </conditionalFormatting>
  <conditionalFormatting sqref="Q148:Q153">
    <cfRule type="cellIs" dxfId="18369" priority="915" operator="lessThan">
      <formula>0</formula>
    </cfRule>
  </conditionalFormatting>
  <conditionalFormatting sqref="R148:R153">
    <cfRule type="cellIs" dxfId="18368" priority="913" operator="lessThan">
      <formula>0.8</formula>
    </cfRule>
    <cfRule type="cellIs" dxfId="18367" priority="914" operator="greaterThan">
      <formula>1</formula>
    </cfRule>
  </conditionalFormatting>
  <conditionalFormatting sqref="R148:R153">
    <cfRule type="cellIs" dxfId="18366" priority="911" operator="greaterThan">
      <formula>1</formula>
    </cfRule>
    <cfRule type="cellIs" dxfId="18365" priority="912" operator="lessThan">
      <formula>0.8</formula>
    </cfRule>
  </conditionalFormatting>
  <conditionalFormatting sqref="P148:P153">
    <cfRule type="cellIs" dxfId="18364" priority="910" operator="greaterThan">
      <formula>0</formula>
    </cfRule>
  </conditionalFormatting>
  <conditionalFormatting sqref="Q148:Q153">
    <cfRule type="cellIs" dxfId="18363" priority="909" operator="lessThan">
      <formula>0</formula>
    </cfRule>
  </conditionalFormatting>
  <conditionalFormatting sqref="R148:R153">
    <cfRule type="cellIs" dxfId="18362" priority="907" operator="lessThan">
      <formula>0.8</formula>
    </cfRule>
    <cfRule type="cellIs" dxfId="18361" priority="908" operator="greaterThan">
      <formula>1</formula>
    </cfRule>
  </conditionalFormatting>
  <conditionalFormatting sqref="R148:R153">
    <cfRule type="cellIs" dxfId="18360" priority="905" operator="greaterThan">
      <formula>1</formula>
    </cfRule>
    <cfRule type="cellIs" dxfId="18359" priority="906" operator="lessThan">
      <formula>0.8</formula>
    </cfRule>
  </conditionalFormatting>
  <conditionalFormatting sqref="P148:P153">
    <cfRule type="cellIs" dxfId="18358" priority="904" operator="greaterThan">
      <formula>0</formula>
    </cfRule>
  </conditionalFormatting>
  <conditionalFormatting sqref="P148:P153">
    <cfRule type="cellIs" dxfId="18357" priority="898" operator="greaterThan">
      <formula>0</formula>
    </cfRule>
  </conditionalFormatting>
  <conditionalFormatting sqref="Q148:Q153">
    <cfRule type="cellIs" dxfId="18356" priority="903" operator="lessThan">
      <formula>0</formula>
    </cfRule>
  </conditionalFormatting>
  <conditionalFormatting sqref="R148:R153">
    <cfRule type="cellIs" dxfId="18355" priority="901" operator="lessThan">
      <formula>0.8</formula>
    </cfRule>
    <cfRule type="cellIs" dxfId="18354" priority="902" operator="greaterThan">
      <formula>1</formula>
    </cfRule>
  </conditionalFormatting>
  <conditionalFormatting sqref="R148:R153">
    <cfRule type="cellIs" dxfId="18353" priority="899" operator="greaterThan">
      <formula>1</formula>
    </cfRule>
    <cfRule type="cellIs" dxfId="18352" priority="900" operator="lessThan">
      <formula>0.8</formula>
    </cfRule>
  </conditionalFormatting>
  <conditionalFormatting sqref="Q148:Q153">
    <cfRule type="cellIs" dxfId="18351" priority="897" operator="lessThan">
      <formula>0</formula>
    </cfRule>
  </conditionalFormatting>
  <conditionalFormatting sqref="R148:R153">
    <cfRule type="cellIs" dxfId="18350" priority="895" operator="lessThan">
      <formula>0.8</formula>
    </cfRule>
    <cfRule type="cellIs" dxfId="18349" priority="896" operator="greaterThan">
      <formula>1</formula>
    </cfRule>
  </conditionalFormatting>
  <conditionalFormatting sqref="R148:R153">
    <cfRule type="cellIs" dxfId="18348" priority="893" operator="greaterThan">
      <formula>1</formula>
    </cfRule>
    <cfRule type="cellIs" dxfId="18347" priority="894" operator="lessThan">
      <formula>0.8</formula>
    </cfRule>
  </conditionalFormatting>
  <conditionalFormatting sqref="P148:P153">
    <cfRule type="cellIs" dxfId="18346" priority="892" operator="greaterThan">
      <formula>0</formula>
    </cfRule>
  </conditionalFormatting>
  <conditionalFormatting sqref="Q148:Q153">
    <cfRule type="cellIs" dxfId="18345" priority="886" operator="lessThan">
      <formula>0</formula>
    </cfRule>
  </conditionalFormatting>
  <conditionalFormatting sqref="P148:P153">
    <cfRule type="cellIs" dxfId="18344" priority="887" operator="greaterThan">
      <formula>0</formula>
    </cfRule>
  </conditionalFormatting>
  <conditionalFormatting sqref="R148:R153">
    <cfRule type="cellIs" dxfId="18343" priority="890" operator="lessThan">
      <formula>0.8</formula>
    </cfRule>
    <cfRule type="cellIs" dxfId="18342" priority="891" operator="greaterThan">
      <formula>1</formula>
    </cfRule>
  </conditionalFormatting>
  <conditionalFormatting sqref="R148:R153">
    <cfRule type="cellIs" dxfId="18341" priority="888" operator="greaterThan">
      <formula>1</formula>
    </cfRule>
    <cfRule type="cellIs" dxfId="18340" priority="889" operator="lessThan">
      <formula>0.8</formula>
    </cfRule>
  </conditionalFormatting>
  <conditionalFormatting sqref="Q148:Q153">
    <cfRule type="cellIs" dxfId="18339" priority="880" operator="lessThan">
      <formula>0</formula>
    </cfRule>
  </conditionalFormatting>
  <conditionalFormatting sqref="R148:R153">
    <cfRule type="cellIs" dxfId="18338" priority="884" operator="lessThan">
      <formula>0.8</formula>
    </cfRule>
    <cfRule type="cellIs" dxfId="18337" priority="885" operator="greaterThan">
      <formula>1</formula>
    </cfRule>
  </conditionalFormatting>
  <conditionalFormatting sqref="R148:R153">
    <cfRule type="cellIs" dxfId="18336" priority="882" operator="greaterThan">
      <formula>1</formula>
    </cfRule>
    <cfRule type="cellIs" dxfId="18335" priority="883" operator="lessThan">
      <formula>0.8</formula>
    </cfRule>
  </conditionalFormatting>
  <conditionalFormatting sqref="P148:P153">
    <cfRule type="cellIs" dxfId="18334" priority="881" operator="greaterThan">
      <formula>0</formula>
    </cfRule>
  </conditionalFormatting>
  <conditionalFormatting sqref="Q148:Q153">
    <cfRule type="cellIs" dxfId="18333" priority="879" operator="lessThan">
      <formula>0</formula>
    </cfRule>
  </conditionalFormatting>
  <conditionalFormatting sqref="R148:R153">
    <cfRule type="cellIs" dxfId="18332" priority="877" operator="lessThan">
      <formula>0.8</formula>
    </cfRule>
    <cfRule type="cellIs" dxfId="18331" priority="878" operator="greaterThan">
      <formula>1</formula>
    </cfRule>
  </conditionalFormatting>
  <conditionalFormatting sqref="R148:R153">
    <cfRule type="cellIs" dxfId="18330" priority="875" operator="greaterThan">
      <formula>1</formula>
    </cfRule>
    <cfRule type="cellIs" dxfId="18329" priority="876" operator="lessThan">
      <formula>0.8</formula>
    </cfRule>
  </conditionalFormatting>
  <conditionalFormatting sqref="P148:P153">
    <cfRule type="cellIs" dxfId="18328" priority="874" operator="greaterThan">
      <formula>0</formula>
    </cfRule>
  </conditionalFormatting>
  <conditionalFormatting sqref="Q148:Q153">
    <cfRule type="cellIs" dxfId="18327" priority="873" operator="lessThan">
      <formula>0</formula>
    </cfRule>
  </conditionalFormatting>
  <conditionalFormatting sqref="R148:R153">
    <cfRule type="cellIs" dxfId="18326" priority="871" operator="lessThan">
      <formula>0.8</formula>
    </cfRule>
    <cfRule type="cellIs" dxfId="18325" priority="872" operator="greaterThan">
      <formula>1</formula>
    </cfRule>
  </conditionalFormatting>
  <conditionalFormatting sqref="R148:R153">
    <cfRule type="cellIs" dxfId="18324" priority="869" operator="greaterThan">
      <formula>1</formula>
    </cfRule>
    <cfRule type="cellIs" dxfId="18323" priority="870" operator="lessThan">
      <formula>0.8</formula>
    </cfRule>
  </conditionalFormatting>
  <conditionalFormatting sqref="P148:P153">
    <cfRule type="cellIs" dxfId="18322" priority="868" operator="greaterThan">
      <formula>0</formula>
    </cfRule>
  </conditionalFormatting>
  <conditionalFormatting sqref="Q148:Q153">
    <cfRule type="cellIs" dxfId="18321" priority="867" operator="lessThan">
      <formula>0</formula>
    </cfRule>
  </conditionalFormatting>
  <conditionalFormatting sqref="R148:R153">
    <cfRule type="cellIs" dxfId="18320" priority="865" operator="lessThan">
      <formula>0.8</formula>
    </cfRule>
    <cfRule type="cellIs" dxfId="18319" priority="866" operator="greaterThan">
      <formula>1</formula>
    </cfRule>
  </conditionalFormatting>
  <conditionalFormatting sqref="R148:R153">
    <cfRule type="cellIs" dxfId="18318" priority="863" operator="greaterThan">
      <formula>1</formula>
    </cfRule>
    <cfRule type="cellIs" dxfId="18317" priority="864" operator="lessThan">
      <formula>0.8</formula>
    </cfRule>
  </conditionalFormatting>
  <conditionalFormatting sqref="P148:P153">
    <cfRule type="cellIs" dxfId="18316" priority="862" operator="greaterThan">
      <formula>0</formula>
    </cfRule>
  </conditionalFormatting>
  <conditionalFormatting sqref="Q148:Q153">
    <cfRule type="cellIs" dxfId="18315" priority="861" operator="lessThan">
      <formula>0</formula>
    </cfRule>
  </conditionalFormatting>
  <conditionalFormatting sqref="R148:R153">
    <cfRule type="cellIs" dxfId="18314" priority="859" operator="lessThan">
      <formula>0.8</formula>
    </cfRule>
    <cfRule type="cellIs" dxfId="18313" priority="860" operator="greaterThan">
      <formula>1</formula>
    </cfRule>
  </conditionalFormatting>
  <conditionalFormatting sqref="R148:R153">
    <cfRule type="cellIs" dxfId="18312" priority="857" operator="greaterThan">
      <formula>1</formula>
    </cfRule>
    <cfRule type="cellIs" dxfId="18311" priority="858" operator="lessThan">
      <formula>0.8</formula>
    </cfRule>
  </conditionalFormatting>
  <conditionalFormatting sqref="P148:P153">
    <cfRule type="cellIs" dxfId="18310" priority="856" operator="greaterThan">
      <formula>0</formula>
    </cfRule>
  </conditionalFormatting>
  <conditionalFormatting sqref="Q148:Q153">
    <cfRule type="cellIs" dxfId="18309" priority="855" operator="lessThan">
      <formula>0</formula>
    </cfRule>
  </conditionalFormatting>
  <conditionalFormatting sqref="R148:R153">
    <cfRule type="cellIs" dxfId="18308" priority="853" operator="lessThan">
      <formula>0.8</formula>
    </cfRule>
    <cfRule type="cellIs" dxfId="18307" priority="854" operator="greaterThan">
      <formula>1</formula>
    </cfRule>
  </conditionalFormatting>
  <conditionalFormatting sqref="R148:R153">
    <cfRule type="cellIs" dxfId="18306" priority="851" operator="greaterThan">
      <formula>1</formula>
    </cfRule>
    <cfRule type="cellIs" dxfId="18305" priority="852" operator="lessThan">
      <formula>0.8</formula>
    </cfRule>
  </conditionalFormatting>
  <conditionalFormatting sqref="P148:P153">
    <cfRule type="cellIs" dxfId="18304" priority="850" operator="greaterThan">
      <formula>0</formula>
    </cfRule>
  </conditionalFormatting>
  <conditionalFormatting sqref="Q148:Q153">
    <cfRule type="cellIs" dxfId="18303" priority="849" operator="lessThan">
      <formula>0</formula>
    </cfRule>
  </conditionalFormatting>
  <conditionalFormatting sqref="R148:R153">
    <cfRule type="cellIs" dxfId="18302" priority="847" operator="lessThan">
      <formula>0.8</formula>
    </cfRule>
    <cfRule type="cellIs" dxfId="18301" priority="848" operator="greaterThan">
      <formula>1</formula>
    </cfRule>
  </conditionalFormatting>
  <conditionalFormatting sqref="R148:R153">
    <cfRule type="cellIs" dxfId="18300" priority="845" operator="greaterThan">
      <formula>1</formula>
    </cfRule>
    <cfRule type="cellIs" dxfId="18299" priority="846" operator="lessThan">
      <formula>0.8</formula>
    </cfRule>
  </conditionalFormatting>
  <conditionalFormatting sqref="P148:P153">
    <cfRule type="cellIs" dxfId="18298" priority="844" operator="greaterThan">
      <formula>0</formula>
    </cfRule>
  </conditionalFormatting>
  <conditionalFormatting sqref="Q148:Q153">
    <cfRule type="cellIs" dxfId="18297" priority="843" operator="lessThan">
      <formula>0</formula>
    </cfRule>
  </conditionalFormatting>
  <conditionalFormatting sqref="R148:R153">
    <cfRule type="cellIs" dxfId="18296" priority="841" operator="lessThan">
      <formula>0.8</formula>
    </cfRule>
    <cfRule type="cellIs" dxfId="18295" priority="842" operator="greaterThan">
      <formula>1</formula>
    </cfRule>
  </conditionalFormatting>
  <conditionalFormatting sqref="R148:R153">
    <cfRule type="cellIs" dxfId="18294" priority="839" operator="greaterThan">
      <formula>1</formula>
    </cfRule>
    <cfRule type="cellIs" dxfId="18293" priority="840" operator="lessThan">
      <formula>0.8</formula>
    </cfRule>
  </conditionalFormatting>
  <conditionalFormatting sqref="P148:P153">
    <cfRule type="cellIs" dxfId="18292" priority="838" operator="greaterThan">
      <formula>0</formula>
    </cfRule>
  </conditionalFormatting>
  <conditionalFormatting sqref="P148:P153">
    <cfRule type="cellIs" dxfId="18291" priority="832" operator="greaterThan">
      <formula>0</formula>
    </cfRule>
  </conditionalFormatting>
  <conditionalFormatting sqref="Q148:Q153">
    <cfRule type="cellIs" dxfId="18290" priority="837" operator="lessThan">
      <formula>0</formula>
    </cfRule>
  </conditionalFormatting>
  <conditionalFormatting sqref="R148:R153">
    <cfRule type="cellIs" dxfId="18289" priority="835" operator="lessThan">
      <formula>0.8</formula>
    </cfRule>
    <cfRule type="cellIs" dxfId="18288" priority="836" operator="greaterThan">
      <formula>1</formula>
    </cfRule>
  </conditionalFormatting>
  <conditionalFormatting sqref="R148:R153">
    <cfRule type="cellIs" dxfId="18287" priority="833" operator="greaterThan">
      <formula>1</formula>
    </cfRule>
    <cfRule type="cellIs" dxfId="18286" priority="834" operator="lessThan">
      <formula>0.8</formula>
    </cfRule>
  </conditionalFormatting>
  <conditionalFormatting sqref="P148:P153">
    <cfRule type="cellIs" dxfId="18285" priority="826" operator="greaterThan">
      <formula>0</formula>
    </cfRule>
  </conditionalFormatting>
  <conditionalFormatting sqref="Q148:Q153">
    <cfRule type="cellIs" dxfId="18284" priority="831" operator="lessThan">
      <formula>0</formula>
    </cfRule>
  </conditionalFormatting>
  <conditionalFormatting sqref="R148:R153">
    <cfRule type="cellIs" dxfId="18283" priority="829" operator="lessThan">
      <formula>0.8</formula>
    </cfRule>
    <cfRule type="cellIs" dxfId="18282" priority="830" operator="greaterThan">
      <formula>1</formula>
    </cfRule>
  </conditionalFormatting>
  <conditionalFormatting sqref="R148:R153">
    <cfRule type="cellIs" dxfId="18281" priority="827" operator="greaterThan">
      <formula>1</formula>
    </cfRule>
    <cfRule type="cellIs" dxfId="18280" priority="828" operator="lessThan">
      <formula>0.8</formula>
    </cfRule>
  </conditionalFormatting>
  <conditionalFormatting sqref="R148:R153">
    <cfRule type="cellIs" dxfId="18279" priority="823" operator="lessThan">
      <formula>0.8</formula>
    </cfRule>
    <cfRule type="cellIs" dxfId="18278" priority="824" operator="greaterThan">
      <formula>1</formula>
    </cfRule>
  </conditionalFormatting>
  <conditionalFormatting sqref="R148:R153">
    <cfRule type="cellIs" dxfId="18277" priority="821" operator="greaterThan">
      <formula>1</formula>
    </cfRule>
    <cfRule type="cellIs" dxfId="18276" priority="822" operator="lessThan">
      <formula>0.8</formula>
    </cfRule>
  </conditionalFormatting>
  <conditionalFormatting sqref="P148:P153">
    <cfRule type="cellIs" dxfId="18275" priority="820" operator="greaterThan">
      <formula>0</formula>
    </cfRule>
  </conditionalFormatting>
  <conditionalFormatting sqref="Q148:Q153">
    <cfRule type="cellIs" dxfId="18274" priority="825" operator="lessThan">
      <formula>0</formula>
    </cfRule>
  </conditionalFormatting>
  <conditionalFormatting sqref="Q148:Q153">
    <cfRule type="cellIs" dxfId="18273" priority="819" operator="lessThan">
      <formula>0</formula>
    </cfRule>
  </conditionalFormatting>
  <conditionalFormatting sqref="R148:R153">
    <cfRule type="cellIs" dxfId="18272" priority="817" operator="lessThan">
      <formula>0.8</formula>
    </cfRule>
    <cfRule type="cellIs" dxfId="18271" priority="818" operator="greaterThan">
      <formula>1</formula>
    </cfRule>
  </conditionalFormatting>
  <conditionalFormatting sqref="R148:R153">
    <cfRule type="cellIs" dxfId="18270" priority="815" operator="greaterThan">
      <formula>1</formula>
    </cfRule>
    <cfRule type="cellIs" dxfId="18269" priority="816" operator="lessThan">
      <formula>0.8</formula>
    </cfRule>
  </conditionalFormatting>
  <conditionalFormatting sqref="P148:P153">
    <cfRule type="cellIs" dxfId="18268" priority="814" operator="greaterThan">
      <formula>0</formula>
    </cfRule>
  </conditionalFormatting>
  <conditionalFormatting sqref="P148:P153">
    <cfRule type="cellIs" dxfId="18267" priority="808" operator="greaterThan">
      <formula>0</formula>
    </cfRule>
  </conditionalFormatting>
  <conditionalFormatting sqref="Q148:Q153">
    <cfRule type="cellIs" dxfId="18266" priority="813" operator="lessThan">
      <formula>0</formula>
    </cfRule>
  </conditionalFormatting>
  <conditionalFormatting sqref="R148:R153">
    <cfRule type="cellIs" dxfId="18265" priority="811" operator="lessThan">
      <formula>0.8</formula>
    </cfRule>
    <cfRule type="cellIs" dxfId="18264" priority="812" operator="greaterThan">
      <formula>1</formula>
    </cfRule>
  </conditionalFormatting>
  <conditionalFormatting sqref="R148:R153">
    <cfRule type="cellIs" dxfId="18263" priority="809" operator="greaterThan">
      <formula>1</formula>
    </cfRule>
    <cfRule type="cellIs" dxfId="18262" priority="810" operator="lessThan">
      <formula>0.8</formula>
    </cfRule>
  </conditionalFormatting>
  <conditionalFormatting sqref="P148:P153">
    <cfRule type="cellIs" dxfId="18261" priority="802" operator="greaterThan">
      <formula>0</formula>
    </cfRule>
  </conditionalFormatting>
  <conditionalFormatting sqref="Q148:Q153">
    <cfRule type="cellIs" dxfId="18260" priority="807" operator="lessThan">
      <formula>0</formula>
    </cfRule>
  </conditionalFormatting>
  <conditionalFormatting sqref="R148:R153">
    <cfRule type="cellIs" dxfId="18259" priority="805" operator="lessThan">
      <formula>0.8</formula>
    </cfRule>
    <cfRule type="cellIs" dxfId="18258" priority="806" operator="greaterThan">
      <formula>1</formula>
    </cfRule>
  </conditionalFormatting>
  <conditionalFormatting sqref="R148:R153">
    <cfRule type="cellIs" dxfId="18257" priority="803" operator="greaterThan">
      <formula>1</formula>
    </cfRule>
    <cfRule type="cellIs" dxfId="18256" priority="804" operator="lessThan">
      <formula>0.8</formula>
    </cfRule>
  </conditionalFormatting>
  <conditionalFormatting sqref="R148:R153">
    <cfRule type="cellIs" dxfId="18255" priority="799" operator="lessThan">
      <formula>0.8</formula>
    </cfRule>
    <cfRule type="cellIs" dxfId="18254" priority="800" operator="greaterThan">
      <formula>1</formula>
    </cfRule>
  </conditionalFormatting>
  <conditionalFormatting sqref="R148:R153">
    <cfRule type="cellIs" dxfId="18253" priority="797" operator="greaterThan">
      <formula>1</formula>
    </cfRule>
    <cfRule type="cellIs" dxfId="18252" priority="798" operator="lessThan">
      <formula>0.8</formula>
    </cfRule>
  </conditionalFormatting>
  <conditionalFormatting sqref="P148:P153">
    <cfRule type="cellIs" dxfId="18251" priority="796" operator="greaterThan">
      <formula>0</formula>
    </cfRule>
  </conditionalFormatting>
  <conditionalFormatting sqref="Q148:Q153">
    <cfRule type="cellIs" dxfId="18250" priority="801" operator="lessThan">
      <formula>0</formula>
    </cfRule>
  </conditionalFormatting>
  <conditionalFormatting sqref="P148:P153">
    <cfRule type="cellIs" dxfId="18249" priority="790" operator="greaterThan">
      <formula>0</formula>
    </cfRule>
  </conditionalFormatting>
  <conditionalFormatting sqref="Q148:Q153">
    <cfRule type="cellIs" dxfId="18248" priority="795" operator="lessThan">
      <formula>0</formula>
    </cfRule>
  </conditionalFormatting>
  <conditionalFormatting sqref="R148:R153">
    <cfRule type="cellIs" dxfId="18247" priority="793" operator="lessThan">
      <formula>0.8</formula>
    </cfRule>
    <cfRule type="cellIs" dxfId="18246" priority="794" operator="greaterThan">
      <formula>1</formula>
    </cfRule>
  </conditionalFormatting>
  <conditionalFormatting sqref="R148:R153">
    <cfRule type="cellIs" dxfId="18245" priority="791" operator="greaterThan">
      <formula>1</formula>
    </cfRule>
    <cfRule type="cellIs" dxfId="18244" priority="792" operator="lessThan">
      <formula>0.8</formula>
    </cfRule>
  </conditionalFormatting>
  <conditionalFormatting sqref="R148:R153">
    <cfRule type="cellIs" dxfId="18243" priority="787" operator="lessThan">
      <formula>0.8</formula>
    </cfRule>
    <cfRule type="cellIs" dxfId="18242" priority="788" operator="greaterThan">
      <formula>1</formula>
    </cfRule>
  </conditionalFormatting>
  <conditionalFormatting sqref="R148:R153">
    <cfRule type="cellIs" dxfId="18241" priority="785" operator="greaterThan">
      <formula>1</formula>
    </cfRule>
    <cfRule type="cellIs" dxfId="18240" priority="786" operator="lessThan">
      <formula>0.8</formula>
    </cfRule>
  </conditionalFormatting>
  <conditionalFormatting sqref="P148:P153">
    <cfRule type="cellIs" dxfId="18239" priority="784" operator="greaterThan">
      <formula>0</formula>
    </cfRule>
  </conditionalFormatting>
  <conditionalFormatting sqref="Q148:Q153">
    <cfRule type="cellIs" dxfId="18238" priority="789" operator="lessThan">
      <formula>0</formula>
    </cfRule>
  </conditionalFormatting>
  <conditionalFormatting sqref="R148:R153">
    <cfRule type="cellIs" dxfId="18237" priority="781" operator="lessThan">
      <formula>0.8</formula>
    </cfRule>
    <cfRule type="cellIs" dxfId="18236" priority="782" operator="greaterThan">
      <formula>1</formula>
    </cfRule>
  </conditionalFormatting>
  <conditionalFormatting sqref="R148:R153">
    <cfRule type="cellIs" dxfId="18235" priority="779" operator="greaterThan">
      <formula>1</formula>
    </cfRule>
    <cfRule type="cellIs" dxfId="18234" priority="780" operator="lessThan">
      <formula>0.8</formula>
    </cfRule>
  </conditionalFormatting>
  <conditionalFormatting sqref="P148:P153">
    <cfRule type="cellIs" dxfId="18233" priority="778" operator="greaterThan">
      <formula>0</formula>
    </cfRule>
  </conditionalFormatting>
  <conditionalFormatting sqref="Q148:Q153">
    <cfRule type="cellIs" dxfId="18232" priority="783" operator="lessThan">
      <formula>0</formula>
    </cfRule>
  </conditionalFormatting>
  <conditionalFormatting sqref="Q148:Q153">
    <cfRule type="cellIs" dxfId="18231" priority="777" operator="lessThan">
      <formula>0</formula>
    </cfRule>
  </conditionalFormatting>
  <conditionalFormatting sqref="R148:R153">
    <cfRule type="cellIs" dxfId="18230" priority="775" operator="lessThan">
      <formula>0.8</formula>
    </cfRule>
    <cfRule type="cellIs" dxfId="18229" priority="776" operator="greaterThan">
      <formula>1</formula>
    </cfRule>
  </conditionalFormatting>
  <conditionalFormatting sqref="R148:R153">
    <cfRule type="cellIs" dxfId="18228" priority="773" operator="greaterThan">
      <formula>1</formula>
    </cfRule>
    <cfRule type="cellIs" dxfId="18227" priority="774" operator="lessThan">
      <formula>0.8</formula>
    </cfRule>
  </conditionalFormatting>
  <conditionalFormatting sqref="P148:P153">
    <cfRule type="cellIs" dxfId="18226" priority="772" operator="greaterThan">
      <formula>0</formula>
    </cfRule>
  </conditionalFormatting>
  <conditionalFormatting sqref="Q148:Q153">
    <cfRule type="cellIs" dxfId="18225" priority="766" operator="lessThan">
      <formula>0</formula>
    </cfRule>
  </conditionalFormatting>
  <conditionalFormatting sqref="R148:R153">
    <cfRule type="cellIs" dxfId="18224" priority="770" operator="lessThan">
      <formula>0.8</formula>
    </cfRule>
    <cfRule type="cellIs" dxfId="18223" priority="771" operator="greaterThan">
      <formula>1</formula>
    </cfRule>
  </conditionalFormatting>
  <conditionalFormatting sqref="R148:R153">
    <cfRule type="cellIs" dxfId="18222" priority="768" operator="greaterThan">
      <formula>1</formula>
    </cfRule>
    <cfRule type="cellIs" dxfId="18221" priority="769" operator="lessThan">
      <formula>0.8</formula>
    </cfRule>
  </conditionalFormatting>
  <conditionalFormatting sqref="P148:P153">
    <cfRule type="cellIs" dxfId="18220" priority="767" operator="greaterThan">
      <formula>0</formula>
    </cfRule>
  </conditionalFormatting>
  <conditionalFormatting sqref="Q148:Q153">
    <cfRule type="cellIs" dxfId="18219" priority="765" operator="lessThan">
      <formula>0</formula>
    </cfRule>
  </conditionalFormatting>
  <conditionalFormatting sqref="R148:R153">
    <cfRule type="cellIs" dxfId="18218" priority="763" operator="lessThan">
      <formula>0.8</formula>
    </cfRule>
    <cfRule type="cellIs" dxfId="18217" priority="764" operator="greaterThan">
      <formula>1</formula>
    </cfRule>
  </conditionalFormatting>
  <conditionalFormatting sqref="R148:R153">
    <cfRule type="cellIs" dxfId="18216" priority="761" operator="greaterThan">
      <formula>1</formula>
    </cfRule>
    <cfRule type="cellIs" dxfId="18215" priority="762" operator="lessThan">
      <formula>0.8</formula>
    </cfRule>
  </conditionalFormatting>
  <conditionalFormatting sqref="P148:P153">
    <cfRule type="cellIs" dxfId="18214" priority="760" operator="greaterThan">
      <formula>0</formula>
    </cfRule>
  </conditionalFormatting>
  <conditionalFormatting sqref="Q148:Q153">
    <cfRule type="cellIs" dxfId="18213" priority="759" operator="lessThan">
      <formula>0</formula>
    </cfRule>
  </conditionalFormatting>
  <conditionalFormatting sqref="R148:R153">
    <cfRule type="cellIs" dxfId="18212" priority="757" operator="lessThan">
      <formula>0.8</formula>
    </cfRule>
    <cfRule type="cellIs" dxfId="18211" priority="758" operator="greaterThan">
      <formula>1</formula>
    </cfRule>
  </conditionalFormatting>
  <conditionalFormatting sqref="R148:R153">
    <cfRule type="cellIs" dxfId="18210" priority="755" operator="greaterThan">
      <formula>1</formula>
    </cfRule>
    <cfRule type="cellIs" dxfId="18209" priority="756" operator="lessThan">
      <formula>0.8</formula>
    </cfRule>
  </conditionalFormatting>
  <conditionalFormatting sqref="P148:P153">
    <cfRule type="cellIs" dxfId="18208" priority="754" operator="greaterThan">
      <formula>0</formula>
    </cfRule>
  </conditionalFormatting>
  <conditionalFormatting sqref="Q148:Q153">
    <cfRule type="cellIs" dxfId="18207" priority="753" operator="lessThan">
      <formula>0</formula>
    </cfRule>
  </conditionalFormatting>
  <conditionalFormatting sqref="R148:R153">
    <cfRule type="cellIs" dxfId="18206" priority="751" operator="lessThan">
      <formula>0.8</formula>
    </cfRule>
    <cfRule type="cellIs" dxfId="18205" priority="752" operator="greaterThan">
      <formula>1</formula>
    </cfRule>
  </conditionalFormatting>
  <conditionalFormatting sqref="R148:R153">
    <cfRule type="cellIs" dxfId="18204" priority="749" operator="greaterThan">
      <formula>1</formula>
    </cfRule>
    <cfRule type="cellIs" dxfId="18203" priority="750" operator="lessThan">
      <formula>0.8</formula>
    </cfRule>
  </conditionalFormatting>
  <conditionalFormatting sqref="P148:P153">
    <cfRule type="cellIs" dxfId="18202" priority="748" operator="greaterThan">
      <formula>0</formula>
    </cfRule>
  </conditionalFormatting>
  <conditionalFormatting sqref="Q148:Q153">
    <cfRule type="cellIs" dxfId="18201" priority="747" operator="lessThan">
      <formula>0</formula>
    </cfRule>
  </conditionalFormatting>
  <conditionalFormatting sqref="R148:R153">
    <cfRule type="cellIs" dxfId="18200" priority="745" operator="lessThan">
      <formula>0.8</formula>
    </cfRule>
    <cfRule type="cellIs" dxfId="18199" priority="746" operator="greaterThan">
      <formula>1</formula>
    </cfRule>
  </conditionalFormatting>
  <conditionalFormatting sqref="R148:R153">
    <cfRule type="cellIs" dxfId="18198" priority="743" operator="greaterThan">
      <formula>1</formula>
    </cfRule>
    <cfRule type="cellIs" dxfId="18197" priority="744" operator="lessThan">
      <formula>0.8</formula>
    </cfRule>
  </conditionalFormatting>
  <conditionalFormatting sqref="P148:P153">
    <cfRule type="cellIs" dxfId="18196" priority="742" operator="greaterThan">
      <formula>0</formula>
    </cfRule>
  </conditionalFormatting>
  <conditionalFormatting sqref="Q148:Q153">
    <cfRule type="cellIs" dxfId="18195" priority="741" operator="lessThan">
      <formula>0</formula>
    </cfRule>
  </conditionalFormatting>
  <conditionalFormatting sqref="R148:R153">
    <cfRule type="cellIs" dxfId="18194" priority="739" operator="lessThan">
      <formula>0.8</formula>
    </cfRule>
    <cfRule type="cellIs" dxfId="18193" priority="740" operator="greaterThan">
      <formula>1</formula>
    </cfRule>
  </conditionalFormatting>
  <conditionalFormatting sqref="R148:R153">
    <cfRule type="cellIs" dxfId="18192" priority="737" operator="greaterThan">
      <formula>1</formula>
    </cfRule>
    <cfRule type="cellIs" dxfId="18191" priority="738" operator="lessThan">
      <formula>0.8</formula>
    </cfRule>
  </conditionalFormatting>
  <conditionalFormatting sqref="P148:P153">
    <cfRule type="cellIs" dxfId="18190" priority="736" operator="greaterThan">
      <formula>0</formula>
    </cfRule>
  </conditionalFormatting>
  <conditionalFormatting sqref="P148:P153">
    <cfRule type="cellIs" dxfId="18189" priority="730" operator="greaterThan">
      <formula>0</formula>
    </cfRule>
  </conditionalFormatting>
  <conditionalFormatting sqref="Q148:Q153">
    <cfRule type="cellIs" dxfId="18188" priority="735" operator="lessThan">
      <formula>0</formula>
    </cfRule>
  </conditionalFormatting>
  <conditionalFormatting sqref="R148:R153">
    <cfRule type="cellIs" dxfId="18187" priority="733" operator="lessThan">
      <formula>0.8</formula>
    </cfRule>
    <cfRule type="cellIs" dxfId="18186" priority="734" operator="greaterThan">
      <formula>1</formula>
    </cfRule>
  </conditionalFormatting>
  <conditionalFormatting sqref="R148:R153">
    <cfRule type="cellIs" dxfId="18185" priority="731" operator="greaterThan">
      <formula>1</formula>
    </cfRule>
    <cfRule type="cellIs" dxfId="18184" priority="732" operator="lessThan">
      <formula>0.8</formula>
    </cfRule>
  </conditionalFormatting>
  <conditionalFormatting sqref="P148:P153">
    <cfRule type="cellIs" dxfId="18183" priority="724" operator="greaterThan">
      <formula>0</formula>
    </cfRule>
  </conditionalFormatting>
  <conditionalFormatting sqref="Q148:Q153">
    <cfRule type="cellIs" dxfId="18182" priority="729" operator="lessThan">
      <formula>0</formula>
    </cfRule>
  </conditionalFormatting>
  <conditionalFormatting sqref="R148:R153">
    <cfRule type="cellIs" dxfId="18181" priority="727" operator="lessThan">
      <formula>0.8</formula>
    </cfRule>
    <cfRule type="cellIs" dxfId="18180" priority="728" operator="greaterThan">
      <formula>1</formula>
    </cfRule>
  </conditionalFormatting>
  <conditionalFormatting sqref="R148:R153">
    <cfRule type="cellIs" dxfId="18179" priority="725" operator="greaterThan">
      <formula>1</formula>
    </cfRule>
    <cfRule type="cellIs" dxfId="18178" priority="726" operator="lessThan">
      <formula>0.8</formula>
    </cfRule>
  </conditionalFormatting>
  <conditionalFormatting sqref="R148:R153">
    <cfRule type="cellIs" dxfId="18177" priority="721" operator="lessThan">
      <formula>0.8</formula>
    </cfRule>
    <cfRule type="cellIs" dxfId="18176" priority="722" operator="greaterThan">
      <formula>1</formula>
    </cfRule>
  </conditionalFormatting>
  <conditionalFormatting sqref="R148:R153">
    <cfRule type="cellIs" dxfId="18175" priority="719" operator="greaterThan">
      <formula>1</formula>
    </cfRule>
    <cfRule type="cellIs" dxfId="18174" priority="720" operator="lessThan">
      <formula>0.8</formula>
    </cfRule>
  </conditionalFormatting>
  <conditionalFormatting sqref="P148:P153">
    <cfRule type="cellIs" dxfId="18173" priority="718" operator="greaterThan">
      <formula>0</formula>
    </cfRule>
  </conditionalFormatting>
  <conditionalFormatting sqref="Q148:Q153">
    <cfRule type="cellIs" dxfId="18172" priority="723" operator="lessThan">
      <formula>0</formula>
    </cfRule>
  </conditionalFormatting>
  <conditionalFormatting sqref="P44:P51">
    <cfRule type="cellIs" dxfId="18171" priority="712" operator="greaterThan">
      <formula>0</formula>
    </cfRule>
  </conditionalFormatting>
  <conditionalFormatting sqref="Q44:Q51">
    <cfRule type="cellIs" dxfId="18170" priority="717" operator="lessThan">
      <formula>0</formula>
    </cfRule>
  </conditionalFormatting>
  <conditionalFormatting sqref="R44:R51">
    <cfRule type="cellIs" dxfId="18169" priority="715" operator="lessThan">
      <formula>0.8</formula>
    </cfRule>
    <cfRule type="cellIs" dxfId="18168" priority="716" operator="greaterThan">
      <formula>1</formula>
    </cfRule>
  </conditionalFormatting>
  <conditionalFormatting sqref="R44:R51">
    <cfRule type="cellIs" dxfId="18167" priority="713" operator="greaterThan">
      <formula>1</formula>
    </cfRule>
    <cfRule type="cellIs" dxfId="18166" priority="714" operator="lessThan">
      <formula>0.8</formula>
    </cfRule>
  </conditionalFormatting>
  <conditionalFormatting sqref="Q84:Q91">
    <cfRule type="cellIs" dxfId="18165" priority="711" operator="lessThan">
      <formula>0</formula>
    </cfRule>
  </conditionalFormatting>
  <conditionalFormatting sqref="R84:R91">
    <cfRule type="cellIs" dxfId="18164" priority="709" operator="lessThan">
      <formula>0.8</formula>
    </cfRule>
    <cfRule type="cellIs" dxfId="18163" priority="710" operator="greaterThan">
      <formula>1</formula>
    </cfRule>
  </conditionalFormatting>
  <conditionalFormatting sqref="R84:R91">
    <cfRule type="cellIs" dxfId="18162" priority="707" operator="greaterThan">
      <formula>1</formula>
    </cfRule>
    <cfRule type="cellIs" dxfId="18161" priority="708" operator="lessThan">
      <formula>0.8</formula>
    </cfRule>
  </conditionalFormatting>
  <conditionalFormatting sqref="P84:P91">
    <cfRule type="cellIs" dxfId="18160" priority="706" operator="greaterThan">
      <formula>0</formula>
    </cfRule>
  </conditionalFormatting>
  <conditionalFormatting sqref="Q84:Q91">
    <cfRule type="cellIs" dxfId="18159" priority="705" operator="lessThan">
      <formula>0</formula>
    </cfRule>
  </conditionalFormatting>
  <conditionalFormatting sqref="R84:R91">
    <cfRule type="cellIs" dxfId="18158" priority="703" operator="lessThan">
      <formula>0.8</formula>
    </cfRule>
    <cfRule type="cellIs" dxfId="18157" priority="704" operator="greaterThan">
      <formula>1</formula>
    </cfRule>
  </conditionalFormatting>
  <conditionalFormatting sqref="R84:R91">
    <cfRule type="cellIs" dxfId="18156" priority="701" operator="greaterThan">
      <formula>1</formula>
    </cfRule>
    <cfRule type="cellIs" dxfId="18155" priority="702" operator="lessThan">
      <formula>0.8</formula>
    </cfRule>
  </conditionalFormatting>
  <conditionalFormatting sqref="P84:P91">
    <cfRule type="cellIs" dxfId="18154" priority="700" operator="greaterThan">
      <formula>0</formula>
    </cfRule>
  </conditionalFormatting>
  <conditionalFormatting sqref="Q84:Q91">
    <cfRule type="cellIs" dxfId="18153" priority="699" operator="lessThan">
      <formula>0</formula>
    </cfRule>
  </conditionalFormatting>
  <conditionalFormatting sqref="R84:R91">
    <cfRule type="cellIs" dxfId="18152" priority="697" operator="lessThan">
      <formula>0.8</formula>
    </cfRule>
    <cfRule type="cellIs" dxfId="18151" priority="698" operator="greaterThan">
      <formula>1</formula>
    </cfRule>
  </conditionalFormatting>
  <conditionalFormatting sqref="R84:R91">
    <cfRule type="cellIs" dxfId="18150" priority="695" operator="greaterThan">
      <formula>1</formula>
    </cfRule>
    <cfRule type="cellIs" dxfId="18149" priority="696" operator="lessThan">
      <formula>0.8</formula>
    </cfRule>
  </conditionalFormatting>
  <conditionalFormatting sqref="P84:P91">
    <cfRule type="cellIs" dxfId="18148" priority="694" operator="greaterThan">
      <formula>0</formula>
    </cfRule>
  </conditionalFormatting>
  <conditionalFormatting sqref="Q84:Q91">
    <cfRule type="cellIs" dxfId="18147" priority="693" operator="lessThan">
      <formula>0</formula>
    </cfRule>
  </conditionalFormatting>
  <conditionalFormatting sqref="R84:R91">
    <cfRule type="cellIs" dxfId="18146" priority="691" operator="lessThan">
      <formula>0.8</formula>
    </cfRule>
    <cfRule type="cellIs" dxfId="18145" priority="692" operator="greaterThan">
      <formula>1</formula>
    </cfRule>
  </conditionalFormatting>
  <conditionalFormatting sqref="R84:R91">
    <cfRule type="cellIs" dxfId="18144" priority="689" operator="greaterThan">
      <formula>1</formula>
    </cfRule>
    <cfRule type="cellIs" dxfId="18143" priority="690" operator="lessThan">
      <formula>0.8</formula>
    </cfRule>
  </conditionalFormatting>
  <conditionalFormatting sqref="P84:P91">
    <cfRule type="cellIs" dxfId="18142" priority="688" operator="greaterThan">
      <formula>0</formula>
    </cfRule>
  </conditionalFormatting>
  <conditionalFormatting sqref="P84:P91">
    <cfRule type="cellIs" dxfId="18141" priority="682" operator="greaterThan">
      <formula>0</formula>
    </cfRule>
  </conditionalFormatting>
  <conditionalFormatting sqref="Q84:Q91">
    <cfRule type="cellIs" dxfId="18140" priority="687" operator="lessThan">
      <formula>0</formula>
    </cfRule>
  </conditionalFormatting>
  <conditionalFormatting sqref="R84:R91">
    <cfRule type="cellIs" dxfId="18139" priority="685" operator="lessThan">
      <formula>0.8</formula>
    </cfRule>
    <cfRule type="cellIs" dxfId="18138" priority="686" operator="greaterThan">
      <formula>1</formula>
    </cfRule>
  </conditionalFormatting>
  <conditionalFormatting sqref="R84:R91">
    <cfRule type="cellIs" dxfId="18137" priority="683" operator="greaterThan">
      <formula>1</formula>
    </cfRule>
    <cfRule type="cellIs" dxfId="18136" priority="684" operator="lessThan">
      <formula>0.8</formula>
    </cfRule>
  </conditionalFormatting>
  <conditionalFormatting sqref="P84:P91">
    <cfRule type="cellIs" dxfId="18135" priority="676" operator="greaterThan">
      <formula>0</formula>
    </cfRule>
  </conditionalFormatting>
  <conditionalFormatting sqref="Q84:Q91">
    <cfRule type="cellIs" dxfId="18134" priority="681" operator="lessThan">
      <formula>0</formula>
    </cfRule>
  </conditionalFormatting>
  <conditionalFormatting sqref="R84:R91">
    <cfRule type="cellIs" dxfId="18133" priority="679" operator="lessThan">
      <formula>0.8</formula>
    </cfRule>
    <cfRule type="cellIs" dxfId="18132" priority="680" operator="greaterThan">
      <formula>1</formula>
    </cfRule>
  </conditionalFormatting>
  <conditionalFormatting sqref="R84:R91">
    <cfRule type="cellIs" dxfId="18131" priority="677" operator="greaterThan">
      <formula>1</formula>
    </cfRule>
    <cfRule type="cellIs" dxfId="18130" priority="678" operator="lessThan">
      <formula>0.8</formula>
    </cfRule>
  </conditionalFormatting>
  <conditionalFormatting sqref="R84:R91">
    <cfRule type="cellIs" dxfId="18129" priority="673" operator="lessThan">
      <formula>0.8</formula>
    </cfRule>
    <cfRule type="cellIs" dxfId="18128" priority="674" operator="greaterThan">
      <formula>1</formula>
    </cfRule>
  </conditionalFormatting>
  <conditionalFormatting sqref="R84:R91">
    <cfRule type="cellIs" dxfId="18127" priority="671" operator="greaterThan">
      <formula>1</formula>
    </cfRule>
    <cfRule type="cellIs" dxfId="18126" priority="672" operator="lessThan">
      <formula>0.8</formula>
    </cfRule>
  </conditionalFormatting>
  <conditionalFormatting sqref="P84:P91">
    <cfRule type="cellIs" dxfId="18125" priority="670" operator="greaterThan">
      <formula>0</formula>
    </cfRule>
  </conditionalFormatting>
  <conditionalFormatting sqref="Q84:Q91">
    <cfRule type="cellIs" dxfId="18124" priority="675" operator="lessThan">
      <formula>0</formula>
    </cfRule>
  </conditionalFormatting>
  <conditionalFormatting sqref="Q84:Q91">
    <cfRule type="cellIs" dxfId="18123" priority="669" operator="lessThan">
      <formula>0</formula>
    </cfRule>
  </conditionalFormatting>
  <conditionalFormatting sqref="R84:R91">
    <cfRule type="cellIs" dxfId="18122" priority="667" operator="lessThan">
      <formula>0.8</formula>
    </cfRule>
    <cfRule type="cellIs" dxfId="18121" priority="668" operator="greaterThan">
      <formula>1</formula>
    </cfRule>
  </conditionalFormatting>
  <conditionalFormatting sqref="R84:R91">
    <cfRule type="cellIs" dxfId="18120" priority="665" operator="greaterThan">
      <formula>1</formula>
    </cfRule>
    <cfRule type="cellIs" dxfId="18119" priority="666" operator="lessThan">
      <formula>0.8</formula>
    </cfRule>
  </conditionalFormatting>
  <conditionalFormatting sqref="P84:P91">
    <cfRule type="cellIs" dxfId="18118" priority="664" operator="greaterThan">
      <formula>0</formula>
    </cfRule>
  </conditionalFormatting>
  <conditionalFormatting sqref="P84:P91">
    <cfRule type="cellIs" dxfId="18117" priority="658" operator="greaterThan">
      <formula>0</formula>
    </cfRule>
  </conditionalFormatting>
  <conditionalFormatting sqref="Q84:Q91">
    <cfRule type="cellIs" dxfId="18116" priority="663" operator="lessThan">
      <formula>0</formula>
    </cfRule>
  </conditionalFormatting>
  <conditionalFormatting sqref="R84:R91">
    <cfRule type="cellIs" dxfId="18115" priority="661" operator="lessThan">
      <formula>0.8</formula>
    </cfRule>
    <cfRule type="cellIs" dxfId="18114" priority="662" operator="greaterThan">
      <formula>1</formula>
    </cfRule>
  </conditionalFormatting>
  <conditionalFormatting sqref="R84:R91">
    <cfRule type="cellIs" dxfId="18113" priority="659" operator="greaterThan">
      <formula>1</formula>
    </cfRule>
    <cfRule type="cellIs" dxfId="18112" priority="660" operator="lessThan">
      <formula>0.8</formula>
    </cfRule>
  </conditionalFormatting>
  <conditionalFormatting sqref="P84:P91">
    <cfRule type="cellIs" dxfId="18111" priority="652" operator="greaterThan">
      <formula>0</formula>
    </cfRule>
  </conditionalFormatting>
  <conditionalFormatting sqref="Q84:Q91">
    <cfRule type="cellIs" dxfId="18110" priority="657" operator="lessThan">
      <formula>0</formula>
    </cfRule>
  </conditionalFormatting>
  <conditionalFormatting sqref="R84:R91">
    <cfRule type="cellIs" dxfId="18109" priority="655" operator="lessThan">
      <formula>0.8</formula>
    </cfRule>
    <cfRule type="cellIs" dxfId="18108" priority="656" operator="greaterThan">
      <formula>1</formula>
    </cfRule>
  </conditionalFormatting>
  <conditionalFormatting sqref="R84:R91">
    <cfRule type="cellIs" dxfId="18107" priority="653" operator="greaterThan">
      <formula>1</formula>
    </cfRule>
    <cfRule type="cellIs" dxfId="18106" priority="654" operator="lessThan">
      <formula>0.8</formula>
    </cfRule>
  </conditionalFormatting>
  <conditionalFormatting sqref="R84:R91">
    <cfRule type="cellIs" dxfId="18105" priority="649" operator="lessThan">
      <formula>0.8</formula>
    </cfRule>
    <cfRule type="cellIs" dxfId="18104" priority="650" operator="greaterThan">
      <formula>1</formula>
    </cfRule>
  </conditionalFormatting>
  <conditionalFormatting sqref="R84:R91">
    <cfRule type="cellIs" dxfId="18103" priority="647" operator="greaterThan">
      <formula>1</formula>
    </cfRule>
    <cfRule type="cellIs" dxfId="18102" priority="648" operator="lessThan">
      <formula>0.8</formula>
    </cfRule>
  </conditionalFormatting>
  <conditionalFormatting sqref="P84:P91">
    <cfRule type="cellIs" dxfId="18101" priority="646" operator="greaterThan">
      <formula>0</formula>
    </cfRule>
  </conditionalFormatting>
  <conditionalFormatting sqref="Q84:Q91">
    <cfRule type="cellIs" dxfId="18100" priority="651" operator="lessThan">
      <formula>0</formula>
    </cfRule>
  </conditionalFormatting>
  <conditionalFormatting sqref="P84:P91">
    <cfRule type="cellIs" dxfId="18099" priority="640" operator="greaterThan">
      <formula>0</formula>
    </cfRule>
  </conditionalFormatting>
  <conditionalFormatting sqref="Q84:Q91">
    <cfRule type="cellIs" dxfId="18098" priority="645" operator="lessThan">
      <formula>0</formula>
    </cfRule>
  </conditionalFormatting>
  <conditionalFormatting sqref="R84:R91">
    <cfRule type="cellIs" dxfId="18097" priority="643" operator="lessThan">
      <formula>0.8</formula>
    </cfRule>
    <cfRule type="cellIs" dxfId="18096" priority="644" operator="greaterThan">
      <formula>1</formula>
    </cfRule>
  </conditionalFormatting>
  <conditionalFormatting sqref="R84:R91">
    <cfRule type="cellIs" dxfId="18095" priority="641" operator="greaterThan">
      <formula>1</formula>
    </cfRule>
    <cfRule type="cellIs" dxfId="18094" priority="642" operator="lessThan">
      <formula>0.8</formula>
    </cfRule>
  </conditionalFormatting>
  <conditionalFormatting sqref="R84:R91">
    <cfRule type="cellIs" dxfId="18093" priority="637" operator="lessThan">
      <formula>0.8</formula>
    </cfRule>
    <cfRule type="cellIs" dxfId="18092" priority="638" operator="greaterThan">
      <formula>1</formula>
    </cfRule>
  </conditionalFormatting>
  <conditionalFormatting sqref="R84:R91">
    <cfRule type="cellIs" dxfId="18091" priority="635" operator="greaterThan">
      <formula>1</formula>
    </cfRule>
    <cfRule type="cellIs" dxfId="18090" priority="636" operator="lessThan">
      <formula>0.8</formula>
    </cfRule>
  </conditionalFormatting>
  <conditionalFormatting sqref="P84:P91">
    <cfRule type="cellIs" dxfId="18089" priority="634" operator="greaterThan">
      <formula>0</formula>
    </cfRule>
  </conditionalFormatting>
  <conditionalFormatting sqref="Q84:Q91">
    <cfRule type="cellIs" dxfId="18088" priority="639" operator="lessThan">
      <formula>0</formula>
    </cfRule>
  </conditionalFormatting>
  <conditionalFormatting sqref="R84:R91">
    <cfRule type="cellIs" dxfId="18087" priority="631" operator="lessThan">
      <formula>0.8</formula>
    </cfRule>
    <cfRule type="cellIs" dxfId="18086" priority="632" operator="greaterThan">
      <formula>1</formula>
    </cfRule>
  </conditionalFormatting>
  <conditionalFormatting sqref="R84:R91">
    <cfRule type="cellIs" dxfId="18085" priority="629" operator="greaterThan">
      <formula>1</formula>
    </cfRule>
    <cfRule type="cellIs" dxfId="18084" priority="630" operator="lessThan">
      <formula>0.8</formula>
    </cfRule>
  </conditionalFormatting>
  <conditionalFormatting sqref="P84:P91">
    <cfRule type="cellIs" dxfId="18083" priority="628" operator="greaterThan">
      <formula>0</formula>
    </cfRule>
  </conditionalFormatting>
  <conditionalFormatting sqref="Q84:Q91">
    <cfRule type="cellIs" dxfId="18082" priority="633" operator="lessThan">
      <formula>0</formula>
    </cfRule>
  </conditionalFormatting>
  <conditionalFormatting sqref="Q84:Q91">
    <cfRule type="cellIs" dxfId="18081" priority="627" operator="lessThan">
      <formula>0</formula>
    </cfRule>
  </conditionalFormatting>
  <conditionalFormatting sqref="R84:R91">
    <cfRule type="cellIs" dxfId="18080" priority="625" operator="lessThan">
      <formula>0.8</formula>
    </cfRule>
    <cfRule type="cellIs" dxfId="18079" priority="626" operator="greaterThan">
      <formula>1</formula>
    </cfRule>
  </conditionalFormatting>
  <conditionalFormatting sqref="R84:R91">
    <cfRule type="cellIs" dxfId="18078" priority="623" operator="greaterThan">
      <formula>1</formula>
    </cfRule>
    <cfRule type="cellIs" dxfId="18077" priority="624" operator="lessThan">
      <formula>0.8</formula>
    </cfRule>
  </conditionalFormatting>
  <conditionalFormatting sqref="P84:P91">
    <cfRule type="cellIs" dxfId="18076" priority="622" operator="greaterThan">
      <formula>0</formula>
    </cfRule>
  </conditionalFormatting>
  <conditionalFormatting sqref="Q84:Q91">
    <cfRule type="cellIs" dxfId="18075" priority="616" operator="lessThan">
      <formula>0</formula>
    </cfRule>
  </conditionalFormatting>
  <conditionalFormatting sqref="R84:R91">
    <cfRule type="cellIs" dxfId="18074" priority="620" operator="lessThan">
      <formula>0.8</formula>
    </cfRule>
    <cfRule type="cellIs" dxfId="18073" priority="621" operator="greaterThan">
      <formula>1</formula>
    </cfRule>
  </conditionalFormatting>
  <conditionalFormatting sqref="R84:R91">
    <cfRule type="cellIs" dxfId="18072" priority="618" operator="greaterThan">
      <formula>1</formula>
    </cfRule>
    <cfRule type="cellIs" dxfId="18071" priority="619" operator="lessThan">
      <formula>0.8</formula>
    </cfRule>
  </conditionalFormatting>
  <conditionalFormatting sqref="P84:P91">
    <cfRule type="cellIs" dxfId="18070" priority="617" operator="greaterThan">
      <formula>0</formula>
    </cfRule>
  </conditionalFormatting>
  <conditionalFormatting sqref="Q84:Q91">
    <cfRule type="cellIs" dxfId="18069" priority="615" operator="lessThan">
      <formula>0</formula>
    </cfRule>
  </conditionalFormatting>
  <conditionalFormatting sqref="R84:R91">
    <cfRule type="cellIs" dxfId="18068" priority="613" operator="lessThan">
      <formula>0.8</formula>
    </cfRule>
    <cfRule type="cellIs" dxfId="18067" priority="614" operator="greaterThan">
      <formula>1</formula>
    </cfRule>
  </conditionalFormatting>
  <conditionalFormatting sqref="R84:R91">
    <cfRule type="cellIs" dxfId="18066" priority="611" operator="greaterThan">
      <formula>1</formula>
    </cfRule>
    <cfRule type="cellIs" dxfId="18065" priority="612" operator="lessThan">
      <formula>0.8</formula>
    </cfRule>
  </conditionalFormatting>
  <conditionalFormatting sqref="P84:P91">
    <cfRule type="cellIs" dxfId="18064" priority="610" operator="greaterThan">
      <formula>0</formula>
    </cfRule>
  </conditionalFormatting>
  <conditionalFormatting sqref="Q84:Q91">
    <cfRule type="cellIs" dxfId="18063" priority="609" operator="lessThan">
      <formula>0</formula>
    </cfRule>
  </conditionalFormatting>
  <conditionalFormatting sqref="R84:R91">
    <cfRule type="cellIs" dxfId="18062" priority="607" operator="lessThan">
      <formula>0.8</formula>
    </cfRule>
    <cfRule type="cellIs" dxfId="18061" priority="608" operator="greaterThan">
      <formula>1</formula>
    </cfRule>
  </conditionalFormatting>
  <conditionalFormatting sqref="R84:R91">
    <cfRule type="cellIs" dxfId="18060" priority="605" operator="greaterThan">
      <formula>1</formula>
    </cfRule>
    <cfRule type="cellIs" dxfId="18059" priority="606" operator="lessThan">
      <formula>0.8</formula>
    </cfRule>
  </conditionalFormatting>
  <conditionalFormatting sqref="P84:P91">
    <cfRule type="cellIs" dxfId="18058" priority="604" operator="greaterThan">
      <formula>0</formula>
    </cfRule>
  </conditionalFormatting>
  <conditionalFormatting sqref="Q84:Q91">
    <cfRule type="cellIs" dxfId="18057" priority="603" operator="lessThan">
      <formula>0</formula>
    </cfRule>
  </conditionalFormatting>
  <conditionalFormatting sqref="R84:R91">
    <cfRule type="cellIs" dxfId="18056" priority="601" operator="lessThan">
      <formula>0.8</formula>
    </cfRule>
    <cfRule type="cellIs" dxfId="18055" priority="602" operator="greaterThan">
      <formula>1</formula>
    </cfRule>
  </conditionalFormatting>
  <conditionalFormatting sqref="R84:R91">
    <cfRule type="cellIs" dxfId="18054" priority="599" operator="greaterThan">
      <formula>1</formula>
    </cfRule>
    <cfRule type="cellIs" dxfId="18053" priority="600" operator="lessThan">
      <formula>0.8</formula>
    </cfRule>
  </conditionalFormatting>
  <conditionalFormatting sqref="P84:P91">
    <cfRule type="cellIs" dxfId="18052" priority="598" operator="greaterThan">
      <formula>0</formula>
    </cfRule>
  </conditionalFormatting>
  <conditionalFormatting sqref="Q84:Q91">
    <cfRule type="cellIs" dxfId="18051" priority="597" operator="lessThan">
      <formula>0</formula>
    </cfRule>
  </conditionalFormatting>
  <conditionalFormatting sqref="R84:R91">
    <cfRule type="cellIs" dxfId="18050" priority="595" operator="lessThan">
      <formula>0.8</formula>
    </cfRule>
    <cfRule type="cellIs" dxfId="18049" priority="596" operator="greaterThan">
      <formula>1</formula>
    </cfRule>
  </conditionalFormatting>
  <conditionalFormatting sqref="R84:R91">
    <cfRule type="cellIs" dxfId="18048" priority="593" operator="greaterThan">
      <formula>1</formula>
    </cfRule>
    <cfRule type="cellIs" dxfId="18047" priority="594" operator="lessThan">
      <formula>0.8</formula>
    </cfRule>
  </conditionalFormatting>
  <conditionalFormatting sqref="P84:P91">
    <cfRule type="cellIs" dxfId="18046" priority="592" operator="greaterThan">
      <formula>0</formula>
    </cfRule>
  </conditionalFormatting>
  <conditionalFormatting sqref="Q84:Q91">
    <cfRule type="cellIs" dxfId="18045" priority="591" operator="lessThan">
      <formula>0</formula>
    </cfRule>
  </conditionalFormatting>
  <conditionalFormatting sqref="R84:R91">
    <cfRule type="cellIs" dxfId="18044" priority="589" operator="lessThan">
      <formula>0.8</formula>
    </cfRule>
    <cfRule type="cellIs" dxfId="18043" priority="590" operator="greaterThan">
      <formula>1</formula>
    </cfRule>
  </conditionalFormatting>
  <conditionalFormatting sqref="R84:R91">
    <cfRule type="cellIs" dxfId="18042" priority="587" operator="greaterThan">
      <formula>1</formula>
    </cfRule>
    <cfRule type="cellIs" dxfId="18041" priority="588" operator="lessThan">
      <formula>0.8</formula>
    </cfRule>
  </conditionalFormatting>
  <conditionalFormatting sqref="P84:P91">
    <cfRule type="cellIs" dxfId="18040" priority="586" operator="greaterThan">
      <formula>0</formula>
    </cfRule>
  </conditionalFormatting>
  <conditionalFormatting sqref="P84:P91">
    <cfRule type="cellIs" dxfId="18039" priority="580" operator="greaterThan">
      <formula>0</formula>
    </cfRule>
  </conditionalFormatting>
  <conditionalFormatting sqref="Q84:Q91">
    <cfRule type="cellIs" dxfId="18038" priority="585" operator="lessThan">
      <formula>0</formula>
    </cfRule>
  </conditionalFormatting>
  <conditionalFormatting sqref="R84:R91">
    <cfRule type="cellIs" dxfId="18037" priority="583" operator="lessThan">
      <formula>0.8</formula>
    </cfRule>
    <cfRule type="cellIs" dxfId="18036" priority="584" operator="greaterThan">
      <formula>1</formula>
    </cfRule>
  </conditionalFormatting>
  <conditionalFormatting sqref="R84:R91">
    <cfRule type="cellIs" dxfId="18035" priority="581" operator="greaterThan">
      <formula>1</formula>
    </cfRule>
    <cfRule type="cellIs" dxfId="18034" priority="582" operator="lessThan">
      <formula>0.8</formula>
    </cfRule>
  </conditionalFormatting>
  <conditionalFormatting sqref="P84:P91">
    <cfRule type="cellIs" dxfId="18033" priority="574" operator="greaterThan">
      <formula>0</formula>
    </cfRule>
  </conditionalFormatting>
  <conditionalFormatting sqref="Q84:Q91">
    <cfRule type="cellIs" dxfId="18032" priority="579" operator="lessThan">
      <formula>0</formula>
    </cfRule>
  </conditionalFormatting>
  <conditionalFormatting sqref="R84:R91">
    <cfRule type="cellIs" dxfId="18031" priority="577" operator="lessThan">
      <formula>0.8</formula>
    </cfRule>
    <cfRule type="cellIs" dxfId="18030" priority="578" operator="greaterThan">
      <formula>1</formula>
    </cfRule>
  </conditionalFormatting>
  <conditionalFormatting sqref="R84:R91">
    <cfRule type="cellIs" dxfId="18029" priority="575" operator="greaterThan">
      <formula>1</formula>
    </cfRule>
    <cfRule type="cellIs" dxfId="18028" priority="576" operator="lessThan">
      <formula>0.8</formula>
    </cfRule>
  </conditionalFormatting>
  <conditionalFormatting sqref="R84:R91">
    <cfRule type="cellIs" dxfId="18027" priority="571" operator="lessThan">
      <formula>0.8</formula>
    </cfRule>
    <cfRule type="cellIs" dxfId="18026" priority="572" operator="greaterThan">
      <formula>1</formula>
    </cfRule>
  </conditionalFormatting>
  <conditionalFormatting sqref="R84:R91">
    <cfRule type="cellIs" dxfId="18025" priority="569" operator="greaterThan">
      <formula>1</formula>
    </cfRule>
    <cfRule type="cellIs" dxfId="18024" priority="570" operator="lessThan">
      <formula>0.8</formula>
    </cfRule>
  </conditionalFormatting>
  <conditionalFormatting sqref="P84:P91">
    <cfRule type="cellIs" dxfId="18023" priority="568" operator="greaterThan">
      <formula>0</formula>
    </cfRule>
  </conditionalFormatting>
  <conditionalFormatting sqref="Q84:Q91">
    <cfRule type="cellIs" dxfId="18022" priority="573" operator="lessThan">
      <formula>0</formula>
    </cfRule>
  </conditionalFormatting>
  <conditionalFormatting sqref="Q84:Q91">
    <cfRule type="cellIs" dxfId="18021" priority="567" operator="lessThan">
      <formula>0</formula>
    </cfRule>
  </conditionalFormatting>
  <conditionalFormatting sqref="R84:R91">
    <cfRule type="cellIs" dxfId="18020" priority="565" operator="lessThan">
      <formula>0.8</formula>
    </cfRule>
    <cfRule type="cellIs" dxfId="18019" priority="566" operator="greaterThan">
      <formula>1</formula>
    </cfRule>
  </conditionalFormatting>
  <conditionalFormatting sqref="R84:R91">
    <cfRule type="cellIs" dxfId="18018" priority="563" operator="greaterThan">
      <formula>1</formula>
    </cfRule>
    <cfRule type="cellIs" dxfId="18017" priority="564" operator="lessThan">
      <formula>0.8</formula>
    </cfRule>
  </conditionalFormatting>
  <conditionalFormatting sqref="P84:P91">
    <cfRule type="cellIs" dxfId="18016" priority="562" operator="greaterThan">
      <formula>0</formula>
    </cfRule>
  </conditionalFormatting>
  <conditionalFormatting sqref="Q84:Q91">
    <cfRule type="cellIs" dxfId="18015" priority="561" operator="lessThan">
      <formula>0</formula>
    </cfRule>
  </conditionalFormatting>
  <conditionalFormatting sqref="R84:R91">
    <cfRule type="cellIs" dxfId="18014" priority="559" operator="lessThan">
      <formula>0.8</formula>
    </cfRule>
    <cfRule type="cellIs" dxfId="18013" priority="560" operator="greaterThan">
      <formula>1</formula>
    </cfRule>
  </conditionalFormatting>
  <conditionalFormatting sqref="R84:R91">
    <cfRule type="cellIs" dxfId="18012" priority="557" operator="greaterThan">
      <formula>1</formula>
    </cfRule>
    <cfRule type="cellIs" dxfId="18011" priority="558" operator="lessThan">
      <formula>0.8</formula>
    </cfRule>
  </conditionalFormatting>
  <conditionalFormatting sqref="P84:P91">
    <cfRule type="cellIs" dxfId="18010" priority="556" operator="greaterThan">
      <formula>0</formula>
    </cfRule>
  </conditionalFormatting>
  <conditionalFormatting sqref="Q84:Q91">
    <cfRule type="cellIs" dxfId="18009" priority="555" operator="lessThan">
      <formula>0</formula>
    </cfRule>
  </conditionalFormatting>
  <conditionalFormatting sqref="R84:R91">
    <cfRule type="cellIs" dxfId="18008" priority="553" operator="lessThan">
      <formula>0.8</formula>
    </cfRule>
    <cfRule type="cellIs" dxfId="18007" priority="554" operator="greaterThan">
      <formula>1</formula>
    </cfRule>
  </conditionalFormatting>
  <conditionalFormatting sqref="R84:R91">
    <cfRule type="cellIs" dxfId="18006" priority="551" operator="greaterThan">
      <formula>1</formula>
    </cfRule>
    <cfRule type="cellIs" dxfId="18005" priority="552" operator="lessThan">
      <formula>0.8</formula>
    </cfRule>
  </conditionalFormatting>
  <conditionalFormatting sqref="P84:P91">
    <cfRule type="cellIs" dxfId="18004" priority="550" operator="greaterThan">
      <formula>0</formula>
    </cfRule>
  </conditionalFormatting>
  <conditionalFormatting sqref="Q84:Q91">
    <cfRule type="cellIs" dxfId="18003" priority="549" operator="lessThan">
      <formula>0</formula>
    </cfRule>
  </conditionalFormatting>
  <conditionalFormatting sqref="R84:R91">
    <cfRule type="cellIs" dxfId="18002" priority="547" operator="lessThan">
      <formula>0.8</formula>
    </cfRule>
    <cfRule type="cellIs" dxfId="18001" priority="548" operator="greaterThan">
      <formula>1</formula>
    </cfRule>
  </conditionalFormatting>
  <conditionalFormatting sqref="R84:R91">
    <cfRule type="cellIs" dxfId="18000" priority="545" operator="greaterThan">
      <formula>1</formula>
    </cfRule>
    <cfRule type="cellIs" dxfId="17999" priority="546" operator="lessThan">
      <formula>0.8</formula>
    </cfRule>
  </conditionalFormatting>
  <conditionalFormatting sqref="P84:P91">
    <cfRule type="cellIs" dxfId="17998" priority="544" operator="greaterThan">
      <formula>0</formula>
    </cfRule>
  </conditionalFormatting>
  <conditionalFormatting sqref="P84:P91">
    <cfRule type="cellIs" dxfId="17997" priority="538" operator="greaterThan">
      <formula>0</formula>
    </cfRule>
  </conditionalFormatting>
  <conditionalFormatting sqref="Q84:Q91">
    <cfRule type="cellIs" dxfId="17996" priority="543" operator="lessThan">
      <formula>0</formula>
    </cfRule>
  </conditionalFormatting>
  <conditionalFormatting sqref="R84:R91">
    <cfRule type="cellIs" dxfId="17995" priority="541" operator="lessThan">
      <formula>0.8</formula>
    </cfRule>
    <cfRule type="cellIs" dxfId="17994" priority="542" operator="greaterThan">
      <formula>1</formula>
    </cfRule>
  </conditionalFormatting>
  <conditionalFormatting sqref="R84:R91">
    <cfRule type="cellIs" dxfId="17993" priority="539" operator="greaterThan">
      <formula>1</formula>
    </cfRule>
    <cfRule type="cellIs" dxfId="17992" priority="540" operator="lessThan">
      <formula>0.8</formula>
    </cfRule>
  </conditionalFormatting>
  <conditionalFormatting sqref="P84:P91">
    <cfRule type="cellIs" dxfId="17991" priority="532" operator="greaterThan">
      <formula>0</formula>
    </cfRule>
  </conditionalFormatting>
  <conditionalFormatting sqref="Q84:Q91">
    <cfRule type="cellIs" dxfId="17990" priority="537" operator="lessThan">
      <formula>0</formula>
    </cfRule>
  </conditionalFormatting>
  <conditionalFormatting sqref="R84:R91">
    <cfRule type="cellIs" dxfId="17989" priority="535" operator="lessThan">
      <formula>0.8</formula>
    </cfRule>
    <cfRule type="cellIs" dxfId="17988" priority="536" operator="greaterThan">
      <formula>1</formula>
    </cfRule>
  </conditionalFormatting>
  <conditionalFormatting sqref="R84:R91">
    <cfRule type="cellIs" dxfId="17987" priority="533" operator="greaterThan">
      <formula>1</formula>
    </cfRule>
    <cfRule type="cellIs" dxfId="17986" priority="534" operator="lessThan">
      <formula>0.8</formula>
    </cfRule>
  </conditionalFormatting>
  <conditionalFormatting sqref="R84:R91">
    <cfRule type="cellIs" dxfId="17985" priority="529" operator="lessThan">
      <formula>0.8</formula>
    </cfRule>
    <cfRule type="cellIs" dxfId="17984" priority="530" operator="greaterThan">
      <formula>1</formula>
    </cfRule>
  </conditionalFormatting>
  <conditionalFormatting sqref="R84:R91">
    <cfRule type="cellIs" dxfId="17983" priority="527" operator="greaterThan">
      <formula>1</formula>
    </cfRule>
    <cfRule type="cellIs" dxfId="17982" priority="528" operator="lessThan">
      <formula>0.8</formula>
    </cfRule>
  </conditionalFormatting>
  <conditionalFormatting sqref="P84:P91">
    <cfRule type="cellIs" dxfId="17981" priority="526" operator="greaterThan">
      <formula>0</formula>
    </cfRule>
  </conditionalFormatting>
  <conditionalFormatting sqref="Q84:Q91">
    <cfRule type="cellIs" dxfId="17980" priority="531" operator="lessThan">
      <formula>0</formula>
    </cfRule>
  </conditionalFormatting>
  <conditionalFormatting sqref="Q84:Q91">
    <cfRule type="cellIs" dxfId="17979" priority="525" operator="lessThan">
      <formula>0</formula>
    </cfRule>
  </conditionalFormatting>
  <conditionalFormatting sqref="R84:R91">
    <cfRule type="cellIs" dxfId="17978" priority="523" operator="lessThan">
      <formula>0.8</formula>
    </cfRule>
    <cfRule type="cellIs" dxfId="17977" priority="524" operator="greaterThan">
      <formula>1</formula>
    </cfRule>
  </conditionalFormatting>
  <conditionalFormatting sqref="R84:R91">
    <cfRule type="cellIs" dxfId="17976" priority="521" operator="greaterThan">
      <formula>1</formula>
    </cfRule>
    <cfRule type="cellIs" dxfId="17975" priority="522" operator="lessThan">
      <formula>0.8</formula>
    </cfRule>
  </conditionalFormatting>
  <conditionalFormatting sqref="P84:P91">
    <cfRule type="cellIs" dxfId="17974" priority="520" operator="greaterThan">
      <formula>0</formula>
    </cfRule>
  </conditionalFormatting>
  <conditionalFormatting sqref="P84:P91">
    <cfRule type="cellIs" dxfId="17973" priority="514" operator="greaterThan">
      <formula>0</formula>
    </cfRule>
  </conditionalFormatting>
  <conditionalFormatting sqref="Q84:Q91">
    <cfRule type="cellIs" dxfId="17972" priority="519" operator="lessThan">
      <formula>0</formula>
    </cfRule>
  </conditionalFormatting>
  <conditionalFormatting sqref="R84:R91">
    <cfRule type="cellIs" dxfId="17971" priority="517" operator="lessThan">
      <formula>0.8</formula>
    </cfRule>
    <cfRule type="cellIs" dxfId="17970" priority="518" operator="greaterThan">
      <formula>1</formula>
    </cfRule>
  </conditionalFormatting>
  <conditionalFormatting sqref="R84:R91">
    <cfRule type="cellIs" dxfId="17969" priority="515" operator="greaterThan">
      <formula>1</formula>
    </cfRule>
    <cfRule type="cellIs" dxfId="17968" priority="516" operator="lessThan">
      <formula>0.8</formula>
    </cfRule>
  </conditionalFormatting>
  <conditionalFormatting sqref="P84:P91">
    <cfRule type="cellIs" dxfId="17967" priority="508" operator="greaterThan">
      <formula>0</formula>
    </cfRule>
  </conditionalFormatting>
  <conditionalFormatting sqref="Q84:Q91">
    <cfRule type="cellIs" dxfId="17966" priority="513" operator="lessThan">
      <formula>0</formula>
    </cfRule>
  </conditionalFormatting>
  <conditionalFormatting sqref="R84:R91">
    <cfRule type="cellIs" dxfId="17965" priority="511" operator="lessThan">
      <formula>0.8</formula>
    </cfRule>
    <cfRule type="cellIs" dxfId="17964" priority="512" operator="greaterThan">
      <formula>1</formula>
    </cfRule>
  </conditionalFormatting>
  <conditionalFormatting sqref="R84:R91">
    <cfRule type="cellIs" dxfId="17963" priority="509" operator="greaterThan">
      <formula>1</formula>
    </cfRule>
    <cfRule type="cellIs" dxfId="17962" priority="510" operator="lessThan">
      <formula>0.8</formula>
    </cfRule>
  </conditionalFormatting>
  <conditionalFormatting sqref="R84:R91">
    <cfRule type="cellIs" dxfId="17961" priority="505" operator="lessThan">
      <formula>0.8</formula>
    </cfRule>
    <cfRule type="cellIs" dxfId="17960" priority="506" operator="greaterThan">
      <formula>1</formula>
    </cfRule>
  </conditionalFormatting>
  <conditionalFormatting sqref="R84:R91">
    <cfRule type="cellIs" dxfId="17959" priority="503" operator="greaterThan">
      <formula>1</formula>
    </cfRule>
    <cfRule type="cellIs" dxfId="17958" priority="504" operator="lessThan">
      <formula>0.8</formula>
    </cfRule>
  </conditionalFormatting>
  <conditionalFormatting sqref="P84:P91">
    <cfRule type="cellIs" dxfId="17957" priority="502" operator="greaterThan">
      <formula>0</formula>
    </cfRule>
  </conditionalFormatting>
  <conditionalFormatting sqref="Q84:Q91">
    <cfRule type="cellIs" dxfId="17956" priority="507" operator="lessThan">
      <formula>0</formula>
    </cfRule>
  </conditionalFormatting>
  <conditionalFormatting sqref="P84:P91">
    <cfRule type="cellIs" dxfId="17955" priority="496" operator="greaterThan">
      <formula>0</formula>
    </cfRule>
  </conditionalFormatting>
  <conditionalFormatting sqref="Q84:Q91">
    <cfRule type="cellIs" dxfId="17954" priority="501" operator="lessThan">
      <formula>0</formula>
    </cfRule>
  </conditionalFormatting>
  <conditionalFormatting sqref="R84:R91">
    <cfRule type="cellIs" dxfId="17953" priority="499" operator="lessThan">
      <formula>0.8</formula>
    </cfRule>
    <cfRule type="cellIs" dxfId="17952" priority="500" operator="greaterThan">
      <formula>1</formula>
    </cfRule>
  </conditionalFormatting>
  <conditionalFormatting sqref="R84:R91">
    <cfRule type="cellIs" dxfId="17951" priority="497" operator="greaterThan">
      <formula>1</formula>
    </cfRule>
    <cfRule type="cellIs" dxfId="17950" priority="498" operator="lessThan">
      <formula>0.8</formula>
    </cfRule>
  </conditionalFormatting>
  <conditionalFormatting sqref="R84:R91">
    <cfRule type="cellIs" dxfId="17949" priority="493" operator="lessThan">
      <formula>0.8</formula>
    </cfRule>
    <cfRule type="cellIs" dxfId="17948" priority="494" operator="greaterThan">
      <formula>1</formula>
    </cfRule>
  </conditionalFormatting>
  <conditionalFormatting sqref="R84:R91">
    <cfRule type="cellIs" dxfId="17947" priority="491" operator="greaterThan">
      <formula>1</formula>
    </cfRule>
    <cfRule type="cellIs" dxfId="17946" priority="492" operator="lessThan">
      <formula>0.8</formula>
    </cfRule>
  </conditionalFormatting>
  <conditionalFormatting sqref="P84:P91">
    <cfRule type="cellIs" dxfId="17945" priority="490" operator="greaterThan">
      <formula>0</formula>
    </cfRule>
  </conditionalFormatting>
  <conditionalFormatting sqref="Q84:Q91">
    <cfRule type="cellIs" dxfId="17944" priority="495" operator="lessThan">
      <formula>0</formula>
    </cfRule>
  </conditionalFormatting>
  <conditionalFormatting sqref="R84:R91">
    <cfRule type="cellIs" dxfId="17943" priority="487" operator="lessThan">
      <formula>0.8</formula>
    </cfRule>
    <cfRule type="cellIs" dxfId="17942" priority="488" operator="greaterThan">
      <formula>1</formula>
    </cfRule>
  </conditionalFormatting>
  <conditionalFormatting sqref="R84:R91">
    <cfRule type="cellIs" dxfId="17941" priority="485" operator="greaterThan">
      <formula>1</formula>
    </cfRule>
    <cfRule type="cellIs" dxfId="17940" priority="486" operator="lessThan">
      <formula>0.8</formula>
    </cfRule>
  </conditionalFormatting>
  <conditionalFormatting sqref="P84:P91">
    <cfRule type="cellIs" dxfId="17939" priority="484" operator="greaterThan">
      <formula>0</formula>
    </cfRule>
  </conditionalFormatting>
  <conditionalFormatting sqref="Q84:Q91">
    <cfRule type="cellIs" dxfId="17938" priority="489" operator="lessThan">
      <formula>0</formula>
    </cfRule>
  </conditionalFormatting>
  <conditionalFormatting sqref="Q84:Q91">
    <cfRule type="cellIs" dxfId="17937" priority="483" operator="lessThan">
      <formula>0</formula>
    </cfRule>
  </conditionalFormatting>
  <conditionalFormatting sqref="R84:R91">
    <cfRule type="cellIs" dxfId="17936" priority="481" operator="lessThan">
      <formula>0.8</formula>
    </cfRule>
    <cfRule type="cellIs" dxfId="17935" priority="482" operator="greaterThan">
      <formula>1</formula>
    </cfRule>
  </conditionalFormatting>
  <conditionalFormatting sqref="R84:R91">
    <cfRule type="cellIs" dxfId="17934" priority="479" operator="greaterThan">
      <formula>1</formula>
    </cfRule>
    <cfRule type="cellIs" dxfId="17933" priority="480" operator="lessThan">
      <formula>0.8</formula>
    </cfRule>
  </conditionalFormatting>
  <conditionalFormatting sqref="P84:P91">
    <cfRule type="cellIs" dxfId="17932" priority="478" operator="greaterThan">
      <formula>0</formula>
    </cfRule>
  </conditionalFormatting>
  <conditionalFormatting sqref="Q84:Q91">
    <cfRule type="cellIs" dxfId="17931" priority="472" operator="lessThan">
      <formula>0</formula>
    </cfRule>
  </conditionalFormatting>
  <conditionalFormatting sqref="R84:R91">
    <cfRule type="cellIs" dxfId="17930" priority="476" operator="lessThan">
      <formula>0.8</formula>
    </cfRule>
    <cfRule type="cellIs" dxfId="17929" priority="477" operator="greaterThan">
      <formula>1</formula>
    </cfRule>
  </conditionalFormatting>
  <conditionalFormatting sqref="R84:R91">
    <cfRule type="cellIs" dxfId="17928" priority="474" operator="greaterThan">
      <formula>1</formula>
    </cfRule>
    <cfRule type="cellIs" dxfId="17927" priority="475" operator="lessThan">
      <formula>0.8</formula>
    </cfRule>
  </conditionalFormatting>
  <conditionalFormatting sqref="P84:P91">
    <cfRule type="cellIs" dxfId="17926" priority="473" operator="greaterThan">
      <formula>0</formula>
    </cfRule>
  </conditionalFormatting>
  <conditionalFormatting sqref="Q84:Q91">
    <cfRule type="cellIs" dxfId="17925" priority="471" operator="lessThan">
      <formula>0</formula>
    </cfRule>
  </conditionalFormatting>
  <conditionalFormatting sqref="R84:R91">
    <cfRule type="cellIs" dxfId="17924" priority="469" operator="lessThan">
      <formula>0.8</formula>
    </cfRule>
    <cfRule type="cellIs" dxfId="17923" priority="470" operator="greaterThan">
      <formula>1</formula>
    </cfRule>
  </conditionalFormatting>
  <conditionalFormatting sqref="R84:R91">
    <cfRule type="cellIs" dxfId="17922" priority="467" operator="greaterThan">
      <formula>1</formula>
    </cfRule>
    <cfRule type="cellIs" dxfId="17921" priority="468" operator="lessThan">
      <formula>0.8</formula>
    </cfRule>
  </conditionalFormatting>
  <conditionalFormatting sqref="P84:P91">
    <cfRule type="cellIs" dxfId="17920" priority="466" operator="greaterThan">
      <formula>0</formula>
    </cfRule>
  </conditionalFormatting>
  <conditionalFormatting sqref="Q84:Q91">
    <cfRule type="cellIs" dxfId="17919" priority="465" operator="lessThan">
      <formula>0</formula>
    </cfRule>
  </conditionalFormatting>
  <conditionalFormatting sqref="R84:R91">
    <cfRule type="cellIs" dxfId="17918" priority="463" operator="lessThan">
      <formula>0.8</formula>
    </cfRule>
    <cfRule type="cellIs" dxfId="17917" priority="464" operator="greaterThan">
      <formula>1</formula>
    </cfRule>
  </conditionalFormatting>
  <conditionalFormatting sqref="R84:R91">
    <cfRule type="cellIs" dxfId="17916" priority="461" operator="greaterThan">
      <formula>1</formula>
    </cfRule>
    <cfRule type="cellIs" dxfId="17915" priority="462" operator="lessThan">
      <formula>0.8</formula>
    </cfRule>
  </conditionalFormatting>
  <conditionalFormatting sqref="P84:P91">
    <cfRule type="cellIs" dxfId="17914" priority="460" operator="greaterThan">
      <formula>0</formula>
    </cfRule>
  </conditionalFormatting>
  <conditionalFormatting sqref="Q84:Q91">
    <cfRule type="cellIs" dxfId="17913" priority="459" operator="lessThan">
      <formula>0</formula>
    </cfRule>
  </conditionalFormatting>
  <conditionalFormatting sqref="R84:R91">
    <cfRule type="cellIs" dxfId="17912" priority="457" operator="lessThan">
      <formula>0.8</formula>
    </cfRule>
    <cfRule type="cellIs" dxfId="17911" priority="458" operator="greaterThan">
      <formula>1</formula>
    </cfRule>
  </conditionalFormatting>
  <conditionalFormatting sqref="R84:R91">
    <cfRule type="cellIs" dxfId="17910" priority="455" operator="greaterThan">
      <formula>1</formula>
    </cfRule>
    <cfRule type="cellIs" dxfId="17909" priority="456" operator="lessThan">
      <formula>0.8</formula>
    </cfRule>
  </conditionalFormatting>
  <conditionalFormatting sqref="P84:P91">
    <cfRule type="cellIs" dxfId="17908" priority="454" operator="greaterThan">
      <formula>0</formula>
    </cfRule>
  </conditionalFormatting>
  <conditionalFormatting sqref="Q84:Q91">
    <cfRule type="cellIs" dxfId="17907" priority="453" operator="lessThan">
      <formula>0</formula>
    </cfRule>
  </conditionalFormatting>
  <conditionalFormatting sqref="R84:R91">
    <cfRule type="cellIs" dxfId="17906" priority="451" operator="lessThan">
      <formula>0.8</formula>
    </cfRule>
    <cfRule type="cellIs" dxfId="17905" priority="452" operator="greaterThan">
      <formula>1</formula>
    </cfRule>
  </conditionalFormatting>
  <conditionalFormatting sqref="R84:R91">
    <cfRule type="cellIs" dxfId="17904" priority="449" operator="greaterThan">
      <formula>1</formula>
    </cfRule>
    <cfRule type="cellIs" dxfId="17903" priority="450" operator="lessThan">
      <formula>0.8</formula>
    </cfRule>
  </conditionalFormatting>
  <conditionalFormatting sqref="P84:P91">
    <cfRule type="cellIs" dxfId="17902" priority="448" operator="greaterThan">
      <formula>0</formula>
    </cfRule>
  </conditionalFormatting>
  <conditionalFormatting sqref="Q84:Q91">
    <cfRule type="cellIs" dxfId="17901" priority="447" operator="lessThan">
      <formula>0</formula>
    </cfRule>
  </conditionalFormatting>
  <conditionalFormatting sqref="R84:R91">
    <cfRule type="cellIs" dxfId="17900" priority="445" operator="lessThan">
      <formula>0.8</formula>
    </cfRule>
    <cfRule type="cellIs" dxfId="17899" priority="446" operator="greaterThan">
      <formula>1</formula>
    </cfRule>
  </conditionalFormatting>
  <conditionalFormatting sqref="R84:R91">
    <cfRule type="cellIs" dxfId="17898" priority="443" operator="greaterThan">
      <formula>1</formula>
    </cfRule>
    <cfRule type="cellIs" dxfId="17897" priority="444" operator="lessThan">
      <formula>0.8</formula>
    </cfRule>
  </conditionalFormatting>
  <conditionalFormatting sqref="P84:P91">
    <cfRule type="cellIs" dxfId="17896" priority="442" operator="greaterThan">
      <formula>0</formula>
    </cfRule>
  </conditionalFormatting>
  <conditionalFormatting sqref="P84:P91">
    <cfRule type="cellIs" dxfId="17895" priority="436" operator="greaterThan">
      <formula>0</formula>
    </cfRule>
  </conditionalFormatting>
  <conditionalFormatting sqref="Q84:Q91">
    <cfRule type="cellIs" dxfId="17894" priority="441" operator="lessThan">
      <formula>0</formula>
    </cfRule>
  </conditionalFormatting>
  <conditionalFormatting sqref="R84:R91">
    <cfRule type="cellIs" dxfId="17893" priority="439" operator="lessThan">
      <formula>0.8</formula>
    </cfRule>
    <cfRule type="cellIs" dxfId="17892" priority="440" operator="greaterThan">
      <formula>1</formula>
    </cfRule>
  </conditionalFormatting>
  <conditionalFormatting sqref="R84:R91">
    <cfRule type="cellIs" dxfId="17891" priority="437" operator="greaterThan">
      <formula>1</formula>
    </cfRule>
    <cfRule type="cellIs" dxfId="17890" priority="438" operator="lessThan">
      <formula>0.8</formula>
    </cfRule>
  </conditionalFormatting>
  <conditionalFormatting sqref="P84:P91">
    <cfRule type="cellIs" dxfId="17889" priority="430" operator="greaterThan">
      <formula>0</formula>
    </cfRule>
  </conditionalFormatting>
  <conditionalFormatting sqref="Q84:Q91">
    <cfRule type="cellIs" dxfId="17888" priority="435" operator="lessThan">
      <formula>0</formula>
    </cfRule>
  </conditionalFormatting>
  <conditionalFormatting sqref="R84:R91">
    <cfRule type="cellIs" dxfId="17887" priority="433" operator="lessThan">
      <formula>0.8</formula>
    </cfRule>
    <cfRule type="cellIs" dxfId="17886" priority="434" operator="greaterThan">
      <formula>1</formula>
    </cfRule>
  </conditionalFormatting>
  <conditionalFormatting sqref="R84:R91">
    <cfRule type="cellIs" dxfId="17885" priority="431" operator="greaterThan">
      <formula>1</formula>
    </cfRule>
    <cfRule type="cellIs" dxfId="17884" priority="432" operator="lessThan">
      <formula>0.8</formula>
    </cfRule>
  </conditionalFormatting>
  <conditionalFormatting sqref="R84:R91">
    <cfRule type="cellIs" dxfId="17883" priority="427" operator="lessThan">
      <formula>0.8</formula>
    </cfRule>
    <cfRule type="cellIs" dxfId="17882" priority="428" operator="greaterThan">
      <formula>1</formula>
    </cfRule>
  </conditionalFormatting>
  <conditionalFormatting sqref="R84:R91">
    <cfRule type="cellIs" dxfId="17881" priority="425" operator="greaterThan">
      <formula>1</formula>
    </cfRule>
    <cfRule type="cellIs" dxfId="17880" priority="426" operator="lessThan">
      <formula>0.8</formula>
    </cfRule>
  </conditionalFormatting>
  <conditionalFormatting sqref="P84:P91">
    <cfRule type="cellIs" dxfId="17879" priority="424" operator="greaterThan">
      <formula>0</formula>
    </cfRule>
  </conditionalFormatting>
  <conditionalFormatting sqref="Q84:Q91">
    <cfRule type="cellIs" dxfId="17878" priority="429" operator="lessThan">
      <formula>0</formula>
    </cfRule>
  </conditionalFormatting>
  <conditionalFormatting sqref="Q84:Q91">
    <cfRule type="cellIs" dxfId="17877" priority="418" operator="lessThan">
      <formula>0</formula>
    </cfRule>
  </conditionalFormatting>
  <conditionalFormatting sqref="P84:P91">
    <cfRule type="cellIs" dxfId="17876" priority="419" operator="greaterThan">
      <formula>0</formula>
    </cfRule>
  </conditionalFormatting>
  <conditionalFormatting sqref="R84:R91">
    <cfRule type="cellIs" dxfId="17875" priority="422" operator="lessThan">
      <formula>0.8</formula>
    </cfRule>
    <cfRule type="cellIs" dxfId="17874" priority="423" operator="greaterThan">
      <formula>1</formula>
    </cfRule>
  </conditionalFormatting>
  <conditionalFormatting sqref="R84:R91">
    <cfRule type="cellIs" dxfId="17873" priority="420" operator="greaterThan">
      <formula>1</formula>
    </cfRule>
    <cfRule type="cellIs" dxfId="17872" priority="421" operator="lessThan">
      <formula>0.8</formula>
    </cfRule>
  </conditionalFormatting>
  <conditionalFormatting sqref="Q84:Q91">
    <cfRule type="cellIs" dxfId="17871" priority="412" operator="lessThan">
      <formula>0</formula>
    </cfRule>
  </conditionalFormatting>
  <conditionalFormatting sqref="R84:R91">
    <cfRule type="cellIs" dxfId="17870" priority="416" operator="lessThan">
      <formula>0.8</formula>
    </cfRule>
    <cfRule type="cellIs" dxfId="17869" priority="417" operator="greaterThan">
      <formula>1</formula>
    </cfRule>
  </conditionalFormatting>
  <conditionalFormatting sqref="R84:R91">
    <cfRule type="cellIs" dxfId="17868" priority="414" operator="greaterThan">
      <formula>1</formula>
    </cfRule>
    <cfRule type="cellIs" dxfId="17867" priority="415" operator="lessThan">
      <formula>0.8</formula>
    </cfRule>
  </conditionalFormatting>
  <conditionalFormatting sqref="P84:P91">
    <cfRule type="cellIs" dxfId="17866" priority="413" operator="greaterThan">
      <formula>0</formula>
    </cfRule>
  </conditionalFormatting>
  <conditionalFormatting sqref="Q84:Q91">
    <cfRule type="cellIs" dxfId="17865" priority="411" operator="lessThan">
      <formula>0</formula>
    </cfRule>
  </conditionalFormatting>
  <conditionalFormatting sqref="R84:R91">
    <cfRule type="cellIs" dxfId="17864" priority="409" operator="lessThan">
      <formula>0.8</formula>
    </cfRule>
    <cfRule type="cellIs" dxfId="17863" priority="410" operator="greaterThan">
      <formula>1</formula>
    </cfRule>
  </conditionalFormatting>
  <conditionalFormatting sqref="R84:R91">
    <cfRule type="cellIs" dxfId="17862" priority="407" operator="greaterThan">
      <formula>1</formula>
    </cfRule>
    <cfRule type="cellIs" dxfId="17861" priority="408" operator="lessThan">
      <formula>0.8</formula>
    </cfRule>
  </conditionalFormatting>
  <conditionalFormatting sqref="P84:P91">
    <cfRule type="cellIs" dxfId="17860" priority="406" operator="greaterThan">
      <formula>0</formula>
    </cfRule>
  </conditionalFormatting>
  <conditionalFormatting sqref="Q84:Q91">
    <cfRule type="cellIs" dxfId="17859" priority="405" operator="lessThan">
      <formula>0</formula>
    </cfRule>
  </conditionalFormatting>
  <conditionalFormatting sqref="R84:R91">
    <cfRule type="cellIs" dxfId="17858" priority="403" operator="lessThan">
      <formula>0.8</formula>
    </cfRule>
    <cfRule type="cellIs" dxfId="17857" priority="404" operator="greaterThan">
      <formula>1</formula>
    </cfRule>
  </conditionalFormatting>
  <conditionalFormatting sqref="R84:R91">
    <cfRule type="cellIs" dxfId="17856" priority="401" operator="greaterThan">
      <formula>1</formula>
    </cfRule>
    <cfRule type="cellIs" dxfId="17855" priority="402" operator="lessThan">
      <formula>0.8</formula>
    </cfRule>
  </conditionalFormatting>
  <conditionalFormatting sqref="P84:P91">
    <cfRule type="cellIs" dxfId="17854" priority="400" operator="greaterThan">
      <formula>0</formula>
    </cfRule>
  </conditionalFormatting>
  <conditionalFormatting sqref="Q84:Q91">
    <cfRule type="cellIs" dxfId="17853" priority="399" operator="lessThan">
      <formula>0</formula>
    </cfRule>
  </conditionalFormatting>
  <conditionalFormatting sqref="R84:R91">
    <cfRule type="cellIs" dxfId="17852" priority="397" operator="lessThan">
      <formula>0.8</formula>
    </cfRule>
    <cfRule type="cellIs" dxfId="17851" priority="398" operator="greaterThan">
      <formula>1</formula>
    </cfRule>
  </conditionalFormatting>
  <conditionalFormatting sqref="R84:R91">
    <cfRule type="cellIs" dxfId="17850" priority="395" operator="greaterThan">
      <formula>1</formula>
    </cfRule>
    <cfRule type="cellIs" dxfId="17849" priority="396" operator="lessThan">
      <formula>0.8</formula>
    </cfRule>
  </conditionalFormatting>
  <conditionalFormatting sqref="P84:P91">
    <cfRule type="cellIs" dxfId="17848" priority="394" operator="greaterThan">
      <formula>0</formula>
    </cfRule>
  </conditionalFormatting>
  <conditionalFormatting sqref="Q84:Q91">
    <cfRule type="cellIs" dxfId="17847" priority="393" operator="lessThan">
      <formula>0</formula>
    </cfRule>
  </conditionalFormatting>
  <conditionalFormatting sqref="R84:R91">
    <cfRule type="cellIs" dxfId="17846" priority="391" operator="lessThan">
      <formula>0.8</formula>
    </cfRule>
    <cfRule type="cellIs" dxfId="17845" priority="392" operator="greaterThan">
      <formula>1</formula>
    </cfRule>
  </conditionalFormatting>
  <conditionalFormatting sqref="R84:R91">
    <cfRule type="cellIs" dxfId="17844" priority="389" operator="greaterThan">
      <formula>1</formula>
    </cfRule>
    <cfRule type="cellIs" dxfId="17843" priority="390" operator="lessThan">
      <formula>0.8</formula>
    </cfRule>
  </conditionalFormatting>
  <conditionalFormatting sqref="P84:P91">
    <cfRule type="cellIs" dxfId="17842" priority="388" operator="greaterThan">
      <formula>0</formula>
    </cfRule>
  </conditionalFormatting>
  <conditionalFormatting sqref="Q84:Q91">
    <cfRule type="cellIs" dxfId="17841" priority="387" operator="lessThan">
      <formula>0</formula>
    </cfRule>
  </conditionalFormatting>
  <conditionalFormatting sqref="R84:R91">
    <cfRule type="cellIs" dxfId="17840" priority="385" operator="lessThan">
      <formula>0.8</formula>
    </cfRule>
    <cfRule type="cellIs" dxfId="17839" priority="386" operator="greaterThan">
      <formula>1</formula>
    </cfRule>
  </conditionalFormatting>
  <conditionalFormatting sqref="R84:R91">
    <cfRule type="cellIs" dxfId="17838" priority="383" operator="greaterThan">
      <formula>1</formula>
    </cfRule>
    <cfRule type="cellIs" dxfId="17837" priority="384" operator="lessThan">
      <formula>0.8</formula>
    </cfRule>
  </conditionalFormatting>
  <conditionalFormatting sqref="P84:P91">
    <cfRule type="cellIs" dxfId="17836" priority="382" operator="greaterThan">
      <formula>0</formula>
    </cfRule>
  </conditionalFormatting>
  <conditionalFormatting sqref="Q84:Q91">
    <cfRule type="cellIs" dxfId="17835" priority="381" operator="lessThan">
      <formula>0</formula>
    </cfRule>
  </conditionalFormatting>
  <conditionalFormatting sqref="R84:R91">
    <cfRule type="cellIs" dxfId="17834" priority="379" operator="lessThan">
      <formula>0.8</formula>
    </cfRule>
    <cfRule type="cellIs" dxfId="17833" priority="380" operator="greaterThan">
      <formula>1</formula>
    </cfRule>
  </conditionalFormatting>
  <conditionalFormatting sqref="R84:R91">
    <cfRule type="cellIs" dxfId="17832" priority="377" operator="greaterThan">
      <formula>1</formula>
    </cfRule>
    <cfRule type="cellIs" dxfId="17831" priority="378" operator="lessThan">
      <formula>0.8</formula>
    </cfRule>
  </conditionalFormatting>
  <conditionalFormatting sqref="P84:P91">
    <cfRule type="cellIs" dxfId="17830" priority="376" operator="greaterThan">
      <formula>0</formula>
    </cfRule>
  </conditionalFormatting>
  <conditionalFormatting sqref="Q84:Q91">
    <cfRule type="cellIs" dxfId="17829" priority="375" operator="lessThan">
      <formula>0</formula>
    </cfRule>
  </conditionalFormatting>
  <conditionalFormatting sqref="R84:R91">
    <cfRule type="cellIs" dxfId="17828" priority="373" operator="lessThan">
      <formula>0.8</formula>
    </cfRule>
    <cfRule type="cellIs" dxfId="17827" priority="374" operator="greaterThan">
      <formula>1</formula>
    </cfRule>
  </conditionalFormatting>
  <conditionalFormatting sqref="R84:R91">
    <cfRule type="cellIs" dxfId="17826" priority="371" operator="greaterThan">
      <formula>1</formula>
    </cfRule>
    <cfRule type="cellIs" dxfId="17825" priority="372" operator="lessThan">
      <formula>0.8</formula>
    </cfRule>
  </conditionalFormatting>
  <conditionalFormatting sqref="P84:P91">
    <cfRule type="cellIs" dxfId="17824" priority="370" operator="greaterThan">
      <formula>0</formula>
    </cfRule>
  </conditionalFormatting>
  <conditionalFormatting sqref="P84:P91">
    <cfRule type="cellIs" dxfId="17823" priority="364" operator="greaterThan">
      <formula>0</formula>
    </cfRule>
  </conditionalFormatting>
  <conditionalFormatting sqref="Q84:Q91">
    <cfRule type="cellIs" dxfId="17822" priority="369" operator="lessThan">
      <formula>0</formula>
    </cfRule>
  </conditionalFormatting>
  <conditionalFormatting sqref="R84:R91">
    <cfRule type="cellIs" dxfId="17821" priority="367" operator="lessThan">
      <formula>0.8</formula>
    </cfRule>
    <cfRule type="cellIs" dxfId="17820" priority="368" operator="greaterThan">
      <formula>1</formula>
    </cfRule>
  </conditionalFormatting>
  <conditionalFormatting sqref="R84:R91">
    <cfRule type="cellIs" dxfId="17819" priority="365" operator="greaterThan">
      <formula>1</formula>
    </cfRule>
    <cfRule type="cellIs" dxfId="17818" priority="366" operator="lessThan">
      <formula>0.8</formula>
    </cfRule>
  </conditionalFormatting>
  <conditionalFormatting sqref="P84:P91">
    <cfRule type="cellIs" dxfId="17817" priority="358" operator="greaterThan">
      <formula>0</formula>
    </cfRule>
  </conditionalFormatting>
  <conditionalFormatting sqref="Q84:Q91">
    <cfRule type="cellIs" dxfId="17816" priority="363" operator="lessThan">
      <formula>0</formula>
    </cfRule>
  </conditionalFormatting>
  <conditionalFormatting sqref="R84:R91">
    <cfRule type="cellIs" dxfId="17815" priority="361" operator="lessThan">
      <formula>0.8</formula>
    </cfRule>
    <cfRule type="cellIs" dxfId="17814" priority="362" operator="greaterThan">
      <formula>1</formula>
    </cfRule>
  </conditionalFormatting>
  <conditionalFormatting sqref="R84:R91">
    <cfRule type="cellIs" dxfId="17813" priority="359" operator="greaterThan">
      <formula>1</formula>
    </cfRule>
    <cfRule type="cellIs" dxfId="17812" priority="360" operator="lessThan">
      <formula>0.8</formula>
    </cfRule>
  </conditionalFormatting>
  <conditionalFormatting sqref="R84:R91">
    <cfRule type="cellIs" dxfId="17811" priority="355" operator="lessThan">
      <formula>0.8</formula>
    </cfRule>
    <cfRule type="cellIs" dxfId="17810" priority="356" operator="greaterThan">
      <formula>1</formula>
    </cfRule>
  </conditionalFormatting>
  <conditionalFormatting sqref="R84:R91">
    <cfRule type="cellIs" dxfId="17809" priority="353" operator="greaterThan">
      <formula>1</formula>
    </cfRule>
    <cfRule type="cellIs" dxfId="17808" priority="354" operator="lessThan">
      <formula>0.8</formula>
    </cfRule>
  </conditionalFormatting>
  <conditionalFormatting sqref="P84:P91">
    <cfRule type="cellIs" dxfId="17807" priority="352" operator="greaterThan">
      <formula>0</formula>
    </cfRule>
  </conditionalFormatting>
  <conditionalFormatting sqref="Q84:Q91">
    <cfRule type="cellIs" dxfId="17806" priority="357" operator="lessThan">
      <formula>0</formula>
    </cfRule>
  </conditionalFormatting>
  <conditionalFormatting sqref="Q84:Q91">
    <cfRule type="cellIs" dxfId="17805" priority="351" operator="lessThan">
      <formula>0</formula>
    </cfRule>
  </conditionalFormatting>
  <conditionalFormatting sqref="R84:R91">
    <cfRule type="cellIs" dxfId="17804" priority="349" operator="lessThan">
      <formula>0.8</formula>
    </cfRule>
    <cfRule type="cellIs" dxfId="17803" priority="350" operator="greaterThan">
      <formula>1</formula>
    </cfRule>
  </conditionalFormatting>
  <conditionalFormatting sqref="R84:R91">
    <cfRule type="cellIs" dxfId="17802" priority="347" operator="greaterThan">
      <formula>1</formula>
    </cfRule>
    <cfRule type="cellIs" dxfId="17801" priority="348" operator="lessThan">
      <formula>0.8</formula>
    </cfRule>
  </conditionalFormatting>
  <conditionalFormatting sqref="P84:P91">
    <cfRule type="cellIs" dxfId="17800" priority="346" operator="greaterThan">
      <formula>0</formula>
    </cfRule>
  </conditionalFormatting>
  <conditionalFormatting sqref="P84:P91">
    <cfRule type="cellIs" dxfId="17799" priority="340" operator="greaterThan">
      <formula>0</formula>
    </cfRule>
  </conditionalFormatting>
  <conditionalFormatting sqref="Q84:Q91">
    <cfRule type="cellIs" dxfId="17798" priority="345" operator="lessThan">
      <formula>0</formula>
    </cfRule>
  </conditionalFormatting>
  <conditionalFormatting sqref="R84:R91">
    <cfRule type="cellIs" dxfId="17797" priority="343" operator="lessThan">
      <formula>0.8</formula>
    </cfRule>
    <cfRule type="cellIs" dxfId="17796" priority="344" operator="greaterThan">
      <formula>1</formula>
    </cfRule>
  </conditionalFormatting>
  <conditionalFormatting sqref="R84:R91">
    <cfRule type="cellIs" dxfId="17795" priority="341" operator="greaterThan">
      <formula>1</formula>
    </cfRule>
    <cfRule type="cellIs" dxfId="17794" priority="342" operator="lessThan">
      <formula>0.8</formula>
    </cfRule>
  </conditionalFormatting>
  <conditionalFormatting sqref="P84:P91">
    <cfRule type="cellIs" dxfId="17793" priority="334" operator="greaterThan">
      <formula>0</formula>
    </cfRule>
  </conditionalFormatting>
  <conditionalFormatting sqref="Q84:Q91">
    <cfRule type="cellIs" dxfId="17792" priority="339" operator="lessThan">
      <formula>0</formula>
    </cfRule>
  </conditionalFormatting>
  <conditionalFormatting sqref="R84:R91">
    <cfRule type="cellIs" dxfId="17791" priority="337" operator="lessThan">
      <formula>0.8</formula>
    </cfRule>
    <cfRule type="cellIs" dxfId="17790" priority="338" operator="greaterThan">
      <formula>1</formula>
    </cfRule>
  </conditionalFormatting>
  <conditionalFormatting sqref="R84:R91">
    <cfRule type="cellIs" dxfId="17789" priority="335" operator="greaterThan">
      <formula>1</formula>
    </cfRule>
    <cfRule type="cellIs" dxfId="17788" priority="336" operator="lessThan">
      <formula>0.8</formula>
    </cfRule>
  </conditionalFormatting>
  <conditionalFormatting sqref="R84:R91">
    <cfRule type="cellIs" dxfId="17787" priority="331" operator="lessThan">
      <formula>0.8</formula>
    </cfRule>
    <cfRule type="cellIs" dxfId="17786" priority="332" operator="greaterThan">
      <formula>1</formula>
    </cfRule>
  </conditionalFormatting>
  <conditionalFormatting sqref="R84:R91">
    <cfRule type="cellIs" dxfId="17785" priority="329" operator="greaterThan">
      <formula>1</formula>
    </cfRule>
    <cfRule type="cellIs" dxfId="17784" priority="330" operator="lessThan">
      <formula>0.8</formula>
    </cfRule>
  </conditionalFormatting>
  <conditionalFormatting sqref="P84:P91">
    <cfRule type="cellIs" dxfId="17783" priority="328" operator="greaterThan">
      <formula>0</formula>
    </cfRule>
  </conditionalFormatting>
  <conditionalFormatting sqref="Q84:Q91">
    <cfRule type="cellIs" dxfId="17782" priority="333" operator="lessThan">
      <formula>0</formula>
    </cfRule>
  </conditionalFormatting>
  <conditionalFormatting sqref="P84:P91">
    <cfRule type="cellIs" dxfId="17781" priority="322" operator="greaterThan">
      <formula>0</formula>
    </cfRule>
  </conditionalFormatting>
  <conditionalFormatting sqref="Q84:Q91">
    <cfRule type="cellIs" dxfId="17780" priority="327" operator="lessThan">
      <formula>0</formula>
    </cfRule>
  </conditionalFormatting>
  <conditionalFormatting sqref="R84:R91">
    <cfRule type="cellIs" dxfId="17779" priority="325" operator="lessThan">
      <formula>0.8</formula>
    </cfRule>
    <cfRule type="cellIs" dxfId="17778" priority="326" operator="greaterThan">
      <formula>1</formula>
    </cfRule>
  </conditionalFormatting>
  <conditionalFormatting sqref="R84:R91">
    <cfRule type="cellIs" dxfId="17777" priority="323" operator="greaterThan">
      <formula>1</formula>
    </cfRule>
    <cfRule type="cellIs" dxfId="17776" priority="324" operator="lessThan">
      <formula>0.8</formula>
    </cfRule>
  </conditionalFormatting>
  <conditionalFormatting sqref="R84:R91">
    <cfRule type="cellIs" dxfId="17775" priority="319" operator="lessThan">
      <formula>0.8</formula>
    </cfRule>
    <cfRule type="cellIs" dxfId="17774" priority="320" operator="greaterThan">
      <formula>1</formula>
    </cfRule>
  </conditionalFormatting>
  <conditionalFormatting sqref="R84:R91">
    <cfRule type="cellIs" dxfId="17773" priority="317" operator="greaterThan">
      <formula>1</formula>
    </cfRule>
    <cfRule type="cellIs" dxfId="17772" priority="318" operator="lessThan">
      <formula>0.8</formula>
    </cfRule>
  </conditionalFormatting>
  <conditionalFormatting sqref="P84:P91">
    <cfRule type="cellIs" dxfId="17771" priority="316" operator="greaterThan">
      <formula>0</formula>
    </cfRule>
  </conditionalFormatting>
  <conditionalFormatting sqref="Q84:Q91">
    <cfRule type="cellIs" dxfId="17770" priority="321" operator="lessThan">
      <formula>0</formula>
    </cfRule>
  </conditionalFormatting>
  <conditionalFormatting sqref="R84:R91">
    <cfRule type="cellIs" dxfId="17769" priority="313" operator="lessThan">
      <formula>0.8</formula>
    </cfRule>
    <cfRule type="cellIs" dxfId="17768" priority="314" operator="greaterThan">
      <formula>1</formula>
    </cfRule>
  </conditionalFormatting>
  <conditionalFormatting sqref="R84:R91">
    <cfRule type="cellIs" dxfId="17767" priority="311" operator="greaterThan">
      <formula>1</formula>
    </cfRule>
    <cfRule type="cellIs" dxfId="17766" priority="312" operator="lessThan">
      <formula>0.8</formula>
    </cfRule>
  </conditionalFormatting>
  <conditionalFormatting sqref="P84:P91">
    <cfRule type="cellIs" dxfId="17765" priority="310" operator="greaterThan">
      <formula>0</formula>
    </cfRule>
  </conditionalFormatting>
  <conditionalFormatting sqref="Q84:Q91">
    <cfRule type="cellIs" dxfId="17764" priority="315" operator="lessThan">
      <formula>0</formula>
    </cfRule>
  </conditionalFormatting>
  <conditionalFormatting sqref="Q84:Q91">
    <cfRule type="cellIs" dxfId="17763" priority="309" operator="lessThan">
      <formula>0</formula>
    </cfRule>
  </conditionalFormatting>
  <conditionalFormatting sqref="R84:R91">
    <cfRule type="cellIs" dxfId="17762" priority="307" operator="lessThan">
      <formula>0.8</formula>
    </cfRule>
    <cfRule type="cellIs" dxfId="17761" priority="308" operator="greaterThan">
      <formula>1</formula>
    </cfRule>
  </conditionalFormatting>
  <conditionalFormatting sqref="R84:R91">
    <cfRule type="cellIs" dxfId="17760" priority="305" operator="greaterThan">
      <formula>1</formula>
    </cfRule>
    <cfRule type="cellIs" dxfId="17759" priority="306" operator="lessThan">
      <formula>0.8</formula>
    </cfRule>
  </conditionalFormatting>
  <conditionalFormatting sqref="P84:P91">
    <cfRule type="cellIs" dxfId="17758" priority="304" operator="greaterThan">
      <formula>0</formula>
    </cfRule>
  </conditionalFormatting>
  <conditionalFormatting sqref="Q84:Q91">
    <cfRule type="cellIs" dxfId="17757" priority="298" operator="lessThan">
      <formula>0</formula>
    </cfRule>
  </conditionalFormatting>
  <conditionalFormatting sqref="R84:R91">
    <cfRule type="cellIs" dxfId="17756" priority="302" operator="lessThan">
      <formula>0.8</formula>
    </cfRule>
    <cfRule type="cellIs" dxfId="17755" priority="303" operator="greaterThan">
      <formula>1</formula>
    </cfRule>
  </conditionalFormatting>
  <conditionalFormatting sqref="R84:R91">
    <cfRule type="cellIs" dxfId="17754" priority="300" operator="greaterThan">
      <formula>1</formula>
    </cfRule>
    <cfRule type="cellIs" dxfId="17753" priority="301" operator="lessThan">
      <formula>0.8</formula>
    </cfRule>
  </conditionalFormatting>
  <conditionalFormatting sqref="P84:P91">
    <cfRule type="cellIs" dxfId="17752" priority="299" operator="greaterThan">
      <formula>0</formula>
    </cfRule>
  </conditionalFormatting>
  <conditionalFormatting sqref="Q84:Q91">
    <cfRule type="cellIs" dxfId="17751" priority="297" operator="lessThan">
      <formula>0</formula>
    </cfRule>
  </conditionalFormatting>
  <conditionalFormatting sqref="R84:R91">
    <cfRule type="cellIs" dxfId="17750" priority="295" operator="lessThan">
      <formula>0.8</formula>
    </cfRule>
    <cfRule type="cellIs" dxfId="17749" priority="296" operator="greaterThan">
      <formula>1</formula>
    </cfRule>
  </conditionalFormatting>
  <conditionalFormatting sqref="R84:R91">
    <cfRule type="cellIs" dxfId="17748" priority="293" operator="greaterThan">
      <formula>1</formula>
    </cfRule>
    <cfRule type="cellIs" dxfId="17747" priority="294" operator="lessThan">
      <formula>0.8</formula>
    </cfRule>
  </conditionalFormatting>
  <conditionalFormatting sqref="P84:P91">
    <cfRule type="cellIs" dxfId="17746" priority="292" operator="greaterThan">
      <formula>0</formula>
    </cfRule>
  </conditionalFormatting>
  <conditionalFormatting sqref="Q84:Q91">
    <cfRule type="cellIs" dxfId="17745" priority="291" operator="lessThan">
      <formula>0</formula>
    </cfRule>
  </conditionalFormatting>
  <conditionalFormatting sqref="R84:R91">
    <cfRule type="cellIs" dxfId="17744" priority="289" operator="lessThan">
      <formula>0.8</formula>
    </cfRule>
    <cfRule type="cellIs" dxfId="17743" priority="290" operator="greaterThan">
      <formula>1</formula>
    </cfRule>
  </conditionalFormatting>
  <conditionalFormatting sqref="R84:R91">
    <cfRule type="cellIs" dxfId="17742" priority="287" operator="greaterThan">
      <formula>1</formula>
    </cfRule>
    <cfRule type="cellIs" dxfId="17741" priority="288" operator="lessThan">
      <formula>0.8</formula>
    </cfRule>
  </conditionalFormatting>
  <conditionalFormatting sqref="P84:P91">
    <cfRule type="cellIs" dxfId="17740" priority="286" operator="greaterThan">
      <formula>0</formula>
    </cfRule>
  </conditionalFormatting>
  <conditionalFormatting sqref="Q84:Q91">
    <cfRule type="cellIs" dxfId="17739" priority="285" operator="lessThan">
      <formula>0</formula>
    </cfRule>
  </conditionalFormatting>
  <conditionalFormatting sqref="R84:R91">
    <cfRule type="cellIs" dxfId="17738" priority="283" operator="lessThan">
      <formula>0.8</formula>
    </cfRule>
    <cfRule type="cellIs" dxfId="17737" priority="284" operator="greaterThan">
      <formula>1</formula>
    </cfRule>
  </conditionalFormatting>
  <conditionalFormatting sqref="R84:R91">
    <cfRule type="cellIs" dxfId="17736" priority="281" operator="greaterThan">
      <formula>1</formula>
    </cfRule>
    <cfRule type="cellIs" dxfId="17735" priority="282" operator="lessThan">
      <formula>0.8</formula>
    </cfRule>
  </conditionalFormatting>
  <conditionalFormatting sqref="P84:P91">
    <cfRule type="cellIs" dxfId="17734" priority="280" operator="greaterThan">
      <formula>0</formula>
    </cfRule>
  </conditionalFormatting>
  <conditionalFormatting sqref="Q84:Q91">
    <cfRule type="cellIs" dxfId="17733" priority="279" operator="lessThan">
      <formula>0</formula>
    </cfRule>
  </conditionalFormatting>
  <conditionalFormatting sqref="R84:R91">
    <cfRule type="cellIs" dxfId="17732" priority="277" operator="lessThan">
      <formula>0.8</formula>
    </cfRule>
    <cfRule type="cellIs" dxfId="17731" priority="278" operator="greaterThan">
      <formula>1</formula>
    </cfRule>
  </conditionalFormatting>
  <conditionalFormatting sqref="R84:R91">
    <cfRule type="cellIs" dxfId="17730" priority="275" operator="greaterThan">
      <formula>1</formula>
    </cfRule>
    <cfRule type="cellIs" dxfId="17729" priority="276" operator="lessThan">
      <formula>0.8</formula>
    </cfRule>
  </conditionalFormatting>
  <conditionalFormatting sqref="P84:P91">
    <cfRule type="cellIs" dxfId="17728" priority="274" operator="greaterThan">
      <formula>0</formula>
    </cfRule>
  </conditionalFormatting>
  <conditionalFormatting sqref="Q84:Q91">
    <cfRule type="cellIs" dxfId="17727" priority="273" operator="lessThan">
      <formula>0</formula>
    </cfRule>
  </conditionalFormatting>
  <conditionalFormatting sqref="R84:R91">
    <cfRule type="cellIs" dxfId="17726" priority="271" operator="lessThan">
      <formula>0.8</formula>
    </cfRule>
    <cfRule type="cellIs" dxfId="17725" priority="272" operator="greaterThan">
      <formula>1</formula>
    </cfRule>
  </conditionalFormatting>
  <conditionalFormatting sqref="R84:R91">
    <cfRule type="cellIs" dxfId="17724" priority="269" operator="greaterThan">
      <formula>1</formula>
    </cfRule>
    <cfRule type="cellIs" dxfId="17723" priority="270" operator="lessThan">
      <formula>0.8</formula>
    </cfRule>
  </conditionalFormatting>
  <conditionalFormatting sqref="P84:P91">
    <cfRule type="cellIs" dxfId="17722" priority="268" operator="greaterThan">
      <formula>0</formula>
    </cfRule>
  </conditionalFormatting>
  <conditionalFormatting sqref="P84:P91">
    <cfRule type="cellIs" dxfId="17721" priority="262" operator="greaterThan">
      <formula>0</formula>
    </cfRule>
  </conditionalFormatting>
  <conditionalFormatting sqref="Q84:Q91">
    <cfRule type="cellIs" dxfId="17720" priority="267" operator="lessThan">
      <formula>0</formula>
    </cfRule>
  </conditionalFormatting>
  <conditionalFormatting sqref="R84:R91">
    <cfRule type="cellIs" dxfId="17719" priority="265" operator="lessThan">
      <formula>0.8</formula>
    </cfRule>
    <cfRule type="cellIs" dxfId="17718" priority="266" operator="greaterThan">
      <formula>1</formula>
    </cfRule>
  </conditionalFormatting>
  <conditionalFormatting sqref="R84:R91">
    <cfRule type="cellIs" dxfId="17717" priority="263" operator="greaterThan">
      <formula>1</formula>
    </cfRule>
    <cfRule type="cellIs" dxfId="17716" priority="264" operator="lessThan">
      <formula>0.8</formula>
    </cfRule>
  </conditionalFormatting>
  <conditionalFormatting sqref="P84:P91">
    <cfRule type="cellIs" dxfId="17715" priority="256" operator="greaterThan">
      <formula>0</formula>
    </cfRule>
  </conditionalFormatting>
  <conditionalFormatting sqref="Q84:Q91">
    <cfRule type="cellIs" dxfId="17714" priority="261" operator="lessThan">
      <formula>0</formula>
    </cfRule>
  </conditionalFormatting>
  <conditionalFormatting sqref="R84:R91">
    <cfRule type="cellIs" dxfId="17713" priority="259" operator="lessThan">
      <formula>0.8</formula>
    </cfRule>
    <cfRule type="cellIs" dxfId="17712" priority="260" operator="greaterThan">
      <formula>1</formula>
    </cfRule>
  </conditionalFormatting>
  <conditionalFormatting sqref="R84:R91">
    <cfRule type="cellIs" dxfId="17711" priority="257" operator="greaterThan">
      <formula>1</formula>
    </cfRule>
    <cfRule type="cellIs" dxfId="17710" priority="258" operator="lessThan">
      <formula>0.8</formula>
    </cfRule>
  </conditionalFormatting>
  <conditionalFormatting sqref="R84:R91">
    <cfRule type="cellIs" dxfId="17709" priority="253" operator="lessThan">
      <formula>0.8</formula>
    </cfRule>
    <cfRule type="cellIs" dxfId="17708" priority="254" operator="greaterThan">
      <formula>1</formula>
    </cfRule>
  </conditionalFormatting>
  <conditionalFormatting sqref="R84:R91">
    <cfRule type="cellIs" dxfId="17707" priority="251" operator="greaterThan">
      <formula>1</formula>
    </cfRule>
    <cfRule type="cellIs" dxfId="17706" priority="252" operator="lessThan">
      <formula>0.8</formula>
    </cfRule>
  </conditionalFormatting>
  <conditionalFormatting sqref="P84:P91">
    <cfRule type="cellIs" dxfId="17705" priority="250" operator="greaterThan">
      <formula>0</formula>
    </cfRule>
  </conditionalFormatting>
  <conditionalFormatting sqref="Q84:Q91">
    <cfRule type="cellIs" dxfId="17704" priority="255" operator="lessThan">
      <formula>0</formula>
    </cfRule>
  </conditionalFormatting>
  <conditionalFormatting sqref="Q84:Q91">
    <cfRule type="cellIs" dxfId="17703" priority="249" operator="lessThan">
      <formula>0</formula>
    </cfRule>
  </conditionalFormatting>
  <conditionalFormatting sqref="R84:R91">
    <cfRule type="cellIs" dxfId="17702" priority="247" operator="lessThan">
      <formula>0.8</formula>
    </cfRule>
    <cfRule type="cellIs" dxfId="17701" priority="248" operator="greaterThan">
      <formula>1</formula>
    </cfRule>
  </conditionalFormatting>
  <conditionalFormatting sqref="R84:R91">
    <cfRule type="cellIs" dxfId="17700" priority="245" operator="greaterThan">
      <formula>1</formula>
    </cfRule>
    <cfRule type="cellIs" dxfId="17699" priority="246" operator="lessThan">
      <formula>0.8</formula>
    </cfRule>
  </conditionalFormatting>
  <conditionalFormatting sqref="P84:P91">
    <cfRule type="cellIs" dxfId="17698" priority="244" operator="greaterThan">
      <formula>0</formula>
    </cfRule>
  </conditionalFormatting>
  <conditionalFormatting sqref="Q84:Q91">
    <cfRule type="cellIs" dxfId="17697" priority="243" operator="lessThan">
      <formula>0</formula>
    </cfRule>
  </conditionalFormatting>
  <conditionalFormatting sqref="R84:R91">
    <cfRule type="cellIs" dxfId="17696" priority="241" operator="lessThan">
      <formula>0.8</formula>
    </cfRule>
    <cfRule type="cellIs" dxfId="17695" priority="242" operator="greaterThan">
      <formula>1</formula>
    </cfRule>
  </conditionalFormatting>
  <conditionalFormatting sqref="R84:R91">
    <cfRule type="cellIs" dxfId="17694" priority="239" operator="greaterThan">
      <formula>1</formula>
    </cfRule>
    <cfRule type="cellIs" dxfId="17693" priority="240" operator="lessThan">
      <formula>0.8</formula>
    </cfRule>
  </conditionalFormatting>
  <conditionalFormatting sqref="P84:P91">
    <cfRule type="cellIs" dxfId="17692" priority="238" operator="greaterThan">
      <formula>0</formula>
    </cfRule>
  </conditionalFormatting>
  <conditionalFormatting sqref="Q84:Q91">
    <cfRule type="cellIs" dxfId="17691" priority="237" operator="lessThan">
      <formula>0</formula>
    </cfRule>
  </conditionalFormatting>
  <conditionalFormatting sqref="R84:R91">
    <cfRule type="cellIs" dxfId="17690" priority="235" operator="lessThan">
      <formula>0.8</formula>
    </cfRule>
    <cfRule type="cellIs" dxfId="17689" priority="236" operator="greaterThan">
      <formula>1</formula>
    </cfRule>
  </conditionalFormatting>
  <conditionalFormatting sqref="R84:R91">
    <cfRule type="cellIs" dxfId="17688" priority="233" operator="greaterThan">
      <formula>1</formula>
    </cfRule>
    <cfRule type="cellIs" dxfId="17687" priority="234" operator="lessThan">
      <formula>0.8</formula>
    </cfRule>
  </conditionalFormatting>
  <conditionalFormatting sqref="P84:P91">
    <cfRule type="cellIs" dxfId="17686" priority="232" operator="greaterThan">
      <formula>0</formula>
    </cfRule>
  </conditionalFormatting>
  <conditionalFormatting sqref="Q84:Q91">
    <cfRule type="cellIs" dxfId="17685" priority="231" operator="lessThan">
      <formula>0</formula>
    </cfRule>
  </conditionalFormatting>
  <conditionalFormatting sqref="R84:R91">
    <cfRule type="cellIs" dxfId="17684" priority="229" operator="lessThan">
      <formula>0.8</formula>
    </cfRule>
    <cfRule type="cellIs" dxfId="17683" priority="230" operator="greaterThan">
      <formula>1</formula>
    </cfRule>
  </conditionalFormatting>
  <conditionalFormatting sqref="R84:R91">
    <cfRule type="cellIs" dxfId="17682" priority="227" operator="greaterThan">
      <formula>1</formula>
    </cfRule>
    <cfRule type="cellIs" dxfId="17681" priority="228" operator="lessThan">
      <formula>0.8</formula>
    </cfRule>
  </conditionalFormatting>
  <conditionalFormatting sqref="P84:P91">
    <cfRule type="cellIs" dxfId="17680" priority="226" operator="greaterThan">
      <formula>0</formula>
    </cfRule>
  </conditionalFormatting>
  <conditionalFormatting sqref="P84:P91">
    <cfRule type="cellIs" dxfId="17679" priority="220" operator="greaterThan">
      <formula>0</formula>
    </cfRule>
  </conditionalFormatting>
  <conditionalFormatting sqref="Q84:Q91">
    <cfRule type="cellIs" dxfId="17678" priority="225" operator="lessThan">
      <formula>0</formula>
    </cfRule>
  </conditionalFormatting>
  <conditionalFormatting sqref="R84:R91">
    <cfRule type="cellIs" dxfId="17677" priority="223" operator="lessThan">
      <formula>0.8</formula>
    </cfRule>
    <cfRule type="cellIs" dxfId="17676" priority="224" operator="greaterThan">
      <formula>1</formula>
    </cfRule>
  </conditionalFormatting>
  <conditionalFormatting sqref="R84:R91">
    <cfRule type="cellIs" dxfId="17675" priority="221" operator="greaterThan">
      <formula>1</formula>
    </cfRule>
    <cfRule type="cellIs" dxfId="17674" priority="222" operator="lessThan">
      <formula>0.8</formula>
    </cfRule>
  </conditionalFormatting>
  <conditionalFormatting sqref="P84:P91">
    <cfRule type="cellIs" dxfId="17673" priority="214" operator="greaterThan">
      <formula>0</formula>
    </cfRule>
  </conditionalFormatting>
  <conditionalFormatting sqref="Q84:Q91">
    <cfRule type="cellIs" dxfId="17672" priority="219" operator="lessThan">
      <formula>0</formula>
    </cfRule>
  </conditionalFormatting>
  <conditionalFormatting sqref="R84:R91">
    <cfRule type="cellIs" dxfId="17671" priority="217" operator="lessThan">
      <formula>0.8</formula>
    </cfRule>
    <cfRule type="cellIs" dxfId="17670" priority="218" operator="greaterThan">
      <formula>1</formula>
    </cfRule>
  </conditionalFormatting>
  <conditionalFormatting sqref="R84:R91">
    <cfRule type="cellIs" dxfId="17669" priority="215" operator="greaterThan">
      <formula>1</formula>
    </cfRule>
    <cfRule type="cellIs" dxfId="17668" priority="216" operator="lessThan">
      <formula>0.8</formula>
    </cfRule>
  </conditionalFormatting>
  <conditionalFormatting sqref="R84:R91">
    <cfRule type="cellIs" dxfId="17667" priority="211" operator="lessThan">
      <formula>0.8</formula>
    </cfRule>
    <cfRule type="cellIs" dxfId="17666" priority="212" operator="greaterThan">
      <formula>1</formula>
    </cfRule>
  </conditionalFormatting>
  <conditionalFormatting sqref="R84:R91">
    <cfRule type="cellIs" dxfId="17665" priority="209" operator="greaterThan">
      <formula>1</formula>
    </cfRule>
    <cfRule type="cellIs" dxfId="17664" priority="210" operator="lessThan">
      <formula>0.8</formula>
    </cfRule>
  </conditionalFormatting>
  <conditionalFormatting sqref="P84:P91">
    <cfRule type="cellIs" dxfId="17663" priority="208" operator="greaterThan">
      <formula>0</formula>
    </cfRule>
  </conditionalFormatting>
  <conditionalFormatting sqref="Q84:Q91">
    <cfRule type="cellIs" dxfId="17662" priority="213" operator="lessThan">
      <formula>0</formula>
    </cfRule>
  </conditionalFormatting>
  <conditionalFormatting sqref="Q84:Q91">
    <cfRule type="cellIs" dxfId="17661" priority="207" operator="lessThan">
      <formula>0</formula>
    </cfRule>
  </conditionalFormatting>
  <conditionalFormatting sqref="R84:R91">
    <cfRule type="cellIs" dxfId="17660" priority="205" operator="lessThan">
      <formula>0.8</formula>
    </cfRule>
    <cfRule type="cellIs" dxfId="17659" priority="206" operator="greaterThan">
      <formula>1</formula>
    </cfRule>
  </conditionalFormatting>
  <conditionalFormatting sqref="R84:R91">
    <cfRule type="cellIs" dxfId="17658" priority="203" operator="greaterThan">
      <formula>1</formula>
    </cfRule>
    <cfRule type="cellIs" dxfId="17657" priority="204" operator="lessThan">
      <formula>0.8</formula>
    </cfRule>
  </conditionalFormatting>
  <conditionalFormatting sqref="P84:P91">
    <cfRule type="cellIs" dxfId="17656" priority="202" operator="greaterThan">
      <formula>0</formula>
    </cfRule>
  </conditionalFormatting>
  <conditionalFormatting sqref="P84:P91">
    <cfRule type="cellIs" dxfId="17655" priority="196" operator="greaterThan">
      <formula>0</formula>
    </cfRule>
  </conditionalFormatting>
  <conditionalFormatting sqref="Q84:Q91">
    <cfRule type="cellIs" dxfId="17654" priority="201" operator="lessThan">
      <formula>0</formula>
    </cfRule>
  </conditionalFormatting>
  <conditionalFormatting sqref="R84:R91">
    <cfRule type="cellIs" dxfId="17653" priority="199" operator="lessThan">
      <formula>0.8</formula>
    </cfRule>
    <cfRule type="cellIs" dxfId="17652" priority="200" operator="greaterThan">
      <formula>1</formula>
    </cfRule>
  </conditionalFormatting>
  <conditionalFormatting sqref="R84:R91">
    <cfRule type="cellIs" dxfId="17651" priority="197" operator="greaterThan">
      <formula>1</formula>
    </cfRule>
    <cfRule type="cellIs" dxfId="17650" priority="198" operator="lessThan">
      <formula>0.8</formula>
    </cfRule>
  </conditionalFormatting>
  <conditionalFormatting sqref="P84:P91">
    <cfRule type="cellIs" dxfId="17649" priority="190" operator="greaterThan">
      <formula>0</formula>
    </cfRule>
  </conditionalFormatting>
  <conditionalFormatting sqref="Q84:Q91">
    <cfRule type="cellIs" dxfId="17648" priority="195" operator="lessThan">
      <formula>0</formula>
    </cfRule>
  </conditionalFormatting>
  <conditionalFormatting sqref="R84:R91">
    <cfRule type="cellIs" dxfId="17647" priority="193" operator="lessThan">
      <formula>0.8</formula>
    </cfRule>
    <cfRule type="cellIs" dxfId="17646" priority="194" operator="greaterThan">
      <formula>1</formula>
    </cfRule>
  </conditionalFormatting>
  <conditionalFormatting sqref="R84:R91">
    <cfRule type="cellIs" dxfId="17645" priority="191" operator="greaterThan">
      <formula>1</formula>
    </cfRule>
    <cfRule type="cellIs" dxfId="17644" priority="192" operator="lessThan">
      <formula>0.8</formula>
    </cfRule>
  </conditionalFormatting>
  <conditionalFormatting sqref="R84:R91">
    <cfRule type="cellIs" dxfId="17643" priority="187" operator="lessThan">
      <formula>0.8</formula>
    </cfRule>
    <cfRule type="cellIs" dxfId="17642" priority="188" operator="greaterThan">
      <formula>1</formula>
    </cfRule>
  </conditionalFormatting>
  <conditionalFormatting sqref="R84:R91">
    <cfRule type="cellIs" dxfId="17641" priority="185" operator="greaterThan">
      <formula>1</formula>
    </cfRule>
    <cfRule type="cellIs" dxfId="17640" priority="186" operator="lessThan">
      <formula>0.8</formula>
    </cfRule>
  </conditionalFormatting>
  <conditionalFormatting sqref="P84:P91">
    <cfRule type="cellIs" dxfId="17639" priority="184" operator="greaterThan">
      <formula>0</formula>
    </cfRule>
  </conditionalFormatting>
  <conditionalFormatting sqref="Q84:Q91">
    <cfRule type="cellIs" dxfId="17638" priority="189" operator="lessThan">
      <formula>0</formula>
    </cfRule>
  </conditionalFormatting>
  <conditionalFormatting sqref="P84:P91">
    <cfRule type="cellIs" dxfId="17637" priority="178" operator="greaterThan">
      <formula>0</formula>
    </cfRule>
  </conditionalFormatting>
  <conditionalFormatting sqref="Q84:Q91">
    <cfRule type="cellIs" dxfId="17636" priority="183" operator="lessThan">
      <formula>0</formula>
    </cfRule>
  </conditionalFormatting>
  <conditionalFormatting sqref="R84:R91">
    <cfRule type="cellIs" dxfId="17635" priority="181" operator="lessThan">
      <formula>0.8</formula>
    </cfRule>
    <cfRule type="cellIs" dxfId="17634" priority="182" operator="greaterThan">
      <formula>1</formula>
    </cfRule>
  </conditionalFormatting>
  <conditionalFormatting sqref="R84:R91">
    <cfRule type="cellIs" dxfId="17633" priority="179" operator="greaterThan">
      <formula>1</formula>
    </cfRule>
    <cfRule type="cellIs" dxfId="17632" priority="180" operator="lessThan">
      <formula>0.8</formula>
    </cfRule>
  </conditionalFormatting>
  <conditionalFormatting sqref="R84:R91">
    <cfRule type="cellIs" dxfId="17631" priority="175" operator="lessThan">
      <formula>0.8</formula>
    </cfRule>
    <cfRule type="cellIs" dxfId="17630" priority="176" operator="greaterThan">
      <formula>1</formula>
    </cfRule>
  </conditionalFormatting>
  <conditionalFormatting sqref="R84:R91">
    <cfRule type="cellIs" dxfId="17629" priority="173" operator="greaterThan">
      <formula>1</formula>
    </cfRule>
    <cfRule type="cellIs" dxfId="17628" priority="174" operator="lessThan">
      <formula>0.8</formula>
    </cfRule>
  </conditionalFormatting>
  <conditionalFormatting sqref="P84:P91">
    <cfRule type="cellIs" dxfId="17627" priority="172" operator="greaterThan">
      <formula>0</formula>
    </cfRule>
  </conditionalFormatting>
  <conditionalFormatting sqref="Q84:Q91">
    <cfRule type="cellIs" dxfId="17626" priority="177" operator="lessThan">
      <formula>0</formula>
    </cfRule>
  </conditionalFormatting>
  <conditionalFormatting sqref="R84:R91">
    <cfRule type="cellIs" dxfId="17625" priority="169" operator="lessThan">
      <formula>0.8</formula>
    </cfRule>
    <cfRule type="cellIs" dxfId="17624" priority="170" operator="greaterThan">
      <formula>1</formula>
    </cfRule>
  </conditionalFormatting>
  <conditionalFormatting sqref="R84:R91">
    <cfRule type="cellIs" dxfId="17623" priority="167" operator="greaterThan">
      <formula>1</formula>
    </cfRule>
    <cfRule type="cellIs" dxfId="17622" priority="168" operator="lessThan">
      <formula>0.8</formula>
    </cfRule>
  </conditionalFormatting>
  <conditionalFormatting sqref="P84:P91">
    <cfRule type="cellIs" dxfId="17621" priority="166" operator="greaterThan">
      <formula>0</formula>
    </cfRule>
  </conditionalFormatting>
  <conditionalFormatting sqref="Q84:Q91">
    <cfRule type="cellIs" dxfId="17620" priority="171" operator="lessThan">
      <formula>0</formula>
    </cfRule>
  </conditionalFormatting>
  <conditionalFormatting sqref="Q84:Q91">
    <cfRule type="cellIs" dxfId="17619" priority="165" operator="lessThan">
      <formula>0</formula>
    </cfRule>
  </conditionalFormatting>
  <conditionalFormatting sqref="R84:R91">
    <cfRule type="cellIs" dxfId="17618" priority="163" operator="lessThan">
      <formula>0.8</formula>
    </cfRule>
    <cfRule type="cellIs" dxfId="17617" priority="164" operator="greaterThan">
      <formula>1</formula>
    </cfRule>
  </conditionalFormatting>
  <conditionalFormatting sqref="R84:R91">
    <cfRule type="cellIs" dxfId="17616" priority="161" operator="greaterThan">
      <formula>1</formula>
    </cfRule>
    <cfRule type="cellIs" dxfId="17615" priority="162" operator="lessThan">
      <formula>0.8</formula>
    </cfRule>
  </conditionalFormatting>
  <conditionalFormatting sqref="P84:P91">
    <cfRule type="cellIs" dxfId="17614" priority="160" operator="greaterThan">
      <formula>0</formula>
    </cfRule>
  </conditionalFormatting>
  <conditionalFormatting sqref="Q84:Q91">
    <cfRule type="cellIs" dxfId="17613" priority="154" operator="lessThan">
      <formula>0</formula>
    </cfRule>
  </conditionalFormatting>
  <conditionalFormatting sqref="R84:R91">
    <cfRule type="cellIs" dxfId="17612" priority="158" operator="lessThan">
      <formula>0.8</formula>
    </cfRule>
    <cfRule type="cellIs" dxfId="17611" priority="159" operator="greaterThan">
      <formula>1</formula>
    </cfRule>
  </conditionalFormatting>
  <conditionalFormatting sqref="R84:R91">
    <cfRule type="cellIs" dxfId="17610" priority="156" operator="greaterThan">
      <formula>1</formula>
    </cfRule>
    <cfRule type="cellIs" dxfId="17609" priority="157" operator="lessThan">
      <formula>0.8</formula>
    </cfRule>
  </conditionalFormatting>
  <conditionalFormatting sqref="P84:P91">
    <cfRule type="cellIs" dxfId="17608" priority="155" operator="greaterThan">
      <formula>0</formula>
    </cfRule>
  </conditionalFormatting>
  <conditionalFormatting sqref="Q84:Q91">
    <cfRule type="cellIs" dxfId="17607" priority="153" operator="lessThan">
      <formula>0</formula>
    </cfRule>
  </conditionalFormatting>
  <conditionalFormatting sqref="R84:R91">
    <cfRule type="cellIs" dxfId="17606" priority="151" operator="lessThan">
      <formula>0.8</formula>
    </cfRule>
    <cfRule type="cellIs" dxfId="17605" priority="152" operator="greaterThan">
      <formula>1</formula>
    </cfRule>
  </conditionalFormatting>
  <conditionalFormatting sqref="R84:R91">
    <cfRule type="cellIs" dxfId="17604" priority="149" operator="greaterThan">
      <formula>1</formula>
    </cfRule>
    <cfRule type="cellIs" dxfId="17603" priority="150" operator="lessThan">
      <formula>0.8</formula>
    </cfRule>
  </conditionalFormatting>
  <conditionalFormatting sqref="P84:P91">
    <cfRule type="cellIs" dxfId="17602" priority="148" operator="greaterThan">
      <formula>0</formula>
    </cfRule>
  </conditionalFormatting>
  <conditionalFormatting sqref="Q84:Q91">
    <cfRule type="cellIs" dxfId="17601" priority="147" operator="lessThan">
      <formula>0</formula>
    </cfRule>
  </conditionalFormatting>
  <conditionalFormatting sqref="R84:R91">
    <cfRule type="cellIs" dxfId="17600" priority="145" operator="lessThan">
      <formula>0.8</formula>
    </cfRule>
    <cfRule type="cellIs" dxfId="17599" priority="146" operator="greaterThan">
      <formula>1</formula>
    </cfRule>
  </conditionalFormatting>
  <conditionalFormatting sqref="R84:R91">
    <cfRule type="cellIs" dxfId="17598" priority="143" operator="greaterThan">
      <formula>1</formula>
    </cfRule>
    <cfRule type="cellIs" dxfId="17597" priority="144" operator="lessThan">
      <formula>0.8</formula>
    </cfRule>
  </conditionalFormatting>
  <conditionalFormatting sqref="P84:P91">
    <cfRule type="cellIs" dxfId="17596" priority="142" operator="greaterThan">
      <formula>0</formula>
    </cfRule>
  </conditionalFormatting>
  <conditionalFormatting sqref="Q84:Q91">
    <cfRule type="cellIs" dxfId="17595" priority="141" operator="lessThan">
      <formula>0</formula>
    </cfRule>
  </conditionalFormatting>
  <conditionalFormatting sqref="R84:R91">
    <cfRule type="cellIs" dxfId="17594" priority="139" operator="lessThan">
      <formula>0.8</formula>
    </cfRule>
    <cfRule type="cellIs" dxfId="17593" priority="140" operator="greaterThan">
      <formula>1</formula>
    </cfRule>
  </conditionalFormatting>
  <conditionalFormatting sqref="R84:R91">
    <cfRule type="cellIs" dxfId="17592" priority="137" operator="greaterThan">
      <formula>1</formula>
    </cfRule>
    <cfRule type="cellIs" dxfId="17591" priority="138" operator="lessThan">
      <formula>0.8</formula>
    </cfRule>
  </conditionalFormatting>
  <conditionalFormatting sqref="P84:P91">
    <cfRule type="cellIs" dxfId="17590" priority="136" operator="greaterThan">
      <formula>0</formula>
    </cfRule>
  </conditionalFormatting>
  <conditionalFormatting sqref="Q84:Q91">
    <cfRule type="cellIs" dxfId="17589" priority="135" operator="lessThan">
      <formula>0</formula>
    </cfRule>
  </conditionalFormatting>
  <conditionalFormatting sqref="R84:R91">
    <cfRule type="cellIs" dxfId="17588" priority="133" operator="lessThan">
      <formula>0.8</formula>
    </cfRule>
    <cfRule type="cellIs" dxfId="17587" priority="134" operator="greaterThan">
      <formula>1</formula>
    </cfRule>
  </conditionalFormatting>
  <conditionalFormatting sqref="R84:R91">
    <cfRule type="cellIs" dxfId="17586" priority="131" operator="greaterThan">
      <formula>1</formula>
    </cfRule>
    <cfRule type="cellIs" dxfId="17585" priority="132" operator="lessThan">
      <formula>0.8</formula>
    </cfRule>
  </conditionalFormatting>
  <conditionalFormatting sqref="P84:P91">
    <cfRule type="cellIs" dxfId="17584" priority="130" operator="greaterThan">
      <formula>0</formula>
    </cfRule>
  </conditionalFormatting>
  <conditionalFormatting sqref="Q84:Q91">
    <cfRule type="cellIs" dxfId="17583" priority="129" operator="lessThan">
      <formula>0</formula>
    </cfRule>
  </conditionalFormatting>
  <conditionalFormatting sqref="R84:R91">
    <cfRule type="cellIs" dxfId="17582" priority="127" operator="lessThan">
      <formula>0.8</formula>
    </cfRule>
    <cfRule type="cellIs" dxfId="17581" priority="128" operator="greaterThan">
      <formula>1</formula>
    </cfRule>
  </conditionalFormatting>
  <conditionalFormatting sqref="R84:R91">
    <cfRule type="cellIs" dxfId="17580" priority="125" operator="greaterThan">
      <formula>1</formula>
    </cfRule>
    <cfRule type="cellIs" dxfId="17579" priority="126" operator="lessThan">
      <formula>0.8</formula>
    </cfRule>
  </conditionalFormatting>
  <conditionalFormatting sqref="P84:P91">
    <cfRule type="cellIs" dxfId="17578" priority="124" operator="greaterThan">
      <formula>0</formula>
    </cfRule>
  </conditionalFormatting>
  <conditionalFormatting sqref="P84:P91">
    <cfRule type="cellIs" dxfId="17577" priority="118" operator="greaterThan">
      <formula>0</formula>
    </cfRule>
  </conditionalFormatting>
  <conditionalFormatting sqref="Q84:Q91">
    <cfRule type="cellIs" dxfId="17576" priority="123" operator="lessThan">
      <formula>0</formula>
    </cfRule>
  </conditionalFormatting>
  <conditionalFormatting sqref="R84:R91">
    <cfRule type="cellIs" dxfId="17575" priority="121" operator="lessThan">
      <formula>0.8</formula>
    </cfRule>
    <cfRule type="cellIs" dxfId="17574" priority="122" operator="greaterThan">
      <formula>1</formula>
    </cfRule>
  </conditionalFormatting>
  <conditionalFormatting sqref="R84:R91">
    <cfRule type="cellIs" dxfId="17573" priority="119" operator="greaterThan">
      <formula>1</formula>
    </cfRule>
    <cfRule type="cellIs" dxfId="17572" priority="120" operator="lessThan">
      <formula>0.8</formula>
    </cfRule>
  </conditionalFormatting>
  <conditionalFormatting sqref="P84:P91">
    <cfRule type="cellIs" dxfId="17571" priority="112" operator="greaterThan">
      <formula>0</formula>
    </cfRule>
  </conditionalFormatting>
  <conditionalFormatting sqref="Q84:Q91">
    <cfRule type="cellIs" dxfId="17570" priority="117" operator="lessThan">
      <formula>0</formula>
    </cfRule>
  </conditionalFormatting>
  <conditionalFormatting sqref="R84:R91">
    <cfRule type="cellIs" dxfId="17569" priority="115" operator="lessThan">
      <formula>0.8</formula>
    </cfRule>
    <cfRule type="cellIs" dxfId="17568" priority="116" operator="greaterThan">
      <formula>1</formula>
    </cfRule>
  </conditionalFormatting>
  <conditionalFormatting sqref="R84:R91">
    <cfRule type="cellIs" dxfId="17567" priority="113" operator="greaterThan">
      <formula>1</formula>
    </cfRule>
    <cfRule type="cellIs" dxfId="17566" priority="114" operator="lessThan">
      <formula>0.8</formula>
    </cfRule>
  </conditionalFormatting>
  <conditionalFormatting sqref="R84:R91">
    <cfRule type="cellIs" dxfId="17565" priority="109" operator="lessThan">
      <formula>0.8</formula>
    </cfRule>
    <cfRule type="cellIs" dxfId="17564" priority="110" operator="greaterThan">
      <formula>1</formula>
    </cfRule>
  </conditionalFormatting>
  <conditionalFormatting sqref="R84:R91">
    <cfRule type="cellIs" dxfId="17563" priority="107" operator="greaterThan">
      <formula>1</formula>
    </cfRule>
    <cfRule type="cellIs" dxfId="17562" priority="108" operator="lessThan">
      <formula>0.8</formula>
    </cfRule>
  </conditionalFormatting>
  <conditionalFormatting sqref="P84:P91">
    <cfRule type="cellIs" dxfId="17561" priority="106" operator="greaterThan">
      <formula>0</formula>
    </cfRule>
  </conditionalFormatting>
  <conditionalFormatting sqref="Q84:Q91">
    <cfRule type="cellIs" dxfId="17560" priority="111" operator="lessThan">
      <formula>0</formula>
    </cfRule>
  </conditionalFormatting>
  <conditionalFormatting sqref="Q84:Q91">
    <cfRule type="cellIs" dxfId="17559" priority="100" operator="lessThan">
      <formula>0</formula>
    </cfRule>
  </conditionalFormatting>
  <conditionalFormatting sqref="P84:P91">
    <cfRule type="cellIs" dxfId="17558" priority="101" operator="greaterThan">
      <formula>0</formula>
    </cfRule>
  </conditionalFormatting>
  <conditionalFormatting sqref="R84:R91">
    <cfRule type="cellIs" dxfId="17557" priority="104" operator="lessThan">
      <formula>0.8</formula>
    </cfRule>
    <cfRule type="cellIs" dxfId="17556" priority="105" operator="greaterThan">
      <formula>1</formula>
    </cfRule>
  </conditionalFormatting>
  <conditionalFormatting sqref="R84:R91">
    <cfRule type="cellIs" dxfId="17555" priority="102" operator="greaterThan">
      <formula>1</formula>
    </cfRule>
    <cfRule type="cellIs" dxfId="17554" priority="103" operator="lessThan">
      <formula>0.8</formula>
    </cfRule>
  </conditionalFormatting>
  <conditionalFormatting sqref="Q84:Q91">
    <cfRule type="cellIs" dxfId="17553" priority="94" operator="lessThan">
      <formula>0</formula>
    </cfRule>
  </conditionalFormatting>
  <conditionalFormatting sqref="R84:R91">
    <cfRule type="cellIs" dxfId="17552" priority="98" operator="lessThan">
      <formula>0.8</formula>
    </cfRule>
    <cfRule type="cellIs" dxfId="17551" priority="99" operator="greaterThan">
      <formula>1</formula>
    </cfRule>
  </conditionalFormatting>
  <conditionalFormatting sqref="R84:R91">
    <cfRule type="cellIs" dxfId="17550" priority="96" operator="greaterThan">
      <formula>1</formula>
    </cfRule>
    <cfRule type="cellIs" dxfId="17549" priority="97" operator="lessThan">
      <formula>0.8</formula>
    </cfRule>
  </conditionalFormatting>
  <conditionalFormatting sqref="P84:P91">
    <cfRule type="cellIs" dxfId="17548" priority="95" operator="greaterThan">
      <formula>0</formula>
    </cfRule>
  </conditionalFormatting>
  <conditionalFormatting sqref="Q84:Q91">
    <cfRule type="cellIs" dxfId="17547" priority="93" operator="lessThan">
      <formula>0</formula>
    </cfRule>
  </conditionalFormatting>
  <conditionalFormatting sqref="R84:R91">
    <cfRule type="cellIs" dxfId="17546" priority="91" operator="lessThan">
      <formula>0.8</formula>
    </cfRule>
    <cfRule type="cellIs" dxfId="17545" priority="92" operator="greaterThan">
      <formula>1</formula>
    </cfRule>
  </conditionalFormatting>
  <conditionalFormatting sqref="R84:R91">
    <cfRule type="cellIs" dxfId="17544" priority="89" operator="greaterThan">
      <formula>1</formula>
    </cfRule>
    <cfRule type="cellIs" dxfId="17543" priority="90" operator="lessThan">
      <formula>0.8</formula>
    </cfRule>
  </conditionalFormatting>
  <conditionalFormatting sqref="P84:P91">
    <cfRule type="cellIs" dxfId="17542" priority="88" operator="greaterThan">
      <formula>0</formula>
    </cfRule>
  </conditionalFormatting>
  <conditionalFormatting sqref="Q84:Q91">
    <cfRule type="cellIs" dxfId="17541" priority="87" operator="lessThan">
      <formula>0</formula>
    </cfRule>
  </conditionalFormatting>
  <conditionalFormatting sqref="R84:R91">
    <cfRule type="cellIs" dxfId="17540" priority="85" operator="lessThan">
      <formula>0.8</formula>
    </cfRule>
    <cfRule type="cellIs" dxfId="17539" priority="86" operator="greaterThan">
      <formula>1</formula>
    </cfRule>
  </conditionalFormatting>
  <conditionalFormatting sqref="R84:R91">
    <cfRule type="cellIs" dxfId="17538" priority="83" operator="greaterThan">
      <formula>1</formula>
    </cfRule>
    <cfRule type="cellIs" dxfId="17537" priority="84" operator="lessThan">
      <formula>0.8</formula>
    </cfRule>
  </conditionalFormatting>
  <conditionalFormatting sqref="P84:P91">
    <cfRule type="cellIs" dxfId="17536" priority="82" operator="greaterThan">
      <formula>0</formula>
    </cfRule>
  </conditionalFormatting>
  <conditionalFormatting sqref="Q84:Q91">
    <cfRule type="cellIs" dxfId="17535" priority="81" operator="lessThan">
      <formula>0</formula>
    </cfRule>
  </conditionalFormatting>
  <conditionalFormatting sqref="R84:R91">
    <cfRule type="cellIs" dxfId="17534" priority="79" operator="lessThan">
      <formula>0.8</formula>
    </cfRule>
    <cfRule type="cellIs" dxfId="17533" priority="80" operator="greaterThan">
      <formula>1</formula>
    </cfRule>
  </conditionalFormatting>
  <conditionalFormatting sqref="R84:R91">
    <cfRule type="cellIs" dxfId="17532" priority="77" operator="greaterThan">
      <formula>1</formula>
    </cfRule>
    <cfRule type="cellIs" dxfId="17531" priority="78" operator="lessThan">
      <formula>0.8</formula>
    </cfRule>
  </conditionalFormatting>
  <conditionalFormatting sqref="P84:P91">
    <cfRule type="cellIs" dxfId="17530" priority="76" operator="greaterThan">
      <formula>0</formula>
    </cfRule>
  </conditionalFormatting>
  <conditionalFormatting sqref="Q162:Q166">
    <cfRule type="cellIs" dxfId="17529" priority="75" operator="lessThan">
      <formula>0</formula>
    </cfRule>
  </conditionalFormatting>
  <conditionalFormatting sqref="R162:R166">
    <cfRule type="cellIs" dxfId="17528" priority="73" operator="lessThan">
      <formula>0.8</formula>
    </cfRule>
    <cfRule type="cellIs" dxfId="17527" priority="74" operator="greaterThan">
      <formula>1</formula>
    </cfRule>
  </conditionalFormatting>
  <conditionalFormatting sqref="R162:R166">
    <cfRule type="cellIs" dxfId="17526" priority="71" operator="greaterThan">
      <formula>1</formula>
    </cfRule>
    <cfRule type="cellIs" dxfId="17525" priority="72" operator="lessThan">
      <formula>0.8</formula>
    </cfRule>
  </conditionalFormatting>
  <conditionalFormatting sqref="P162:P166">
    <cfRule type="cellIs" dxfId="17524" priority="70" operator="greaterThan">
      <formula>0</formula>
    </cfRule>
  </conditionalFormatting>
  <conditionalFormatting sqref="P167:P168">
    <cfRule type="cellIs" dxfId="17523" priority="64" operator="greaterThan">
      <formula>0</formula>
    </cfRule>
  </conditionalFormatting>
  <conditionalFormatting sqref="R167:R168">
    <cfRule type="cellIs" dxfId="17522" priority="67" operator="lessThan">
      <formula>0.8</formula>
    </cfRule>
    <cfRule type="cellIs" dxfId="17521" priority="68" operator="greaterThan">
      <formula>1</formula>
    </cfRule>
  </conditionalFormatting>
  <conditionalFormatting sqref="R167:R168">
    <cfRule type="cellIs" dxfId="17520" priority="65" operator="greaterThan">
      <formula>1</formula>
    </cfRule>
    <cfRule type="cellIs" dxfId="17519" priority="66" operator="lessThan">
      <formula>0.8</formula>
    </cfRule>
  </conditionalFormatting>
  <conditionalFormatting sqref="Q167:Q168">
    <cfRule type="cellIs" dxfId="17518" priority="69" operator="lessThan">
      <formula>0</formula>
    </cfRule>
  </conditionalFormatting>
  <conditionalFormatting sqref="Q161">
    <cfRule type="cellIs" dxfId="17517" priority="63" operator="lessThan">
      <formula>0</formula>
    </cfRule>
  </conditionalFormatting>
  <conditionalFormatting sqref="R161">
    <cfRule type="cellIs" dxfId="17516" priority="61" operator="lessThan">
      <formula>0.8</formula>
    </cfRule>
    <cfRule type="cellIs" dxfId="17515" priority="62" operator="greaterThan">
      <formula>1</formula>
    </cfRule>
  </conditionalFormatting>
  <conditionalFormatting sqref="R161">
    <cfRule type="cellIs" dxfId="17514" priority="59" operator="greaterThan">
      <formula>1</formula>
    </cfRule>
    <cfRule type="cellIs" dxfId="17513" priority="60" operator="lessThan">
      <formula>0.8</formula>
    </cfRule>
  </conditionalFormatting>
  <conditionalFormatting sqref="P161">
    <cfRule type="cellIs" dxfId="17512" priority="58" operator="greaterThan">
      <formula>0</formula>
    </cfRule>
  </conditionalFormatting>
  <conditionalFormatting sqref="Q162:Q166">
    <cfRule type="cellIs" dxfId="17511" priority="57" operator="lessThan">
      <formula>0</formula>
    </cfRule>
  </conditionalFormatting>
  <conditionalFormatting sqref="R162:R166">
    <cfRule type="cellIs" dxfId="17510" priority="55" operator="lessThan">
      <formula>0.8</formula>
    </cfRule>
    <cfRule type="cellIs" dxfId="17509" priority="56" operator="greaterThan">
      <formula>1</formula>
    </cfRule>
  </conditionalFormatting>
  <conditionalFormatting sqref="R162:R166">
    <cfRule type="cellIs" dxfId="17508" priority="53" operator="greaterThan">
      <formula>1</formula>
    </cfRule>
    <cfRule type="cellIs" dxfId="17507" priority="54" operator="lessThan">
      <formula>0.8</formula>
    </cfRule>
  </conditionalFormatting>
  <conditionalFormatting sqref="P162:P166">
    <cfRule type="cellIs" dxfId="17506" priority="52" operator="greaterThan">
      <formula>0</formula>
    </cfRule>
  </conditionalFormatting>
  <conditionalFormatting sqref="Q162:Q166">
    <cfRule type="cellIs" dxfId="17505" priority="51" operator="lessThan">
      <formula>0</formula>
    </cfRule>
  </conditionalFormatting>
  <conditionalFormatting sqref="R162:R166">
    <cfRule type="cellIs" dxfId="17504" priority="49" operator="lessThan">
      <formula>0.8</formula>
    </cfRule>
    <cfRule type="cellIs" dxfId="17503" priority="50" operator="greaterThan">
      <formula>1</formula>
    </cfRule>
  </conditionalFormatting>
  <conditionalFormatting sqref="R162:R166">
    <cfRule type="cellIs" dxfId="17502" priority="47" operator="greaterThan">
      <formula>1</formula>
    </cfRule>
    <cfRule type="cellIs" dxfId="17501" priority="48" operator="lessThan">
      <formula>0.8</formula>
    </cfRule>
  </conditionalFormatting>
  <conditionalFormatting sqref="P162:P166">
    <cfRule type="cellIs" dxfId="17500" priority="46" operator="greaterThan">
      <formula>0</formula>
    </cfRule>
  </conditionalFormatting>
  <conditionalFormatting sqref="Q167:Q168">
    <cfRule type="cellIs" dxfId="17499" priority="45" operator="lessThan">
      <formula>0</formula>
    </cfRule>
  </conditionalFormatting>
  <conditionalFormatting sqref="R167:R168">
    <cfRule type="cellIs" dxfId="17498" priority="43" operator="lessThan">
      <formula>0.8</formula>
    </cfRule>
    <cfRule type="cellIs" dxfId="17497" priority="44" operator="greaterThan">
      <formula>1</formula>
    </cfRule>
  </conditionalFormatting>
  <conditionalFormatting sqref="R167:R168">
    <cfRule type="cellIs" dxfId="17496" priority="41" operator="greaterThan">
      <formula>1</formula>
    </cfRule>
    <cfRule type="cellIs" dxfId="17495" priority="42" operator="lessThan">
      <formula>0.8</formula>
    </cfRule>
  </conditionalFormatting>
  <conditionalFormatting sqref="P167:P168">
    <cfRule type="cellIs" dxfId="17494" priority="40" operator="greaterThan">
      <formula>0</formula>
    </cfRule>
  </conditionalFormatting>
  <conditionalFormatting sqref="Q161">
    <cfRule type="cellIs" dxfId="17493" priority="39" operator="lessThan">
      <formula>0</formula>
    </cfRule>
  </conditionalFormatting>
  <conditionalFormatting sqref="R161">
    <cfRule type="cellIs" dxfId="17492" priority="37" operator="lessThan">
      <formula>0.8</formula>
    </cfRule>
    <cfRule type="cellIs" dxfId="17491" priority="38" operator="greaterThan">
      <formula>1</formula>
    </cfRule>
  </conditionalFormatting>
  <conditionalFormatting sqref="R161">
    <cfRule type="cellIs" dxfId="17490" priority="35" operator="greaterThan">
      <formula>1</formula>
    </cfRule>
    <cfRule type="cellIs" dxfId="17489" priority="36" operator="lessThan">
      <formula>0.8</formula>
    </cfRule>
  </conditionalFormatting>
  <conditionalFormatting sqref="P161">
    <cfRule type="cellIs" dxfId="17488" priority="34" operator="greaterThan">
      <formula>0</formula>
    </cfRule>
  </conditionalFormatting>
  <conditionalFormatting sqref="Q162:Q166">
    <cfRule type="cellIs" dxfId="17487" priority="33" operator="lessThan">
      <formula>0</formula>
    </cfRule>
  </conditionalFormatting>
  <conditionalFormatting sqref="R162:R166">
    <cfRule type="cellIs" dxfId="17486" priority="31" operator="lessThan">
      <formula>0.8</formula>
    </cfRule>
    <cfRule type="cellIs" dxfId="17485" priority="32" operator="greaterThan">
      <formula>1</formula>
    </cfRule>
  </conditionalFormatting>
  <conditionalFormatting sqref="R162:R166">
    <cfRule type="cellIs" dxfId="17484" priority="29" operator="greaterThan">
      <formula>1</formula>
    </cfRule>
    <cfRule type="cellIs" dxfId="17483" priority="30" operator="lessThan">
      <formula>0.8</formula>
    </cfRule>
  </conditionalFormatting>
  <conditionalFormatting sqref="P162:P166">
    <cfRule type="cellIs" dxfId="17482" priority="28" operator="greaterThan">
      <formula>0</formula>
    </cfRule>
  </conditionalFormatting>
  <conditionalFormatting sqref="Q161">
    <cfRule type="cellIs" dxfId="17481" priority="27" operator="lessThan">
      <formula>0</formula>
    </cfRule>
  </conditionalFormatting>
  <conditionalFormatting sqref="R161">
    <cfRule type="cellIs" dxfId="17480" priority="25" operator="lessThan">
      <formula>0.8</formula>
    </cfRule>
    <cfRule type="cellIs" dxfId="17479" priority="26" operator="greaterThan">
      <formula>1</formula>
    </cfRule>
  </conditionalFormatting>
  <conditionalFormatting sqref="R161">
    <cfRule type="cellIs" dxfId="17478" priority="23" operator="greaterThan">
      <formula>1</formula>
    </cfRule>
    <cfRule type="cellIs" dxfId="17477" priority="24" operator="lessThan">
      <formula>0.8</formula>
    </cfRule>
  </conditionalFormatting>
  <conditionalFormatting sqref="P161">
    <cfRule type="cellIs" dxfId="17476" priority="22" operator="greaterThan">
      <formula>0</formula>
    </cfRule>
  </conditionalFormatting>
  <conditionalFormatting sqref="Q162:Q166">
    <cfRule type="cellIs" dxfId="17475" priority="21" operator="lessThan">
      <formula>0</formula>
    </cfRule>
  </conditionalFormatting>
  <conditionalFormatting sqref="R162:R166">
    <cfRule type="cellIs" dxfId="17474" priority="19" operator="lessThan">
      <formula>0.8</formula>
    </cfRule>
    <cfRule type="cellIs" dxfId="17473" priority="20" operator="greaterThan">
      <formula>1</formula>
    </cfRule>
  </conditionalFormatting>
  <conditionalFormatting sqref="R162:R166">
    <cfRule type="cellIs" dxfId="17472" priority="17" operator="greaterThan">
      <formula>1</formula>
    </cfRule>
    <cfRule type="cellIs" dxfId="17471" priority="18" operator="lessThan">
      <formula>0.8</formula>
    </cfRule>
  </conditionalFormatting>
  <conditionalFormatting sqref="P162:P166">
    <cfRule type="cellIs" dxfId="17470" priority="16" operator="greaterThan">
      <formula>0</formula>
    </cfRule>
  </conditionalFormatting>
  <conditionalFormatting sqref="Q161">
    <cfRule type="cellIs" dxfId="17469" priority="15" operator="lessThan">
      <formula>0</formula>
    </cfRule>
  </conditionalFormatting>
  <conditionalFormatting sqref="R161">
    <cfRule type="cellIs" dxfId="17468" priority="13" operator="lessThan">
      <formula>0.8</formula>
    </cfRule>
    <cfRule type="cellIs" dxfId="17467" priority="14" operator="greaterThan">
      <formula>1</formula>
    </cfRule>
  </conditionalFormatting>
  <conditionalFormatting sqref="R161">
    <cfRule type="cellIs" dxfId="17466" priority="11" operator="greaterThan">
      <formula>1</formula>
    </cfRule>
    <cfRule type="cellIs" dxfId="17465" priority="12" operator="lessThan">
      <formula>0.8</formula>
    </cfRule>
  </conditionalFormatting>
  <conditionalFormatting sqref="P161">
    <cfRule type="cellIs" dxfId="17464" priority="10" operator="greaterThan">
      <formula>0</formula>
    </cfRule>
  </conditionalFormatting>
  <conditionalFormatting sqref="P167:P168">
    <cfRule type="cellIs" dxfId="17463" priority="4" operator="greaterThan">
      <formula>0</formula>
    </cfRule>
  </conditionalFormatting>
  <conditionalFormatting sqref="R167:R168">
    <cfRule type="cellIs" dxfId="17462" priority="7" operator="lessThan">
      <formula>0.8</formula>
    </cfRule>
    <cfRule type="cellIs" dxfId="17461" priority="8" operator="greaterThan">
      <formula>1</formula>
    </cfRule>
  </conditionalFormatting>
  <conditionalFormatting sqref="R167:R168">
    <cfRule type="cellIs" dxfId="17460" priority="5" operator="greaterThan">
      <formula>1</formula>
    </cfRule>
    <cfRule type="cellIs" dxfId="17459" priority="6" operator="lessThan">
      <formula>0.8</formula>
    </cfRule>
  </conditionalFormatting>
  <conditionalFormatting sqref="Q167:Q168">
    <cfRule type="cellIs" dxfId="17458" priority="9" operator="lessThan">
      <formula>0</formula>
    </cfRule>
  </conditionalFormatting>
  <conditionalFormatting sqref="AF30">
    <cfRule type="cellIs" dxfId="17457" priority="3" operator="lessThan">
      <formula>0</formula>
    </cfRule>
  </conditionalFormatting>
  <conditionalFormatting sqref="AG30">
    <cfRule type="cellIs" dxfId="17456" priority="1" operator="greaterThan">
      <formula>1</formula>
    </cfRule>
    <cfRule type="cellIs" dxfId="17455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O31" sqref="O31"/>
    </sheetView>
  </sheetViews>
  <sheetFormatPr defaultColWidth="8.125" defaultRowHeight="15.75"/>
  <cols>
    <col min="1" max="1" width="8.125" style="2"/>
    <col min="2" max="2" width="7.125" style="2" customWidth="1"/>
    <col min="3" max="3" width="7.125" style="61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27" t="s">
        <v>0</v>
      </c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9"/>
      <c r="N1" s="1"/>
      <c r="O1" s="1"/>
    </row>
    <row r="2" spans="2:17" ht="27.75" customHeight="1">
      <c r="B2" s="527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9"/>
      <c r="N2" s="1"/>
      <c r="O2" s="1"/>
    </row>
    <row r="3" spans="2:17" ht="46.5" customHeight="1">
      <c r="B3" s="521" t="s">
        <v>1</v>
      </c>
      <c r="C3" s="522"/>
      <c r="D3" s="530" t="s">
        <v>382</v>
      </c>
      <c r="E3" s="531"/>
      <c r="F3" s="521" t="s">
        <v>2</v>
      </c>
      <c r="G3" s="522"/>
      <c r="H3" s="532">
        <v>189647</v>
      </c>
      <c r="I3" s="533"/>
      <c r="J3" s="521" t="s">
        <v>3</v>
      </c>
      <c r="K3" s="522"/>
      <c r="L3" s="534">
        <v>6278211.2810188495</v>
      </c>
      <c r="M3" s="535"/>
      <c r="N3" s="3"/>
    </row>
    <row r="4" spans="2:17" ht="24" customHeight="1">
      <c r="B4" s="521" t="s">
        <v>4</v>
      </c>
      <c r="C4" s="522"/>
      <c r="D4" s="513" t="s">
        <v>5</v>
      </c>
      <c r="E4" s="514"/>
      <c r="F4" s="525" t="s">
        <v>6</v>
      </c>
      <c r="G4" s="526"/>
      <c r="H4" s="525" t="s">
        <v>7</v>
      </c>
      <c r="I4" s="526"/>
      <c r="J4" s="525" t="s">
        <v>8</v>
      </c>
      <c r="K4" s="526"/>
      <c r="L4" s="525" t="s">
        <v>9</v>
      </c>
      <c r="M4" s="526"/>
      <c r="N4" s="505" t="s">
        <v>10</v>
      </c>
      <c r="O4" s="506"/>
      <c r="P4" s="506" t="s">
        <v>11</v>
      </c>
      <c r="Q4" s="506"/>
    </row>
    <row r="5" spans="2:17" ht="24" customHeight="1">
      <c r="B5" s="507" t="s">
        <v>12</v>
      </c>
      <c r="C5" s="508"/>
      <c r="D5" s="513" t="s">
        <v>13</v>
      </c>
      <c r="E5" s="514"/>
      <c r="F5" s="513" t="s">
        <v>14</v>
      </c>
      <c r="G5" s="514"/>
      <c r="H5" s="515" t="s">
        <v>15</v>
      </c>
      <c r="I5" s="516"/>
      <c r="J5" s="517" t="s">
        <v>16</v>
      </c>
      <c r="K5" s="518"/>
      <c r="L5" s="519" t="s">
        <v>17</v>
      </c>
      <c r="M5" s="520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509"/>
      <c r="C6" s="510"/>
      <c r="D6" s="521" t="s">
        <v>21</v>
      </c>
      <c r="E6" s="522"/>
      <c r="F6" s="523">
        <f>AVERAGE(D13:O13,P13:Q13,D30:F30,H30,J30:L30)</f>
        <v>359.31951956327748</v>
      </c>
      <c r="G6" s="524"/>
      <c r="H6" s="499">
        <f>AVERAGE(D13:P13,Q13)</f>
        <v>146.47927934491619</v>
      </c>
      <c r="I6" s="500"/>
      <c r="J6" s="499">
        <f>AVERAGE(D30:F30,H30)</f>
        <v>717.5</v>
      </c>
      <c r="K6" s="500"/>
      <c r="L6" s="501">
        <f>AVERAGE(J30:L30)</f>
        <v>875</v>
      </c>
      <c r="M6" s="502"/>
      <c r="N6" s="503">
        <v>0</v>
      </c>
      <c r="O6" s="488">
        <v>0</v>
      </c>
      <c r="P6" s="504">
        <v>3</v>
      </c>
      <c r="Q6" s="488">
        <v>4</v>
      </c>
    </row>
    <row r="7" spans="2:17" s="6" customFormat="1" ht="39.6" customHeight="1">
      <c r="B7" s="509"/>
      <c r="C7" s="510"/>
      <c r="D7" s="489" t="s">
        <v>22</v>
      </c>
      <c r="E7" s="490"/>
      <c r="F7" s="491">
        <f>AVERAGE(D14:O14,P14:Q14,D31:F31,J31:L31,H31)</f>
        <v>330.50138708802143</v>
      </c>
      <c r="G7" s="492"/>
      <c r="H7" s="493">
        <f>AVERAGE(D14:P14,Q14)</f>
        <v>128.15679418989325</v>
      </c>
      <c r="I7" s="494"/>
      <c r="J7" s="493">
        <f>AVERAGE(D31:F31,H31)</f>
        <v>716.47920475475439</v>
      </c>
      <c r="K7" s="494"/>
      <c r="L7" s="495">
        <f>AVERAGE(J31:L31)</f>
        <v>760.13906372364272</v>
      </c>
      <c r="M7" s="496"/>
      <c r="N7" s="503"/>
      <c r="O7" s="488"/>
      <c r="P7" s="504"/>
      <c r="Q7" s="488"/>
    </row>
    <row r="8" spans="2:17" s="6" customFormat="1" ht="39.6" customHeight="1">
      <c r="B8" s="511"/>
      <c r="C8" s="512"/>
      <c r="D8" s="489" t="s">
        <v>23</v>
      </c>
      <c r="E8" s="490"/>
      <c r="F8" s="497">
        <f>AVERAGE(D15:O15,P15:Q15,D32:F32,H32,J32:K32,L32)</f>
        <v>0.8941301675004022</v>
      </c>
      <c r="G8" s="498"/>
      <c r="H8" s="497">
        <f>AVERAGE(D15:O15,P15:Q15)</f>
        <v>0.87532436163104854</v>
      </c>
      <c r="I8" s="498"/>
      <c r="J8" s="497">
        <f>AVERAGE(D32:F32,H32)</f>
        <v>0.97825717913202448</v>
      </c>
      <c r="K8" s="498"/>
      <c r="L8" s="497">
        <f>AVERAGE(J32:L32)</f>
        <v>0.86972124604855605</v>
      </c>
      <c r="M8" s="498"/>
      <c r="N8" s="503"/>
      <c r="O8" s="488"/>
      <c r="P8" s="504"/>
      <c r="Q8" s="48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462" t="s">
        <v>24</v>
      </c>
      <c r="C10" s="484"/>
      <c r="D10" s="485" t="s">
        <v>25</v>
      </c>
      <c r="E10" s="486"/>
      <c r="F10" s="486"/>
      <c r="G10" s="486"/>
      <c r="H10" s="486"/>
      <c r="I10" s="486"/>
      <c r="J10" s="486"/>
      <c r="K10" s="486"/>
      <c r="L10" s="486"/>
      <c r="M10" s="486"/>
      <c r="N10" s="486"/>
      <c r="O10" s="486"/>
      <c r="P10" s="486"/>
      <c r="Q10" s="487"/>
    </row>
    <row r="11" spans="2:17" ht="17.25" customHeight="1">
      <c r="B11" s="470" t="s">
        <v>26</v>
      </c>
      <c r="C11" s="47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50000000000003" customHeight="1">
      <c r="B12" s="472"/>
      <c r="C12" s="473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50000000000003" customHeight="1">
      <c r="B13" s="474" t="s">
        <v>41</v>
      </c>
      <c r="C13" s="14" t="s">
        <v>42</v>
      </c>
      <c r="D13" s="15">
        <v>109.07529239766082</v>
      </c>
      <c r="E13" s="15">
        <v>94.505135387488323</v>
      </c>
      <c r="F13" s="15">
        <v>138.53182636077375</v>
      </c>
      <c r="G13" s="15">
        <v>257.5555555555556</v>
      </c>
      <c r="H13" s="15">
        <v>250</v>
      </c>
      <c r="I13" s="15">
        <v>87.873015873015873</v>
      </c>
      <c r="J13" s="15">
        <v>107.40233918128656</v>
      </c>
      <c r="K13" s="15">
        <v>324.98511904761898</v>
      </c>
      <c r="L13" s="15">
        <v>84.573129251700692</v>
      </c>
      <c r="M13" s="15">
        <v>82.46974574917688</v>
      </c>
      <c r="N13" s="15">
        <v>84.656346749226003</v>
      </c>
      <c r="O13" s="15">
        <v>83.557929750847705</v>
      </c>
      <c r="P13" s="15">
        <v>195.52447552447552</v>
      </c>
      <c r="Q13" s="16">
        <v>150</v>
      </c>
    </row>
    <row r="14" spans="2:17" ht="39.950000000000003" customHeight="1">
      <c r="B14" s="475"/>
      <c r="C14" s="14" t="s">
        <v>43</v>
      </c>
      <c r="D14" s="15">
        <v>95.777137783194121</v>
      </c>
      <c r="E14" s="15">
        <v>79.590894883928215</v>
      </c>
      <c r="F14" s="15">
        <v>126.80185968701311</v>
      </c>
      <c r="G14" s="15">
        <v>224.87708775830228</v>
      </c>
      <c r="H14" s="15">
        <v>209.31186361660738</v>
      </c>
      <c r="I14" s="15">
        <v>76.853461128768686</v>
      </c>
      <c r="J14" s="15">
        <v>93.854213231128853</v>
      </c>
      <c r="K14" s="15">
        <v>271.39317584510053</v>
      </c>
      <c r="L14" s="15">
        <v>72.912982054065665</v>
      </c>
      <c r="M14" s="15">
        <v>67.331877831288139</v>
      </c>
      <c r="N14" s="15">
        <v>74.533684222028882</v>
      </c>
      <c r="O14" s="15">
        <v>74.146532166198241</v>
      </c>
      <c r="P14" s="15">
        <v>193.31785394538687</v>
      </c>
      <c r="Q14" s="16">
        <v>133.49249450549459</v>
      </c>
    </row>
    <row r="15" spans="2:17" ht="39.950000000000003" customHeight="1">
      <c r="B15" s="476"/>
      <c r="C15" s="10" t="s">
        <v>44</v>
      </c>
      <c r="D15" s="17">
        <f t="shared" ref="D15:P15" si="0">D14/D13</f>
        <v>0.87808279655134913</v>
      </c>
      <c r="E15" s="17">
        <f t="shared" si="0"/>
        <v>0.84218592521550284</v>
      </c>
      <c r="F15" s="17">
        <f t="shared" si="0"/>
        <v>0.91532655721138989</v>
      </c>
      <c r="G15" s="17">
        <f t="shared" si="0"/>
        <v>0.87312070311679046</v>
      </c>
      <c r="H15" s="17">
        <f t="shared" si="0"/>
        <v>0.83724745446642956</v>
      </c>
      <c r="I15" s="17">
        <f t="shared" si="0"/>
        <v>0.87459683004198463</v>
      </c>
      <c r="J15" s="17">
        <f t="shared" si="0"/>
        <v>0.87385632330326102</v>
      </c>
      <c r="K15" s="17">
        <f t="shared" si="0"/>
        <v>0.83509416258943903</v>
      </c>
      <c r="L15" s="17">
        <f t="shared" si="0"/>
        <v>0.86212941035996316</v>
      </c>
      <c r="M15" s="17">
        <f t="shared" si="0"/>
        <v>0.8164433783519961</v>
      </c>
      <c r="N15" s="17">
        <f t="shared" si="0"/>
        <v>0.88042641909432895</v>
      </c>
      <c r="O15" s="17">
        <f t="shared" si="0"/>
        <v>0.88736679316119627</v>
      </c>
      <c r="P15" s="17">
        <f t="shared" si="0"/>
        <v>0.98871434600108454</v>
      </c>
      <c r="Q15" s="18">
        <f>Q14/Q13</f>
        <v>0.8899499633699639</v>
      </c>
    </row>
    <row r="16" spans="2:17" ht="22.9" customHeight="1">
      <c r="B16" s="477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9" customHeight="1">
      <c r="B17" s="478"/>
      <c r="C17" s="10" t="s">
        <v>47</v>
      </c>
      <c r="D17" s="19">
        <v>0.66875000000000007</v>
      </c>
      <c r="E17" s="19">
        <v>0.52777777777777768</v>
      </c>
      <c r="F17" s="19">
        <v>0.47499999999999998</v>
      </c>
      <c r="G17" s="19">
        <v>0.46041666666666664</v>
      </c>
      <c r="H17" s="19">
        <v>0.59444444444444444</v>
      </c>
      <c r="I17" s="19">
        <v>0.67430555555555549</v>
      </c>
      <c r="J17" s="19">
        <v>0.80902777777777768</v>
      </c>
      <c r="K17" s="19">
        <v>0.55138888888888882</v>
      </c>
      <c r="L17" s="19">
        <v>0.82291666666666663</v>
      </c>
      <c r="M17" s="19">
        <v>0.95694444444444426</v>
      </c>
      <c r="N17" s="19">
        <v>0.98958333333333337</v>
      </c>
      <c r="O17" s="19">
        <v>0.86805555555555558</v>
      </c>
      <c r="P17" s="19">
        <v>0.55902777777777779</v>
      </c>
      <c r="Q17" s="20">
        <v>0.53125</v>
      </c>
    </row>
    <row r="18" spans="2:17" ht="22.9" customHeight="1">
      <c r="B18" s="479" t="s">
        <v>48</v>
      </c>
      <c r="C18" s="480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9" customHeight="1">
      <c r="B19" s="481"/>
      <c r="C19" s="482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9" customHeight="1">
      <c r="B20" s="479" t="s">
        <v>50</v>
      </c>
      <c r="C20" s="480"/>
      <c r="D20" s="21" t="s">
        <v>49</v>
      </c>
      <c r="E20" s="21" t="s">
        <v>49</v>
      </c>
      <c r="F20" s="21">
        <v>1</v>
      </c>
      <c r="G20" s="21" t="s">
        <v>49</v>
      </c>
      <c r="H20" s="21">
        <v>1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>
        <v>1</v>
      </c>
      <c r="O20" s="21" t="s">
        <v>49</v>
      </c>
      <c r="P20" s="21" t="s">
        <v>49</v>
      </c>
      <c r="Q20" s="22"/>
    </row>
    <row r="21" spans="2:17" ht="22.9" customHeight="1">
      <c r="B21" s="481"/>
      <c r="C21" s="482"/>
      <c r="D21" s="21">
        <v>1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>
        <v>1</v>
      </c>
      <c r="K21" s="21">
        <v>2</v>
      </c>
      <c r="L21" s="21" t="s">
        <v>49</v>
      </c>
      <c r="M21" s="21" t="s">
        <v>49</v>
      </c>
      <c r="N21" s="21" t="s">
        <v>49</v>
      </c>
      <c r="O21" s="21" t="s">
        <v>49</v>
      </c>
      <c r="P21" s="21" t="s">
        <v>49</v>
      </c>
      <c r="Q21" s="22"/>
    </row>
    <row r="22" spans="2:17" ht="22.9" customHeight="1">
      <c r="B22" s="458" t="s">
        <v>51</v>
      </c>
      <c r="C22" s="459"/>
      <c r="D22" s="23">
        <v>18.375</v>
      </c>
      <c r="E22" s="23">
        <v>17.857142857142858</v>
      </c>
      <c r="F22" s="23">
        <v>14.833333333333334</v>
      </c>
      <c r="G22" s="23">
        <v>6.333333333333333</v>
      </c>
      <c r="H22" s="23">
        <v>6.75</v>
      </c>
      <c r="I22" s="23">
        <v>16.2</v>
      </c>
      <c r="J22" s="23">
        <v>16</v>
      </c>
      <c r="K22" s="23">
        <v>8.4285714285714288</v>
      </c>
      <c r="L22" s="23">
        <v>17.285714285714285</v>
      </c>
      <c r="M22" s="23">
        <v>18.399999999999999</v>
      </c>
      <c r="N22" s="23">
        <v>17.571428571428573</v>
      </c>
      <c r="O22" s="23">
        <v>17.399999999999999</v>
      </c>
      <c r="P22" s="23">
        <v>11.6</v>
      </c>
      <c r="Q22" s="24">
        <v>11.3</v>
      </c>
    </row>
    <row r="23" spans="2:17" ht="22.9" customHeight="1">
      <c r="B23" s="458" t="s">
        <v>52</v>
      </c>
      <c r="C23" s="459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9" customHeight="1">
      <c r="B24" s="458" t="s">
        <v>58</v>
      </c>
      <c r="C24" s="45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9" customHeight="1" thickBot="1">
      <c r="B25" s="460" t="s">
        <v>59</v>
      </c>
      <c r="C25" s="461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5" thickBot="1">
      <c r="B26" s="483"/>
      <c r="C26" s="483"/>
    </row>
    <row r="27" spans="2:17" ht="30" customHeight="1" thickBot="1">
      <c r="B27" s="462" t="s">
        <v>24</v>
      </c>
      <c r="C27" s="463"/>
      <c r="D27" s="464" t="s">
        <v>64</v>
      </c>
      <c r="E27" s="465"/>
      <c r="F27" s="465"/>
      <c r="G27" s="465"/>
      <c r="H27" s="466"/>
      <c r="I27" s="467" t="s">
        <v>65</v>
      </c>
      <c r="J27" s="468"/>
      <c r="K27" s="468"/>
      <c r="L27" s="468"/>
      <c r="M27" s="469"/>
    </row>
    <row r="28" spans="2:17" ht="17.25" customHeight="1">
      <c r="B28" s="470" t="s">
        <v>26</v>
      </c>
      <c r="C28" s="471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472"/>
      <c r="C29" s="473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50000000000003" customHeight="1">
      <c r="B30" s="474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50000000000003" customHeight="1">
      <c r="B31" s="475"/>
      <c r="C31" s="34" t="s">
        <v>43</v>
      </c>
      <c r="D31" s="15">
        <v>281.61038961038997</v>
      </c>
      <c r="E31" s="15">
        <v>763.28564805533267</v>
      </c>
      <c r="F31" s="15">
        <v>836.00649350649337</v>
      </c>
      <c r="G31" s="15">
        <v>0</v>
      </c>
      <c r="H31" s="41">
        <v>985.01428784680149</v>
      </c>
      <c r="I31" s="42">
        <v>0</v>
      </c>
      <c r="J31" s="15">
        <v>746.13190476190607</v>
      </c>
      <c r="K31" s="15">
        <v>663.72222222222172</v>
      </c>
      <c r="L31" s="15">
        <v>870.56306418680049</v>
      </c>
      <c r="M31" s="16">
        <v>841.25000000000034</v>
      </c>
    </row>
    <row r="32" spans="2:17" ht="39.950000000000003" customHeight="1">
      <c r="B32" s="476"/>
      <c r="C32" s="43" t="s">
        <v>44</v>
      </c>
      <c r="D32" s="17">
        <f t="shared" ref="D32:M32" si="1">D31/D30</f>
        <v>0.88003246753246867</v>
      </c>
      <c r="E32" s="17">
        <f t="shared" si="1"/>
        <v>0.92519472491555477</v>
      </c>
      <c r="F32" s="17">
        <f t="shared" si="1"/>
        <v>1.0133412042502949</v>
      </c>
      <c r="G32" s="17">
        <f t="shared" si="1"/>
        <v>0</v>
      </c>
      <c r="H32" s="44">
        <f t="shared" si="1"/>
        <v>1.0944603198297795</v>
      </c>
      <c r="I32" s="45">
        <f t="shared" si="1"/>
        <v>0</v>
      </c>
      <c r="J32" s="17">
        <f t="shared" si="1"/>
        <v>0.90440230880231043</v>
      </c>
      <c r="K32" s="17">
        <f t="shared" si="1"/>
        <v>0.73746913580246853</v>
      </c>
      <c r="L32" s="17">
        <f t="shared" si="1"/>
        <v>0.96729229354088941</v>
      </c>
      <c r="M32" s="18">
        <f t="shared" si="1"/>
        <v>0.93472222222222257</v>
      </c>
    </row>
    <row r="33" spans="2:13" ht="25.9" customHeight="1">
      <c r="B33" s="477" t="s">
        <v>45</v>
      </c>
      <c r="C33" s="43" t="s">
        <v>46</v>
      </c>
      <c r="D33" s="19">
        <v>0.18055555555555555</v>
      </c>
      <c r="E33" s="19">
        <v>0.18055555555555555</v>
      </c>
      <c r="F33" s="19">
        <v>0.17361111111111113</v>
      </c>
      <c r="G33" s="19">
        <v>0</v>
      </c>
      <c r="H33" s="46">
        <v>0.1875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9" customHeight="1">
      <c r="B34" s="478"/>
      <c r="C34" s="43" t="s">
        <v>47</v>
      </c>
      <c r="D34" s="19">
        <v>0.21944444444444444</v>
      </c>
      <c r="E34" s="19">
        <v>0.35416666666666669</v>
      </c>
      <c r="F34" s="19">
        <v>0.33402777777777781</v>
      </c>
      <c r="G34" s="19">
        <v>0</v>
      </c>
      <c r="H34" s="46">
        <v>0.4368055555555555</v>
      </c>
      <c r="I34" s="47">
        <v>0</v>
      </c>
      <c r="J34" s="19">
        <v>0.98263888888888884</v>
      </c>
      <c r="K34" s="19">
        <v>0.78819444444444453</v>
      </c>
      <c r="L34" s="19">
        <v>46061.079861111109</v>
      </c>
      <c r="M34" s="20">
        <v>0.76388888888888884</v>
      </c>
    </row>
    <row r="35" spans="2:13" ht="25.9" customHeight="1">
      <c r="B35" s="458" t="s">
        <v>51</v>
      </c>
      <c r="C35" s="459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9" customHeight="1">
      <c r="B36" s="458" t="s">
        <v>52</v>
      </c>
      <c r="C36" s="459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9" customHeight="1">
      <c r="B37" s="458" t="s">
        <v>58</v>
      </c>
      <c r="C37" s="459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9" customHeight="1" thickBot="1">
      <c r="B38" s="460" t="s">
        <v>59</v>
      </c>
      <c r="C38" s="461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4" type="noConversion"/>
  <conditionalFormatting sqref="D32 F32:J32 L32">
    <cfRule type="cellIs" dxfId="17454" priority="6" operator="lessThan">
      <formula>0.8</formula>
    </cfRule>
  </conditionalFormatting>
  <conditionalFormatting sqref="M32">
    <cfRule type="cellIs" dxfId="17453" priority="5" operator="lessThan">
      <formula>0.8</formula>
    </cfRule>
  </conditionalFormatting>
  <conditionalFormatting sqref="K32">
    <cfRule type="cellIs" dxfId="17452" priority="4" operator="lessThan">
      <formula>0.8</formula>
    </cfRule>
  </conditionalFormatting>
  <conditionalFormatting sqref="E32">
    <cfRule type="cellIs" dxfId="17451" priority="3" operator="lessThan">
      <formula>0.8</formula>
    </cfRule>
  </conditionalFormatting>
  <conditionalFormatting sqref="D15:P15">
    <cfRule type="cellIs" dxfId="17450" priority="2" operator="lessThan">
      <formula>0.8</formula>
    </cfRule>
  </conditionalFormatting>
  <conditionalFormatting sqref="Q15">
    <cfRule type="cellIs" dxfId="17449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31" zoomScale="85" zoomScaleNormal="85" workbookViewId="0">
      <selection activeCell="F40" sqref="F40"/>
    </sheetView>
  </sheetViews>
  <sheetFormatPr defaultColWidth="7.875" defaultRowHeight="15.75"/>
  <cols>
    <col min="1" max="1" width="13.625" style="371" customWidth="1"/>
    <col min="2" max="2" width="12.75" style="371" customWidth="1"/>
    <col min="3" max="3" width="12.75" style="457" hidden="1" customWidth="1"/>
    <col min="4" max="5" width="18.375" style="371" customWidth="1"/>
    <col min="6" max="6" width="9.75" style="455" customWidth="1"/>
    <col min="7" max="7" width="21.125" style="371" bestFit="1" customWidth="1"/>
    <col min="8" max="8" width="15.625" style="371" customWidth="1"/>
    <col min="9" max="9" width="12.25" style="371" bestFit="1" customWidth="1"/>
    <col min="10" max="15" width="9.75" style="371" customWidth="1"/>
    <col min="16" max="16" width="9.75" style="456" customWidth="1"/>
    <col min="17" max="18" width="9.75" style="371" customWidth="1"/>
    <col min="19" max="16384" width="7.875" style="371"/>
  </cols>
  <sheetData>
    <row r="1" spans="1:18" ht="26.25" customHeight="1">
      <c r="A1" s="362" t="s">
        <v>360</v>
      </c>
      <c r="B1" s="363"/>
      <c r="C1" s="364"/>
      <c r="D1" s="365" t="s">
        <v>82</v>
      </c>
      <c r="E1" s="366">
        <f>SUM(G5:G124)</f>
        <v>66128</v>
      </c>
      <c r="F1" s="367" t="s">
        <v>3</v>
      </c>
      <c r="G1" s="368">
        <f>SUM(H5:H124)</f>
        <v>1291720.78027417</v>
      </c>
      <c r="H1" s="369" t="s">
        <v>361</v>
      </c>
      <c r="I1" s="370">
        <f>+J16+J64+J24+J38+J51+J81+J100+J91+J57+J124+J111</f>
        <v>38.050000000000004</v>
      </c>
      <c r="J1" s="584" t="s">
        <v>362</v>
      </c>
      <c r="K1" s="585"/>
      <c r="L1" s="586"/>
      <c r="M1" s="584" t="s">
        <v>87</v>
      </c>
      <c r="N1" s="585"/>
      <c r="O1" s="585"/>
      <c r="P1" s="585"/>
      <c r="Q1" s="585"/>
      <c r="R1" s="586"/>
    </row>
    <row r="2" spans="1:18" ht="26.25" customHeight="1" thickBot="1">
      <c r="A2" s="590" t="s">
        <v>376</v>
      </c>
      <c r="B2" s="591"/>
      <c r="C2" s="372"/>
      <c r="D2" s="373" t="s">
        <v>41</v>
      </c>
      <c r="E2" s="374">
        <f>AVERAGE(L16,L24,L38,L51,L100,L111,L91)</f>
        <v>613.54460240694846</v>
      </c>
      <c r="F2" s="375" t="s">
        <v>94</v>
      </c>
      <c r="G2" s="376">
        <f>G1/E1</f>
        <v>19.533643543947647</v>
      </c>
      <c r="H2" s="377" t="s">
        <v>364</v>
      </c>
      <c r="I2" s="378">
        <f>COUNT(I5:I124)</f>
        <v>0</v>
      </c>
      <c r="J2" s="587"/>
      <c r="K2" s="588"/>
      <c r="L2" s="589"/>
      <c r="M2" s="587"/>
      <c r="N2" s="588"/>
      <c r="O2" s="588"/>
      <c r="P2" s="588"/>
      <c r="Q2" s="588"/>
      <c r="R2" s="589"/>
    </row>
    <row r="3" spans="1:18" ht="23.25" customHeight="1">
      <c r="A3" s="592" t="s">
        <v>96</v>
      </c>
      <c r="B3" s="594" t="s">
        <v>365</v>
      </c>
      <c r="C3" s="379"/>
      <c r="D3" s="595" t="s">
        <v>98</v>
      </c>
      <c r="E3" s="595"/>
      <c r="F3" s="596" t="s">
        <v>99</v>
      </c>
      <c r="G3" s="597" t="s">
        <v>366</v>
      </c>
      <c r="H3" s="598" t="s">
        <v>367</v>
      </c>
      <c r="I3" s="599" t="s">
        <v>102</v>
      </c>
      <c r="J3" s="567" t="s">
        <v>106</v>
      </c>
      <c r="K3" s="577" t="s">
        <v>105</v>
      </c>
      <c r="L3" s="579" t="s">
        <v>41</v>
      </c>
      <c r="M3" s="581" t="s">
        <v>109</v>
      </c>
      <c r="N3" s="581"/>
      <c r="O3" s="567" t="s">
        <v>301</v>
      </c>
      <c r="P3" s="582" t="s">
        <v>111</v>
      </c>
      <c r="Q3" s="567" t="s">
        <v>112</v>
      </c>
      <c r="R3" s="567"/>
    </row>
    <row r="4" spans="1:18" ht="15.75" customHeight="1">
      <c r="A4" s="593"/>
      <c r="B4" s="594"/>
      <c r="C4" s="379"/>
      <c r="D4" s="595"/>
      <c r="E4" s="595"/>
      <c r="F4" s="596"/>
      <c r="G4" s="597"/>
      <c r="H4" s="598"/>
      <c r="I4" s="600"/>
      <c r="J4" s="576"/>
      <c r="K4" s="578"/>
      <c r="L4" s="580"/>
      <c r="M4" s="381" t="s">
        <v>116</v>
      </c>
      <c r="N4" s="381" t="s">
        <v>117</v>
      </c>
      <c r="O4" s="576"/>
      <c r="P4" s="583"/>
      <c r="Q4" s="382" t="s">
        <v>118</v>
      </c>
      <c r="R4" s="382" t="s">
        <v>368</v>
      </c>
    </row>
    <row r="5" spans="1:18">
      <c r="A5" s="568" t="s">
        <v>369</v>
      </c>
      <c r="B5" s="383" t="s">
        <v>389</v>
      </c>
      <c r="C5" s="383"/>
      <c r="D5" s="384" t="s">
        <v>370</v>
      </c>
      <c r="E5" s="384"/>
      <c r="F5" s="385">
        <v>29.965493443754308</v>
      </c>
      <c r="G5" s="379">
        <v>1633</v>
      </c>
      <c r="H5" s="386">
        <f>F5*G5</f>
        <v>48933.650793650784</v>
      </c>
      <c r="I5" s="387"/>
      <c r="J5" s="388">
        <v>13</v>
      </c>
      <c r="K5" s="389">
        <f t="shared" ref="K5:K12" si="0">G5/P5*60</f>
        <v>1224.7500000000007</v>
      </c>
      <c r="L5" s="390">
        <f t="shared" ref="L5:L12" si="1">K5/J5</f>
        <v>94.21153846153851</v>
      </c>
      <c r="M5" s="391">
        <v>0.17361111111111113</v>
      </c>
      <c r="N5" s="391">
        <v>0.22916666666666666</v>
      </c>
      <c r="O5" s="382">
        <v>10</v>
      </c>
      <c r="P5" s="392">
        <f t="shared" ref="P5:P80" si="2">(N5-M5)*24*60</f>
        <v>79.999999999999957</v>
      </c>
      <c r="Q5" s="393"/>
      <c r="R5" s="393"/>
    </row>
    <row r="6" spans="1:18">
      <c r="A6" s="568"/>
      <c r="B6" s="383">
        <v>0</v>
      </c>
      <c r="C6" s="383"/>
      <c r="D6" s="384" t="s">
        <v>371</v>
      </c>
      <c r="E6" s="384"/>
      <c r="F6" s="385" t="s">
        <v>391</v>
      </c>
      <c r="G6" s="379">
        <v>912</v>
      </c>
      <c r="H6" s="386">
        <f t="shared" ref="H6:H113" si="3">F6*G6</f>
        <v>0</v>
      </c>
      <c r="I6" s="387"/>
      <c r="J6" s="388">
        <v>9</v>
      </c>
      <c r="K6" s="389">
        <f t="shared" si="0"/>
        <v>1563.4285714285679</v>
      </c>
      <c r="L6" s="390">
        <f t="shared" si="1"/>
        <v>173.71428571428532</v>
      </c>
      <c r="M6" s="391">
        <v>0.23263888888888887</v>
      </c>
      <c r="N6" s="391">
        <v>0.25694444444444448</v>
      </c>
      <c r="O6" s="382">
        <v>5</v>
      </c>
      <c r="P6" s="392">
        <f t="shared" si="2"/>
        <v>35.000000000000078</v>
      </c>
      <c r="Q6" s="382"/>
      <c r="R6" s="382"/>
    </row>
    <row r="7" spans="1:18">
      <c r="A7" s="568"/>
      <c r="B7" s="383">
        <v>0</v>
      </c>
      <c r="C7" s="383"/>
      <c r="D7" s="384" t="s">
        <v>372</v>
      </c>
      <c r="E7" s="384"/>
      <c r="F7" s="385" t="s">
        <v>391</v>
      </c>
      <c r="G7" s="379">
        <v>920</v>
      </c>
      <c r="H7" s="386">
        <f t="shared" si="3"/>
        <v>0</v>
      </c>
      <c r="I7" s="387"/>
      <c r="J7" s="388">
        <v>9</v>
      </c>
      <c r="K7" s="389">
        <f t="shared" si="0"/>
        <v>1577.1428571428589</v>
      </c>
      <c r="L7" s="390">
        <f t="shared" si="1"/>
        <v>175.23809523809544</v>
      </c>
      <c r="M7" s="391">
        <v>0.26041666666666669</v>
      </c>
      <c r="N7" s="391">
        <v>0.28472222222222221</v>
      </c>
      <c r="O7" s="382">
        <v>5</v>
      </c>
      <c r="P7" s="392">
        <f t="shared" si="2"/>
        <v>34.999999999999957</v>
      </c>
      <c r="Q7" s="393"/>
      <c r="R7" s="393"/>
    </row>
    <row r="8" spans="1:18">
      <c r="A8" s="568"/>
      <c r="B8" s="383" t="s">
        <v>392</v>
      </c>
      <c r="C8" s="383"/>
      <c r="D8" s="384" t="s">
        <v>373</v>
      </c>
      <c r="E8" s="384"/>
      <c r="F8" s="385">
        <v>19.7</v>
      </c>
      <c r="G8" s="379">
        <v>127</v>
      </c>
      <c r="H8" s="386">
        <f t="shared" si="3"/>
        <v>2501.9</v>
      </c>
      <c r="I8" s="387"/>
      <c r="J8" s="388">
        <v>12</v>
      </c>
      <c r="K8" s="389">
        <f t="shared" si="0"/>
        <v>762.00000000000273</v>
      </c>
      <c r="L8" s="390">
        <f t="shared" si="1"/>
        <v>63.500000000000227</v>
      </c>
      <c r="M8" s="391">
        <v>0.28819444444444448</v>
      </c>
      <c r="N8" s="391">
        <v>0.2951388888888889</v>
      </c>
      <c r="O8" s="382">
        <v>5</v>
      </c>
      <c r="P8" s="392">
        <f t="shared" si="2"/>
        <v>9.9999999999999645</v>
      </c>
      <c r="Q8" s="393"/>
      <c r="R8" s="393"/>
    </row>
    <row r="9" spans="1:18">
      <c r="A9" s="568"/>
      <c r="B9" s="383" t="s">
        <v>392</v>
      </c>
      <c r="C9" s="383"/>
      <c r="D9" s="384" t="s">
        <v>308</v>
      </c>
      <c r="E9" s="384"/>
      <c r="F9" s="385">
        <v>27.05</v>
      </c>
      <c r="G9" s="394">
        <v>587</v>
      </c>
      <c r="H9" s="386">
        <f t="shared" si="3"/>
        <v>15878.35</v>
      </c>
      <c r="I9" s="387"/>
      <c r="J9" s="388">
        <v>13</v>
      </c>
      <c r="K9" s="389">
        <f t="shared" si="0"/>
        <v>1408.8000000000004</v>
      </c>
      <c r="L9" s="390">
        <f t="shared" si="1"/>
        <v>108.3692307692308</v>
      </c>
      <c r="M9" s="391">
        <v>0.2986111111111111</v>
      </c>
      <c r="N9" s="391">
        <v>0.31597222222222221</v>
      </c>
      <c r="O9" s="382">
        <v>5</v>
      </c>
      <c r="P9" s="392">
        <f t="shared" si="2"/>
        <v>24.999999999999993</v>
      </c>
      <c r="Q9" s="393">
        <v>0.31597222222222221</v>
      </c>
      <c r="R9" s="393">
        <v>0.3576388888888889</v>
      </c>
    </row>
    <row r="10" spans="1:18">
      <c r="A10" s="568"/>
      <c r="B10" s="383" t="s">
        <v>392</v>
      </c>
      <c r="C10" s="383"/>
      <c r="D10" s="384" t="s">
        <v>309</v>
      </c>
      <c r="E10" s="384"/>
      <c r="F10" s="385">
        <v>36.450000000000003</v>
      </c>
      <c r="G10" s="394">
        <v>2525</v>
      </c>
      <c r="H10" s="386">
        <f t="shared" si="3"/>
        <v>92036.25</v>
      </c>
      <c r="I10" s="387"/>
      <c r="J10" s="388">
        <v>13</v>
      </c>
      <c r="K10" s="389">
        <f t="shared" si="0"/>
        <v>1515.0000000000005</v>
      </c>
      <c r="L10" s="390">
        <f t="shared" si="1"/>
        <v>116.53846153846158</v>
      </c>
      <c r="M10" s="391">
        <v>0.3576388888888889</v>
      </c>
      <c r="N10" s="391">
        <v>0.42708333333333331</v>
      </c>
      <c r="O10" s="382">
        <v>5</v>
      </c>
      <c r="P10" s="392">
        <f t="shared" si="2"/>
        <v>99.999999999999972</v>
      </c>
      <c r="Q10" s="393"/>
      <c r="R10" s="393"/>
    </row>
    <row r="11" spans="1:18">
      <c r="A11" s="568"/>
      <c r="B11" s="383" t="s">
        <v>392</v>
      </c>
      <c r="C11" s="383"/>
      <c r="D11" s="384" t="s">
        <v>310</v>
      </c>
      <c r="E11" s="384"/>
      <c r="F11" s="385">
        <v>25.64</v>
      </c>
      <c r="G11" s="394">
        <v>487</v>
      </c>
      <c r="H11" s="386">
        <f t="shared" si="3"/>
        <v>12486.68</v>
      </c>
      <c r="I11" s="387"/>
      <c r="J11" s="388">
        <v>10</v>
      </c>
      <c r="K11" s="389">
        <f t="shared" si="0"/>
        <v>1461.0000000000052</v>
      </c>
      <c r="L11" s="390">
        <f t="shared" si="1"/>
        <v>146.10000000000053</v>
      </c>
      <c r="M11" s="391">
        <v>0.43055555555555558</v>
      </c>
      <c r="N11" s="391">
        <v>0.44444444444444442</v>
      </c>
      <c r="O11" s="382">
        <v>5</v>
      </c>
      <c r="P11" s="392">
        <f t="shared" si="2"/>
        <v>19.999999999999929</v>
      </c>
      <c r="Q11" s="393"/>
      <c r="R11" s="393"/>
    </row>
    <row r="12" spans="1:18">
      <c r="A12" s="569"/>
      <c r="B12" s="383" t="s">
        <v>392</v>
      </c>
      <c r="C12" s="383"/>
      <c r="D12" s="384" t="s">
        <v>311</v>
      </c>
      <c r="E12" s="384"/>
      <c r="F12" s="385">
        <v>29.52</v>
      </c>
      <c r="G12" s="394">
        <v>912</v>
      </c>
      <c r="H12" s="386">
        <f t="shared" si="3"/>
        <v>26922.239999999998</v>
      </c>
      <c r="I12" s="387"/>
      <c r="J12" s="388">
        <v>12</v>
      </c>
      <c r="K12" s="389">
        <f t="shared" si="0"/>
        <v>1824.0000000000018</v>
      </c>
      <c r="L12" s="390">
        <f t="shared" si="1"/>
        <v>152.00000000000014</v>
      </c>
      <c r="M12" s="391">
        <v>0.44791666666666669</v>
      </c>
      <c r="N12" s="391">
        <v>0.46875</v>
      </c>
      <c r="O12" s="382">
        <v>5</v>
      </c>
      <c r="P12" s="392">
        <f t="shared" si="2"/>
        <v>29.999999999999972</v>
      </c>
      <c r="Q12" s="393"/>
      <c r="R12" s="393"/>
    </row>
    <row r="13" spans="1:18">
      <c r="A13" s="569"/>
      <c r="B13" s="383" t="s">
        <v>392</v>
      </c>
      <c r="C13" s="395"/>
      <c r="D13" s="384" t="s">
        <v>312</v>
      </c>
      <c r="E13" s="384"/>
      <c r="F13" s="385">
        <v>29.856999999999999</v>
      </c>
      <c r="G13" s="396">
        <v>920</v>
      </c>
      <c r="H13" s="386">
        <f t="shared" si="3"/>
        <v>27468.44</v>
      </c>
      <c r="I13" s="387"/>
      <c r="J13" s="388">
        <v>12</v>
      </c>
      <c r="K13" s="389">
        <f>G13/P13*60</f>
        <v>1840.0000000000018</v>
      </c>
      <c r="L13" s="390">
        <f>K13/J13</f>
        <v>153.33333333333348</v>
      </c>
      <c r="M13" s="391">
        <v>0.47222222222222227</v>
      </c>
      <c r="N13" s="391">
        <v>0.49305555555555558</v>
      </c>
      <c r="O13" s="382">
        <v>5</v>
      </c>
      <c r="P13" s="392">
        <f t="shared" si="2"/>
        <v>29.999999999999972</v>
      </c>
      <c r="Q13" s="393"/>
      <c r="R13" s="382"/>
    </row>
    <row r="14" spans="1:18">
      <c r="A14" s="569"/>
      <c r="B14" s="383" t="s">
        <v>389</v>
      </c>
      <c r="C14" s="383"/>
      <c r="D14" s="397" t="s">
        <v>313</v>
      </c>
      <c r="E14" s="398"/>
      <c r="F14" s="385">
        <v>28.57</v>
      </c>
      <c r="G14" s="394">
        <v>1266</v>
      </c>
      <c r="H14" s="386">
        <f t="shared" si="3"/>
        <v>36169.620000000003</v>
      </c>
      <c r="I14" s="387"/>
      <c r="J14" s="388">
        <v>10</v>
      </c>
      <c r="K14" s="389">
        <f>G14/P14*60</f>
        <v>1519.199999999998</v>
      </c>
      <c r="L14" s="390">
        <f>K14/J14</f>
        <v>151.91999999999979</v>
      </c>
      <c r="M14" s="391">
        <v>0.49652777777777773</v>
      </c>
      <c r="N14" s="391">
        <v>0.53125</v>
      </c>
      <c r="O14" s="382">
        <v>5</v>
      </c>
      <c r="P14" s="392">
        <f t="shared" si="2"/>
        <v>50.000000000000064</v>
      </c>
      <c r="Q14" s="382"/>
      <c r="R14" s="382"/>
    </row>
    <row r="15" spans="1:18">
      <c r="A15" s="569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70"/>
      <c r="B16" s="383">
        <v>0</v>
      </c>
      <c r="C16" s="400" t="s">
        <v>79</v>
      </c>
      <c r="D16" s="552" t="s">
        <v>75</v>
      </c>
      <c r="E16" s="552"/>
      <c r="F16" s="401"/>
      <c r="G16" s="402"/>
      <c r="H16" s="403"/>
      <c r="I16" s="404"/>
      <c r="J16" s="405">
        <f>AVERAGE(J5:J15)</f>
        <v>11.3</v>
      </c>
      <c r="K16" s="405">
        <f>AVERAGE(K5:K15)</f>
        <v>1469.5321428571438</v>
      </c>
      <c r="L16" s="406">
        <f>AVERAGE(L5:L15)</f>
        <v>133.49249450549459</v>
      </c>
      <c r="M16" s="391"/>
      <c r="N16" s="391"/>
      <c r="O16" s="389"/>
      <c r="P16" s="389"/>
      <c r="Q16" s="390"/>
      <c r="R16" s="390"/>
    </row>
    <row r="17" spans="1:18" ht="15.75" customHeight="1">
      <c r="A17" s="571" t="s">
        <v>314</v>
      </c>
      <c r="B17" s="383" t="s">
        <v>392</v>
      </c>
      <c r="C17" s="395"/>
      <c r="D17" s="574" t="s">
        <v>315</v>
      </c>
      <c r="E17" s="575"/>
      <c r="F17" s="385">
        <v>14.03</v>
      </c>
      <c r="G17" s="379">
        <v>354</v>
      </c>
      <c r="H17" s="407">
        <f t="shared" ref="H17:H23" si="4">F17*G17</f>
        <v>4966.62</v>
      </c>
      <c r="I17" s="408"/>
      <c r="J17" s="388">
        <v>6</v>
      </c>
      <c r="K17" s="389">
        <f>G17/P17*60</f>
        <v>1517.1428571428582</v>
      </c>
      <c r="L17" s="390">
        <f>K17/J17</f>
        <v>252.85714285714303</v>
      </c>
      <c r="M17" s="391">
        <v>0.18055555555555555</v>
      </c>
      <c r="N17" s="391">
        <v>0.19027777777777777</v>
      </c>
      <c r="O17" s="382">
        <v>20</v>
      </c>
      <c r="P17" s="392">
        <f>(N17-M17)*24*60</f>
        <v>13.999999999999989</v>
      </c>
      <c r="Q17" s="382"/>
      <c r="R17" s="382"/>
    </row>
    <row r="18" spans="1:18" ht="15.75" customHeight="1">
      <c r="A18" s="571"/>
      <c r="B18" s="383" t="s">
        <v>389</v>
      </c>
      <c r="C18" s="395"/>
      <c r="D18" s="562" t="s">
        <v>316</v>
      </c>
      <c r="E18" s="563"/>
      <c r="F18" s="385">
        <v>14.49</v>
      </c>
      <c r="G18" s="396">
        <v>569</v>
      </c>
      <c r="H18" s="386">
        <f t="shared" si="4"/>
        <v>8244.81</v>
      </c>
      <c r="I18" s="387"/>
      <c r="J18" s="388">
        <v>5</v>
      </c>
      <c r="K18" s="389">
        <f>G18/P18*60</f>
        <v>1551.8181818181845</v>
      </c>
      <c r="L18" s="390">
        <f>K18/J18</f>
        <v>310.36363636363689</v>
      </c>
      <c r="M18" s="391">
        <v>0.20416666666666669</v>
      </c>
      <c r="N18" s="391">
        <v>0.21944444444444444</v>
      </c>
      <c r="O18" s="382">
        <v>20</v>
      </c>
      <c r="P18" s="392">
        <f t="shared" ref="P18:P23" si="5">(N18-M18)*24*60</f>
        <v>21.999999999999961</v>
      </c>
      <c r="Q18" s="393"/>
      <c r="R18" s="393"/>
    </row>
    <row r="19" spans="1:18" ht="15.75" customHeight="1">
      <c r="A19" s="571"/>
      <c r="B19" s="383">
        <v>0</v>
      </c>
      <c r="C19" s="395"/>
      <c r="D19" s="562"/>
      <c r="E19" s="563"/>
      <c r="F19" s="385" t="s">
        <v>391</v>
      </c>
      <c r="G19" s="396"/>
      <c r="H19" s="386">
        <f t="shared" si="4"/>
        <v>0</v>
      </c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72"/>
      <c r="B20" s="383">
        <v>0</v>
      </c>
      <c r="C20" s="395"/>
      <c r="D20" s="411"/>
      <c r="E20" s="398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72"/>
      <c r="B21" s="383">
        <v>0</v>
      </c>
      <c r="C21" s="395"/>
      <c r="D21" s="411"/>
      <c r="E21" s="398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72"/>
      <c r="B22" s="383">
        <v>0</v>
      </c>
      <c r="C22" s="395"/>
      <c r="D22" s="411"/>
      <c r="E22" s="398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72"/>
      <c r="B23" s="383">
        <v>0</v>
      </c>
      <c r="C23" s="395"/>
      <c r="D23" s="411"/>
      <c r="E23" s="398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45" customHeight="1">
      <c r="A24" s="573"/>
      <c r="B24" s="383">
        <v>0</v>
      </c>
      <c r="C24" s="12" t="s">
        <v>317</v>
      </c>
      <c r="D24" s="552" t="s">
        <v>75</v>
      </c>
      <c r="E24" s="552"/>
      <c r="F24" s="401"/>
      <c r="G24" s="412"/>
      <c r="H24" s="403"/>
      <c r="I24" s="404"/>
      <c r="J24" s="405">
        <f>AVERAGE(J17:J23)</f>
        <v>5.5</v>
      </c>
      <c r="K24" s="405">
        <f>AVERAGE(K17:K23)</f>
        <v>1534.4805194805213</v>
      </c>
      <c r="L24" s="406">
        <f>AVERAGE(L17:L23)</f>
        <v>281.61038961038997</v>
      </c>
      <c r="M24" s="391"/>
      <c r="N24" s="391"/>
      <c r="O24" s="382"/>
      <c r="P24" s="382"/>
      <c r="Q24" s="382"/>
      <c r="R24" s="382"/>
    </row>
    <row r="25" spans="1:18">
      <c r="A25" s="556" t="s">
        <v>318</v>
      </c>
      <c r="B25" s="383" t="s">
        <v>389</v>
      </c>
      <c r="C25" s="413"/>
      <c r="D25" s="414" t="s">
        <v>319</v>
      </c>
      <c r="E25" s="415"/>
      <c r="F25" s="385">
        <v>22.281818181818181</v>
      </c>
      <c r="G25" s="379">
        <v>472</v>
      </c>
      <c r="H25" s="386">
        <f t="shared" ref="H25:H37" si="6">F25*G25</f>
        <v>10517.018181818181</v>
      </c>
      <c r="I25" s="387"/>
      <c r="J25" s="388">
        <v>4</v>
      </c>
      <c r="K25" s="389">
        <f t="shared" ref="K25:K28" si="7">G25/P25*60</f>
        <v>2831.9999999999991</v>
      </c>
      <c r="L25" s="390">
        <f t="shared" ref="L25:L28" si="8">K25/J25</f>
        <v>707.99999999999977</v>
      </c>
      <c r="M25" s="391">
        <v>0.18055555555555555</v>
      </c>
      <c r="N25" s="391">
        <v>0.1875</v>
      </c>
      <c r="O25" s="382">
        <v>20</v>
      </c>
      <c r="P25" s="392">
        <f t="shared" ref="P25:P37" si="9">(N25-M25)*24*60</f>
        <v>10.000000000000004</v>
      </c>
      <c r="Q25" s="393"/>
      <c r="R25" s="393"/>
    </row>
    <row r="26" spans="1:18">
      <c r="A26" s="556"/>
      <c r="B26" s="383" t="s">
        <v>389</v>
      </c>
      <c r="C26" s="413"/>
      <c r="D26" s="416" t="s">
        <v>320</v>
      </c>
      <c r="E26" s="414"/>
      <c r="F26" s="385">
        <v>16.66</v>
      </c>
      <c r="G26" s="379">
        <v>2027</v>
      </c>
      <c r="H26" s="386">
        <f t="shared" si="6"/>
        <v>33769.82</v>
      </c>
      <c r="I26" s="387"/>
      <c r="J26" s="388">
        <v>4</v>
      </c>
      <c r="K26" s="389">
        <f t="shared" si="7"/>
        <v>2828.3720930232553</v>
      </c>
      <c r="L26" s="390">
        <f t="shared" si="8"/>
        <v>707.09302325581382</v>
      </c>
      <c r="M26" s="391">
        <v>0.20138888888888887</v>
      </c>
      <c r="N26" s="391">
        <v>0.23124999999999998</v>
      </c>
      <c r="O26" s="382">
        <v>20</v>
      </c>
      <c r="P26" s="392">
        <f t="shared" si="9"/>
        <v>43.000000000000007</v>
      </c>
      <c r="Q26" s="393"/>
      <c r="R26" s="393"/>
    </row>
    <row r="27" spans="1:18">
      <c r="A27" s="556"/>
      <c r="B27" s="383" t="s">
        <v>389</v>
      </c>
      <c r="C27" s="413"/>
      <c r="D27" s="411" t="s">
        <v>321</v>
      </c>
      <c r="E27" s="414"/>
      <c r="F27" s="385">
        <v>18.18</v>
      </c>
      <c r="G27" s="379">
        <v>2247</v>
      </c>
      <c r="H27" s="386">
        <f t="shared" si="6"/>
        <v>40850.46</v>
      </c>
      <c r="I27" s="387"/>
      <c r="J27" s="388">
        <v>4</v>
      </c>
      <c r="K27" s="389">
        <f t="shared" si="7"/>
        <v>2808.7499999999982</v>
      </c>
      <c r="L27" s="390">
        <f t="shared" si="8"/>
        <v>702.18749999999955</v>
      </c>
      <c r="M27" s="391">
        <v>0.24513888888888888</v>
      </c>
      <c r="N27" s="391">
        <v>0.27847222222222223</v>
      </c>
      <c r="O27" s="382">
        <v>20</v>
      </c>
      <c r="P27" s="392">
        <f t="shared" si="9"/>
        <v>48.000000000000028</v>
      </c>
      <c r="Q27" s="393">
        <v>0.27847222222222223</v>
      </c>
      <c r="R27" s="393">
        <v>0.32013888888888892</v>
      </c>
    </row>
    <row r="28" spans="1:18">
      <c r="A28" s="556"/>
      <c r="B28" s="383" t="s">
        <v>389</v>
      </c>
      <c r="C28" s="395"/>
      <c r="D28" s="416" t="s">
        <v>322</v>
      </c>
      <c r="E28" s="417"/>
      <c r="F28" s="385">
        <v>17.890909090909091</v>
      </c>
      <c r="G28" s="379">
        <v>1357</v>
      </c>
      <c r="H28" s="386">
        <f t="shared" si="6"/>
        <v>24277.963636363635</v>
      </c>
      <c r="I28" s="387"/>
      <c r="J28" s="388">
        <v>3</v>
      </c>
      <c r="K28" s="389">
        <f t="shared" si="7"/>
        <v>2807.5862068965534</v>
      </c>
      <c r="L28" s="390">
        <f t="shared" si="8"/>
        <v>935.86206896551778</v>
      </c>
      <c r="M28" s="391">
        <v>0.33402777777777781</v>
      </c>
      <c r="N28" s="391">
        <v>0.35416666666666669</v>
      </c>
      <c r="O28" s="382">
        <v>20</v>
      </c>
      <c r="P28" s="392">
        <f t="shared" si="9"/>
        <v>28.999999999999979</v>
      </c>
      <c r="Q28" s="393"/>
      <c r="R28" s="393"/>
    </row>
    <row r="29" spans="1:18">
      <c r="A29" s="556"/>
      <c r="B29" s="383">
        <v>0</v>
      </c>
      <c r="C29" s="379"/>
      <c r="D29" s="416"/>
      <c r="E29" s="417"/>
      <c r="F29" s="385" t="s">
        <v>391</v>
      </c>
      <c r="G29" s="379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56"/>
      <c r="B30" s="383">
        <v>0</v>
      </c>
      <c r="C30" s="379"/>
      <c r="D30" s="418"/>
      <c r="E30" s="417"/>
      <c r="F30" s="385" t="s">
        <v>391</v>
      </c>
      <c r="G30" s="379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56"/>
      <c r="B31" s="383">
        <v>0</v>
      </c>
      <c r="C31" s="395"/>
      <c r="D31" s="414"/>
      <c r="E31" s="417"/>
      <c r="F31" s="385" t="s">
        <v>391</v>
      </c>
      <c r="G31" s="379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56"/>
      <c r="B32" s="383">
        <v>0</v>
      </c>
      <c r="C32" s="395"/>
      <c r="D32" s="416"/>
      <c r="E32" s="398"/>
      <c r="F32" s="385" t="s">
        <v>391</v>
      </c>
      <c r="G32" s="379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56"/>
      <c r="B33" s="383">
        <v>0</v>
      </c>
      <c r="C33" s="379"/>
      <c r="D33" s="416"/>
      <c r="E33" s="417"/>
      <c r="F33" s="385" t="s">
        <v>391</v>
      </c>
      <c r="G33" s="379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56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56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56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56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45" customHeight="1">
      <c r="A38" s="557"/>
      <c r="B38" s="383">
        <v>0</v>
      </c>
      <c r="C38" s="12" t="s">
        <v>67</v>
      </c>
      <c r="D38" s="547" t="s">
        <v>323</v>
      </c>
      <c r="E38" s="547"/>
      <c r="F38" s="401"/>
      <c r="G38" s="420"/>
      <c r="H38" s="403"/>
      <c r="I38" s="404"/>
      <c r="J38" s="405">
        <f>AVERAGE(J25:J37)</f>
        <v>3.75</v>
      </c>
      <c r="K38" s="405">
        <f>AVERAGE(K25:K37)</f>
        <v>2819.1770749799516</v>
      </c>
      <c r="L38" s="406">
        <f>AVERAGE(L25:L37)</f>
        <v>763.28564805533267</v>
      </c>
      <c r="M38" s="391"/>
      <c r="N38" s="391"/>
      <c r="O38" s="389"/>
      <c r="P38" s="389"/>
      <c r="Q38" s="390"/>
      <c r="R38" s="390"/>
    </row>
    <row r="39" spans="1:18" ht="16.149999999999999" customHeight="1">
      <c r="A39" s="558" t="s">
        <v>324</v>
      </c>
      <c r="B39" s="383" t="s">
        <v>389</v>
      </c>
      <c r="C39" s="395"/>
      <c r="D39" s="416" t="s">
        <v>325</v>
      </c>
      <c r="E39" s="398"/>
      <c r="F39" s="385">
        <v>21.45</v>
      </c>
      <c r="G39" s="379">
        <v>715</v>
      </c>
      <c r="H39" s="386">
        <f t="shared" ref="H39:H47" si="10">F39*G39</f>
        <v>15336.75</v>
      </c>
      <c r="I39" s="387"/>
      <c r="J39" s="388">
        <v>3</v>
      </c>
      <c r="K39" s="389">
        <f>G39/P39*60</f>
        <v>2860.0000000000027</v>
      </c>
      <c r="L39" s="390">
        <f>K39/J39</f>
        <v>953.33333333333428</v>
      </c>
      <c r="M39" s="391">
        <v>0.17361111111111113</v>
      </c>
      <c r="N39" s="391">
        <v>0.18402777777777779</v>
      </c>
      <c r="O39" s="382">
        <v>10</v>
      </c>
      <c r="P39" s="421">
        <f t="shared" ref="P39:P50" si="11">(N39-M39)*24*60</f>
        <v>14.999999999999986</v>
      </c>
      <c r="Q39" s="393"/>
      <c r="R39" s="393"/>
    </row>
    <row r="40" spans="1:18">
      <c r="A40" s="559"/>
      <c r="B40" s="383" t="s">
        <v>389</v>
      </c>
      <c r="C40" s="395"/>
      <c r="D40" s="411" t="s">
        <v>326</v>
      </c>
      <c r="E40" s="398"/>
      <c r="F40" s="385">
        <v>15.15</v>
      </c>
      <c r="G40" s="379">
        <v>1021</v>
      </c>
      <c r="H40" s="386">
        <f t="shared" si="10"/>
        <v>15468.15</v>
      </c>
      <c r="I40" s="387"/>
      <c r="J40" s="388">
        <v>4</v>
      </c>
      <c r="K40" s="389">
        <f>G40/P40*60</f>
        <v>2917.142857142856</v>
      </c>
      <c r="L40" s="390">
        <f>K40/J40</f>
        <v>729.28571428571399</v>
      </c>
      <c r="M40" s="391">
        <v>0.19791666666666666</v>
      </c>
      <c r="N40" s="391">
        <v>0.21249999999999999</v>
      </c>
      <c r="O40" s="382">
        <v>20</v>
      </c>
      <c r="P40" s="421">
        <f t="shared" si="11"/>
        <v>21.000000000000007</v>
      </c>
      <c r="Q40" s="393">
        <v>0.21249999999999999</v>
      </c>
      <c r="R40" s="393">
        <v>0.25416666666666665</v>
      </c>
    </row>
    <row r="41" spans="1:18">
      <c r="A41" s="559"/>
      <c r="B41" s="383" t="s">
        <v>389</v>
      </c>
      <c r="C41" s="395"/>
      <c r="D41" s="416" t="s">
        <v>327</v>
      </c>
      <c r="E41" s="398"/>
      <c r="F41" s="385">
        <v>18.53</v>
      </c>
      <c r="G41" s="379">
        <v>1976</v>
      </c>
      <c r="H41" s="386">
        <f t="shared" si="10"/>
        <v>36615.279999999999</v>
      </c>
      <c r="I41" s="387"/>
      <c r="J41" s="388">
        <v>3</v>
      </c>
      <c r="K41" s="389">
        <f t="shared" ref="K41:K42" si="12">G41/P41*60</f>
        <v>2822.8571428571418</v>
      </c>
      <c r="L41" s="390">
        <f t="shared" ref="L41:L42" si="13">K41/J41</f>
        <v>940.95238095238062</v>
      </c>
      <c r="M41" s="391">
        <v>0.26805555555555555</v>
      </c>
      <c r="N41" s="391">
        <v>0.29722222222222222</v>
      </c>
      <c r="O41" s="382">
        <v>20</v>
      </c>
      <c r="P41" s="421">
        <f t="shared" si="11"/>
        <v>42.000000000000014</v>
      </c>
      <c r="Q41" s="393"/>
      <c r="R41" s="393"/>
    </row>
    <row r="42" spans="1:18">
      <c r="A42" s="559"/>
      <c r="B42" s="383" t="s">
        <v>389</v>
      </c>
      <c r="C42" s="395"/>
      <c r="D42" s="411" t="s">
        <v>328</v>
      </c>
      <c r="E42" s="398"/>
      <c r="F42" s="385">
        <v>27.27</v>
      </c>
      <c r="G42" s="379">
        <v>1585</v>
      </c>
      <c r="H42" s="386">
        <f t="shared" si="10"/>
        <v>43222.95</v>
      </c>
      <c r="I42" s="387"/>
      <c r="J42" s="388">
        <v>4</v>
      </c>
      <c r="K42" s="389">
        <f t="shared" si="12"/>
        <v>2881.8181818181779</v>
      </c>
      <c r="L42" s="390">
        <f t="shared" si="13"/>
        <v>720.45454545454447</v>
      </c>
      <c r="M42" s="391">
        <v>0.31111111111111112</v>
      </c>
      <c r="N42" s="391">
        <v>0.33402777777777781</v>
      </c>
      <c r="O42" s="382">
        <v>20</v>
      </c>
      <c r="P42" s="421">
        <f t="shared" si="11"/>
        <v>33.000000000000043</v>
      </c>
      <c r="Q42" s="393"/>
      <c r="R42" s="393"/>
    </row>
    <row r="43" spans="1:18" ht="15.75" customHeight="1">
      <c r="A43" s="559"/>
      <c r="B43" s="383">
        <v>0</v>
      </c>
      <c r="C43" s="395"/>
      <c r="D43" s="418"/>
      <c r="E43" s="398"/>
      <c r="F43" s="385" t="s">
        <v>391</v>
      </c>
      <c r="G43" s="379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59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59"/>
      <c r="B45" s="383">
        <v>0</v>
      </c>
      <c r="C45" s="395"/>
      <c r="D45" s="416"/>
      <c r="E45" s="417"/>
      <c r="F45" s="385" t="s">
        <v>391</v>
      </c>
      <c r="G45" s="379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59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59"/>
      <c r="B47" s="383">
        <v>0</v>
      </c>
      <c r="C47" s="395"/>
      <c r="D47" s="416"/>
      <c r="E47" s="417"/>
      <c r="F47" s="385" t="s">
        <v>391</v>
      </c>
      <c r="G47" s="379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60"/>
      <c r="B48" s="383">
        <v>0</v>
      </c>
      <c r="C48" s="379"/>
      <c r="D48" s="562"/>
      <c r="E48" s="563"/>
      <c r="F48" s="385" t="s">
        <v>391</v>
      </c>
      <c r="G48" s="379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60"/>
      <c r="B49" s="383">
        <v>0</v>
      </c>
      <c r="C49" s="379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60"/>
      <c r="B50" s="383">
        <v>0</v>
      </c>
      <c r="C50" s="379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61"/>
      <c r="B51" s="383">
        <v>0</v>
      </c>
      <c r="C51" s="12" t="s">
        <v>68</v>
      </c>
      <c r="D51" s="552" t="s">
        <v>75</v>
      </c>
      <c r="E51" s="552"/>
      <c r="F51" s="401"/>
      <c r="G51" s="406"/>
      <c r="H51" s="428"/>
      <c r="I51" s="429"/>
      <c r="J51" s="405">
        <f>AVERAGE(J39:J50)</f>
        <v>3.5</v>
      </c>
      <c r="K51" s="405">
        <f>AVERAGE(K39:K50)</f>
        <v>2870.4545454545446</v>
      </c>
      <c r="L51" s="406">
        <f>AVERAGE(L39:L50)</f>
        <v>836.00649350649337</v>
      </c>
      <c r="M51" s="430"/>
      <c r="N51" s="391"/>
      <c r="O51" s="389"/>
      <c r="P51" s="389"/>
      <c r="Q51" s="390"/>
      <c r="R51" s="390"/>
    </row>
    <row r="52" spans="1:18" ht="15.6" customHeight="1">
      <c r="A52" s="564" t="s">
        <v>329</v>
      </c>
      <c r="B52" s="383">
        <v>0</v>
      </c>
      <c r="C52" s="395"/>
      <c r="D52" s="414"/>
      <c r="E52" s="431"/>
      <c r="F52" s="385" t="s">
        <v>391</v>
      </c>
      <c r="G52" s="379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6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65"/>
      <c r="B54" s="383">
        <v>0</v>
      </c>
      <c r="C54" s="395"/>
      <c r="D54" s="414"/>
      <c r="E54" s="398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6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6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6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6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6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6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6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6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6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66"/>
      <c r="B64" s="383">
        <v>0</v>
      </c>
      <c r="C64" s="12" t="s">
        <v>330</v>
      </c>
      <c r="D64" s="552" t="s">
        <v>75</v>
      </c>
      <c r="E64" s="552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49" t="s">
        <v>331</v>
      </c>
      <c r="B65" s="383" t="s">
        <v>389</v>
      </c>
      <c r="C65" s="395"/>
      <c r="D65" s="414" t="s">
        <v>332</v>
      </c>
      <c r="E65" s="431"/>
      <c r="F65" s="385">
        <v>25.03</v>
      </c>
      <c r="G65" s="379">
        <v>575</v>
      </c>
      <c r="H65" s="386">
        <f>F65*G65</f>
        <v>14392.25</v>
      </c>
      <c r="I65" s="387"/>
      <c r="J65" s="388">
        <v>4</v>
      </c>
      <c r="K65" s="389">
        <f t="shared" ref="K65:K71" si="16">G65/P65*60</f>
        <v>3449.9999999999986</v>
      </c>
      <c r="L65" s="390">
        <f t="shared" ref="L65:L71" si="17">K65/J65</f>
        <v>862.49999999999966</v>
      </c>
      <c r="M65" s="391">
        <v>0.1875</v>
      </c>
      <c r="N65" s="391">
        <v>0.19444444444444445</v>
      </c>
      <c r="O65" s="389">
        <v>30</v>
      </c>
      <c r="P65" s="392">
        <f>(N65-M65)*24*60</f>
        <v>10.000000000000004</v>
      </c>
      <c r="Q65" s="393"/>
      <c r="R65" s="393"/>
    </row>
    <row r="66" spans="1:18" ht="15.6" customHeight="1">
      <c r="A66" s="550"/>
      <c r="B66" s="383" t="s">
        <v>389</v>
      </c>
      <c r="C66" s="395"/>
      <c r="D66" s="414" t="s">
        <v>333</v>
      </c>
      <c r="E66" s="432"/>
      <c r="F66" s="385">
        <v>24.82</v>
      </c>
      <c r="G66" s="394">
        <v>775</v>
      </c>
      <c r="H66" s="386">
        <f t="shared" ref="H66:H74" si="18">F66*G66</f>
        <v>19235.5</v>
      </c>
      <c r="I66" s="387"/>
      <c r="J66" s="388">
        <v>4</v>
      </c>
      <c r="K66" s="389">
        <f t="shared" si="16"/>
        <v>3321.4285714285738</v>
      </c>
      <c r="L66" s="390">
        <f t="shared" si="17"/>
        <v>830.35714285714346</v>
      </c>
      <c r="M66" s="391">
        <v>0.20833333333333334</v>
      </c>
      <c r="N66" s="391">
        <v>0.21805555555555556</v>
      </c>
      <c r="O66" s="389">
        <v>20</v>
      </c>
      <c r="P66" s="392">
        <f t="shared" ref="P66:P74" si="19">(N66-M66)*24*60</f>
        <v>13.999999999999989</v>
      </c>
      <c r="Q66" s="393"/>
      <c r="R66" s="393"/>
    </row>
    <row r="67" spans="1:18" ht="15.6" customHeight="1">
      <c r="A67" s="550"/>
      <c r="B67" s="383" t="s">
        <v>389</v>
      </c>
      <c r="C67" s="395"/>
      <c r="D67" s="414" t="s">
        <v>334</v>
      </c>
      <c r="E67" s="417"/>
      <c r="F67" s="385">
        <v>30</v>
      </c>
      <c r="G67" s="394">
        <v>1222</v>
      </c>
      <c r="H67" s="386">
        <f t="shared" si="18"/>
        <v>36660</v>
      </c>
      <c r="I67" s="387"/>
      <c r="J67" s="388">
        <v>4</v>
      </c>
      <c r="K67" s="389">
        <f t="shared" si="16"/>
        <v>3332.7272727272666</v>
      </c>
      <c r="L67" s="390">
        <f t="shared" si="17"/>
        <v>833.18181818181665</v>
      </c>
      <c r="M67" s="391">
        <v>0.23194444444444443</v>
      </c>
      <c r="N67" s="391">
        <v>0.24722222222222223</v>
      </c>
      <c r="O67" s="389">
        <v>20</v>
      </c>
      <c r="P67" s="392">
        <f t="shared" si="19"/>
        <v>22.000000000000043</v>
      </c>
      <c r="Q67" s="393"/>
      <c r="R67" s="393"/>
    </row>
    <row r="68" spans="1:18" ht="15.6" customHeight="1">
      <c r="A68" s="550"/>
      <c r="B68" s="383" t="s">
        <v>389</v>
      </c>
      <c r="C68" s="395"/>
      <c r="D68" s="434" t="s">
        <v>335</v>
      </c>
      <c r="E68" s="417"/>
      <c r="F68" s="385">
        <v>14.03</v>
      </c>
      <c r="G68" s="394">
        <v>2242</v>
      </c>
      <c r="H68" s="386">
        <f t="shared" si="18"/>
        <v>31455.26</v>
      </c>
      <c r="I68" s="387"/>
      <c r="J68" s="388">
        <v>3</v>
      </c>
      <c r="K68" s="389">
        <f t="shared" si="16"/>
        <v>3202.8571428571418</v>
      </c>
      <c r="L68" s="390">
        <f t="shared" si="17"/>
        <v>1067.6190476190473</v>
      </c>
      <c r="M68" s="391">
        <v>0.26111111111111113</v>
      </c>
      <c r="N68" s="391">
        <v>0.2902777777777778</v>
      </c>
      <c r="O68" s="389">
        <v>25</v>
      </c>
      <c r="P68" s="392">
        <f t="shared" si="19"/>
        <v>42.000000000000014</v>
      </c>
      <c r="Q68" s="393">
        <v>0.2902777777777778</v>
      </c>
      <c r="R68" s="393">
        <v>0.33194444444444443</v>
      </c>
    </row>
    <row r="69" spans="1:18" ht="15.6" customHeight="1">
      <c r="A69" s="550"/>
      <c r="B69" s="383" t="s">
        <v>389</v>
      </c>
      <c r="C69" s="395"/>
      <c r="D69" s="414" t="s">
        <v>336</v>
      </c>
      <c r="E69" s="417"/>
      <c r="F69" s="385">
        <v>18.18</v>
      </c>
      <c r="G69" s="394">
        <v>629</v>
      </c>
      <c r="H69" s="386">
        <f t="shared" si="18"/>
        <v>11435.22</v>
      </c>
      <c r="I69" s="387"/>
      <c r="J69" s="388">
        <v>3</v>
      </c>
      <c r="K69" s="389">
        <f t="shared" si="16"/>
        <v>3430.9090909091278</v>
      </c>
      <c r="L69" s="390">
        <f t="shared" si="17"/>
        <v>1143.636363636376</v>
      </c>
      <c r="M69" s="391">
        <v>0.34583333333333338</v>
      </c>
      <c r="N69" s="391">
        <v>0.35347222222222219</v>
      </c>
      <c r="O69" s="389">
        <v>20</v>
      </c>
      <c r="P69" s="392">
        <f t="shared" si="19"/>
        <v>10.999999999999881</v>
      </c>
      <c r="Q69" s="393"/>
      <c r="R69" s="393"/>
    </row>
    <row r="70" spans="1:18" ht="15.75" customHeight="1">
      <c r="A70" s="550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1189</v>
      </c>
      <c r="H70" s="386">
        <f t="shared" si="18"/>
        <v>21616.02</v>
      </c>
      <c r="I70" s="387"/>
      <c r="J70" s="388">
        <v>3</v>
      </c>
      <c r="K70" s="389">
        <f t="shared" si="16"/>
        <v>3242.7272727272607</v>
      </c>
      <c r="L70" s="390">
        <f t="shared" si="17"/>
        <v>1080.9090909090869</v>
      </c>
      <c r="M70" s="391">
        <v>0.36736111111111108</v>
      </c>
      <c r="N70" s="391">
        <v>0.38263888888888892</v>
      </c>
      <c r="O70" s="389">
        <v>20</v>
      </c>
      <c r="P70" s="392">
        <f t="shared" si="19"/>
        <v>22.000000000000082</v>
      </c>
      <c r="Q70" s="393"/>
      <c r="R70" s="393"/>
    </row>
    <row r="71" spans="1:18" ht="15.6" customHeight="1">
      <c r="A71" s="550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3123</v>
      </c>
      <c r="H71" s="386">
        <f t="shared" si="18"/>
        <v>44614.285714285703</v>
      </c>
      <c r="I71" s="387"/>
      <c r="J71" s="388">
        <v>3</v>
      </c>
      <c r="K71" s="389">
        <f t="shared" si="16"/>
        <v>3230.6896551724212</v>
      </c>
      <c r="L71" s="390">
        <f t="shared" si="17"/>
        <v>1076.8965517241404</v>
      </c>
      <c r="M71" s="391">
        <v>0.39652777777777781</v>
      </c>
      <c r="N71" s="391">
        <v>0.4368055555555555</v>
      </c>
      <c r="O71" s="389">
        <v>20</v>
      </c>
      <c r="P71" s="392">
        <f t="shared" si="19"/>
        <v>57.999999999999872</v>
      </c>
      <c r="Q71" s="393"/>
      <c r="R71" s="393"/>
    </row>
    <row r="72" spans="1:18" ht="15.6" customHeight="1">
      <c r="A72" s="550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50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50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51"/>
      <c r="B75" s="383">
        <v>0</v>
      </c>
      <c r="C75" s="12" t="s">
        <v>339</v>
      </c>
      <c r="D75" s="552" t="s">
        <v>75</v>
      </c>
      <c r="E75" s="552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3315.9055722602557</v>
      </c>
      <c r="L75" s="406">
        <f>AVERAGE(L65:L74)</f>
        <v>985.01428784680149</v>
      </c>
      <c r="M75" s="391"/>
      <c r="N75" s="391"/>
      <c r="O75" s="382"/>
      <c r="P75" s="382"/>
      <c r="Q75" s="382"/>
      <c r="R75" s="382"/>
    </row>
    <row r="76" spans="1:18" ht="16.149999999999999" customHeight="1">
      <c r="A76" s="553" t="s">
        <v>340</v>
      </c>
      <c r="B76" s="383">
        <v>0</v>
      </c>
      <c r="C76" s="400"/>
      <c r="D76" s="554"/>
      <c r="E76" s="555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53"/>
      <c r="B77" s="383">
        <v>0</v>
      </c>
      <c r="C77" s="400"/>
      <c r="D77" s="554"/>
      <c r="E77" s="555"/>
      <c r="F77" s="385" t="s">
        <v>391</v>
      </c>
      <c r="G77" s="379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53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53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53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53"/>
      <c r="B81" s="383">
        <v>0</v>
      </c>
      <c r="C81" s="12" t="s">
        <v>71</v>
      </c>
      <c r="D81" s="547" t="s">
        <v>75</v>
      </c>
      <c r="E81" s="547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38" t="s">
        <v>341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4887</v>
      </c>
      <c r="H82" s="444">
        <f t="shared" ref="H82:H87" si="20">F82*G82</f>
        <v>81417.42</v>
      </c>
      <c r="I82" s="387"/>
      <c r="J82" s="388">
        <v>4</v>
      </c>
      <c r="K82" s="389">
        <f t="shared" ref="K82:K86" si="21">G82/P82*60</f>
        <v>2792.5714285714298</v>
      </c>
      <c r="L82" s="390">
        <f t="shared" ref="L82:L86" si="22">K82/J82</f>
        <v>698.14285714285745</v>
      </c>
      <c r="M82" s="391">
        <v>0.72222222222222221</v>
      </c>
      <c r="N82" s="391">
        <v>0.79513888888888884</v>
      </c>
      <c r="O82" s="389">
        <v>20</v>
      </c>
      <c r="P82" s="392">
        <f>(N82-M82)*24*60</f>
        <v>104.99999999999994</v>
      </c>
      <c r="Q82" s="393"/>
      <c r="R82" s="393"/>
    </row>
    <row r="83" spans="1:18">
      <c r="A83" s="539"/>
      <c r="B83" s="383" t="s">
        <v>389</v>
      </c>
      <c r="C83" s="413"/>
      <c r="D83" s="414" t="s">
        <v>343</v>
      </c>
      <c r="E83" s="443"/>
      <c r="F83" s="385">
        <v>18.18</v>
      </c>
      <c r="G83" s="419">
        <v>358</v>
      </c>
      <c r="H83" s="444">
        <f t="shared" si="20"/>
        <v>6508.44</v>
      </c>
      <c r="I83" s="387"/>
      <c r="J83" s="388">
        <v>4</v>
      </c>
      <c r="K83" s="389">
        <f t="shared" si="21"/>
        <v>2148.0000000000073</v>
      </c>
      <c r="L83" s="390">
        <f t="shared" si="22"/>
        <v>537.00000000000182</v>
      </c>
      <c r="M83" s="391">
        <v>0.80902777777777779</v>
      </c>
      <c r="N83" s="391">
        <v>0.81597222222222221</v>
      </c>
      <c r="O83" s="389">
        <v>20</v>
      </c>
      <c r="P83" s="392">
        <f>(N83-M83)*24*60</f>
        <v>9.9999999999999645</v>
      </c>
      <c r="Q83" s="393"/>
      <c r="R83" s="393"/>
    </row>
    <row r="84" spans="1:18">
      <c r="A84" s="539"/>
      <c r="B84" s="383" t="s">
        <v>389</v>
      </c>
      <c r="C84" s="413"/>
      <c r="D84" s="433" t="s">
        <v>344</v>
      </c>
      <c r="E84" s="443"/>
      <c r="F84" s="385">
        <v>16.7</v>
      </c>
      <c r="G84" s="419">
        <v>1072</v>
      </c>
      <c r="H84" s="445">
        <f t="shared" si="20"/>
        <v>17902.399999999998</v>
      </c>
      <c r="I84" s="387"/>
      <c r="J84" s="388">
        <v>3</v>
      </c>
      <c r="K84" s="389">
        <f t="shared" si="21"/>
        <v>2572.8000000000093</v>
      </c>
      <c r="L84" s="390">
        <f t="shared" si="22"/>
        <v>857.60000000000309</v>
      </c>
      <c r="M84" s="391">
        <v>0.82986111111111116</v>
      </c>
      <c r="N84" s="391">
        <v>0.84722222222222221</v>
      </c>
      <c r="O84" s="389">
        <v>20</v>
      </c>
      <c r="P84" s="421">
        <f t="shared" ref="P84:P85" si="23">(N84-M84)*24*60</f>
        <v>24.999999999999911</v>
      </c>
      <c r="Q84" s="393">
        <v>0.84722222222222221</v>
      </c>
      <c r="R84" s="393">
        <v>0.88888888888888884</v>
      </c>
    </row>
    <row r="85" spans="1:18">
      <c r="A85" s="539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927</v>
      </c>
      <c r="H85" s="445">
        <f t="shared" si="20"/>
        <v>20655.245454545453</v>
      </c>
      <c r="I85" s="387"/>
      <c r="J85" s="388">
        <v>4</v>
      </c>
      <c r="K85" s="389">
        <f t="shared" si="21"/>
        <v>2781.00000000001</v>
      </c>
      <c r="L85" s="390">
        <f t="shared" si="22"/>
        <v>695.2500000000025</v>
      </c>
      <c r="M85" s="391">
        <v>0.90277777777777779</v>
      </c>
      <c r="N85" s="391">
        <v>0.91666666666666663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39"/>
      <c r="B86" s="383" t="s">
        <v>389</v>
      </c>
      <c r="C86" s="413"/>
      <c r="D86" s="414" t="s">
        <v>346</v>
      </c>
      <c r="E86" s="443"/>
      <c r="F86" s="385">
        <v>17.890909090909091</v>
      </c>
      <c r="G86" s="379">
        <v>3535</v>
      </c>
      <c r="H86" s="445">
        <f t="shared" si="20"/>
        <v>63244.363636363632</v>
      </c>
      <c r="I86" s="387"/>
      <c r="J86" s="388">
        <v>3</v>
      </c>
      <c r="K86" s="389">
        <f t="shared" si="21"/>
        <v>2827.9999999999977</v>
      </c>
      <c r="L86" s="390">
        <f t="shared" si="22"/>
        <v>942.66666666666595</v>
      </c>
      <c r="M86" s="391">
        <v>0.93055555555555547</v>
      </c>
      <c r="N86" s="446">
        <v>0.98263888888888884</v>
      </c>
      <c r="O86" s="382">
        <v>20</v>
      </c>
      <c r="P86" s="421">
        <f>(N86-M86)*24*60</f>
        <v>75.000000000000057</v>
      </c>
      <c r="Q86" s="382"/>
      <c r="R86" s="382"/>
    </row>
    <row r="87" spans="1:18">
      <c r="A87" s="539"/>
      <c r="B87" s="383"/>
      <c r="C87" s="413"/>
      <c r="D87" s="414"/>
      <c r="E87" s="443"/>
      <c r="F87" s="385" t="s">
        <v>391</v>
      </c>
      <c r="G87" s="379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39"/>
      <c r="B88" s="383">
        <v>0</v>
      </c>
      <c r="C88" s="413"/>
      <c r="D88" s="414"/>
      <c r="E88" s="443"/>
      <c r="F88" s="385" t="s">
        <v>391</v>
      </c>
      <c r="G88" s="379"/>
      <c r="H88" s="445"/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39"/>
      <c r="B89" s="383">
        <v>0</v>
      </c>
      <c r="C89" s="413"/>
      <c r="D89" s="414"/>
      <c r="E89" s="443"/>
      <c r="F89" s="385" t="s">
        <v>391</v>
      </c>
      <c r="G89" s="379"/>
      <c r="H89" s="445">
        <f t="shared" ref="H89:H90" si="24">F89*G89</f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5">(N89-M89)*24*60</f>
        <v>0</v>
      </c>
      <c r="Q89" s="382"/>
      <c r="R89" s="382"/>
    </row>
    <row r="90" spans="1:18">
      <c r="A90" s="539"/>
      <c r="B90" s="383">
        <v>0</v>
      </c>
      <c r="C90" s="413"/>
      <c r="D90" s="414"/>
      <c r="E90" s="443"/>
      <c r="F90" s="385" t="s">
        <v>391</v>
      </c>
      <c r="G90" s="379"/>
      <c r="H90" s="445">
        <f t="shared" si="24"/>
        <v>0</v>
      </c>
      <c r="I90" s="387"/>
      <c r="J90" s="388"/>
      <c r="K90" s="389"/>
      <c r="L90" s="390"/>
      <c r="M90" s="391"/>
      <c r="N90" s="446"/>
      <c r="O90" s="382"/>
      <c r="P90" s="421">
        <f t="shared" si="25"/>
        <v>0</v>
      </c>
      <c r="Q90" s="382"/>
      <c r="R90" s="382"/>
    </row>
    <row r="91" spans="1:18" ht="17.45" customHeight="1">
      <c r="A91" s="539"/>
      <c r="B91" s="383">
        <v>0</v>
      </c>
      <c r="C91" s="12" t="s">
        <v>318</v>
      </c>
      <c r="D91" s="540" t="s">
        <v>75</v>
      </c>
      <c r="E91" s="540"/>
      <c r="F91" s="401"/>
      <c r="G91" s="447"/>
      <c r="H91" s="448"/>
      <c r="I91" s="404"/>
      <c r="J91" s="405">
        <f>AVERAGE(J82:J90)</f>
        <v>3.6</v>
      </c>
      <c r="K91" s="405">
        <f>AVERAGE(K82:K90)</f>
        <v>2624.474285714291</v>
      </c>
      <c r="L91" s="406">
        <f>AVERAGE(L82:L90)</f>
        <v>746.13190476190607</v>
      </c>
      <c r="M91" s="391"/>
      <c r="N91" s="391"/>
      <c r="O91" s="389"/>
      <c r="P91" s="389"/>
      <c r="Q91" s="390"/>
      <c r="R91" s="390"/>
    </row>
    <row r="92" spans="1:18" ht="16.149999999999999" customHeight="1">
      <c r="A92" s="541" t="s">
        <v>347</v>
      </c>
      <c r="B92" s="383" t="s">
        <v>389</v>
      </c>
      <c r="C92" s="400"/>
      <c r="D92" s="449" t="s">
        <v>348</v>
      </c>
      <c r="E92" s="443"/>
      <c r="F92" s="385">
        <v>24.54</v>
      </c>
      <c r="G92" s="379">
        <v>1702</v>
      </c>
      <c r="H92" s="386">
        <f t="shared" ref="H92:H97" si="26">F92*G92</f>
        <v>41767.08</v>
      </c>
      <c r="I92" s="387"/>
      <c r="J92" s="388">
        <v>3</v>
      </c>
      <c r="K92" s="389">
        <f>G92/P92*60</f>
        <v>2269.3333333333335</v>
      </c>
      <c r="L92" s="390">
        <f t="shared" ref="L92:L93" si="27">K92/J92</f>
        <v>756.44444444444446</v>
      </c>
      <c r="M92" s="391">
        <v>0.72222222222222221</v>
      </c>
      <c r="N92" s="391">
        <v>0.75347222222222221</v>
      </c>
      <c r="O92" s="382">
        <v>20</v>
      </c>
      <c r="P92" s="392">
        <f>(N92-M92)*24*60</f>
        <v>45</v>
      </c>
      <c r="Q92" s="393"/>
      <c r="R92" s="393"/>
    </row>
    <row r="93" spans="1:18">
      <c r="A93" s="542"/>
      <c r="B93" s="383" t="s">
        <v>389</v>
      </c>
      <c r="C93" s="400"/>
      <c r="D93" s="414" t="s">
        <v>349</v>
      </c>
      <c r="E93" s="443"/>
      <c r="F93" s="385">
        <v>22.48</v>
      </c>
      <c r="G93" s="379">
        <v>1142</v>
      </c>
      <c r="H93" s="386">
        <f t="shared" si="26"/>
        <v>25672.16</v>
      </c>
      <c r="I93" s="387"/>
      <c r="J93" s="388">
        <v>4</v>
      </c>
      <c r="K93" s="389">
        <f t="shared" ref="K93" si="28">G93/P93*60</f>
        <v>2283.9999999999959</v>
      </c>
      <c r="L93" s="390">
        <f t="shared" si="27"/>
        <v>570.99999999999898</v>
      </c>
      <c r="M93" s="391">
        <v>0.76736111111111116</v>
      </c>
      <c r="N93" s="391">
        <v>0.78819444444444453</v>
      </c>
      <c r="O93" s="382">
        <v>20</v>
      </c>
      <c r="P93" s="392">
        <f>(N93-M93)*24*60</f>
        <v>30.000000000000053</v>
      </c>
      <c r="Q93" s="393"/>
      <c r="R93" s="393"/>
    </row>
    <row r="94" spans="1:18">
      <c r="A94" s="542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6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43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6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43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6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43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6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43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43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43"/>
      <c r="B100" s="383">
        <v>0</v>
      </c>
      <c r="C100" s="12" t="s">
        <v>350</v>
      </c>
      <c r="D100" s="544" t="s">
        <v>75</v>
      </c>
      <c r="E100" s="545"/>
      <c r="F100" s="401"/>
      <c r="G100" s="402"/>
      <c r="H100" s="450"/>
      <c r="I100" s="404"/>
      <c r="J100" s="405">
        <f>AVERAGE(J92:J99)</f>
        <v>3.5</v>
      </c>
      <c r="K100" s="405">
        <f>AVERAGE(K92:K99)</f>
        <v>2276.6666666666647</v>
      </c>
      <c r="L100" s="406">
        <f>AVERAGE(L92:L99)</f>
        <v>663.72222222222172</v>
      </c>
      <c r="M100" s="391"/>
      <c r="N100" s="391"/>
      <c r="O100" s="389"/>
      <c r="P100" s="389"/>
      <c r="Q100" s="390"/>
      <c r="R100" s="390"/>
    </row>
    <row r="101" spans="1:18" ht="16.149999999999999" customHeight="1">
      <c r="A101" s="546" t="s">
        <v>351</v>
      </c>
      <c r="B101" s="383" t="s">
        <v>389</v>
      </c>
      <c r="C101" s="12"/>
      <c r="D101" s="437" t="s">
        <v>352</v>
      </c>
      <c r="E101" s="451"/>
      <c r="F101" s="385">
        <v>25.03</v>
      </c>
      <c r="G101" s="379">
        <v>980</v>
      </c>
      <c r="H101" s="386">
        <f t="shared" ref="H101:H110" si="29">F101*G101</f>
        <v>24529.4</v>
      </c>
      <c r="I101" s="387"/>
      <c r="J101" s="388">
        <v>4</v>
      </c>
      <c r="K101" s="389">
        <f>G101/P101*60</f>
        <v>2939.9999999999868</v>
      </c>
      <c r="L101" s="390">
        <f t="shared" ref="L101:L105" si="30">K101/J101</f>
        <v>734.9999999999967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1">(N101-M101)*24*60</f>
        <v>20.000000000000089</v>
      </c>
      <c r="Q101" s="390"/>
      <c r="R101" s="393"/>
    </row>
    <row r="102" spans="1:18">
      <c r="A102" s="546"/>
      <c r="B102" s="383" t="s">
        <v>389</v>
      </c>
      <c r="C102" s="12"/>
      <c r="D102" s="414" t="s">
        <v>353</v>
      </c>
      <c r="E102" s="451"/>
      <c r="F102" s="385">
        <v>24.82</v>
      </c>
      <c r="G102" s="379">
        <v>1594</v>
      </c>
      <c r="H102" s="386">
        <f t="shared" si="29"/>
        <v>39563.08</v>
      </c>
      <c r="I102" s="387"/>
      <c r="J102" s="388">
        <v>4</v>
      </c>
      <c r="K102" s="389">
        <f t="shared" ref="K102:K105" si="32">G102/P102*60</f>
        <v>2732.5714285714384</v>
      </c>
      <c r="L102" s="390">
        <f t="shared" si="30"/>
        <v>683.14285714285961</v>
      </c>
      <c r="M102" s="391">
        <v>0.75</v>
      </c>
      <c r="N102" s="391">
        <v>0.77430555555555547</v>
      </c>
      <c r="O102" s="382">
        <v>20</v>
      </c>
      <c r="P102" s="389">
        <f t="shared" si="31"/>
        <v>34.999999999999872</v>
      </c>
      <c r="Q102" s="393"/>
      <c r="R102" s="393"/>
    </row>
    <row r="103" spans="1:18">
      <c r="A103" s="546"/>
      <c r="B103" s="383" t="s">
        <v>389</v>
      </c>
      <c r="C103" s="12"/>
      <c r="D103" s="433" t="s">
        <v>354</v>
      </c>
      <c r="E103" s="414"/>
      <c r="F103" s="385">
        <v>28.57</v>
      </c>
      <c r="G103" s="379">
        <v>2695</v>
      </c>
      <c r="H103" s="386">
        <f t="shared" si="29"/>
        <v>76996.149999999994</v>
      </c>
      <c r="I103" s="387"/>
      <c r="J103" s="388">
        <v>3</v>
      </c>
      <c r="K103" s="389">
        <f t="shared" si="32"/>
        <v>2940.0000000000105</v>
      </c>
      <c r="L103" s="390">
        <f t="shared" si="30"/>
        <v>980.00000000000352</v>
      </c>
      <c r="M103" s="391">
        <v>0.78819444444444453</v>
      </c>
      <c r="N103" s="391">
        <v>0.82638888888888884</v>
      </c>
      <c r="O103" s="382">
        <v>20</v>
      </c>
      <c r="P103" s="389">
        <f t="shared" si="31"/>
        <v>54.999999999999801</v>
      </c>
      <c r="Q103" s="393"/>
      <c r="R103" s="393"/>
    </row>
    <row r="104" spans="1:18">
      <c r="A104" s="546"/>
      <c r="B104" s="383" t="s">
        <v>389</v>
      </c>
      <c r="C104" s="12"/>
      <c r="D104" s="414" t="s">
        <v>355</v>
      </c>
      <c r="E104" s="437"/>
      <c r="F104" s="385">
        <v>14.03</v>
      </c>
      <c r="G104" s="379">
        <v>5553</v>
      </c>
      <c r="H104" s="386">
        <f t="shared" si="29"/>
        <v>77908.59</v>
      </c>
      <c r="I104" s="387"/>
      <c r="J104" s="388">
        <v>3</v>
      </c>
      <c r="K104" s="389">
        <f t="shared" si="32"/>
        <v>2897.2173913043498</v>
      </c>
      <c r="L104" s="390">
        <f t="shared" si="30"/>
        <v>965.73913043478331</v>
      </c>
      <c r="M104" s="391">
        <v>0.84027777777777779</v>
      </c>
      <c r="N104" s="391">
        <v>0.92013888888888884</v>
      </c>
      <c r="O104" s="382">
        <v>20</v>
      </c>
      <c r="P104" s="389">
        <f>(N104-M104)*24*60</f>
        <v>114.99999999999991</v>
      </c>
      <c r="Q104" s="393">
        <v>0.92013888888888884</v>
      </c>
      <c r="R104" s="393">
        <v>0.96180555555555547</v>
      </c>
    </row>
    <row r="105" spans="1:18">
      <c r="A105" s="546"/>
      <c r="B105" s="383" t="s">
        <v>389</v>
      </c>
      <c r="C105" s="12"/>
      <c r="D105" s="414" t="s">
        <v>356</v>
      </c>
      <c r="E105" s="433"/>
      <c r="F105" s="385">
        <v>14.285714285714283</v>
      </c>
      <c r="G105" s="379">
        <v>7417</v>
      </c>
      <c r="H105" s="386">
        <f t="shared" si="29"/>
        <v>105957.14285714284</v>
      </c>
      <c r="I105" s="387"/>
      <c r="J105" s="388">
        <v>3</v>
      </c>
      <c r="K105" s="389">
        <f t="shared" si="32"/>
        <v>2966.8000000690763</v>
      </c>
      <c r="L105" s="390">
        <f t="shared" si="30"/>
        <v>988.93333335635873</v>
      </c>
      <c r="M105" s="391">
        <v>46060.975694444445</v>
      </c>
      <c r="N105" s="446">
        <v>46061.079861111109</v>
      </c>
      <c r="O105" s="382">
        <v>20</v>
      </c>
      <c r="P105" s="389">
        <f>(N105-M105)*24*60</f>
        <v>149.99999999650754</v>
      </c>
      <c r="Q105" s="390"/>
      <c r="R105" s="393"/>
    </row>
    <row r="106" spans="1:18">
      <c r="A106" s="546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9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1"/>
        <v>0</v>
      </c>
      <c r="Q106" s="390"/>
      <c r="R106" s="393"/>
    </row>
    <row r="107" spans="1:18">
      <c r="A107" s="546"/>
      <c r="B107" s="383">
        <v>0</v>
      </c>
      <c r="C107" s="12"/>
      <c r="D107" s="414"/>
      <c r="E107" s="433"/>
      <c r="F107" s="385" t="s">
        <v>391</v>
      </c>
      <c r="G107" s="379"/>
      <c r="H107" s="386">
        <f t="shared" si="29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1"/>
        <v>0</v>
      </c>
      <c r="Q107" s="390"/>
      <c r="R107" s="393"/>
    </row>
    <row r="108" spans="1:18">
      <c r="A108" s="546"/>
      <c r="B108" s="383">
        <v>0</v>
      </c>
      <c r="C108" s="12"/>
      <c r="D108" s="414"/>
      <c r="E108" s="433"/>
      <c r="F108" s="385" t="s">
        <v>391</v>
      </c>
      <c r="G108" s="379"/>
      <c r="H108" s="386">
        <f t="shared" si="29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1"/>
        <v>0</v>
      </c>
      <c r="Q108" s="390"/>
      <c r="R108" s="393"/>
    </row>
    <row r="109" spans="1:18">
      <c r="A109" s="546"/>
      <c r="B109" s="383">
        <v>0</v>
      </c>
      <c r="C109" s="400"/>
      <c r="D109" s="414"/>
      <c r="E109" s="433"/>
      <c r="F109" s="385" t="s">
        <v>391</v>
      </c>
      <c r="G109" s="379"/>
      <c r="H109" s="386">
        <f t="shared" si="29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1"/>
        <v>0</v>
      </c>
      <c r="Q109" s="390"/>
      <c r="R109" s="393"/>
    </row>
    <row r="110" spans="1:18">
      <c r="A110" s="546"/>
      <c r="B110" s="383">
        <v>0</v>
      </c>
      <c r="C110" s="400"/>
      <c r="D110" s="414"/>
      <c r="E110" s="433"/>
      <c r="F110" s="385" t="s">
        <v>391</v>
      </c>
      <c r="G110" s="379"/>
      <c r="H110" s="386">
        <f t="shared" si="29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1"/>
        <v>0</v>
      </c>
      <c r="Q110" s="390"/>
      <c r="R110" s="393"/>
    </row>
    <row r="111" spans="1:18" ht="15.75" customHeight="1">
      <c r="A111" s="546"/>
      <c r="B111" s="383">
        <v>0</v>
      </c>
      <c r="C111" s="12" t="s">
        <v>330</v>
      </c>
      <c r="D111" s="547" t="s">
        <v>75</v>
      </c>
      <c r="E111" s="548"/>
      <c r="F111" s="452"/>
      <c r="G111" s="453"/>
      <c r="H111" s="403"/>
      <c r="I111" s="404"/>
      <c r="J111" s="405">
        <f>AVERAGE(J101:J110)</f>
        <v>3.4</v>
      </c>
      <c r="K111" s="405">
        <f>AVERAGE(K101:K110)</f>
        <v>2895.3177639889727</v>
      </c>
      <c r="L111" s="406">
        <f>AVERAGE(L101:L110)</f>
        <v>870.56306418680049</v>
      </c>
      <c r="M111" s="391"/>
      <c r="N111" s="391"/>
      <c r="O111" s="389"/>
      <c r="P111" s="389"/>
      <c r="Q111" s="390"/>
      <c r="R111" s="382"/>
    </row>
    <row r="112" spans="1:18" ht="16.149999999999999" customHeight="1">
      <c r="A112" s="536" t="s">
        <v>357</v>
      </c>
      <c r="B112" s="383" t="s">
        <v>389</v>
      </c>
      <c r="C112" s="12"/>
      <c r="D112" s="441" t="s">
        <v>358</v>
      </c>
      <c r="E112" s="454"/>
      <c r="F112" s="385">
        <v>18.18</v>
      </c>
      <c r="G112" s="379">
        <v>866</v>
      </c>
      <c r="H112" s="444">
        <f t="shared" si="3"/>
        <v>15743.88</v>
      </c>
      <c r="I112" s="387"/>
      <c r="J112" s="388">
        <v>4</v>
      </c>
      <c r="K112" s="389">
        <f t="shared" ref="K112:K113" si="33">G112/P112*60</f>
        <v>2597.9999999999882</v>
      </c>
      <c r="L112" s="390">
        <f t="shared" ref="L112:L113" si="34">K112/J112</f>
        <v>649.49999999999704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5">(N112-M112)*24*60</f>
        <v>20.000000000000089</v>
      </c>
      <c r="Q112" s="382"/>
      <c r="R112" s="382"/>
    </row>
    <row r="113" spans="1:18">
      <c r="A113" s="536"/>
      <c r="B113" s="383" t="s">
        <v>389</v>
      </c>
      <c r="C113" s="413"/>
      <c r="D113" s="441" t="s">
        <v>359</v>
      </c>
      <c r="E113" s="441"/>
      <c r="F113" s="385">
        <v>18.18</v>
      </c>
      <c r="G113" s="379">
        <v>1033</v>
      </c>
      <c r="H113" s="444">
        <f t="shared" si="3"/>
        <v>18779.939999999999</v>
      </c>
      <c r="I113" s="387"/>
      <c r="J113" s="388">
        <v>3</v>
      </c>
      <c r="K113" s="389">
        <f t="shared" si="33"/>
        <v>3099.0000000000109</v>
      </c>
      <c r="L113" s="390">
        <f t="shared" si="34"/>
        <v>1033.0000000000036</v>
      </c>
      <c r="M113" s="391">
        <v>0.75</v>
      </c>
      <c r="N113" s="391">
        <v>0.76388888888888884</v>
      </c>
      <c r="O113" s="382">
        <v>20</v>
      </c>
      <c r="P113" s="392">
        <f t="shared" si="35"/>
        <v>19.999999999999929</v>
      </c>
      <c r="Q113" s="393"/>
      <c r="R113" s="393"/>
    </row>
    <row r="114" spans="1:18">
      <c r="A114" s="536"/>
      <c r="B114" s="383">
        <v>0</v>
      </c>
      <c r="C114" s="413"/>
      <c r="D114" s="437"/>
      <c r="E114" s="414"/>
      <c r="F114" s="385" t="s">
        <v>391</v>
      </c>
      <c r="G114" s="379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5"/>
        <v>0</v>
      </c>
      <c r="Q114" s="393"/>
      <c r="R114" s="393"/>
    </row>
    <row r="115" spans="1:18">
      <c r="A115" s="536"/>
      <c r="B115" s="383">
        <v>0</v>
      </c>
      <c r="C115" s="413"/>
      <c r="D115" s="414"/>
      <c r="E115" s="437"/>
      <c r="F115" s="385" t="s">
        <v>391</v>
      </c>
      <c r="G115" s="379"/>
      <c r="H115" s="444">
        <f t="shared" ref="H115:H123" si="36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5"/>
        <v>0</v>
      </c>
      <c r="Q115" s="393"/>
      <c r="R115" s="393"/>
    </row>
    <row r="116" spans="1:18">
      <c r="A116" s="536"/>
      <c r="B116" s="383">
        <v>0</v>
      </c>
      <c r="C116" s="413"/>
      <c r="D116" s="414"/>
      <c r="E116" s="433"/>
      <c r="F116" s="385" t="s">
        <v>391</v>
      </c>
      <c r="G116" s="379"/>
      <c r="H116" s="444">
        <f t="shared" si="36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5"/>
        <v>0</v>
      </c>
      <c r="Q116" s="393"/>
      <c r="R116" s="393"/>
    </row>
    <row r="117" spans="1:18">
      <c r="A117" s="536"/>
      <c r="B117" s="383">
        <v>0</v>
      </c>
      <c r="C117" s="413"/>
      <c r="D117" s="433"/>
      <c r="E117" s="432"/>
      <c r="F117" s="385" t="s">
        <v>391</v>
      </c>
      <c r="G117" s="379"/>
      <c r="H117" s="444">
        <f t="shared" si="36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5"/>
        <v>0</v>
      </c>
      <c r="Q117" s="393"/>
      <c r="R117" s="393"/>
    </row>
    <row r="118" spans="1:18">
      <c r="A118" s="536"/>
      <c r="B118" s="383">
        <v>0</v>
      </c>
      <c r="C118" s="413"/>
      <c r="D118" s="433"/>
      <c r="E118" s="432"/>
      <c r="F118" s="385" t="s">
        <v>391</v>
      </c>
      <c r="G118" s="379"/>
      <c r="H118" s="444">
        <f t="shared" si="36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5"/>
        <v>0</v>
      </c>
      <c r="Q118" s="393"/>
      <c r="R118" s="393"/>
    </row>
    <row r="119" spans="1:18">
      <c r="A119" s="536"/>
      <c r="B119" s="383">
        <v>0</v>
      </c>
      <c r="C119" s="413"/>
      <c r="D119" s="433"/>
      <c r="E119" s="432"/>
      <c r="F119" s="385" t="s">
        <v>391</v>
      </c>
      <c r="G119" s="379"/>
      <c r="H119" s="444">
        <f t="shared" si="36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5"/>
        <v>0</v>
      </c>
      <c r="Q119" s="393"/>
      <c r="R119" s="393"/>
    </row>
    <row r="120" spans="1:18">
      <c r="A120" s="536"/>
      <c r="B120" s="383">
        <v>0</v>
      </c>
      <c r="C120" s="413"/>
      <c r="D120" s="433"/>
      <c r="E120" s="432"/>
      <c r="F120" s="385" t="s">
        <v>391</v>
      </c>
      <c r="G120" s="379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36"/>
      <c r="B121" s="383">
        <v>0</v>
      </c>
      <c r="C121" s="413"/>
      <c r="D121" s="433"/>
      <c r="E121" s="432"/>
      <c r="F121" s="385" t="s">
        <v>391</v>
      </c>
      <c r="G121" s="379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36"/>
      <c r="B122" s="383">
        <v>0</v>
      </c>
      <c r="C122" s="413"/>
      <c r="D122" s="433"/>
      <c r="E122" s="432"/>
      <c r="F122" s="385" t="s">
        <v>391</v>
      </c>
      <c r="G122" s="379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5"/>
        <v>0</v>
      </c>
      <c r="Q122" s="393"/>
      <c r="R122" s="393"/>
    </row>
    <row r="123" spans="1:18">
      <c r="A123" s="536"/>
      <c r="B123" s="383">
        <v>0</v>
      </c>
      <c r="C123" s="413"/>
      <c r="D123" s="433"/>
      <c r="E123" s="432"/>
      <c r="F123" s="385" t="s">
        <v>391</v>
      </c>
      <c r="G123" s="379"/>
      <c r="H123" s="444">
        <f t="shared" si="36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5"/>
        <v>0</v>
      </c>
      <c r="Q123" s="393"/>
      <c r="R123" s="393"/>
    </row>
    <row r="124" spans="1:18" ht="17.45" customHeight="1">
      <c r="A124" s="536"/>
      <c r="B124" s="400">
        <v>0</v>
      </c>
      <c r="C124" s="12" t="s">
        <v>339</v>
      </c>
      <c r="D124" s="537" t="s">
        <v>75</v>
      </c>
      <c r="E124" s="537"/>
      <c r="F124" s="401"/>
      <c r="G124" s="447"/>
      <c r="H124" s="448"/>
      <c r="I124" s="404"/>
      <c r="J124" s="405">
        <f>AVERAGE(J112:J123)</f>
        <v>3.5</v>
      </c>
      <c r="K124" s="405">
        <f>AVERAGE(K112:K123)</f>
        <v>2848.4999999999995</v>
      </c>
      <c r="L124" s="406">
        <f>AVERAGE(L112:L123)</f>
        <v>841.25000000000034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4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L8" sqref="L8"/>
      <selection pane="bottomLeft" activeCell="F22" sqref="F22"/>
    </sheetView>
  </sheetViews>
  <sheetFormatPr defaultColWidth="7.875" defaultRowHeight="15.75"/>
  <cols>
    <col min="1" max="1" width="14.25" style="71" customWidth="1"/>
    <col min="2" max="2" width="12.75" style="71" customWidth="1"/>
    <col min="3" max="3" width="12.75" style="71" hidden="1" customWidth="1"/>
    <col min="4" max="4" width="14.25" style="71" customWidth="1"/>
    <col min="5" max="5" width="16.5" style="71" customWidth="1"/>
    <col min="6" max="6" width="8.875" style="71" customWidth="1"/>
    <col min="7" max="7" width="20.25" style="71" bestFit="1" customWidth="1"/>
    <col min="8" max="8" width="16.375" style="71" customWidth="1"/>
    <col min="9" max="9" width="6.375" style="71" customWidth="1"/>
    <col min="10" max="10" width="10.125" style="71" customWidth="1"/>
    <col min="11" max="11" width="10.625" style="71" customWidth="1"/>
    <col min="12" max="12" width="14.5" style="71" customWidth="1"/>
    <col min="13" max="13" width="10.125" style="71" customWidth="1"/>
    <col min="14" max="14" width="9.25" style="71" customWidth="1"/>
    <col min="15" max="15" width="11.875" style="71" customWidth="1"/>
    <col min="16" max="16" width="6" style="71" customWidth="1"/>
    <col min="17" max="18" width="9.25" style="71" customWidth="1"/>
    <col min="19" max="19" width="8.625" style="71" customWidth="1"/>
    <col min="20" max="21" width="7.625" style="71" bestFit="1" customWidth="1"/>
    <col min="22" max="22" width="10.625" style="71" customWidth="1"/>
    <col min="23" max="23" width="8.625" style="360" customWidth="1"/>
    <col min="24" max="25" width="7.125" style="71" customWidth="1"/>
    <col min="26" max="27" width="9.5" style="71" customWidth="1"/>
    <col min="28" max="28" width="12.625" style="71" customWidth="1"/>
    <col min="29" max="29" width="12.5" style="71" customWidth="1"/>
    <col min="30" max="31" width="9.5" style="71" customWidth="1"/>
    <col min="32" max="32" width="13.125" style="71" customWidth="1"/>
    <col min="33" max="33" width="10.375" style="71" customWidth="1"/>
    <col min="34" max="34" width="9.25" style="71" customWidth="1"/>
    <col min="35" max="35" width="7.875" style="71" customWidth="1"/>
    <col min="36" max="36" width="24.5" style="71" bestFit="1" customWidth="1"/>
    <col min="37" max="16384" width="7.875" style="71"/>
  </cols>
  <sheetData>
    <row r="1" spans="1:34" ht="26.25" customHeight="1">
      <c r="A1" s="62" t="s">
        <v>226</v>
      </c>
      <c r="B1" s="62"/>
      <c r="C1" s="62"/>
      <c r="D1" s="63" t="s">
        <v>227</v>
      </c>
      <c r="E1" s="64">
        <f>SUM(G5:G173)</f>
        <v>123519</v>
      </c>
      <c r="F1" s="65" t="s">
        <v>3</v>
      </c>
      <c r="G1" s="66">
        <f>SUM(H5:H173)</f>
        <v>4986490.500744679</v>
      </c>
      <c r="H1" s="67" t="s">
        <v>83</v>
      </c>
      <c r="I1" s="68">
        <f>M17+M30+M43+M56+M69+M82+M95+M108+M121+M134+M147+M160+M173</f>
        <v>187.03452380952385</v>
      </c>
      <c r="J1" s="668" t="s">
        <v>84</v>
      </c>
      <c r="K1" s="668"/>
      <c r="L1" s="668"/>
      <c r="M1" s="668" t="s">
        <v>85</v>
      </c>
      <c r="N1" s="668"/>
      <c r="O1" s="668"/>
      <c r="P1" s="668" t="s">
        <v>228</v>
      </c>
      <c r="Q1" s="668"/>
      <c r="R1" s="668"/>
      <c r="S1" s="668"/>
      <c r="T1" s="668" t="s">
        <v>229</v>
      </c>
      <c r="U1" s="668"/>
      <c r="V1" s="668"/>
      <c r="W1" s="668"/>
      <c r="X1" s="668"/>
      <c r="Y1" s="668"/>
      <c r="Z1" s="69" t="s">
        <v>230</v>
      </c>
      <c r="AA1" s="69" t="s">
        <v>231</v>
      </c>
      <c r="AB1" s="669" t="s">
        <v>232</v>
      </c>
      <c r="AC1" s="670"/>
      <c r="AD1" s="69" t="s">
        <v>230</v>
      </c>
      <c r="AE1" s="69" t="s">
        <v>233</v>
      </c>
      <c r="AF1" s="668" t="s">
        <v>234</v>
      </c>
      <c r="AG1" s="673"/>
      <c r="AH1" s="673"/>
    </row>
    <row r="2" spans="1:34" ht="26.25" customHeight="1">
      <c r="A2" s="667" t="s">
        <v>290</v>
      </c>
      <c r="B2" s="667"/>
      <c r="C2" s="63"/>
      <c r="D2" s="63" t="s">
        <v>236</v>
      </c>
      <c r="E2" s="73">
        <f>AVERAGE(O17,O30,O43,O56,O69,O82,O95,O108,O121,O134,O147,O160,O173)</f>
        <v>127.74635570407776</v>
      </c>
      <c r="F2" s="74" t="s">
        <v>94</v>
      </c>
      <c r="G2" s="75">
        <f>G1/E1</f>
        <v>40.370230496884517</v>
      </c>
      <c r="H2" s="67" t="s">
        <v>95</v>
      </c>
      <c r="I2" s="67">
        <f>COUNT(I5:I173)</f>
        <v>4</v>
      </c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8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71"/>
      <c r="AC2" s="672"/>
      <c r="AD2" s="77">
        <f>AD17+AD30+AD43+AD56+AD69+AD82+AD95+AD108+AD121+AD134+AD147+AD160+AD173</f>
        <v>3</v>
      </c>
      <c r="AE2" s="77">
        <f>AE17+AE30+AE43+AE56+AE69+AE82+AE95+AE108+AE121+AE134+AE147+AE160+AE173</f>
        <v>4</v>
      </c>
      <c r="AF2" s="673"/>
      <c r="AG2" s="673"/>
      <c r="AH2" s="673"/>
    </row>
    <row r="3" spans="1:34" ht="30.6" customHeight="1">
      <c r="A3" s="601" t="s">
        <v>237</v>
      </c>
      <c r="B3" s="601" t="s">
        <v>97</v>
      </c>
      <c r="C3" s="665"/>
      <c r="D3" s="601" t="s">
        <v>238</v>
      </c>
      <c r="E3" s="601"/>
      <c r="F3" s="665" t="s">
        <v>99</v>
      </c>
      <c r="G3" s="659" t="s">
        <v>100</v>
      </c>
      <c r="H3" s="665" t="s">
        <v>101</v>
      </c>
      <c r="I3" s="661" t="s">
        <v>239</v>
      </c>
      <c r="J3" s="664" t="s">
        <v>103</v>
      </c>
      <c r="K3" s="654" t="s">
        <v>104</v>
      </c>
      <c r="L3" s="635" t="s">
        <v>76</v>
      </c>
      <c r="M3" s="659" t="s">
        <v>103</v>
      </c>
      <c r="N3" s="654" t="s">
        <v>240</v>
      </c>
      <c r="O3" s="635" t="s">
        <v>236</v>
      </c>
      <c r="P3" s="664" t="s">
        <v>241</v>
      </c>
      <c r="Q3" s="635" t="s">
        <v>236</v>
      </c>
      <c r="R3" s="655" t="s">
        <v>242</v>
      </c>
      <c r="S3" s="632" t="s">
        <v>243</v>
      </c>
      <c r="T3" s="659" t="s">
        <v>109</v>
      </c>
      <c r="U3" s="659"/>
      <c r="V3" s="660" t="s">
        <v>110</v>
      </c>
      <c r="W3" s="661" t="s">
        <v>244</v>
      </c>
      <c r="X3" s="659" t="s">
        <v>245</v>
      </c>
      <c r="Y3" s="659"/>
      <c r="Z3" s="662" t="s">
        <v>246</v>
      </c>
      <c r="AA3" s="663"/>
      <c r="AB3" s="650" t="s">
        <v>247</v>
      </c>
      <c r="AC3" s="651"/>
      <c r="AD3" s="652" t="s">
        <v>248</v>
      </c>
      <c r="AE3" s="653"/>
      <c r="AF3" s="654" t="s">
        <v>240</v>
      </c>
      <c r="AG3" s="655" t="s">
        <v>242</v>
      </c>
      <c r="AH3" s="632" t="s">
        <v>243</v>
      </c>
    </row>
    <row r="4" spans="1:34" ht="30.6" customHeight="1">
      <c r="A4" s="665"/>
      <c r="B4" s="601"/>
      <c r="C4" s="666"/>
      <c r="D4" s="601"/>
      <c r="E4" s="601"/>
      <c r="F4" s="666"/>
      <c r="G4" s="659"/>
      <c r="H4" s="666"/>
      <c r="I4" s="661"/>
      <c r="J4" s="664"/>
      <c r="K4" s="654"/>
      <c r="L4" s="635"/>
      <c r="M4" s="659"/>
      <c r="N4" s="654"/>
      <c r="O4" s="635"/>
      <c r="P4" s="664"/>
      <c r="Q4" s="635"/>
      <c r="R4" s="655"/>
      <c r="S4" s="632"/>
      <c r="T4" s="79" t="s">
        <v>116</v>
      </c>
      <c r="U4" s="79" t="s">
        <v>117</v>
      </c>
      <c r="V4" s="659"/>
      <c r="W4" s="661"/>
      <c r="X4" s="65" t="s">
        <v>249</v>
      </c>
      <c r="Y4" s="65" t="s">
        <v>78</v>
      </c>
      <c r="Z4" s="79" t="s">
        <v>250</v>
      </c>
      <c r="AA4" s="79" t="s">
        <v>251</v>
      </c>
      <c r="AB4" s="651"/>
      <c r="AC4" s="651"/>
      <c r="AD4" s="79" t="s">
        <v>252</v>
      </c>
      <c r="AE4" s="80" t="s">
        <v>253</v>
      </c>
      <c r="AF4" s="654"/>
      <c r="AG4" s="655"/>
      <c r="AH4" s="632"/>
    </row>
    <row r="5" spans="1:34" ht="19.5" customHeight="1">
      <c r="A5" s="656" t="s">
        <v>254</v>
      </c>
      <c r="B5" s="81" t="s">
        <v>385</v>
      </c>
      <c r="C5" s="82"/>
      <c r="D5" s="83" t="s">
        <v>124</v>
      </c>
      <c r="E5" s="84"/>
      <c r="F5" s="85">
        <v>37.94</v>
      </c>
      <c r="G5" s="86">
        <v>2586</v>
      </c>
      <c r="H5" s="87">
        <f t="shared" ref="H5:H16" si="0">F5*G5</f>
        <v>98112.84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2" si="1">G5/W5*60</f>
        <v>2096.7567567567576</v>
      </c>
      <c r="O5" s="90">
        <f t="shared" ref="O5:O12" si="2">N5/M5</f>
        <v>104.83783783783788</v>
      </c>
      <c r="P5" s="92">
        <f t="shared" ref="P5:P12" si="3">M5-J5</f>
        <v>0</v>
      </c>
      <c r="Q5" s="93">
        <f t="shared" ref="Q5:Q12" si="4">O5-L5</f>
        <v>-5.1621621621621188</v>
      </c>
      <c r="R5" s="94">
        <f t="shared" ref="R5:R12" si="5">O5/L5</f>
        <v>0.95307125307125351</v>
      </c>
      <c r="S5" s="620">
        <f>R17</f>
        <v>0.87808279655134913</v>
      </c>
      <c r="T5" s="96">
        <v>0.29166666666666669</v>
      </c>
      <c r="U5" s="96">
        <v>0.34305555555555556</v>
      </c>
      <c r="V5" s="65">
        <v>5</v>
      </c>
      <c r="W5" s="88">
        <f>(U5-T5)*24*60</f>
        <v>73.999999999999972</v>
      </c>
      <c r="X5" s="65"/>
      <c r="Y5" s="65"/>
      <c r="Z5" s="97"/>
      <c r="AA5" s="97"/>
      <c r="AB5" s="601"/>
      <c r="AC5" s="601"/>
      <c r="AD5" s="98"/>
      <c r="AE5" s="98"/>
      <c r="AF5" s="92">
        <f t="shared" ref="AF5:AF70" si="6">N5-K5</f>
        <v>-103.24324324324243</v>
      </c>
      <c r="AG5" s="94">
        <f t="shared" ref="AG5:AG70" si="7">N5/K5</f>
        <v>0.9530712530712534</v>
      </c>
      <c r="AH5" s="620">
        <f>AG17</f>
        <v>0.87075798211718103</v>
      </c>
    </row>
    <row r="6" spans="1:34" ht="19.149999999999999" customHeight="1">
      <c r="A6" s="657"/>
      <c r="B6" s="81" t="s">
        <v>385</v>
      </c>
      <c r="C6" s="82"/>
      <c r="D6" s="83" t="s">
        <v>125</v>
      </c>
      <c r="E6" s="84"/>
      <c r="F6" s="85">
        <v>31.266131815044861</v>
      </c>
      <c r="G6" s="86">
        <v>1338</v>
      </c>
      <c r="H6" s="87">
        <f t="shared" si="0"/>
        <v>41834.084368530028</v>
      </c>
      <c r="I6" s="88"/>
      <c r="J6" s="89">
        <v>18</v>
      </c>
      <c r="K6" s="86">
        <v>2700</v>
      </c>
      <c r="L6" s="90">
        <v>150</v>
      </c>
      <c r="M6" s="91">
        <v>18</v>
      </c>
      <c r="N6" s="86">
        <f t="shared" si="1"/>
        <v>2432.7272727272752</v>
      </c>
      <c r="O6" s="90">
        <f t="shared" si="2"/>
        <v>135.1515151515153</v>
      </c>
      <c r="P6" s="92">
        <f t="shared" si="3"/>
        <v>0</v>
      </c>
      <c r="Q6" s="93">
        <f t="shared" si="4"/>
        <v>-14.848484848484702</v>
      </c>
      <c r="R6" s="94">
        <f t="shared" si="5"/>
        <v>0.90101010101010204</v>
      </c>
      <c r="S6" s="620"/>
      <c r="T6" s="96">
        <v>0.34791666666666665</v>
      </c>
      <c r="U6" s="96">
        <v>0.37083333333333329</v>
      </c>
      <c r="V6" s="65">
        <v>7</v>
      </c>
      <c r="W6" s="88">
        <f t="shared" ref="W6:W17" si="8">(U6-T6)*24*60</f>
        <v>32.999999999999964</v>
      </c>
      <c r="X6" s="99"/>
      <c r="Y6" s="99"/>
      <c r="Z6" s="100"/>
      <c r="AA6" s="100"/>
      <c r="AB6" s="601"/>
      <c r="AC6" s="601"/>
      <c r="AD6" s="101"/>
      <c r="AE6" s="101">
        <v>1</v>
      </c>
      <c r="AF6" s="92">
        <f t="shared" si="6"/>
        <v>-267.27272727272475</v>
      </c>
      <c r="AG6" s="94">
        <f t="shared" si="7"/>
        <v>0.90101010101010193</v>
      </c>
      <c r="AH6" s="620"/>
    </row>
    <row r="7" spans="1:34" ht="19.149999999999999" customHeight="1">
      <c r="A7" s="657"/>
      <c r="B7" s="81" t="s">
        <v>385</v>
      </c>
      <c r="C7" s="82"/>
      <c r="D7" s="83" t="s">
        <v>126</v>
      </c>
      <c r="E7" s="84"/>
      <c r="F7" s="85">
        <v>38.630952380952372</v>
      </c>
      <c r="G7" s="86">
        <v>2170</v>
      </c>
      <c r="H7" s="87">
        <f t="shared" si="0"/>
        <v>83829.166666666642</v>
      </c>
      <c r="I7" s="88"/>
      <c r="J7" s="89">
        <v>18</v>
      </c>
      <c r="K7" s="86">
        <v>2800</v>
      </c>
      <c r="L7" s="90">
        <v>155.55555555555554</v>
      </c>
      <c r="M7" s="91">
        <v>18</v>
      </c>
      <c r="N7" s="86">
        <f t="shared" si="1"/>
        <v>2456.6037735849072</v>
      </c>
      <c r="O7" s="90">
        <f t="shared" si="2"/>
        <v>136.47798742138374</v>
      </c>
      <c r="P7" s="92">
        <f t="shared" si="3"/>
        <v>0</v>
      </c>
      <c r="Q7" s="93">
        <f t="shared" si="4"/>
        <v>-19.077568134171798</v>
      </c>
      <c r="R7" s="94">
        <f t="shared" si="5"/>
        <v>0.87735849056603843</v>
      </c>
      <c r="S7" s="620"/>
      <c r="T7" s="96">
        <v>0.38611111111111107</v>
      </c>
      <c r="U7" s="96">
        <v>0.42291666666666661</v>
      </c>
      <c r="V7" s="65">
        <v>22</v>
      </c>
      <c r="W7" s="88">
        <f t="shared" si="8"/>
        <v>52.999999999999972</v>
      </c>
      <c r="X7" s="99">
        <v>0.3743055555555555</v>
      </c>
      <c r="Y7" s="99">
        <v>0.3833333333333333</v>
      </c>
      <c r="Z7" s="100"/>
      <c r="AA7" s="100"/>
      <c r="AB7" s="601"/>
      <c r="AC7" s="601"/>
      <c r="AD7" s="101"/>
      <c r="AE7" s="101"/>
      <c r="AF7" s="92">
        <f t="shared" si="6"/>
        <v>-343.39622641509277</v>
      </c>
      <c r="AG7" s="94">
        <f t="shared" si="7"/>
        <v>0.87735849056603832</v>
      </c>
      <c r="AH7" s="620"/>
    </row>
    <row r="8" spans="1:34" ht="19.149999999999999" customHeight="1">
      <c r="A8" s="657"/>
      <c r="B8" s="81" t="s">
        <v>385</v>
      </c>
      <c r="C8" s="82"/>
      <c r="D8" s="83" t="s">
        <v>127</v>
      </c>
      <c r="E8" s="84"/>
      <c r="F8" s="85">
        <v>38</v>
      </c>
      <c r="G8" s="86">
        <v>3593</v>
      </c>
      <c r="H8" s="87">
        <f t="shared" si="0"/>
        <v>136534</v>
      </c>
      <c r="I8" s="88"/>
      <c r="J8" s="89">
        <v>19</v>
      </c>
      <c r="K8" s="86">
        <v>2800</v>
      </c>
      <c r="L8" s="90">
        <v>147.36842105263159</v>
      </c>
      <c r="M8" s="91">
        <v>18</v>
      </c>
      <c r="N8" s="86">
        <f t="shared" si="1"/>
        <v>2422.2471910112358</v>
      </c>
      <c r="O8" s="90">
        <f t="shared" si="2"/>
        <v>134.5692883895131</v>
      </c>
      <c r="P8" s="92">
        <f t="shared" si="3"/>
        <v>-1</v>
      </c>
      <c r="Q8" s="93">
        <f t="shared" si="4"/>
        <v>-12.799132663118485</v>
      </c>
      <c r="R8" s="94">
        <f t="shared" si="5"/>
        <v>0.91314874264312462</v>
      </c>
      <c r="S8" s="620"/>
      <c r="T8" s="96">
        <v>0.42708333333333326</v>
      </c>
      <c r="U8" s="96">
        <v>0.48888888888888882</v>
      </c>
      <c r="V8" s="65">
        <v>6</v>
      </c>
      <c r="W8" s="88">
        <f t="shared" si="8"/>
        <v>89</v>
      </c>
      <c r="X8" s="99"/>
      <c r="Y8" s="99"/>
      <c r="Z8" s="100"/>
      <c r="AA8" s="100"/>
      <c r="AB8" s="601"/>
      <c r="AC8" s="601"/>
      <c r="AD8" s="101"/>
      <c r="AE8" s="101"/>
      <c r="AF8" s="92">
        <f t="shared" si="6"/>
        <v>-377.75280898876417</v>
      </c>
      <c r="AG8" s="94">
        <f t="shared" si="7"/>
        <v>0.86508828250401282</v>
      </c>
      <c r="AH8" s="620"/>
    </row>
    <row r="9" spans="1:34" ht="19.149999999999999" customHeight="1">
      <c r="A9" s="657"/>
      <c r="B9" s="81" t="s">
        <v>386</v>
      </c>
      <c r="C9" s="102"/>
      <c r="D9" s="83" t="s">
        <v>128</v>
      </c>
      <c r="E9" s="103"/>
      <c r="F9" s="85">
        <v>59.34</v>
      </c>
      <c r="G9" s="104">
        <v>581</v>
      </c>
      <c r="H9" s="87">
        <f t="shared" si="0"/>
        <v>34476.54</v>
      </c>
      <c r="I9" s="101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1161.999999999998</v>
      </c>
      <c r="O9" s="90">
        <f t="shared" si="2"/>
        <v>61.157894736841996</v>
      </c>
      <c r="P9" s="92">
        <f t="shared" si="3"/>
        <v>0</v>
      </c>
      <c r="Q9" s="93">
        <f t="shared" si="4"/>
        <v>-14.631578947368524</v>
      </c>
      <c r="R9" s="94">
        <f t="shared" si="5"/>
        <v>0.80694444444444302</v>
      </c>
      <c r="S9" s="620"/>
      <c r="T9" s="96">
        <v>0.53055555555555545</v>
      </c>
      <c r="U9" s="96">
        <v>0.55138888888888882</v>
      </c>
      <c r="V9" s="65">
        <v>7</v>
      </c>
      <c r="W9" s="88">
        <f t="shared" si="8"/>
        <v>30.000000000000053</v>
      </c>
      <c r="X9" s="99"/>
      <c r="Y9" s="99"/>
      <c r="Z9" s="100"/>
      <c r="AA9" s="100"/>
      <c r="AB9" s="601"/>
      <c r="AC9" s="601"/>
      <c r="AD9" s="101"/>
      <c r="AE9" s="101"/>
      <c r="AF9" s="92">
        <f t="shared" si="6"/>
        <v>-278.00000000000205</v>
      </c>
      <c r="AG9" s="94">
        <f t="shared" si="7"/>
        <v>0.80694444444444302</v>
      </c>
      <c r="AH9" s="620"/>
    </row>
    <row r="10" spans="1:34" ht="19.149999999999999" customHeight="1">
      <c r="A10" s="658"/>
      <c r="B10" s="81" t="s">
        <v>386</v>
      </c>
      <c r="C10" s="82"/>
      <c r="D10" s="83" t="s">
        <v>129</v>
      </c>
      <c r="E10" s="84"/>
      <c r="F10" s="85">
        <v>71.55</v>
      </c>
      <c r="G10" s="86">
        <v>686</v>
      </c>
      <c r="H10" s="87">
        <f t="shared" si="0"/>
        <v>49083.299999999996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1210.5882352941162</v>
      </c>
      <c r="O10" s="90">
        <f t="shared" si="2"/>
        <v>67.254901960784238</v>
      </c>
      <c r="P10" s="92">
        <f t="shared" si="3"/>
        <v>0</v>
      </c>
      <c r="Q10" s="93">
        <f t="shared" si="4"/>
        <v>-9.6895424836602047</v>
      </c>
      <c r="R10" s="94">
        <f t="shared" si="5"/>
        <v>0.87407092801019226</v>
      </c>
      <c r="S10" s="623"/>
      <c r="T10" s="96">
        <v>0.55694444444444446</v>
      </c>
      <c r="U10" s="96">
        <v>0.5805555555555556</v>
      </c>
      <c r="V10" s="65">
        <v>8</v>
      </c>
      <c r="W10" s="88">
        <f t="shared" si="8"/>
        <v>34.000000000000043</v>
      </c>
      <c r="X10" s="99"/>
      <c r="Y10" s="99"/>
      <c r="Z10" s="100"/>
      <c r="AA10" s="100"/>
      <c r="AB10" s="601"/>
      <c r="AC10" s="601"/>
      <c r="AD10" s="101"/>
      <c r="AE10" s="101"/>
      <c r="AF10" s="92">
        <f t="shared" si="6"/>
        <v>-174.4117647058838</v>
      </c>
      <c r="AG10" s="94">
        <f t="shared" si="7"/>
        <v>0.87407092801019215</v>
      </c>
      <c r="AH10" s="623"/>
    </row>
    <row r="11" spans="1:34" ht="19.149999999999999" customHeight="1">
      <c r="A11" s="658"/>
      <c r="B11" s="81" t="s">
        <v>386</v>
      </c>
      <c r="C11" s="82"/>
      <c r="D11" s="83" t="s">
        <v>130</v>
      </c>
      <c r="E11" s="84"/>
      <c r="F11" s="85">
        <v>77.34</v>
      </c>
      <c r="G11" s="86">
        <v>595</v>
      </c>
      <c r="H11" s="87">
        <f t="shared" si="0"/>
        <v>46017.3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1081.8181818181854</v>
      </c>
      <c r="O11" s="90">
        <f t="shared" si="2"/>
        <v>60.101010101010303</v>
      </c>
      <c r="P11" s="92">
        <f t="shared" si="3"/>
        <v>0</v>
      </c>
      <c r="Q11" s="93">
        <f t="shared" si="4"/>
        <v>-19.898989898989697</v>
      </c>
      <c r="R11" s="94">
        <f t="shared" si="5"/>
        <v>0.75126262626262874</v>
      </c>
      <c r="S11" s="623"/>
      <c r="T11" s="96">
        <v>0.58402777777777781</v>
      </c>
      <c r="U11" s="96">
        <v>0.6069444444444444</v>
      </c>
      <c r="V11" s="65">
        <v>5</v>
      </c>
      <c r="W11" s="88">
        <f t="shared" si="8"/>
        <v>32.999999999999886</v>
      </c>
      <c r="X11" s="99"/>
      <c r="Y11" s="99"/>
      <c r="Z11" s="100"/>
      <c r="AA11" s="100"/>
      <c r="AB11" s="601"/>
      <c r="AC11" s="601"/>
      <c r="AD11" s="101"/>
      <c r="AE11" s="101"/>
      <c r="AF11" s="92">
        <f t="shared" si="6"/>
        <v>-358.18181818181461</v>
      </c>
      <c r="AG11" s="94">
        <f t="shared" si="7"/>
        <v>0.75126262626262874</v>
      </c>
      <c r="AH11" s="623"/>
    </row>
    <row r="12" spans="1:34" ht="19.149999999999999" customHeight="1">
      <c r="A12" s="658"/>
      <c r="B12" s="81" t="s">
        <v>386</v>
      </c>
      <c r="C12" s="82"/>
      <c r="D12" s="83" t="s">
        <v>131</v>
      </c>
      <c r="E12" s="84"/>
      <c r="F12" s="85">
        <v>59.54</v>
      </c>
      <c r="G12" s="86">
        <v>1320</v>
      </c>
      <c r="H12" s="87">
        <f t="shared" si="0"/>
        <v>78592.800000000003</v>
      </c>
      <c r="I12" s="88"/>
      <c r="J12" s="89">
        <v>18</v>
      </c>
      <c r="K12" s="86">
        <v>1385</v>
      </c>
      <c r="L12" s="90">
        <v>76.944444444444443</v>
      </c>
      <c r="M12" s="91">
        <v>18</v>
      </c>
      <c r="N12" s="86">
        <f t="shared" si="1"/>
        <v>1199.9999999999984</v>
      </c>
      <c r="O12" s="90">
        <f t="shared" si="2"/>
        <v>66.666666666666572</v>
      </c>
      <c r="P12" s="92">
        <f t="shared" si="3"/>
        <v>0</v>
      </c>
      <c r="Q12" s="93">
        <f t="shared" si="4"/>
        <v>-10.277777777777871</v>
      </c>
      <c r="R12" s="94">
        <f t="shared" si="5"/>
        <v>0.86642599277978216</v>
      </c>
      <c r="S12" s="623"/>
      <c r="T12" s="96">
        <v>0.62291666666666667</v>
      </c>
      <c r="U12" s="96">
        <v>0.66875000000000007</v>
      </c>
      <c r="V12" s="65">
        <v>23</v>
      </c>
      <c r="W12" s="88">
        <f t="shared" si="8"/>
        <v>66.000000000000085</v>
      </c>
      <c r="X12" s="99">
        <v>0.61041666666666672</v>
      </c>
      <c r="Y12" s="99">
        <v>0.62013888888888891</v>
      </c>
      <c r="Z12" s="100"/>
      <c r="AA12" s="100"/>
      <c r="AB12" s="601"/>
      <c r="AC12" s="601"/>
      <c r="AD12" s="101"/>
      <c r="AE12" s="101"/>
      <c r="AF12" s="92"/>
      <c r="AG12" s="94"/>
      <c r="AH12" s="623"/>
    </row>
    <row r="13" spans="1:34" ht="19.149999999999999" customHeight="1">
      <c r="A13" s="658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4"/>
      <c r="S13" s="623"/>
      <c r="T13" s="111"/>
      <c r="U13" s="111"/>
      <c r="V13" s="109"/>
      <c r="W13" s="88"/>
      <c r="X13" s="112"/>
      <c r="Y13" s="112"/>
      <c r="Z13" s="100"/>
      <c r="AA13" s="100"/>
      <c r="AB13" s="601"/>
      <c r="AC13" s="601"/>
      <c r="AD13" s="101"/>
      <c r="AE13" s="101"/>
      <c r="AF13" s="113"/>
      <c r="AG13" s="114"/>
      <c r="AH13" s="623"/>
    </row>
    <row r="14" spans="1:34" ht="19.149999999999999" customHeight="1">
      <c r="A14" s="658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4"/>
      <c r="S14" s="623"/>
      <c r="T14" s="111"/>
      <c r="U14" s="111"/>
      <c r="V14" s="109"/>
      <c r="W14" s="88"/>
      <c r="X14" s="112"/>
      <c r="Y14" s="112"/>
      <c r="Z14" s="100"/>
      <c r="AA14" s="100"/>
      <c r="AB14" s="601"/>
      <c r="AC14" s="601"/>
      <c r="AD14" s="101"/>
      <c r="AE14" s="101"/>
      <c r="AF14" s="113"/>
      <c r="AG14" s="114"/>
      <c r="AH14" s="623"/>
    </row>
    <row r="15" spans="1:34" ht="19.149999999999999" customHeight="1">
      <c r="A15" s="658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4"/>
      <c r="S15" s="623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01"/>
      <c r="AC15" s="601"/>
      <c r="AD15" s="101"/>
      <c r="AE15" s="101"/>
      <c r="AF15" s="113"/>
      <c r="AG15" s="114"/>
      <c r="AH15" s="623"/>
    </row>
    <row r="16" spans="1:34" ht="19.149999999999999" customHeight="1">
      <c r="A16" s="658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4"/>
      <c r="S16" s="623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01"/>
      <c r="AC16" s="601"/>
      <c r="AD16" s="101"/>
      <c r="AE16" s="101"/>
      <c r="AF16" s="113"/>
      <c r="AG16" s="114"/>
      <c r="AH16" s="623"/>
    </row>
    <row r="17" spans="1:34" ht="19.149999999999999" customHeight="1">
      <c r="A17" s="658"/>
      <c r="B17" s="118">
        <v>0</v>
      </c>
      <c r="C17" s="118" t="s">
        <v>255</v>
      </c>
      <c r="D17" s="607" t="s">
        <v>256</v>
      </c>
      <c r="E17" s="607"/>
      <c r="F17" s="119"/>
      <c r="G17" s="120"/>
      <c r="H17" s="121"/>
      <c r="I17" s="122"/>
      <c r="J17" s="120">
        <v>18.5</v>
      </c>
      <c r="K17" s="120">
        <v>2018.75</v>
      </c>
      <c r="L17" s="123">
        <v>109.07529239766082</v>
      </c>
      <c r="M17" s="120">
        <f t="shared" ref="M17:O17" si="9">AVERAGE(M5:M16)</f>
        <v>18.375</v>
      </c>
      <c r="N17" s="120">
        <f t="shared" si="9"/>
        <v>1757.8426763990592</v>
      </c>
      <c r="O17" s="123">
        <f t="shared" si="9"/>
        <v>95.777137783194121</v>
      </c>
      <c r="P17" s="113">
        <f t="shared" ref="P17:P24" si="10">M17-J17</f>
        <v>-0.125</v>
      </c>
      <c r="Q17" s="124">
        <f t="shared" ref="Q17:Q24" si="11">O17-L17</f>
        <v>-13.298154614466696</v>
      </c>
      <c r="R17" s="125">
        <f>O17/L17</f>
        <v>0.87808279655134913</v>
      </c>
      <c r="S17" s="623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01"/>
      <c r="AC17" s="601"/>
      <c r="AD17" s="129">
        <f>SUM(AD5:AD16)</f>
        <v>0</v>
      </c>
      <c r="AE17" s="129">
        <f>SUM(AE5:AE16)</f>
        <v>1</v>
      </c>
      <c r="AF17" s="113">
        <f t="shared" si="6"/>
        <v>-260.9073236009408</v>
      </c>
      <c r="AG17" s="114">
        <f t="shared" si="7"/>
        <v>0.87075798211718103</v>
      </c>
      <c r="AH17" s="623"/>
    </row>
    <row r="18" spans="1:34" ht="19.149999999999999" customHeight="1">
      <c r="A18" s="604" t="s">
        <v>257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1278</v>
      </c>
      <c r="H18" s="135">
        <f t="shared" ref="H18:H29" si="12">F18*G18</f>
        <v>47107.08</v>
      </c>
      <c r="I18" s="101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2072.4324324324334</v>
      </c>
      <c r="O18" s="137">
        <f t="shared" ref="O18:O24" si="14">N18/M18</f>
        <v>109.07539118065439</v>
      </c>
      <c r="P18" s="100">
        <f t="shared" si="10"/>
        <v>1</v>
      </c>
      <c r="Q18" s="139">
        <f t="shared" si="11"/>
        <v>-15.924608819345607</v>
      </c>
      <c r="R18" s="140">
        <f t="shared" ref="R18:R24" si="15">O18/L18</f>
        <v>0.8726031294452351</v>
      </c>
      <c r="S18" s="605">
        <f>R30</f>
        <v>0.84218592521550284</v>
      </c>
      <c r="T18" s="142">
        <v>0.16666666666666666</v>
      </c>
      <c r="U18" s="142">
        <v>0.19236111111111109</v>
      </c>
      <c r="V18" s="101">
        <v>5</v>
      </c>
      <c r="W18" s="143">
        <f>(U18-T18)*24*60</f>
        <v>36.999999999999986</v>
      </c>
      <c r="X18" s="137"/>
      <c r="Y18" s="137"/>
      <c r="Z18" s="100"/>
      <c r="AA18" s="100"/>
      <c r="AB18" s="601"/>
      <c r="AC18" s="601"/>
      <c r="AD18" s="101"/>
      <c r="AE18" s="101"/>
      <c r="AF18" s="144">
        <f t="shared" si="6"/>
        <v>-177.56756756756658</v>
      </c>
      <c r="AG18" s="145">
        <f t="shared" si="7"/>
        <v>0.92108108108108155</v>
      </c>
      <c r="AH18" s="646">
        <f>AG30</f>
        <v>0.87110038324007177</v>
      </c>
    </row>
    <row r="19" spans="1:34" ht="19.149999999999999" customHeight="1">
      <c r="A19" s="604"/>
      <c r="B19" s="146" t="s">
        <v>387</v>
      </c>
      <c r="C19" s="147"/>
      <c r="D19" s="132" t="s">
        <v>134</v>
      </c>
      <c r="E19" s="133"/>
      <c r="F19" s="85">
        <v>56.43</v>
      </c>
      <c r="G19" s="104">
        <v>1042.3</v>
      </c>
      <c r="H19" s="135">
        <f t="shared" si="12"/>
        <v>58816.988999999994</v>
      </c>
      <c r="I19" s="101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1330.5957446808511</v>
      </c>
      <c r="O19" s="150">
        <f t="shared" si="14"/>
        <v>73.921985815602838</v>
      </c>
      <c r="P19" s="100">
        <f t="shared" si="10"/>
        <v>1</v>
      </c>
      <c r="Q19" s="139">
        <f t="shared" si="11"/>
        <v>-14.31330830204422</v>
      </c>
      <c r="R19" s="140">
        <f t="shared" si="15"/>
        <v>0.83778250591016545</v>
      </c>
      <c r="S19" s="605"/>
      <c r="T19" s="142">
        <v>0.19722222222222222</v>
      </c>
      <c r="U19" s="142">
        <v>0.2298611111111111</v>
      </c>
      <c r="V19" s="101">
        <v>7</v>
      </c>
      <c r="W19" s="143">
        <f>(U19-T19)*24*60</f>
        <v>46.999999999999993</v>
      </c>
      <c r="X19" s="151"/>
      <c r="Y19" s="151"/>
      <c r="Z19" s="100"/>
      <c r="AA19" s="100"/>
      <c r="AB19" s="601"/>
      <c r="AC19" s="601"/>
      <c r="AD19" s="101"/>
      <c r="AE19" s="101"/>
      <c r="AF19" s="92">
        <f t="shared" si="6"/>
        <v>-169.40425531914889</v>
      </c>
      <c r="AG19" s="94">
        <f t="shared" si="7"/>
        <v>0.88706382978723408</v>
      </c>
      <c r="AH19" s="647"/>
    </row>
    <row r="20" spans="1:34" ht="19.149999999999999" customHeight="1">
      <c r="A20" s="604"/>
      <c r="B20" s="146" t="s">
        <v>387</v>
      </c>
      <c r="C20" s="102"/>
      <c r="D20" s="83" t="s">
        <v>135</v>
      </c>
      <c r="E20" s="133"/>
      <c r="F20" s="85">
        <v>49.9</v>
      </c>
      <c r="G20" s="104">
        <v>1060</v>
      </c>
      <c r="H20" s="135">
        <f t="shared" si="12"/>
        <v>52894</v>
      </c>
      <c r="I20" s="101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1324.9999999999993</v>
      </c>
      <c r="O20" s="150">
        <f t="shared" si="14"/>
        <v>77.941176470588189</v>
      </c>
      <c r="P20" s="100">
        <f t="shared" si="10"/>
        <v>0</v>
      </c>
      <c r="Q20" s="139">
        <f t="shared" si="11"/>
        <v>-10.294117647058869</v>
      </c>
      <c r="R20" s="140">
        <f t="shared" si="15"/>
        <v>0.88333333333333286</v>
      </c>
      <c r="S20" s="605"/>
      <c r="T20" s="142">
        <v>0.24583333333333332</v>
      </c>
      <c r="U20" s="142">
        <v>0.27916666666666667</v>
      </c>
      <c r="V20" s="101">
        <v>23</v>
      </c>
      <c r="W20" s="143">
        <f t="shared" ref="W20:W29" si="16">(U20-T20)*24*60</f>
        <v>48.000000000000028</v>
      </c>
      <c r="X20" s="151">
        <v>0.23333333333333331</v>
      </c>
      <c r="Y20" s="151">
        <v>0.24305555555555555</v>
      </c>
      <c r="Z20" s="100"/>
      <c r="AA20" s="100"/>
      <c r="AB20" s="601"/>
      <c r="AC20" s="601"/>
      <c r="AD20" s="101"/>
      <c r="AE20" s="101"/>
      <c r="AF20" s="92">
        <f t="shared" si="6"/>
        <v>-175.00000000000068</v>
      </c>
      <c r="AG20" s="94">
        <f t="shared" si="7"/>
        <v>0.88333333333333286</v>
      </c>
      <c r="AH20" s="647"/>
    </row>
    <row r="21" spans="1:34" ht="19.149999999999999" customHeight="1">
      <c r="A21" s="604"/>
      <c r="B21" s="146" t="s">
        <v>387</v>
      </c>
      <c r="C21" s="152"/>
      <c r="D21" s="153" t="s">
        <v>136</v>
      </c>
      <c r="E21" s="84"/>
      <c r="F21" s="85">
        <v>56.43</v>
      </c>
      <c r="G21" s="86">
        <v>894</v>
      </c>
      <c r="H21" s="135">
        <f t="shared" si="12"/>
        <v>50448.42</v>
      </c>
      <c r="I21" s="65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1340.9999999999995</v>
      </c>
      <c r="O21" s="150">
        <f t="shared" si="14"/>
        <v>74.499999999999972</v>
      </c>
      <c r="P21" s="100">
        <f t="shared" si="10"/>
        <v>0</v>
      </c>
      <c r="Q21" s="139">
        <f t="shared" si="11"/>
        <v>-16.388888888888914</v>
      </c>
      <c r="R21" s="140">
        <f t="shared" si="15"/>
        <v>0.81968215158924174</v>
      </c>
      <c r="S21" s="605"/>
      <c r="T21" s="142">
        <v>0.28333333333333333</v>
      </c>
      <c r="U21" s="142">
        <v>0.31111111111111112</v>
      </c>
      <c r="V21" s="101">
        <v>6</v>
      </c>
      <c r="W21" s="143">
        <f t="shared" si="16"/>
        <v>40.000000000000014</v>
      </c>
      <c r="X21" s="151"/>
      <c r="Y21" s="151"/>
      <c r="Z21" s="100"/>
      <c r="AA21" s="100"/>
      <c r="AB21" s="601"/>
      <c r="AC21" s="601"/>
      <c r="AD21" s="101"/>
      <c r="AE21" s="101"/>
      <c r="AF21" s="92">
        <f t="shared" si="6"/>
        <v>-295.00000000000045</v>
      </c>
      <c r="AG21" s="94">
        <f t="shared" si="7"/>
        <v>0.81968215158924174</v>
      </c>
      <c r="AH21" s="648"/>
    </row>
    <row r="22" spans="1:34" ht="19.149999999999999" customHeight="1">
      <c r="A22" s="604"/>
      <c r="B22" s="146" t="s">
        <v>388</v>
      </c>
      <c r="C22" s="152"/>
      <c r="D22" s="83" t="s">
        <v>137</v>
      </c>
      <c r="E22" s="84"/>
      <c r="F22" s="85">
        <v>43.14</v>
      </c>
      <c r="G22" s="86">
        <v>1637</v>
      </c>
      <c r="H22" s="135">
        <f t="shared" si="12"/>
        <v>70620.180000000008</v>
      </c>
      <c r="I22" s="65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1275.5844155844161</v>
      </c>
      <c r="O22" s="150">
        <f t="shared" si="14"/>
        <v>75.0343773873186</v>
      </c>
      <c r="P22" s="100">
        <f t="shared" si="10"/>
        <v>0</v>
      </c>
      <c r="Q22" s="139">
        <f t="shared" si="11"/>
        <v>-9.6715049656225744</v>
      </c>
      <c r="R22" s="140">
        <f t="shared" si="15"/>
        <v>0.88582251082251129</v>
      </c>
      <c r="S22" s="605"/>
      <c r="T22" s="142">
        <v>0.31666666666666665</v>
      </c>
      <c r="U22" s="142">
        <v>0.37013888888888885</v>
      </c>
      <c r="V22" s="101">
        <v>8</v>
      </c>
      <c r="W22" s="143">
        <f t="shared" si="16"/>
        <v>76.999999999999972</v>
      </c>
      <c r="X22" s="151"/>
      <c r="Y22" s="151"/>
      <c r="Z22" s="100"/>
      <c r="AA22" s="100"/>
      <c r="AB22" s="601"/>
      <c r="AC22" s="601"/>
      <c r="AD22" s="101"/>
      <c r="AE22" s="101"/>
      <c r="AF22" s="92">
        <f t="shared" si="6"/>
        <v>-164.41558441558391</v>
      </c>
      <c r="AG22" s="94">
        <f t="shared" si="7"/>
        <v>0.88582251082251118</v>
      </c>
      <c r="AH22" s="648"/>
    </row>
    <row r="23" spans="1:34" ht="19.149999999999999" customHeight="1">
      <c r="A23" s="604"/>
      <c r="B23" s="146" t="s">
        <v>387</v>
      </c>
      <c r="C23" s="152"/>
      <c r="D23" s="83" t="s">
        <v>138</v>
      </c>
      <c r="E23" s="84"/>
      <c r="F23" s="85">
        <v>38.39</v>
      </c>
      <c r="G23" s="86">
        <v>2708</v>
      </c>
      <c r="H23" s="135">
        <f t="shared" si="12"/>
        <v>103960.12</v>
      </c>
      <c r="I23" s="65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1299.8399999999997</v>
      </c>
      <c r="O23" s="150">
        <f t="shared" si="14"/>
        <v>72.21333333333331</v>
      </c>
      <c r="P23" s="100">
        <f t="shared" si="10"/>
        <v>1</v>
      </c>
      <c r="Q23" s="139">
        <f t="shared" si="11"/>
        <v>-24.021960784313748</v>
      </c>
      <c r="R23" s="140">
        <f t="shared" si="15"/>
        <v>0.75038304808475931</v>
      </c>
      <c r="S23" s="605"/>
      <c r="T23" s="142">
        <v>0.38541666666666663</v>
      </c>
      <c r="U23" s="142">
        <v>0.47222222222222221</v>
      </c>
      <c r="V23" s="101">
        <v>22</v>
      </c>
      <c r="W23" s="143">
        <f t="shared" si="16"/>
        <v>125.00000000000003</v>
      </c>
      <c r="X23" s="151">
        <v>0.37361111111111112</v>
      </c>
      <c r="Y23" s="151">
        <v>0.38263888888888892</v>
      </c>
      <c r="Z23" s="100"/>
      <c r="AA23" s="100"/>
      <c r="AB23" s="601"/>
      <c r="AC23" s="601"/>
      <c r="AD23" s="101"/>
      <c r="AE23" s="101"/>
      <c r="AF23" s="92"/>
      <c r="AG23" s="94"/>
      <c r="AH23" s="648"/>
    </row>
    <row r="24" spans="1:34" ht="19.149999999999999" customHeight="1">
      <c r="A24" s="604"/>
      <c r="B24" s="146" t="s">
        <v>387</v>
      </c>
      <c r="C24" s="131"/>
      <c r="D24" s="132" t="s">
        <v>134</v>
      </c>
      <c r="E24" s="133"/>
      <c r="F24" s="85">
        <v>56.43</v>
      </c>
      <c r="G24" s="104">
        <v>446.7</v>
      </c>
      <c r="H24" s="135">
        <f t="shared" si="12"/>
        <v>25207.280999999999</v>
      </c>
      <c r="I24" s="143"/>
      <c r="J24" s="148">
        <v>17</v>
      </c>
      <c r="K24" s="86">
        <v>1500</v>
      </c>
      <c r="L24" s="90">
        <v>88.235294117647058</v>
      </c>
      <c r="M24" s="138">
        <v>18</v>
      </c>
      <c r="N24" s="149">
        <f t="shared" si="13"/>
        <v>1340.1000000000047</v>
      </c>
      <c r="O24" s="150">
        <f t="shared" si="14"/>
        <v>74.450000000000259</v>
      </c>
      <c r="P24" s="100">
        <f t="shared" si="10"/>
        <v>1</v>
      </c>
      <c r="Q24" s="139">
        <f t="shared" si="11"/>
        <v>-13.785294117646799</v>
      </c>
      <c r="R24" s="140">
        <f t="shared" si="15"/>
        <v>0.84376666666666955</v>
      </c>
      <c r="S24" s="605"/>
      <c r="T24" s="142">
        <v>0.51388888888888884</v>
      </c>
      <c r="U24" s="142">
        <v>0.52777777777777768</v>
      </c>
      <c r="V24" s="101">
        <v>7</v>
      </c>
      <c r="W24" s="143">
        <f t="shared" si="16"/>
        <v>19.999999999999929</v>
      </c>
      <c r="X24" s="101"/>
      <c r="Y24" s="101"/>
      <c r="Z24" s="100"/>
      <c r="AA24" s="100"/>
      <c r="AB24" s="601"/>
      <c r="AC24" s="601"/>
      <c r="AD24" s="101"/>
      <c r="AE24" s="101"/>
      <c r="AF24" s="92">
        <f t="shared" si="6"/>
        <v>-159.89999999999532</v>
      </c>
      <c r="AG24" s="94"/>
      <c r="AH24" s="648"/>
    </row>
    <row r="25" spans="1:34" ht="19.149999999999999" customHeight="1">
      <c r="A25" s="604"/>
      <c r="B25" s="146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0"/>
      <c r="S25" s="605"/>
      <c r="T25" s="142"/>
      <c r="U25" s="142"/>
      <c r="V25" s="101"/>
      <c r="W25" s="143">
        <f t="shared" si="16"/>
        <v>0</v>
      </c>
      <c r="X25" s="101"/>
      <c r="Y25" s="101"/>
      <c r="Z25" s="100"/>
      <c r="AA25" s="100"/>
      <c r="AB25" s="601"/>
      <c r="AC25" s="601"/>
      <c r="AD25" s="101"/>
      <c r="AE25" s="101"/>
      <c r="AF25" s="92">
        <f t="shared" si="6"/>
        <v>0</v>
      </c>
      <c r="AG25" s="94"/>
      <c r="AH25" s="648"/>
    </row>
    <row r="26" spans="1:34" ht="19.149999999999999" customHeight="1">
      <c r="A26" s="604"/>
      <c r="B26" s="146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0"/>
      <c r="S26" s="605"/>
      <c r="T26" s="142"/>
      <c r="U26" s="142"/>
      <c r="V26" s="101"/>
      <c r="W26" s="143">
        <f t="shared" si="16"/>
        <v>0</v>
      </c>
      <c r="X26" s="101"/>
      <c r="Y26" s="101"/>
      <c r="Z26" s="100"/>
      <c r="AA26" s="100"/>
      <c r="AB26" s="601"/>
      <c r="AC26" s="601"/>
      <c r="AD26" s="101"/>
      <c r="AE26" s="101"/>
      <c r="AF26" s="92">
        <f t="shared" si="6"/>
        <v>0</v>
      </c>
      <c r="AG26" s="94"/>
      <c r="AH26" s="648"/>
    </row>
    <row r="27" spans="1:34" ht="19.149999999999999" customHeight="1">
      <c r="A27" s="604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0"/>
      <c r="S27" s="605"/>
      <c r="T27" s="142"/>
      <c r="U27" s="142"/>
      <c r="V27" s="101"/>
      <c r="W27" s="143">
        <f t="shared" si="16"/>
        <v>0</v>
      </c>
      <c r="X27" s="101"/>
      <c r="Y27" s="101"/>
      <c r="Z27" s="100"/>
      <c r="AA27" s="100"/>
      <c r="AB27" s="601"/>
      <c r="AC27" s="601"/>
      <c r="AD27" s="101"/>
      <c r="AE27" s="101"/>
      <c r="AF27" s="92">
        <f t="shared" si="6"/>
        <v>0</v>
      </c>
      <c r="AG27" s="94"/>
      <c r="AH27" s="648"/>
    </row>
    <row r="28" spans="1:34" ht="19.149999999999999" customHeight="1">
      <c r="A28" s="604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0"/>
      <c r="S28" s="605"/>
      <c r="T28" s="142"/>
      <c r="U28" s="142"/>
      <c r="V28" s="101"/>
      <c r="W28" s="143">
        <f t="shared" si="16"/>
        <v>0</v>
      </c>
      <c r="X28" s="101"/>
      <c r="Y28" s="101"/>
      <c r="Z28" s="100"/>
      <c r="AA28" s="100"/>
      <c r="AB28" s="601"/>
      <c r="AC28" s="601"/>
      <c r="AD28" s="101"/>
      <c r="AE28" s="101"/>
      <c r="AF28" s="92">
        <f t="shared" si="6"/>
        <v>0</v>
      </c>
      <c r="AG28" s="94"/>
      <c r="AH28" s="648"/>
    </row>
    <row r="29" spans="1:34" ht="19.149999999999999" customHeight="1">
      <c r="A29" s="604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0"/>
      <c r="S29" s="605"/>
      <c r="T29" s="142"/>
      <c r="U29" s="142"/>
      <c r="V29" s="101"/>
      <c r="W29" s="143">
        <f t="shared" si="16"/>
        <v>0</v>
      </c>
      <c r="X29" s="101"/>
      <c r="Y29" s="101"/>
      <c r="Z29" s="100"/>
      <c r="AA29" s="100"/>
      <c r="AB29" s="601"/>
      <c r="AC29" s="601"/>
      <c r="AD29" s="101"/>
      <c r="AE29" s="101"/>
      <c r="AF29" s="92">
        <f t="shared" si="6"/>
        <v>0</v>
      </c>
      <c r="AG29" s="94"/>
      <c r="AH29" s="648"/>
    </row>
    <row r="30" spans="1:34" ht="19.149999999999999" customHeight="1">
      <c r="A30" s="604"/>
      <c r="B30" s="155">
        <v>0</v>
      </c>
      <c r="C30" s="156" t="s">
        <v>258</v>
      </c>
      <c r="D30" s="645" t="s">
        <v>256</v>
      </c>
      <c r="E30" s="645"/>
      <c r="F30" s="157"/>
      <c r="G30" s="158"/>
      <c r="H30" s="159"/>
      <c r="I30" s="160"/>
      <c r="J30" s="158">
        <v>17.285714285714285</v>
      </c>
      <c r="K30" s="158">
        <v>1637.4285714285713</v>
      </c>
      <c r="L30" s="161">
        <v>94.505135387488323</v>
      </c>
      <c r="M30" s="158">
        <f t="shared" ref="M30:O30" si="17">AVERAGE(M18:M29)</f>
        <v>17.857142857142858</v>
      </c>
      <c r="N30" s="158">
        <f t="shared" si="17"/>
        <v>1426.3646560996717</v>
      </c>
      <c r="O30" s="161">
        <f t="shared" si="17"/>
        <v>79.590894883928215</v>
      </c>
      <c r="P30" s="100">
        <f t="shared" ref="P30:P36" si="18">M30-J30</f>
        <v>0.57142857142857295</v>
      </c>
      <c r="Q30" s="139">
        <f t="shared" ref="Q30:Q36" si="19">O30-L30</f>
        <v>-14.914240503560109</v>
      </c>
      <c r="R30" s="162">
        <f t="shared" ref="R30:R36" si="20">O30/L30</f>
        <v>0.84218592521550284</v>
      </c>
      <c r="S30" s="605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01"/>
      <c r="AC30" s="601"/>
      <c r="AD30" s="164">
        <f>SUM(AD18:AD29)</f>
        <v>0</v>
      </c>
      <c r="AE30" s="164">
        <f>SUM(AE18:AE29)</f>
        <v>0</v>
      </c>
      <c r="AF30" s="165">
        <f t="shared" si="6"/>
        <v>-211.06391532889961</v>
      </c>
      <c r="AG30" s="166">
        <f t="shared" ref="AG30" si="21">N30/K30</f>
        <v>0.87110038324007177</v>
      </c>
      <c r="AH30" s="649"/>
    </row>
    <row r="31" spans="1:34" ht="19.149999999999999" customHeight="1">
      <c r="A31" s="642" t="s">
        <v>259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1752</v>
      </c>
      <c r="H31" s="171">
        <f t="shared" ref="H31:H40" si="22">F31*G31</f>
        <v>59970.959999999992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2061.1764705882342</v>
      </c>
      <c r="O31" s="174">
        <f t="shared" ref="O31:O36" si="24">N31/M31</f>
        <v>158.55203619909494</v>
      </c>
      <c r="P31" s="175">
        <f t="shared" si="18"/>
        <v>0</v>
      </c>
      <c r="Q31" s="176">
        <f t="shared" si="19"/>
        <v>-14.524886877828123</v>
      </c>
      <c r="R31" s="177">
        <f t="shared" si="20"/>
        <v>0.91607843137254863</v>
      </c>
      <c r="S31" s="644">
        <f>R43</f>
        <v>0.91532655721138989</v>
      </c>
      <c r="T31" s="178">
        <v>0.16666666666666666</v>
      </c>
      <c r="U31" s="178">
        <v>0.20208333333333334</v>
      </c>
      <c r="V31" s="98">
        <v>5</v>
      </c>
      <c r="W31" s="179">
        <f t="shared" ref="W31:W42" si="25">(U31-T31)*24*60</f>
        <v>51.000000000000021</v>
      </c>
      <c r="X31" s="98"/>
      <c r="Y31" s="98"/>
      <c r="Z31" s="97"/>
      <c r="AA31" s="97"/>
      <c r="AB31" s="601"/>
      <c r="AC31" s="601"/>
      <c r="AD31" s="98"/>
      <c r="AE31" s="98"/>
      <c r="AF31" s="175">
        <f t="shared" si="6"/>
        <v>-188.82352941176578</v>
      </c>
      <c r="AG31" s="180">
        <f t="shared" si="7"/>
        <v>0.91607843137254852</v>
      </c>
      <c r="AH31" s="622">
        <f>AG43</f>
        <v>0.90328604589926542</v>
      </c>
    </row>
    <row r="32" spans="1:34" ht="19.149999999999999" customHeight="1">
      <c r="A32" s="643"/>
      <c r="B32" s="182" t="s">
        <v>389</v>
      </c>
      <c r="C32" s="183"/>
      <c r="D32" s="153" t="s">
        <v>141</v>
      </c>
      <c r="E32" s="84"/>
      <c r="F32" s="85">
        <v>35.33</v>
      </c>
      <c r="G32" s="86">
        <v>1963</v>
      </c>
      <c r="H32" s="135">
        <f t="shared" si="22"/>
        <v>69352.789999999994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2066.3157894736842</v>
      </c>
      <c r="O32" s="90">
        <f t="shared" si="24"/>
        <v>172.19298245614036</v>
      </c>
      <c r="P32" s="92">
        <f t="shared" si="18"/>
        <v>0</v>
      </c>
      <c r="Q32" s="93">
        <f t="shared" si="19"/>
        <v>-15.307017543859644</v>
      </c>
      <c r="R32" s="94">
        <f t="shared" si="20"/>
        <v>0.91836257309941527</v>
      </c>
      <c r="S32" s="605"/>
      <c r="T32" s="142">
        <v>0.20625000000000002</v>
      </c>
      <c r="U32" s="142">
        <v>0.24583333333333335</v>
      </c>
      <c r="V32" s="101">
        <v>6</v>
      </c>
      <c r="W32" s="143">
        <f t="shared" si="25"/>
        <v>57</v>
      </c>
      <c r="X32" s="184"/>
      <c r="Y32" s="184"/>
      <c r="Z32" s="185"/>
      <c r="AA32" s="185"/>
      <c r="AB32" s="601"/>
      <c r="AC32" s="601"/>
      <c r="AD32" s="101"/>
      <c r="AE32" s="101"/>
      <c r="AF32" s="92">
        <f t="shared" si="6"/>
        <v>-183.68421052631584</v>
      </c>
      <c r="AG32" s="94">
        <f t="shared" si="7"/>
        <v>0.91836257309941516</v>
      </c>
      <c r="AH32" s="620"/>
    </row>
    <row r="33" spans="1:34" ht="19.149999999999999" customHeight="1">
      <c r="A33" s="643"/>
      <c r="B33" s="182" t="s">
        <v>389</v>
      </c>
      <c r="C33" s="101"/>
      <c r="D33" s="132" t="s">
        <v>142</v>
      </c>
      <c r="E33" s="133"/>
      <c r="F33" s="85">
        <v>36.409999999999997</v>
      </c>
      <c r="G33" s="104">
        <v>2168.9499999999998</v>
      </c>
      <c r="H33" s="135">
        <f t="shared" si="22"/>
        <v>78971.469499999992</v>
      </c>
      <c r="I33" s="101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2133.3934426229498</v>
      </c>
      <c r="O33" s="90">
        <f t="shared" si="24"/>
        <v>213.33934426229499</v>
      </c>
      <c r="P33" s="92">
        <f t="shared" si="18"/>
        <v>0</v>
      </c>
      <c r="Q33" s="93">
        <f t="shared" si="19"/>
        <v>-11.660655737705014</v>
      </c>
      <c r="R33" s="94">
        <f t="shared" si="20"/>
        <v>0.94817486338797774</v>
      </c>
      <c r="S33" s="605"/>
      <c r="T33" s="142">
        <v>0.25069444444444444</v>
      </c>
      <c r="U33" s="142">
        <v>0.29305555555555557</v>
      </c>
      <c r="V33" s="101">
        <v>7</v>
      </c>
      <c r="W33" s="143">
        <f t="shared" si="25"/>
        <v>61.000000000000021</v>
      </c>
      <c r="X33" s="184"/>
      <c r="Y33" s="184"/>
      <c r="Z33" s="185"/>
      <c r="AA33" s="185"/>
      <c r="AB33" s="601"/>
      <c r="AC33" s="601"/>
      <c r="AD33" s="101"/>
      <c r="AE33" s="101"/>
      <c r="AF33" s="92">
        <f t="shared" si="6"/>
        <v>-116.60655737705019</v>
      </c>
      <c r="AG33" s="186">
        <f t="shared" si="7"/>
        <v>0.94817486338797774</v>
      </c>
      <c r="AH33" s="620"/>
    </row>
    <row r="34" spans="1:34" ht="19.149999999999999" customHeight="1">
      <c r="A34" s="643"/>
      <c r="B34" s="182" t="s">
        <v>390</v>
      </c>
      <c r="C34" s="187"/>
      <c r="D34" s="132" t="s">
        <v>143</v>
      </c>
      <c r="E34" s="133"/>
      <c r="F34" s="85">
        <v>49.91</v>
      </c>
      <c r="G34" s="104">
        <v>685</v>
      </c>
      <c r="H34" s="135">
        <f t="shared" si="22"/>
        <v>34188.35</v>
      </c>
      <c r="I34" s="101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1325.8064516129043</v>
      </c>
      <c r="O34" s="90">
        <f t="shared" si="24"/>
        <v>73.655913978494681</v>
      </c>
      <c r="P34" s="92">
        <f t="shared" si="18"/>
        <v>0</v>
      </c>
      <c r="Q34" s="93">
        <f t="shared" si="19"/>
        <v>-9.6774193548386478</v>
      </c>
      <c r="R34" s="94">
        <f t="shared" si="20"/>
        <v>0.88387096774193619</v>
      </c>
      <c r="S34" s="605"/>
      <c r="T34" s="142">
        <v>0.30833333333333335</v>
      </c>
      <c r="U34" s="142">
        <v>0.3298611111111111</v>
      </c>
      <c r="V34" s="101">
        <v>22</v>
      </c>
      <c r="W34" s="143">
        <f t="shared" si="25"/>
        <v>30.999999999999972</v>
      </c>
      <c r="X34" s="184">
        <v>0.29652777777777778</v>
      </c>
      <c r="Y34" s="184">
        <v>0.30555555555555552</v>
      </c>
      <c r="Z34" s="185"/>
      <c r="AA34" s="185"/>
      <c r="AB34" s="601"/>
      <c r="AC34" s="601"/>
      <c r="AD34" s="101">
        <v>1</v>
      </c>
      <c r="AE34" s="101"/>
      <c r="AF34" s="92">
        <f t="shared" si="6"/>
        <v>-174.19354838709569</v>
      </c>
      <c r="AG34" s="186">
        <f t="shared" si="7"/>
        <v>0.88387096774193619</v>
      </c>
      <c r="AH34" s="620"/>
    </row>
    <row r="35" spans="1:34" ht="19.149999999999999" customHeight="1">
      <c r="A35" s="643"/>
      <c r="B35" s="182" t="s">
        <v>390</v>
      </c>
      <c r="C35" s="82"/>
      <c r="D35" s="83" t="s">
        <v>144</v>
      </c>
      <c r="E35" s="84"/>
      <c r="F35" s="85">
        <v>53.27</v>
      </c>
      <c r="G35" s="188">
        <v>1255</v>
      </c>
      <c r="H35" s="135">
        <f t="shared" si="22"/>
        <v>66853.850000000006</v>
      </c>
      <c r="I35" s="65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1298.2758620689647</v>
      </c>
      <c r="O35" s="90">
        <f t="shared" si="24"/>
        <v>72.126436781609144</v>
      </c>
      <c r="P35" s="92">
        <f t="shared" si="18"/>
        <v>0</v>
      </c>
      <c r="Q35" s="93">
        <f t="shared" si="19"/>
        <v>-11.206896551724185</v>
      </c>
      <c r="R35" s="94">
        <f t="shared" si="20"/>
        <v>0.86551724137930974</v>
      </c>
      <c r="S35" s="605"/>
      <c r="T35" s="142">
        <v>0.33541666666666664</v>
      </c>
      <c r="U35" s="142">
        <v>0.37569444444444444</v>
      </c>
      <c r="V35" s="101">
        <v>8</v>
      </c>
      <c r="W35" s="143">
        <f t="shared" si="25"/>
        <v>58.000000000000036</v>
      </c>
      <c r="X35" s="184"/>
      <c r="Y35" s="184"/>
      <c r="Z35" s="185"/>
      <c r="AA35" s="185"/>
      <c r="AB35" s="601"/>
      <c r="AC35" s="601"/>
      <c r="AD35" s="101"/>
      <c r="AE35" s="101"/>
      <c r="AF35" s="92">
        <f t="shared" si="6"/>
        <v>-201.72413793103533</v>
      </c>
      <c r="AG35" s="186">
        <f t="shared" si="7"/>
        <v>0.86551724137930974</v>
      </c>
      <c r="AH35" s="623"/>
    </row>
    <row r="36" spans="1:34" ht="19.149999999999999" customHeight="1">
      <c r="A36" s="643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2554</v>
      </c>
      <c r="H36" s="135">
        <f t="shared" si="22"/>
        <v>74354.984709480108</v>
      </c>
      <c r="I36" s="101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1277.0000000000002</v>
      </c>
      <c r="O36" s="90">
        <f t="shared" si="24"/>
        <v>70.944444444444457</v>
      </c>
      <c r="P36" s="92">
        <f t="shared" si="18"/>
        <v>-1</v>
      </c>
      <c r="Q36" s="93">
        <f t="shared" si="19"/>
        <v>-8.002923976608173</v>
      </c>
      <c r="R36" s="94">
        <f t="shared" si="20"/>
        <v>0.89862962962962978</v>
      </c>
      <c r="S36" s="605"/>
      <c r="T36" s="142">
        <v>0.39166666666666666</v>
      </c>
      <c r="U36" s="142">
        <v>0.47499999999999998</v>
      </c>
      <c r="V36" s="101">
        <v>23</v>
      </c>
      <c r="W36" s="143">
        <f t="shared" si="25"/>
        <v>119.99999999999997</v>
      </c>
      <c r="X36" s="184">
        <v>0.37916666666666665</v>
      </c>
      <c r="Y36" s="184">
        <v>0.3888888888888889</v>
      </c>
      <c r="Z36" s="185"/>
      <c r="AA36" s="185"/>
      <c r="AB36" s="601"/>
      <c r="AC36" s="601"/>
      <c r="AD36" s="101"/>
      <c r="AE36" s="101"/>
      <c r="AF36" s="92">
        <f t="shared" si="6"/>
        <v>-222.99999999999977</v>
      </c>
      <c r="AG36" s="186">
        <f t="shared" si="7"/>
        <v>0.8513333333333335</v>
      </c>
      <c r="AH36" s="623"/>
    </row>
    <row r="37" spans="1:34" ht="19.149999999999999" customHeight="1">
      <c r="A37" s="643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101"/>
      <c r="J37" s="89"/>
      <c r="K37" s="86"/>
      <c r="L37" s="90"/>
      <c r="M37" s="189"/>
      <c r="N37" s="86"/>
      <c r="O37" s="90"/>
      <c r="P37" s="92"/>
      <c r="Q37" s="93"/>
      <c r="R37" s="94"/>
      <c r="S37" s="605"/>
      <c r="T37" s="142"/>
      <c r="U37" s="142"/>
      <c r="V37" s="101"/>
      <c r="W37" s="143"/>
      <c r="X37" s="184"/>
      <c r="Y37" s="184"/>
      <c r="Z37" s="185"/>
      <c r="AA37" s="185"/>
      <c r="AB37" s="601"/>
      <c r="AC37" s="601"/>
      <c r="AD37" s="101"/>
      <c r="AE37" s="101"/>
      <c r="AF37" s="92">
        <f t="shared" si="6"/>
        <v>0</v>
      </c>
      <c r="AG37" s="186" t="e">
        <f t="shared" si="7"/>
        <v>#DIV/0!</v>
      </c>
      <c r="AH37" s="623"/>
    </row>
    <row r="38" spans="1:34" ht="19.149999999999999" customHeight="1">
      <c r="A38" s="643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101"/>
      <c r="J38" s="89"/>
      <c r="K38" s="86"/>
      <c r="L38" s="90"/>
      <c r="M38" s="189"/>
      <c r="N38" s="86"/>
      <c r="O38" s="90"/>
      <c r="P38" s="92"/>
      <c r="Q38" s="93"/>
      <c r="R38" s="94"/>
      <c r="S38" s="605"/>
      <c r="T38" s="142"/>
      <c r="U38" s="142"/>
      <c r="V38" s="101"/>
      <c r="W38" s="143"/>
      <c r="X38" s="184"/>
      <c r="Y38" s="184"/>
      <c r="Z38" s="185"/>
      <c r="AA38" s="185"/>
      <c r="AB38" s="601"/>
      <c r="AC38" s="601"/>
      <c r="AD38" s="101"/>
      <c r="AE38" s="101"/>
      <c r="AF38" s="92">
        <f t="shared" si="6"/>
        <v>0</v>
      </c>
      <c r="AG38" s="186" t="e">
        <f t="shared" si="7"/>
        <v>#DIV/0!</v>
      </c>
      <c r="AH38" s="623"/>
    </row>
    <row r="39" spans="1:34" ht="19.149999999999999" customHeight="1">
      <c r="A39" s="643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101"/>
      <c r="J39" s="89"/>
      <c r="K39" s="86"/>
      <c r="L39" s="90"/>
      <c r="M39" s="189"/>
      <c r="N39" s="86"/>
      <c r="O39" s="90"/>
      <c r="P39" s="92"/>
      <c r="Q39" s="93"/>
      <c r="R39" s="94"/>
      <c r="S39" s="605"/>
      <c r="T39" s="142"/>
      <c r="U39" s="142"/>
      <c r="V39" s="101"/>
      <c r="W39" s="143"/>
      <c r="X39" s="184"/>
      <c r="Y39" s="184"/>
      <c r="Z39" s="185"/>
      <c r="AA39" s="185"/>
      <c r="AB39" s="601"/>
      <c r="AC39" s="601"/>
      <c r="AD39" s="101"/>
      <c r="AE39" s="101"/>
      <c r="AF39" s="92"/>
      <c r="AG39" s="191"/>
      <c r="AH39" s="623"/>
    </row>
    <row r="40" spans="1:34" ht="19.149999999999999" customHeight="1">
      <c r="A40" s="643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65"/>
      <c r="J40" s="193"/>
      <c r="K40" s="194"/>
      <c r="L40" s="195"/>
      <c r="M40" s="91"/>
      <c r="N40" s="86"/>
      <c r="O40" s="90"/>
      <c r="P40" s="92"/>
      <c r="Q40" s="93"/>
      <c r="R40" s="94"/>
      <c r="S40" s="605"/>
      <c r="T40" s="142"/>
      <c r="U40" s="142"/>
      <c r="V40" s="101"/>
      <c r="W40" s="143">
        <f t="shared" si="25"/>
        <v>0</v>
      </c>
      <c r="X40" s="184"/>
      <c r="Y40" s="184"/>
      <c r="Z40" s="185"/>
      <c r="AA40" s="185"/>
      <c r="AB40" s="601"/>
      <c r="AC40" s="601"/>
      <c r="AD40" s="101"/>
      <c r="AE40" s="101"/>
      <c r="AF40" s="92"/>
      <c r="AG40" s="191"/>
      <c r="AH40" s="623"/>
    </row>
    <row r="41" spans="1:34" ht="19.149999999999999" customHeight="1">
      <c r="A41" s="643"/>
      <c r="B41" s="101">
        <v>0</v>
      </c>
      <c r="C41" s="102"/>
      <c r="D41" s="132"/>
      <c r="E41" s="133"/>
      <c r="F41" s="85" t="s">
        <v>391</v>
      </c>
      <c r="G41" s="104"/>
      <c r="H41" s="135"/>
      <c r="I41" s="101"/>
      <c r="J41" s="138"/>
      <c r="K41" s="104"/>
      <c r="L41" s="137"/>
      <c r="M41" s="189"/>
      <c r="N41" s="104"/>
      <c r="O41" s="137"/>
      <c r="P41" s="100"/>
      <c r="Q41" s="139"/>
      <c r="R41" s="140"/>
      <c r="S41" s="605"/>
      <c r="T41" s="142"/>
      <c r="U41" s="142"/>
      <c r="V41" s="101"/>
      <c r="W41" s="143">
        <f t="shared" si="25"/>
        <v>0</v>
      </c>
      <c r="X41" s="184"/>
      <c r="Y41" s="184"/>
      <c r="Z41" s="185"/>
      <c r="AA41" s="185"/>
      <c r="AB41" s="601"/>
      <c r="AC41" s="601"/>
      <c r="AD41" s="101"/>
      <c r="AE41" s="101"/>
      <c r="AF41" s="92"/>
      <c r="AG41" s="191"/>
      <c r="AH41" s="623"/>
    </row>
    <row r="42" spans="1:34" ht="19.149999999999999" customHeight="1">
      <c r="A42" s="643"/>
      <c r="B42" s="101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101"/>
      <c r="J42" s="138"/>
      <c r="K42" s="104"/>
      <c r="L42" s="137"/>
      <c r="M42" s="189"/>
      <c r="N42" s="104"/>
      <c r="O42" s="137"/>
      <c r="P42" s="100"/>
      <c r="Q42" s="139"/>
      <c r="R42" s="140"/>
      <c r="S42" s="605"/>
      <c r="T42" s="142"/>
      <c r="U42" s="142"/>
      <c r="V42" s="101"/>
      <c r="W42" s="143">
        <f t="shared" si="25"/>
        <v>0</v>
      </c>
      <c r="X42" s="184"/>
      <c r="Y42" s="184"/>
      <c r="Z42" s="185"/>
      <c r="AA42" s="185"/>
      <c r="AB42" s="601"/>
      <c r="AC42" s="601"/>
      <c r="AD42" s="101"/>
      <c r="AE42" s="101"/>
      <c r="AF42" s="92"/>
      <c r="AG42" s="191"/>
      <c r="AH42" s="623"/>
    </row>
    <row r="43" spans="1:34" ht="19.149999999999999" customHeight="1">
      <c r="A43" s="643"/>
      <c r="B43" s="182">
        <v>0</v>
      </c>
      <c r="C43" s="156" t="s">
        <v>260</v>
      </c>
      <c r="D43" s="602" t="s">
        <v>256</v>
      </c>
      <c r="E43" s="602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1693.6613360611227</v>
      </c>
      <c r="O43" s="161">
        <f t="shared" si="26"/>
        <v>126.80185968701311</v>
      </c>
      <c r="P43" s="100">
        <f>M43-J43</f>
        <v>-0.16666666666666607</v>
      </c>
      <c r="Q43" s="139">
        <f>N43-K43</f>
        <v>-181.33866393887729</v>
      </c>
      <c r="R43" s="162">
        <f t="shared" ref="R43:R46" si="27">O43/L43</f>
        <v>0.91532655721138989</v>
      </c>
      <c r="S43" s="605"/>
      <c r="T43" s="142"/>
      <c r="U43" s="142"/>
      <c r="V43" s="101"/>
      <c r="W43" s="101"/>
      <c r="X43" s="184"/>
      <c r="Y43" s="184"/>
      <c r="Z43" s="197">
        <f>SUM(Z31:Z42)</f>
        <v>0</v>
      </c>
      <c r="AA43" s="197">
        <f>SUM(AA31:AA42)</f>
        <v>0</v>
      </c>
      <c r="AB43" s="601"/>
      <c r="AC43" s="601"/>
      <c r="AD43" s="164">
        <f>SUM(AD31:AD42)</f>
        <v>1</v>
      </c>
      <c r="AE43" s="164">
        <f>SUM(AE31:AE42)</f>
        <v>0</v>
      </c>
      <c r="AF43" s="92">
        <f t="shared" ref="AF43:AF52" si="28">N43-K43</f>
        <v>-181.33866393887729</v>
      </c>
      <c r="AG43" s="114">
        <f t="shared" si="7"/>
        <v>0.90328604589926542</v>
      </c>
      <c r="AH43" s="623"/>
    </row>
    <row r="44" spans="1:34" s="213" customFormat="1" ht="19.149999999999999" customHeight="1">
      <c r="A44" s="638" t="s">
        <v>261</v>
      </c>
      <c r="B44" s="152" t="s">
        <v>388</v>
      </c>
      <c r="C44" s="198"/>
      <c r="D44" s="83" t="s">
        <v>262</v>
      </c>
      <c r="E44" s="84"/>
      <c r="F44" s="199">
        <v>31.43</v>
      </c>
      <c r="G44" s="200">
        <v>2372</v>
      </c>
      <c r="H44" s="87">
        <f>F44*G44</f>
        <v>74551.960000000006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1381.7475728155339</v>
      </c>
      <c r="O44" s="204">
        <f>N44/M44</f>
        <v>230.29126213592232</v>
      </c>
      <c r="P44" s="97">
        <f t="shared" ref="P44:P45" si="29">M44-J44</f>
        <v>0</v>
      </c>
      <c r="Q44" s="205">
        <f t="shared" ref="Q44:Q45" si="30">O44-L44</f>
        <v>-19.708737864077676</v>
      </c>
      <c r="R44" s="206">
        <f t="shared" si="27"/>
        <v>0.9211650485436893</v>
      </c>
      <c r="S44" s="620">
        <f>R56</f>
        <v>0.87312070311679046</v>
      </c>
      <c r="T44" s="207">
        <v>0.16666666666666666</v>
      </c>
      <c r="U44" s="207">
        <v>0.23819444444444443</v>
      </c>
      <c r="V44" s="208">
        <v>5</v>
      </c>
      <c r="W44" s="209">
        <f t="shared" ref="W44:W56" si="31">(U44-T44)*24*60</f>
        <v>103</v>
      </c>
      <c r="X44" s="184"/>
      <c r="Y44" s="184"/>
      <c r="Z44" s="185"/>
      <c r="AA44" s="185"/>
      <c r="AB44" s="601"/>
      <c r="AC44" s="601"/>
      <c r="AD44" s="101"/>
      <c r="AE44" s="101"/>
      <c r="AF44" s="210">
        <f t="shared" si="28"/>
        <v>-118.25242718446611</v>
      </c>
      <c r="AG44" s="211">
        <f t="shared" si="7"/>
        <v>0.9211650485436893</v>
      </c>
      <c r="AH44" s="641">
        <f>AG56</f>
        <v>0.91881152712423719</v>
      </c>
    </row>
    <row r="45" spans="1:34" s="213" customFormat="1" ht="19.149999999999999" customHeight="1">
      <c r="A45" s="639"/>
      <c r="B45" s="152" t="s">
        <v>388</v>
      </c>
      <c r="C45" s="198"/>
      <c r="D45" s="83" t="s">
        <v>148</v>
      </c>
      <c r="E45" s="84"/>
      <c r="F45" s="199">
        <v>11.6</v>
      </c>
      <c r="G45" s="200">
        <v>2150</v>
      </c>
      <c r="H45" s="87">
        <f>F45*G45</f>
        <v>24940</v>
      </c>
      <c r="I45" s="214"/>
      <c r="J45" s="202">
        <v>6</v>
      </c>
      <c r="K45" s="203">
        <v>1636</v>
      </c>
      <c r="L45" s="204">
        <v>272.66666666666669</v>
      </c>
      <c r="M45" s="110">
        <v>7</v>
      </c>
      <c r="N45" s="203">
        <f>G45/W45*60</f>
        <v>1482.7586206896549</v>
      </c>
      <c r="O45" s="204">
        <f>N45/M45</f>
        <v>211.82266009852214</v>
      </c>
      <c r="P45" s="97">
        <f t="shared" si="29"/>
        <v>1</v>
      </c>
      <c r="Q45" s="205">
        <f t="shared" si="30"/>
        <v>-60.84400656814455</v>
      </c>
      <c r="R45" s="206">
        <f t="shared" si="27"/>
        <v>0.77685572163272176</v>
      </c>
      <c r="S45" s="620"/>
      <c r="T45" s="207">
        <v>0.25902777777777775</v>
      </c>
      <c r="U45" s="207">
        <v>0.31944444444444442</v>
      </c>
      <c r="V45" s="208">
        <v>30</v>
      </c>
      <c r="W45" s="209">
        <f t="shared" si="31"/>
        <v>87.000000000000014</v>
      </c>
      <c r="X45" s="184">
        <v>0.24166666666666667</v>
      </c>
      <c r="Y45" s="184">
        <v>0.25625000000000003</v>
      </c>
      <c r="Z45" s="185"/>
      <c r="AA45" s="185"/>
      <c r="AB45" s="601"/>
      <c r="AC45" s="601"/>
      <c r="AD45" s="101"/>
      <c r="AE45" s="101"/>
      <c r="AF45" s="210">
        <f t="shared" si="28"/>
        <v>-153.24137931034511</v>
      </c>
      <c r="AG45" s="211">
        <f t="shared" si="7"/>
        <v>0.90633167523817537</v>
      </c>
      <c r="AH45" s="641"/>
    </row>
    <row r="46" spans="1:34" s="213" customFormat="1" ht="19.149999999999999" customHeight="1">
      <c r="A46" s="639"/>
      <c r="B46" s="152" t="s">
        <v>390</v>
      </c>
      <c r="C46" s="198"/>
      <c r="D46" s="83" t="s">
        <v>149</v>
      </c>
      <c r="E46" s="84"/>
      <c r="F46" s="199">
        <v>10.09</v>
      </c>
      <c r="G46" s="200">
        <v>4022.5499999999997</v>
      </c>
      <c r="H46" s="87">
        <f t="shared" ref="H46:H51" si="32">F46*G46</f>
        <v>40587.529499999997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1395.1040462427743</v>
      </c>
      <c r="O46" s="204">
        <f>N46/M46</f>
        <v>232.51734104046238</v>
      </c>
      <c r="P46" s="97">
        <f>M46-J46</f>
        <v>0</v>
      </c>
      <c r="Q46" s="205">
        <f>O46-L46</f>
        <v>-17.482658959537616</v>
      </c>
      <c r="R46" s="206">
        <f t="shared" si="27"/>
        <v>0.93006936416184949</v>
      </c>
      <c r="S46" s="620"/>
      <c r="T46" s="207">
        <v>0.34027777777777773</v>
      </c>
      <c r="U46" s="207">
        <v>0.46041666666666664</v>
      </c>
      <c r="V46" s="208">
        <v>30</v>
      </c>
      <c r="W46" s="209">
        <f t="shared" si="31"/>
        <v>173.00000000000003</v>
      </c>
      <c r="X46" s="184">
        <v>0.32291666666666669</v>
      </c>
      <c r="Y46" s="184">
        <v>0.33749999999999997</v>
      </c>
      <c r="Z46" s="185"/>
      <c r="AA46" s="185"/>
      <c r="AB46" s="601"/>
      <c r="AC46" s="601"/>
      <c r="AD46" s="101"/>
      <c r="AE46" s="101"/>
      <c r="AF46" s="210">
        <f t="shared" si="28"/>
        <v>-104.8959537572257</v>
      </c>
      <c r="AG46" s="211">
        <f t="shared" si="7"/>
        <v>0.93006936416184949</v>
      </c>
      <c r="AH46" s="641"/>
    </row>
    <row r="47" spans="1:34" s="213" customFormat="1" ht="19.149999999999999" customHeight="1">
      <c r="A47" s="639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0"/>
      <c r="T47" s="207"/>
      <c r="U47" s="207"/>
      <c r="V47" s="203"/>
      <c r="W47" s="209"/>
      <c r="X47" s="184"/>
      <c r="Y47" s="184"/>
      <c r="Z47" s="185"/>
      <c r="AA47" s="185"/>
      <c r="AB47" s="601"/>
      <c r="AC47" s="601"/>
      <c r="AD47" s="101"/>
      <c r="AE47" s="101"/>
      <c r="AF47" s="210">
        <f t="shared" si="28"/>
        <v>0</v>
      </c>
      <c r="AG47" s="211" t="e">
        <f t="shared" si="7"/>
        <v>#DIV/0!</v>
      </c>
      <c r="AH47" s="641"/>
    </row>
    <row r="48" spans="1:34" s="213" customFormat="1" ht="19.149999999999999" customHeight="1">
      <c r="A48" s="639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0"/>
      <c r="T48" s="219"/>
      <c r="U48" s="219"/>
      <c r="V48" s="200"/>
      <c r="W48" s="209"/>
      <c r="X48" s="184"/>
      <c r="Y48" s="184"/>
      <c r="Z48" s="185"/>
      <c r="AA48" s="185"/>
      <c r="AB48" s="601"/>
      <c r="AC48" s="601"/>
      <c r="AD48" s="101"/>
      <c r="AE48" s="101"/>
      <c r="AF48" s="210">
        <f t="shared" si="28"/>
        <v>0</v>
      </c>
      <c r="AG48" s="211" t="e">
        <f t="shared" si="7"/>
        <v>#DIV/0!</v>
      </c>
      <c r="AH48" s="641"/>
    </row>
    <row r="49" spans="1:34" s="213" customFormat="1" ht="19.149999999999999" customHeight="1">
      <c r="A49" s="639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0"/>
      <c r="T49" s="219"/>
      <c r="U49" s="219"/>
      <c r="V49" s="200"/>
      <c r="W49" s="209"/>
      <c r="X49" s="220"/>
      <c r="Y49" s="220"/>
      <c r="Z49" s="221"/>
      <c r="AA49" s="185"/>
      <c r="AB49" s="601"/>
      <c r="AC49" s="601"/>
      <c r="AD49" s="101"/>
      <c r="AE49" s="101"/>
      <c r="AF49" s="210">
        <f t="shared" si="28"/>
        <v>0</v>
      </c>
      <c r="AG49" s="211" t="e">
        <f t="shared" si="7"/>
        <v>#DIV/0!</v>
      </c>
      <c r="AH49" s="641"/>
    </row>
    <row r="50" spans="1:34" s="213" customFormat="1" ht="19.149999999999999" customHeight="1">
      <c r="A50" s="639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0"/>
      <c r="T50" s="219"/>
      <c r="U50" s="219"/>
      <c r="V50" s="200"/>
      <c r="W50" s="209"/>
      <c r="X50" s="220"/>
      <c r="Y50" s="220"/>
      <c r="Z50" s="221"/>
      <c r="AA50" s="221"/>
      <c r="AB50" s="601"/>
      <c r="AC50" s="601"/>
      <c r="AD50" s="101"/>
      <c r="AE50" s="101"/>
      <c r="AF50" s="210">
        <f t="shared" si="28"/>
        <v>0</v>
      </c>
      <c r="AG50" s="211" t="e">
        <f t="shared" si="7"/>
        <v>#DIV/0!</v>
      </c>
      <c r="AH50" s="641"/>
    </row>
    <row r="51" spans="1:34" s="213" customFormat="1" ht="19.149999999999999" customHeight="1">
      <c r="A51" s="639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0"/>
      <c r="T51" s="219"/>
      <c r="U51" s="219"/>
      <c r="V51" s="200"/>
      <c r="W51" s="209"/>
      <c r="X51" s="220"/>
      <c r="Y51" s="220"/>
      <c r="Z51" s="221"/>
      <c r="AA51" s="221"/>
      <c r="AB51" s="601"/>
      <c r="AC51" s="601"/>
      <c r="AD51" s="101"/>
      <c r="AE51" s="101"/>
      <c r="AF51" s="210">
        <f t="shared" si="28"/>
        <v>0</v>
      </c>
      <c r="AG51" s="211" t="e">
        <f t="shared" si="7"/>
        <v>#DIV/0!</v>
      </c>
      <c r="AH51" s="641"/>
    </row>
    <row r="52" spans="1:34" s="213" customFormat="1" ht="19.149999999999999" customHeight="1">
      <c r="A52" s="639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0"/>
      <c r="S52" s="620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01"/>
      <c r="AC52" s="601"/>
      <c r="AD52" s="101"/>
      <c r="AE52" s="101"/>
      <c r="AF52" s="210">
        <f t="shared" si="28"/>
        <v>0</v>
      </c>
      <c r="AG52" s="211" t="e">
        <f t="shared" si="7"/>
        <v>#DIV/0!</v>
      </c>
      <c r="AH52" s="641"/>
    </row>
    <row r="53" spans="1:34" s="213" customFormat="1" ht="19.149999999999999" customHeight="1">
      <c r="A53" s="639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0"/>
      <c r="S53" s="620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01"/>
      <c r="AC53" s="601"/>
      <c r="AD53" s="101"/>
      <c r="AE53" s="101"/>
      <c r="AF53" s="210"/>
      <c r="AG53" s="211"/>
      <c r="AH53" s="641"/>
    </row>
    <row r="54" spans="1:34" s="213" customFormat="1" ht="19.149999999999999" customHeight="1">
      <c r="A54" s="639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0"/>
      <c r="S54" s="620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01"/>
      <c r="AC54" s="601"/>
      <c r="AD54" s="101"/>
      <c r="AE54" s="101"/>
      <c r="AF54" s="210"/>
      <c r="AG54" s="211"/>
      <c r="AH54" s="641"/>
    </row>
    <row r="55" spans="1:34" s="213" customFormat="1" ht="19.149999999999999" customHeight="1">
      <c r="A55" s="639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0"/>
      <c r="S55" s="620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01"/>
      <c r="AC55" s="601"/>
      <c r="AD55" s="101"/>
      <c r="AE55" s="101"/>
      <c r="AF55" s="210"/>
      <c r="AG55" s="211"/>
      <c r="AH55" s="641"/>
    </row>
    <row r="56" spans="1:34" ht="19.149999999999999" customHeight="1">
      <c r="A56" s="640"/>
      <c r="B56" s="226">
        <v>0</v>
      </c>
      <c r="C56" s="156" t="s">
        <v>263</v>
      </c>
      <c r="D56" s="602" t="s">
        <v>256</v>
      </c>
      <c r="E56" s="602"/>
      <c r="F56" s="157"/>
      <c r="G56" s="158"/>
      <c r="H56" s="159"/>
      <c r="I56" s="160"/>
      <c r="J56" s="158">
        <v>6</v>
      </c>
      <c r="K56" s="158">
        <v>1545.3333333333333</v>
      </c>
      <c r="L56" s="161">
        <v>257.5555555555556</v>
      </c>
      <c r="M56" s="158">
        <f t="shared" ref="M56:O56" si="33">AVERAGE(M44:M55)</f>
        <v>6.333333333333333</v>
      </c>
      <c r="N56" s="158">
        <f t="shared" si="33"/>
        <v>1419.8700799159878</v>
      </c>
      <c r="O56" s="161">
        <f t="shared" si="33"/>
        <v>224.87708775830228</v>
      </c>
      <c r="P56" s="227">
        <f>M56-J56</f>
        <v>0.33333333333333304</v>
      </c>
      <c r="Q56" s="176">
        <f>N56-K56</f>
        <v>-125.46325341734541</v>
      </c>
      <c r="R56" s="228">
        <f t="shared" ref="R56:R60" si="34">O56/L56</f>
        <v>0.87312070311679046</v>
      </c>
      <c r="S56" s="620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01"/>
      <c r="AC56" s="601"/>
      <c r="AD56" s="164">
        <f>SUM(AD44:AD55)</f>
        <v>0</v>
      </c>
      <c r="AE56" s="164">
        <f>SUM(AE44:AE55)</f>
        <v>0</v>
      </c>
      <c r="AF56" s="232">
        <f>N56-K56</f>
        <v>-125.46325341734541</v>
      </c>
      <c r="AG56" s="140">
        <f>N56/K56</f>
        <v>0.91881152712423719</v>
      </c>
      <c r="AH56" s="641"/>
    </row>
    <row r="57" spans="1:34" ht="19.149999999999999" customHeight="1">
      <c r="A57" s="634" t="s">
        <v>264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1486</v>
      </c>
      <c r="H57" s="135">
        <f t="shared" ref="H57:H66" si="35">F57*G57</f>
        <v>41994.36</v>
      </c>
      <c r="I57" s="101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1311.1764705882351</v>
      </c>
      <c r="O57" s="137">
        <f t="shared" ref="O57:O60" si="37">N57/M57</f>
        <v>187.31092436974788</v>
      </c>
      <c r="P57" s="235">
        <f t="shared" ref="P57:P60" si="38">M57-J57</f>
        <v>1</v>
      </c>
      <c r="Q57" s="93">
        <f t="shared" ref="Q57:Q60" si="39">O57-L57</f>
        <v>-62.68907563025212</v>
      </c>
      <c r="R57" s="94">
        <f t="shared" si="34"/>
        <v>0.74924369747899155</v>
      </c>
      <c r="S57" s="620">
        <f>R69</f>
        <v>0.83724745446642956</v>
      </c>
      <c r="T57" s="207">
        <v>0.16666666666666666</v>
      </c>
      <c r="U57" s="207">
        <v>0.21388888888888888</v>
      </c>
      <c r="V57" s="65">
        <v>5</v>
      </c>
      <c r="W57" s="88">
        <f>(U57-T57)*24*60</f>
        <v>68</v>
      </c>
      <c r="X57" s="99"/>
      <c r="Y57" s="99"/>
      <c r="Z57" s="100"/>
      <c r="AA57" s="100"/>
      <c r="AB57" s="601"/>
      <c r="AC57" s="601"/>
      <c r="AD57" s="101"/>
      <c r="AE57" s="101"/>
      <c r="AF57" s="92">
        <f t="shared" si="6"/>
        <v>-188.82352941176487</v>
      </c>
      <c r="AG57" s="177">
        <f t="shared" si="7"/>
        <v>0.87411764705882344</v>
      </c>
      <c r="AH57" s="622">
        <f>AG69</f>
        <v>0.93871300880410669</v>
      </c>
    </row>
    <row r="58" spans="1:34" ht="19.149999999999999" customHeight="1">
      <c r="A58" s="635"/>
      <c r="B58" s="152" t="s">
        <v>388</v>
      </c>
      <c r="C58" s="147"/>
      <c r="D58" s="83" t="s">
        <v>153</v>
      </c>
      <c r="E58" s="84"/>
      <c r="F58" s="85">
        <v>27.88</v>
      </c>
      <c r="G58" s="200">
        <v>2201</v>
      </c>
      <c r="H58" s="87">
        <f t="shared" si="35"/>
        <v>61363.88</v>
      </c>
      <c r="I58" s="65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1467.3333333333333</v>
      </c>
      <c r="O58" s="90">
        <f t="shared" si="37"/>
        <v>209.61904761904762</v>
      </c>
      <c r="P58" s="235">
        <f t="shared" si="38"/>
        <v>1</v>
      </c>
      <c r="Q58" s="93">
        <f t="shared" si="39"/>
        <v>-40.38095238095238</v>
      </c>
      <c r="R58" s="94">
        <f t="shared" si="34"/>
        <v>0.83847619047619049</v>
      </c>
      <c r="S58" s="620"/>
      <c r="T58" s="236">
        <v>0.21944444444444444</v>
      </c>
      <c r="U58" s="236">
        <v>0.28194444444444444</v>
      </c>
      <c r="V58" s="65">
        <v>8</v>
      </c>
      <c r="W58" s="88">
        <f>(U58-T58)*24*60</f>
        <v>90</v>
      </c>
      <c r="X58" s="99"/>
      <c r="Y58" s="99"/>
      <c r="Z58" s="100"/>
      <c r="AA58" s="100"/>
      <c r="AB58" s="636"/>
      <c r="AC58" s="637"/>
      <c r="AD58" s="101"/>
      <c r="AE58" s="101"/>
      <c r="AF58" s="92">
        <f t="shared" si="6"/>
        <v>-32.666666666666742</v>
      </c>
      <c r="AG58" s="94">
        <f t="shared" si="7"/>
        <v>0.97822222222222222</v>
      </c>
      <c r="AH58" s="620"/>
    </row>
    <row r="59" spans="1:34" ht="19.149999999999999" customHeight="1">
      <c r="A59" s="635"/>
      <c r="B59" s="152" t="s">
        <v>388</v>
      </c>
      <c r="C59" s="147"/>
      <c r="D59" s="83" t="s">
        <v>154</v>
      </c>
      <c r="E59" s="84"/>
      <c r="F59" s="85">
        <v>28</v>
      </c>
      <c r="G59" s="200">
        <v>2274</v>
      </c>
      <c r="H59" s="87">
        <f t="shared" si="35"/>
        <v>63672</v>
      </c>
      <c r="I59" s="65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1483.0434782608695</v>
      </c>
      <c r="O59" s="90">
        <f t="shared" si="37"/>
        <v>211.86335403726707</v>
      </c>
      <c r="P59" s="235">
        <f t="shared" si="38"/>
        <v>1</v>
      </c>
      <c r="Q59" s="93">
        <f t="shared" si="39"/>
        <v>-38.136645962732928</v>
      </c>
      <c r="R59" s="94">
        <f t="shared" si="34"/>
        <v>0.84745341614906833</v>
      </c>
      <c r="S59" s="620"/>
      <c r="T59" s="236">
        <v>0.29791666666666666</v>
      </c>
      <c r="U59" s="236">
        <v>0.36180555555555555</v>
      </c>
      <c r="V59" s="208">
        <v>23</v>
      </c>
      <c r="W59" s="88">
        <f>(U59-T59)*24*60</f>
        <v>92</v>
      </c>
      <c r="X59" s="99">
        <v>0.28541666666666665</v>
      </c>
      <c r="Y59" s="99">
        <v>0.2951388888888889</v>
      </c>
      <c r="Z59" s="100"/>
      <c r="AA59" s="100"/>
      <c r="AB59" s="601"/>
      <c r="AC59" s="601"/>
      <c r="AD59" s="101"/>
      <c r="AE59" s="101"/>
      <c r="AF59" s="92">
        <f t="shared" si="6"/>
        <v>-16.956521739130494</v>
      </c>
      <c r="AG59" s="94">
        <f t="shared" si="7"/>
        <v>0.98869565217391298</v>
      </c>
      <c r="AH59" s="620"/>
    </row>
    <row r="60" spans="1:34" ht="19.149999999999999" customHeight="1">
      <c r="A60" s="635"/>
      <c r="B60" s="152" t="s">
        <v>390</v>
      </c>
      <c r="C60" s="147"/>
      <c r="D60" s="83" t="s">
        <v>149</v>
      </c>
      <c r="E60" s="84"/>
      <c r="F60" s="85">
        <v>10.09</v>
      </c>
      <c r="G60" s="200">
        <v>7470.45</v>
      </c>
      <c r="H60" s="87">
        <f t="shared" si="35"/>
        <v>75376.840499999991</v>
      </c>
      <c r="I60" s="65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1370.7247706422017</v>
      </c>
      <c r="O60" s="90">
        <f t="shared" si="37"/>
        <v>228.45412844036696</v>
      </c>
      <c r="P60" s="235">
        <f t="shared" si="38"/>
        <v>0</v>
      </c>
      <c r="Q60" s="93">
        <f t="shared" si="39"/>
        <v>-21.545871559633042</v>
      </c>
      <c r="R60" s="94">
        <f t="shared" si="34"/>
        <v>0.91381651376146789</v>
      </c>
      <c r="S60" s="620"/>
      <c r="T60" s="236">
        <v>0.36736111111111108</v>
      </c>
      <c r="U60" s="236">
        <v>0.59444444444444444</v>
      </c>
      <c r="V60" s="208">
        <v>8</v>
      </c>
      <c r="W60" s="88">
        <f>(U60-T60)*24*60</f>
        <v>327.00000000000006</v>
      </c>
      <c r="X60" s="99"/>
      <c r="Y60" s="99"/>
      <c r="Z60" s="100"/>
      <c r="AA60" s="100"/>
      <c r="AB60" s="601"/>
      <c r="AC60" s="601"/>
      <c r="AD60" s="101">
        <v>1</v>
      </c>
      <c r="AE60" s="101"/>
      <c r="AF60" s="92">
        <f t="shared" si="6"/>
        <v>-129.27522935779825</v>
      </c>
      <c r="AG60" s="177">
        <f t="shared" si="7"/>
        <v>0.91381651376146789</v>
      </c>
      <c r="AH60" s="620"/>
    </row>
    <row r="61" spans="1:34" ht="19.149999999999999" customHeight="1">
      <c r="A61" s="635"/>
      <c r="B61" s="152">
        <v>0</v>
      </c>
      <c r="C61" s="147"/>
      <c r="D61" s="83"/>
      <c r="E61" s="84"/>
      <c r="F61" s="85"/>
      <c r="G61" s="200"/>
      <c r="H61" s="87"/>
      <c r="I61" s="65"/>
      <c r="J61" s="89"/>
      <c r="K61" s="86"/>
      <c r="L61" s="137"/>
      <c r="M61" s="110"/>
      <c r="N61" s="86"/>
      <c r="O61" s="90"/>
      <c r="P61" s="235"/>
      <c r="Q61" s="93"/>
      <c r="R61" s="94"/>
      <c r="S61" s="620"/>
      <c r="T61" s="236"/>
      <c r="U61" s="236"/>
      <c r="V61" s="208"/>
      <c r="W61" s="88"/>
      <c r="X61" s="99"/>
      <c r="Y61" s="99"/>
      <c r="Z61" s="100"/>
      <c r="AA61" s="100"/>
      <c r="AB61" s="601"/>
      <c r="AC61" s="601"/>
      <c r="AD61" s="101"/>
      <c r="AE61" s="101"/>
      <c r="AF61" s="92">
        <f t="shared" si="6"/>
        <v>0</v>
      </c>
      <c r="AG61" s="177" t="e">
        <f t="shared" si="7"/>
        <v>#DIV/0!</v>
      </c>
      <c r="AH61" s="620"/>
    </row>
    <row r="62" spans="1:34" ht="19.149999999999999" customHeight="1">
      <c r="A62" s="635"/>
      <c r="B62" s="152">
        <v>0</v>
      </c>
      <c r="C62" s="147"/>
      <c r="D62" s="83"/>
      <c r="E62" s="84"/>
      <c r="F62" s="85" t="s">
        <v>391</v>
      </c>
      <c r="G62" s="200"/>
      <c r="H62" s="87">
        <f t="shared" si="35"/>
        <v>0</v>
      </c>
      <c r="I62" s="65"/>
      <c r="J62" s="239"/>
      <c r="K62" s="108"/>
      <c r="L62" s="137"/>
      <c r="M62" s="110"/>
      <c r="N62" s="86"/>
      <c r="O62" s="90"/>
      <c r="P62" s="235"/>
      <c r="Q62" s="93"/>
      <c r="R62" s="94"/>
      <c r="S62" s="620"/>
      <c r="T62" s="236"/>
      <c r="U62" s="236"/>
      <c r="V62" s="208"/>
      <c r="W62" s="88"/>
      <c r="X62" s="99"/>
      <c r="Y62" s="99"/>
      <c r="Z62" s="100"/>
      <c r="AA62" s="100"/>
      <c r="AB62" s="601"/>
      <c r="AC62" s="601"/>
      <c r="AD62" s="101"/>
      <c r="AE62" s="101"/>
      <c r="AF62" s="92">
        <f t="shared" si="6"/>
        <v>0</v>
      </c>
      <c r="AG62" s="177" t="e">
        <f t="shared" si="7"/>
        <v>#DIV/0!</v>
      </c>
      <c r="AH62" s="620"/>
    </row>
    <row r="63" spans="1:34" ht="19.149999999999999" customHeight="1">
      <c r="A63" s="635"/>
      <c r="B63" s="152">
        <v>0</v>
      </c>
      <c r="C63" s="147"/>
      <c r="D63" s="83"/>
      <c r="E63" s="84"/>
      <c r="F63" s="85" t="s">
        <v>391</v>
      </c>
      <c r="G63" s="200"/>
      <c r="H63" s="87">
        <f t="shared" si="35"/>
        <v>0</v>
      </c>
      <c r="I63" s="65"/>
      <c r="J63" s="89"/>
      <c r="K63" s="86"/>
      <c r="L63" s="137"/>
      <c r="M63" s="110"/>
      <c r="N63" s="86"/>
      <c r="O63" s="90"/>
      <c r="P63" s="235"/>
      <c r="Q63" s="93"/>
      <c r="R63" s="94"/>
      <c r="S63" s="620"/>
      <c r="T63" s="236"/>
      <c r="U63" s="236"/>
      <c r="V63" s="208"/>
      <c r="W63" s="88"/>
      <c r="X63" s="99"/>
      <c r="Y63" s="99"/>
      <c r="Z63" s="100"/>
      <c r="AA63" s="100"/>
      <c r="AB63" s="601"/>
      <c r="AC63" s="601"/>
      <c r="AD63" s="101"/>
      <c r="AE63" s="101"/>
      <c r="AF63" s="92">
        <f t="shared" si="6"/>
        <v>0</v>
      </c>
      <c r="AG63" s="177" t="e">
        <f t="shared" si="7"/>
        <v>#DIV/0!</v>
      </c>
      <c r="AH63" s="620"/>
    </row>
    <row r="64" spans="1:34" ht="19.149999999999999" customHeight="1">
      <c r="A64" s="635"/>
      <c r="B64" s="152">
        <v>0</v>
      </c>
      <c r="C64" s="147"/>
      <c r="D64" s="83"/>
      <c r="E64" s="84"/>
      <c r="F64" s="85" t="s">
        <v>391</v>
      </c>
      <c r="G64" s="200"/>
      <c r="H64" s="87">
        <f t="shared" si="35"/>
        <v>0</v>
      </c>
      <c r="I64" s="65"/>
      <c r="J64" s="239"/>
      <c r="K64" s="108"/>
      <c r="L64" s="137"/>
      <c r="M64" s="110"/>
      <c r="N64" s="86"/>
      <c r="O64" s="90"/>
      <c r="P64" s="235"/>
      <c r="Q64" s="93"/>
      <c r="R64" s="94"/>
      <c r="S64" s="620"/>
      <c r="T64" s="236"/>
      <c r="U64" s="236"/>
      <c r="V64" s="208"/>
      <c r="W64" s="88"/>
      <c r="X64" s="65"/>
      <c r="Y64" s="65"/>
      <c r="Z64" s="100"/>
      <c r="AA64" s="100"/>
      <c r="AB64" s="601"/>
      <c r="AC64" s="601"/>
      <c r="AD64" s="101"/>
      <c r="AE64" s="101"/>
      <c r="AF64" s="92">
        <f t="shared" si="6"/>
        <v>0</v>
      </c>
      <c r="AG64" s="177" t="e">
        <f t="shared" si="7"/>
        <v>#DIV/0!</v>
      </c>
      <c r="AH64" s="620"/>
    </row>
    <row r="65" spans="1:34" ht="19.149999999999999" customHeight="1">
      <c r="A65" s="635"/>
      <c r="B65" s="152">
        <v>0</v>
      </c>
      <c r="C65" s="147"/>
      <c r="D65" s="83"/>
      <c r="E65" s="84"/>
      <c r="F65" s="85" t="s">
        <v>391</v>
      </c>
      <c r="G65" s="200"/>
      <c r="H65" s="87">
        <f t="shared" si="35"/>
        <v>0</v>
      </c>
      <c r="I65" s="65"/>
      <c r="J65" s="239"/>
      <c r="K65" s="108"/>
      <c r="L65" s="137"/>
      <c r="M65" s="110"/>
      <c r="N65" s="108"/>
      <c r="O65" s="127"/>
      <c r="P65" s="92"/>
      <c r="Q65" s="93"/>
      <c r="R65" s="94"/>
      <c r="S65" s="620"/>
      <c r="T65" s="236"/>
      <c r="U65" s="236"/>
      <c r="V65" s="208"/>
      <c r="W65" s="88">
        <f t="shared" ref="W65:W69" si="40">(U65-T65)*24*60</f>
        <v>0</v>
      </c>
      <c r="X65" s="65"/>
      <c r="Y65" s="65"/>
      <c r="Z65" s="100"/>
      <c r="AA65" s="100"/>
      <c r="AB65" s="601"/>
      <c r="AC65" s="601"/>
      <c r="AD65" s="101"/>
      <c r="AE65" s="101"/>
      <c r="AF65" s="92">
        <f t="shared" si="6"/>
        <v>0</v>
      </c>
      <c r="AG65" s="177" t="e">
        <f t="shared" si="7"/>
        <v>#DIV/0!</v>
      </c>
      <c r="AH65" s="620"/>
    </row>
    <row r="66" spans="1:34" ht="19.149999999999999" customHeight="1">
      <c r="A66" s="635"/>
      <c r="B66" s="152">
        <v>0</v>
      </c>
      <c r="C66" s="147"/>
      <c r="D66" s="83"/>
      <c r="E66" s="84"/>
      <c r="F66" s="85" t="s">
        <v>391</v>
      </c>
      <c r="G66" s="200"/>
      <c r="H66" s="87">
        <f t="shared" si="35"/>
        <v>0</v>
      </c>
      <c r="I66" s="65"/>
      <c r="J66" s="239"/>
      <c r="K66" s="108"/>
      <c r="L66" s="137"/>
      <c r="M66" s="110"/>
      <c r="N66" s="108"/>
      <c r="O66" s="127"/>
      <c r="P66" s="92"/>
      <c r="Q66" s="93"/>
      <c r="R66" s="94"/>
      <c r="S66" s="620"/>
      <c r="T66" s="236"/>
      <c r="U66" s="236"/>
      <c r="V66" s="208"/>
      <c r="W66" s="88">
        <f t="shared" si="40"/>
        <v>0</v>
      </c>
      <c r="X66" s="65"/>
      <c r="Y66" s="65"/>
      <c r="Z66" s="100"/>
      <c r="AA66" s="100"/>
      <c r="AB66" s="601"/>
      <c r="AC66" s="601"/>
      <c r="AD66" s="101"/>
      <c r="AE66" s="101"/>
      <c r="AF66" s="92">
        <f t="shared" si="6"/>
        <v>0</v>
      </c>
      <c r="AG66" s="177" t="e">
        <f t="shared" si="7"/>
        <v>#DIV/0!</v>
      </c>
      <c r="AH66" s="620"/>
    </row>
    <row r="67" spans="1:34" ht="19.149999999999999" customHeight="1">
      <c r="A67" s="635"/>
      <c r="B67" s="152">
        <v>0</v>
      </c>
      <c r="C67" s="147"/>
      <c r="D67" s="83"/>
      <c r="E67" s="84"/>
      <c r="F67" s="85" t="s">
        <v>391</v>
      </c>
      <c r="G67" s="200"/>
      <c r="H67" s="87">
        <f>F67*G67</f>
        <v>0</v>
      </c>
      <c r="I67" s="65"/>
      <c r="J67" s="239"/>
      <c r="K67" s="108"/>
      <c r="L67" s="137"/>
      <c r="M67" s="110"/>
      <c r="N67" s="108"/>
      <c r="O67" s="127"/>
      <c r="P67" s="92"/>
      <c r="Q67" s="93"/>
      <c r="R67" s="94"/>
      <c r="S67" s="620"/>
      <c r="T67" s="236"/>
      <c r="U67" s="236"/>
      <c r="V67" s="208"/>
      <c r="W67" s="88">
        <f t="shared" si="40"/>
        <v>0</v>
      </c>
      <c r="X67" s="65"/>
      <c r="Y67" s="65"/>
      <c r="Z67" s="100"/>
      <c r="AA67" s="100"/>
      <c r="AB67" s="601"/>
      <c r="AC67" s="601"/>
      <c r="AD67" s="101"/>
      <c r="AE67" s="101"/>
      <c r="AF67" s="92">
        <f t="shared" si="6"/>
        <v>0</v>
      </c>
      <c r="AG67" s="177" t="e">
        <f t="shared" si="7"/>
        <v>#DIV/0!</v>
      </c>
      <c r="AH67" s="620"/>
    </row>
    <row r="68" spans="1:34" ht="19.149999999999999" customHeight="1">
      <c r="A68" s="635"/>
      <c r="B68" s="65">
        <v>0</v>
      </c>
      <c r="C68" s="147"/>
      <c r="D68" s="83"/>
      <c r="E68" s="84"/>
      <c r="F68" s="199" t="s">
        <v>391</v>
      </c>
      <c r="G68" s="200"/>
      <c r="H68" s="87">
        <f>F68*G68</f>
        <v>0</v>
      </c>
      <c r="I68" s="65"/>
      <c r="J68" s="239"/>
      <c r="K68" s="108"/>
      <c r="L68" s="137"/>
      <c r="M68" s="110"/>
      <c r="N68" s="108"/>
      <c r="O68" s="127"/>
      <c r="P68" s="92"/>
      <c r="Q68" s="93"/>
      <c r="R68" s="94"/>
      <c r="S68" s="620"/>
      <c r="T68" s="236"/>
      <c r="U68" s="236"/>
      <c r="V68" s="208"/>
      <c r="W68" s="88">
        <f t="shared" si="40"/>
        <v>0</v>
      </c>
      <c r="X68" s="65"/>
      <c r="Y68" s="65"/>
      <c r="Z68" s="100"/>
      <c r="AA68" s="100"/>
      <c r="AB68" s="601"/>
      <c r="AC68" s="601"/>
      <c r="AD68" s="101"/>
      <c r="AE68" s="101"/>
      <c r="AF68" s="92"/>
      <c r="AG68" s="94"/>
      <c r="AH68" s="620"/>
    </row>
    <row r="69" spans="1:34" ht="19.149999999999999" customHeight="1">
      <c r="A69" s="635"/>
      <c r="B69" s="240">
        <v>0</v>
      </c>
      <c r="C69" s="12" t="s">
        <v>265</v>
      </c>
      <c r="D69" s="602" t="s">
        <v>256</v>
      </c>
      <c r="E69" s="602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1408.0695132061601</v>
      </c>
      <c r="O69" s="123">
        <f t="shared" si="41"/>
        <v>209.31186361660738</v>
      </c>
      <c r="P69" s="92">
        <f>M69-J69</f>
        <v>0.75</v>
      </c>
      <c r="Q69" s="93">
        <f>N69-K69</f>
        <v>-91.930486793839918</v>
      </c>
      <c r="R69" s="245">
        <f t="shared" ref="R69:R70" si="42">O69/L69</f>
        <v>0.83724745446642956</v>
      </c>
      <c r="S69" s="620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01"/>
      <c r="AC69" s="601"/>
      <c r="AD69" s="164">
        <f>SUM(AD57:AD68)</f>
        <v>1</v>
      </c>
      <c r="AE69" s="164">
        <f>SUM(AE57:AE68)</f>
        <v>0</v>
      </c>
      <c r="AF69" s="92">
        <f t="shared" si="6"/>
        <v>-91.930486793839918</v>
      </c>
      <c r="AG69" s="94">
        <f t="shared" si="7"/>
        <v>0.93871300880410669</v>
      </c>
      <c r="AH69" s="620"/>
    </row>
    <row r="70" spans="1:34" ht="19.149999999999999" customHeight="1">
      <c r="A70" s="632" t="s">
        <v>266</v>
      </c>
      <c r="B70" s="65" t="s">
        <v>387</v>
      </c>
      <c r="C70" s="152"/>
      <c r="D70" s="83" t="s">
        <v>157</v>
      </c>
      <c r="E70" s="84"/>
      <c r="F70" s="85">
        <v>62.13</v>
      </c>
      <c r="G70" s="86">
        <v>470</v>
      </c>
      <c r="H70" s="87">
        <f>F70*G70</f>
        <v>29201.100000000002</v>
      </c>
      <c r="I70" s="65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4" si="43">G70/W70*60</f>
        <v>1128.0000000000002</v>
      </c>
      <c r="O70" s="90">
        <f t="shared" ref="O70:O74" si="44">N70/M70</f>
        <v>86.769230769230788</v>
      </c>
      <c r="P70" s="92">
        <f t="shared" ref="P70:P74" si="45">M70-J70</f>
        <v>-1</v>
      </c>
      <c r="Q70" s="93">
        <f t="shared" ref="Q70" si="46">O70-L70</f>
        <v>-20.373626373626351</v>
      </c>
      <c r="R70" s="94">
        <f t="shared" si="42"/>
        <v>0.8098461538461541</v>
      </c>
      <c r="S70" s="620">
        <f>R82</f>
        <v>0.87459683004198463</v>
      </c>
      <c r="T70" s="96">
        <v>0.29166666666666669</v>
      </c>
      <c r="U70" s="96">
        <v>0.30902777777777779</v>
      </c>
      <c r="V70" s="65">
        <v>5</v>
      </c>
      <c r="W70" s="88">
        <f>(U70-T70)*24*60</f>
        <v>24.999999999999993</v>
      </c>
      <c r="X70" s="65"/>
      <c r="Y70" s="65"/>
      <c r="Z70" s="100"/>
      <c r="AA70" s="100"/>
      <c r="AB70" s="601"/>
      <c r="AC70" s="601"/>
      <c r="AD70" s="101"/>
      <c r="AE70" s="101"/>
      <c r="AF70" s="92">
        <f t="shared" si="6"/>
        <v>-371.99999999999977</v>
      </c>
      <c r="AG70" s="94">
        <f t="shared" si="7"/>
        <v>0.75200000000000011</v>
      </c>
      <c r="AH70" s="620">
        <f>AG82</f>
        <v>0.86678641145974578</v>
      </c>
    </row>
    <row r="71" spans="1:34" ht="19.149999999999999" customHeight="1">
      <c r="A71" s="632"/>
      <c r="B71" s="65" t="s">
        <v>386</v>
      </c>
      <c r="C71" s="82"/>
      <c r="D71" s="246" t="s">
        <v>158</v>
      </c>
      <c r="E71" s="84"/>
      <c r="F71" s="85">
        <v>47.65</v>
      </c>
      <c r="G71" s="86">
        <v>2021</v>
      </c>
      <c r="H71" s="87">
        <f>F71*G71</f>
        <v>96300.65</v>
      </c>
      <c r="I71" s="65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1276.4210526315792</v>
      </c>
      <c r="O71" s="90">
        <f t="shared" si="44"/>
        <v>70.912280701754398</v>
      </c>
      <c r="P71" s="92">
        <f t="shared" si="45"/>
        <v>0</v>
      </c>
      <c r="Q71" s="93">
        <f>O71-L71</f>
        <v>-9.0877192982456023</v>
      </c>
      <c r="R71" s="94">
        <f>O71/L71</f>
        <v>0.88640350877192997</v>
      </c>
      <c r="S71" s="620"/>
      <c r="T71" s="96">
        <v>0.31388888888888888</v>
      </c>
      <c r="U71" s="96">
        <v>0.37986111111111109</v>
      </c>
      <c r="V71" s="65">
        <v>7</v>
      </c>
      <c r="W71" s="88">
        <f t="shared" ref="W71:W81" si="47">(U71-T71)*24*60</f>
        <v>94.999999999999986</v>
      </c>
      <c r="X71" s="99"/>
      <c r="Y71" s="99"/>
      <c r="Z71" s="100"/>
      <c r="AA71" s="100"/>
      <c r="AB71" s="601"/>
      <c r="AC71" s="601"/>
      <c r="AD71" s="101"/>
      <c r="AE71" s="101"/>
      <c r="AF71" s="92">
        <f>N71-K71</f>
        <v>-163.57894736842081</v>
      </c>
      <c r="AG71" s="94">
        <f>N71/K71</f>
        <v>0.88640350877192997</v>
      </c>
      <c r="AH71" s="620"/>
    </row>
    <row r="72" spans="1:34" ht="19.149999999999999" customHeight="1">
      <c r="A72" s="632"/>
      <c r="B72" s="65" t="s">
        <v>386</v>
      </c>
      <c r="C72" s="115"/>
      <c r="D72" s="246" t="s">
        <v>160</v>
      </c>
      <c r="E72" s="84"/>
      <c r="F72" s="85">
        <v>53.76</v>
      </c>
      <c r="G72" s="104">
        <v>1832</v>
      </c>
      <c r="H72" s="87">
        <f t="shared" ref="H72:H80" si="48">F72*G72</f>
        <v>98488.319999999992</v>
      </c>
      <c r="I72" s="65"/>
      <c r="J72" s="138">
        <v>16</v>
      </c>
      <c r="K72" s="104">
        <v>1440</v>
      </c>
      <c r="L72" s="137">
        <v>90</v>
      </c>
      <c r="M72" s="91">
        <v>16</v>
      </c>
      <c r="N72" s="86">
        <f t="shared" si="43"/>
        <v>1249.090909090909</v>
      </c>
      <c r="O72" s="90">
        <f t="shared" si="44"/>
        <v>78.068181818181813</v>
      </c>
      <c r="P72" s="92">
        <f t="shared" si="45"/>
        <v>0</v>
      </c>
      <c r="Q72" s="93">
        <f>O72-L72</f>
        <v>-11.931818181818187</v>
      </c>
      <c r="R72" s="94">
        <f>O72/L72</f>
        <v>0.86742424242424232</v>
      </c>
      <c r="S72" s="620"/>
      <c r="T72" s="96">
        <v>0.42083333333333328</v>
      </c>
      <c r="U72" s="96">
        <v>0.4819444444444444</v>
      </c>
      <c r="V72" s="65">
        <v>6</v>
      </c>
      <c r="W72" s="88">
        <f t="shared" si="47"/>
        <v>88</v>
      </c>
      <c r="X72" s="99"/>
      <c r="Y72" s="99"/>
      <c r="Z72" s="100"/>
      <c r="AA72" s="100"/>
      <c r="AB72" s="601"/>
      <c r="AC72" s="601"/>
      <c r="AD72" s="101"/>
      <c r="AE72" s="101"/>
      <c r="AF72" s="92">
        <f>N72-K72</f>
        <v>-190.90909090909099</v>
      </c>
      <c r="AG72" s="94">
        <f>N72/K72</f>
        <v>0.86742424242424232</v>
      </c>
      <c r="AH72" s="620"/>
    </row>
    <row r="73" spans="1:34" ht="19.149999999999999" customHeight="1">
      <c r="A73" s="632"/>
      <c r="B73" s="65" t="s">
        <v>386</v>
      </c>
      <c r="C73" s="248"/>
      <c r="D73" s="249" t="s">
        <v>161</v>
      </c>
      <c r="E73" s="250"/>
      <c r="F73" s="85">
        <v>47.51</v>
      </c>
      <c r="G73" s="104">
        <v>2340</v>
      </c>
      <c r="H73" s="87">
        <f t="shared" si="48"/>
        <v>111173.4</v>
      </c>
      <c r="I73" s="101"/>
      <c r="J73" s="251">
        <v>16</v>
      </c>
      <c r="K73" s="252">
        <v>1440</v>
      </c>
      <c r="L73" s="137">
        <v>90</v>
      </c>
      <c r="M73" s="189">
        <v>16</v>
      </c>
      <c r="N73" s="86">
        <f t="shared" si="43"/>
        <v>1242.4778761061948</v>
      </c>
      <c r="O73" s="90">
        <f t="shared" si="44"/>
        <v>77.654867256637175</v>
      </c>
      <c r="P73" s="92">
        <f t="shared" si="45"/>
        <v>0</v>
      </c>
      <c r="Q73" s="93">
        <f>O73-L73</f>
        <v>-12.345132743362825</v>
      </c>
      <c r="R73" s="94">
        <f>O73/L73</f>
        <v>0.86283185840707977</v>
      </c>
      <c r="S73" s="620"/>
      <c r="T73" s="96">
        <v>0.49722222222222218</v>
      </c>
      <c r="U73" s="96">
        <v>0.5756944444444444</v>
      </c>
      <c r="V73" s="65">
        <v>22</v>
      </c>
      <c r="W73" s="88">
        <f t="shared" si="47"/>
        <v>113</v>
      </c>
      <c r="X73" s="253">
        <v>0.48541666666666666</v>
      </c>
      <c r="Y73" s="253">
        <v>0.49444444444444446</v>
      </c>
      <c r="Z73" s="185"/>
      <c r="AA73" s="185"/>
      <c r="AB73" s="601"/>
      <c r="AC73" s="601"/>
      <c r="AD73" s="101"/>
      <c r="AE73" s="101"/>
      <c r="AF73" s="92">
        <f>N73-K73</f>
        <v>-197.5221238938052</v>
      </c>
      <c r="AG73" s="94">
        <f>N73/K73</f>
        <v>0.86283185840707977</v>
      </c>
      <c r="AH73" s="620"/>
    </row>
    <row r="74" spans="1:34" ht="19.149999999999999" customHeight="1">
      <c r="A74" s="632"/>
      <c r="B74" s="65" t="s">
        <v>386</v>
      </c>
      <c r="C74" s="248"/>
      <c r="D74" s="249" t="s">
        <v>159</v>
      </c>
      <c r="E74" s="250"/>
      <c r="F74" s="85">
        <v>53.36</v>
      </c>
      <c r="G74" s="247">
        <v>2891.2000000000003</v>
      </c>
      <c r="H74" s="87">
        <f t="shared" si="48"/>
        <v>154274.432</v>
      </c>
      <c r="I74" s="65">
        <v>2</v>
      </c>
      <c r="J74" s="89">
        <v>18</v>
      </c>
      <c r="K74" s="247">
        <v>1300</v>
      </c>
      <c r="L74" s="90">
        <v>72.222222222222229</v>
      </c>
      <c r="M74" s="91">
        <v>18</v>
      </c>
      <c r="N74" s="86">
        <f t="shared" si="43"/>
        <v>1275.5294117647061</v>
      </c>
      <c r="O74" s="90">
        <f t="shared" si="44"/>
        <v>70.862745098039227</v>
      </c>
      <c r="P74" s="92">
        <f t="shared" si="45"/>
        <v>0</v>
      </c>
      <c r="Q74" s="93">
        <f>O74-L74</f>
        <v>-1.3594771241830017</v>
      </c>
      <c r="R74" s="94">
        <f>O74/L74</f>
        <v>0.98117647058823532</v>
      </c>
      <c r="S74" s="620"/>
      <c r="T74" s="96">
        <v>0.57986111111111105</v>
      </c>
      <c r="U74" s="96">
        <v>0.67430555555555549</v>
      </c>
      <c r="V74" s="65">
        <v>6</v>
      </c>
      <c r="W74" s="88">
        <f t="shared" si="47"/>
        <v>136</v>
      </c>
      <c r="X74" s="253"/>
      <c r="Y74" s="253"/>
      <c r="Z74" s="185"/>
      <c r="AA74" s="185"/>
      <c r="AB74" s="601"/>
      <c r="AC74" s="601"/>
      <c r="AD74" s="101"/>
      <c r="AE74" s="101"/>
      <c r="AF74" s="92">
        <f>N74-K74</f>
        <v>-24.470588235293917</v>
      </c>
      <c r="AG74" s="94">
        <f>N74/K74</f>
        <v>0.98117647058823543</v>
      </c>
      <c r="AH74" s="620"/>
    </row>
    <row r="75" spans="1:34" ht="19.149999999999999" customHeight="1">
      <c r="A75" s="632"/>
      <c r="B75" s="65">
        <v>0</v>
      </c>
      <c r="C75" s="115"/>
      <c r="D75" s="246"/>
      <c r="E75" s="84"/>
      <c r="F75" s="85" t="s">
        <v>391</v>
      </c>
      <c r="G75" s="104"/>
      <c r="H75" s="87">
        <f t="shared" si="48"/>
        <v>0</v>
      </c>
      <c r="I75" s="65"/>
      <c r="J75" s="138"/>
      <c r="K75" s="104"/>
      <c r="L75" s="137"/>
      <c r="M75" s="91"/>
      <c r="N75" s="86"/>
      <c r="O75" s="90"/>
      <c r="P75" s="92"/>
      <c r="Q75" s="93"/>
      <c r="R75" s="94"/>
      <c r="S75" s="620"/>
      <c r="T75" s="96"/>
      <c r="U75" s="96"/>
      <c r="V75" s="65"/>
      <c r="W75" s="88">
        <f t="shared" si="47"/>
        <v>0</v>
      </c>
      <c r="X75" s="253"/>
      <c r="Y75" s="253"/>
      <c r="Z75" s="185"/>
      <c r="AA75" s="185"/>
      <c r="AB75" s="601"/>
      <c r="AC75" s="601"/>
      <c r="AD75" s="101"/>
      <c r="AE75" s="101"/>
      <c r="AF75" s="92">
        <f>N75-K75</f>
        <v>0</v>
      </c>
      <c r="AG75" s="94" t="e">
        <f>N75/K75</f>
        <v>#DIV/0!</v>
      </c>
      <c r="AH75" s="620"/>
    </row>
    <row r="76" spans="1:34" ht="19.149999999999999" customHeight="1">
      <c r="A76" s="632"/>
      <c r="B76" s="65">
        <v>0</v>
      </c>
      <c r="C76" s="248"/>
      <c r="D76" s="249"/>
      <c r="E76" s="250"/>
      <c r="F76" s="85" t="s">
        <v>391</v>
      </c>
      <c r="G76" s="247"/>
      <c r="H76" s="87">
        <f t="shared" si="48"/>
        <v>0</v>
      </c>
      <c r="I76" s="65"/>
      <c r="J76" s="251"/>
      <c r="K76" s="252"/>
      <c r="L76" s="137"/>
      <c r="M76" s="189" t="s">
        <v>49</v>
      </c>
      <c r="N76" s="86"/>
      <c r="O76" s="90"/>
      <c r="P76" s="92"/>
      <c r="Q76" s="93"/>
      <c r="R76" s="94"/>
      <c r="S76" s="620"/>
      <c r="T76" s="96"/>
      <c r="U76" s="96"/>
      <c r="V76" s="65"/>
      <c r="W76" s="88"/>
      <c r="X76" s="253"/>
      <c r="Y76" s="253"/>
      <c r="Z76" s="185"/>
      <c r="AA76" s="185"/>
      <c r="AB76" s="601"/>
      <c r="AC76" s="601"/>
      <c r="AD76" s="101"/>
      <c r="AE76" s="101"/>
      <c r="AF76" s="92">
        <f t="shared" ref="AF76:AF80" si="49">N76-K76</f>
        <v>0</v>
      </c>
      <c r="AG76" s="94" t="e">
        <f t="shared" ref="AG76:AG80" si="50">N76/K76</f>
        <v>#DIV/0!</v>
      </c>
      <c r="AH76" s="620"/>
    </row>
    <row r="77" spans="1:34" ht="19.149999999999999" customHeight="1">
      <c r="A77" s="632"/>
      <c r="B77" s="65">
        <v>0</v>
      </c>
      <c r="C77" s="147"/>
      <c r="D77" s="249"/>
      <c r="E77" s="84"/>
      <c r="F77" s="85" t="s">
        <v>391</v>
      </c>
      <c r="G77" s="247"/>
      <c r="H77" s="87">
        <f t="shared" si="48"/>
        <v>0</v>
      </c>
      <c r="I77" s="101"/>
      <c r="J77" s="89"/>
      <c r="K77" s="247"/>
      <c r="L77" s="90"/>
      <c r="M77" s="189"/>
      <c r="N77" s="86"/>
      <c r="O77" s="90"/>
      <c r="P77" s="92"/>
      <c r="Q77" s="93"/>
      <c r="R77" s="94"/>
      <c r="S77" s="620"/>
      <c r="T77" s="96"/>
      <c r="U77" s="96"/>
      <c r="V77" s="65"/>
      <c r="W77" s="88"/>
      <c r="X77" s="253"/>
      <c r="Y77" s="253"/>
      <c r="Z77" s="185"/>
      <c r="AA77" s="185"/>
      <c r="AB77" s="601"/>
      <c r="AC77" s="601"/>
      <c r="AD77" s="101"/>
      <c r="AE77" s="101"/>
      <c r="AF77" s="92">
        <f t="shared" si="49"/>
        <v>0</v>
      </c>
      <c r="AG77" s="94" t="e">
        <f t="shared" si="50"/>
        <v>#DIV/0!</v>
      </c>
      <c r="AH77" s="620"/>
    </row>
    <row r="78" spans="1:34" ht="19.149999999999999" customHeight="1">
      <c r="A78" s="632"/>
      <c r="B78" s="65">
        <v>0</v>
      </c>
      <c r="C78" s="147"/>
      <c r="D78" s="83"/>
      <c r="E78" s="84"/>
      <c r="F78" s="85" t="s">
        <v>391</v>
      </c>
      <c r="G78" s="104"/>
      <c r="H78" s="87">
        <f t="shared" si="48"/>
        <v>0</v>
      </c>
      <c r="I78" s="101"/>
      <c r="J78" s="138"/>
      <c r="K78" s="104"/>
      <c r="L78" s="137"/>
      <c r="M78" s="189"/>
      <c r="N78" s="86"/>
      <c r="O78" s="90"/>
      <c r="P78" s="92"/>
      <c r="Q78" s="93"/>
      <c r="R78" s="94"/>
      <c r="S78" s="620"/>
      <c r="T78" s="96"/>
      <c r="U78" s="96"/>
      <c r="V78" s="65"/>
      <c r="W78" s="88"/>
      <c r="X78" s="253"/>
      <c r="Y78" s="253"/>
      <c r="Z78" s="185"/>
      <c r="AA78" s="185"/>
      <c r="AB78" s="601"/>
      <c r="AC78" s="601"/>
      <c r="AD78" s="101"/>
      <c r="AE78" s="101"/>
      <c r="AF78" s="92">
        <f t="shared" si="49"/>
        <v>0</v>
      </c>
      <c r="AG78" s="94" t="e">
        <f t="shared" si="50"/>
        <v>#DIV/0!</v>
      </c>
      <c r="AH78" s="620"/>
    </row>
    <row r="79" spans="1:34" ht="19.149999999999999" customHeight="1">
      <c r="A79" s="632"/>
      <c r="B79" s="65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101"/>
      <c r="J79" s="138"/>
      <c r="K79" s="104"/>
      <c r="L79" s="137"/>
      <c r="M79" s="189"/>
      <c r="N79" s="104"/>
      <c r="O79" s="254"/>
      <c r="P79" s="165"/>
      <c r="Q79" s="255"/>
      <c r="R79" s="166"/>
      <c r="S79" s="620"/>
      <c r="T79" s="96"/>
      <c r="U79" s="96"/>
      <c r="V79" s="65"/>
      <c r="W79" s="88">
        <f t="shared" si="47"/>
        <v>0</v>
      </c>
      <c r="X79" s="253"/>
      <c r="Y79" s="253"/>
      <c r="Z79" s="185"/>
      <c r="AA79" s="185"/>
      <c r="AB79" s="601"/>
      <c r="AC79" s="601"/>
      <c r="AD79" s="101"/>
      <c r="AE79" s="101"/>
      <c r="AF79" s="92">
        <f t="shared" si="49"/>
        <v>0</v>
      </c>
      <c r="AG79" s="94" t="e">
        <f t="shared" si="50"/>
        <v>#DIV/0!</v>
      </c>
      <c r="AH79" s="620"/>
    </row>
    <row r="80" spans="1:34" ht="19.149999999999999" customHeight="1">
      <c r="A80" s="632"/>
      <c r="B80" s="65">
        <v>0</v>
      </c>
      <c r="C80" s="147"/>
      <c r="D80" s="83"/>
      <c r="E80" s="84"/>
      <c r="F80" s="85"/>
      <c r="G80" s="104"/>
      <c r="H80" s="87">
        <f t="shared" si="48"/>
        <v>0</v>
      </c>
      <c r="I80" s="101"/>
      <c r="J80" s="138"/>
      <c r="K80" s="104"/>
      <c r="L80" s="137"/>
      <c r="M80" s="189"/>
      <c r="N80" s="104"/>
      <c r="O80" s="256"/>
      <c r="P80" s="100"/>
      <c r="Q80" s="139"/>
      <c r="R80" s="257"/>
      <c r="S80" s="620"/>
      <c r="T80" s="96"/>
      <c r="U80" s="96"/>
      <c r="V80" s="65"/>
      <c r="W80" s="88">
        <f t="shared" si="47"/>
        <v>0</v>
      </c>
      <c r="X80" s="253"/>
      <c r="Y80" s="253"/>
      <c r="Z80" s="185"/>
      <c r="AA80" s="185"/>
      <c r="AB80" s="601"/>
      <c r="AC80" s="601"/>
      <c r="AD80" s="101"/>
      <c r="AE80" s="101"/>
      <c r="AF80" s="92">
        <f t="shared" si="49"/>
        <v>0</v>
      </c>
      <c r="AG80" s="94" t="e">
        <f t="shared" si="50"/>
        <v>#DIV/0!</v>
      </c>
      <c r="AH80" s="620"/>
    </row>
    <row r="81" spans="1:34" ht="19.149999999999999" customHeight="1">
      <c r="A81" s="632"/>
      <c r="B81" s="65">
        <v>0</v>
      </c>
      <c r="C81" s="147"/>
      <c r="D81" s="83"/>
      <c r="E81" s="84"/>
      <c r="F81" s="199"/>
      <c r="G81" s="104"/>
      <c r="H81" s="135"/>
      <c r="I81" s="101"/>
      <c r="J81" s="138"/>
      <c r="K81" s="104"/>
      <c r="L81" s="137"/>
      <c r="M81" s="189"/>
      <c r="N81" s="104"/>
      <c r="O81" s="256"/>
      <c r="P81" s="100"/>
      <c r="Q81" s="139"/>
      <c r="R81" s="257"/>
      <c r="S81" s="620"/>
      <c r="T81" s="96"/>
      <c r="U81" s="96"/>
      <c r="V81" s="65"/>
      <c r="W81" s="88">
        <f t="shared" si="47"/>
        <v>0</v>
      </c>
      <c r="X81" s="253"/>
      <c r="Y81" s="253"/>
      <c r="Z81" s="185"/>
      <c r="AA81" s="185"/>
      <c r="AB81" s="601"/>
      <c r="AC81" s="601"/>
      <c r="AD81" s="101"/>
      <c r="AE81" s="101"/>
      <c r="AF81" s="92"/>
      <c r="AG81" s="186"/>
      <c r="AH81" s="620"/>
    </row>
    <row r="82" spans="1:34" ht="19.149999999999999" customHeight="1">
      <c r="A82" s="633"/>
      <c r="B82" s="240">
        <v>0</v>
      </c>
      <c r="C82" s="156" t="s">
        <v>267</v>
      </c>
      <c r="D82" s="602" t="s">
        <v>256</v>
      </c>
      <c r="E82" s="602"/>
      <c r="F82" s="258"/>
      <c r="G82" s="158"/>
      <c r="H82" s="159"/>
      <c r="I82" s="160"/>
      <c r="J82" s="158">
        <v>16.399999999999999</v>
      </c>
      <c r="K82" s="158">
        <v>1424</v>
      </c>
      <c r="L82" s="161">
        <v>87.873015873015873</v>
      </c>
      <c r="M82" s="158">
        <f t="shared" ref="M82:O82" si="51">AVERAGE(M70:M81)</f>
        <v>16.2</v>
      </c>
      <c r="N82" s="158">
        <f t="shared" si="51"/>
        <v>1234.303849918678</v>
      </c>
      <c r="O82" s="259">
        <f t="shared" si="51"/>
        <v>76.853461128768686</v>
      </c>
      <c r="P82" s="175">
        <f>M82-J82</f>
        <v>-0.19999999999999929</v>
      </c>
      <c r="Q82" s="176">
        <f>N82-K82</f>
        <v>-189.696150081322</v>
      </c>
      <c r="R82" s="245">
        <f>O82/L82</f>
        <v>0.87459683004198463</v>
      </c>
      <c r="S82" s="620"/>
      <c r="T82" s="96"/>
      <c r="U82" s="96"/>
      <c r="V82" s="65"/>
      <c r="W82" s="86"/>
      <c r="X82" s="90"/>
      <c r="Y82" s="90"/>
      <c r="Z82" s="163">
        <f>SUM(Z70:Z81)</f>
        <v>0</v>
      </c>
      <c r="AA82" s="163">
        <f>SUM(AA70:AA81)</f>
        <v>0</v>
      </c>
      <c r="AB82" s="601"/>
      <c r="AC82" s="601"/>
      <c r="AD82" s="164">
        <f>SUM(AD70:AD81)</f>
        <v>0</v>
      </c>
      <c r="AE82" s="164">
        <f>SUM(AE70:AE81)</f>
        <v>0</v>
      </c>
      <c r="AF82" s="92">
        <f>N82-K82</f>
        <v>-189.696150081322</v>
      </c>
      <c r="AG82" s="94">
        <f>N82/K82</f>
        <v>0.86678641145974578</v>
      </c>
      <c r="AH82" s="620"/>
    </row>
    <row r="83" spans="1:34" ht="19.149999999999999" customHeight="1">
      <c r="A83" s="630" t="s">
        <v>268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4336.8</v>
      </c>
      <c r="H83" s="135">
        <f t="shared" ref="H83:H94" si="52">F83*G83</f>
        <v>231411.64800000002</v>
      </c>
      <c r="I83" s="101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7" si="53">G83/W83*60</f>
        <v>1263.1456310679612</v>
      </c>
      <c r="O83" s="256">
        <f t="shared" ref="O83:O87" si="54">N83/M83</f>
        <v>70.174757281553397</v>
      </c>
      <c r="P83" s="100">
        <f t="shared" ref="P83:P87" si="55">M83-J83</f>
        <v>0</v>
      </c>
      <c r="Q83" s="139">
        <f t="shared" ref="Q83:Q87" si="56">O83-L83</f>
        <v>-2.0474649406688314</v>
      </c>
      <c r="R83" s="261">
        <f t="shared" ref="R83:R87" si="57">O83/L83</f>
        <v>0.97165048543689314</v>
      </c>
      <c r="S83" s="620">
        <f>R95</f>
        <v>0.87385632330326102</v>
      </c>
      <c r="T83" s="96">
        <v>0.33333333333333331</v>
      </c>
      <c r="U83" s="96">
        <v>0.47638888888888886</v>
      </c>
      <c r="V83" s="65">
        <v>5</v>
      </c>
      <c r="W83" s="88">
        <f t="shared" ref="W83:W93" si="58">(U83-T83)*24*60</f>
        <v>206</v>
      </c>
      <c r="X83" s="99"/>
      <c r="Y83" s="99"/>
      <c r="Z83" s="100"/>
      <c r="AA83" s="100"/>
      <c r="AB83" s="601"/>
      <c r="AC83" s="601"/>
      <c r="AD83" s="101"/>
      <c r="AE83" s="101"/>
      <c r="AF83" s="92">
        <f t="shared" ref="AF83:AF173" si="59">N83-K83</f>
        <v>-36.854368932038824</v>
      </c>
      <c r="AG83" s="94">
        <f t="shared" ref="AG83:AG173" si="60">N83/K83</f>
        <v>0.97165048543689325</v>
      </c>
      <c r="AH83" s="620">
        <f>AG95</f>
        <v>0.83788504763612137</v>
      </c>
    </row>
    <row r="84" spans="1:34" ht="19.149999999999999" customHeight="1">
      <c r="A84" s="631"/>
      <c r="B84" s="167" t="s">
        <v>387</v>
      </c>
      <c r="C84" s="147"/>
      <c r="D84" s="262" t="s">
        <v>164</v>
      </c>
      <c r="E84" s="84"/>
      <c r="F84" s="199">
        <v>56.43</v>
      </c>
      <c r="G84" s="86">
        <v>744</v>
      </c>
      <c r="H84" s="135">
        <f t="shared" si="52"/>
        <v>41983.92</v>
      </c>
      <c r="I84" s="65"/>
      <c r="J84" s="138">
        <v>19</v>
      </c>
      <c r="K84" s="104">
        <v>1385</v>
      </c>
      <c r="L84" s="137">
        <v>72.89473684210526</v>
      </c>
      <c r="M84" s="189">
        <v>18</v>
      </c>
      <c r="N84" s="104">
        <f t="shared" si="53"/>
        <v>1038.1395348837209</v>
      </c>
      <c r="O84" s="256">
        <f t="shared" si="54"/>
        <v>57.674418604651159</v>
      </c>
      <c r="P84" s="100">
        <f t="shared" si="55"/>
        <v>-1</v>
      </c>
      <c r="Q84" s="139">
        <f t="shared" si="56"/>
        <v>-15.220318237454102</v>
      </c>
      <c r="R84" s="261">
        <f t="shared" si="57"/>
        <v>0.79120141046091841</v>
      </c>
      <c r="S84" s="620"/>
      <c r="T84" s="96">
        <v>0.51805555555555549</v>
      </c>
      <c r="U84" s="96">
        <v>0.54791666666666661</v>
      </c>
      <c r="V84" s="65">
        <v>7</v>
      </c>
      <c r="W84" s="88">
        <f t="shared" si="58"/>
        <v>43.000000000000007</v>
      </c>
      <c r="X84" s="99"/>
      <c r="Y84" s="99"/>
      <c r="Z84" s="100"/>
      <c r="AA84" s="100"/>
      <c r="AB84" s="601"/>
      <c r="AC84" s="601"/>
      <c r="AD84" s="101"/>
      <c r="AE84" s="101">
        <v>1</v>
      </c>
      <c r="AF84" s="92">
        <f t="shared" si="59"/>
        <v>-346.8604651162791</v>
      </c>
      <c r="AG84" s="94">
        <f t="shared" si="60"/>
        <v>0.74955923096297539</v>
      </c>
      <c r="AH84" s="620"/>
    </row>
    <row r="85" spans="1:34" ht="19.149999999999999" customHeight="1">
      <c r="A85" s="631"/>
      <c r="B85" s="167" t="s">
        <v>388</v>
      </c>
      <c r="C85" s="183"/>
      <c r="D85" s="262" t="s">
        <v>150</v>
      </c>
      <c r="E85" s="84"/>
      <c r="F85" s="199">
        <v>31.43</v>
      </c>
      <c r="G85" s="86">
        <v>593</v>
      </c>
      <c r="H85" s="135">
        <f t="shared" si="52"/>
        <v>18637.990000000002</v>
      </c>
      <c r="I85" s="65"/>
      <c r="J85" s="138">
        <v>6</v>
      </c>
      <c r="K85" s="104">
        <v>1500</v>
      </c>
      <c r="L85" s="137">
        <v>250</v>
      </c>
      <c r="M85" s="189">
        <v>6</v>
      </c>
      <c r="N85" s="104">
        <f t="shared" si="53"/>
        <v>1368.4615384615349</v>
      </c>
      <c r="O85" s="256">
        <f t="shared" si="54"/>
        <v>228.0769230769225</v>
      </c>
      <c r="P85" s="100">
        <f t="shared" si="55"/>
        <v>0</v>
      </c>
      <c r="Q85" s="139">
        <f t="shared" si="56"/>
        <v>-21.923076923077502</v>
      </c>
      <c r="R85" s="261">
        <f t="shared" si="57"/>
        <v>0.91230769230769004</v>
      </c>
      <c r="S85" s="620"/>
      <c r="T85" s="96">
        <v>0.55347222222222214</v>
      </c>
      <c r="U85" s="96">
        <v>0.57152777777777775</v>
      </c>
      <c r="V85" s="65">
        <v>8</v>
      </c>
      <c r="W85" s="88">
        <f t="shared" si="58"/>
        <v>26.000000000000068</v>
      </c>
      <c r="X85" s="99"/>
      <c r="Y85" s="99"/>
      <c r="Z85" s="100"/>
      <c r="AA85" s="100"/>
      <c r="AB85" s="601"/>
      <c r="AC85" s="601"/>
      <c r="AD85" s="101"/>
      <c r="AE85" s="101"/>
      <c r="AF85" s="92">
        <f t="shared" si="59"/>
        <v>-131.53846153846507</v>
      </c>
      <c r="AG85" s="94">
        <f t="shared" si="60"/>
        <v>0.91230769230768993</v>
      </c>
      <c r="AH85" s="620"/>
    </row>
    <row r="86" spans="1:34" ht="19.149999999999999" customHeight="1">
      <c r="A86" s="631"/>
      <c r="B86" s="167" t="s">
        <v>390</v>
      </c>
      <c r="C86" s="152"/>
      <c r="D86" s="262" t="s">
        <v>165</v>
      </c>
      <c r="E86" s="84"/>
      <c r="F86" s="199">
        <v>58.17</v>
      </c>
      <c r="G86" s="86">
        <v>1069</v>
      </c>
      <c r="H86" s="135">
        <f t="shared" si="52"/>
        <v>62183.73</v>
      </c>
      <c r="I86" s="65"/>
      <c r="J86" s="138">
        <v>19</v>
      </c>
      <c r="K86" s="104">
        <v>1385</v>
      </c>
      <c r="L86" s="137">
        <v>72.89473684210526</v>
      </c>
      <c r="M86" s="189">
        <v>19</v>
      </c>
      <c r="N86" s="104">
        <f t="shared" si="53"/>
        <v>1105.8620689655181</v>
      </c>
      <c r="O86" s="256">
        <f t="shared" si="54"/>
        <v>58.203266787658848</v>
      </c>
      <c r="P86" s="100">
        <f t="shared" si="55"/>
        <v>0</v>
      </c>
      <c r="Q86" s="139">
        <f t="shared" si="56"/>
        <v>-14.691470054446413</v>
      </c>
      <c r="R86" s="261">
        <f t="shared" si="57"/>
        <v>0.79845636748412863</v>
      </c>
      <c r="S86" s="620"/>
      <c r="T86" s="96">
        <v>0.70833333333333337</v>
      </c>
      <c r="U86" s="96">
        <v>0.74861111111111112</v>
      </c>
      <c r="V86" s="65">
        <v>5</v>
      </c>
      <c r="W86" s="88">
        <f t="shared" si="58"/>
        <v>57.999999999999957</v>
      </c>
      <c r="X86" s="99"/>
      <c r="Y86" s="99"/>
      <c r="Z86" s="100"/>
      <c r="AA86" s="100"/>
      <c r="AB86" s="601"/>
      <c r="AC86" s="601"/>
      <c r="AD86" s="101"/>
      <c r="AE86" s="101"/>
      <c r="AF86" s="92">
        <f t="shared" si="59"/>
        <v>-279.13793103448188</v>
      </c>
      <c r="AG86" s="94">
        <f t="shared" si="60"/>
        <v>0.79845636748412863</v>
      </c>
      <c r="AH86" s="620"/>
    </row>
    <row r="87" spans="1:34" ht="19.149999999999999" customHeight="1">
      <c r="A87" s="631"/>
      <c r="B87" s="167" t="s">
        <v>390</v>
      </c>
      <c r="C87" s="152"/>
      <c r="D87" s="262" t="s">
        <v>166</v>
      </c>
      <c r="E87" s="84"/>
      <c r="F87" s="199">
        <v>53.68</v>
      </c>
      <c r="G87" s="86">
        <v>1135</v>
      </c>
      <c r="H87" s="135">
        <f t="shared" si="52"/>
        <v>60926.8</v>
      </c>
      <c r="I87" s="65"/>
      <c r="J87" s="138">
        <v>20</v>
      </c>
      <c r="K87" s="104">
        <v>1380</v>
      </c>
      <c r="L87" s="137">
        <v>69</v>
      </c>
      <c r="M87" s="189">
        <v>19</v>
      </c>
      <c r="N87" s="104">
        <f t="shared" si="53"/>
        <v>1047.692307692309</v>
      </c>
      <c r="O87" s="256">
        <f t="shared" si="54"/>
        <v>55.141700404858369</v>
      </c>
      <c r="P87" s="100">
        <f t="shared" si="55"/>
        <v>-1</v>
      </c>
      <c r="Q87" s="139">
        <f t="shared" si="56"/>
        <v>-13.858299595141631</v>
      </c>
      <c r="R87" s="261">
        <f t="shared" si="57"/>
        <v>0.79915507833128074</v>
      </c>
      <c r="S87" s="620"/>
      <c r="T87" s="96">
        <v>0.76388888888888884</v>
      </c>
      <c r="U87" s="96">
        <v>0.80902777777777768</v>
      </c>
      <c r="V87" s="65">
        <v>22</v>
      </c>
      <c r="W87" s="88">
        <f t="shared" si="58"/>
        <v>64.999999999999929</v>
      </c>
      <c r="X87" s="99">
        <v>0.75208333333333333</v>
      </c>
      <c r="Y87" s="99">
        <v>0.76111111111111107</v>
      </c>
      <c r="Z87" s="100"/>
      <c r="AA87" s="100"/>
      <c r="AB87" s="601"/>
      <c r="AC87" s="601"/>
      <c r="AD87" s="101"/>
      <c r="AE87" s="101"/>
      <c r="AF87" s="92">
        <f t="shared" si="59"/>
        <v>-332.30769230769101</v>
      </c>
      <c r="AG87" s="94">
        <f t="shared" si="60"/>
        <v>0.75919732441471666</v>
      </c>
      <c r="AH87" s="620"/>
    </row>
    <row r="88" spans="1:34" ht="19.149999999999999" customHeight="1">
      <c r="A88" s="631"/>
      <c r="B88" s="167">
        <v>0</v>
      </c>
      <c r="C88" s="147"/>
      <c r="D88" s="262"/>
      <c r="E88" s="84"/>
      <c r="F88" s="199" t="s">
        <v>391</v>
      </c>
      <c r="G88" s="104"/>
      <c r="H88" s="135">
        <f t="shared" si="52"/>
        <v>0</v>
      </c>
      <c r="I88" s="65"/>
      <c r="J88" s="138"/>
      <c r="K88" s="104"/>
      <c r="L88" s="137"/>
      <c r="M88" s="189"/>
      <c r="N88" s="104"/>
      <c r="O88" s="256"/>
      <c r="P88" s="100"/>
      <c r="Q88" s="139"/>
      <c r="R88" s="261"/>
      <c r="S88" s="620"/>
      <c r="T88" s="96"/>
      <c r="U88" s="96"/>
      <c r="V88" s="65"/>
      <c r="W88" s="88"/>
      <c r="X88" s="99"/>
      <c r="Y88" s="99"/>
      <c r="Z88" s="100"/>
      <c r="AA88" s="100"/>
      <c r="AB88" s="601"/>
      <c r="AC88" s="601"/>
      <c r="AD88" s="101"/>
      <c r="AE88" s="101"/>
      <c r="AF88" s="92">
        <f t="shared" si="59"/>
        <v>0</v>
      </c>
      <c r="AG88" s="94" t="e">
        <f t="shared" si="60"/>
        <v>#DIV/0!</v>
      </c>
      <c r="AH88" s="620"/>
    </row>
    <row r="89" spans="1:34" ht="19.149999999999999" customHeight="1">
      <c r="A89" s="631"/>
      <c r="B89" s="167">
        <v>0</v>
      </c>
      <c r="C89" s="147"/>
      <c r="D89" s="83"/>
      <c r="E89" s="84"/>
      <c r="F89" s="199" t="s">
        <v>391</v>
      </c>
      <c r="G89" s="173"/>
      <c r="H89" s="135">
        <f t="shared" si="52"/>
        <v>0</v>
      </c>
      <c r="I89" s="65"/>
      <c r="J89" s="138"/>
      <c r="K89" s="104"/>
      <c r="L89" s="137"/>
      <c r="M89" s="189"/>
      <c r="N89" s="104"/>
      <c r="O89" s="256"/>
      <c r="P89" s="100"/>
      <c r="Q89" s="139"/>
      <c r="R89" s="261"/>
      <c r="S89" s="620"/>
      <c r="T89" s="96"/>
      <c r="U89" s="96"/>
      <c r="V89" s="65"/>
      <c r="W89" s="88"/>
      <c r="X89" s="99"/>
      <c r="Y89" s="99"/>
      <c r="Z89" s="100"/>
      <c r="AA89" s="100"/>
      <c r="AB89" s="601"/>
      <c r="AC89" s="601"/>
      <c r="AD89" s="101"/>
      <c r="AE89" s="101"/>
      <c r="AF89" s="92">
        <f t="shared" si="59"/>
        <v>0</v>
      </c>
      <c r="AG89" s="94" t="e">
        <f t="shared" si="60"/>
        <v>#DIV/0!</v>
      </c>
      <c r="AH89" s="620"/>
    </row>
    <row r="90" spans="1:34" ht="19.149999999999999" customHeight="1">
      <c r="A90" s="631"/>
      <c r="B90" s="167">
        <v>0</v>
      </c>
      <c r="C90" s="147"/>
      <c r="D90" s="83"/>
      <c r="E90" s="84"/>
      <c r="F90" s="199" t="s">
        <v>391</v>
      </c>
      <c r="G90" s="188"/>
      <c r="H90" s="135">
        <f t="shared" si="52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0"/>
      <c r="T90" s="96"/>
      <c r="U90" s="96"/>
      <c r="V90" s="65"/>
      <c r="W90" s="88"/>
      <c r="X90" s="264"/>
      <c r="Y90" s="264"/>
      <c r="Z90" s="100"/>
      <c r="AA90" s="100"/>
      <c r="AB90" s="601"/>
      <c r="AC90" s="601"/>
      <c r="AD90" s="101"/>
      <c r="AE90" s="101"/>
      <c r="AF90" s="92">
        <f t="shared" si="59"/>
        <v>0</v>
      </c>
      <c r="AG90" s="94" t="e">
        <f t="shared" si="60"/>
        <v>#DIV/0!</v>
      </c>
      <c r="AH90" s="620"/>
    </row>
    <row r="91" spans="1:34" ht="19.149999999999999" customHeight="1">
      <c r="A91" s="631"/>
      <c r="B91" s="167">
        <v>0</v>
      </c>
      <c r="C91" s="147"/>
      <c r="D91" s="83"/>
      <c r="E91" s="84"/>
      <c r="F91" s="199" t="s">
        <v>391</v>
      </c>
      <c r="G91" s="86"/>
      <c r="H91" s="135">
        <f t="shared" si="52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3"/>
      <c r="T91" s="96"/>
      <c r="U91" s="96"/>
      <c r="V91" s="65"/>
      <c r="W91" s="88"/>
      <c r="X91" s="174"/>
      <c r="Y91" s="174"/>
      <c r="Z91" s="100"/>
      <c r="AA91" s="100"/>
      <c r="AB91" s="601"/>
      <c r="AC91" s="601"/>
      <c r="AD91" s="101"/>
      <c r="AE91" s="101"/>
      <c r="AF91" s="92">
        <f t="shared" si="59"/>
        <v>0</v>
      </c>
      <c r="AG91" s="94" t="e">
        <f t="shared" si="60"/>
        <v>#DIV/0!</v>
      </c>
      <c r="AH91" s="623"/>
    </row>
    <row r="92" spans="1:34" ht="19.149999999999999" customHeight="1">
      <c r="A92" s="631"/>
      <c r="B92" s="167">
        <v>0</v>
      </c>
      <c r="C92" s="147"/>
      <c r="D92" s="83"/>
      <c r="E92" s="84"/>
      <c r="F92" s="199" t="s">
        <v>391</v>
      </c>
      <c r="G92" s="86"/>
      <c r="H92" s="135">
        <f t="shared" si="52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1"/>
      <c r="S92" s="623"/>
      <c r="T92" s="96"/>
      <c r="U92" s="96"/>
      <c r="V92" s="65"/>
      <c r="W92" s="88"/>
      <c r="X92" s="253"/>
      <c r="Y92" s="253"/>
      <c r="Z92" s="185"/>
      <c r="AA92" s="185"/>
      <c r="AB92" s="601"/>
      <c r="AC92" s="601"/>
      <c r="AD92" s="101"/>
      <c r="AE92" s="101"/>
      <c r="AF92" s="92">
        <f t="shared" si="59"/>
        <v>0</v>
      </c>
      <c r="AG92" s="94" t="e">
        <f t="shared" si="60"/>
        <v>#DIV/0!</v>
      </c>
      <c r="AH92" s="623"/>
    </row>
    <row r="93" spans="1:34" ht="19.149999999999999" customHeight="1">
      <c r="A93" s="631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2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0"/>
      <c r="S93" s="629"/>
      <c r="T93" s="111"/>
      <c r="U93" s="111"/>
      <c r="V93" s="109"/>
      <c r="W93" s="88">
        <f t="shared" si="58"/>
        <v>0</v>
      </c>
      <c r="X93" s="275"/>
      <c r="Y93" s="275"/>
      <c r="Z93" s="185"/>
      <c r="AA93" s="185"/>
      <c r="AB93" s="601"/>
      <c r="AC93" s="601"/>
      <c r="AD93" s="101"/>
      <c r="AE93" s="101"/>
      <c r="AF93" s="92">
        <f t="shared" si="59"/>
        <v>0</v>
      </c>
      <c r="AG93" s="94" t="e">
        <f t="shared" si="60"/>
        <v>#DIV/0!</v>
      </c>
      <c r="AH93" s="623"/>
    </row>
    <row r="94" spans="1:34" ht="19.149999999999999" customHeight="1">
      <c r="A94" s="631"/>
      <c r="B94" s="109">
        <v>0</v>
      </c>
      <c r="C94" s="272"/>
      <c r="D94" s="83"/>
      <c r="E94" s="84"/>
      <c r="F94" s="199" t="s">
        <v>391</v>
      </c>
      <c r="G94" s="86"/>
      <c r="H94" s="135">
        <f t="shared" si="52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0"/>
      <c r="S94" s="629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01"/>
      <c r="AC94" s="601"/>
      <c r="AD94" s="101"/>
      <c r="AE94" s="101"/>
      <c r="AF94" s="92">
        <f t="shared" si="59"/>
        <v>0</v>
      </c>
      <c r="AG94" s="94" t="e">
        <f t="shared" si="60"/>
        <v>#DIV/0!</v>
      </c>
      <c r="AH94" s="623"/>
    </row>
    <row r="95" spans="1:34" ht="19.149999999999999" customHeight="1">
      <c r="A95" s="631"/>
      <c r="B95" s="278">
        <v>0</v>
      </c>
      <c r="C95" s="156" t="s">
        <v>269</v>
      </c>
      <c r="D95" s="602" t="s">
        <v>256</v>
      </c>
      <c r="E95" s="602"/>
      <c r="F95" s="119"/>
      <c r="G95" s="120"/>
      <c r="H95" s="279"/>
      <c r="I95" s="160"/>
      <c r="J95" s="280">
        <v>16.399999999999999</v>
      </c>
      <c r="K95" s="280">
        <v>1390</v>
      </c>
      <c r="L95" s="281">
        <v>107.40233918128656</v>
      </c>
      <c r="M95" s="280">
        <f t="shared" ref="M95:O95" si="61">AVERAGE(M83:M94)</f>
        <v>16</v>
      </c>
      <c r="N95" s="280">
        <f t="shared" si="61"/>
        <v>1164.6602162142087</v>
      </c>
      <c r="O95" s="281">
        <f t="shared" si="61"/>
        <v>93.854213231128853</v>
      </c>
      <c r="P95" s="282">
        <f>M95-J95</f>
        <v>-0.39999999999999858</v>
      </c>
      <c r="Q95" s="283">
        <f t="shared" ref="Q95:Q102" si="62">O95-L95</f>
        <v>-13.548125950157711</v>
      </c>
      <c r="R95" s="284">
        <f>O95/L95</f>
        <v>0.87385632330326102</v>
      </c>
      <c r="S95" s="623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01"/>
      <c r="AC95" s="601"/>
      <c r="AD95" s="164">
        <f>SUM(AD83:AD94)</f>
        <v>0</v>
      </c>
      <c r="AE95" s="164">
        <f>SUM(AE83:AE94)</f>
        <v>1</v>
      </c>
      <c r="AF95" s="113">
        <f t="shared" si="59"/>
        <v>-225.33978378579127</v>
      </c>
      <c r="AG95" s="114">
        <f t="shared" si="60"/>
        <v>0.83788504763612137</v>
      </c>
      <c r="AH95" s="623"/>
    </row>
    <row r="96" spans="1:34" ht="19.149999999999999" customHeight="1">
      <c r="A96" s="628" t="s">
        <v>270</v>
      </c>
      <c r="B96" s="65" t="s">
        <v>388</v>
      </c>
      <c r="C96" s="152"/>
      <c r="D96" s="83" t="s">
        <v>168</v>
      </c>
      <c r="E96" s="84"/>
      <c r="F96" s="85">
        <v>36.92</v>
      </c>
      <c r="G96" s="86">
        <v>417</v>
      </c>
      <c r="H96" s="87">
        <f t="shared" ref="H96:H106" si="63">F96*G96</f>
        <v>15395.640000000001</v>
      </c>
      <c r="I96" s="65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2" si="64">G96/W96*60</f>
        <v>1137.2727272727273</v>
      </c>
      <c r="O96" s="90">
        <f t="shared" ref="O96:O102" si="65">N96/M96</f>
        <v>227.45454545454544</v>
      </c>
      <c r="P96" s="92">
        <f t="shared" ref="P96:P102" si="66">M96-J96</f>
        <v>-1</v>
      </c>
      <c r="Q96" s="93">
        <f t="shared" si="62"/>
        <v>-22.545454545454561</v>
      </c>
      <c r="R96" s="94">
        <f t="shared" ref="R96:R102" si="67">O96/L96</f>
        <v>0.90981818181818175</v>
      </c>
      <c r="S96" s="620">
        <f>R108</f>
        <v>0.83509416258943903</v>
      </c>
      <c r="T96" s="142">
        <v>0.29166666666666669</v>
      </c>
      <c r="U96" s="142">
        <v>0.30694444444444446</v>
      </c>
      <c r="V96" s="101">
        <v>5</v>
      </c>
      <c r="W96" s="143">
        <f t="shared" ref="W96:W122" si="68">(U96-T96)*24*60</f>
        <v>22</v>
      </c>
      <c r="X96" s="151"/>
      <c r="Y96" s="151"/>
      <c r="Z96" s="100"/>
      <c r="AA96" s="100"/>
      <c r="AB96" s="601"/>
      <c r="AC96" s="601"/>
      <c r="AD96" s="101"/>
      <c r="AE96" s="101"/>
      <c r="AF96" s="100">
        <f t="shared" si="59"/>
        <v>-362.72727272727275</v>
      </c>
      <c r="AG96" s="140">
        <f t="shared" si="60"/>
        <v>0.75818181818181818</v>
      </c>
      <c r="AH96" s="605">
        <f>AG108</f>
        <v>0.9385877930767148</v>
      </c>
    </row>
    <row r="97" spans="1:34" s="294" customFormat="1" ht="19.149999999999999" customHeight="1">
      <c r="A97" s="628"/>
      <c r="B97" s="65" t="s">
        <v>389</v>
      </c>
      <c r="C97" s="285"/>
      <c r="D97" s="286" t="s">
        <v>169</v>
      </c>
      <c r="E97" s="103"/>
      <c r="F97" s="287">
        <v>24.73</v>
      </c>
      <c r="G97" s="288">
        <v>1886</v>
      </c>
      <c r="H97" s="289">
        <f t="shared" si="63"/>
        <v>46640.78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4"/>
        <v>2135.094339622643</v>
      </c>
      <c r="O97" s="90">
        <f t="shared" si="65"/>
        <v>427.01886792452859</v>
      </c>
      <c r="P97" s="92">
        <f t="shared" si="66"/>
        <v>1</v>
      </c>
      <c r="Q97" s="93">
        <f t="shared" si="62"/>
        <v>-72.981132075471407</v>
      </c>
      <c r="R97" s="94">
        <f t="shared" si="67"/>
        <v>0.85403773584905718</v>
      </c>
      <c r="S97" s="620"/>
      <c r="T97" s="290">
        <v>0.31111111111111112</v>
      </c>
      <c r="U97" s="290">
        <v>0.34791666666666665</v>
      </c>
      <c r="V97" s="291">
        <v>6</v>
      </c>
      <c r="W97" s="143">
        <f t="shared" si="68"/>
        <v>52.999999999999972</v>
      </c>
      <c r="X97" s="99"/>
      <c r="Y97" s="99"/>
      <c r="Z97" s="100"/>
      <c r="AA97" s="100"/>
      <c r="AB97" s="601"/>
      <c r="AC97" s="601"/>
      <c r="AD97" s="291"/>
      <c r="AE97" s="291"/>
      <c r="AF97" s="292">
        <f t="shared" si="59"/>
        <v>135.09433962264302</v>
      </c>
      <c r="AG97" s="293">
        <f t="shared" si="60"/>
        <v>1.0675471698113215</v>
      </c>
      <c r="AH97" s="605"/>
    </row>
    <row r="98" spans="1:34" s="298" customFormat="1" ht="19.149999999999999" customHeight="1">
      <c r="A98" s="628"/>
      <c r="B98" s="65" t="s">
        <v>389</v>
      </c>
      <c r="C98" s="102"/>
      <c r="D98" s="83" t="s">
        <v>170</v>
      </c>
      <c r="E98" s="133"/>
      <c r="F98" s="287">
        <v>24.73</v>
      </c>
      <c r="G98" s="104">
        <v>1715</v>
      </c>
      <c r="H98" s="289">
        <f t="shared" si="63"/>
        <v>42411.950000000004</v>
      </c>
      <c r="I98" s="101"/>
      <c r="J98" s="89">
        <v>4</v>
      </c>
      <c r="K98" s="86">
        <v>2000</v>
      </c>
      <c r="L98" s="90">
        <v>500</v>
      </c>
      <c r="M98" s="138">
        <v>5</v>
      </c>
      <c r="N98" s="86">
        <f t="shared" si="64"/>
        <v>2100.0000000000005</v>
      </c>
      <c r="O98" s="90">
        <f t="shared" si="65"/>
        <v>420.00000000000011</v>
      </c>
      <c r="P98" s="92">
        <f t="shared" si="66"/>
        <v>1</v>
      </c>
      <c r="Q98" s="93">
        <f t="shared" si="62"/>
        <v>-79.999999999999886</v>
      </c>
      <c r="R98" s="94">
        <f t="shared" si="67"/>
        <v>0.84000000000000019</v>
      </c>
      <c r="S98" s="620"/>
      <c r="T98" s="142">
        <v>0.36249999999999999</v>
      </c>
      <c r="U98" s="142">
        <v>0.39652777777777776</v>
      </c>
      <c r="V98" s="101">
        <v>21</v>
      </c>
      <c r="W98" s="143">
        <f t="shared" si="68"/>
        <v>48.999999999999986</v>
      </c>
      <c r="X98" s="295">
        <v>0.35138888888888892</v>
      </c>
      <c r="Y98" s="295">
        <v>0.35972222222222222</v>
      </c>
      <c r="Z98" s="296"/>
      <c r="AA98" s="296"/>
      <c r="AB98" s="601"/>
      <c r="AC98" s="601"/>
      <c r="AD98" s="101"/>
      <c r="AE98" s="101"/>
      <c r="AF98" s="297">
        <f t="shared" si="59"/>
        <v>100.00000000000045</v>
      </c>
      <c r="AG98" s="94">
        <f t="shared" si="60"/>
        <v>1.0500000000000003</v>
      </c>
      <c r="AH98" s="605"/>
    </row>
    <row r="99" spans="1:34" ht="19.149999999999999" customHeight="1">
      <c r="A99" s="628"/>
      <c r="B99" s="65" t="s">
        <v>389</v>
      </c>
      <c r="C99" s="131"/>
      <c r="D99" s="132" t="s">
        <v>171</v>
      </c>
      <c r="E99" s="133"/>
      <c r="F99" s="287">
        <v>22.83</v>
      </c>
      <c r="G99" s="104">
        <v>372</v>
      </c>
      <c r="H99" s="289">
        <f t="shared" si="63"/>
        <v>8492.76</v>
      </c>
      <c r="I99" s="101"/>
      <c r="J99" s="89">
        <v>6</v>
      </c>
      <c r="K99" s="86">
        <v>2000</v>
      </c>
      <c r="L99" s="90">
        <v>333.33333333333331</v>
      </c>
      <c r="M99" s="91">
        <v>7</v>
      </c>
      <c r="N99" s="86">
        <f t="shared" si="64"/>
        <v>1716.9230769230726</v>
      </c>
      <c r="O99" s="90">
        <f t="shared" si="65"/>
        <v>245.27472527472466</v>
      </c>
      <c r="P99" s="92">
        <f t="shared" si="66"/>
        <v>1</v>
      </c>
      <c r="Q99" s="93">
        <f t="shared" si="62"/>
        <v>-88.058608058608655</v>
      </c>
      <c r="R99" s="94">
        <f t="shared" si="67"/>
        <v>0.73582417582417403</v>
      </c>
      <c r="S99" s="620"/>
      <c r="T99" s="142">
        <v>0.40208333333333329</v>
      </c>
      <c r="U99" s="142">
        <v>0.41111111111111109</v>
      </c>
      <c r="V99" s="101">
        <v>8</v>
      </c>
      <c r="W99" s="143">
        <f t="shared" si="68"/>
        <v>13.000000000000034</v>
      </c>
      <c r="X99" s="253"/>
      <c r="Y99" s="253"/>
      <c r="Z99" s="185"/>
      <c r="AA99" s="185"/>
      <c r="AB99" s="601"/>
      <c r="AC99" s="601"/>
      <c r="AD99" s="101"/>
      <c r="AE99" s="101">
        <v>2</v>
      </c>
      <c r="AF99" s="92">
        <f t="shared" si="59"/>
        <v>-283.07692307692741</v>
      </c>
      <c r="AG99" s="186">
        <f t="shared" si="60"/>
        <v>0.85846153846153628</v>
      </c>
      <c r="AH99" s="605"/>
    </row>
    <row r="100" spans="1:34" s="298" customFormat="1" ht="19.149999999999999" customHeight="1">
      <c r="A100" s="628"/>
      <c r="B100" s="65" t="s">
        <v>389</v>
      </c>
      <c r="C100" s="102"/>
      <c r="D100" s="83" t="s">
        <v>172</v>
      </c>
      <c r="E100" s="133"/>
      <c r="F100" s="287">
        <v>22.27</v>
      </c>
      <c r="G100" s="104">
        <v>936</v>
      </c>
      <c r="H100" s="289">
        <f t="shared" si="63"/>
        <v>20844.72</v>
      </c>
      <c r="I100" s="101"/>
      <c r="J100" s="89">
        <v>4</v>
      </c>
      <c r="K100" s="86">
        <v>2000</v>
      </c>
      <c r="L100" s="90">
        <v>500</v>
      </c>
      <c r="M100" s="138">
        <v>5</v>
      </c>
      <c r="N100" s="86">
        <f t="shared" si="64"/>
        <v>2080.0000000000009</v>
      </c>
      <c r="O100" s="90">
        <f t="shared" si="65"/>
        <v>416.00000000000017</v>
      </c>
      <c r="P100" s="92">
        <f t="shared" si="66"/>
        <v>1</v>
      </c>
      <c r="Q100" s="93">
        <f t="shared" si="62"/>
        <v>-83.999999999999829</v>
      </c>
      <c r="R100" s="94">
        <f t="shared" si="67"/>
        <v>0.83200000000000029</v>
      </c>
      <c r="S100" s="620"/>
      <c r="T100" s="290">
        <v>0.41527777777777775</v>
      </c>
      <c r="U100" s="290">
        <v>0.43402777777777773</v>
      </c>
      <c r="V100" s="291">
        <v>6</v>
      </c>
      <c r="W100" s="143">
        <f t="shared" si="68"/>
        <v>26.999999999999986</v>
      </c>
      <c r="X100" s="299"/>
      <c r="Y100" s="299"/>
      <c r="Z100" s="296"/>
      <c r="AA100" s="296"/>
      <c r="AB100" s="601"/>
      <c r="AC100" s="601"/>
      <c r="AD100" s="101"/>
      <c r="AE100" s="101"/>
      <c r="AF100" s="297">
        <f t="shared" si="59"/>
        <v>80.000000000000909</v>
      </c>
      <c r="AG100" s="94">
        <f t="shared" si="60"/>
        <v>1.0400000000000005</v>
      </c>
      <c r="AH100" s="605"/>
    </row>
    <row r="101" spans="1:34" s="298" customFormat="1" ht="19.149999999999999" customHeight="1">
      <c r="A101" s="628"/>
      <c r="B101" s="65" t="s">
        <v>390</v>
      </c>
      <c r="C101" s="102"/>
      <c r="D101" s="132" t="s">
        <v>174</v>
      </c>
      <c r="E101" s="133"/>
      <c r="F101" s="287">
        <v>53.68</v>
      </c>
      <c r="G101" s="104">
        <v>967</v>
      </c>
      <c r="H101" s="289">
        <f t="shared" si="63"/>
        <v>51908.56</v>
      </c>
      <c r="I101" s="101"/>
      <c r="J101" s="89">
        <v>16</v>
      </c>
      <c r="K101" s="86">
        <v>1500</v>
      </c>
      <c r="L101" s="90">
        <v>93.75</v>
      </c>
      <c r="M101" s="138">
        <v>16</v>
      </c>
      <c r="N101" s="86">
        <f t="shared" si="64"/>
        <v>1289.3333333333312</v>
      </c>
      <c r="O101" s="90">
        <f t="shared" si="65"/>
        <v>80.583333333333201</v>
      </c>
      <c r="P101" s="92">
        <f t="shared" si="66"/>
        <v>0</v>
      </c>
      <c r="Q101" s="93">
        <f t="shared" si="62"/>
        <v>-13.166666666666799</v>
      </c>
      <c r="R101" s="94">
        <f t="shared" si="67"/>
        <v>0.85955555555555418</v>
      </c>
      <c r="S101" s="620"/>
      <c r="T101" s="290">
        <v>0.47569444444444436</v>
      </c>
      <c r="U101" s="142">
        <v>0.50694444444444442</v>
      </c>
      <c r="V101" s="291">
        <v>7</v>
      </c>
      <c r="W101" s="143">
        <f t="shared" si="68"/>
        <v>45.000000000000078</v>
      </c>
      <c r="X101" s="300"/>
      <c r="Y101" s="300"/>
      <c r="Z101" s="296"/>
      <c r="AA101" s="296"/>
      <c r="AB101" s="601"/>
      <c r="AC101" s="601"/>
      <c r="AD101" s="101"/>
      <c r="AE101" s="101"/>
      <c r="AF101" s="92">
        <f t="shared" si="59"/>
        <v>-210.66666666666879</v>
      </c>
      <c r="AG101" s="186">
        <f t="shared" si="60"/>
        <v>0.85955555555555418</v>
      </c>
      <c r="AH101" s="605"/>
    </row>
    <row r="102" spans="1:34" s="298" customFormat="1" ht="19.149999999999999" customHeight="1">
      <c r="A102" s="628"/>
      <c r="B102" s="65" t="s">
        <v>390</v>
      </c>
      <c r="C102" s="248"/>
      <c r="D102" s="249" t="s">
        <v>175</v>
      </c>
      <c r="E102" s="250"/>
      <c r="F102" s="287">
        <v>57.734999999999999</v>
      </c>
      <c r="G102" s="104">
        <v>1245.75</v>
      </c>
      <c r="H102" s="289">
        <f t="shared" si="63"/>
        <v>71923.376250000001</v>
      </c>
      <c r="I102" s="65"/>
      <c r="J102" s="89">
        <v>16</v>
      </c>
      <c r="K102" s="86">
        <v>1565</v>
      </c>
      <c r="L102" s="90">
        <v>97.8125</v>
      </c>
      <c r="M102" s="138">
        <v>16</v>
      </c>
      <c r="N102" s="86">
        <f t="shared" si="64"/>
        <v>1334.7321428571438</v>
      </c>
      <c r="O102" s="90">
        <f t="shared" si="65"/>
        <v>83.420758928571487</v>
      </c>
      <c r="P102" s="92">
        <f t="shared" si="66"/>
        <v>0</v>
      </c>
      <c r="Q102" s="93">
        <f t="shared" si="62"/>
        <v>-14.391741071428513</v>
      </c>
      <c r="R102" s="94">
        <f t="shared" si="67"/>
        <v>0.85286398904609828</v>
      </c>
      <c r="S102" s="620"/>
      <c r="T102" s="290">
        <v>0.51249999999999996</v>
      </c>
      <c r="U102" s="290">
        <v>0.55138888888888882</v>
      </c>
      <c r="V102" s="291">
        <v>8</v>
      </c>
      <c r="W102" s="143">
        <f t="shared" si="68"/>
        <v>55.999999999999957</v>
      </c>
      <c r="X102" s="300"/>
      <c r="Y102" s="300"/>
      <c r="Z102" s="296"/>
      <c r="AA102" s="296"/>
      <c r="AB102" s="601"/>
      <c r="AC102" s="601"/>
      <c r="AD102" s="101"/>
      <c r="AE102" s="101"/>
      <c r="AF102" s="297">
        <f t="shared" si="59"/>
        <v>-230.2678571428562</v>
      </c>
      <c r="AG102" s="94">
        <f t="shared" si="60"/>
        <v>0.85286398904609828</v>
      </c>
      <c r="AH102" s="605"/>
    </row>
    <row r="103" spans="1:34" s="298" customFormat="1" ht="19.149999999999999" customHeight="1">
      <c r="A103" s="628"/>
      <c r="B103" s="65">
        <v>0</v>
      </c>
      <c r="C103" s="301"/>
      <c r="D103" s="132"/>
      <c r="E103" s="133"/>
      <c r="F103" s="287" t="s">
        <v>391</v>
      </c>
      <c r="G103" s="104"/>
      <c r="H103" s="289">
        <f t="shared" si="63"/>
        <v>0</v>
      </c>
      <c r="I103" s="302"/>
      <c r="J103" s="89"/>
      <c r="K103" s="86"/>
      <c r="L103" s="90"/>
      <c r="M103" s="138"/>
      <c r="N103" s="86"/>
      <c r="O103" s="90"/>
      <c r="P103" s="92"/>
      <c r="Q103" s="93"/>
      <c r="R103" s="94"/>
      <c r="S103" s="620"/>
      <c r="T103" s="290"/>
      <c r="U103" s="290"/>
      <c r="V103" s="291"/>
      <c r="W103" s="143"/>
      <c r="X103" s="300"/>
      <c r="Y103" s="300"/>
      <c r="Z103" s="296"/>
      <c r="AA103" s="296"/>
      <c r="AB103" s="601"/>
      <c r="AC103" s="601"/>
      <c r="AD103" s="101"/>
      <c r="AE103" s="101"/>
      <c r="AF103" s="92">
        <f t="shared" si="59"/>
        <v>0</v>
      </c>
      <c r="AG103" s="186" t="e">
        <f t="shared" si="60"/>
        <v>#DIV/0!</v>
      </c>
      <c r="AH103" s="605"/>
    </row>
    <row r="104" spans="1:34" s="298" customFormat="1" ht="19.149999999999999" customHeight="1">
      <c r="A104" s="628"/>
      <c r="B104" s="65">
        <v>0</v>
      </c>
      <c r="C104" s="303"/>
      <c r="D104" s="132"/>
      <c r="E104" s="133"/>
      <c r="F104" s="287" t="s">
        <v>391</v>
      </c>
      <c r="G104" s="288"/>
      <c r="H104" s="289">
        <f t="shared" si="63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4"/>
      <c r="S104" s="623"/>
      <c r="T104" s="290"/>
      <c r="U104" s="290"/>
      <c r="V104" s="291"/>
      <c r="W104" s="143"/>
      <c r="X104" s="300"/>
      <c r="Y104" s="300"/>
      <c r="Z104" s="296"/>
      <c r="AA104" s="296"/>
      <c r="AB104" s="601"/>
      <c r="AC104" s="601"/>
      <c r="AD104" s="101"/>
      <c r="AE104" s="101"/>
      <c r="AF104" s="297">
        <f t="shared" si="59"/>
        <v>0</v>
      </c>
      <c r="AG104" s="94" t="e">
        <f t="shared" si="60"/>
        <v>#DIV/0!</v>
      </c>
      <c r="AH104" s="605"/>
    </row>
    <row r="105" spans="1:34" s="298" customFormat="1" ht="19.149999999999999" customHeight="1">
      <c r="A105" s="628"/>
      <c r="B105" s="65">
        <v>0</v>
      </c>
      <c r="C105" s="303"/>
      <c r="D105" s="132"/>
      <c r="E105" s="133"/>
      <c r="F105" s="287" t="s">
        <v>391</v>
      </c>
      <c r="G105" s="288"/>
      <c r="H105" s="289">
        <f t="shared" si="63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4"/>
      <c r="S105" s="623"/>
      <c r="T105" s="290"/>
      <c r="U105" s="290"/>
      <c r="V105" s="291"/>
      <c r="W105" s="143">
        <f t="shared" si="68"/>
        <v>0</v>
      </c>
      <c r="X105" s="300"/>
      <c r="Y105" s="300"/>
      <c r="Z105" s="296"/>
      <c r="AA105" s="296"/>
      <c r="AB105" s="601"/>
      <c r="AC105" s="601"/>
      <c r="AD105" s="101"/>
      <c r="AE105" s="101"/>
      <c r="AF105" s="296"/>
      <c r="AG105" s="140"/>
      <c r="AH105" s="605"/>
    </row>
    <row r="106" spans="1:34" s="298" customFormat="1" ht="19.149999999999999" customHeight="1">
      <c r="A106" s="628"/>
      <c r="B106" s="65">
        <v>0</v>
      </c>
      <c r="C106" s="303"/>
      <c r="D106" s="132"/>
      <c r="E106" s="133"/>
      <c r="F106" s="85" t="s">
        <v>391</v>
      </c>
      <c r="G106" s="288"/>
      <c r="H106" s="289">
        <f t="shared" si="63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0"/>
      <c r="S106" s="629"/>
      <c r="T106" s="290"/>
      <c r="U106" s="290"/>
      <c r="V106" s="291"/>
      <c r="W106" s="143">
        <f t="shared" si="68"/>
        <v>0</v>
      </c>
      <c r="X106" s="300"/>
      <c r="Y106" s="300"/>
      <c r="Z106" s="296"/>
      <c r="AA106" s="296"/>
      <c r="AB106" s="601"/>
      <c r="AC106" s="601"/>
      <c r="AD106" s="101"/>
      <c r="AE106" s="101"/>
      <c r="AF106" s="296"/>
      <c r="AG106" s="140"/>
      <c r="AH106" s="605"/>
    </row>
    <row r="107" spans="1:34" s="298" customFormat="1" ht="19.149999999999999" customHeight="1">
      <c r="A107" s="628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0"/>
      <c r="S107" s="629"/>
      <c r="T107" s="290"/>
      <c r="U107" s="290"/>
      <c r="V107" s="291"/>
      <c r="W107" s="143">
        <f t="shared" si="68"/>
        <v>0</v>
      </c>
      <c r="X107" s="300"/>
      <c r="Y107" s="300"/>
      <c r="Z107" s="296"/>
      <c r="AA107" s="296"/>
      <c r="AB107" s="601"/>
      <c r="AC107" s="601"/>
      <c r="AD107" s="101"/>
      <c r="AE107" s="101"/>
      <c r="AF107" s="296"/>
      <c r="AG107" s="140"/>
      <c r="AH107" s="605"/>
    </row>
    <row r="108" spans="1:34" ht="19.149999999999999" customHeight="1">
      <c r="A108" s="628"/>
      <c r="B108" s="167">
        <v>0</v>
      </c>
      <c r="C108" s="156" t="s">
        <v>271</v>
      </c>
      <c r="D108" s="602" t="s">
        <v>256</v>
      </c>
      <c r="E108" s="602"/>
      <c r="F108" s="307"/>
      <c r="G108" s="158"/>
      <c r="H108" s="159"/>
      <c r="I108" s="160"/>
      <c r="J108" s="158">
        <v>8</v>
      </c>
      <c r="K108" s="158">
        <v>1795</v>
      </c>
      <c r="L108" s="161">
        <v>324.98511904761898</v>
      </c>
      <c r="M108" s="158">
        <f t="shared" ref="M108:O108" si="69">AVERAGE(M96:M107)</f>
        <v>8.4285714285714288</v>
      </c>
      <c r="N108" s="158">
        <f t="shared" si="69"/>
        <v>1684.765088572703</v>
      </c>
      <c r="O108" s="161">
        <f t="shared" si="69"/>
        <v>271.39317584510053</v>
      </c>
      <c r="P108" s="100">
        <f t="shared" ref="P108:P115" si="70">M108-J108</f>
        <v>0.42857142857142883</v>
      </c>
      <c r="Q108" s="139">
        <f t="shared" ref="Q108:Q115" si="71">O108-L108</f>
        <v>-53.591943202518451</v>
      </c>
      <c r="R108" s="162">
        <f t="shared" ref="R108:R115" si="72">O108/L108</f>
        <v>0.83509416258943903</v>
      </c>
      <c r="S108" s="623"/>
      <c r="T108" s="142"/>
      <c r="U108" s="142"/>
      <c r="V108" s="104"/>
      <c r="W108" s="143">
        <f t="shared" si="68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01"/>
      <c r="AC108" s="601"/>
      <c r="AD108" s="164">
        <f>SUM(AD96:AD107)</f>
        <v>0</v>
      </c>
      <c r="AE108" s="164">
        <f>SUM(AE96:AE107)</f>
        <v>2</v>
      </c>
      <c r="AF108" s="100">
        <f t="shared" si="59"/>
        <v>-110.23491142729699</v>
      </c>
      <c r="AG108" s="140">
        <f t="shared" si="60"/>
        <v>0.9385877930767148</v>
      </c>
      <c r="AH108" s="605"/>
    </row>
    <row r="109" spans="1:34" ht="19.149999999999999" customHeight="1">
      <c r="A109" s="624" t="s">
        <v>272</v>
      </c>
      <c r="B109" s="65" t="s">
        <v>390</v>
      </c>
      <c r="C109" s="147"/>
      <c r="D109" s="249" t="s">
        <v>177</v>
      </c>
      <c r="E109" s="84"/>
      <c r="F109" s="85">
        <v>56.43</v>
      </c>
      <c r="G109" s="86">
        <v>953</v>
      </c>
      <c r="H109" s="87">
        <f t="shared" ref="H109:H118" si="73">F109*G109</f>
        <v>53777.79</v>
      </c>
      <c r="I109" s="65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5" si="74">G109/W109*60</f>
        <v>1429.4999999999995</v>
      </c>
      <c r="O109" s="90">
        <f t="shared" ref="O109:O115" si="75">N109/M109</f>
        <v>79.416666666666643</v>
      </c>
      <c r="P109" s="92">
        <f t="shared" si="70"/>
        <v>0</v>
      </c>
      <c r="Q109" s="93">
        <f t="shared" si="71"/>
        <v>-3.9166666666666856</v>
      </c>
      <c r="R109" s="94">
        <f t="shared" si="72"/>
        <v>0.95299999999999974</v>
      </c>
      <c r="S109" s="627">
        <f>R121</f>
        <v>0.86212941035996316</v>
      </c>
      <c r="T109" s="308">
        <v>0.5</v>
      </c>
      <c r="U109" s="308">
        <v>0.52777777777777779</v>
      </c>
      <c r="V109" s="309">
        <v>5</v>
      </c>
      <c r="W109" s="88">
        <f t="shared" si="68"/>
        <v>40.000000000000014</v>
      </c>
      <c r="X109" s="99"/>
      <c r="Y109" s="99"/>
      <c r="Z109" s="100"/>
      <c r="AA109" s="100"/>
      <c r="AB109" s="601"/>
      <c r="AC109" s="601"/>
      <c r="AD109" s="101"/>
      <c r="AE109" s="101"/>
      <c r="AF109" s="92">
        <f t="shared" si="59"/>
        <v>-70.500000000000455</v>
      </c>
      <c r="AG109" s="186">
        <f t="shared" si="60"/>
        <v>0.95299999999999974</v>
      </c>
      <c r="AH109" s="605">
        <f>AG121</f>
        <v>0.85709661815753635</v>
      </c>
    </row>
    <row r="110" spans="1:34" ht="19.149999999999999" customHeight="1">
      <c r="A110" s="625"/>
      <c r="B110" s="65" t="s">
        <v>390</v>
      </c>
      <c r="C110" s="248"/>
      <c r="D110" s="83" t="s">
        <v>178</v>
      </c>
      <c r="E110" s="250"/>
      <c r="F110" s="85">
        <v>54.09</v>
      </c>
      <c r="G110" s="247">
        <v>1052</v>
      </c>
      <c r="H110" s="87">
        <f t="shared" si="73"/>
        <v>56902.68</v>
      </c>
      <c r="I110" s="65"/>
      <c r="J110" s="89">
        <v>20</v>
      </c>
      <c r="K110" s="86">
        <v>1500</v>
      </c>
      <c r="L110" s="90">
        <v>75</v>
      </c>
      <c r="M110" s="91">
        <v>20</v>
      </c>
      <c r="N110" s="86">
        <f t="shared" si="74"/>
        <v>1262.4000000000003</v>
      </c>
      <c r="O110" s="90">
        <f t="shared" si="75"/>
        <v>63.120000000000019</v>
      </c>
      <c r="P110" s="92">
        <f t="shared" si="70"/>
        <v>0</v>
      </c>
      <c r="Q110" s="93">
        <f t="shared" si="71"/>
        <v>-11.879999999999981</v>
      </c>
      <c r="R110" s="94">
        <f t="shared" si="72"/>
        <v>0.84160000000000024</v>
      </c>
      <c r="S110" s="616"/>
      <c r="T110" s="308">
        <v>0.53194444444444444</v>
      </c>
      <c r="U110" s="308">
        <v>0.56666666666666665</v>
      </c>
      <c r="V110" s="309">
        <v>6</v>
      </c>
      <c r="W110" s="88">
        <f t="shared" si="68"/>
        <v>49.999999999999986</v>
      </c>
      <c r="X110" s="264"/>
      <c r="Y110" s="264"/>
      <c r="Z110" s="100"/>
      <c r="AA110" s="100"/>
      <c r="AB110" s="601"/>
      <c r="AC110" s="601"/>
      <c r="AD110" s="101"/>
      <c r="AE110" s="101"/>
      <c r="AF110" s="165">
        <f t="shared" si="59"/>
        <v>-237.59999999999968</v>
      </c>
      <c r="AG110" s="186">
        <f t="shared" si="60"/>
        <v>0.84160000000000024</v>
      </c>
      <c r="AH110" s="605"/>
    </row>
    <row r="111" spans="1:34" ht="19.149999999999999" customHeight="1">
      <c r="A111" s="625"/>
      <c r="B111" s="65" t="s">
        <v>390</v>
      </c>
      <c r="C111" s="248"/>
      <c r="D111" s="83" t="s">
        <v>179</v>
      </c>
      <c r="E111" s="250"/>
      <c r="F111" s="85">
        <v>51.75</v>
      </c>
      <c r="G111" s="104">
        <v>1185</v>
      </c>
      <c r="H111" s="87">
        <f t="shared" si="73"/>
        <v>61323.75</v>
      </c>
      <c r="I111" s="65"/>
      <c r="J111" s="89">
        <v>21</v>
      </c>
      <c r="K111" s="86">
        <v>1500</v>
      </c>
      <c r="L111" s="90">
        <v>71.428571428571431</v>
      </c>
      <c r="M111" s="310">
        <v>20</v>
      </c>
      <c r="N111" s="86">
        <f t="shared" si="74"/>
        <v>1185.0000000000011</v>
      </c>
      <c r="O111" s="90">
        <f t="shared" si="75"/>
        <v>59.250000000000057</v>
      </c>
      <c r="P111" s="92">
        <f t="shared" si="70"/>
        <v>-1</v>
      </c>
      <c r="Q111" s="93">
        <f t="shared" si="71"/>
        <v>-12.178571428571374</v>
      </c>
      <c r="R111" s="94">
        <f t="shared" si="72"/>
        <v>0.82950000000000079</v>
      </c>
      <c r="S111" s="616"/>
      <c r="T111" s="308">
        <v>0.58194444444444438</v>
      </c>
      <c r="U111" s="308">
        <v>0.62361111111111101</v>
      </c>
      <c r="V111" s="309">
        <v>22</v>
      </c>
      <c r="W111" s="88">
        <f t="shared" si="68"/>
        <v>59.999999999999943</v>
      </c>
      <c r="X111" s="99">
        <v>0.57013888888888886</v>
      </c>
      <c r="Y111" s="99">
        <v>0.57916666666666672</v>
      </c>
      <c r="Z111" s="100"/>
      <c r="AA111" s="100"/>
      <c r="AB111" s="601"/>
      <c r="AC111" s="601"/>
      <c r="AD111" s="101"/>
      <c r="AE111" s="101"/>
      <c r="AF111" s="92">
        <f t="shared" si="59"/>
        <v>-314.99999999999886</v>
      </c>
      <c r="AG111" s="186">
        <f t="shared" si="60"/>
        <v>0.79000000000000081</v>
      </c>
      <c r="AH111" s="605"/>
    </row>
    <row r="112" spans="1:34" ht="19.149999999999999" customHeight="1">
      <c r="A112" s="625"/>
      <c r="B112" s="65" t="s">
        <v>390</v>
      </c>
      <c r="C112" s="248"/>
      <c r="D112" s="249" t="s">
        <v>180</v>
      </c>
      <c r="E112" s="250"/>
      <c r="F112" s="85">
        <v>54.29</v>
      </c>
      <c r="G112" s="104">
        <v>1101</v>
      </c>
      <c r="H112" s="87">
        <f t="shared" si="73"/>
        <v>59773.29</v>
      </c>
      <c r="I112" s="101"/>
      <c r="J112" s="89">
        <v>16</v>
      </c>
      <c r="K112" s="86">
        <v>1440</v>
      </c>
      <c r="L112" s="90">
        <v>90</v>
      </c>
      <c r="M112" s="310">
        <v>16</v>
      </c>
      <c r="N112" s="86">
        <f t="shared" si="74"/>
        <v>1295.2941176470592</v>
      </c>
      <c r="O112" s="90">
        <f t="shared" si="75"/>
        <v>80.955882352941202</v>
      </c>
      <c r="P112" s="92">
        <f t="shared" si="70"/>
        <v>0</v>
      </c>
      <c r="Q112" s="93">
        <f t="shared" si="71"/>
        <v>-9.0441176470587976</v>
      </c>
      <c r="R112" s="94">
        <f t="shared" si="72"/>
        <v>0.89950980392156887</v>
      </c>
      <c r="S112" s="616"/>
      <c r="T112" s="308">
        <v>0.70833333333333337</v>
      </c>
      <c r="U112" s="308">
        <v>0.74375000000000002</v>
      </c>
      <c r="V112" s="309">
        <v>5</v>
      </c>
      <c r="W112" s="88">
        <f t="shared" si="68"/>
        <v>50.999999999999979</v>
      </c>
      <c r="X112" s="99"/>
      <c r="Y112" s="99"/>
      <c r="Z112" s="100"/>
      <c r="AA112" s="100"/>
      <c r="AB112" s="601"/>
      <c r="AC112" s="601"/>
      <c r="AD112" s="101"/>
      <c r="AE112" s="101"/>
      <c r="AF112" s="92">
        <f t="shared" si="59"/>
        <v>-144.70588235294076</v>
      </c>
      <c r="AG112" s="186">
        <f t="shared" si="60"/>
        <v>0.89950980392156887</v>
      </c>
      <c r="AH112" s="605"/>
    </row>
    <row r="113" spans="1:34" s="298" customFormat="1" ht="19.149999999999999" customHeight="1">
      <c r="A113" s="625"/>
      <c r="B113" s="65" t="s">
        <v>390</v>
      </c>
      <c r="C113" s="248"/>
      <c r="D113" s="249" t="s">
        <v>181</v>
      </c>
      <c r="E113" s="250"/>
      <c r="F113" s="85">
        <v>55.32</v>
      </c>
      <c r="G113" s="104">
        <v>397</v>
      </c>
      <c r="H113" s="87">
        <f t="shared" si="73"/>
        <v>21962.04</v>
      </c>
      <c r="I113" s="101"/>
      <c r="J113" s="89">
        <v>15</v>
      </c>
      <c r="K113" s="86">
        <v>1440</v>
      </c>
      <c r="L113" s="90">
        <v>96</v>
      </c>
      <c r="M113" s="310">
        <v>15</v>
      </c>
      <c r="N113" s="86">
        <f t="shared" si="74"/>
        <v>1082.7272727272766</v>
      </c>
      <c r="O113" s="90">
        <f t="shared" si="75"/>
        <v>72.181818181818443</v>
      </c>
      <c r="P113" s="92">
        <f t="shared" si="70"/>
        <v>0</v>
      </c>
      <c r="Q113" s="93">
        <f t="shared" si="71"/>
        <v>-23.818181818181557</v>
      </c>
      <c r="R113" s="94">
        <f t="shared" si="72"/>
        <v>0.75189393939394211</v>
      </c>
      <c r="S113" s="616"/>
      <c r="T113" s="308">
        <v>0.74861111111111112</v>
      </c>
      <c r="U113" s="308">
        <v>0.76388888888888884</v>
      </c>
      <c r="V113" s="309">
        <v>7</v>
      </c>
      <c r="W113" s="88">
        <f t="shared" si="68"/>
        <v>21.999999999999922</v>
      </c>
      <c r="X113" s="295"/>
      <c r="Y113" s="295"/>
      <c r="Z113" s="296"/>
      <c r="AA113" s="296"/>
      <c r="AB113" s="601"/>
      <c r="AC113" s="601"/>
      <c r="AD113" s="301"/>
      <c r="AE113" s="301"/>
      <c r="AF113" s="165">
        <f t="shared" si="59"/>
        <v>-357.27272727272339</v>
      </c>
      <c r="AG113" s="186">
        <f t="shared" si="60"/>
        <v>0.75189393939394211</v>
      </c>
      <c r="AH113" s="605"/>
    </row>
    <row r="114" spans="1:34" s="298" customFormat="1" ht="19.149999999999999" customHeight="1">
      <c r="A114" s="625"/>
      <c r="B114" s="65" t="s">
        <v>390</v>
      </c>
      <c r="C114" s="248"/>
      <c r="D114" s="249" t="s">
        <v>182</v>
      </c>
      <c r="E114" s="250"/>
      <c r="F114" s="85">
        <v>55.56</v>
      </c>
      <c r="G114" s="104">
        <v>722</v>
      </c>
      <c r="H114" s="87">
        <f t="shared" si="73"/>
        <v>40114.32</v>
      </c>
      <c r="I114" s="101"/>
      <c r="J114" s="89">
        <v>16</v>
      </c>
      <c r="K114" s="86">
        <v>1440</v>
      </c>
      <c r="L114" s="90">
        <v>90</v>
      </c>
      <c r="M114" s="310">
        <v>16</v>
      </c>
      <c r="N114" s="86">
        <f t="shared" si="74"/>
        <v>1312.7272727272709</v>
      </c>
      <c r="O114" s="90">
        <f t="shared" si="75"/>
        <v>82.045454545454433</v>
      </c>
      <c r="P114" s="92">
        <f t="shared" si="70"/>
        <v>0</v>
      </c>
      <c r="Q114" s="93">
        <f t="shared" si="71"/>
        <v>-7.9545454545455669</v>
      </c>
      <c r="R114" s="94">
        <f t="shared" si="72"/>
        <v>0.91161616161616033</v>
      </c>
      <c r="S114" s="616"/>
      <c r="T114" s="308">
        <v>0.76805555555555549</v>
      </c>
      <c r="U114" s="308">
        <v>0.79097222222222219</v>
      </c>
      <c r="V114" s="309">
        <v>6</v>
      </c>
      <c r="W114" s="88">
        <f t="shared" si="68"/>
        <v>33.000000000000043</v>
      </c>
      <c r="X114" s="295"/>
      <c r="Y114" s="295"/>
      <c r="Z114" s="296"/>
      <c r="AA114" s="296"/>
      <c r="AB114" s="601"/>
      <c r="AC114" s="601"/>
      <c r="AD114" s="301"/>
      <c r="AE114" s="301"/>
      <c r="AF114" s="92">
        <f t="shared" si="59"/>
        <v>-127.27272727272907</v>
      </c>
      <c r="AG114" s="186">
        <f t="shared" si="60"/>
        <v>0.91161616161616033</v>
      </c>
      <c r="AH114" s="605"/>
    </row>
    <row r="115" spans="1:34" s="298" customFormat="1" ht="19.149999999999999" customHeight="1">
      <c r="A115" s="625"/>
      <c r="B115" s="65" t="s">
        <v>390</v>
      </c>
      <c r="C115" s="248"/>
      <c r="D115" s="249" t="s">
        <v>183</v>
      </c>
      <c r="E115" s="250"/>
      <c r="F115" s="85">
        <v>57.73</v>
      </c>
      <c r="G115" s="247">
        <v>744</v>
      </c>
      <c r="H115" s="87">
        <f t="shared" si="73"/>
        <v>42951.119999999995</v>
      </c>
      <c r="I115" s="101"/>
      <c r="J115" s="89">
        <v>16</v>
      </c>
      <c r="K115" s="86">
        <v>1380</v>
      </c>
      <c r="L115" s="90">
        <v>86.25</v>
      </c>
      <c r="M115" s="91">
        <v>16</v>
      </c>
      <c r="N115" s="86">
        <f t="shared" si="74"/>
        <v>1174.7368421052622</v>
      </c>
      <c r="O115" s="90">
        <f t="shared" si="75"/>
        <v>73.421052631578888</v>
      </c>
      <c r="P115" s="92">
        <f t="shared" si="70"/>
        <v>0</v>
      </c>
      <c r="Q115" s="93">
        <f t="shared" si="71"/>
        <v>-12.828947368421112</v>
      </c>
      <c r="R115" s="94">
        <f t="shared" si="72"/>
        <v>0.85125858123569731</v>
      </c>
      <c r="S115" s="616"/>
      <c r="T115" s="308">
        <v>0.79652777777777772</v>
      </c>
      <c r="U115" s="308">
        <v>0.82291666666666663</v>
      </c>
      <c r="V115" s="309">
        <v>8</v>
      </c>
      <c r="W115" s="88">
        <f t="shared" si="68"/>
        <v>38.000000000000028</v>
      </c>
      <c r="X115" s="295"/>
      <c r="Y115" s="295"/>
      <c r="Z115" s="296"/>
      <c r="AA115" s="296"/>
      <c r="AB115" s="601"/>
      <c r="AC115" s="601"/>
      <c r="AD115" s="301"/>
      <c r="AE115" s="301"/>
      <c r="AF115" s="92">
        <f t="shared" si="59"/>
        <v>-205.26315789473779</v>
      </c>
      <c r="AG115" s="186">
        <f t="shared" si="60"/>
        <v>0.85125858123569731</v>
      </c>
      <c r="AH115" s="605"/>
    </row>
    <row r="116" spans="1:34" s="298" customFormat="1" ht="19.149999999999999" customHeight="1">
      <c r="A116" s="625"/>
      <c r="B116" s="65">
        <v>0</v>
      </c>
      <c r="C116" s="102"/>
      <c r="D116" s="132"/>
      <c r="E116" s="133"/>
      <c r="F116" s="85"/>
      <c r="G116" s="104"/>
      <c r="H116" s="87">
        <f t="shared" si="73"/>
        <v>0</v>
      </c>
      <c r="I116" s="101"/>
      <c r="J116" s="89"/>
      <c r="K116" s="86"/>
      <c r="L116" s="90"/>
      <c r="M116" s="189"/>
      <c r="N116" s="86"/>
      <c r="O116" s="90"/>
      <c r="P116" s="92"/>
      <c r="Q116" s="93"/>
      <c r="R116" s="94"/>
      <c r="S116" s="616"/>
      <c r="T116" s="308"/>
      <c r="U116" s="308"/>
      <c r="V116" s="309"/>
      <c r="W116" s="88"/>
      <c r="X116" s="295"/>
      <c r="Y116" s="295"/>
      <c r="Z116" s="296"/>
      <c r="AA116" s="296"/>
      <c r="AB116" s="601"/>
      <c r="AC116" s="601"/>
      <c r="AD116" s="301"/>
      <c r="AE116" s="301"/>
      <c r="AF116" s="165">
        <f t="shared" si="59"/>
        <v>0</v>
      </c>
      <c r="AG116" s="186" t="e">
        <f t="shared" si="60"/>
        <v>#DIV/0!</v>
      </c>
      <c r="AH116" s="605"/>
    </row>
    <row r="117" spans="1:34" s="298" customFormat="1" ht="19.149999999999999" customHeight="1">
      <c r="A117" s="625"/>
      <c r="B117" s="65">
        <v>0</v>
      </c>
      <c r="C117" s="102"/>
      <c r="D117" s="249"/>
      <c r="E117" s="133"/>
      <c r="F117" s="85" t="s">
        <v>391</v>
      </c>
      <c r="G117" s="104"/>
      <c r="H117" s="87">
        <f t="shared" si="73"/>
        <v>0</v>
      </c>
      <c r="I117" s="101"/>
      <c r="J117" s="89"/>
      <c r="K117" s="86"/>
      <c r="L117" s="137"/>
      <c r="M117" s="189"/>
      <c r="N117" s="104"/>
      <c r="O117" s="137"/>
      <c r="P117" s="100"/>
      <c r="Q117" s="139"/>
      <c r="R117" s="140"/>
      <c r="S117" s="616"/>
      <c r="T117" s="308"/>
      <c r="U117" s="308"/>
      <c r="V117" s="309"/>
      <c r="W117" s="88">
        <f t="shared" si="68"/>
        <v>0</v>
      </c>
      <c r="X117" s="295"/>
      <c r="Y117" s="295"/>
      <c r="Z117" s="296"/>
      <c r="AA117" s="296"/>
      <c r="AB117" s="601"/>
      <c r="AC117" s="601"/>
      <c r="AD117" s="301"/>
      <c r="AE117" s="301"/>
      <c r="AF117" s="92">
        <f t="shared" si="59"/>
        <v>0</v>
      </c>
      <c r="AG117" s="186" t="e">
        <f t="shared" si="60"/>
        <v>#DIV/0!</v>
      </c>
      <c r="AH117" s="605"/>
    </row>
    <row r="118" spans="1:34" s="298" customFormat="1" ht="19.149999999999999" customHeight="1">
      <c r="A118" s="625"/>
      <c r="B118" s="65">
        <v>0</v>
      </c>
      <c r="C118" s="233"/>
      <c r="D118" s="249"/>
      <c r="E118" s="84"/>
      <c r="F118" s="199" t="s">
        <v>391</v>
      </c>
      <c r="G118" s="86"/>
      <c r="H118" s="87">
        <f t="shared" si="73"/>
        <v>0</v>
      </c>
      <c r="I118" s="101"/>
      <c r="J118" s="89"/>
      <c r="K118" s="86"/>
      <c r="L118" s="90"/>
      <c r="M118" s="189"/>
      <c r="N118" s="86"/>
      <c r="O118" s="90"/>
      <c r="P118" s="92"/>
      <c r="Q118" s="93"/>
      <c r="R118" s="94"/>
      <c r="S118" s="616"/>
      <c r="T118" s="308"/>
      <c r="U118" s="308"/>
      <c r="V118" s="309"/>
      <c r="W118" s="88">
        <f t="shared" si="68"/>
        <v>0</v>
      </c>
      <c r="X118" s="295"/>
      <c r="Y118" s="295"/>
      <c r="Z118" s="296"/>
      <c r="AA118" s="296"/>
      <c r="AB118" s="601"/>
      <c r="AC118" s="601"/>
      <c r="AD118" s="301"/>
      <c r="AE118" s="301"/>
      <c r="AF118" s="297"/>
      <c r="AG118" s="186"/>
      <c r="AH118" s="605"/>
    </row>
    <row r="119" spans="1:34" s="298" customFormat="1" ht="19.149999999999999" customHeight="1">
      <c r="A119" s="625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101"/>
      <c r="J119" s="251"/>
      <c r="K119" s="313"/>
      <c r="L119" s="90"/>
      <c r="M119" s="189"/>
      <c r="N119" s="252"/>
      <c r="O119" s="305"/>
      <c r="P119" s="235"/>
      <c r="Q119" s="93"/>
      <c r="R119" s="94"/>
      <c r="S119" s="616"/>
      <c r="T119" s="308"/>
      <c r="U119" s="308"/>
      <c r="V119" s="309"/>
      <c r="W119" s="88">
        <f t="shared" si="68"/>
        <v>0</v>
      </c>
      <c r="X119" s="295"/>
      <c r="Y119" s="295"/>
      <c r="Z119" s="296"/>
      <c r="AA119" s="296"/>
      <c r="AB119" s="601"/>
      <c r="AC119" s="601"/>
      <c r="AD119" s="301"/>
      <c r="AE119" s="301"/>
      <c r="AF119" s="297"/>
      <c r="AG119" s="186"/>
      <c r="AH119" s="605"/>
    </row>
    <row r="120" spans="1:34" s="298" customFormat="1" ht="19.149999999999999" customHeight="1">
      <c r="A120" s="625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101"/>
      <c r="J120" s="251"/>
      <c r="K120" s="313"/>
      <c r="L120" s="90"/>
      <c r="M120" s="189"/>
      <c r="N120" s="252"/>
      <c r="O120" s="305"/>
      <c r="P120" s="235"/>
      <c r="Q120" s="93"/>
      <c r="R120" s="94"/>
      <c r="S120" s="616"/>
      <c r="T120" s="308"/>
      <c r="U120" s="308"/>
      <c r="V120" s="309"/>
      <c r="W120" s="88">
        <f t="shared" si="68"/>
        <v>0</v>
      </c>
      <c r="X120" s="295"/>
      <c r="Y120" s="295"/>
      <c r="Z120" s="296"/>
      <c r="AA120" s="296"/>
      <c r="AB120" s="601"/>
      <c r="AC120" s="601"/>
      <c r="AD120" s="301"/>
      <c r="AE120" s="301"/>
      <c r="AF120" s="297"/>
      <c r="AG120" s="186"/>
      <c r="AH120" s="605"/>
    </row>
    <row r="121" spans="1:34" ht="19.149999999999999" customHeight="1">
      <c r="A121" s="626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17.428571428571427</v>
      </c>
      <c r="K121" s="280">
        <v>1457.1428571428571</v>
      </c>
      <c r="L121" s="281">
        <v>84.573129251700692</v>
      </c>
      <c r="M121" s="280">
        <f t="shared" ref="M121:O121" si="76">AVERAGE(M109:M120)</f>
        <v>17.285714285714285</v>
      </c>
      <c r="N121" s="280">
        <f t="shared" si="76"/>
        <v>1248.912215029553</v>
      </c>
      <c r="O121" s="281">
        <f t="shared" si="76"/>
        <v>72.912982054065665</v>
      </c>
      <c r="P121" s="92">
        <f t="shared" ref="P121:P131" si="77">M121-J121</f>
        <v>-0.14285714285714235</v>
      </c>
      <c r="Q121" s="93">
        <f t="shared" ref="Q121:Q131" si="78">O121-L121</f>
        <v>-11.660147197635027</v>
      </c>
      <c r="R121" s="245">
        <f t="shared" ref="R121:R131" si="79">O121/L121</f>
        <v>0.86212941035996316</v>
      </c>
      <c r="S121" s="622"/>
      <c r="T121" s="96"/>
      <c r="U121" s="96"/>
      <c r="V121" s="86"/>
      <c r="W121" s="88">
        <f t="shared" si="68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01"/>
      <c r="AC121" s="601"/>
      <c r="AD121" s="164">
        <f>SUM(AD109:AD120)</f>
        <v>0</v>
      </c>
      <c r="AE121" s="164">
        <f>SUM(AE109:AE120)</f>
        <v>0</v>
      </c>
      <c r="AF121" s="92">
        <f>N121-K121</f>
        <v>-208.23064211330416</v>
      </c>
      <c r="AG121" s="186">
        <f>N121/K121</f>
        <v>0.85709661815753635</v>
      </c>
      <c r="AH121" s="605"/>
    </row>
    <row r="122" spans="1:34" ht="19.149999999999999" customHeight="1">
      <c r="A122" s="619" t="s">
        <v>274</v>
      </c>
      <c r="B122" s="192" t="s">
        <v>386</v>
      </c>
      <c r="C122" s="233"/>
      <c r="D122" s="249" t="s">
        <v>185</v>
      </c>
      <c r="E122" s="84"/>
      <c r="F122" s="85">
        <v>65.400000000000006</v>
      </c>
      <c r="G122" s="86">
        <v>324</v>
      </c>
      <c r="H122" s="87">
        <f t="shared" ref="H122:H132" si="80">F122*G122</f>
        <v>21189.600000000002</v>
      </c>
      <c r="I122" s="65"/>
      <c r="J122" s="89">
        <v>18</v>
      </c>
      <c r="K122" s="86">
        <v>1440</v>
      </c>
      <c r="L122" s="90">
        <v>80</v>
      </c>
      <c r="M122" s="91">
        <v>19</v>
      </c>
      <c r="N122" s="247">
        <f t="shared" ref="N122:N131" si="81">G122/W122*60</f>
        <v>1080.0000000000039</v>
      </c>
      <c r="O122" s="319">
        <f t="shared" ref="O122:O131" si="82">N122/M122</f>
        <v>56.842105263158096</v>
      </c>
      <c r="P122" s="165">
        <f t="shared" si="77"/>
        <v>1</v>
      </c>
      <c r="Q122" s="255">
        <f t="shared" si="78"/>
        <v>-23.157894736841904</v>
      </c>
      <c r="R122" s="166">
        <f t="shared" si="79"/>
        <v>0.71052631578947623</v>
      </c>
      <c r="S122" s="620">
        <f>R134</f>
        <v>0.8164433783519961</v>
      </c>
      <c r="T122" s="96">
        <v>0.5</v>
      </c>
      <c r="U122" s="96">
        <v>0.51249999999999996</v>
      </c>
      <c r="V122" s="309">
        <v>5</v>
      </c>
      <c r="W122" s="88">
        <f t="shared" si="68"/>
        <v>17.999999999999936</v>
      </c>
      <c r="X122" s="99"/>
      <c r="Y122" s="99"/>
      <c r="Z122" s="100"/>
      <c r="AA122" s="100"/>
      <c r="AB122" s="601"/>
      <c r="AC122" s="601"/>
      <c r="AD122" s="101"/>
      <c r="AE122" s="101"/>
      <c r="AF122" s="92">
        <f t="shared" si="59"/>
        <v>-359.99999999999613</v>
      </c>
      <c r="AG122" s="94">
        <f t="shared" si="60"/>
        <v>0.75000000000000266</v>
      </c>
      <c r="AH122" s="622">
        <f>AG134</f>
        <v>0.82315891935846197</v>
      </c>
    </row>
    <row r="123" spans="1:34" ht="19.149999999999999" customHeight="1">
      <c r="A123" s="619"/>
      <c r="B123" s="192" t="s">
        <v>386</v>
      </c>
      <c r="C123" s="152"/>
      <c r="D123" s="83" t="s">
        <v>186</v>
      </c>
      <c r="E123" s="250"/>
      <c r="F123" s="85">
        <v>59.52</v>
      </c>
      <c r="G123" s="86">
        <v>1404</v>
      </c>
      <c r="H123" s="87">
        <f t="shared" si="80"/>
        <v>83566.080000000002</v>
      </c>
      <c r="I123" s="101"/>
      <c r="J123" s="138">
        <v>21</v>
      </c>
      <c r="K123" s="104">
        <v>1385</v>
      </c>
      <c r="L123" s="137">
        <v>65.952380952380949</v>
      </c>
      <c r="M123" s="189">
        <v>20</v>
      </c>
      <c r="N123" s="104">
        <f t="shared" si="81"/>
        <v>1220.8695652173901</v>
      </c>
      <c r="O123" s="137">
        <f t="shared" si="82"/>
        <v>61.043478260869506</v>
      </c>
      <c r="P123" s="100">
        <f t="shared" si="77"/>
        <v>-1</v>
      </c>
      <c r="Q123" s="139">
        <f t="shared" si="78"/>
        <v>-4.9089026915114431</v>
      </c>
      <c r="R123" s="140">
        <f t="shared" si="79"/>
        <v>0.92556898446083735</v>
      </c>
      <c r="S123" s="620"/>
      <c r="T123" s="96">
        <v>0.51736111111111105</v>
      </c>
      <c r="U123" s="96">
        <v>0.56527777777777777</v>
      </c>
      <c r="V123" s="309">
        <v>7</v>
      </c>
      <c r="W123" s="88">
        <f>(U123-T123)*24*60</f>
        <v>69.000000000000071</v>
      </c>
      <c r="X123" s="99"/>
      <c r="Y123" s="99"/>
      <c r="Z123" s="100"/>
      <c r="AA123" s="100"/>
      <c r="AB123" s="601"/>
      <c r="AC123" s="601"/>
      <c r="AD123" s="101"/>
      <c r="AE123" s="101"/>
      <c r="AF123" s="92">
        <f t="shared" si="59"/>
        <v>-164.13043478260988</v>
      </c>
      <c r="AG123" s="94">
        <f t="shared" si="60"/>
        <v>0.88149427091508314</v>
      </c>
      <c r="AH123" s="620"/>
    </row>
    <row r="124" spans="1:34" ht="19.149999999999999" customHeight="1">
      <c r="A124" s="619"/>
      <c r="B124" s="192" t="s">
        <v>386</v>
      </c>
      <c r="C124" s="248"/>
      <c r="D124" s="249" t="s">
        <v>187</v>
      </c>
      <c r="E124" s="250"/>
      <c r="F124" s="85">
        <v>58.67</v>
      </c>
      <c r="G124" s="247">
        <v>1435</v>
      </c>
      <c r="H124" s="87">
        <f t="shared" si="80"/>
        <v>84191.45</v>
      </c>
      <c r="I124" s="320"/>
      <c r="J124" s="138">
        <v>19</v>
      </c>
      <c r="K124" s="104">
        <v>1440</v>
      </c>
      <c r="L124" s="137">
        <v>75.78947368421052</v>
      </c>
      <c r="M124" s="91">
        <v>20</v>
      </c>
      <c r="N124" s="247">
        <f t="shared" si="81"/>
        <v>1285.0746268656733</v>
      </c>
      <c r="O124" s="319">
        <f t="shared" si="82"/>
        <v>64.253731343283661</v>
      </c>
      <c r="P124" s="165">
        <f t="shared" si="77"/>
        <v>1</v>
      </c>
      <c r="Q124" s="255">
        <f t="shared" si="78"/>
        <v>-11.535742340926859</v>
      </c>
      <c r="R124" s="166">
        <f t="shared" si="79"/>
        <v>0.847792288557215</v>
      </c>
      <c r="S124" s="621"/>
      <c r="T124" s="96">
        <v>0.58055555555555549</v>
      </c>
      <c r="U124" s="96">
        <v>0.62708333333333321</v>
      </c>
      <c r="V124" s="309">
        <v>22</v>
      </c>
      <c r="W124" s="322">
        <f>(U124-T124)*24*60</f>
        <v>66.999999999999915</v>
      </c>
      <c r="X124" s="264">
        <v>0.56874999999999998</v>
      </c>
      <c r="Y124" s="264">
        <v>0.57777777777777783</v>
      </c>
      <c r="Z124" s="100"/>
      <c r="AA124" s="100"/>
      <c r="AB124" s="601"/>
      <c r="AC124" s="601"/>
      <c r="AD124" s="101"/>
      <c r="AE124" s="101"/>
      <c r="AF124" s="165">
        <f t="shared" si="59"/>
        <v>-154.92537313432672</v>
      </c>
      <c r="AG124" s="166">
        <f t="shared" si="60"/>
        <v>0.89241293532338417</v>
      </c>
      <c r="AH124" s="620"/>
    </row>
    <row r="125" spans="1:34" ht="19.149999999999999" customHeight="1">
      <c r="A125" s="619"/>
      <c r="B125" s="192" t="s">
        <v>390</v>
      </c>
      <c r="C125" s="152"/>
      <c r="D125" s="83" t="s">
        <v>188</v>
      </c>
      <c r="E125" s="84"/>
      <c r="F125" s="85">
        <v>56.79</v>
      </c>
      <c r="G125" s="86">
        <v>1066</v>
      </c>
      <c r="H125" s="87">
        <f t="shared" si="80"/>
        <v>60538.14</v>
      </c>
      <c r="I125" s="65"/>
      <c r="J125" s="138">
        <v>18</v>
      </c>
      <c r="K125" s="104">
        <v>1636</v>
      </c>
      <c r="L125" s="137">
        <v>90.888888888888886</v>
      </c>
      <c r="M125" s="91">
        <v>18</v>
      </c>
      <c r="N125" s="104">
        <f t="shared" si="81"/>
        <v>1305.30612244898</v>
      </c>
      <c r="O125" s="137">
        <f t="shared" si="82"/>
        <v>72.517006802721113</v>
      </c>
      <c r="P125" s="100">
        <f t="shared" si="77"/>
        <v>0</v>
      </c>
      <c r="Q125" s="139">
        <f t="shared" si="78"/>
        <v>-18.371882086167773</v>
      </c>
      <c r="R125" s="140">
        <f t="shared" si="79"/>
        <v>0.79786437802504895</v>
      </c>
      <c r="S125" s="621"/>
      <c r="T125" s="96">
        <v>0.70833333333333337</v>
      </c>
      <c r="U125" s="96">
        <v>0.74236111111111114</v>
      </c>
      <c r="V125" s="309">
        <v>5</v>
      </c>
      <c r="W125" s="322">
        <f t="shared" ref="W125:W133" si="83">(U125-T125)*24*60</f>
        <v>48.999999999999986</v>
      </c>
      <c r="X125" s="112"/>
      <c r="Y125" s="112"/>
      <c r="Z125" s="100"/>
      <c r="AA125" s="100"/>
      <c r="AB125" s="601"/>
      <c r="AC125" s="601"/>
      <c r="AD125" s="101"/>
      <c r="AE125" s="101"/>
      <c r="AF125" s="92">
        <f t="shared" si="59"/>
        <v>-330.69387755102002</v>
      </c>
      <c r="AG125" s="94">
        <f t="shared" si="60"/>
        <v>0.79786437802504884</v>
      </c>
      <c r="AH125" s="623"/>
    </row>
    <row r="126" spans="1:34" ht="19.149999999999999" customHeight="1">
      <c r="A126" s="619"/>
      <c r="B126" s="192" t="s">
        <v>390</v>
      </c>
      <c r="C126" s="101"/>
      <c r="D126" s="83" t="s">
        <v>189</v>
      </c>
      <c r="E126" s="250"/>
      <c r="F126" s="85">
        <v>56.87</v>
      </c>
      <c r="G126" s="104">
        <v>786</v>
      </c>
      <c r="H126" s="87">
        <f t="shared" si="80"/>
        <v>44699.82</v>
      </c>
      <c r="I126" s="101"/>
      <c r="J126" s="138">
        <v>18</v>
      </c>
      <c r="K126" s="104">
        <v>1636</v>
      </c>
      <c r="L126" s="137">
        <v>90.888888888888886</v>
      </c>
      <c r="M126" s="189">
        <v>18</v>
      </c>
      <c r="N126" s="104">
        <f t="shared" si="81"/>
        <v>1309.9999999999989</v>
      </c>
      <c r="O126" s="137">
        <f t="shared" si="82"/>
        <v>72.777777777777715</v>
      </c>
      <c r="P126" s="100">
        <f t="shared" si="77"/>
        <v>0</v>
      </c>
      <c r="Q126" s="139">
        <f t="shared" si="78"/>
        <v>-18.111111111111171</v>
      </c>
      <c r="R126" s="140">
        <f t="shared" si="79"/>
        <v>0.80073349633251767</v>
      </c>
      <c r="S126" s="621"/>
      <c r="T126" s="96">
        <v>0.74652777777777779</v>
      </c>
      <c r="U126" s="96">
        <v>0.77152777777777781</v>
      </c>
      <c r="V126" s="309">
        <v>6</v>
      </c>
      <c r="W126" s="322">
        <f t="shared" si="83"/>
        <v>36.000000000000028</v>
      </c>
      <c r="X126" s="112"/>
      <c r="Y126" s="112"/>
      <c r="Z126" s="100"/>
      <c r="AA126" s="100"/>
      <c r="AB126" s="601"/>
      <c r="AC126" s="601"/>
      <c r="AD126" s="101"/>
      <c r="AE126" s="101"/>
      <c r="AF126" s="165">
        <f t="shared" si="59"/>
        <v>-326.00000000000114</v>
      </c>
      <c r="AG126" s="166">
        <f t="shared" si="60"/>
        <v>0.80073349633251767</v>
      </c>
      <c r="AH126" s="623"/>
    </row>
    <row r="127" spans="1:34" ht="19.149999999999999" customHeight="1">
      <c r="A127" s="619"/>
      <c r="B127" s="192" t="s">
        <v>390</v>
      </c>
      <c r="C127" s="303"/>
      <c r="D127" s="132" t="s">
        <v>190</v>
      </c>
      <c r="E127" s="133"/>
      <c r="F127" s="85">
        <v>54.09</v>
      </c>
      <c r="G127" s="288">
        <v>1424</v>
      </c>
      <c r="H127" s="87">
        <f t="shared" si="80"/>
        <v>77024.160000000003</v>
      </c>
      <c r="I127" s="301"/>
      <c r="J127" s="138">
        <v>16</v>
      </c>
      <c r="K127" s="104">
        <v>1565</v>
      </c>
      <c r="L127" s="137">
        <v>97.8125</v>
      </c>
      <c r="M127" s="91">
        <v>17</v>
      </c>
      <c r="N127" s="247">
        <f t="shared" si="81"/>
        <v>1314.4615384615399</v>
      </c>
      <c r="O127" s="319">
        <f t="shared" si="82"/>
        <v>77.321266968325872</v>
      </c>
      <c r="P127" s="165">
        <f t="shared" si="77"/>
        <v>1</v>
      </c>
      <c r="Q127" s="255">
        <f t="shared" si="78"/>
        <v>-20.491233031674128</v>
      </c>
      <c r="R127" s="166">
        <f t="shared" si="79"/>
        <v>0.79050496581036034</v>
      </c>
      <c r="S127" s="621"/>
      <c r="T127" s="96">
        <v>0.77638888888888891</v>
      </c>
      <c r="U127" s="96">
        <v>0.82152777777777775</v>
      </c>
      <c r="V127" s="65">
        <v>7</v>
      </c>
      <c r="W127" s="322">
        <f t="shared" si="83"/>
        <v>64.999999999999929</v>
      </c>
      <c r="X127" s="112"/>
      <c r="Y127" s="112"/>
      <c r="Z127" s="100"/>
      <c r="AA127" s="100"/>
      <c r="AB127" s="601"/>
      <c r="AC127" s="601"/>
      <c r="AD127" s="101"/>
      <c r="AE127" s="101"/>
      <c r="AF127" s="165">
        <f t="shared" si="59"/>
        <v>-250.53846153846007</v>
      </c>
      <c r="AG127" s="166">
        <f t="shared" si="60"/>
        <v>0.83991152617350795</v>
      </c>
      <c r="AH127" s="623"/>
    </row>
    <row r="128" spans="1:34" ht="19.149999999999999" customHeight="1">
      <c r="A128" s="619"/>
      <c r="B128" s="192" t="s">
        <v>390</v>
      </c>
      <c r="C128" s="226"/>
      <c r="D128" s="106" t="s">
        <v>191</v>
      </c>
      <c r="E128" s="133"/>
      <c r="F128" s="85">
        <v>50.67</v>
      </c>
      <c r="G128" s="104">
        <v>399</v>
      </c>
      <c r="H128" s="87">
        <f t="shared" si="80"/>
        <v>20217.330000000002</v>
      </c>
      <c r="I128" s="101"/>
      <c r="J128" s="138">
        <v>18</v>
      </c>
      <c r="K128" s="104">
        <v>1440</v>
      </c>
      <c r="L128" s="137">
        <v>80</v>
      </c>
      <c r="M128" s="138">
        <v>18</v>
      </c>
      <c r="N128" s="104">
        <f t="shared" si="81"/>
        <v>1088.1818181818221</v>
      </c>
      <c r="O128" s="137">
        <f t="shared" si="82"/>
        <v>60.454545454545674</v>
      </c>
      <c r="P128" s="100">
        <f t="shared" si="77"/>
        <v>0</v>
      </c>
      <c r="Q128" s="139">
        <f t="shared" si="78"/>
        <v>-19.545454545454326</v>
      </c>
      <c r="R128" s="140">
        <f t="shared" si="79"/>
        <v>0.7556818181818209</v>
      </c>
      <c r="S128" s="621"/>
      <c r="T128" s="96">
        <v>0.83749999999999991</v>
      </c>
      <c r="U128" s="96">
        <v>0.85277777777777763</v>
      </c>
      <c r="V128" s="65">
        <v>23</v>
      </c>
      <c r="W128" s="322">
        <f t="shared" si="83"/>
        <v>21.999999999999922</v>
      </c>
      <c r="X128" s="112">
        <v>0.82500000000000007</v>
      </c>
      <c r="Y128" s="112">
        <v>0.83472222222222225</v>
      </c>
      <c r="Z128" s="100"/>
      <c r="AA128" s="100"/>
      <c r="AB128" s="601"/>
      <c r="AC128" s="601"/>
      <c r="AD128" s="101"/>
      <c r="AE128" s="101"/>
      <c r="AF128" s="165">
        <f t="shared" si="59"/>
        <v>-351.81818181817789</v>
      </c>
      <c r="AG128" s="166">
        <f t="shared" si="60"/>
        <v>0.7556818181818209</v>
      </c>
      <c r="AH128" s="623"/>
    </row>
    <row r="129" spans="1:34" ht="19.149999999999999" customHeight="1">
      <c r="A129" s="619"/>
      <c r="B129" s="192" t="s">
        <v>390</v>
      </c>
      <c r="C129" s="226"/>
      <c r="D129" s="106" t="s">
        <v>192</v>
      </c>
      <c r="E129" s="107"/>
      <c r="F129" s="85">
        <v>47.6</v>
      </c>
      <c r="G129" s="104">
        <v>1177</v>
      </c>
      <c r="H129" s="87">
        <f t="shared" si="80"/>
        <v>56025.200000000004</v>
      </c>
      <c r="I129" s="101"/>
      <c r="J129" s="138">
        <v>19</v>
      </c>
      <c r="K129" s="104">
        <v>1440</v>
      </c>
      <c r="L129" s="137">
        <v>75.78947368421052</v>
      </c>
      <c r="M129" s="189">
        <v>18</v>
      </c>
      <c r="N129" s="104">
        <f t="shared" si="81"/>
        <v>1307.7777777777785</v>
      </c>
      <c r="O129" s="137">
        <f t="shared" si="82"/>
        <v>72.654320987654359</v>
      </c>
      <c r="P129" s="100">
        <f t="shared" si="77"/>
        <v>-1</v>
      </c>
      <c r="Q129" s="139">
        <f t="shared" si="78"/>
        <v>-3.1351526965561618</v>
      </c>
      <c r="R129" s="140">
        <f t="shared" si="79"/>
        <v>0.95863340192043955</v>
      </c>
      <c r="S129" s="621"/>
      <c r="T129" s="96">
        <v>0.85763888888888873</v>
      </c>
      <c r="U129" s="96">
        <v>0.89513888888888871</v>
      </c>
      <c r="V129" s="65">
        <v>7</v>
      </c>
      <c r="W129" s="322">
        <f t="shared" si="83"/>
        <v>53.999999999999972</v>
      </c>
      <c r="X129" s="112"/>
      <c r="Y129" s="112"/>
      <c r="Z129" s="100"/>
      <c r="AA129" s="100"/>
      <c r="AB129" s="601"/>
      <c r="AC129" s="601"/>
      <c r="AD129" s="101"/>
      <c r="AE129" s="101"/>
      <c r="AF129" s="165"/>
      <c r="AG129" s="166"/>
      <c r="AH129" s="623"/>
    </row>
    <row r="130" spans="1:34" ht="19.149999999999999" customHeight="1">
      <c r="A130" s="619"/>
      <c r="B130" s="278" t="s">
        <v>390</v>
      </c>
      <c r="C130" s="226"/>
      <c r="D130" s="106" t="s">
        <v>193</v>
      </c>
      <c r="E130" s="107"/>
      <c r="F130" s="85">
        <v>57.3</v>
      </c>
      <c r="G130" s="104">
        <v>864</v>
      </c>
      <c r="H130" s="87">
        <f t="shared" si="80"/>
        <v>49507.199999999997</v>
      </c>
      <c r="I130" s="101"/>
      <c r="J130" s="138">
        <v>17</v>
      </c>
      <c r="K130" s="104">
        <v>1385</v>
      </c>
      <c r="L130" s="137">
        <v>81.470588235294116</v>
      </c>
      <c r="M130" s="189">
        <v>18</v>
      </c>
      <c r="N130" s="104">
        <f t="shared" si="81"/>
        <v>1178.1818181818182</v>
      </c>
      <c r="O130" s="137">
        <f t="shared" si="82"/>
        <v>65.454545454545453</v>
      </c>
      <c r="P130" s="100">
        <f t="shared" si="77"/>
        <v>1</v>
      </c>
      <c r="Q130" s="139">
        <f t="shared" si="78"/>
        <v>-16.016042780748663</v>
      </c>
      <c r="R130" s="140">
        <f t="shared" si="79"/>
        <v>0.80341319330489003</v>
      </c>
      <c r="S130" s="621"/>
      <c r="T130" s="96">
        <v>0.90069444444444424</v>
      </c>
      <c r="U130" s="96">
        <v>0.9312499999999998</v>
      </c>
      <c r="V130" s="65">
        <v>8</v>
      </c>
      <c r="W130" s="322">
        <f t="shared" si="83"/>
        <v>44</v>
      </c>
      <c r="X130" s="112"/>
      <c r="Y130" s="112"/>
      <c r="Z130" s="100"/>
      <c r="AA130" s="100"/>
      <c r="AB130" s="601"/>
      <c r="AC130" s="601"/>
      <c r="AD130" s="101"/>
      <c r="AE130" s="101"/>
      <c r="AF130" s="113"/>
      <c r="AG130" s="114"/>
      <c r="AH130" s="623"/>
    </row>
    <row r="131" spans="1:34" ht="19.149999999999999" customHeight="1">
      <c r="A131" s="619"/>
      <c r="B131" s="278" t="s">
        <v>390</v>
      </c>
      <c r="C131" s="226"/>
      <c r="D131" s="106" t="s">
        <v>194</v>
      </c>
      <c r="E131" s="133"/>
      <c r="F131" s="85">
        <v>50.67</v>
      </c>
      <c r="G131" s="288">
        <v>672</v>
      </c>
      <c r="H131" s="87">
        <f t="shared" si="80"/>
        <v>34050.239999999998</v>
      </c>
      <c r="I131" s="301"/>
      <c r="J131" s="138">
        <v>19</v>
      </c>
      <c r="K131" s="104">
        <v>1636</v>
      </c>
      <c r="L131" s="137">
        <v>86.10526315789474</v>
      </c>
      <c r="M131" s="138">
        <v>18</v>
      </c>
      <c r="N131" s="247">
        <f t="shared" si="81"/>
        <v>1259.9999999999982</v>
      </c>
      <c r="O131" s="319">
        <f t="shared" si="82"/>
        <v>69.999999999999901</v>
      </c>
      <c r="P131" s="165">
        <f t="shared" si="77"/>
        <v>-1</v>
      </c>
      <c r="Q131" s="255">
        <f t="shared" si="78"/>
        <v>-16.105263157894839</v>
      </c>
      <c r="R131" s="166">
        <f t="shared" si="79"/>
        <v>0.81295843520782274</v>
      </c>
      <c r="S131" s="621"/>
      <c r="T131" s="96">
        <v>0.93472222222222201</v>
      </c>
      <c r="U131" s="96">
        <v>0.95694444444444426</v>
      </c>
      <c r="V131" s="65">
        <v>5</v>
      </c>
      <c r="W131" s="322">
        <f t="shared" si="83"/>
        <v>32.000000000000043</v>
      </c>
      <c r="X131" s="112"/>
      <c r="Y131" s="112"/>
      <c r="Z131" s="100"/>
      <c r="AA131" s="100"/>
      <c r="AB131" s="601"/>
      <c r="AC131" s="601"/>
      <c r="AD131" s="101"/>
      <c r="AE131" s="101"/>
      <c r="AF131" s="113"/>
      <c r="AG131" s="114"/>
      <c r="AH131" s="623"/>
    </row>
    <row r="132" spans="1:34" ht="19.149999999999999" customHeight="1">
      <c r="A132" s="619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0"/>
        <v>0</v>
      </c>
      <c r="I132" s="101"/>
      <c r="J132" s="138"/>
      <c r="K132" s="104"/>
      <c r="L132" s="137"/>
      <c r="M132" s="189"/>
      <c r="N132" s="104"/>
      <c r="O132" s="137"/>
      <c r="P132" s="100"/>
      <c r="Q132" s="139"/>
      <c r="R132" s="140"/>
      <c r="S132" s="621"/>
      <c r="T132" s="96"/>
      <c r="U132" s="96"/>
      <c r="V132" s="65"/>
      <c r="W132" s="322">
        <f t="shared" si="83"/>
        <v>0</v>
      </c>
      <c r="X132" s="112"/>
      <c r="Y132" s="112"/>
      <c r="Z132" s="100"/>
      <c r="AA132" s="100"/>
      <c r="AB132" s="601"/>
      <c r="AC132" s="601"/>
      <c r="AD132" s="101"/>
      <c r="AE132" s="101"/>
      <c r="AF132" s="113"/>
      <c r="AG132" s="114"/>
      <c r="AH132" s="623"/>
    </row>
    <row r="133" spans="1:34" ht="19.149999999999999" customHeight="1">
      <c r="A133" s="619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101"/>
      <c r="J133" s="138"/>
      <c r="K133" s="104"/>
      <c r="L133" s="137"/>
      <c r="M133" s="189"/>
      <c r="N133" s="104"/>
      <c r="O133" s="137"/>
      <c r="P133" s="100"/>
      <c r="Q133" s="139"/>
      <c r="R133" s="140"/>
      <c r="S133" s="621"/>
      <c r="T133" s="96"/>
      <c r="U133" s="96"/>
      <c r="V133" s="65"/>
      <c r="W133" s="322">
        <f t="shared" si="83"/>
        <v>0</v>
      </c>
      <c r="X133" s="112"/>
      <c r="Y133" s="112"/>
      <c r="Z133" s="100"/>
      <c r="AA133" s="100"/>
      <c r="AB133" s="601"/>
      <c r="AC133" s="601"/>
      <c r="AD133" s="101"/>
      <c r="AE133" s="101"/>
      <c r="AF133" s="113"/>
      <c r="AG133" s="114"/>
      <c r="AH133" s="623"/>
    </row>
    <row r="134" spans="1:34" ht="19.149999999999999" customHeight="1">
      <c r="A134" s="619"/>
      <c r="B134" s="240">
        <v>0</v>
      </c>
      <c r="C134" s="156" t="s">
        <v>287</v>
      </c>
      <c r="D134" s="602" t="s">
        <v>256</v>
      </c>
      <c r="E134" s="602"/>
      <c r="F134" s="258"/>
      <c r="G134" s="158"/>
      <c r="H134" s="159"/>
      <c r="I134" s="325"/>
      <c r="J134" s="326">
        <v>18.3</v>
      </c>
      <c r="K134" s="326">
        <v>1500.3</v>
      </c>
      <c r="L134" s="327">
        <v>82.46974574917688</v>
      </c>
      <c r="M134" s="326">
        <f t="shared" ref="M134:O134" si="84">AVERAGE(M122:M133)</f>
        <v>18.399999999999999</v>
      </c>
      <c r="N134" s="326">
        <f t="shared" si="84"/>
        <v>1234.9853267135004</v>
      </c>
      <c r="O134" s="327">
        <f t="shared" si="84"/>
        <v>67.331877831288139</v>
      </c>
      <c r="P134" s="97">
        <f t="shared" ref="P134:P141" si="85">M134-J134</f>
        <v>9.9999999999997868E-2</v>
      </c>
      <c r="Q134" s="205">
        <f t="shared" ref="Q134:Q141" si="86">O134-L134</f>
        <v>-15.137867917888741</v>
      </c>
      <c r="R134" s="328">
        <f t="shared" ref="R134:R141" si="87">O134/L134</f>
        <v>0.8164433783519961</v>
      </c>
      <c r="S134" s="620"/>
      <c r="T134" s="96"/>
      <c r="U134" s="96"/>
      <c r="V134" s="65"/>
      <c r="W134" s="65"/>
      <c r="X134" s="99"/>
      <c r="Y134" s="99"/>
      <c r="Z134" s="163">
        <f>SUM(Z122:Z133)</f>
        <v>0</v>
      </c>
      <c r="AA134" s="163">
        <f>SUM(AA122:AA133)</f>
        <v>0</v>
      </c>
      <c r="AB134" s="601"/>
      <c r="AC134" s="601"/>
      <c r="AD134" s="164">
        <f>SUM(AD122:AD133)</f>
        <v>0</v>
      </c>
      <c r="AE134" s="164">
        <f>SUM(AE122:AE133)</f>
        <v>0</v>
      </c>
      <c r="AF134" s="92">
        <f t="shared" si="59"/>
        <v>-265.31467328649956</v>
      </c>
      <c r="AG134" s="94">
        <f t="shared" si="60"/>
        <v>0.82315891935846197</v>
      </c>
      <c r="AH134" s="623"/>
    </row>
    <row r="135" spans="1:34" ht="19.149999999999999" customHeight="1">
      <c r="A135" s="612" t="s">
        <v>288</v>
      </c>
      <c r="B135" s="65" t="s">
        <v>390</v>
      </c>
      <c r="C135" s="101"/>
      <c r="D135" s="132" t="s">
        <v>196</v>
      </c>
      <c r="E135" s="133"/>
      <c r="F135" s="85">
        <v>50.67</v>
      </c>
      <c r="G135" s="104">
        <v>739</v>
      </c>
      <c r="H135" s="329">
        <f t="shared" ref="H135:H146" si="88">F135*G135</f>
        <v>37445.130000000005</v>
      </c>
      <c r="I135" s="101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89">G135/W135*60</f>
        <v>1266.8571428571415</v>
      </c>
      <c r="O135" s="174">
        <f t="shared" ref="O135:O141" si="90">N135/M135</f>
        <v>74.521008403361265</v>
      </c>
      <c r="P135" s="100">
        <f t="shared" si="85"/>
        <v>0</v>
      </c>
      <c r="Q135" s="139">
        <f t="shared" si="86"/>
        <v>-13.714285714285793</v>
      </c>
      <c r="R135" s="140">
        <f t="shared" si="87"/>
        <v>0.84457142857142764</v>
      </c>
      <c r="S135" s="616">
        <f>R147</f>
        <v>0.88042641909432895</v>
      </c>
      <c r="T135" s="330">
        <v>0.70833333333333337</v>
      </c>
      <c r="U135" s="96">
        <v>0.73263888888888895</v>
      </c>
      <c r="V135" s="208">
        <v>5</v>
      </c>
      <c r="W135" s="331">
        <f t="shared" ref="W135:W147" si="91">(U135-T135)*24*60</f>
        <v>35.000000000000036</v>
      </c>
      <c r="X135" s="230"/>
      <c r="Y135" s="230"/>
      <c r="Z135" s="100"/>
      <c r="AA135" s="100"/>
      <c r="AB135" s="601"/>
      <c r="AC135" s="601"/>
      <c r="AD135" s="101"/>
      <c r="AE135" s="101"/>
      <c r="AF135" s="175">
        <f t="shared" si="59"/>
        <v>-233.14285714285847</v>
      </c>
      <c r="AG135" s="180">
        <f t="shared" si="60"/>
        <v>0.84457142857142764</v>
      </c>
      <c r="AH135" s="605">
        <f>AG147</f>
        <v>0.89424098695028809</v>
      </c>
    </row>
    <row r="136" spans="1:34" ht="19.149999999999999" customHeight="1">
      <c r="A136" s="613"/>
      <c r="B136" s="65" t="s">
        <v>390</v>
      </c>
      <c r="C136" s="101"/>
      <c r="D136" s="132" t="s">
        <v>197</v>
      </c>
      <c r="E136" s="332"/>
      <c r="F136" s="85">
        <v>50.98</v>
      </c>
      <c r="G136" s="104">
        <v>1597</v>
      </c>
      <c r="H136" s="135">
        <f t="shared" si="88"/>
        <v>81415.06</v>
      </c>
      <c r="I136" s="101"/>
      <c r="J136" s="89">
        <v>18</v>
      </c>
      <c r="K136" s="104">
        <v>1440</v>
      </c>
      <c r="L136" s="137">
        <v>80</v>
      </c>
      <c r="M136" s="189">
        <v>19</v>
      </c>
      <c r="N136" s="104">
        <f t="shared" si="89"/>
        <v>1349.577464788731</v>
      </c>
      <c r="O136" s="137">
        <f t="shared" si="90"/>
        <v>71.030392883617424</v>
      </c>
      <c r="P136" s="100">
        <f t="shared" si="85"/>
        <v>1</v>
      </c>
      <c r="Q136" s="139">
        <f t="shared" si="86"/>
        <v>-8.9696071163825764</v>
      </c>
      <c r="R136" s="140">
        <f t="shared" si="87"/>
        <v>0.8878799110452178</v>
      </c>
      <c r="S136" s="616"/>
      <c r="T136" s="330">
        <v>0.73750000000000004</v>
      </c>
      <c r="U136" s="96">
        <v>0.78680555555555565</v>
      </c>
      <c r="V136" s="208">
        <v>7</v>
      </c>
      <c r="W136" s="88">
        <f t="shared" si="91"/>
        <v>71.000000000000071</v>
      </c>
      <c r="X136" s="99"/>
      <c r="Y136" s="99"/>
      <c r="Z136" s="100"/>
      <c r="AA136" s="100"/>
      <c r="AB136" s="601"/>
      <c r="AC136" s="601"/>
      <c r="AD136" s="101"/>
      <c r="AE136" s="101"/>
      <c r="AF136" s="92">
        <f t="shared" si="59"/>
        <v>-90.422535211268951</v>
      </c>
      <c r="AG136" s="186">
        <f t="shared" si="60"/>
        <v>0.93720657276995212</v>
      </c>
      <c r="AH136" s="605"/>
    </row>
    <row r="137" spans="1:34" ht="19.149999999999999" customHeight="1">
      <c r="A137" s="613"/>
      <c r="B137" s="65" t="s">
        <v>390</v>
      </c>
      <c r="C137" s="101"/>
      <c r="D137" s="132" t="s">
        <v>198</v>
      </c>
      <c r="E137" s="133"/>
      <c r="F137" s="85">
        <v>54.09</v>
      </c>
      <c r="G137" s="288">
        <v>788</v>
      </c>
      <c r="H137" s="135">
        <f t="shared" si="88"/>
        <v>42622.920000000006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89"/>
        <v>1313.3333333333323</v>
      </c>
      <c r="O137" s="137">
        <f t="shared" si="90"/>
        <v>72.962962962962905</v>
      </c>
      <c r="P137" s="100">
        <f t="shared" si="85"/>
        <v>-1</v>
      </c>
      <c r="Q137" s="139">
        <f t="shared" si="86"/>
        <v>-5.984405458089725</v>
      </c>
      <c r="R137" s="140">
        <f t="shared" si="87"/>
        <v>0.92419753086419687</v>
      </c>
      <c r="S137" s="616"/>
      <c r="T137" s="96">
        <v>0.7909722222222223</v>
      </c>
      <c r="U137" s="96">
        <v>0.81597222222222232</v>
      </c>
      <c r="V137" s="333">
        <v>6</v>
      </c>
      <c r="W137" s="88">
        <f t="shared" si="91"/>
        <v>36.000000000000028</v>
      </c>
      <c r="X137" s="99"/>
      <c r="Y137" s="99"/>
      <c r="Z137" s="100"/>
      <c r="AA137" s="100"/>
      <c r="AB137" s="601"/>
      <c r="AC137" s="601"/>
      <c r="AD137" s="101"/>
      <c r="AE137" s="101"/>
      <c r="AF137" s="92">
        <f t="shared" si="59"/>
        <v>-186.66666666666765</v>
      </c>
      <c r="AG137" s="186">
        <f t="shared" si="60"/>
        <v>0.87555555555555487</v>
      </c>
      <c r="AH137" s="605"/>
    </row>
    <row r="138" spans="1:34" ht="19.149999999999999" customHeight="1">
      <c r="A138" s="613"/>
      <c r="B138" s="65" t="s">
        <v>390</v>
      </c>
      <c r="C138" s="303"/>
      <c r="D138" s="132" t="s">
        <v>199</v>
      </c>
      <c r="E138" s="133"/>
      <c r="F138" s="85">
        <v>50.92</v>
      </c>
      <c r="G138" s="104">
        <v>1924</v>
      </c>
      <c r="H138" s="135">
        <f t="shared" si="88"/>
        <v>97970.08</v>
      </c>
      <c r="I138" s="101"/>
      <c r="J138" s="138">
        <v>17</v>
      </c>
      <c r="K138" s="104">
        <v>1440</v>
      </c>
      <c r="L138" s="137">
        <v>84.705882352941174</v>
      </c>
      <c r="M138" s="310">
        <v>17</v>
      </c>
      <c r="N138" s="104">
        <f t="shared" si="89"/>
        <v>1358.1176470588234</v>
      </c>
      <c r="O138" s="137">
        <f t="shared" si="90"/>
        <v>79.889273356401375</v>
      </c>
      <c r="P138" s="100">
        <f t="shared" si="85"/>
        <v>0</v>
      </c>
      <c r="Q138" s="139">
        <f t="shared" si="86"/>
        <v>-4.8166089965397987</v>
      </c>
      <c r="R138" s="257">
        <f t="shared" si="87"/>
        <v>0.94313725490196065</v>
      </c>
      <c r="S138" s="616"/>
      <c r="T138" s="96">
        <v>0.83125000000000004</v>
      </c>
      <c r="U138" s="96">
        <v>0.89027777777777783</v>
      </c>
      <c r="V138" s="333">
        <v>22</v>
      </c>
      <c r="W138" s="88">
        <f t="shared" si="91"/>
        <v>85.000000000000014</v>
      </c>
      <c r="X138" s="99">
        <v>0.81944444444444453</v>
      </c>
      <c r="Y138" s="99">
        <v>0.82847222222222217</v>
      </c>
      <c r="Z138" s="100"/>
      <c r="AA138" s="100"/>
      <c r="AB138" s="601"/>
      <c r="AC138" s="601"/>
      <c r="AD138" s="101">
        <v>1</v>
      </c>
      <c r="AE138" s="101"/>
      <c r="AF138" s="92">
        <f t="shared" si="59"/>
        <v>-81.882352941176578</v>
      </c>
      <c r="AG138" s="186">
        <f t="shared" si="60"/>
        <v>0.94313725490196076</v>
      </c>
      <c r="AH138" s="605"/>
    </row>
    <row r="139" spans="1:34" ht="19.149999999999999" customHeight="1">
      <c r="A139" s="613"/>
      <c r="B139" s="65" t="s">
        <v>390</v>
      </c>
      <c r="C139" s="147"/>
      <c r="D139" s="83" t="s">
        <v>200</v>
      </c>
      <c r="E139" s="84"/>
      <c r="F139" s="85">
        <v>50.29</v>
      </c>
      <c r="G139" s="104">
        <v>617</v>
      </c>
      <c r="H139" s="135">
        <f t="shared" si="88"/>
        <v>31028.93</v>
      </c>
      <c r="I139" s="101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89"/>
        <v>1276.5517241379287</v>
      </c>
      <c r="O139" s="137">
        <f t="shared" si="90"/>
        <v>70.91954022988493</v>
      </c>
      <c r="P139" s="100">
        <f t="shared" si="85"/>
        <v>0</v>
      </c>
      <c r="Q139" s="139">
        <f t="shared" si="86"/>
        <v>-9.0804597701150698</v>
      </c>
      <c r="R139" s="140">
        <f t="shared" si="87"/>
        <v>0.88649425287356165</v>
      </c>
      <c r="S139" s="616"/>
      <c r="T139" s="96">
        <v>0.89513888888888893</v>
      </c>
      <c r="U139" s="96">
        <v>0.91527777777777786</v>
      </c>
      <c r="V139" s="334">
        <v>7</v>
      </c>
      <c r="W139" s="88">
        <f t="shared" si="91"/>
        <v>29.000000000000057</v>
      </c>
      <c r="X139" s="99"/>
      <c r="Y139" s="99"/>
      <c r="Z139" s="100"/>
      <c r="AA139" s="100"/>
      <c r="AB139" s="601"/>
      <c r="AC139" s="601"/>
      <c r="AD139" s="101"/>
      <c r="AE139" s="101"/>
      <c r="AF139" s="92">
        <f t="shared" si="59"/>
        <v>-163.44827586207134</v>
      </c>
      <c r="AG139" s="186">
        <f t="shared" si="60"/>
        <v>0.88649425287356154</v>
      </c>
      <c r="AH139" s="605"/>
    </row>
    <row r="140" spans="1:34" ht="19.149999999999999" customHeight="1">
      <c r="A140" s="614"/>
      <c r="B140" s="65" t="s">
        <v>390</v>
      </c>
      <c r="C140" s="147"/>
      <c r="D140" s="335" t="s">
        <v>201</v>
      </c>
      <c r="E140" s="133"/>
      <c r="F140" s="85">
        <v>50.67</v>
      </c>
      <c r="G140" s="104">
        <v>857</v>
      </c>
      <c r="H140" s="135">
        <f t="shared" si="88"/>
        <v>43424.19</v>
      </c>
      <c r="I140" s="101"/>
      <c r="J140" s="89">
        <v>17</v>
      </c>
      <c r="K140" s="104">
        <v>1440</v>
      </c>
      <c r="L140" s="137">
        <v>84.705882352941174</v>
      </c>
      <c r="M140" s="310">
        <v>19</v>
      </c>
      <c r="N140" s="104">
        <f t="shared" si="89"/>
        <v>1285.4999999999995</v>
      </c>
      <c r="O140" s="137">
        <f t="shared" si="90"/>
        <v>67.657894736842081</v>
      </c>
      <c r="P140" s="100">
        <f t="shared" si="85"/>
        <v>2</v>
      </c>
      <c r="Q140" s="139">
        <f t="shared" si="86"/>
        <v>-17.047987616099093</v>
      </c>
      <c r="R140" s="140">
        <f t="shared" si="87"/>
        <v>0.79873903508771904</v>
      </c>
      <c r="S140" s="617"/>
      <c r="T140" s="111">
        <v>0.92083333333333339</v>
      </c>
      <c r="U140" s="336">
        <v>0.94861111111111118</v>
      </c>
      <c r="V140" s="337">
        <v>8</v>
      </c>
      <c r="W140" s="88">
        <f t="shared" si="91"/>
        <v>40.000000000000014</v>
      </c>
      <c r="X140" s="99"/>
      <c r="Y140" s="99"/>
      <c r="Z140" s="100"/>
      <c r="AA140" s="100"/>
      <c r="AB140" s="601"/>
      <c r="AC140" s="601"/>
      <c r="AD140" s="101"/>
      <c r="AE140" s="101"/>
      <c r="AF140" s="92">
        <f t="shared" si="59"/>
        <v>-154.50000000000045</v>
      </c>
      <c r="AG140" s="186">
        <f t="shared" si="60"/>
        <v>0.89270833333333299</v>
      </c>
      <c r="AH140" s="605"/>
    </row>
    <row r="141" spans="1:34" ht="19.149999999999999" customHeight="1">
      <c r="A141" s="614"/>
      <c r="B141" s="65" t="s">
        <v>390</v>
      </c>
      <c r="C141" s="147"/>
      <c r="D141" s="83" t="s">
        <v>202</v>
      </c>
      <c r="E141" s="338"/>
      <c r="F141" s="85">
        <v>50.49</v>
      </c>
      <c r="G141" s="104">
        <v>1123</v>
      </c>
      <c r="H141" s="135">
        <f t="shared" si="88"/>
        <v>56700.270000000004</v>
      </c>
      <c r="I141" s="101"/>
      <c r="J141" s="89">
        <v>15</v>
      </c>
      <c r="K141" s="86">
        <v>1440</v>
      </c>
      <c r="L141" s="90">
        <v>96</v>
      </c>
      <c r="M141" s="310">
        <v>15</v>
      </c>
      <c r="N141" s="104">
        <f t="shared" si="89"/>
        <v>1271.3207547169818</v>
      </c>
      <c r="O141" s="137">
        <f t="shared" si="90"/>
        <v>84.75471698113212</v>
      </c>
      <c r="P141" s="100">
        <f t="shared" si="85"/>
        <v>0</v>
      </c>
      <c r="Q141" s="139">
        <f t="shared" si="86"/>
        <v>-11.24528301886788</v>
      </c>
      <c r="R141" s="257">
        <f t="shared" si="87"/>
        <v>0.88286163522012628</v>
      </c>
      <c r="S141" s="617"/>
      <c r="T141" s="111">
        <v>0.95277777777777783</v>
      </c>
      <c r="U141" s="336">
        <v>0.98958333333333337</v>
      </c>
      <c r="V141" s="102">
        <v>6</v>
      </c>
      <c r="W141" s="88">
        <f t="shared" si="91"/>
        <v>52.999999999999972</v>
      </c>
      <c r="X141" s="99"/>
      <c r="Y141" s="99"/>
      <c r="Z141" s="100"/>
      <c r="AA141" s="100"/>
      <c r="AB141" s="601"/>
      <c r="AC141" s="601"/>
      <c r="AD141" s="101"/>
      <c r="AE141" s="101"/>
      <c r="AF141" s="92">
        <f t="shared" si="59"/>
        <v>-168.67924528301819</v>
      </c>
      <c r="AG141" s="186">
        <f t="shared" si="60"/>
        <v>0.88286163522012628</v>
      </c>
      <c r="AH141" s="605"/>
    </row>
    <row r="142" spans="1:34" ht="19.149999999999999" customHeight="1">
      <c r="A142" s="614"/>
      <c r="B142" s="65">
        <v>0</v>
      </c>
      <c r="C142" s="147"/>
      <c r="D142" s="83"/>
      <c r="E142" s="338"/>
      <c r="F142" s="85" t="s">
        <v>391</v>
      </c>
      <c r="G142" s="104"/>
      <c r="H142" s="135">
        <f t="shared" si="88"/>
        <v>0</v>
      </c>
      <c r="I142" s="101"/>
      <c r="J142" s="138"/>
      <c r="K142" s="104"/>
      <c r="L142" s="137"/>
      <c r="M142" s="310"/>
      <c r="N142" s="104"/>
      <c r="O142" s="137"/>
      <c r="P142" s="100"/>
      <c r="Q142" s="139"/>
      <c r="R142" s="140"/>
      <c r="S142" s="617"/>
      <c r="T142" s="111"/>
      <c r="U142" s="336"/>
      <c r="V142" s="102"/>
      <c r="W142" s="88"/>
      <c r="X142" s="99"/>
      <c r="Y142" s="99"/>
      <c r="Z142" s="100"/>
      <c r="AA142" s="100"/>
      <c r="AB142" s="601"/>
      <c r="AC142" s="601"/>
      <c r="AD142" s="101"/>
      <c r="AE142" s="101"/>
      <c r="AF142" s="92">
        <f t="shared" si="59"/>
        <v>0</v>
      </c>
      <c r="AG142" s="186" t="e">
        <f t="shared" si="60"/>
        <v>#DIV/0!</v>
      </c>
      <c r="AH142" s="605"/>
    </row>
    <row r="143" spans="1:34" ht="19.149999999999999" customHeight="1">
      <c r="A143" s="614"/>
      <c r="B143" s="65">
        <v>0</v>
      </c>
      <c r="C143" s="339"/>
      <c r="D143" s="132"/>
      <c r="E143" s="133"/>
      <c r="F143" s="85" t="s">
        <v>391</v>
      </c>
      <c r="G143" s="104"/>
      <c r="H143" s="135">
        <f t="shared" si="88"/>
        <v>0</v>
      </c>
      <c r="I143" s="101"/>
      <c r="J143" s="89"/>
      <c r="K143" s="86"/>
      <c r="L143" s="90"/>
      <c r="M143" s="310"/>
      <c r="N143" s="104"/>
      <c r="O143" s="137"/>
      <c r="P143" s="100"/>
      <c r="Q143" s="139"/>
      <c r="R143" s="140"/>
      <c r="S143" s="617"/>
      <c r="T143" s="111"/>
      <c r="U143" s="336"/>
      <c r="V143" s="102"/>
      <c r="W143" s="88"/>
      <c r="X143" s="99"/>
      <c r="Y143" s="99"/>
      <c r="Z143" s="100"/>
      <c r="AA143" s="100"/>
      <c r="AB143" s="601"/>
      <c r="AC143" s="601"/>
      <c r="AD143" s="101"/>
      <c r="AE143" s="101"/>
      <c r="AF143" s="92">
        <f t="shared" si="59"/>
        <v>0</v>
      </c>
      <c r="AG143" s="186" t="e">
        <f t="shared" si="60"/>
        <v>#DIV/0!</v>
      </c>
      <c r="AH143" s="605"/>
    </row>
    <row r="144" spans="1:34" ht="19.149999999999999" customHeight="1">
      <c r="A144" s="614"/>
      <c r="B144" s="65">
        <v>0</v>
      </c>
      <c r="C144" s="147"/>
      <c r="D144" s="83"/>
      <c r="E144" s="338"/>
      <c r="F144" s="85" t="s">
        <v>391</v>
      </c>
      <c r="G144" s="104"/>
      <c r="H144" s="135">
        <f t="shared" si="88"/>
        <v>0</v>
      </c>
      <c r="I144" s="101"/>
      <c r="J144" s="89"/>
      <c r="K144" s="104"/>
      <c r="L144" s="137"/>
      <c r="M144" s="189"/>
      <c r="N144" s="104"/>
      <c r="O144" s="137"/>
      <c r="P144" s="100"/>
      <c r="Q144" s="139"/>
      <c r="R144" s="257"/>
      <c r="S144" s="617"/>
      <c r="T144" s="111"/>
      <c r="U144" s="336"/>
      <c r="V144" s="102"/>
      <c r="W144" s="88"/>
      <c r="X144" s="99"/>
      <c r="Y144" s="99"/>
      <c r="Z144" s="100"/>
      <c r="AA144" s="100"/>
      <c r="AB144" s="601"/>
      <c r="AC144" s="601"/>
      <c r="AD144" s="101"/>
      <c r="AE144" s="101"/>
      <c r="AF144" s="92">
        <f t="shared" si="59"/>
        <v>0</v>
      </c>
      <c r="AG144" s="186" t="e">
        <f t="shared" si="60"/>
        <v>#DIV/0!</v>
      </c>
      <c r="AH144" s="605"/>
    </row>
    <row r="145" spans="1:34" ht="19.149999999999999" customHeight="1">
      <c r="A145" s="614"/>
      <c r="B145" s="65">
        <v>0</v>
      </c>
      <c r="C145" s="147"/>
      <c r="D145" s="83"/>
      <c r="E145" s="338"/>
      <c r="F145" s="85" t="s">
        <v>391</v>
      </c>
      <c r="G145" s="104"/>
      <c r="H145" s="135">
        <f t="shared" si="88"/>
        <v>0</v>
      </c>
      <c r="I145" s="101"/>
      <c r="J145" s="138"/>
      <c r="K145" s="104"/>
      <c r="L145" s="137"/>
      <c r="M145" s="189"/>
      <c r="N145" s="104"/>
      <c r="O145" s="137"/>
      <c r="P145" s="100"/>
      <c r="Q145" s="139"/>
      <c r="R145" s="140"/>
      <c r="S145" s="617"/>
      <c r="T145" s="111"/>
      <c r="U145" s="336"/>
      <c r="V145" s="102"/>
      <c r="W145" s="88">
        <f t="shared" si="91"/>
        <v>0</v>
      </c>
      <c r="X145" s="99"/>
      <c r="Y145" s="99"/>
      <c r="Z145" s="100"/>
      <c r="AA145" s="100"/>
      <c r="AB145" s="601"/>
      <c r="AC145" s="601"/>
      <c r="AD145" s="101"/>
      <c r="AE145" s="101"/>
      <c r="AF145" s="92">
        <f t="shared" si="59"/>
        <v>0</v>
      </c>
      <c r="AG145" s="186" t="e">
        <f t="shared" si="60"/>
        <v>#DIV/0!</v>
      </c>
      <c r="AH145" s="605"/>
    </row>
    <row r="146" spans="1:34" ht="19.149999999999999" customHeight="1">
      <c r="A146" s="614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88"/>
        <v>0</v>
      </c>
      <c r="I146" s="101"/>
      <c r="J146" s="138"/>
      <c r="K146" s="104"/>
      <c r="L146" s="137"/>
      <c r="M146" s="189"/>
      <c r="N146" s="104"/>
      <c r="O146" s="137"/>
      <c r="P146" s="100"/>
      <c r="Q146" s="139"/>
      <c r="R146" s="140"/>
      <c r="S146" s="617"/>
      <c r="T146" s="111"/>
      <c r="U146" s="336"/>
      <c r="V146" s="102"/>
      <c r="W146" s="88">
        <f t="shared" si="91"/>
        <v>0</v>
      </c>
      <c r="X146" s="99"/>
      <c r="Y146" s="99"/>
      <c r="Z146" s="100"/>
      <c r="AA146" s="100"/>
      <c r="AB146" s="601"/>
      <c r="AC146" s="601"/>
      <c r="AD146" s="101"/>
      <c r="AE146" s="101"/>
      <c r="AF146" s="100"/>
      <c r="AG146" s="140"/>
      <c r="AH146" s="605"/>
    </row>
    <row r="147" spans="1:34" ht="19.149999999999999" customHeight="1">
      <c r="A147" s="615"/>
      <c r="B147" s="341">
        <v>0</v>
      </c>
      <c r="C147" s="156" t="s">
        <v>278</v>
      </c>
      <c r="D147" s="602" t="s">
        <v>256</v>
      </c>
      <c r="E147" s="602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2">AVERAGE(M135:M146)</f>
        <v>17.571428571428573</v>
      </c>
      <c r="N147" s="326">
        <f t="shared" si="92"/>
        <v>1303.0368666989912</v>
      </c>
      <c r="O147" s="327">
        <f t="shared" si="92"/>
        <v>74.533684222028882</v>
      </c>
      <c r="P147" s="97">
        <f t="shared" ref="P147:P152" si="93">M147-J147</f>
        <v>0.28571428571428825</v>
      </c>
      <c r="Q147" s="205">
        <f t="shared" ref="Q147:Q152" si="94">O147-L147</f>
        <v>-10.122662527197122</v>
      </c>
      <c r="R147" s="343">
        <f t="shared" ref="R147:R152" si="95">O147/L147</f>
        <v>0.88042641909432895</v>
      </c>
      <c r="S147" s="618"/>
      <c r="T147" s="111"/>
      <c r="U147" s="111"/>
      <c r="V147" s="102"/>
      <c r="W147" s="88">
        <f t="shared" si="91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01"/>
      <c r="AC147" s="601"/>
      <c r="AD147" s="164">
        <f>SUM(AD135:AD146)</f>
        <v>1</v>
      </c>
      <c r="AE147" s="164">
        <f>SUM(AE135:AE146)</f>
        <v>0</v>
      </c>
      <c r="AF147" s="282">
        <f t="shared" si="59"/>
        <v>-154.10599044386595</v>
      </c>
      <c r="AG147" s="344">
        <f t="shared" si="60"/>
        <v>0.89424098695028809</v>
      </c>
      <c r="AH147" s="605"/>
    </row>
    <row r="148" spans="1:34" ht="19.149999999999999" customHeight="1">
      <c r="A148" s="608" t="s">
        <v>279</v>
      </c>
      <c r="B148" s="101" t="s">
        <v>390</v>
      </c>
      <c r="C148" s="182"/>
      <c r="D148" s="246" t="s">
        <v>204</v>
      </c>
      <c r="E148" s="84"/>
      <c r="F148" s="199">
        <v>57.3</v>
      </c>
      <c r="G148" s="104">
        <v>1059</v>
      </c>
      <c r="H148" s="135">
        <f t="shared" ref="H148:H172" si="96">F148*G148</f>
        <v>60680.7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1270.8000000000004</v>
      </c>
      <c r="O148" s="90">
        <f>N148/M148</f>
        <v>70.600000000000023</v>
      </c>
      <c r="P148" s="92">
        <f t="shared" si="93"/>
        <v>-1</v>
      </c>
      <c r="Q148" s="93">
        <f t="shared" si="94"/>
        <v>-5.1894736842104976</v>
      </c>
      <c r="R148" s="94">
        <f t="shared" si="95"/>
        <v>0.93152777777777818</v>
      </c>
      <c r="S148" s="609">
        <f>R160</f>
        <v>0.88736679316119627</v>
      </c>
      <c r="T148" s="330">
        <v>0.70833333333333337</v>
      </c>
      <c r="U148" s="96">
        <v>0.74305555555555558</v>
      </c>
      <c r="V148" s="65">
        <v>5</v>
      </c>
      <c r="W148" s="88">
        <f>(U148-T148)*24*60</f>
        <v>49.999999999999986</v>
      </c>
      <c r="X148" s="99"/>
      <c r="Y148" s="99"/>
      <c r="Z148" s="100"/>
      <c r="AA148" s="100"/>
      <c r="AB148" s="601"/>
      <c r="AC148" s="601"/>
      <c r="AD148" s="101"/>
      <c r="AE148" s="101"/>
      <c r="AF148" s="92">
        <f t="shared" si="59"/>
        <v>-169.19999999999959</v>
      </c>
      <c r="AG148" s="186">
        <f t="shared" si="60"/>
        <v>0.88250000000000028</v>
      </c>
      <c r="AH148" s="605">
        <f>AG160</f>
        <v>0.87057893092036831</v>
      </c>
    </row>
    <row r="149" spans="1:34" ht="19.149999999999999" customHeight="1">
      <c r="A149" s="608"/>
      <c r="B149" s="101" t="s">
        <v>390</v>
      </c>
      <c r="C149" s="301"/>
      <c r="D149" s="335" t="s">
        <v>205</v>
      </c>
      <c r="E149" s="107"/>
      <c r="F149" s="199">
        <v>50.67</v>
      </c>
      <c r="G149" s="104">
        <v>635</v>
      </c>
      <c r="H149" s="135">
        <f t="shared" si="96"/>
        <v>32175.45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1269.9999999999977</v>
      </c>
      <c r="O149" s="90">
        <f>N149/M149</f>
        <v>74.705882352941046</v>
      </c>
      <c r="P149" s="92">
        <f t="shared" si="93"/>
        <v>1</v>
      </c>
      <c r="Q149" s="93">
        <f t="shared" si="94"/>
        <v>-15.294117647058954</v>
      </c>
      <c r="R149" s="94">
        <f t="shared" si="95"/>
        <v>0.83006535947712279</v>
      </c>
      <c r="S149" s="610"/>
      <c r="T149" s="330">
        <v>0.74791666666666667</v>
      </c>
      <c r="U149" s="96">
        <v>0.76875000000000004</v>
      </c>
      <c r="V149" s="65">
        <v>7</v>
      </c>
      <c r="W149" s="88">
        <f t="shared" ref="W149:W159" si="97">(U149-T149)*24*60</f>
        <v>30.000000000000053</v>
      </c>
      <c r="X149" s="99"/>
      <c r="Y149" s="99"/>
      <c r="Z149" s="100"/>
      <c r="AA149" s="100"/>
      <c r="AB149" s="601"/>
      <c r="AC149" s="601"/>
      <c r="AD149" s="101"/>
      <c r="AE149" s="101"/>
      <c r="AF149" s="92">
        <f t="shared" si="59"/>
        <v>-170.00000000000227</v>
      </c>
      <c r="AG149" s="186">
        <f t="shared" si="60"/>
        <v>0.88194444444444287</v>
      </c>
      <c r="AH149" s="611"/>
    </row>
    <row r="150" spans="1:34" ht="19.149999999999999" customHeight="1">
      <c r="A150" s="608"/>
      <c r="B150" s="101" t="s">
        <v>386</v>
      </c>
      <c r="C150" s="301"/>
      <c r="D150" s="249" t="s">
        <v>186</v>
      </c>
      <c r="E150" s="107"/>
      <c r="F150" s="199">
        <v>59.52</v>
      </c>
      <c r="G150" s="104">
        <v>468</v>
      </c>
      <c r="H150" s="135">
        <f t="shared" si="96"/>
        <v>27855.360000000001</v>
      </c>
      <c r="I150" s="345">
        <v>2</v>
      </c>
      <c r="J150" s="138">
        <v>21</v>
      </c>
      <c r="K150" s="104">
        <v>1385</v>
      </c>
      <c r="L150" s="137">
        <v>65.952380952380949</v>
      </c>
      <c r="M150" s="310">
        <v>20</v>
      </c>
      <c r="N150" s="86">
        <f>G150/W150*60</f>
        <v>1220.8695652173872</v>
      </c>
      <c r="O150" s="90">
        <f>N150/M150</f>
        <v>61.043478260869357</v>
      </c>
      <c r="P150" s="92">
        <f t="shared" si="93"/>
        <v>-1</v>
      </c>
      <c r="Q150" s="93">
        <f t="shared" si="94"/>
        <v>-4.9089026915115923</v>
      </c>
      <c r="R150" s="94">
        <f t="shared" si="95"/>
        <v>0.92556898446083502</v>
      </c>
      <c r="S150" s="610"/>
      <c r="T150" s="330">
        <v>0.7729166666666667</v>
      </c>
      <c r="U150" s="96">
        <v>0.78888888888888897</v>
      </c>
      <c r="V150" s="65">
        <v>6</v>
      </c>
      <c r="W150" s="88">
        <f t="shared" si="97"/>
        <v>23.000000000000078</v>
      </c>
      <c r="X150" s="295"/>
      <c r="Y150" s="295"/>
      <c r="Z150" s="296"/>
      <c r="AA150" s="296"/>
      <c r="AB150" s="601"/>
      <c r="AC150" s="601"/>
      <c r="AD150" s="101"/>
      <c r="AE150" s="101"/>
      <c r="AF150" s="92">
        <f t="shared" si="59"/>
        <v>-164.13043478261284</v>
      </c>
      <c r="AG150" s="186">
        <f t="shared" si="60"/>
        <v>0.88149427091508104</v>
      </c>
      <c r="AH150" s="611"/>
    </row>
    <row r="151" spans="1:34" s="298" customFormat="1" ht="19.149999999999999" customHeight="1">
      <c r="A151" s="608"/>
      <c r="B151" s="101" t="s">
        <v>390</v>
      </c>
      <c r="C151" s="301"/>
      <c r="D151" s="106" t="s">
        <v>175</v>
      </c>
      <c r="E151" s="107"/>
      <c r="F151" s="199">
        <v>57.734999999999999</v>
      </c>
      <c r="G151" s="104">
        <v>415.25</v>
      </c>
      <c r="H151" s="135">
        <f t="shared" si="96"/>
        <v>23974.458749999998</v>
      </c>
      <c r="I151" s="345">
        <v>2</v>
      </c>
      <c r="J151" s="138">
        <v>16</v>
      </c>
      <c r="K151" s="104">
        <v>1565</v>
      </c>
      <c r="L151" s="137">
        <v>97.8125</v>
      </c>
      <c r="M151" s="310">
        <v>15</v>
      </c>
      <c r="N151" s="86">
        <f>G151/W151*60</f>
        <v>1311.3157894736889</v>
      </c>
      <c r="O151" s="90">
        <f>N151/M151</f>
        <v>87.421052631579258</v>
      </c>
      <c r="P151" s="92">
        <f t="shared" si="93"/>
        <v>-1</v>
      </c>
      <c r="Q151" s="93">
        <f t="shared" si="94"/>
        <v>-10.391447368420742</v>
      </c>
      <c r="R151" s="94">
        <f t="shared" si="95"/>
        <v>0.89376156045065058</v>
      </c>
      <c r="S151" s="610"/>
      <c r="T151" s="330">
        <v>0.79236111111111118</v>
      </c>
      <c r="U151" s="96">
        <v>0.80555555555555558</v>
      </c>
      <c r="V151" s="65">
        <v>5</v>
      </c>
      <c r="W151" s="88">
        <f t="shared" si="97"/>
        <v>18.999999999999932</v>
      </c>
      <c r="X151" s="295"/>
      <c r="Y151" s="295"/>
      <c r="Z151" s="296"/>
      <c r="AA151" s="296"/>
      <c r="AB151" s="601"/>
      <c r="AC151" s="601"/>
      <c r="AD151" s="301"/>
      <c r="AE151" s="301"/>
      <c r="AF151" s="92">
        <f t="shared" si="59"/>
        <v>-253.68421052631106</v>
      </c>
      <c r="AG151" s="186">
        <f t="shared" si="60"/>
        <v>0.83790146292248491</v>
      </c>
      <c r="AH151" s="611"/>
    </row>
    <row r="152" spans="1:34" s="298" customFormat="1" ht="19.149999999999999" customHeight="1">
      <c r="A152" s="608"/>
      <c r="B152" s="101" t="s">
        <v>390</v>
      </c>
      <c r="C152" s="301"/>
      <c r="D152" s="335" t="s">
        <v>206</v>
      </c>
      <c r="E152" s="107"/>
      <c r="F152" s="199">
        <v>57.3</v>
      </c>
      <c r="G152" s="104">
        <v>1461</v>
      </c>
      <c r="H152" s="135">
        <f t="shared" si="96"/>
        <v>83715.3</v>
      </c>
      <c r="I152" s="345"/>
      <c r="J152" s="138">
        <v>17</v>
      </c>
      <c r="K152" s="104">
        <v>1500</v>
      </c>
      <c r="L152" s="137">
        <v>88.235294117647058</v>
      </c>
      <c r="M152" s="310">
        <v>17</v>
      </c>
      <c r="N152" s="86">
        <f>G152/W152*60</f>
        <v>1308.3582089552256</v>
      </c>
      <c r="O152" s="90">
        <f>N152/M152</f>
        <v>76.962247585601503</v>
      </c>
      <c r="P152" s="92">
        <f t="shared" si="93"/>
        <v>0</v>
      </c>
      <c r="Q152" s="93">
        <f t="shared" si="94"/>
        <v>-11.273046532045555</v>
      </c>
      <c r="R152" s="94">
        <f t="shared" si="95"/>
        <v>0.87223880597015035</v>
      </c>
      <c r="S152" s="610"/>
      <c r="T152" s="346">
        <v>0.82152777777777786</v>
      </c>
      <c r="U152" s="111">
        <v>0.86805555555555558</v>
      </c>
      <c r="V152" s="109">
        <v>23</v>
      </c>
      <c r="W152" s="88">
        <f t="shared" si="97"/>
        <v>66.999999999999915</v>
      </c>
      <c r="X152" s="299">
        <v>0.80902777777777779</v>
      </c>
      <c r="Y152" s="299">
        <v>0.81874999999999998</v>
      </c>
      <c r="Z152" s="296"/>
      <c r="AA152" s="296"/>
      <c r="AB152" s="601"/>
      <c r="AC152" s="601"/>
      <c r="AD152" s="301"/>
      <c r="AE152" s="301"/>
      <c r="AF152" s="92">
        <f t="shared" si="59"/>
        <v>-191.64179104477444</v>
      </c>
      <c r="AG152" s="186">
        <f t="shared" si="60"/>
        <v>0.87223880597015035</v>
      </c>
      <c r="AH152" s="611"/>
    </row>
    <row r="153" spans="1:34" s="298" customFormat="1" ht="19.149999999999999" customHeight="1">
      <c r="A153" s="608"/>
      <c r="B153" s="101">
        <v>0</v>
      </c>
      <c r="C153" s="301"/>
      <c r="D153" s="335"/>
      <c r="E153" s="107"/>
      <c r="F153" s="199" t="s">
        <v>391</v>
      </c>
      <c r="G153" s="104"/>
      <c r="H153" s="135">
        <f t="shared" si="96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4"/>
      <c r="S153" s="610"/>
      <c r="T153" s="346"/>
      <c r="U153" s="111"/>
      <c r="V153" s="109"/>
      <c r="W153" s="88">
        <f t="shared" si="97"/>
        <v>0</v>
      </c>
      <c r="X153" s="299"/>
      <c r="Y153" s="299"/>
      <c r="Z153" s="296"/>
      <c r="AA153" s="296"/>
      <c r="AB153" s="601"/>
      <c r="AC153" s="601"/>
      <c r="AD153" s="301"/>
      <c r="AE153" s="301"/>
      <c r="AF153" s="92">
        <f t="shared" si="59"/>
        <v>0</v>
      </c>
      <c r="AG153" s="186" t="e">
        <f t="shared" si="60"/>
        <v>#DIV/0!</v>
      </c>
      <c r="AH153" s="611"/>
    </row>
    <row r="154" spans="1:34" s="298" customFormat="1" ht="19.149999999999999" customHeight="1">
      <c r="A154" s="608"/>
      <c r="B154" s="101">
        <v>0</v>
      </c>
      <c r="C154" s="301"/>
      <c r="D154" s="335"/>
      <c r="E154" s="107"/>
      <c r="F154" s="199" t="s">
        <v>391</v>
      </c>
      <c r="G154" s="104"/>
      <c r="H154" s="135">
        <f t="shared" si="96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10"/>
      <c r="T154" s="346"/>
      <c r="U154" s="111"/>
      <c r="V154" s="109"/>
      <c r="W154" s="88">
        <f t="shared" si="97"/>
        <v>0</v>
      </c>
      <c r="X154" s="299"/>
      <c r="Y154" s="299"/>
      <c r="Z154" s="296"/>
      <c r="AA154" s="296"/>
      <c r="AB154" s="601"/>
      <c r="AC154" s="601"/>
      <c r="AD154" s="301"/>
      <c r="AE154" s="301"/>
      <c r="AF154" s="92">
        <f t="shared" si="59"/>
        <v>0</v>
      </c>
      <c r="AG154" s="186" t="e">
        <f t="shared" si="60"/>
        <v>#DIV/0!</v>
      </c>
      <c r="AH154" s="611"/>
    </row>
    <row r="155" spans="1:34" s="298" customFormat="1" ht="19.149999999999999" customHeight="1">
      <c r="A155" s="608"/>
      <c r="B155" s="101">
        <v>0</v>
      </c>
      <c r="C155" s="301"/>
      <c r="D155" s="335"/>
      <c r="E155" s="107"/>
      <c r="F155" s="199" t="s">
        <v>391</v>
      </c>
      <c r="G155" s="104"/>
      <c r="H155" s="135">
        <f t="shared" si="96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10"/>
      <c r="T155" s="346"/>
      <c r="U155" s="111"/>
      <c r="V155" s="109"/>
      <c r="W155" s="88">
        <f t="shared" si="97"/>
        <v>0</v>
      </c>
      <c r="X155" s="299"/>
      <c r="Y155" s="299"/>
      <c r="Z155" s="296"/>
      <c r="AA155" s="296"/>
      <c r="AB155" s="601"/>
      <c r="AC155" s="601"/>
      <c r="AD155" s="301"/>
      <c r="AE155" s="301"/>
      <c r="AF155" s="349"/>
      <c r="AG155" s="191"/>
      <c r="AH155" s="611"/>
    </row>
    <row r="156" spans="1:34" s="298" customFormat="1" ht="19.149999999999999" customHeight="1">
      <c r="A156" s="608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6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10"/>
      <c r="T156" s="346"/>
      <c r="U156" s="111"/>
      <c r="V156" s="109"/>
      <c r="W156" s="350">
        <f t="shared" si="97"/>
        <v>0</v>
      </c>
      <c r="X156" s="299"/>
      <c r="Y156" s="299"/>
      <c r="Z156" s="296"/>
      <c r="AA156" s="296"/>
      <c r="AB156" s="601"/>
      <c r="AC156" s="601"/>
      <c r="AD156" s="301"/>
      <c r="AE156" s="301"/>
      <c r="AF156" s="349"/>
      <c r="AG156" s="191"/>
      <c r="AH156" s="611"/>
    </row>
    <row r="157" spans="1:34" s="298" customFormat="1" ht="19.149999999999999" customHeight="1">
      <c r="A157" s="608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6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10"/>
      <c r="T157" s="346"/>
      <c r="U157" s="111"/>
      <c r="V157" s="109"/>
      <c r="W157" s="350">
        <f t="shared" si="97"/>
        <v>0</v>
      </c>
      <c r="X157" s="299"/>
      <c r="Y157" s="299"/>
      <c r="Z157" s="296"/>
      <c r="AA157" s="296"/>
      <c r="AB157" s="601"/>
      <c r="AC157" s="601"/>
      <c r="AD157" s="301"/>
      <c r="AE157" s="301"/>
      <c r="AF157" s="349"/>
      <c r="AG157" s="191"/>
      <c r="AH157" s="611"/>
    </row>
    <row r="158" spans="1:34" s="298" customFormat="1" ht="19.149999999999999" customHeight="1">
      <c r="A158" s="608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6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10"/>
      <c r="T158" s="346"/>
      <c r="U158" s="111"/>
      <c r="V158" s="109"/>
      <c r="W158" s="350">
        <f t="shared" si="97"/>
        <v>0</v>
      </c>
      <c r="X158" s="299"/>
      <c r="Y158" s="299"/>
      <c r="Z158" s="296"/>
      <c r="AA158" s="296"/>
      <c r="AB158" s="601"/>
      <c r="AC158" s="601"/>
      <c r="AD158" s="301"/>
      <c r="AE158" s="301"/>
      <c r="AF158" s="349"/>
      <c r="AG158" s="191"/>
      <c r="AH158" s="611"/>
    </row>
    <row r="159" spans="1:34" s="298" customFormat="1" ht="19.149999999999999" customHeight="1">
      <c r="A159" s="608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6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10"/>
      <c r="T159" s="346"/>
      <c r="U159" s="111"/>
      <c r="V159" s="109"/>
      <c r="W159" s="351">
        <f t="shared" si="97"/>
        <v>0</v>
      </c>
      <c r="X159" s="299"/>
      <c r="Y159" s="299"/>
      <c r="Z159" s="296"/>
      <c r="AA159" s="296"/>
      <c r="AB159" s="601"/>
      <c r="AC159" s="601"/>
      <c r="AD159" s="301"/>
      <c r="AE159" s="301"/>
      <c r="AF159" s="349"/>
      <c r="AG159" s="191"/>
      <c r="AH159" s="611"/>
    </row>
    <row r="160" spans="1:34" ht="19.149999999999999" customHeight="1">
      <c r="A160" s="608"/>
      <c r="B160" s="352">
        <v>0</v>
      </c>
      <c r="C160" s="353" t="s">
        <v>280</v>
      </c>
      <c r="D160" s="606" t="s">
        <v>256</v>
      </c>
      <c r="E160" s="607"/>
      <c r="F160" s="119"/>
      <c r="G160" s="280"/>
      <c r="H160" s="279"/>
      <c r="I160" s="122"/>
      <c r="J160" s="354">
        <v>17.8</v>
      </c>
      <c r="K160" s="354">
        <v>1466</v>
      </c>
      <c r="L160" s="355">
        <v>83.557929750847705</v>
      </c>
      <c r="M160" s="354">
        <f t="shared" ref="M160:O160" si="98">AVERAGE(M148:M159)</f>
        <v>17.399999999999999</v>
      </c>
      <c r="N160" s="354">
        <f t="shared" si="98"/>
        <v>1276.26871272926</v>
      </c>
      <c r="O160" s="355">
        <f t="shared" si="98"/>
        <v>74.146532166198241</v>
      </c>
      <c r="P160" s="113">
        <f t="shared" ref="P160:P165" si="99">M160-J160</f>
        <v>-0.40000000000000213</v>
      </c>
      <c r="Q160" s="124">
        <f t="shared" ref="Q160:Q165" si="100">O160-L160</f>
        <v>-9.411397584649464</v>
      </c>
      <c r="R160" s="356">
        <f>O160/L160</f>
        <v>0.88736679316119627</v>
      </c>
      <c r="S160" s="610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01"/>
      <c r="AC160" s="601"/>
      <c r="AD160" s="129">
        <f>SUM(AD148:AD159)</f>
        <v>0</v>
      </c>
      <c r="AE160" s="129">
        <f>SUM(AE148:AE159)</f>
        <v>0</v>
      </c>
      <c r="AF160" s="113">
        <f t="shared" si="59"/>
        <v>-189.73128727074004</v>
      </c>
      <c r="AG160" s="191">
        <f t="shared" si="60"/>
        <v>0.87057893092036831</v>
      </c>
      <c r="AH160" s="611"/>
    </row>
    <row r="161" spans="1:36" ht="19.149999999999999" customHeight="1">
      <c r="A161" s="604" t="s">
        <v>281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2351</v>
      </c>
      <c r="H161" s="135">
        <f t="shared" ref="H161:H170" si="101">F161*G161</f>
        <v>80474.73</v>
      </c>
      <c r="I161" s="101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2">G161/W161*60</f>
        <v>2204.0624999999995</v>
      </c>
      <c r="O161" s="137">
        <f t="shared" ref="O161:O165" si="103">N161/M161</f>
        <v>183.67187499999997</v>
      </c>
      <c r="P161" s="100">
        <f t="shared" si="99"/>
        <v>0</v>
      </c>
      <c r="Q161" s="139">
        <f t="shared" si="100"/>
        <v>-3.8281250000000284</v>
      </c>
      <c r="R161" s="140">
        <f t="shared" ref="R161:R165" si="104">O161/L161</f>
        <v>0.97958333333333314</v>
      </c>
      <c r="S161" s="605">
        <f>R173</f>
        <v>0.98871434600108454</v>
      </c>
      <c r="T161" s="142">
        <v>0.16666666666666666</v>
      </c>
      <c r="U161" s="142">
        <v>0.21111111111111111</v>
      </c>
      <c r="V161" s="101">
        <v>5</v>
      </c>
      <c r="W161" s="143">
        <f t="shared" ref="W161:W165" si="105">(U161-T161)*24*60</f>
        <v>64.000000000000014</v>
      </c>
      <c r="X161" s="151"/>
      <c r="Y161" s="151"/>
      <c r="Z161" s="100"/>
      <c r="AA161" s="100"/>
      <c r="AB161" s="601"/>
      <c r="AC161" s="601"/>
      <c r="AD161" s="101"/>
      <c r="AE161" s="101"/>
      <c r="AF161" s="100">
        <f t="shared" si="59"/>
        <v>-45.937500000000455</v>
      </c>
      <c r="AG161" s="140">
        <f t="shared" si="60"/>
        <v>0.97958333333333314</v>
      </c>
      <c r="AH161" s="605">
        <f>AG173</f>
        <v>0.98767202581193025</v>
      </c>
    </row>
    <row r="162" spans="1:36" ht="19.149999999999999" customHeight="1">
      <c r="A162" s="604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3297</v>
      </c>
      <c r="H162" s="135">
        <f t="shared" si="101"/>
        <v>112856.30999999998</v>
      </c>
      <c r="I162" s="101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2"/>
        <v>2150.217391304348</v>
      </c>
      <c r="O162" s="137">
        <f t="shared" si="103"/>
        <v>165.40133779264215</v>
      </c>
      <c r="P162" s="100">
        <f t="shared" si="99"/>
        <v>0</v>
      </c>
      <c r="Q162" s="139">
        <f t="shared" si="100"/>
        <v>-7.6755852842809134</v>
      </c>
      <c r="R162" s="140">
        <f t="shared" si="104"/>
        <v>0.95565217391304358</v>
      </c>
      <c r="S162" s="605"/>
      <c r="T162" s="142">
        <v>0.21597222222222223</v>
      </c>
      <c r="U162" s="142">
        <v>0.27986111111111112</v>
      </c>
      <c r="V162" s="101">
        <v>7</v>
      </c>
      <c r="W162" s="143">
        <f t="shared" si="105"/>
        <v>92</v>
      </c>
      <c r="X162" s="151"/>
      <c r="Y162" s="151"/>
      <c r="Z162" s="100"/>
      <c r="AA162" s="100"/>
      <c r="AB162" s="601"/>
      <c r="AC162" s="601"/>
      <c r="AD162" s="101"/>
      <c r="AE162" s="101"/>
      <c r="AF162" s="100">
        <f t="shared" si="59"/>
        <v>-99.782608695652016</v>
      </c>
      <c r="AG162" s="140">
        <f t="shared" si="60"/>
        <v>0.95565217391304358</v>
      </c>
      <c r="AH162" s="605"/>
    </row>
    <row r="163" spans="1:36" ht="19.149999999999999" customHeight="1">
      <c r="A163" s="604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2521</v>
      </c>
      <c r="H163" s="135">
        <f t="shared" si="101"/>
        <v>86293.829999999987</v>
      </c>
      <c r="I163" s="101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2"/>
        <v>2257.6119402985073</v>
      </c>
      <c r="O163" s="137">
        <f t="shared" si="103"/>
        <v>188.13432835820893</v>
      </c>
      <c r="P163" s="100">
        <f t="shared" si="99"/>
        <v>0</v>
      </c>
      <c r="Q163" s="139">
        <f t="shared" si="100"/>
        <v>0.63432835820893274</v>
      </c>
      <c r="R163" s="140">
        <f t="shared" si="104"/>
        <v>1.0033830845771143</v>
      </c>
      <c r="S163" s="605"/>
      <c r="T163" s="142">
        <v>0.3208333333333333</v>
      </c>
      <c r="U163" s="142">
        <v>0.36736111111111108</v>
      </c>
      <c r="V163" s="101">
        <v>6</v>
      </c>
      <c r="W163" s="143">
        <f t="shared" si="105"/>
        <v>67</v>
      </c>
      <c r="X163" s="151"/>
      <c r="Y163" s="151"/>
      <c r="Z163" s="100"/>
      <c r="AA163" s="100"/>
      <c r="AB163" s="601"/>
      <c r="AC163" s="601"/>
      <c r="AD163" s="101"/>
      <c r="AE163" s="101"/>
      <c r="AF163" s="100">
        <f t="shared" si="59"/>
        <v>7.6119402985073066</v>
      </c>
      <c r="AG163" s="140">
        <f t="shared" si="60"/>
        <v>1.0033830845771143</v>
      </c>
      <c r="AH163" s="605"/>
    </row>
    <row r="164" spans="1:36" ht="19.149999999999999" customHeight="1">
      <c r="A164" s="604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4674</v>
      </c>
      <c r="H164" s="135">
        <f t="shared" si="101"/>
        <v>167469.41999999998</v>
      </c>
      <c r="I164" s="101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2"/>
        <v>2261.6129032258059</v>
      </c>
      <c r="O164" s="137">
        <f t="shared" si="103"/>
        <v>205.6011730205278</v>
      </c>
      <c r="P164" s="100">
        <f t="shared" si="99"/>
        <v>0</v>
      </c>
      <c r="Q164" s="139">
        <f t="shared" si="100"/>
        <v>1.0557184750732631</v>
      </c>
      <c r="R164" s="140">
        <f t="shared" si="104"/>
        <v>1.0051612903225804</v>
      </c>
      <c r="S164" s="605"/>
      <c r="T164" s="142">
        <v>0.38194444444444442</v>
      </c>
      <c r="U164" s="142">
        <v>0.46805555555555556</v>
      </c>
      <c r="V164" s="101">
        <v>21</v>
      </c>
      <c r="W164" s="143">
        <f t="shared" si="105"/>
        <v>124.00000000000004</v>
      </c>
      <c r="X164" s="151">
        <v>0.37083333333333335</v>
      </c>
      <c r="Y164" s="151">
        <v>0.37916666666666665</v>
      </c>
      <c r="Z164" s="100"/>
      <c r="AA164" s="100"/>
      <c r="AB164" s="601"/>
      <c r="AC164" s="601"/>
      <c r="AD164" s="101"/>
      <c r="AE164" s="101"/>
      <c r="AF164" s="100">
        <f t="shared" si="59"/>
        <v>11.612903225805894</v>
      </c>
      <c r="AG164" s="140">
        <f t="shared" si="60"/>
        <v>1.0051612903225804</v>
      </c>
      <c r="AH164" s="605"/>
    </row>
    <row r="165" spans="1:36" ht="19.149999999999999" customHeight="1">
      <c r="A165" s="604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4028.05</v>
      </c>
      <c r="H165" s="135">
        <f t="shared" si="101"/>
        <v>146661.30049999998</v>
      </c>
      <c r="I165" s="101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2"/>
        <v>2237.8055555555552</v>
      </c>
      <c r="O165" s="137">
        <f t="shared" si="103"/>
        <v>223.78055555555551</v>
      </c>
      <c r="P165" s="100">
        <f t="shared" si="99"/>
        <v>0</v>
      </c>
      <c r="Q165" s="139">
        <f t="shared" si="100"/>
        <v>-1.2194444444444912</v>
      </c>
      <c r="R165" s="140">
        <f t="shared" si="104"/>
        <v>0.99458024691358005</v>
      </c>
      <c r="S165" s="605"/>
      <c r="T165" s="142">
        <v>0.48402777777777778</v>
      </c>
      <c r="U165" s="142">
        <v>0.55902777777777779</v>
      </c>
      <c r="V165" s="101">
        <v>23</v>
      </c>
      <c r="W165" s="143">
        <f t="shared" si="105"/>
        <v>108.00000000000001</v>
      </c>
      <c r="X165" s="151">
        <v>0.47152777777777777</v>
      </c>
      <c r="Y165" s="151">
        <v>0.48125000000000001</v>
      </c>
      <c r="Z165" s="100"/>
      <c r="AA165" s="100"/>
      <c r="AB165" s="601"/>
      <c r="AC165" s="601"/>
      <c r="AD165" s="101"/>
      <c r="AE165" s="101"/>
      <c r="AF165" s="100">
        <f t="shared" si="59"/>
        <v>-12.194444444444798</v>
      </c>
      <c r="AG165" s="140">
        <f t="shared" si="60"/>
        <v>0.99458024691358005</v>
      </c>
      <c r="AH165" s="605"/>
    </row>
    <row r="166" spans="1:36" ht="19.149999999999999" customHeight="1">
      <c r="A166" s="604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1"/>
        <v>0</v>
      </c>
      <c r="I166" s="101"/>
      <c r="J166" s="138"/>
      <c r="K166" s="104"/>
      <c r="L166" s="137"/>
      <c r="M166" s="138"/>
      <c r="N166" s="104"/>
      <c r="O166" s="137"/>
      <c r="P166" s="100"/>
      <c r="Q166" s="139"/>
      <c r="R166" s="140"/>
      <c r="S166" s="605"/>
      <c r="T166" s="142"/>
      <c r="U166" s="142"/>
      <c r="V166" s="101"/>
      <c r="W166" s="143"/>
      <c r="X166" s="151"/>
      <c r="Y166" s="151"/>
      <c r="Z166" s="100"/>
      <c r="AA166" s="100"/>
      <c r="AB166" s="601"/>
      <c r="AC166" s="601"/>
      <c r="AD166" s="101"/>
      <c r="AE166" s="101"/>
      <c r="AF166" s="100">
        <f t="shared" si="59"/>
        <v>0</v>
      </c>
      <c r="AG166" s="140" t="e">
        <f t="shared" si="60"/>
        <v>#DIV/0!</v>
      </c>
      <c r="AH166" s="605"/>
    </row>
    <row r="167" spans="1:36" ht="19.149999999999999" customHeight="1">
      <c r="A167" s="604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1"/>
        <v>0</v>
      </c>
      <c r="I167" s="101"/>
      <c r="J167" s="138"/>
      <c r="K167" s="104"/>
      <c r="L167" s="137"/>
      <c r="M167" s="138"/>
      <c r="N167" s="104"/>
      <c r="O167" s="137"/>
      <c r="P167" s="100"/>
      <c r="Q167" s="139"/>
      <c r="R167" s="140"/>
      <c r="S167" s="605"/>
      <c r="T167" s="142"/>
      <c r="U167" s="142"/>
      <c r="V167" s="101"/>
      <c r="W167" s="143"/>
      <c r="X167" s="151"/>
      <c r="Y167" s="151"/>
      <c r="Z167" s="100"/>
      <c r="AA167" s="100"/>
      <c r="AB167" s="601"/>
      <c r="AC167" s="601"/>
      <c r="AD167" s="101"/>
      <c r="AE167" s="101"/>
      <c r="AF167" s="100">
        <f t="shared" si="59"/>
        <v>0</v>
      </c>
      <c r="AG167" s="140" t="e">
        <f t="shared" si="60"/>
        <v>#DIV/0!</v>
      </c>
      <c r="AH167" s="605"/>
    </row>
    <row r="168" spans="1:36" ht="19.149999999999999" customHeight="1">
      <c r="A168" s="604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1"/>
        <v>0</v>
      </c>
      <c r="I168" s="101"/>
      <c r="J168" s="138"/>
      <c r="K168" s="104"/>
      <c r="L168" s="137"/>
      <c r="M168" s="138"/>
      <c r="N168" s="104"/>
      <c r="O168" s="137"/>
      <c r="P168" s="100"/>
      <c r="Q168" s="139"/>
      <c r="R168" s="140"/>
      <c r="S168" s="605"/>
      <c r="T168" s="142"/>
      <c r="U168" s="142"/>
      <c r="V168" s="101"/>
      <c r="W168" s="143"/>
      <c r="X168" s="151"/>
      <c r="Y168" s="151"/>
      <c r="Z168" s="100"/>
      <c r="AA168" s="100"/>
      <c r="AB168" s="601"/>
      <c r="AC168" s="601"/>
      <c r="AD168" s="101"/>
      <c r="AE168" s="101"/>
      <c r="AF168" s="100">
        <f t="shared" si="59"/>
        <v>0</v>
      </c>
      <c r="AG168" s="140" t="e">
        <f t="shared" si="60"/>
        <v>#DIV/0!</v>
      </c>
      <c r="AH168" s="605"/>
    </row>
    <row r="169" spans="1:36" ht="19.149999999999999" customHeight="1">
      <c r="A169" s="604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1"/>
        <v>0</v>
      </c>
      <c r="I169" s="101"/>
      <c r="J169" s="138"/>
      <c r="K169" s="104"/>
      <c r="L169" s="137"/>
      <c r="M169" s="138"/>
      <c r="N169" s="104"/>
      <c r="O169" s="137"/>
      <c r="P169" s="100"/>
      <c r="Q169" s="139"/>
      <c r="R169" s="140"/>
      <c r="S169" s="605"/>
      <c r="T169" s="142"/>
      <c r="U169" s="142"/>
      <c r="V169" s="101" t="s">
        <v>49</v>
      </c>
      <c r="W169" s="143">
        <f>(U169-T169)*24*60</f>
        <v>0</v>
      </c>
      <c r="X169" s="151"/>
      <c r="Y169" s="151"/>
      <c r="Z169" s="100"/>
      <c r="AA169" s="100"/>
      <c r="AB169" s="601"/>
      <c r="AC169" s="601"/>
      <c r="AD169" s="101"/>
      <c r="AE169" s="101"/>
      <c r="AF169" s="100">
        <f t="shared" si="59"/>
        <v>0</v>
      </c>
      <c r="AG169" s="140" t="e">
        <f t="shared" si="60"/>
        <v>#DIV/0!</v>
      </c>
      <c r="AH169" s="605"/>
    </row>
    <row r="170" spans="1:36" ht="19.149999999999999" customHeight="1">
      <c r="A170" s="604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1"/>
        <v>0</v>
      </c>
      <c r="I170" s="101"/>
      <c r="J170" s="138"/>
      <c r="K170" s="104"/>
      <c r="L170" s="137"/>
      <c r="M170" s="138"/>
      <c r="N170" s="104"/>
      <c r="O170" s="137"/>
      <c r="P170" s="100"/>
      <c r="Q170" s="139"/>
      <c r="R170" s="140"/>
      <c r="S170" s="605"/>
      <c r="T170" s="142"/>
      <c r="U170" s="142"/>
      <c r="V170" s="101"/>
      <c r="W170" s="143">
        <f>(U170-T170)*24*60</f>
        <v>0</v>
      </c>
      <c r="X170" s="151"/>
      <c r="Y170" s="151"/>
      <c r="Z170" s="100"/>
      <c r="AA170" s="100"/>
      <c r="AB170" s="601"/>
      <c r="AC170" s="601"/>
      <c r="AD170" s="101"/>
      <c r="AE170" s="101"/>
      <c r="AF170" s="100">
        <f t="shared" si="59"/>
        <v>0</v>
      </c>
      <c r="AG170" s="140" t="e">
        <f t="shared" si="60"/>
        <v>#DIV/0!</v>
      </c>
      <c r="AH170" s="605"/>
    </row>
    <row r="171" spans="1:36" ht="19.149999999999999" customHeight="1">
      <c r="A171" s="604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6"/>
        <v>0</v>
      </c>
      <c r="I171" s="101"/>
      <c r="J171" s="138"/>
      <c r="K171" s="104"/>
      <c r="L171" s="137"/>
      <c r="M171" s="138"/>
      <c r="N171" s="104"/>
      <c r="O171" s="137"/>
      <c r="P171" s="100"/>
      <c r="Q171" s="139"/>
      <c r="R171" s="140"/>
      <c r="S171" s="605"/>
      <c r="T171" s="142"/>
      <c r="U171" s="142"/>
      <c r="V171" s="101"/>
      <c r="W171" s="143">
        <f>(U171-T171)*24*60</f>
        <v>0</v>
      </c>
      <c r="X171" s="151"/>
      <c r="Y171" s="151"/>
      <c r="Z171" s="100"/>
      <c r="AA171" s="100"/>
      <c r="AB171" s="601"/>
      <c r="AC171" s="601"/>
      <c r="AD171" s="101"/>
      <c r="AE171" s="101"/>
      <c r="AF171" s="100"/>
      <c r="AG171" s="140"/>
      <c r="AH171" s="605"/>
    </row>
    <row r="172" spans="1:36" ht="19.149999999999999" customHeight="1">
      <c r="A172" s="604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6"/>
        <v>0</v>
      </c>
      <c r="I172" s="101"/>
      <c r="J172" s="138"/>
      <c r="K172" s="104"/>
      <c r="L172" s="137"/>
      <c r="M172" s="138"/>
      <c r="N172" s="104"/>
      <c r="O172" s="137"/>
      <c r="P172" s="100"/>
      <c r="Q172" s="139"/>
      <c r="R172" s="140"/>
      <c r="S172" s="605"/>
      <c r="T172" s="142"/>
      <c r="U172" s="142"/>
      <c r="V172" s="101"/>
      <c r="W172" s="143">
        <f>(U172-T172)*24*60</f>
        <v>0</v>
      </c>
      <c r="X172" s="151"/>
      <c r="Y172" s="151"/>
      <c r="Z172" s="100"/>
      <c r="AA172" s="100"/>
      <c r="AB172" s="601"/>
      <c r="AC172" s="601"/>
      <c r="AD172" s="101"/>
      <c r="AE172" s="101"/>
      <c r="AF172" s="100"/>
      <c r="AG172" s="140"/>
      <c r="AH172" s="605"/>
    </row>
    <row r="173" spans="1:36" ht="19.149999999999999" customHeight="1">
      <c r="A173" s="604"/>
      <c r="B173" s="182">
        <v>0</v>
      </c>
      <c r="C173" s="156" t="s">
        <v>282</v>
      </c>
      <c r="D173" s="602" t="s">
        <v>256</v>
      </c>
      <c r="E173" s="602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6">AVERAGE(M161:M172)</f>
        <v>11.6</v>
      </c>
      <c r="N173" s="158">
        <f t="shared" si="106"/>
        <v>2222.262058076843</v>
      </c>
      <c r="O173" s="161">
        <f t="shared" si="106"/>
        <v>193.31785394538687</v>
      </c>
      <c r="P173" s="100">
        <f>M173-J173</f>
        <v>0</v>
      </c>
      <c r="Q173" s="139">
        <f>O173-L173</f>
        <v>-2.2066215790886474</v>
      </c>
      <c r="R173" s="162">
        <f>O173/L173</f>
        <v>0.98871434600108454</v>
      </c>
      <c r="S173" s="605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03"/>
      <c r="AC173" s="603"/>
      <c r="AD173" s="164">
        <f>SUM(AD161:AD172)</f>
        <v>0</v>
      </c>
      <c r="AE173" s="164">
        <f>SUM(AE161:AE172)</f>
        <v>0</v>
      </c>
      <c r="AF173" s="100">
        <f t="shared" si="59"/>
        <v>-27.737941923156995</v>
      </c>
      <c r="AG173" s="140">
        <f t="shared" si="60"/>
        <v>0.98767202581193025</v>
      </c>
      <c r="AH173" s="605"/>
    </row>
    <row r="174" spans="1:36" ht="19.149999999999999" customHeight="1">
      <c r="AJ174" s="361" t="s">
        <v>212</v>
      </c>
    </row>
    <row r="175" spans="1:36" ht="19.149999999999999" customHeight="1">
      <c r="AJ175" s="361" t="s">
        <v>214</v>
      </c>
    </row>
    <row r="176" spans="1:36" ht="19.149999999999999" customHeight="1">
      <c r="AJ176" s="361" t="s">
        <v>283</v>
      </c>
    </row>
    <row r="177" spans="23:36" ht="19.149999999999999" customHeight="1">
      <c r="W177" s="71"/>
      <c r="AJ177" s="361" t="s">
        <v>216</v>
      </c>
    </row>
    <row r="178" spans="23:36" ht="19.149999999999999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284</v>
      </c>
    </row>
    <row r="186" spans="23:36">
      <c r="W186" s="71"/>
      <c r="AJ186" s="361" t="s">
        <v>285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4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17448" priority="3391" operator="lessThan">
      <formula>0</formula>
    </cfRule>
  </conditionalFormatting>
  <conditionalFormatting sqref="AH57 AH70 S43 S123 S95 AH95 S5:S9 AH5:AH9 S134 AH17:AH18 S17:S18 S32 S82 AH82 S57:S70">
    <cfRule type="cellIs" dxfId="17447" priority="3390" operator="lessThan">
      <formula>0.8</formula>
    </cfRule>
  </conditionalFormatting>
  <conditionalFormatting sqref="R147 R173 R30 R121 R95 R43 R134 R82 R154:R159 R17:R18 R57:R70">
    <cfRule type="cellIs" dxfId="17446" priority="3388" operator="lessThan">
      <formula>0.8</formula>
    </cfRule>
    <cfRule type="cellIs" dxfId="17445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17444" priority="3386" operator="greaterThan">
      <formula>1</formula>
    </cfRule>
    <cfRule type="cellIs" dxfId="17443" priority="3387" operator="lessThan">
      <formula>0.8</formula>
    </cfRule>
  </conditionalFormatting>
  <conditionalFormatting sqref="P147 P30 P121 P95 P43 P134 P82 P154:P159 P17:P18 P57:P70">
    <cfRule type="cellIs" dxfId="17442" priority="3385" operator="greaterThan">
      <formula>0</formula>
    </cfRule>
  </conditionalFormatting>
  <conditionalFormatting sqref="S161">
    <cfRule type="cellIs" dxfId="17441" priority="3384" operator="lessThan">
      <formula>0.8</formula>
    </cfRule>
  </conditionalFormatting>
  <conditionalFormatting sqref="Q161:Q166">
    <cfRule type="cellIs" dxfId="17440" priority="3383" operator="lessThan">
      <formula>0</formula>
    </cfRule>
  </conditionalFormatting>
  <conditionalFormatting sqref="R161:R166">
    <cfRule type="cellIs" dxfId="17439" priority="3381" operator="lessThan">
      <formula>0.8</formula>
    </cfRule>
    <cfRule type="cellIs" dxfId="17438" priority="3382" operator="greaterThan">
      <formula>1</formula>
    </cfRule>
  </conditionalFormatting>
  <conditionalFormatting sqref="R161:R166">
    <cfRule type="cellIs" dxfId="17437" priority="3379" operator="greaterThan">
      <formula>1</formula>
    </cfRule>
    <cfRule type="cellIs" dxfId="17436" priority="3380" operator="lessThan">
      <formula>0.8</formula>
    </cfRule>
  </conditionalFormatting>
  <conditionalFormatting sqref="P161:P166">
    <cfRule type="cellIs" dxfId="17435" priority="3378" operator="greaterThan">
      <formula>0</formula>
    </cfRule>
  </conditionalFormatting>
  <conditionalFormatting sqref="Q169:Q172 AF161:AF172">
    <cfRule type="cellIs" dxfId="17434" priority="3377" operator="lessThan">
      <formula>0</formula>
    </cfRule>
  </conditionalFormatting>
  <conditionalFormatting sqref="R169:R172">
    <cfRule type="cellIs" dxfId="17433" priority="3375" operator="lessThan">
      <formula>0.8</formula>
    </cfRule>
    <cfRule type="cellIs" dxfId="17432" priority="3376" operator="greaterThan">
      <formula>1</formula>
    </cfRule>
  </conditionalFormatting>
  <conditionalFormatting sqref="R169:R172 AG161:AG172">
    <cfRule type="cellIs" dxfId="17431" priority="3373" operator="greaterThan">
      <formula>1</formula>
    </cfRule>
    <cfRule type="cellIs" dxfId="17430" priority="3374" operator="lessThan">
      <formula>0.8</formula>
    </cfRule>
  </conditionalFormatting>
  <conditionalFormatting sqref="P169:P172">
    <cfRule type="cellIs" dxfId="17429" priority="3372" operator="greaterThan">
      <formula>0</formula>
    </cfRule>
  </conditionalFormatting>
  <conditionalFormatting sqref="AF145">
    <cfRule type="cellIs" dxfId="17428" priority="3371" operator="lessThan">
      <formula>0</formula>
    </cfRule>
  </conditionalFormatting>
  <conditionalFormatting sqref="AG145">
    <cfRule type="cellIs" dxfId="17427" priority="3369" operator="greaterThan">
      <formula>1</formula>
    </cfRule>
    <cfRule type="cellIs" dxfId="17426" priority="3370" operator="lessThan">
      <formula>0.8</formula>
    </cfRule>
  </conditionalFormatting>
  <conditionalFormatting sqref="AF44:AF52">
    <cfRule type="cellIs" dxfId="17425" priority="3368" operator="lessThan">
      <formula>0</formula>
    </cfRule>
  </conditionalFormatting>
  <conditionalFormatting sqref="AG44:AG52">
    <cfRule type="cellIs" dxfId="17424" priority="3366" operator="greaterThan">
      <formula>1</formula>
    </cfRule>
    <cfRule type="cellIs" dxfId="17423" priority="3367" operator="lessThan">
      <formula>0.8</formula>
    </cfRule>
  </conditionalFormatting>
  <conditionalFormatting sqref="AF83:AF94">
    <cfRule type="cellIs" dxfId="17422" priority="3365" operator="lessThan">
      <formula>0</formula>
    </cfRule>
  </conditionalFormatting>
  <conditionalFormatting sqref="AH83">
    <cfRule type="cellIs" dxfId="17421" priority="3364" operator="lessThan">
      <formula>0.8</formula>
    </cfRule>
  </conditionalFormatting>
  <conditionalFormatting sqref="AG83:AG94">
    <cfRule type="cellIs" dxfId="17420" priority="3362" operator="greaterThan">
      <formula>1</formula>
    </cfRule>
    <cfRule type="cellIs" dxfId="17419" priority="3363" operator="lessThan">
      <formula>0.8</formula>
    </cfRule>
  </conditionalFormatting>
  <conditionalFormatting sqref="S83">
    <cfRule type="cellIs" dxfId="17418" priority="3361" operator="lessThan">
      <formula>0.8</formula>
    </cfRule>
  </conditionalFormatting>
  <conditionalFormatting sqref="AH84">
    <cfRule type="cellIs" dxfId="17417" priority="3360" operator="lessThan">
      <formula>0.8</formula>
    </cfRule>
  </conditionalFormatting>
  <conditionalFormatting sqref="S84">
    <cfRule type="cellIs" dxfId="17416" priority="3359" operator="lessThan">
      <formula>0.8</formula>
    </cfRule>
  </conditionalFormatting>
  <conditionalFormatting sqref="S90">
    <cfRule type="cellIs" dxfId="17415" priority="3358" operator="lessThan">
      <formula>0.8</formula>
    </cfRule>
  </conditionalFormatting>
  <conditionalFormatting sqref="AH90">
    <cfRule type="cellIs" dxfId="17414" priority="3357" operator="lessThan">
      <formula>0.8</formula>
    </cfRule>
  </conditionalFormatting>
  <conditionalFormatting sqref="AF122">
    <cfRule type="cellIs" dxfId="17413" priority="3356" operator="lessThan">
      <formula>0</formula>
    </cfRule>
  </conditionalFormatting>
  <conditionalFormatting sqref="S122">
    <cfRule type="cellIs" dxfId="17412" priority="3355" operator="lessThan">
      <formula>0.8</formula>
    </cfRule>
  </conditionalFormatting>
  <conditionalFormatting sqref="AG122">
    <cfRule type="cellIs" dxfId="17411" priority="3353" operator="greaterThan">
      <formula>1</formula>
    </cfRule>
    <cfRule type="cellIs" dxfId="17410" priority="3354" operator="lessThan">
      <formula>0.8</formula>
    </cfRule>
  </conditionalFormatting>
  <conditionalFormatting sqref="P162:P168">
    <cfRule type="cellIs" dxfId="17409" priority="3347" operator="greaterThan">
      <formula>0</formula>
    </cfRule>
  </conditionalFormatting>
  <conditionalFormatting sqref="R162:R168">
    <cfRule type="cellIs" dxfId="17408" priority="3350" operator="lessThan">
      <formula>0.8</formula>
    </cfRule>
    <cfRule type="cellIs" dxfId="17407" priority="3351" operator="greaterThan">
      <formula>1</formula>
    </cfRule>
  </conditionalFormatting>
  <conditionalFormatting sqref="R162:R168">
    <cfRule type="cellIs" dxfId="17406" priority="3348" operator="greaterThan">
      <formula>1</formula>
    </cfRule>
    <cfRule type="cellIs" dxfId="17405" priority="3349" operator="lessThan">
      <formula>0.8</formula>
    </cfRule>
  </conditionalFormatting>
  <conditionalFormatting sqref="Q162:Q168">
    <cfRule type="cellIs" dxfId="17404" priority="3352" operator="lessThan">
      <formula>0</formula>
    </cfRule>
  </conditionalFormatting>
  <conditionalFormatting sqref="P132:P133">
    <cfRule type="cellIs" dxfId="17403" priority="3340" operator="greaterThan">
      <formula>0</formula>
    </cfRule>
  </conditionalFormatting>
  <conditionalFormatting sqref="AF124 Q132:Q133 AF126:AF133">
    <cfRule type="cellIs" dxfId="17402" priority="3346" operator="lessThan">
      <formula>0</formula>
    </cfRule>
  </conditionalFormatting>
  <conditionalFormatting sqref="S124:S133">
    <cfRule type="cellIs" dxfId="17401" priority="3345" operator="lessThan">
      <formula>0.8</formula>
    </cfRule>
  </conditionalFormatting>
  <conditionalFormatting sqref="R132:R133">
    <cfRule type="cellIs" dxfId="17400" priority="3343" operator="lessThan">
      <formula>0.8</formula>
    </cfRule>
    <cfRule type="cellIs" dxfId="17399" priority="3344" operator="greaterThan">
      <formula>1</formula>
    </cfRule>
  </conditionalFormatting>
  <conditionalFormatting sqref="AG124 R132:R133 AG126:AG133">
    <cfRule type="cellIs" dxfId="17398" priority="3341" operator="greaterThan">
      <formula>1</formula>
    </cfRule>
    <cfRule type="cellIs" dxfId="17397" priority="3342" operator="lessThan">
      <formula>0.8</formula>
    </cfRule>
  </conditionalFormatting>
  <conditionalFormatting sqref="AF112 AF115">
    <cfRule type="cellIs" dxfId="17396" priority="3339" operator="lessThan">
      <formula>0</formula>
    </cfRule>
  </conditionalFormatting>
  <conditionalFormatting sqref="AG112 AG115">
    <cfRule type="cellIs" dxfId="17395" priority="3337" operator="greaterThan">
      <formula>1</formula>
    </cfRule>
    <cfRule type="cellIs" dxfId="17394" priority="3338" operator="lessThan">
      <formula>0.8</formula>
    </cfRule>
  </conditionalFormatting>
  <conditionalFormatting sqref="AF111 AF114 AF117">
    <cfRule type="cellIs" dxfId="17393" priority="3336" operator="lessThan">
      <formula>0</formula>
    </cfRule>
  </conditionalFormatting>
  <conditionalFormatting sqref="AH109">
    <cfRule type="cellIs" dxfId="17392" priority="3335" operator="lessThan">
      <formula>0.8</formula>
    </cfRule>
  </conditionalFormatting>
  <conditionalFormatting sqref="AG111 AG114 AG117">
    <cfRule type="cellIs" dxfId="17391" priority="3333" operator="greaterThan">
      <formula>1</formula>
    </cfRule>
    <cfRule type="cellIs" dxfId="17390" priority="3334" operator="lessThan">
      <formula>0.8</formula>
    </cfRule>
  </conditionalFormatting>
  <conditionalFormatting sqref="R160 AG160">
    <cfRule type="cellIs" dxfId="17389" priority="3328" operator="greaterThan">
      <formula>1</formula>
    </cfRule>
    <cfRule type="cellIs" dxfId="17388" priority="3329" operator="lessThan">
      <formula>0.8</formula>
    </cfRule>
  </conditionalFormatting>
  <conditionalFormatting sqref="R160">
    <cfRule type="cellIs" dxfId="17387" priority="3330" operator="lessThan">
      <formula>0.8</formula>
    </cfRule>
    <cfRule type="cellIs" dxfId="17386" priority="3331" operator="greaterThan">
      <formula>1</formula>
    </cfRule>
  </conditionalFormatting>
  <conditionalFormatting sqref="P160">
    <cfRule type="cellIs" dxfId="17385" priority="3327" operator="greaterThan">
      <formula>0</formula>
    </cfRule>
  </conditionalFormatting>
  <conditionalFormatting sqref="AH148">
    <cfRule type="cellIs" dxfId="17384" priority="3326" operator="lessThan">
      <formula>0.8</formula>
    </cfRule>
  </conditionalFormatting>
  <conditionalFormatting sqref="Q160 AF160">
    <cfRule type="cellIs" dxfId="17383" priority="3332" operator="lessThan">
      <formula>0</formula>
    </cfRule>
  </conditionalFormatting>
  <conditionalFormatting sqref="AF148:AF154">
    <cfRule type="cellIs" dxfId="17382" priority="3325" operator="lessThan">
      <formula>0</formula>
    </cfRule>
  </conditionalFormatting>
  <conditionalFormatting sqref="S148">
    <cfRule type="cellIs" dxfId="17381" priority="3324" operator="lessThan">
      <formula>0.8</formula>
    </cfRule>
  </conditionalFormatting>
  <conditionalFormatting sqref="AG148:AG154">
    <cfRule type="cellIs" dxfId="17380" priority="3322" operator="greaterThan">
      <formula>1</formula>
    </cfRule>
    <cfRule type="cellIs" dxfId="17379" priority="3323" operator="lessThan">
      <formula>0.8</formula>
    </cfRule>
  </conditionalFormatting>
  <conditionalFormatting sqref="S86">
    <cfRule type="cellIs" dxfId="17378" priority="3321" operator="lessThan">
      <formula>0.8</formula>
    </cfRule>
  </conditionalFormatting>
  <conditionalFormatting sqref="S88 AH88">
    <cfRule type="cellIs" dxfId="17377" priority="3316" operator="lessThan">
      <formula>0.8</formula>
    </cfRule>
  </conditionalFormatting>
  <conditionalFormatting sqref="AH86">
    <cfRule type="cellIs" dxfId="17376" priority="3320" operator="lessThan">
      <formula>0.8</formula>
    </cfRule>
  </conditionalFormatting>
  <conditionalFormatting sqref="S87">
    <cfRule type="cellIs" dxfId="17375" priority="3319" operator="lessThan">
      <formula>0.8</formula>
    </cfRule>
  </conditionalFormatting>
  <conditionalFormatting sqref="AH87">
    <cfRule type="cellIs" dxfId="17374" priority="3318" operator="lessThan">
      <formula>0.8</formula>
    </cfRule>
  </conditionalFormatting>
  <conditionalFormatting sqref="S89 AH89">
    <cfRule type="cellIs" dxfId="17373" priority="3317" operator="lessThan">
      <formula>0.8</formula>
    </cfRule>
  </conditionalFormatting>
  <conditionalFormatting sqref="AF31">
    <cfRule type="cellIs" dxfId="17372" priority="3315" operator="lessThan">
      <formula>0</formula>
    </cfRule>
  </conditionalFormatting>
  <conditionalFormatting sqref="AH31 S31">
    <cfRule type="cellIs" dxfId="17371" priority="3314" operator="lessThan">
      <formula>0.8</formula>
    </cfRule>
  </conditionalFormatting>
  <conditionalFormatting sqref="AG31">
    <cfRule type="cellIs" dxfId="17370" priority="3312" operator="greaterThan">
      <formula>1</formula>
    </cfRule>
    <cfRule type="cellIs" dxfId="17369" priority="3313" operator="lessThan">
      <formula>0.8</formula>
    </cfRule>
  </conditionalFormatting>
  <conditionalFormatting sqref="AF135">
    <cfRule type="cellIs" dxfId="17368" priority="3311" operator="lessThan">
      <formula>0</formula>
    </cfRule>
  </conditionalFormatting>
  <conditionalFormatting sqref="AH135 S135">
    <cfRule type="cellIs" dxfId="17367" priority="3310" operator="lessThan">
      <formula>0.8</formula>
    </cfRule>
  </conditionalFormatting>
  <conditionalFormatting sqref="AG135">
    <cfRule type="cellIs" dxfId="17366" priority="3308" operator="greaterThan">
      <formula>1</formula>
    </cfRule>
    <cfRule type="cellIs" dxfId="17365" priority="3309" operator="lessThan">
      <formula>0.8</formula>
    </cfRule>
  </conditionalFormatting>
  <conditionalFormatting sqref="AF110 AF113 AF116">
    <cfRule type="cellIs" dxfId="17364" priority="3307" operator="lessThan">
      <formula>0</formula>
    </cfRule>
  </conditionalFormatting>
  <conditionalFormatting sqref="AG110 AG113 AG116">
    <cfRule type="cellIs" dxfId="17363" priority="3305" operator="greaterThan">
      <formula>1</formula>
    </cfRule>
    <cfRule type="cellIs" dxfId="17362" priority="3306" operator="lessThan">
      <formula>0.8</formula>
    </cfRule>
  </conditionalFormatting>
  <conditionalFormatting sqref="AF108 Q108">
    <cfRule type="cellIs" dxfId="17361" priority="3304" operator="lessThan">
      <formula>0</formula>
    </cfRule>
  </conditionalFormatting>
  <conditionalFormatting sqref="R108">
    <cfRule type="cellIs" dxfId="17360" priority="3302" operator="lessThan">
      <formula>0.8</formula>
    </cfRule>
    <cfRule type="cellIs" dxfId="17359" priority="3303" operator="greaterThan">
      <formula>1</formula>
    </cfRule>
  </conditionalFormatting>
  <conditionalFormatting sqref="AG108 R108">
    <cfRule type="cellIs" dxfId="17358" priority="3300" operator="greaterThan">
      <formula>1</formula>
    </cfRule>
    <cfRule type="cellIs" dxfId="17357" priority="3301" operator="lessThan">
      <formula>0.8</formula>
    </cfRule>
  </conditionalFormatting>
  <conditionalFormatting sqref="P108">
    <cfRule type="cellIs" dxfId="17356" priority="3299" operator="greaterThan">
      <formula>0</formula>
    </cfRule>
  </conditionalFormatting>
  <conditionalFormatting sqref="AH97">
    <cfRule type="cellIs" dxfId="17355" priority="3294" operator="lessThan">
      <formula>0.8</formula>
    </cfRule>
  </conditionalFormatting>
  <conditionalFormatting sqref="AG96">
    <cfRule type="cellIs" dxfId="17354" priority="3296" operator="greaterThan">
      <formula>1</formula>
    </cfRule>
    <cfRule type="cellIs" dxfId="17353" priority="3297" operator="lessThan">
      <formula>0.8</formula>
    </cfRule>
  </conditionalFormatting>
  <conditionalFormatting sqref="AF96">
    <cfRule type="cellIs" dxfId="17352" priority="3298" operator="lessThan">
      <formula>0</formula>
    </cfRule>
  </conditionalFormatting>
  <conditionalFormatting sqref="AG97">
    <cfRule type="cellIs" dxfId="17351" priority="3292" operator="greaterThan">
      <formula>1</formula>
    </cfRule>
    <cfRule type="cellIs" dxfId="17350" priority="3293" operator="lessThan">
      <formula>0.8</formula>
    </cfRule>
  </conditionalFormatting>
  <conditionalFormatting sqref="AF97">
    <cfRule type="cellIs" dxfId="17349" priority="3295" operator="lessThan">
      <formula>0</formula>
    </cfRule>
  </conditionalFormatting>
  <conditionalFormatting sqref="AF71 AF73 AF75 AF77 AF79">
    <cfRule type="cellIs" dxfId="17348" priority="3289" operator="lessThan">
      <formula>0</formula>
    </cfRule>
  </conditionalFormatting>
  <conditionalFormatting sqref="S71 AH71">
    <cfRule type="cellIs" dxfId="17347" priority="3288" operator="lessThan">
      <formula>0.8</formula>
    </cfRule>
  </conditionalFormatting>
  <conditionalFormatting sqref="AG71 AG73 AG75 AG77 AG79">
    <cfRule type="cellIs" dxfId="17346" priority="3286" operator="greaterThan">
      <formula>1</formula>
    </cfRule>
    <cfRule type="cellIs" dxfId="17345" priority="3287" operator="lessThan">
      <formula>0.8</formula>
    </cfRule>
  </conditionalFormatting>
  <conditionalFormatting sqref="AF72 AF74 AF76 AF78 AF80">
    <cfRule type="cellIs" dxfId="17344" priority="3285" operator="lessThan">
      <formula>0</formula>
    </cfRule>
  </conditionalFormatting>
  <conditionalFormatting sqref="S72 AH72">
    <cfRule type="cellIs" dxfId="17343" priority="3284" operator="lessThan">
      <formula>0.8</formula>
    </cfRule>
  </conditionalFormatting>
  <conditionalFormatting sqref="S11">
    <cfRule type="cellIs" dxfId="17342" priority="3291" operator="lessThan">
      <formula>0.8</formula>
    </cfRule>
  </conditionalFormatting>
  <conditionalFormatting sqref="S10">
    <cfRule type="cellIs" dxfId="17341" priority="3290" operator="lessThan">
      <formula>0.8</formula>
    </cfRule>
  </conditionalFormatting>
  <conditionalFormatting sqref="AG72 AG74 AG76 AG78 AG80">
    <cfRule type="cellIs" dxfId="17340" priority="3282" operator="greaterThan">
      <formula>1</formula>
    </cfRule>
    <cfRule type="cellIs" dxfId="17339" priority="3283" operator="lessThan">
      <formula>0.8</formula>
    </cfRule>
  </conditionalFormatting>
  <conditionalFormatting sqref="AF13:AF16 Q15:Q16">
    <cfRule type="cellIs" dxfId="17338" priority="3281" operator="lessThan">
      <formula>0</formula>
    </cfRule>
  </conditionalFormatting>
  <conditionalFormatting sqref="R15:R16">
    <cfRule type="cellIs" dxfId="17337" priority="3279" operator="lessThan">
      <formula>0.8</formula>
    </cfRule>
    <cfRule type="cellIs" dxfId="17336" priority="3280" operator="greaterThan">
      <formula>1</formula>
    </cfRule>
  </conditionalFormatting>
  <conditionalFormatting sqref="AG12:AG16 R15:R16">
    <cfRule type="cellIs" dxfId="17335" priority="3277" operator="greaterThan">
      <formula>1</formula>
    </cfRule>
    <cfRule type="cellIs" dxfId="17334" priority="3278" operator="lessThan">
      <formula>0.8</formula>
    </cfRule>
  </conditionalFormatting>
  <conditionalFormatting sqref="P15:P16">
    <cfRule type="cellIs" dxfId="17333" priority="3276" operator="greaterThan">
      <formula>0</formula>
    </cfRule>
  </conditionalFormatting>
  <conditionalFormatting sqref="AF98 AF100 AF102 AF104">
    <cfRule type="cellIs" dxfId="17332" priority="3275" operator="lessThan">
      <formula>0</formula>
    </cfRule>
  </conditionalFormatting>
  <conditionalFormatting sqref="AH98">
    <cfRule type="cellIs" dxfId="17331" priority="3274" operator="lessThan">
      <formula>0.8</formula>
    </cfRule>
  </conditionalFormatting>
  <conditionalFormatting sqref="AG98 AG100 AG102 AG104">
    <cfRule type="cellIs" dxfId="17330" priority="3272" operator="greaterThan">
      <formula>1</formula>
    </cfRule>
    <cfRule type="cellIs" dxfId="17329" priority="3273" operator="lessThan">
      <formula>0.8</formula>
    </cfRule>
  </conditionalFormatting>
  <conditionalFormatting sqref="AF20 AF22 AF24 AF26 AF28">
    <cfRule type="cellIs" dxfId="17328" priority="3271" operator="lessThan">
      <formula>0</formula>
    </cfRule>
  </conditionalFormatting>
  <conditionalFormatting sqref="AG20 AG22 AG24 AG26 AG28">
    <cfRule type="cellIs" dxfId="17327" priority="3269" operator="greaterThan">
      <formula>1</formula>
    </cfRule>
    <cfRule type="cellIs" dxfId="17326" priority="3270" operator="lessThan">
      <formula>0.8</formula>
    </cfRule>
  </conditionalFormatting>
  <conditionalFormatting sqref="AF33">
    <cfRule type="cellIs" dxfId="17325" priority="3268" operator="lessThan">
      <formula>0</formula>
    </cfRule>
  </conditionalFormatting>
  <conditionalFormatting sqref="AG33">
    <cfRule type="cellIs" dxfId="17324" priority="3266" operator="greaterThan">
      <formula>1</formula>
    </cfRule>
    <cfRule type="cellIs" dxfId="17323" priority="3267" operator="lessThan">
      <formula>0.8</formula>
    </cfRule>
  </conditionalFormatting>
  <conditionalFormatting sqref="P41:P42">
    <cfRule type="cellIs" dxfId="17322" priority="3260" operator="greaterThan">
      <formula>0</formula>
    </cfRule>
  </conditionalFormatting>
  <conditionalFormatting sqref="Q41:Q42 AF34:AF42">
    <cfRule type="cellIs" dxfId="17321" priority="3265" operator="lessThan">
      <formula>0</formula>
    </cfRule>
  </conditionalFormatting>
  <conditionalFormatting sqref="R41:R42">
    <cfRule type="cellIs" dxfId="17320" priority="3263" operator="lessThan">
      <formula>0.8</formula>
    </cfRule>
    <cfRule type="cellIs" dxfId="17319" priority="3264" operator="greaterThan">
      <formula>1</formula>
    </cfRule>
  </conditionalFormatting>
  <conditionalFormatting sqref="R41:R42 AG34:AG42">
    <cfRule type="cellIs" dxfId="17318" priority="3261" operator="greaterThan">
      <formula>1</formula>
    </cfRule>
    <cfRule type="cellIs" dxfId="17317" priority="3262" operator="lessThan">
      <formula>0.8</formula>
    </cfRule>
  </conditionalFormatting>
  <conditionalFormatting sqref="AF137:AF144">
    <cfRule type="cellIs" dxfId="17316" priority="3259" operator="lessThan">
      <formula>0</formula>
    </cfRule>
  </conditionalFormatting>
  <conditionalFormatting sqref="AH137 S137">
    <cfRule type="cellIs" dxfId="17315" priority="3258" operator="lessThan">
      <formula>0.8</formula>
    </cfRule>
  </conditionalFormatting>
  <conditionalFormatting sqref="AG137:AG144">
    <cfRule type="cellIs" dxfId="17314" priority="3256" operator="greaterThan">
      <formula>1</formula>
    </cfRule>
    <cfRule type="cellIs" dxfId="17313" priority="3257" operator="lessThan">
      <formula>0.8</formula>
    </cfRule>
  </conditionalFormatting>
  <conditionalFormatting sqref="AF53:AF55">
    <cfRule type="cellIs" dxfId="17312" priority="3255" operator="lessThan">
      <formula>0</formula>
    </cfRule>
  </conditionalFormatting>
  <conditionalFormatting sqref="AG53:AG55">
    <cfRule type="cellIs" dxfId="17311" priority="3253" operator="greaterThan">
      <formula>1</formula>
    </cfRule>
    <cfRule type="cellIs" dxfId="17310" priority="3254" operator="lessThan">
      <formula>0.8</formula>
    </cfRule>
  </conditionalFormatting>
  <conditionalFormatting sqref="AF56 Q56">
    <cfRule type="cellIs" dxfId="17309" priority="3252" operator="lessThan">
      <formula>0</formula>
    </cfRule>
  </conditionalFormatting>
  <conditionalFormatting sqref="R56">
    <cfRule type="cellIs" dxfId="17308" priority="3250" operator="lessThan">
      <formula>0.8</formula>
    </cfRule>
    <cfRule type="cellIs" dxfId="17307" priority="3251" operator="greaterThan">
      <formula>1</formula>
    </cfRule>
  </conditionalFormatting>
  <conditionalFormatting sqref="AG56 R56">
    <cfRule type="cellIs" dxfId="17306" priority="3248" operator="greaterThan">
      <formula>1</formula>
    </cfRule>
    <cfRule type="cellIs" dxfId="17305" priority="3249" operator="lessThan">
      <formula>0.8</formula>
    </cfRule>
  </conditionalFormatting>
  <conditionalFormatting sqref="P56">
    <cfRule type="cellIs" dxfId="17304" priority="3247" operator="greaterThan">
      <formula>0</formula>
    </cfRule>
  </conditionalFormatting>
  <conditionalFormatting sqref="P52:P55">
    <cfRule type="cellIs" dxfId="17303" priority="3241" operator="greaterThan">
      <formula>0</formula>
    </cfRule>
  </conditionalFormatting>
  <conditionalFormatting sqref="Q52:Q55">
    <cfRule type="cellIs" dxfId="17302" priority="3246" operator="lessThan">
      <formula>0</formula>
    </cfRule>
  </conditionalFormatting>
  <conditionalFormatting sqref="R52:R55">
    <cfRule type="cellIs" dxfId="17301" priority="3244" operator="lessThan">
      <formula>0.8</formula>
    </cfRule>
    <cfRule type="cellIs" dxfId="17300" priority="3245" operator="greaterThan">
      <formula>1</formula>
    </cfRule>
  </conditionalFormatting>
  <conditionalFormatting sqref="R52:R55">
    <cfRule type="cellIs" dxfId="17299" priority="3242" operator="greaterThan">
      <formula>1</formula>
    </cfRule>
    <cfRule type="cellIs" dxfId="17298" priority="3243" operator="lessThan">
      <formula>0.8</formula>
    </cfRule>
  </conditionalFormatting>
  <conditionalFormatting sqref="P80:P81">
    <cfRule type="cellIs" dxfId="17297" priority="3235" operator="greaterThan">
      <formula>0</formula>
    </cfRule>
  </conditionalFormatting>
  <conditionalFormatting sqref="AF81 Q80:Q81">
    <cfRule type="cellIs" dxfId="17296" priority="3240" operator="lessThan">
      <formula>0</formula>
    </cfRule>
  </conditionalFormatting>
  <conditionalFormatting sqref="R80:R81">
    <cfRule type="cellIs" dxfId="17295" priority="3238" operator="lessThan">
      <formula>0.8</formula>
    </cfRule>
    <cfRule type="cellIs" dxfId="17294" priority="3239" operator="greaterThan">
      <formula>1</formula>
    </cfRule>
  </conditionalFormatting>
  <conditionalFormatting sqref="AG81 R80:R81">
    <cfRule type="cellIs" dxfId="17293" priority="3236" operator="greaterThan">
      <formula>1</formula>
    </cfRule>
    <cfRule type="cellIs" dxfId="17292" priority="3237" operator="lessThan">
      <formula>0.8</formula>
    </cfRule>
  </conditionalFormatting>
  <conditionalFormatting sqref="AH85">
    <cfRule type="cellIs" dxfId="17291" priority="3234" operator="lessThan">
      <formula>0.8</formula>
    </cfRule>
  </conditionalFormatting>
  <conditionalFormatting sqref="S85">
    <cfRule type="cellIs" dxfId="17290" priority="3233" operator="lessThan">
      <formula>0.8</formula>
    </cfRule>
  </conditionalFormatting>
  <conditionalFormatting sqref="AF99 AF101 AF103">
    <cfRule type="cellIs" dxfId="17289" priority="3232" operator="lessThan">
      <formula>0</formula>
    </cfRule>
  </conditionalFormatting>
  <conditionalFormatting sqref="AG99 AG101 AG103">
    <cfRule type="cellIs" dxfId="17288" priority="3230" operator="greaterThan">
      <formula>1</formula>
    </cfRule>
    <cfRule type="cellIs" dxfId="17287" priority="3231" operator="lessThan">
      <formula>0.8</formula>
    </cfRule>
  </conditionalFormatting>
  <conditionalFormatting sqref="AF105:AF107">
    <cfRule type="cellIs" dxfId="17286" priority="3229" operator="lessThan">
      <formula>0</formula>
    </cfRule>
  </conditionalFormatting>
  <conditionalFormatting sqref="AH100:AH107">
    <cfRule type="cellIs" dxfId="17285" priority="3228" operator="lessThan">
      <formula>0.8</formula>
    </cfRule>
  </conditionalFormatting>
  <conditionalFormatting sqref="AG105:AG107">
    <cfRule type="cellIs" dxfId="17284" priority="3226" operator="greaterThan">
      <formula>1</formula>
    </cfRule>
    <cfRule type="cellIs" dxfId="17283" priority="3227" operator="lessThan">
      <formula>0.8</formula>
    </cfRule>
  </conditionalFormatting>
  <conditionalFormatting sqref="P106:P107">
    <cfRule type="cellIs" dxfId="17282" priority="3220" operator="greaterThan">
      <formula>0</formula>
    </cfRule>
  </conditionalFormatting>
  <conditionalFormatting sqref="Q106:Q107">
    <cfRule type="cellIs" dxfId="17281" priority="3225" operator="lessThan">
      <formula>0</formula>
    </cfRule>
  </conditionalFormatting>
  <conditionalFormatting sqref="R106:R107">
    <cfRule type="cellIs" dxfId="17280" priority="3223" operator="lessThan">
      <formula>0.8</formula>
    </cfRule>
    <cfRule type="cellIs" dxfId="17279" priority="3224" operator="greaterThan">
      <formula>1</formula>
    </cfRule>
  </conditionalFormatting>
  <conditionalFormatting sqref="R106:R107">
    <cfRule type="cellIs" dxfId="17278" priority="3221" operator="greaterThan">
      <formula>1</formula>
    </cfRule>
    <cfRule type="cellIs" dxfId="17277" priority="3222" operator="lessThan">
      <formula>0.8</formula>
    </cfRule>
  </conditionalFormatting>
  <conditionalFormatting sqref="AF109">
    <cfRule type="cellIs" dxfId="17276" priority="3219" operator="lessThan">
      <formula>0</formula>
    </cfRule>
  </conditionalFormatting>
  <conditionalFormatting sqref="S109">
    <cfRule type="cellIs" dxfId="17275" priority="3218" operator="lessThan">
      <formula>0.8</formula>
    </cfRule>
  </conditionalFormatting>
  <conditionalFormatting sqref="AG109">
    <cfRule type="cellIs" dxfId="17274" priority="3216" operator="greaterThan">
      <formula>1</formula>
    </cfRule>
    <cfRule type="cellIs" dxfId="17273" priority="3217" operator="lessThan">
      <formula>0.8</formula>
    </cfRule>
  </conditionalFormatting>
  <conditionalFormatting sqref="S150">
    <cfRule type="cellIs" dxfId="17272" priority="3215" operator="lessThan">
      <formula>0.8</formula>
    </cfRule>
  </conditionalFormatting>
  <conditionalFormatting sqref="AH150">
    <cfRule type="cellIs" dxfId="17271" priority="3214" operator="lessThan">
      <formula>0.8</formula>
    </cfRule>
  </conditionalFormatting>
  <conditionalFormatting sqref="S149">
    <cfRule type="cellIs" dxfId="17270" priority="3213" operator="lessThan">
      <formula>0.8</formula>
    </cfRule>
  </conditionalFormatting>
  <conditionalFormatting sqref="Q26:Q29">
    <cfRule type="cellIs" dxfId="17269" priority="3212" operator="lessThan">
      <formula>0</formula>
    </cfRule>
  </conditionalFormatting>
  <conditionalFormatting sqref="S21:S29 AH21:AH29">
    <cfRule type="cellIs" dxfId="17268" priority="3211" operator="lessThan">
      <formula>0.8</formula>
    </cfRule>
  </conditionalFormatting>
  <conditionalFormatting sqref="R26:R29">
    <cfRule type="cellIs" dxfId="17267" priority="3209" operator="lessThan">
      <formula>0.8</formula>
    </cfRule>
    <cfRule type="cellIs" dxfId="17266" priority="3210" operator="greaterThan">
      <formula>1</formula>
    </cfRule>
  </conditionalFormatting>
  <conditionalFormatting sqref="R26:R29">
    <cfRule type="cellIs" dxfId="17265" priority="3207" operator="greaterThan">
      <formula>1</formula>
    </cfRule>
    <cfRule type="cellIs" dxfId="17264" priority="3208" operator="lessThan">
      <formula>0.8</formula>
    </cfRule>
  </conditionalFormatting>
  <conditionalFormatting sqref="P26:P29">
    <cfRule type="cellIs" dxfId="17263" priority="3206" operator="greaterThan">
      <formula>0</formula>
    </cfRule>
  </conditionalFormatting>
  <conditionalFormatting sqref="AH91 S91">
    <cfRule type="cellIs" dxfId="17262" priority="3205" operator="lessThan">
      <formula>0.8</formula>
    </cfRule>
  </conditionalFormatting>
  <conditionalFormatting sqref="P92:P94">
    <cfRule type="cellIs" dxfId="17261" priority="3199" operator="greaterThan">
      <formula>0</formula>
    </cfRule>
  </conditionalFormatting>
  <conditionalFormatting sqref="Q92:Q94">
    <cfRule type="cellIs" dxfId="17260" priority="3204" operator="lessThan">
      <formula>0</formula>
    </cfRule>
  </conditionalFormatting>
  <conditionalFormatting sqref="R92:R94">
    <cfRule type="cellIs" dxfId="17259" priority="3202" operator="lessThan">
      <formula>0.8</formula>
    </cfRule>
    <cfRule type="cellIs" dxfId="17258" priority="3203" operator="greaterThan">
      <formula>1</formula>
    </cfRule>
  </conditionalFormatting>
  <conditionalFormatting sqref="R92:R94">
    <cfRule type="cellIs" dxfId="17257" priority="3200" operator="greaterThan">
      <formula>1</formula>
    </cfRule>
    <cfRule type="cellIs" dxfId="17256" priority="3201" operator="lessThan">
      <formula>0.8</formula>
    </cfRule>
  </conditionalFormatting>
  <conditionalFormatting sqref="AF146 Q145:Q146">
    <cfRule type="cellIs" dxfId="17255" priority="3198" operator="lessThan">
      <formula>0</formula>
    </cfRule>
  </conditionalFormatting>
  <conditionalFormatting sqref="AH139:AH146 S139:S146">
    <cfRule type="cellIs" dxfId="17254" priority="3197" operator="lessThan">
      <formula>0.8</formula>
    </cfRule>
  </conditionalFormatting>
  <conditionalFormatting sqref="R145:R146">
    <cfRule type="cellIs" dxfId="17253" priority="3195" operator="lessThan">
      <formula>0.8</formula>
    </cfRule>
    <cfRule type="cellIs" dxfId="17252" priority="3196" operator="greaterThan">
      <formula>1</formula>
    </cfRule>
  </conditionalFormatting>
  <conditionalFormatting sqref="AG146 R145:R146">
    <cfRule type="cellIs" dxfId="17251" priority="3193" operator="greaterThan">
      <formula>1</formula>
    </cfRule>
    <cfRule type="cellIs" dxfId="17250" priority="3194" operator="lessThan">
      <formula>0.8</formula>
    </cfRule>
  </conditionalFormatting>
  <conditionalFormatting sqref="P145:P146">
    <cfRule type="cellIs" dxfId="17249" priority="3192" operator="greaterThan">
      <formula>0</formula>
    </cfRule>
  </conditionalFormatting>
  <conditionalFormatting sqref="Q119:Q120">
    <cfRule type="cellIs" dxfId="17248" priority="3191" operator="lessThan">
      <formula>0</formula>
    </cfRule>
  </conditionalFormatting>
  <conditionalFormatting sqref="R119:R120">
    <cfRule type="cellIs" dxfId="17247" priority="3189" operator="lessThan">
      <formula>0.8</formula>
    </cfRule>
    <cfRule type="cellIs" dxfId="17246" priority="3190" operator="greaterThan">
      <formula>1</formula>
    </cfRule>
  </conditionalFormatting>
  <conditionalFormatting sqref="R119:R120">
    <cfRule type="cellIs" dxfId="17245" priority="3187" operator="greaterThan">
      <formula>1</formula>
    </cfRule>
    <cfRule type="cellIs" dxfId="17244" priority="3188" operator="lessThan">
      <formula>0.8</formula>
    </cfRule>
  </conditionalFormatting>
  <conditionalFormatting sqref="P119:P120">
    <cfRule type="cellIs" dxfId="17243" priority="3186" operator="greaterThan">
      <formula>0</formula>
    </cfRule>
  </conditionalFormatting>
  <conditionalFormatting sqref="AF118:AF120">
    <cfRule type="cellIs" dxfId="17242" priority="3185" operator="lessThan">
      <formula>0</formula>
    </cfRule>
  </conditionalFormatting>
  <conditionalFormatting sqref="AG118:AG120">
    <cfRule type="cellIs" dxfId="17241" priority="3183" operator="greaterThan">
      <formula>1</formula>
    </cfRule>
    <cfRule type="cellIs" dxfId="17240" priority="3184" operator="lessThan">
      <formula>0.8</formula>
    </cfRule>
  </conditionalFormatting>
  <conditionalFormatting sqref="S44:S56">
    <cfRule type="cellIs" dxfId="17239" priority="3182" operator="lessThan">
      <formula>0.8</formula>
    </cfRule>
  </conditionalFormatting>
  <conditionalFormatting sqref="S108">
    <cfRule type="cellIs" dxfId="17238" priority="3181" operator="lessThan">
      <formula>0.8</formula>
    </cfRule>
  </conditionalFormatting>
  <conditionalFormatting sqref="S96">
    <cfRule type="cellIs" dxfId="17237" priority="3180" operator="lessThan">
      <formula>0.8</formula>
    </cfRule>
  </conditionalFormatting>
  <conditionalFormatting sqref="S97">
    <cfRule type="cellIs" dxfId="17236" priority="3179" operator="lessThan">
      <formula>0.8</formula>
    </cfRule>
  </conditionalFormatting>
  <conditionalFormatting sqref="S103">
    <cfRule type="cellIs" dxfId="17235" priority="3178" operator="lessThan">
      <formula>0.8</formula>
    </cfRule>
  </conditionalFormatting>
  <conditionalFormatting sqref="S99">
    <cfRule type="cellIs" dxfId="17234" priority="3177" operator="lessThan">
      <formula>0.8</formula>
    </cfRule>
  </conditionalFormatting>
  <conditionalFormatting sqref="S101">
    <cfRule type="cellIs" dxfId="17233" priority="3174" operator="lessThan">
      <formula>0.8</formula>
    </cfRule>
  </conditionalFormatting>
  <conditionalFormatting sqref="S100">
    <cfRule type="cellIs" dxfId="17232" priority="3176" operator="lessThan">
      <formula>0.8</formula>
    </cfRule>
  </conditionalFormatting>
  <conditionalFormatting sqref="S102">
    <cfRule type="cellIs" dxfId="17231" priority="3175" operator="lessThan">
      <formula>0.8</formula>
    </cfRule>
  </conditionalFormatting>
  <conditionalFormatting sqref="S98">
    <cfRule type="cellIs" dxfId="17230" priority="3173" operator="lessThan">
      <formula>0.8</formula>
    </cfRule>
  </conditionalFormatting>
  <conditionalFormatting sqref="S104">
    <cfRule type="cellIs" dxfId="17229" priority="3172" operator="lessThan">
      <formula>0.8</formula>
    </cfRule>
  </conditionalFormatting>
  <conditionalFormatting sqref="P118">
    <cfRule type="cellIs" dxfId="17228" priority="3166" operator="greaterThan">
      <formula>0</formula>
    </cfRule>
  </conditionalFormatting>
  <conditionalFormatting sqref="Q118">
    <cfRule type="cellIs" dxfId="17227" priority="3171" operator="lessThan">
      <formula>0</formula>
    </cfRule>
  </conditionalFormatting>
  <conditionalFormatting sqref="R118">
    <cfRule type="cellIs" dxfId="17226" priority="3169" operator="lessThan">
      <formula>0.8</formula>
    </cfRule>
    <cfRule type="cellIs" dxfId="17225" priority="3170" operator="greaterThan">
      <formula>1</formula>
    </cfRule>
  </conditionalFormatting>
  <conditionalFormatting sqref="R118">
    <cfRule type="cellIs" dxfId="17224" priority="3167" operator="greaterThan">
      <formula>1</formula>
    </cfRule>
    <cfRule type="cellIs" dxfId="17223" priority="3168" operator="lessThan">
      <formula>0.8</formula>
    </cfRule>
  </conditionalFormatting>
  <conditionalFormatting sqref="Q162:Q166">
    <cfRule type="cellIs" dxfId="17222" priority="3165" operator="lessThan">
      <formula>0</formula>
    </cfRule>
  </conditionalFormatting>
  <conditionalFormatting sqref="R162:R166">
    <cfRule type="cellIs" dxfId="17221" priority="3163" operator="lessThan">
      <formula>0.8</formula>
    </cfRule>
    <cfRule type="cellIs" dxfId="17220" priority="3164" operator="greaterThan">
      <formula>1</formula>
    </cfRule>
  </conditionalFormatting>
  <conditionalFormatting sqref="R162:R166">
    <cfRule type="cellIs" dxfId="17219" priority="3161" operator="greaterThan">
      <formula>1</formula>
    </cfRule>
    <cfRule type="cellIs" dxfId="17218" priority="3162" operator="lessThan">
      <formula>0.8</formula>
    </cfRule>
  </conditionalFormatting>
  <conditionalFormatting sqref="P162:P166">
    <cfRule type="cellIs" dxfId="17217" priority="3160" operator="greaterThan">
      <formula>0</formula>
    </cfRule>
  </conditionalFormatting>
  <conditionalFormatting sqref="P167:P168">
    <cfRule type="cellIs" dxfId="17216" priority="3154" operator="greaterThan">
      <formula>0</formula>
    </cfRule>
  </conditionalFormatting>
  <conditionalFormatting sqref="R167:R168">
    <cfRule type="cellIs" dxfId="17215" priority="3157" operator="lessThan">
      <formula>0.8</formula>
    </cfRule>
    <cfRule type="cellIs" dxfId="17214" priority="3158" operator="greaterThan">
      <formula>1</formula>
    </cfRule>
  </conditionalFormatting>
  <conditionalFormatting sqref="R167:R168">
    <cfRule type="cellIs" dxfId="17213" priority="3155" operator="greaterThan">
      <formula>1</formula>
    </cfRule>
    <cfRule type="cellIs" dxfId="17212" priority="3156" operator="lessThan">
      <formula>0.8</formula>
    </cfRule>
  </conditionalFormatting>
  <conditionalFormatting sqref="Q167:Q168">
    <cfRule type="cellIs" dxfId="17211" priority="3159" operator="lessThan">
      <formula>0</formula>
    </cfRule>
  </conditionalFormatting>
  <conditionalFormatting sqref="Q117">
    <cfRule type="cellIs" dxfId="17210" priority="3153" operator="lessThan">
      <formula>0</formula>
    </cfRule>
  </conditionalFormatting>
  <conditionalFormatting sqref="R117">
    <cfRule type="cellIs" dxfId="17209" priority="3151" operator="lessThan">
      <formula>0.8</formula>
    </cfRule>
    <cfRule type="cellIs" dxfId="17208" priority="3152" operator="greaterThan">
      <formula>1</formula>
    </cfRule>
  </conditionalFormatting>
  <conditionalFormatting sqref="R117">
    <cfRule type="cellIs" dxfId="17207" priority="3149" operator="greaterThan">
      <formula>1</formula>
    </cfRule>
    <cfRule type="cellIs" dxfId="17206" priority="3150" operator="lessThan">
      <formula>0.8</formula>
    </cfRule>
  </conditionalFormatting>
  <conditionalFormatting sqref="P117">
    <cfRule type="cellIs" dxfId="17205" priority="3148" operator="greaterThan">
      <formula>0</formula>
    </cfRule>
  </conditionalFormatting>
  <conditionalFormatting sqref="Q117">
    <cfRule type="cellIs" dxfId="17204" priority="3147" operator="lessThan">
      <formula>0</formula>
    </cfRule>
  </conditionalFormatting>
  <conditionalFormatting sqref="R117">
    <cfRule type="cellIs" dxfId="17203" priority="3145" operator="lessThan">
      <formula>0.8</formula>
    </cfRule>
    <cfRule type="cellIs" dxfId="17202" priority="3146" operator="greaterThan">
      <formula>1</formula>
    </cfRule>
  </conditionalFormatting>
  <conditionalFormatting sqref="R117">
    <cfRule type="cellIs" dxfId="17201" priority="3143" operator="greaterThan">
      <formula>1</formula>
    </cfRule>
    <cfRule type="cellIs" dxfId="17200" priority="3144" operator="lessThan">
      <formula>0.8</formula>
    </cfRule>
  </conditionalFormatting>
  <conditionalFormatting sqref="P117">
    <cfRule type="cellIs" dxfId="17199" priority="3142" operator="greaterThan">
      <formula>0</formula>
    </cfRule>
  </conditionalFormatting>
  <conditionalFormatting sqref="P117">
    <cfRule type="cellIs" dxfId="17198" priority="3136" operator="greaterThan">
      <formula>0</formula>
    </cfRule>
  </conditionalFormatting>
  <conditionalFormatting sqref="Q117">
    <cfRule type="cellIs" dxfId="17197" priority="3141" operator="lessThan">
      <formula>0</formula>
    </cfRule>
  </conditionalFormatting>
  <conditionalFormatting sqref="R117">
    <cfRule type="cellIs" dxfId="17196" priority="3139" operator="lessThan">
      <formula>0.8</formula>
    </cfRule>
    <cfRule type="cellIs" dxfId="17195" priority="3140" operator="greaterThan">
      <formula>1</formula>
    </cfRule>
  </conditionalFormatting>
  <conditionalFormatting sqref="R117">
    <cfRule type="cellIs" dxfId="17194" priority="3137" operator="greaterThan">
      <formula>1</formula>
    </cfRule>
    <cfRule type="cellIs" dxfId="17193" priority="3138" operator="lessThan">
      <formula>0.8</formula>
    </cfRule>
  </conditionalFormatting>
  <conditionalFormatting sqref="P117">
    <cfRule type="cellIs" dxfId="17192" priority="3130" operator="greaterThan">
      <formula>0</formula>
    </cfRule>
  </conditionalFormatting>
  <conditionalFormatting sqref="Q117">
    <cfRule type="cellIs" dxfId="17191" priority="3135" operator="lessThan">
      <formula>0</formula>
    </cfRule>
  </conditionalFormatting>
  <conditionalFormatting sqref="R117">
    <cfRule type="cellIs" dxfId="17190" priority="3133" operator="lessThan">
      <formula>0.8</formula>
    </cfRule>
    <cfRule type="cellIs" dxfId="17189" priority="3134" operator="greaterThan">
      <formula>1</formula>
    </cfRule>
  </conditionalFormatting>
  <conditionalFormatting sqref="R117">
    <cfRule type="cellIs" dxfId="17188" priority="3131" operator="greaterThan">
      <formula>1</formula>
    </cfRule>
    <cfRule type="cellIs" dxfId="17187" priority="3132" operator="lessThan">
      <formula>0.8</formula>
    </cfRule>
  </conditionalFormatting>
  <conditionalFormatting sqref="P117">
    <cfRule type="cellIs" dxfId="17186" priority="3124" operator="greaterThan">
      <formula>0</formula>
    </cfRule>
  </conditionalFormatting>
  <conditionalFormatting sqref="Q117">
    <cfRule type="cellIs" dxfId="17185" priority="3129" operator="lessThan">
      <formula>0</formula>
    </cfRule>
  </conditionalFormatting>
  <conditionalFormatting sqref="R117">
    <cfRule type="cellIs" dxfId="17184" priority="3127" operator="lessThan">
      <formula>0.8</formula>
    </cfRule>
    <cfRule type="cellIs" dxfId="17183" priority="3128" operator="greaterThan">
      <formula>1</formula>
    </cfRule>
  </conditionalFormatting>
  <conditionalFormatting sqref="R117">
    <cfRule type="cellIs" dxfId="17182" priority="3125" operator="greaterThan">
      <formula>1</formula>
    </cfRule>
    <cfRule type="cellIs" dxfId="17181" priority="3126" operator="lessThan">
      <formula>0.8</formula>
    </cfRule>
  </conditionalFormatting>
  <conditionalFormatting sqref="Q117">
    <cfRule type="cellIs" dxfId="17180" priority="3123" operator="lessThan">
      <formula>0</formula>
    </cfRule>
  </conditionalFormatting>
  <conditionalFormatting sqref="R117">
    <cfRule type="cellIs" dxfId="17179" priority="3121" operator="lessThan">
      <formula>0.8</formula>
    </cfRule>
    <cfRule type="cellIs" dxfId="17178" priority="3122" operator="greaterThan">
      <formula>1</formula>
    </cfRule>
  </conditionalFormatting>
  <conditionalFormatting sqref="R117">
    <cfRule type="cellIs" dxfId="17177" priority="3119" operator="greaterThan">
      <formula>1</formula>
    </cfRule>
    <cfRule type="cellIs" dxfId="17176" priority="3120" operator="lessThan">
      <formula>0.8</formula>
    </cfRule>
  </conditionalFormatting>
  <conditionalFormatting sqref="P117">
    <cfRule type="cellIs" dxfId="17175" priority="3118" operator="greaterThan">
      <formula>0</formula>
    </cfRule>
  </conditionalFormatting>
  <conditionalFormatting sqref="P117">
    <cfRule type="cellIs" dxfId="17174" priority="3112" operator="greaterThan">
      <formula>0</formula>
    </cfRule>
  </conditionalFormatting>
  <conditionalFormatting sqref="Q117">
    <cfRule type="cellIs" dxfId="17173" priority="3117" operator="lessThan">
      <formula>0</formula>
    </cfRule>
  </conditionalFormatting>
  <conditionalFormatting sqref="R117">
    <cfRule type="cellIs" dxfId="17172" priority="3115" operator="lessThan">
      <formula>0.8</formula>
    </cfRule>
    <cfRule type="cellIs" dxfId="17171" priority="3116" operator="greaterThan">
      <formula>1</formula>
    </cfRule>
  </conditionalFormatting>
  <conditionalFormatting sqref="R117">
    <cfRule type="cellIs" dxfId="17170" priority="3113" operator="greaterThan">
      <formula>1</formula>
    </cfRule>
    <cfRule type="cellIs" dxfId="17169" priority="3114" operator="lessThan">
      <formula>0.8</formula>
    </cfRule>
  </conditionalFormatting>
  <conditionalFormatting sqref="P117">
    <cfRule type="cellIs" dxfId="17168" priority="3106" operator="greaterThan">
      <formula>0</formula>
    </cfRule>
  </conditionalFormatting>
  <conditionalFormatting sqref="Q117">
    <cfRule type="cellIs" dxfId="17167" priority="3111" operator="lessThan">
      <formula>0</formula>
    </cfRule>
  </conditionalFormatting>
  <conditionalFormatting sqref="R117">
    <cfRule type="cellIs" dxfId="17166" priority="3109" operator="lessThan">
      <formula>0.8</formula>
    </cfRule>
    <cfRule type="cellIs" dxfId="17165" priority="3110" operator="greaterThan">
      <formula>1</formula>
    </cfRule>
  </conditionalFormatting>
  <conditionalFormatting sqref="R117">
    <cfRule type="cellIs" dxfId="17164" priority="3107" operator="greaterThan">
      <formula>1</formula>
    </cfRule>
    <cfRule type="cellIs" dxfId="17163" priority="3108" operator="lessThan">
      <formula>0.8</formula>
    </cfRule>
  </conditionalFormatting>
  <conditionalFormatting sqref="Q117">
    <cfRule type="cellIs" dxfId="17162" priority="3105" operator="lessThan">
      <formula>0</formula>
    </cfRule>
  </conditionalFormatting>
  <conditionalFormatting sqref="R117">
    <cfRule type="cellIs" dxfId="17161" priority="3103" operator="lessThan">
      <formula>0.8</formula>
    </cfRule>
    <cfRule type="cellIs" dxfId="17160" priority="3104" operator="greaterThan">
      <formula>1</formula>
    </cfRule>
  </conditionalFormatting>
  <conditionalFormatting sqref="R117">
    <cfRule type="cellIs" dxfId="17159" priority="3101" operator="greaterThan">
      <formula>1</formula>
    </cfRule>
    <cfRule type="cellIs" dxfId="17158" priority="3102" operator="lessThan">
      <formula>0.8</formula>
    </cfRule>
  </conditionalFormatting>
  <conditionalFormatting sqref="P117">
    <cfRule type="cellIs" dxfId="17157" priority="3100" operator="greaterThan">
      <formula>0</formula>
    </cfRule>
  </conditionalFormatting>
  <conditionalFormatting sqref="P117">
    <cfRule type="cellIs" dxfId="17156" priority="3094" operator="greaterThan">
      <formula>0</formula>
    </cfRule>
  </conditionalFormatting>
  <conditionalFormatting sqref="Q117">
    <cfRule type="cellIs" dxfId="17155" priority="3099" operator="lessThan">
      <formula>0</formula>
    </cfRule>
  </conditionalFormatting>
  <conditionalFormatting sqref="R117">
    <cfRule type="cellIs" dxfId="17154" priority="3097" operator="lessThan">
      <formula>0.8</formula>
    </cfRule>
    <cfRule type="cellIs" dxfId="17153" priority="3098" operator="greaterThan">
      <formula>1</formula>
    </cfRule>
  </conditionalFormatting>
  <conditionalFormatting sqref="R117">
    <cfRule type="cellIs" dxfId="17152" priority="3095" operator="greaterThan">
      <formula>1</formula>
    </cfRule>
    <cfRule type="cellIs" dxfId="17151" priority="3096" operator="lessThan">
      <formula>0.8</formula>
    </cfRule>
  </conditionalFormatting>
  <conditionalFormatting sqref="Q117">
    <cfRule type="cellIs" dxfId="17150" priority="3093" operator="lessThan">
      <formula>0</formula>
    </cfRule>
  </conditionalFormatting>
  <conditionalFormatting sqref="R117">
    <cfRule type="cellIs" dxfId="17149" priority="3091" operator="lessThan">
      <formula>0.8</formula>
    </cfRule>
    <cfRule type="cellIs" dxfId="17148" priority="3092" operator="greaterThan">
      <formula>1</formula>
    </cfRule>
  </conditionalFormatting>
  <conditionalFormatting sqref="R117">
    <cfRule type="cellIs" dxfId="17147" priority="3089" operator="greaterThan">
      <formula>1</formula>
    </cfRule>
    <cfRule type="cellIs" dxfId="17146" priority="3090" operator="lessThan">
      <formula>0.8</formula>
    </cfRule>
  </conditionalFormatting>
  <conditionalFormatting sqref="P117">
    <cfRule type="cellIs" dxfId="17145" priority="3088" operator="greaterThan">
      <formula>0</formula>
    </cfRule>
  </conditionalFormatting>
  <conditionalFormatting sqref="Q117">
    <cfRule type="cellIs" dxfId="17144" priority="3087" operator="lessThan">
      <formula>0</formula>
    </cfRule>
  </conditionalFormatting>
  <conditionalFormatting sqref="R117">
    <cfRule type="cellIs" dxfId="17143" priority="3085" operator="lessThan">
      <formula>0.8</formula>
    </cfRule>
    <cfRule type="cellIs" dxfId="17142" priority="3086" operator="greaterThan">
      <formula>1</formula>
    </cfRule>
  </conditionalFormatting>
  <conditionalFormatting sqref="R117">
    <cfRule type="cellIs" dxfId="17141" priority="3083" operator="greaterThan">
      <formula>1</formula>
    </cfRule>
    <cfRule type="cellIs" dxfId="17140" priority="3084" operator="lessThan">
      <formula>0.8</formula>
    </cfRule>
  </conditionalFormatting>
  <conditionalFormatting sqref="P117">
    <cfRule type="cellIs" dxfId="17139" priority="3082" operator="greaterThan">
      <formula>0</formula>
    </cfRule>
  </conditionalFormatting>
  <conditionalFormatting sqref="Q83">
    <cfRule type="cellIs" dxfId="17138" priority="3081" operator="lessThan">
      <formula>0</formula>
    </cfRule>
  </conditionalFormatting>
  <conditionalFormatting sqref="R83">
    <cfRule type="cellIs" dxfId="17137" priority="3079" operator="lessThan">
      <formula>0.8</formula>
    </cfRule>
    <cfRule type="cellIs" dxfId="17136" priority="3080" operator="greaterThan">
      <formula>1</formula>
    </cfRule>
  </conditionalFormatting>
  <conditionalFormatting sqref="R83">
    <cfRule type="cellIs" dxfId="17135" priority="3077" operator="greaterThan">
      <formula>1</formula>
    </cfRule>
    <cfRule type="cellIs" dxfId="17134" priority="3078" operator="lessThan">
      <formula>0.8</formula>
    </cfRule>
  </conditionalFormatting>
  <conditionalFormatting sqref="P83">
    <cfRule type="cellIs" dxfId="17133" priority="3076" operator="greaterThan">
      <formula>0</formula>
    </cfRule>
  </conditionalFormatting>
  <conditionalFormatting sqref="Q83">
    <cfRule type="cellIs" dxfId="17132" priority="3075" operator="lessThan">
      <formula>0</formula>
    </cfRule>
  </conditionalFormatting>
  <conditionalFormatting sqref="R83">
    <cfRule type="cellIs" dxfId="17131" priority="3073" operator="lessThan">
      <formula>0.8</formula>
    </cfRule>
    <cfRule type="cellIs" dxfId="17130" priority="3074" operator="greaterThan">
      <formula>1</formula>
    </cfRule>
  </conditionalFormatting>
  <conditionalFormatting sqref="R83">
    <cfRule type="cellIs" dxfId="17129" priority="3071" operator="greaterThan">
      <formula>1</formula>
    </cfRule>
    <cfRule type="cellIs" dxfId="17128" priority="3072" operator="lessThan">
      <formula>0.8</formula>
    </cfRule>
  </conditionalFormatting>
  <conditionalFormatting sqref="P83">
    <cfRule type="cellIs" dxfId="17127" priority="3070" operator="greaterThan">
      <formula>0</formula>
    </cfRule>
  </conditionalFormatting>
  <conditionalFormatting sqref="Q83">
    <cfRule type="cellIs" dxfId="17126" priority="3069" operator="lessThan">
      <formula>0</formula>
    </cfRule>
  </conditionalFormatting>
  <conditionalFormatting sqref="R83">
    <cfRule type="cellIs" dxfId="17125" priority="3067" operator="lessThan">
      <formula>0.8</formula>
    </cfRule>
    <cfRule type="cellIs" dxfId="17124" priority="3068" operator="greaterThan">
      <formula>1</formula>
    </cfRule>
  </conditionalFormatting>
  <conditionalFormatting sqref="R83">
    <cfRule type="cellIs" dxfId="17123" priority="3065" operator="greaterThan">
      <formula>1</formula>
    </cfRule>
    <cfRule type="cellIs" dxfId="17122" priority="3066" operator="lessThan">
      <formula>0.8</formula>
    </cfRule>
  </conditionalFormatting>
  <conditionalFormatting sqref="P83">
    <cfRule type="cellIs" dxfId="17121" priority="3064" operator="greaterThan">
      <formula>0</formula>
    </cfRule>
  </conditionalFormatting>
  <conditionalFormatting sqref="Q83">
    <cfRule type="cellIs" dxfId="17120" priority="3063" operator="lessThan">
      <formula>0</formula>
    </cfRule>
  </conditionalFormatting>
  <conditionalFormatting sqref="R83">
    <cfRule type="cellIs" dxfId="17119" priority="3061" operator="lessThan">
      <formula>0.8</formula>
    </cfRule>
    <cfRule type="cellIs" dxfId="17118" priority="3062" operator="greaterThan">
      <formula>1</formula>
    </cfRule>
  </conditionalFormatting>
  <conditionalFormatting sqref="R83">
    <cfRule type="cellIs" dxfId="17117" priority="3059" operator="greaterThan">
      <formula>1</formula>
    </cfRule>
    <cfRule type="cellIs" dxfId="17116" priority="3060" operator="lessThan">
      <formula>0.8</formula>
    </cfRule>
  </conditionalFormatting>
  <conditionalFormatting sqref="P83">
    <cfRule type="cellIs" dxfId="17115" priority="3058" operator="greaterThan">
      <formula>0</formula>
    </cfRule>
  </conditionalFormatting>
  <conditionalFormatting sqref="P83">
    <cfRule type="cellIs" dxfId="17114" priority="3052" operator="greaterThan">
      <formula>0</formula>
    </cfRule>
  </conditionalFormatting>
  <conditionalFormatting sqref="Q83">
    <cfRule type="cellIs" dxfId="17113" priority="3057" operator="lessThan">
      <formula>0</formula>
    </cfRule>
  </conditionalFormatting>
  <conditionalFormatting sqref="R83">
    <cfRule type="cellIs" dxfId="17112" priority="3055" operator="lessThan">
      <formula>0.8</formula>
    </cfRule>
    <cfRule type="cellIs" dxfId="17111" priority="3056" operator="greaterThan">
      <formula>1</formula>
    </cfRule>
  </conditionalFormatting>
  <conditionalFormatting sqref="R83">
    <cfRule type="cellIs" dxfId="17110" priority="3053" operator="greaterThan">
      <formula>1</formula>
    </cfRule>
    <cfRule type="cellIs" dxfId="17109" priority="3054" operator="lessThan">
      <formula>0.8</formula>
    </cfRule>
  </conditionalFormatting>
  <conditionalFormatting sqref="P83">
    <cfRule type="cellIs" dxfId="17108" priority="3046" operator="greaterThan">
      <formula>0</formula>
    </cfRule>
  </conditionalFormatting>
  <conditionalFormatting sqref="Q83">
    <cfRule type="cellIs" dxfId="17107" priority="3051" operator="lessThan">
      <formula>0</formula>
    </cfRule>
  </conditionalFormatting>
  <conditionalFormatting sqref="R83">
    <cfRule type="cellIs" dxfId="17106" priority="3049" operator="lessThan">
      <formula>0.8</formula>
    </cfRule>
    <cfRule type="cellIs" dxfId="17105" priority="3050" operator="greaterThan">
      <formula>1</formula>
    </cfRule>
  </conditionalFormatting>
  <conditionalFormatting sqref="R83">
    <cfRule type="cellIs" dxfId="17104" priority="3047" operator="greaterThan">
      <formula>1</formula>
    </cfRule>
    <cfRule type="cellIs" dxfId="17103" priority="3048" operator="lessThan">
      <formula>0.8</formula>
    </cfRule>
  </conditionalFormatting>
  <conditionalFormatting sqref="R83">
    <cfRule type="cellIs" dxfId="17102" priority="3043" operator="lessThan">
      <formula>0.8</formula>
    </cfRule>
    <cfRule type="cellIs" dxfId="17101" priority="3044" operator="greaterThan">
      <formula>1</formula>
    </cfRule>
  </conditionalFormatting>
  <conditionalFormatting sqref="R83">
    <cfRule type="cellIs" dxfId="17100" priority="3041" operator="greaterThan">
      <formula>1</formula>
    </cfRule>
    <cfRule type="cellIs" dxfId="17099" priority="3042" operator="lessThan">
      <formula>0.8</formula>
    </cfRule>
  </conditionalFormatting>
  <conditionalFormatting sqref="P83">
    <cfRule type="cellIs" dxfId="17098" priority="3040" operator="greaterThan">
      <formula>0</formula>
    </cfRule>
  </conditionalFormatting>
  <conditionalFormatting sqref="Q83">
    <cfRule type="cellIs" dxfId="17097" priority="3045" operator="lessThan">
      <formula>0</formula>
    </cfRule>
  </conditionalFormatting>
  <conditionalFormatting sqref="Q83">
    <cfRule type="cellIs" dxfId="17096" priority="3039" operator="lessThan">
      <formula>0</formula>
    </cfRule>
  </conditionalFormatting>
  <conditionalFormatting sqref="R83">
    <cfRule type="cellIs" dxfId="17095" priority="3037" operator="lessThan">
      <formula>0.8</formula>
    </cfRule>
    <cfRule type="cellIs" dxfId="17094" priority="3038" operator="greaterThan">
      <formula>1</formula>
    </cfRule>
  </conditionalFormatting>
  <conditionalFormatting sqref="R83">
    <cfRule type="cellIs" dxfId="17093" priority="3035" operator="greaterThan">
      <formula>1</formula>
    </cfRule>
    <cfRule type="cellIs" dxfId="17092" priority="3036" operator="lessThan">
      <formula>0.8</formula>
    </cfRule>
  </conditionalFormatting>
  <conditionalFormatting sqref="P83">
    <cfRule type="cellIs" dxfId="17091" priority="3034" operator="greaterThan">
      <formula>0</formula>
    </cfRule>
  </conditionalFormatting>
  <conditionalFormatting sqref="P83">
    <cfRule type="cellIs" dxfId="17090" priority="3028" operator="greaterThan">
      <formula>0</formula>
    </cfRule>
  </conditionalFormatting>
  <conditionalFormatting sqref="Q83">
    <cfRule type="cellIs" dxfId="17089" priority="3033" operator="lessThan">
      <formula>0</formula>
    </cfRule>
  </conditionalFormatting>
  <conditionalFormatting sqref="R83">
    <cfRule type="cellIs" dxfId="17088" priority="3031" operator="lessThan">
      <formula>0.8</formula>
    </cfRule>
    <cfRule type="cellIs" dxfId="17087" priority="3032" operator="greaterThan">
      <formula>1</formula>
    </cfRule>
  </conditionalFormatting>
  <conditionalFormatting sqref="R83">
    <cfRule type="cellIs" dxfId="17086" priority="3029" operator="greaterThan">
      <formula>1</formula>
    </cfRule>
    <cfRule type="cellIs" dxfId="17085" priority="3030" operator="lessThan">
      <formula>0.8</formula>
    </cfRule>
  </conditionalFormatting>
  <conditionalFormatting sqref="P83">
    <cfRule type="cellIs" dxfId="17084" priority="3022" operator="greaterThan">
      <formula>0</formula>
    </cfRule>
  </conditionalFormatting>
  <conditionalFormatting sqref="Q83">
    <cfRule type="cellIs" dxfId="17083" priority="3027" operator="lessThan">
      <formula>0</formula>
    </cfRule>
  </conditionalFormatting>
  <conditionalFormatting sqref="R83">
    <cfRule type="cellIs" dxfId="17082" priority="3025" operator="lessThan">
      <formula>0.8</formula>
    </cfRule>
    <cfRule type="cellIs" dxfId="17081" priority="3026" operator="greaterThan">
      <formula>1</formula>
    </cfRule>
  </conditionalFormatting>
  <conditionalFormatting sqref="R83">
    <cfRule type="cellIs" dxfId="17080" priority="3023" operator="greaterThan">
      <formula>1</formula>
    </cfRule>
    <cfRule type="cellIs" dxfId="17079" priority="3024" operator="lessThan">
      <formula>0.8</formula>
    </cfRule>
  </conditionalFormatting>
  <conditionalFormatting sqref="R83">
    <cfRule type="cellIs" dxfId="17078" priority="3019" operator="lessThan">
      <formula>0.8</formula>
    </cfRule>
    <cfRule type="cellIs" dxfId="17077" priority="3020" operator="greaterThan">
      <formula>1</formula>
    </cfRule>
  </conditionalFormatting>
  <conditionalFormatting sqref="R83">
    <cfRule type="cellIs" dxfId="17076" priority="3017" operator="greaterThan">
      <formula>1</formula>
    </cfRule>
    <cfRule type="cellIs" dxfId="17075" priority="3018" operator="lessThan">
      <formula>0.8</formula>
    </cfRule>
  </conditionalFormatting>
  <conditionalFormatting sqref="P83">
    <cfRule type="cellIs" dxfId="17074" priority="3016" operator="greaterThan">
      <formula>0</formula>
    </cfRule>
  </conditionalFormatting>
  <conditionalFormatting sqref="Q83">
    <cfRule type="cellIs" dxfId="17073" priority="3021" operator="lessThan">
      <formula>0</formula>
    </cfRule>
  </conditionalFormatting>
  <conditionalFormatting sqref="P83">
    <cfRule type="cellIs" dxfId="17072" priority="3010" operator="greaterThan">
      <formula>0</formula>
    </cfRule>
  </conditionalFormatting>
  <conditionalFormatting sqref="Q83">
    <cfRule type="cellIs" dxfId="17071" priority="3015" operator="lessThan">
      <formula>0</formula>
    </cfRule>
  </conditionalFormatting>
  <conditionalFormatting sqref="R83">
    <cfRule type="cellIs" dxfId="17070" priority="3013" operator="lessThan">
      <formula>0.8</formula>
    </cfRule>
    <cfRule type="cellIs" dxfId="17069" priority="3014" operator="greaterThan">
      <formula>1</formula>
    </cfRule>
  </conditionalFormatting>
  <conditionalFormatting sqref="R83">
    <cfRule type="cellIs" dxfId="17068" priority="3011" operator="greaterThan">
      <formula>1</formula>
    </cfRule>
    <cfRule type="cellIs" dxfId="17067" priority="3012" operator="lessThan">
      <formula>0.8</formula>
    </cfRule>
  </conditionalFormatting>
  <conditionalFormatting sqref="R83">
    <cfRule type="cellIs" dxfId="17066" priority="3007" operator="lessThan">
      <formula>0.8</formula>
    </cfRule>
    <cfRule type="cellIs" dxfId="17065" priority="3008" operator="greaterThan">
      <formula>1</formula>
    </cfRule>
  </conditionalFormatting>
  <conditionalFormatting sqref="R83">
    <cfRule type="cellIs" dxfId="17064" priority="3005" operator="greaterThan">
      <formula>1</formula>
    </cfRule>
    <cfRule type="cellIs" dxfId="17063" priority="3006" operator="lessThan">
      <formula>0.8</formula>
    </cfRule>
  </conditionalFormatting>
  <conditionalFormatting sqref="P83">
    <cfRule type="cellIs" dxfId="17062" priority="3004" operator="greaterThan">
      <formula>0</formula>
    </cfRule>
  </conditionalFormatting>
  <conditionalFormatting sqref="Q83">
    <cfRule type="cellIs" dxfId="17061" priority="3009" operator="lessThan">
      <formula>0</formula>
    </cfRule>
  </conditionalFormatting>
  <conditionalFormatting sqref="R83">
    <cfRule type="cellIs" dxfId="17060" priority="3001" operator="lessThan">
      <formula>0.8</formula>
    </cfRule>
    <cfRule type="cellIs" dxfId="17059" priority="3002" operator="greaterThan">
      <formula>1</formula>
    </cfRule>
  </conditionalFormatting>
  <conditionalFormatting sqref="R83">
    <cfRule type="cellIs" dxfId="17058" priority="2999" operator="greaterThan">
      <formula>1</formula>
    </cfRule>
    <cfRule type="cellIs" dxfId="17057" priority="3000" operator="lessThan">
      <formula>0.8</formula>
    </cfRule>
  </conditionalFormatting>
  <conditionalFormatting sqref="P83">
    <cfRule type="cellIs" dxfId="17056" priority="2998" operator="greaterThan">
      <formula>0</formula>
    </cfRule>
  </conditionalFormatting>
  <conditionalFormatting sqref="Q83">
    <cfRule type="cellIs" dxfId="17055" priority="3003" operator="lessThan">
      <formula>0</formula>
    </cfRule>
  </conditionalFormatting>
  <conditionalFormatting sqref="Q83">
    <cfRule type="cellIs" dxfId="17054" priority="2997" operator="lessThan">
      <formula>0</formula>
    </cfRule>
  </conditionalFormatting>
  <conditionalFormatting sqref="R83">
    <cfRule type="cellIs" dxfId="17053" priority="2995" operator="lessThan">
      <formula>0.8</formula>
    </cfRule>
    <cfRule type="cellIs" dxfId="17052" priority="2996" operator="greaterThan">
      <formula>1</formula>
    </cfRule>
  </conditionalFormatting>
  <conditionalFormatting sqref="R83">
    <cfRule type="cellIs" dxfId="17051" priority="2993" operator="greaterThan">
      <formula>1</formula>
    </cfRule>
    <cfRule type="cellIs" dxfId="17050" priority="2994" operator="lessThan">
      <formula>0.8</formula>
    </cfRule>
  </conditionalFormatting>
  <conditionalFormatting sqref="P83">
    <cfRule type="cellIs" dxfId="17049" priority="2992" operator="greaterThan">
      <formula>0</formula>
    </cfRule>
  </conditionalFormatting>
  <conditionalFormatting sqref="Q83">
    <cfRule type="cellIs" dxfId="17048" priority="2986" operator="lessThan">
      <formula>0</formula>
    </cfRule>
  </conditionalFormatting>
  <conditionalFormatting sqref="R83">
    <cfRule type="cellIs" dxfId="17047" priority="2990" operator="lessThan">
      <formula>0.8</formula>
    </cfRule>
    <cfRule type="cellIs" dxfId="17046" priority="2991" operator="greaterThan">
      <formula>1</formula>
    </cfRule>
  </conditionalFormatting>
  <conditionalFormatting sqref="R83">
    <cfRule type="cellIs" dxfId="17045" priority="2988" operator="greaterThan">
      <formula>1</formula>
    </cfRule>
    <cfRule type="cellIs" dxfId="17044" priority="2989" operator="lessThan">
      <formula>0.8</formula>
    </cfRule>
  </conditionalFormatting>
  <conditionalFormatting sqref="P83">
    <cfRule type="cellIs" dxfId="17043" priority="2987" operator="greaterThan">
      <formula>0</formula>
    </cfRule>
  </conditionalFormatting>
  <conditionalFormatting sqref="Q83">
    <cfRule type="cellIs" dxfId="17042" priority="2985" operator="lessThan">
      <formula>0</formula>
    </cfRule>
  </conditionalFormatting>
  <conditionalFormatting sqref="R83">
    <cfRule type="cellIs" dxfId="17041" priority="2983" operator="lessThan">
      <formula>0.8</formula>
    </cfRule>
    <cfRule type="cellIs" dxfId="17040" priority="2984" operator="greaterThan">
      <formula>1</formula>
    </cfRule>
  </conditionalFormatting>
  <conditionalFormatting sqref="R83">
    <cfRule type="cellIs" dxfId="17039" priority="2981" operator="greaterThan">
      <formula>1</formula>
    </cfRule>
    <cfRule type="cellIs" dxfId="17038" priority="2982" operator="lessThan">
      <formula>0.8</formula>
    </cfRule>
  </conditionalFormatting>
  <conditionalFormatting sqref="P83">
    <cfRule type="cellIs" dxfId="17037" priority="2980" operator="greaterThan">
      <formula>0</formula>
    </cfRule>
  </conditionalFormatting>
  <conditionalFormatting sqref="Q83">
    <cfRule type="cellIs" dxfId="17036" priority="2979" operator="lessThan">
      <formula>0</formula>
    </cfRule>
  </conditionalFormatting>
  <conditionalFormatting sqref="R83">
    <cfRule type="cellIs" dxfId="17035" priority="2977" operator="lessThan">
      <formula>0.8</formula>
    </cfRule>
    <cfRule type="cellIs" dxfId="17034" priority="2978" operator="greaterThan">
      <formula>1</formula>
    </cfRule>
  </conditionalFormatting>
  <conditionalFormatting sqref="R83">
    <cfRule type="cellIs" dxfId="17033" priority="2975" operator="greaterThan">
      <formula>1</formula>
    </cfRule>
    <cfRule type="cellIs" dxfId="17032" priority="2976" operator="lessThan">
      <formula>0.8</formula>
    </cfRule>
  </conditionalFormatting>
  <conditionalFormatting sqref="P83">
    <cfRule type="cellIs" dxfId="17031" priority="2974" operator="greaterThan">
      <formula>0</formula>
    </cfRule>
  </conditionalFormatting>
  <conditionalFormatting sqref="Q83">
    <cfRule type="cellIs" dxfId="17030" priority="2973" operator="lessThan">
      <formula>0</formula>
    </cfRule>
  </conditionalFormatting>
  <conditionalFormatting sqref="R83">
    <cfRule type="cellIs" dxfId="17029" priority="2971" operator="lessThan">
      <formula>0.8</formula>
    </cfRule>
    <cfRule type="cellIs" dxfId="17028" priority="2972" operator="greaterThan">
      <formula>1</formula>
    </cfRule>
  </conditionalFormatting>
  <conditionalFormatting sqref="R83">
    <cfRule type="cellIs" dxfId="17027" priority="2969" operator="greaterThan">
      <formula>1</formula>
    </cfRule>
    <cfRule type="cellIs" dxfId="17026" priority="2970" operator="lessThan">
      <formula>0.8</formula>
    </cfRule>
  </conditionalFormatting>
  <conditionalFormatting sqref="P83">
    <cfRule type="cellIs" dxfId="17025" priority="2968" operator="greaterThan">
      <formula>0</formula>
    </cfRule>
  </conditionalFormatting>
  <conditionalFormatting sqref="Q83">
    <cfRule type="cellIs" dxfId="17024" priority="2967" operator="lessThan">
      <formula>0</formula>
    </cfRule>
  </conditionalFormatting>
  <conditionalFormatting sqref="R83">
    <cfRule type="cellIs" dxfId="17023" priority="2965" operator="lessThan">
      <formula>0.8</formula>
    </cfRule>
    <cfRule type="cellIs" dxfId="17022" priority="2966" operator="greaterThan">
      <formula>1</formula>
    </cfRule>
  </conditionalFormatting>
  <conditionalFormatting sqref="R83">
    <cfRule type="cellIs" dxfId="17021" priority="2963" operator="greaterThan">
      <formula>1</formula>
    </cfRule>
    <cfRule type="cellIs" dxfId="17020" priority="2964" operator="lessThan">
      <formula>0.8</formula>
    </cfRule>
  </conditionalFormatting>
  <conditionalFormatting sqref="P83">
    <cfRule type="cellIs" dxfId="17019" priority="2962" operator="greaterThan">
      <formula>0</formula>
    </cfRule>
  </conditionalFormatting>
  <conditionalFormatting sqref="Q83">
    <cfRule type="cellIs" dxfId="17018" priority="2961" operator="lessThan">
      <formula>0</formula>
    </cfRule>
  </conditionalFormatting>
  <conditionalFormatting sqref="R83">
    <cfRule type="cellIs" dxfId="17017" priority="2959" operator="lessThan">
      <formula>0.8</formula>
    </cfRule>
    <cfRule type="cellIs" dxfId="17016" priority="2960" operator="greaterThan">
      <formula>1</formula>
    </cfRule>
  </conditionalFormatting>
  <conditionalFormatting sqref="R83">
    <cfRule type="cellIs" dxfId="17015" priority="2957" operator="greaterThan">
      <formula>1</formula>
    </cfRule>
    <cfRule type="cellIs" dxfId="17014" priority="2958" operator="lessThan">
      <formula>0.8</formula>
    </cfRule>
  </conditionalFormatting>
  <conditionalFormatting sqref="P83">
    <cfRule type="cellIs" dxfId="17013" priority="2956" operator="greaterThan">
      <formula>0</formula>
    </cfRule>
  </conditionalFormatting>
  <conditionalFormatting sqref="P83">
    <cfRule type="cellIs" dxfId="17012" priority="2950" operator="greaterThan">
      <formula>0</formula>
    </cfRule>
  </conditionalFormatting>
  <conditionalFormatting sqref="Q83">
    <cfRule type="cellIs" dxfId="17011" priority="2955" operator="lessThan">
      <formula>0</formula>
    </cfRule>
  </conditionalFormatting>
  <conditionalFormatting sqref="R83">
    <cfRule type="cellIs" dxfId="17010" priority="2953" operator="lessThan">
      <formula>0.8</formula>
    </cfRule>
    <cfRule type="cellIs" dxfId="17009" priority="2954" operator="greaterThan">
      <formula>1</formula>
    </cfRule>
  </conditionalFormatting>
  <conditionalFormatting sqref="R83">
    <cfRule type="cellIs" dxfId="17008" priority="2951" operator="greaterThan">
      <formula>1</formula>
    </cfRule>
    <cfRule type="cellIs" dxfId="17007" priority="2952" operator="lessThan">
      <formula>0.8</formula>
    </cfRule>
  </conditionalFormatting>
  <conditionalFormatting sqref="P83">
    <cfRule type="cellIs" dxfId="17006" priority="2944" operator="greaterThan">
      <formula>0</formula>
    </cfRule>
  </conditionalFormatting>
  <conditionalFormatting sqref="Q83">
    <cfRule type="cellIs" dxfId="17005" priority="2949" operator="lessThan">
      <formula>0</formula>
    </cfRule>
  </conditionalFormatting>
  <conditionalFormatting sqref="R83">
    <cfRule type="cellIs" dxfId="17004" priority="2947" operator="lessThan">
      <formula>0.8</formula>
    </cfRule>
    <cfRule type="cellIs" dxfId="17003" priority="2948" operator="greaterThan">
      <formula>1</formula>
    </cfRule>
  </conditionalFormatting>
  <conditionalFormatting sqref="R83">
    <cfRule type="cellIs" dxfId="17002" priority="2945" operator="greaterThan">
      <formula>1</formula>
    </cfRule>
    <cfRule type="cellIs" dxfId="17001" priority="2946" operator="lessThan">
      <formula>0.8</formula>
    </cfRule>
  </conditionalFormatting>
  <conditionalFormatting sqref="R83">
    <cfRule type="cellIs" dxfId="17000" priority="2941" operator="lessThan">
      <formula>0.8</formula>
    </cfRule>
    <cfRule type="cellIs" dxfId="16999" priority="2942" operator="greaterThan">
      <formula>1</formula>
    </cfRule>
  </conditionalFormatting>
  <conditionalFormatting sqref="R83">
    <cfRule type="cellIs" dxfId="16998" priority="2939" operator="greaterThan">
      <formula>1</formula>
    </cfRule>
    <cfRule type="cellIs" dxfId="16997" priority="2940" operator="lessThan">
      <formula>0.8</formula>
    </cfRule>
  </conditionalFormatting>
  <conditionalFormatting sqref="P83">
    <cfRule type="cellIs" dxfId="16996" priority="2938" operator="greaterThan">
      <formula>0</formula>
    </cfRule>
  </conditionalFormatting>
  <conditionalFormatting sqref="Q83">
    <cfRule type="cellIs" dxfId="16995" priority="2943" operator="lessThan">
      <formula>0</formula>
    </cfRule>
  </conditionalFormatting>
  <conditionalFormatting sqref="Q83">
    <cfRule type="cellIs" dxfId="16994" priority="2937" operator="lessThan">
      <formula>0</formula>
    </cfRule>
  </conditionalFormatting>
  <conditionalFormatting sqref="R83">
    <cfRule type="cellIs" dxfId="16993" priority="2935" operator="lessThan">
      <formula>0.8</formula>
    </cfRule>
    <cfRule type="cellIs" dxfId="16992" priority="2936" operator="greaterThan">
      <formula>1</formula>
    </cfRule>
  </conditionalFormatting>
  <conditionalFormatting sqref="R83">
    <cfRule type="cellIs" dxfId="16991" priority="2933" operator="greaterThan">
      <formula>1</formula>
    </cfRule>
    <cfRule type="cellIs" dxfId="16990" priority="2934" operator="lessThan">
      <formula>0.8</formula>
    </cfRule>
  </conditionalFormatting>
  <conditionalFormatting sqref="P83">
    <cfRule type="cellIs" dxfId="16989" priority="2932" operator="greaterThan">
      <formula>0</formula>
    </cfRule>
  </conditionalFormatting>
  <conditionalFormatting sqref="Q83">
    <cfRule type="cellIs" dxfId="16988" priority="2931" operator="lessThan">
      <formula>0</formula>
    </cfRule>
  </conditionalFormatting>
  <conditionalFormatting sqref="R83">
    <cfRule type="cellIs" dxfId="16987" priority="2929" operator="lessThan">
      <formula>0.8</formula>
    </cfRule>
    <cfRule type="cellIs" dxfId="16986" priority="2930" operator="greaterThan">
      <formula>1</formula>
    </cfRule>
  </conditionalFormatting>
  <conditionalFormatting sqref="R83">
    <cfRule type="cellIs" dxfId="16985" priority="2927" operator="greaterThan">
      <formula>1</formula>
    </cfRule>
    <cfRule type="cellIs" dxfId="16984" priority="2928" operator="lessThan">
      <formula>0.8</formula>
    </cfRule>
  </conditionalFormatting>
  <conditionalFormatting sqref="P83">
    <cfRule type="cellIs" dxfId="16983" priority="2926" operator="greaterThan">
      <formula>0</formula>
    </cfRule>
  </conditionalFormatting>
  <conditionalFormatting sqref="Q83">
    <cfRule type="cellIs" dxfId="16982" priority="2925" operator="lessThan">
      <formula>0</formula>
    </cfRule>
  </conditionalFormatting>
  <conditionalFormatting sqref="R83">
    <cfRule type="cellIs" dxfId="16981" priority="2923" operator="lessThan">
      <formula>0.8</formula>
    </cfRule>
    <cfRule type="cellIs" dxfId="16980" priority="2924" operator="greaterThan">
      <formula>1</formula>
    </cfRule>
  </conditionalFormatting>
  <conditionalFormatting sqref="R83">
    <cfRule type="cellIs" dxfId="16979" priority="2921" operator="greaterThan">
      <formula>1</formula>
    </cfRule>
    <cfRule type="cellIs" dxfId="16978" priority="2922" operator="lessThan">
      <formula>0.8</formula>
    </cfRule>
  </conditionalFormatting>
  <conditionalFormatting sqref="P83">
    <cfRule type="cellIs" dxfId="16977" priority="2920" operator="greaterThan">
      <formula>0</formula>
    </cfRule>
  </conditionalFormatting>
  <conditionalFormatting sqref="Q83">
    <cfRule type="cellIs" dxfId="16976" priority="2919" operator="lessThan">
      <formula>0</formula>
    </cfRule>
  </conditionalFormatting>
  <conditionalFormatting sqref="R83">
    <cfRule type="cellIs" dxfId="16975" priority="2917" operator="lessThan">
      <formula>0.8</formula>
    </cfRule>
    <cfRule type="cellIs" dxfId="16974" priority="2918" operator="greaterThan">
      <formula>1</formula>
    </cfRule>
  </conditionalFormatting>
  <conditionalFormatting sqref="R83">
    <cfRule type="cellIs" dxfId="16973" priority="2915" operator="greaterThan">
      <formula>1</formula>
    </cfRule>
    <cfRule type="cellIs" dxfId="16972" priority="2916" operator="lessThan">
      <formula>0.8</formula>
    </cfRule>
  </conditionalFormatting>
  <conditionalFormatting sqref="P83">
    <cfRule type="cellIs" dxfId="16971" priority="2914" operator="greaterThan">
      <formula>0</formula>
    </cfRule>
  </conditionalFormatting>
  <conditionalFormatting sqref="P83">
    <cfRule type="cellIs" dxfId="16970" priority="2908" operator="greaterThan">
      <formula>0</formula>
    </cfRule>
  </conditionalFormatting>
  <conditionalFormatting sqref="Q83">
    <cfRule type="cellIs" dxfId="16969" priority="2913" operator="lessThan">
      <formula>0</formula>
    </cfRule>
  </conditionalFormatting>
  <conditionalFormatting sqref="R83">
    <cfRule type="cellIs" dxfId="16968" priority="2911" operator="lessThan">
      <formula>0.8</formula>
    </cfRule>
    <cfRule type="cellIs" dxfId="16967" priority="2912" operator="greaterThan">
      <formula>1</formula>
    </cfRule>
  </conditionalFormatting>
  <conditionalFormatting sqref="R83">
    <cfRule type="cellIs" dxfId="16966" priority="2909" operator="greaterThan">
      <formula>1</formula>
    </cfRule>
    <cfRule type="cellIs" dxfId="16965" priority="2910" operator="lessThan">
      <formula>0.8</formula>
    </cfRule>
  </conditionalFormatting>
  <conditionalFormatting sqref="P83">
    <cfRule type="cellIs" dxfId="16964" priority="2902" operator="greaterThan">
      <formula>0</formula>
    </cfRule>
  </conditionalFormatting>
  <conditionalFormatting sqref="Q83">
    <cfRule type="cellIs" dxfId="16963" priority="2907" operator="lessThan">
      <formula>0</formula>
    </cfRule>
  </conditionalFormatting>
  <conditionalFormatting sqref="R83">
    <cfRule type="cellIs" dxfId="16962" priority="2905" operator="lessThan">
      <formula>0.8</formula>
    </cfRule>
    <cfRule type="cellIs" dxfId="16961" priority="2906" operator="greaterThan">
      <formula>1</formula>
    </cfRule>
  </conditionalFormatting>
  <conditionalFormatting sqref="R83">
    <cfRule type="cellIs" dxfId="16960" priority="2903" operator="greaterThan">
      <formula>1</formula>
    </cfRule>
    <cfRule type="cellIs" dxfId="16959" priority="2904" operator="lessThan">
      <formula>0.8</formula>
    </cfRule>
  </conditionalFormatting>
  <conditionalFormatting sqref="R83">
    <cfRule type="cellIs" dxfId="16958" priority="2899" operator="lessThan">
      <formula>0.8</formula>
    </cfRule>
    <cfRule type="cellIs" dxfId="16957" priority="2900" operator="greaterThan">
      <formula>1</formula>
    </cfRule>
  </conditionalFormatting>
  <conditionalFormatting sqref="R83">
    <cfRule type="cellIs" dxfId="16956" priority="2897" operator="greaterThan">
      <formula>1</formula>
    </cfRule>
    <cfRule type="cellIs" dxfId="16955" priority="2898" operator="lessThan">
      <formula>0.8</formula>
    </cfRule>
  </conditionalFormatting>
  <conditionalFormatting sqref="P83">
    <cfRule type="cellIs" dxfId="16954" priority="2896" operator="greaterThan">
      <formula>0</formula>
    </cfRule>
  </conditionalFormatting>
  <conditionalFormatting sqref="Q83">
    <cfRule type="cellIs" dxfId="16953" priority="2901" operator="lessThan">
      <formula>0</formula>
    </cfRule>
  </conditionalFormatting>
  <conditionalFormatting sqref="Q83">
    <cfRule type="cellIs" dxfId="16952" priority="2895" operator="lessThan">
      <formula>0</formula>
    </cfRule>
  </conditionalFormatting>
  <conditionalFormatting sqref="R83">
    <cfRule type="cellIs" dxfId="16951" priority="2893" operator="lessThan">
      <formula>0.8</formula>
    </cfRule>
    <cfRule type="cellIs" dxfId="16950" priority="2894" operator="greaterThan">
      <formula>1</formula>
    </cfRule>
  </conditionalFormatting>
  <conditionalFormatting sqref="R83">
    <cfRule type="cellIs" dxfId="16949" priority="2891" operator="greaterThan">
      <formula>1</formula>
    </cfRule>
    <cfRule type="cellIs" dxfId="16948" priority="2892" operator="lessThan">
      <formula>0.8</formula>
    </cfRule>
  </conditionalFormatting>
  <conditionalFormatting sqref="P83">
    <cfRule type="cellIs" dxfId="16947" priority="2890" operator="greaterThan">
      <formula>0</formula>
    </cfRule>
  </conditionalFormatting>
  <conditionalFormatting sqref="P83">
    <cfRule type="cellIs" dxfId="16946" priority="2884" operator="greaterThan">
      <formula>0</formula>
    </cfRule>
  </conditionalFormatting>
  <conditionalFormatting sqref="Q83">
    <cfRule type="cellIs" dxfId="16945" priority="2889" operator="lessThan">
      <formula>0</formula>
    </cfRule>
  </conditionalFormatting>
  <conditionalFormatting sqref="R83">
    <cfRule type="cellIs" dxfId="16944" priority="2887" operator="lessThan">
      <formula>0.8</formula>
    </cfRule>
    <cfRule type="cellIs" dxfId="16943" priority="2888" operator="greaterThan">
      <formula>1</formula>
    </cfRule>
  </conditionalFormatting>
  <conditionalFormatting sqref="R83">
    <cfRule type="cellIs" dxfId="16942" priority="2885" operator="greaterThan">
      <formula>1</formula>
    </cfRule>
    <cfRule type="cellIs" dxfId="16941" priority="2886" operator="lessThan">
      <formula>0.8</formula>
    </cfRule>
  </conditionalFormatting>
  <conditionalFormatting sqref="P83">
    <cfRule type="cellIs" dxfId="16940" priority="2878" operator="greaterThan">
      <formula>0</formula>
    </cfRule>
  </conditionalFormatting>
  <conditionalFormatting sqref="Q83">
    <cfRule type="cellIs" dxfId="16939" priority="2883" operator="lessThan">
      <formula>0</formula>
    </cfRule>
  </conditionalFormatting>
  <conditionalFormatting sqref="R83">
    <cfRule type="cellIs" dxfId="16938" priority="2881" operator="lessThan">
      <formula>0.8</formula>
    </cfRule>
    <cfRule type="cellIs" dxfId="16937" priority="2882" operator="greaterThan">
      <formula>1</formula>
    </cfRule>
  </conditionalFormatting>
  <conditionalFormatting sqref="R83">
    <cfRule type="cellIs" dxfId="16936" priority="2879" operator="greaterThan">
      <formula>1</formula>
    </cfRule>
    <cfRule type="cellIs" dxfId="16935" priority="2880" operator="lessThan">
      <formula>0.8</formula>
    </cfRule>
  </conditionalFormatting>
  <conditionalFormatting sqref="R83">
    <cfRule type="cellIs" dxfId="16934" priority="2875" operator="lessThan">
      <formula>0.8</formula>
    </cfRule>
    <cfRule type="cellIs" dxfId="16933" priority="2876" operator="greaterThan">
      <formula>1</formula>
    </cfRule>
  </conditionalFormatting>
  <conditionalFormatting sqref="R83">
    <cfRule type="cellIs" dxfId="16932" priority="2873" operator="greaterThan">
      <formula>1</formula>
    </cfRule>
    <cfRule type="cellIs" dxfId="16931" priority="2874" operator="lessThan">
      <formula>0.8</formula>
    </cfRule>
  </conditionalFormatting>
  <conditionalFormatting sqref="P83">
    <cfRule type="cellIs" dxfId="16930" priority="2872" operator="greaterThan">
      <formula>0</formula>
    </cfRule>
  </conditionalFormatting>
  <conditionalFormatting sqref="Q83">
    <cfRule type="cellIs" dxfId="16929" priority="2877" operator="lessThan">
      <formula>0</formula>
    </cfRule>
  </conditionalFormatting>
  <conditionalFormatting sqref="P83">
    <cfRule type="cellIs" dxfId="16928" priority="2866" operator="greaterThan">
      <formula>0</formula>
    </cfRule>
  </conditionalFormatting>
  <conditionalFormatting sqref="Q83">
    <cfRule type="cellIs" dxfId="16927" priority="2871" operator="lessThan">
      <formula>0</formula>
    </cfRule>
  </conditionalFormatting>
  <conditionalFormatting sqref="R83">
    <cfRule type="cellIs" dxfId="16926" priority="2869" operator="lessThan">
      <formula>0.8</formula>
    </cfRule>
    <cfRule type="cellIs" dxfId="16925" priority="2870" operator="greaterThan">
      <formula>1</formula>
    </cfRule>
  </conditionalFormatting>
  <conditionalFormatting sqref="R83">
    <cfRule type="cellIs" dxfId="16924" priority="2867" operator="greaterThan">
      <formula>1</formula>
    </cfRule>
    <cfRule type="cellIs" dxfId="16923" priority="2868" operator="lessThan">
      <formula>0.8</formula>
    </cfRule>
  </conditionalFormatting>
  <conditionalFormatting sqref="R83">
    <cfRule type="cellIs" dxfId="16922" priority="2863" operator="lessThan">
      <formula>0.8</formula>
    </cfRule>
    <cfRule type="cellIs" dxfId="16921" priority="2864" operator="greaterThan">
      <formula>1</formula>
    </cfRule>
  </conditionalFormatting>
  <conditionalFormatting sqref="R83">
    <cfRule type="cellIs" dxfId="16920" priority="2861" operator="greaterThan">
      <formula>1</formula>
    </cfRule>
    <cfRule type="cellIs" dxfId="16919" priority="2862" operator="lessThan">
      <formula>0.8</formula>
    </cfRule>
  </conditionalFormatting>
  <conditionalFormatting sqref="P83">
    <cfRule type="cellIs" dxfId="16918" priority="2860" operator="greaterThan">
      <formula>0</formula>
    </cfRule>
  </conditionalFormatting>
  <conditionalFormatting sqref="Q83">
    <cfRule type="cellIs" dxfId="16917" priority="2865" operator="lessThan">
      <formula>0</formula>
    </cfRule>
  </conditionalFormatting>
  <conditionalFormatting sqref="R83">
    <cfRule type="cellIs" dxfId="16916" priority="2857" operator="lessThan">
      <formula>0.8</formula>
    </cfRule>
    <cfRule type="cellIs" dxfId="16915" priority="2858" operator="greaterThan">
      <formula>1</formula>
    </cfRule>
  </conditionalFormatting>
  <conditionalFormatting sqref="R83">
    <cfRule type="cellIs" dxfId="16914" priority="2855" operator="greaterThan">
      <formula>1</formula>
    </cfRule>
    <cfRule type="cellIs" dxfId="16913" priority="2856" operator="lessThan">
      <formula>0.8</formula>
    </cfRule>
  </conditionalFormatting>
  <conditionalFormatting sqref="P83">
    <cfRule type="cellIs" dxfId="16912" priority="2854" operator="greaterThan">
      <formula>0</formula>
    </cfRule>
  </conditionalFormatting>
  <conditionalFormatting sqref="Q83">
    <cfRule type="cellIs" dxfId="16911" priority="2859" operator="lessThan">
      <formula>0</formula>
    </cfRule>
  </conditionalFormatting>
  <conditionalFormatting sqref="Q83">
    <cfRule type="cellIs" dxfId="16910" priority="2853" operator="lessThan">
      <formula>0</formula>
    </cfRule>
  </conditionalFormatting>
  <conditionalFormatting sqref="R83">
    <cfRule type="cellIs" dxfId="16909" priority="2851" operator="lessThan">
      <formula>0.8</formula>
    </cfRule>
    <cfRule type="cellIs" dxfId="16908" priority="2852" operator="greaterThan">
      <formula>1</formula>
    </cfRule>
  </conditionalFormatting>
  <conditionalFormatting sqref="R83">
    <cfRule type="cellIs" dxfId="16907" priority="2849" operator="greaterThan">
      <formula>1</formula>
    </cfRule>
    <cfRule type="cellIs" dxfId="16906" priority="2850" operator="lessThan">
      <formula>0.8</formula>
    </cfRule>
  </conditionalFormatting>
  <conditionalFormatting sqref="P83">
    <cfRule type="cellIs" dxfId="16905" priority="2848" operator="greaterThan">
      <formula>0</formula>
    </cfRule>
  </conditionalFormatting>
  <conditionalFormatting sqref="Q83">
    <cfRule type="cellIs" dxfId="16904" priority="2842" operator="lessThan">
      <formula>0</formula>
    </cfRule>
  </conditionalFormatting>
  <conditionalFormatting sqref="R83">
    <cfRule type="cellIs" dxfId="16903" priority="2846" operator="lessThan">
      <formula>0.8</formula>
    </cfRule>
    <cfRule type="cellIs" dxfId="16902" priority="2847" operator="greaterThan">
      <formula>1</formula>
    </cfRule>
  </conditionalFormatting>
  <conditionalFormatting sqref="R83">
    <cfRule type="cellIs" dxfId="16901" priority="2844" operator="greaterThan">
      <formula>1</formula>
    </cfRule>
    <cfRule type="cellIs" dxfId="16900" priority="2845" operator="lessThan">
      <formula>0.8</formula>
    </cfRule>
  </conditionalFormatting>
  <conditionalFormatting sqref="P83">
    <cfRule type="cellIs" dxfId="16899" priority="2843" operator="greaterThan">
      <formula>0</formula>
    </cfRule>
  </conditionalFormatting>
  <conditionalFormatting sqref="Q83">
    <cfRule type="cellIs" dxfId="16898" priority="2841" operator="lessThan">
      <formula>0</formula>
    </cfRule>
  </conditionalFormatting>
  <conditionalFormatting sqref="R83">
    <cfRule type="cellIs" dxfId="16897" priority="2839" operator="lessThan">
      <formula>0.8</formula>
    </cfRule>
    <cfRule type="cellIs" dxfId="16896" priority="2840" operator="greaterThan">
      <formula>1</formula>
    </cfRule>
  </conditionalFormatting>
  <conditionalFormatting sqref="R83">
    <cfRule type="cellIs" dxfId="16895" priority="2837" operator="greaterThan">
      <formula>1</formula>
    </cfRule>
    <cfRule type="cellIs" dxfId="16894" priority="2838" operator="lessThan">
      <formula>0.8</formula>
    </cfRule>
  </conditionalFormatting>
  <conditionalFormatting sqref="P83">
    <cfRule type="cellIs" dxfId="16893" priority="2836" operator="greaterThan">
      <formula>0</formula>
    </cfRule>
  </conditionalFormatting>
  <conditionalFormatting sqref="Q83">
    <cfRule type="cellIs" dxfId="16892" priority="2835" operator="lessThan">
      <formula>0</formula>
    </cfRule>
  </conditionalFormatting>
  <conditionalFormatting sqref="R83">
    <cfRule type="cellIs" dxfId="16891" priority="2833" operator="lessThan">
      <formula>0.8</formula>
    </cfRule>
    <cfRule type="cellIs" dxfId="16890" priority="2834" operator="greaterThan">
      <formula>1</formula>
    </cfRule>
  </conditionalFormatting>
  <conditionalFormatting sqref="R83">
    <cfRule type="cellIs" dxfId="16889" priority="2831" operator="greaterThan">
      <formula>1</formula>
    </cfRule>
    <cfRule type="cellIs" dxfId="16888" priority="2832" operator="lessThan">
      <formula>0.8</formula>
    </cfRule>
  </conditionalFormatting>
  <conditionalFormatting sqref="P83">
    <cfRule type="cellIs" dxfId="16887" priority="2830" operator="greaterThan">
      <formula>0</formula>
    </cfRule>
  </conditionalFormatting>
  <conditionalFormatting sqref="Q83">
    <cfRule type="cellIs" dxfId="16886" priority="2829" operator="lessThan">
      <formula>0</formula>
    </cfRule>
  </conditionalFormatting>
  <conditionalFormatting sqref="R83">
    <cfRule type="cellIs" dxfId="16885" priority="2827" operator="lessThan">
      <formula>0.8</formula>
    </cfRule>
    <cfRule type="cellIs" dxfId="16884" priority="2828" operator="greaterThan">
      <formula>1</formula>
    </cfRule>
  </conditionalFormatting>
  <conditionalFormatting sqref="R83">
    <cfRule type="cellIs" dxfId="16883" priority="2825" operator="greaterThan">
      <formula>1</formula>
    </cfRule>
    <cfRule type="cellIs" dxfId="16882" priority="2826" operator="lessThan">
      <formula>0.8</formula>
    </cfRule>
  </conditionalFormatting>
  <conditionalFormatting sqref="P83">
    <cfRule type="cellIs" dxfId="16881" priority="2824" operator="greaterThan">
      <formula>0</formula>
    </cfRule>
  </conditionalFormatting>
  <conditionalFormatting sqref="Q83">
    <cfRule type="cellIs" dxfId="16880" priority="2823" operator="lessThan">
      <formula>0</formula>
    </cfRule>
  </conditionalFormatting>
  <conditionalFormatting sqref="R83">
    <cfRule type="cellIs" dxfId="16879" priority="2821" operator="lessThan">
      <formula>0.8</formula>
    </cfRule>
    <cfRule type="cellIs" dxfId="16878" priority="2822" operator="greaterThan">
      <formula>1</formula>
    </cfRule>
  </conditionalFormatting>
  <conditionalFormatting sqref="R83">
    <cfRule type="cellIs" dxfId="16877" priority="2819" operator="greaterThan">
      <formula>1</formula>
    </cfRule>
    <cfRule type="cellIs" dxfId="16876" priority="2820" operator="lessThan">
      <formula>0.8</formula>
    </cfRule>
  </conditionalFormatting>
  <conditionalFormatting sqref="P83">
    <cfRule type="cellIs" dxfId="16875" priority="2818" operator="greaterThan">
      <formula>0</formula>
    </cfRule>
  </conditionalFormatting>
  <conditionalFormatting sqref="Q83">
    <cfRule type="cellIs" dxfId="16874" priority="2817" operator="lessThan">
      <formula>0</formula>
    </cfRule>
  </conditionalFormatting>
  <conditionalFormatting sqref="R83">
    <cfRule type="cellIs" dxfId="16873" priority="2815" operator="lessThan">
      <formula>0.8</formula>
    </cfRule>
    <cfRule type="cellIs" dxfId="16872" priority="2816" operator="greaterThan">
      <formula>1</formula>
    </cfRule>
  </conditionalFormatting>
  <conditionalFormatting sqref="R83">
    <cfRule type="cellIs" dxfId="16871" priority="2813" operator="greaterThan">
      <formula>1</formula>
    </cfRule>
    <cfRule type="cellIs" dxfId="16870" priority="2814" operator="lessThan">
      <formula>0.8</formula>
    </cfRule>
  </conditionalFormatting>
  <conditionalFormatting sqref="P83">
    <cfRule type="cellIs" dxfId="16869" priority="2812" operator="greaterThan">
      <formula>0</formula>
    </cfRule>
  </conditionalFormatting>
  <conditionalFormatting sqref="P83">
    <cfRule type="cellIs" dxfId="16868" priority="2806" operator="greaterThan">
      <formula>0</formula>
    </cfRule>
  </conditionalFormatting>
  <conditionalFormatting sqref="Q83">
    <cfRule type="cellIs" dxfId="16867" priority="2811" operator="lessThan">
      <formula>0</formula>
    </cfRule>
  </conditionalFormatting>
  <conditionalFormatting sqref="R83">
    <cfRule type="cellIs" dxfId="16866" priority="2809" operator="lessThan">
      <formula>0.8</formula>
    </cfRule>
    <cfRule type="cellIs" dxfId="16865" priority="2810" operator="greaterThan">
      <formula>1</formula>
    </cfRule>
  </conditionalFormatting>
  <conditionalFormatting sqref="R83">
    <cfRule type="cellIs" dxfId="16864" priority="2807" operator="greaterThan">
      <formula>1</formula>
    </cfRule>
    <cfRule type="cellIs" dxfId="16863" priority="2808" operator="lessThan">
      <formula>0.8</formula>
    </cfRule>
  </conditionalFormatting>
  <conditionalFormatting sqref="P83">
    <cfRule type="cellIs" dxfId="16862" priority="2800" operator="greaterThan">
      <formula>0</formula>
    </cfRule>
  </conditionalFormatting>
  <conditionalFormatting sqref="Q83">
    <cfRule type="cellIs" dxfId="16861" priority="2805" operator="lessThan">
      <formula>0</formula>
    </cfRule>
  </conditionalFormatting>
  <conditionalFormatting sqref="R83">
    <cfRule type="cellIs" dxfId="16860" priority="2803" operator="lessThan">
      <formula>0.8</formula>
    </cfRule>
    <cfRule type="cellIs" dxfId="16859" priority="2804" operator="greaterThan">
      <formula>1</formula>
    </cfRule>
  </conditionalFormatting>
  <conditionalFormatting sqref="R83">
    <cfRule type="cellIs" dxfId="16858" priority="2801" operator="greaterThan">
      <formula>1</formula>
    </cfRule>
    <cfRule type="cellIs" dxfId="16857" priority="2802" operator="lessThan">
      <formula>0.8</formula>
    </cfRule>
  </conditionalFormatting>
  <conditionalFormatting sqref="R83">
    <cfRule type="cellIs" dxfId="16856" priority="2797" operator="lessThan">
      <formula>0.8</formula>
    </cfRule>
    <cfRule type="cellIs" dxfId="16855" priority="2798" operator="greaterThan">
      <formula>1</formula>
    </cfRule>
  </conditionalFormatting>
  <conditionalFormatting sqref="R83">
    <cfRule type="cellIs" dxfId="16854" priority="2795" operator="greaterThan">
      <formula>1</formula>
    </cfRule>
    <cfRule type="cellIs" dxfId="16853" priority="2796" operator="lessThan">
      <formula>0.8</formula>
    </cfRule>
  </conditionalFormatting>
  <conditionalFormatting sqref="P83">
    <cfRule type="cellIs" dxfId="16852" priority="2794" operator="greaterThan">
      <formula>0</formula>
    </cfRule>
  </conditionalFormatting>
  <conditionalFormatting sqref="Q83">
    <cfRule type="cellIs" dxfId="16851" priority="2799" operator="lessThan">
      <formula>0</formula>
    </cfRule>
  </conditionalFormatting>
  <conditionalFormatting sqref="Q83">
    <cfRule type="cellIs" dxfId="16850" priority="2788" operator="lessThan">
      <formula>0</formula>
    </cfRule>
  </conditionalFormatting>
  <conditionalFormatting sqref="P83">
    <cfRule type="cellIs" dxfId="16849" priority="2789" operator="greaterThan">
      <formula>0</formula>
    </cfRule>
  </conditionalFormatting>
  <conditionalFormatting sqref="R83">
    <cfRule type="cellIs" dxfId="16848" priority="2792" operator="lessThan">
      <formula>0.8</formula>
    </cfRule>
    <cfRule type="cellIs" dxfId="16847" priority="2793" operator="greaterThan">
      <formula>1</formula>
    </cfRule>
  </conditionalFormatting>
  <conditionalFormatting sqref="R83">
    <cfRule type="cellIs" dxfId="16846" priority="2790" operator="greaterThan">
      <formula>1</formula>
    </cfRule>
    <cfRule type="cellIs" dxfId="16845" priority="2791" operator="lessThan">
      <formula>0.8</formula>
    </cfRule>
  </conditionalFormatting>
  <conditionalFormatting sqref="Q83">
    <cfRule type="cellIs" dxfId="16844" priority="2782" operator="lessThan">
      <formula>0</formula>
    </cfRule>
  </conditionalFormatting>
  <conditionalFormatting sqref="R83">
    <cfRule type="cellIs" dxfId="16843" priority="2786" operator="lessThan">
      <formula>0.8</formula>
    </cfRule>
    <cfRule type="cellIs" dxfId="16842" priority="2787" operator="greaterThan">
      <formula>1</formula>
    </cfRule>
  </conditionalFormatting>
  <conditionalFormatting sqref="R83">
    <cfRule type="cellIs" dxfId="16841" priority="2784" operator="greaterThan">
      <formula>1</formula>
    </cfRule>
    <cfRule type="cellIs" dxfId="16840" priority="2785" operator="lessThan">
      <formula>0.8</formula>
    </cfRule>
  </conditionalFormatting>
  <conditionalFormatting sqref="P83">
    <cfRule type="cellIs" dxfId="16839" priority="2783" operator="greaterThan">
      <formula>0</formula>
    </cfRule>
  </conditionalFormatting>
  <conditionalFormatting sqref="Q83">
    <cfRule type="cellIs" dxfId="16838" priority="2781" operator="lessThan">
      <formula>0</formula>
    </cfRule>
  </conditionalFormatting>
  <conditionalFormatting sqref="R83">
    <cfRule type="cellIs" dxfId="16837" priority="2779" operator="lessThan">
      <formula>0.8</formula>
    </cfRule>
    <cfRule type="cellIs" dxfId="16836" priority="2780" operator="greaterThan">
      <formula>1</formula>
    </cfRule>
  </conditionalFormatting>
  <conditionalFormatting sqref="R83">
    <cfRule type="cellIs" dxfId="16835" priority="2777" operator="greaterThan">
      <formula>1</formula>
    </cfRule>
    <cfRule type="cellIs" dxfId="16834" priority="2778" operator="lessThan">
      <formula>0.8</formula>
    </cfRule>
  </conditionalFormatting>
  <conditionalFormatting sqref="P83">
    <cfRule type="cellIs" dxfId="16833" priority="2776" operator="greaterThan">
      <formula>0</formula>
    </cfRule>
  </conditionalFormatting>
  <conditionalFormatting sqref="Q83">
    <cfRule type="cellIs" dxfId="16832" priority="2775" operator="lessThan">
      <formula>0</formula>
    </cfRule>
  </conditionalFormatting>
  <conditionalFormatting sqref="R83">
    <cfRule type="cellIs" dxfId="16831" priority="2773" operator="lessThan">
      <formula>0.8</formula>
    </cfRule>
    <cfRule type="cellIs" dxfId="16830" priority="2774" operator="greaterThan">
      <formula>1</formula>
    </cfRule>
  </conditionalFormatting>
  <conditionalFormatting sqref="R83">
    <cfRule type="cellIs" dxfId="16829" priority="2771" operator="greaterThan">
      <formula>1</formula>
    </cfRule>
    <cfRule type="cellIs" dxfId="16828" priority="2772" operator="lessThan">
      <formula>0.8</formula>
    </cfRule>
  </conditionalFormatting>
  <conditionalFormatting sqref="P83">
    <cfRule type="cellIs" dxfId="16827" priority="2770" operator="greaterThan">
      <formula>0</formula>
    </cfRule>
  </conditionalFormatting>
  <conditionalFormatting sqref="Q83">
    <cfRule type="cellIs" dxfId="16826" priority="2769" operator="lessThan">
      <formula>0</formula>
    </cfRule>
  </conditionalFormatting>
  <conditionalFormatting sqref="R83">
    <cfRule type="cellIs" dxfId="16825" priority="2767" operator="lessThan">
      <formula>0.8</formula>
    </cfRule>
    <cfRule type="cellIs" dxfId="16824" priority="2768" operator="greaterThan">
      <formula>1</formula>
    </cfRule>
  </conditionalFormatting>
  <conditionalFormatting sqref="R83">
    <cfRule type="cellIs" dxfId="16823" priority="2765" operator="greaterThan">
      <formula>1</formula>
    </cfRule>
    <cfRule type="cellIs" dxfId="16822" priority="2766" operator="lessThan">
      <formula>0.8</formula>
    </cfRule>
  </conditionalFormatting>
  <conditionalFormatting sqref="P83">
    <cfRule type="cellIs" dxfId="16821" priority="2764" operator="greaterThan">
      <formula>0</formula>
    </cfRule>
  </conditionalFormatting>
  <conditionalFormatting sqref="Q83">
    <cfRule type="cellIs" dxfId="16820" priority="2763" operator="lessThan">
      <formula>0</formula>
    </cfRule>
  </conditionalFormatting>
  <conditionalFormatting sqref="R83">
    <cfRule type="cellIs" dxfId="16819" priority="2761" operator="lessThan">
      <formula>0.8</formula>
    </cfRule>
    <cfRule type="cellIs" dxfId="16818" priority="2762" operator="greaterThan">
      <formula>1</formula>
    </cfRule>
  </conditionalFormatting>
  <conditionalFormatting sqref="R83">
    <cfRule type="cellIs" dxfId="16817" priority="2759" operator="greaterThan">
      <formula>1</formula>
    </cfRule>
    <cfRule type="cellIs" dxfId="16816" priority="2760" operator="lessThan">
      <formula>0.8</formula>
    </cfRule>
  </conditionalFormatting>
  <conditionalFormatting sqref="P83">
    <cfRule type="cellIs" dxfId="16815" priority="2758" operator="greaterThan">
      <formula>0</formula>
    </cfRule>
  </conditionalFormatting>
  <conditionalFormatting sqref="Q83">
    <cfRule type="cellIs" dxfId="16814" priority="2757" operator="lessThan">
      <formula>0</formula>
    </cfRule>
  </conditionalFormatting>
  <conditionalFormatting sqref="R83">
    <cfRule type="cellIs" dxfId="16813" priority="2755" operator="lessThan">
      <formula>0.8</formula>
    </cfRule>
    <cfRule type="cellIs" dxfId="16812" priority="2756" operator="greaterThan">
      <formula>1</formula>
    </cfRule>
  </conditionalFormatting>
  <conditionalFormatting sqref="R83">
    <cfRule type="cellIs" dxfId="16811" priority="2753" operator="greaterThan">
      <formula>1</formula>
    </cfRule>
    <cfRule type="cellIs" dxfId="16810" priority="2754" operator="lessThan">
      <formula>0.8</formula>
    </cfRule>
  </conditionalFormatting>
  <conditionalFormatting sqref="P83">
    <cfRule type="cellIs" dxfId="16809" priority="2752" operator="greaterThan">
      <formula>0</formula>
    </cfRule>
  </conditionalFormatting>
  <conditionalFormatting sqref="Q83">
    <cfRule type="cellIs" dxfId="16808" priority="2751" operator="lessThan">
      <formula>0</formula>
    </cfRule>
  </conditionalFormatting>
  <conditionalFormatting sqref="R83">
    <cfRule type="cellIs" dxfId="16807" priority="2749" operator="lessThan">
      <formula>0.8</formula>
    </cfRule>
    <cfRule type="cellIs" dxfId="16806" priority="2750" operator="greaterThan">
      <formula>1</formula>
    </cfRule>
  </conditionalFormatting>
  <conditionalFormatting sqref="R83">
    <cfRule type="cellIs" dxfId="16805" priority="2747" operator="greaterThan">
      <formula>1</formula>
    </cfRule>
    <cfRule type="cellIs" dxfId="16804" priority="2748" operator="lessThan">
      <formula>0.8</formula>
    </cfRule>
  </conditionalFormatting>
  <conditionalFormatting sqref="P83">
    <cfRule type="cellIs" dxfId="16803" priority="2746" operator="greaterThan">
      <formula>0</formula>
    </cfRule>
  </conditionalFormatting>
  <conditionalFormatting sqref="Q83">
    <cfRule type="cellIs" dxfId="16802" priority="2745" operator="lessThan">
      <formula>0</formula>
    </cfRule>
  </conditionalFormatting>
  <conditionalFormatting sqref="R83">
    <cfRule type="cellIs" dxfId="16801" priority="2743" operator="lessThan">
      <formula>0.8</formula>
    </cfRule>
    <cfRule type="cellIs" dxfId="16800" priority="2744" operator="greaterThan">
      <formula>1</formula>
    </cfRule>
  </conditionalFormatting>
  <conditionalFormatting sqref="R83">
    <cfRule type="cellIs" dxfId="16799" priority="2741" operator="greaterThan">
      <formula>1</formula>
    </cfRule>
    <cfRule type="cellIs" dxfId="16798" priority="2742" operator="lessThan">
      <formula>0.8</formula>
    </cfRule>
  </conditionalFormatting>
  <conditionalFormatting sqref="P83">
    <cfRule type="cellIs" dxfId="16797" priority="2740" operator="greaterThan">
      <formula>0</formula>
    </cfRule>
  </conditionalFormatting>
  <conditionalFormatting sqref="P83">
    <cfRule type="cellIs" dxfId="16796" priority="2734" operator="greaterThan">
      <formula>0</formula>
    </cfRule>
  </conditionalFormatting>
  <conditionalFormatting sqref="Q83">
    <cfRule type="cellIs" dxfId="16795" priority="2739" operator="lessThan">
      <formula>0</formula>
    </cfRule>
  </conditionalFormatting>
  <conditionalFormatting sqref="R83">
    <cfRule type="cellIs" dxfId="16794" priority="2737" operator="lessThan">
      <formula>0.8</formula>
    </cfRule>
    <cfRule type="cellIs" dxfId="16793" priority="2738" operator="greaterThan">
      <formula>1</formula>
    </cfRule>
  </conditionalFormatting>
  <conditionalFormatting sqref="R83">
    <cfRule type="cellIs" dxfId="16792" priority="2735" operator="greaterThan">
      <formula>1</formula>
    </cfRule>
    <cfRule type="cellIs" dxfId="16791" priority="2736" operator="lessThan">
      <formula>0.8</formula>
    </cfRule>
  </conditionalFormatting>
  <conditionalFormatting sqref="P83">
    <cfRule type="cellIs" dxfId="16790" priority="2728" operator="greaterThan">
      <formula>0</formula>
    </cfRule>
  </conditionalFormatting>
  <conditionalFormatting sqref="Q83">
    <cfRule type="cellIs" dxfId="16789" priority="2733" operator="lessThan">
      <formula>0</formula>
    </cfRule>
  </conditionalFormatting>
  <conditionalFormatting sqref="R83">
    <cfRule type="cellIs" dxfId="16788" priority="2731" operator="lessThan">
      <formula>0.8</formula>
    </cfRule>
    <cfRule type="cellIs" dxfId="16787" priority="2732" operator="greaterThan">
      <formula>1</formula>
    </cfRule>
  </conditionalFormatting>
  <conditionalFormatting sqref="R83">
    <cfRule type="cellIs" dxfId="16786" priority="2729" operator="greaterThan">
      <formula>1</formula>
    </cfRule>
    <cfRule type="cellIs" dxfId="16785" priority="2730" operator="lessThan">
      <formula>0.8</formula>
    </cfRule>
  </conditionalFormatting>
  <conditionalFormatting sqref="R83">
    <cfRule type="cellIs" dxfId="16784" priority="2725" operator="lessThan">
      <formula>0.8</formula>
    </cfRule>
    <cfRule type="cellIs" dxfId="16783" priority="2726" operator="greaterThan">
      <formula>1</formula>
    </cfRule>
  </conditionalFormatting>
  <conditionalFormatting sqref="R83">
    <cfRule type="cellIs" dxfId="16782" priority="2723" operator="greaterThan">
      <formula>1</formula>
    </cfRule>
    <cfRule type="cellIs" dxfId="16781" priority="2724" operator="lessThan">
      <formula>0.8</formula>
    </cfRule>
  </conditionalFormatting>
  <conditionalFormatting sqref="P83">
    <cfRule type="cellIs" dxfId="16780" priority="2722" operator="greaterThan">
      <formula>0</formula>
    </cfRule>
  </conditionalFormatting>
  <conditionalFormatting sqref="Q83">
    <cfRule type="cellIs" dxfId="16779" priority="2727" operator="lessThan">
      <formula>0</formula>
    </cfRule>
  </conditionalFormatting>
  <conditionalFormatting sqref="Q83">
    <cfRule type="cellIs" dxfId="16778" priority="2721" operator="lessThan">
      <formula>0</formula>
    </cfRule>
  </conditionalFormatting>
  <conditionalFormatting sqref="R83">
    <cfRule type="cellIs" dxfId="16777" priority="2719" operator="lessThan">
      <formula>0.8</formula>
    </cfRule>
    <cfRule type="cellIs" dxfId="16776" priority="2720" operator="greaterThan">
      <formula>1</formula>
    </cfRule>
  </conditionalFormatting>
  <conditionalFormatting sqref="R83">
    <cfRule type="cellIs" dxfId="16775" priority="2717" operator="greaterThan">
      <formula>1</formula>
    </cfRule>
    <cfRule type="cellIs" dxfId="16774" priority="2718" operator="lessThan">
      <formula>0.8</formula>
    </cfRule>
  </conditionalFormatting>
  <conditionalFormatting sqref="P83">
    <cfRule type="cellIs" dxfId="16773" priority="2716" operator="greaterThan">
      <formula>0</formula>
    </cfRule>
  </conditionalFormatting>
  <conditionalFormatting sqref="P83">
    <cfRule type="cellIs" dxfId="16772" priority="2710" operator="greaterThan">
      <formula>0</formula>
    </cfRule>
  </conditionalFormatting>
  <conditionalFormatting sqref="Q83">
    <cfRule type="cellIs" dxfId="16771" priority="2715" operator="lessThan">
      <formula>0</formula>
    </cfRule>
  </conditionalFormatting>
  <conditionalFormatting sqref="R83">
    <cfRule type="cellIs" dxfId="16770" priority="2713" operator="lessThan">
      <formula>0.8</formula>
    </cfRule>
    <cfRule type="cellIs" dxfId="16769" priority="2714" operator="greaterThan">
      <formula>1</formula>
    </cfRule>
  </conditionalFormatting>
  <conditionalFormatting sqref="R83">
    <cfRule type="cellIs" dxfId="16768" priority="2711" operator="greaterThan">
      <formula>1</formula>
    </cfRule>
    <cfRule type="cellIs" dxfId="16767" priority="2712" operator="lessThan">
      <formula>0.8</formula>
    </cfRule>
  </conditionalFormatting>
  <conditionalFormatting sqref="P83">
    <cfRule type="cellIs" dxfId="16766" priority="2704" operator="greaterThan">
      <formula>0</formula>
    </cfRule>
  </conditionalFormatting>
  <conditionalFormatting sqref="Q83">
    <cfRule type="cellIs" dxfId="16765" priority="2709" operator="lessThan">
      <formula>0</formula>
    </cfRule>
  </conditionalFormatting>
  <conditionalFormatting sqref="R83">
    <cfRule type="cellIs" dxfId="16764" priority="2707" operator="lessThan">
      <formula>0.8</formula>
    </cfRule>
    <cfRule type="cellIs" dxfId="16763" priority="2708" operator="greaterThan">
      <formula>1</formula>
    </cfRule>
  </conditionalFormatting>
  <conditionalFormatting sqref="R83">
    <cfRule type="cellIs" dxfId="16762" priority="2705" operator="greaterThan">
      <formula>1</formula>
    </cfRule>
    <cfRule type="cellIs" dxfId="16761" priority="2706" operator="lessThan">
      <formula>0.8</formula>
    </cfRule>
  </conditionalFormatting>
  <conditionalFormatting sqref="R83">
    <cfRule type="cellIs" dxfId="16760" priority="2701" operator="lessThan">
      <formula>0.8</formula>
    </cfRule>
    <cfRule type="cellIs" dxfId="16759" priority="2702" operator="greaterThan">
      <formula>1</formula>
    </cfRule>
  </conditionalFormatting>
  <conditionalFormatting sqref="R83">
    <cfRule type="cellIs" dxfId="16758" priority="2699" operator="greaterThan">
      <formula>1</formula>
    </cfRule>
    <cfRule type="cellIs" dxfId="16757" priority="2700" operator="lessThan">
      <formula>0.8</formula>
    </cfRule>
  </conditionalFormatting>
  <conditionalFormatting sqref="P83">
    <cfRule type="cellIs" dxfId="16756" priority="2698" operator="greaterThan">
      <formula>0</formula>
    </cfRule>
  </conditionalFormatting>
  <conditionalFormatting sqref="Q83">
    <cfRule type="cellIs" dxfId="16755" priority="2703" operator="lessThan">
      <formula>0</formula>
    </cfRule>
  </conditionalFormatting>
  <conditionalFormatting sqref="P83">
    <cfRule type="cellIs" dxfId="16754" priority="2692" operator="greaterThan">
      <formula>0</formula>
    </cfRule>
  </conditionalFormatting>
  <conditionalFormatting sqref="Q83">
    <cfRule type="cellIs" dxfId="16753" priority="2697" operator="lessThan">
      <formula>0</formula>
    </cfRule>
  </conditionalFormatting>
  <conditionalFormatting sqref="R83">
    <cfRule type="cellIs" dxfId="16752" priority="2695" operator="lessThan">
      <formula>0.8</formula>
    </cfRule>
    <cfRule type="cellIs" dxfId="16751" priority="2696" operator="greaterThan">
      <formula>1</formula>
    </cfRule>
  </conditionalFormatting>
  <conditionalFormatting sqref="R83">
    <cfRule type="cellIs" dxfId="16750" priority="2693" operator="greaterThan">
      <formula>1</formula>
    </cfRule>
    <cfRule type="cellIs" dxfId="16749" priority="2694" operator="lessThan">
      <formula>0.8</formula>
    </cfRule>
  </conditionalFormatting>
  <conditionalFormatting sqref="R83">
    <cfRule type="cellIs" dxfId="16748" priority="2689" operator="lessThan">
      <formula>0.8</formula>
    </cfRule>
    <cfRule type="cellIs" dxfId="16747" priority="2690" operator="greaterThan">
      <formula>1</formula>
    </cfRule>
  </conditionalFormatting>
  <conditionalFormatting sqref="R83">
    <cfRule type="cellIs" dxfId="16746" priority="2687" operator="greaterThan">
      <formula>1</formula>
    </cfRule>
    <cfRule type="cellIs" dxfId="16745" priority="2688" operator="lessThan">
      <formula>0.8</formula>
    </cfRule>
  </conditionalFormatting>
  <conditionalFormatting sqref="P83">
    <cfRule type="cellIs" dxfId="16744" priority="2686" operator="greaterThan">
      <formula>0</formula>
    </cfRule>
  </conditionalFormatting>
  <conditionalFormatting sqref="Q83">
    <cfRule type="cellIs" dxfId="16743" priority="2691" operator="lessThan">
      <formula>0</formula>
    </cfRule>
  </conditionalFormatting>
  <conditionalFormatting sqref="R83">
    <cfRule type="cellIs" dxfId="16742" priority="2683" operator="lessThan">
      <formula>0.8</formula>
    </cfRule>
    <cfRule type="cellIs" dxfId="16741" priority="2684" operator="greaterThan">
      <formula>1</formula>
    </cfRule>
  </conditionalFormatting>
  <conditionalFormatting sqref="R83">
    <cfRule type="cellIs" dxfId="16740" priority="2681" operator="greaterThan">
      <formula>1</formula>
    </cfRule>
    <cfRule type="cellIs" dxfId="16739" priority="2682" operator="lessThan">
      <formula>0.8</formula>
    </cfRule>
  </conditionalFormatting>
  <conditionalFormatting sqref="P83">
    <cfRule type="cellIs" dxfId="16738" priority="2680" operator="greaterThan">
      <formula>0</formula>
    </cfRule>
  </conditionalFormatting>
  <conditionalFormatting sqref="Q83">
    <cfRule type="cellIs" dxfId="16737" priority="2685" operator="lessThan">
      <formula>0</formula>
    </cfRule>
  </conditionalFormatting>
  <conditionalFormatting sqref="Q83">
    <cfRule type="cellIs" dxfId="16736" priority="2679" operator="lessThan">
      <formula>0</formula>
    </cfRule>
  </conditionalFormatting>
  <conditionalFormatting sqref="R83">
    <cfRule type="cellIs" dxfId="16735" priority="2677" operator="lessThan">
      <formula>0.8</formula>
    </cfRule>
    <cfRule type="cellIs" dxfId="16734" priority="2678" operator="greaterThan">
      <formula>1</formula>
    </cfRule>
  </conditionalFormatting>
  <conditionalFormatting sqref="R83">
    <cfRule type="cellIs" dxfId="16733" priority="2675" operator="greaterThan">
      <formula>1</formula>
    </cfRule>
    <cfRule type="cellIs" dxfId="16732" priority="2676" operator="lessThan">
      <formula>0.8</formula>
    </cfRule>
  </conditionalFormatting>
  <conditionalFormatting sqref="P83">
    <cfRule type="cellIs" dxfId="16731" priority="2674" operator="greaterThan">
      <formula>0</formula>
    </cfRule>
  </conditionalFormatting>
  <conditionalFormatting sqref="Q83">
    <cfRule type="cellIs" dxfId="16730" priority="2668" operator="lessThan">
      <formula>0</formula>
    </cfRule>
  </conditionalFormatting>
  <conditionalFormatting sqref="R83">
    <cfRule type="cellIs" dxfId="16729" priority="2672" operator="lessThan">
      <formula>0.8</formula>
    </cfRule>
    <cfRule type="cellIs" dxfId="16728" priority="2673" operator="greaterThan">
      <formula>1</formula>
    </cfRule>
  </conditionalFormatting>
  <conditionalFormatting sqref="R83">
    <cfRule type="cellIs" dxfId="16727" priority="2670" operator="greaterThan">
      <formula>1</formula>
    </cfRule>
    <cfRule type="cellIs" dxfId="16726" priority="2671" operator="lessThan">
      <formula>0.8</formula>
    </cfRule>
  </conditionalFormatting>
  <conditionalFormatting sqref="P83">
    <cfRule type="cellIs" dxfId="16725" priority="2669" operator="greaterThan">
      <formula>0</formula>
    </cfRule>
  </conditionalFormatting>
  <conditionalFormatting sqref="Q83">
    <cfRule type="cellIs" dxfId="16724" priority="2667" operator="lessThan">
      <formula>0</formula>
    </cfRule>
  </conditionalFormatting>
  <conditionalFormatting sqref="R83">
    <cfRule type="cellIs" dxfId="16723" priority="2665" operator="lessThan">
      <formula>0.8</formula>
    </cfRule>
    <cfRule type="cellIs" dxfId="16722" priority="2666" operator="greaterThan">
      <formula>1</formula>
    </cfRule>
  </conditionalFormatting>
  <conditionalFormatting sqref="R83">
    <cfRule type="cellIs" dxfId="16721" priority="2663" operator="greaterThan">
      <formula>1</formula>
    </cfRule>
    <cfRule type="cellIs" dxfId="16720" priority="2664" operator="lessThan">
      <formula>0.8</formula>
    </cfRule>
  </conditionalFormatting>
  <conditionalFormatting sqref="P83">
    <cfRule type="cellIs" dxfId="16719" priority="2662" operator="greaterThan">
      <formula>0</formula>
    </cfRule>
  </conditionalFormatting>
  <conditionalFormatting sqref="Q83">
    <cfRule type="cellIs" dxfId="16718" priority="2661" operator="lessThan">
      <formula>0</formula>
    </cfRule>
  </conditionalFormatting>
  <conditionalFormatting sqref="R83">
    <cfRule type="cellIs" dxfId="16717" priority="2659" operator="lessThan">
      <formula>0.8</formula>
    </cfRule>
    <cfRule type="cellIs" dxfId="16716" priority="2660" operator="greaterThan">
      <formula>1</formula>
    </cfRule>
  </conditionalFormatting>
  <conditionalFormatting sqref="R83">
    <cfRule type="cellIs" dxfId="16715" priority="2657" operator="greaterThan">
      <formula>1</formula>
    </cfRule>
    <cfRule type="cellIs" dxfId="16714" priority="2658" operator="lessThan">
      <formula>0.8</formula>
    </cfRule>
  </conditionalFormatting>
  <conditionalFormatting sqref="P83">
    <cfRule type="cellIs" dxfId="16713" priority="2656" operator="greaterThan">
      <formula>0</formula>
    </cfRule>
  </conditionalFormatting>
  <conditionalFormatting sqref="Q83">
    <cfRule type="cellIs" dxfId="16712" priority="2655" operator="lessThan">
      <formula>0</formula>
    </cfRule>
  </conditionalFormatting>
  <conditionalFormatting sqref="R83">
    <cfRule type="cellIs" dxfId="16711" priority="2653" operator="lessThan">
      <formula>0.8</formula>
    </cfRule>
    <cfRule type="cellIs" dxfId="16710" priority="2654" operator="greaterThan">
      <formula>1</formula>
    </cfRule>
  </conditionalFormatting>
  <conditionalFormatting sqref="R83">
    <cfRule type="cellIs" dxfId="16709" priority="2651" operator="greaterThan">
      <formula>1</formula>
    </cfRule>
    <cfRule type="cellIs" dxfId="16708" priority="2652" operator="lessThan">
      <formula>0.8</formula>
    </cfRule>
  </conditionalFormatting>
  <conditionalFormatting sqref="P83">
    <cfRule type="cellIs" dxfId="16707" priority="2650" operator="greaterThan">
      <formula>0</formula>
    </cfRule>
  </conditionalFormatting>
  <conditionalFormatting sqref="Q83">
    <cfRule type="cellIs" dxfId="16706" priority="2649" operator="lessThan">
      <formula>0</formula>
    </cfRule>
  </conditionalFormatting>
  <conditionalFormatting sqref="R83">
    <cfRule type="cellIs" dxfId="16705" priority="2647" operator="lessThan">
      <formula>0.8</formula>
    </cfRule>
    <cfRule type="cellIs" dxfId="16704" priority="2648" operator="greaterThan">
      <formula>1</formula>
    </cfRule>
  </conditionalFormatting>
  <conditionalFormatting sqref="R83">
    <cfRule type="cellIs" dxfId="16703" priority="2645" operator="greaterThan">
      <formula>1</formula>
    </cfRule>
    <cfRule type="cellIs" dxfId="16702" priority="2646" operator="lessThan">
      <formula>0.8</formula>
    </cfRule>
  </conditionalFormatting>
  <conditionalFormatting sqref="P83">
    <cfRule type="cellIs" dxfId="16701" priority="2644" operator="greaterThan">
      <formula>0</formula>
    </cfRule>
  </conditionalFormatting>
  <conditionalFormatting sqref="Q83">
    <cfRule type="cellIs" dxfId="16700" priority="2643" operator="lessThan">
      <formula>0</formula>
    </cfRule>
  </conditionalFormatting>
  <conditionalFormatting sqref="R83">
    <cfRule type="cellIs" dxfId="16699" priority="2641" operator="lessThan">
      <formula>0.8</formula>
    </cfRule>
    <cfRule type="cellIs" dxfId="16698" priority="2642" operator="greaterThan">
      <formula>1</formula>
    </cfRule>
  </conditionalFormatting>
  <conditionalFormatting sqref="R83">
    <cfRule type="cellIs" dxfId="16697" priority="2639" operator="greaterThan">
      <formula>1</formula>
    </cfRule>
    <cfRule type="cellIs" dxfId="16696" priority="2640" operator="lessThan">
      <formula>0.8</formula>
    </cfRule>
  </conditionalFormatting>
  <conditionalFormatting sqref="P83">
    <cfRule type="cellIs" dxfId="16695" priority="2638" operator="greaterThan">
      <formula>0</formula>
    </cfRule>
  </conditionalFormatting>
  <conditionalFormatting sqref="P83">
    <cfRule type="cellIs" dxfId="16694" priority="2632" operator="greaterThan">
      <formula>0</formula>
    </cfRule>
  </conditionalFormatting>
  <conditionalFormatting sqref="Q83">
    <cfRule type="cellIs" dxfId="16693" priority="2637" operator="lessThan">
      <formula>0</formula>
    </cfRule>
  </conditionalFormatting>
  <conditionalFormatting sqref="R83">
    <cfRule type="cellIs" dxfId="16692" priority="2635" operator="lessThan">
      <formula>0.8</formula>
    </cfRule>
    <cfRule type="cellIs" dxfId="16691" priority="2636" operator="greaterThan">
      <formula>1</formula>
    </cfRule>
  </conditionalFormatting>
  <conditionalFormatting sqref="R83">
    <cfRule type="cellIs" dxfId="16690" priority="2633" operator="greaterThan">
      <formula>1</formula>
    </cfRule>
    <cfRule type="cellIs" dxfId="16689" priority="2634" operator="lessThan">
      <formula>0.8</formula>
    </cfRule>
  </conditionalFormatting>
  <conditionalFormatting sqref="P83">
    <cfRule type="cellIs" dxfId="16688" priority="2626" operator="greaterThan">
      <formula>0</formula>
    </cfRule>
  </conditionalFormatting>
  <conditionalFormatting sqref="Q83">
    <cfRule type="cellIs" dxfId="16687" priority="2631" operator="lessThan">
      <formula>0</formula>
    </cfRule>
  </conditionalFormatting>
  <conditionalFormatting sqref="R83">
    <cfRule type="cellIs" dxfId="16686" priority="2629" operator="lessThan">
      <formula>0.8</formula>
    </cfRule>
    <cfRule type="cellIs" dxfId="16685" priority="2630" operator="greaterThan">
      <formula>1</formula>
    </cfRule>
  </conditionalFormatting>
  <conditionalFormatting sqref="R83">
    <cfRule type="cellIs" dxfId="16684" priority="2627" operator="greaterThan">
      <formula>1</formula>
    </cfRule>
    <cfRule type="cellIs" dxfId="16683" priority="2628" operator="lessThan">
      <formula>0.8</formula>
    </cfRule>
  </conditionalFormatting>
  <conditionalFormatting sqref="R83">
    <cfRule type="cellIs" dxfId="16682" priority="2623" operator="lessThan">
      <formula>0.8</formula>
    </cfRule>
    <cfRule type="cellIs" dxfId="16681" priority="2624" operator="greaterThan">
      <formula>1</formula>
    </cfRule>
  </conditionalFormatting>
  <conditionalFormatting sqref="R83">
    <cfRule type="cellIs" dxfId="16680" priority="2621" operator="greaterThan">
      <formula>1</formula>
    </cfRule>
    <cfRule type="cellIs" dxfId="16679" priority="2622" operator="lessThan">
      <formula>0.8</formula>
    </cfRule>
  </conditionalFormatting>
  <conditionalFormatting sqref="P83">
    <cfRule type="cellIs" dxfId="16678" priority="2620" operator="greaterThan">
      <formula>0</formula>
    </cfRule>
  </conditionalFormatting>
  <conditionalFormatting sqref="Q83">
    <cfRule type="cellIs" dxfId="16677" priority="2625" operator="lessThan">
      <formula>0</formula>
    </cfRule>
  </conditionalFormatting>
  <conditionalFormatting sqref="P123 P125:P126 P128:P130">
    <cfRule type="cellIs" dxfId="16676" priority="2614" operator="greaterThan">
      <formula>0</formula>
    </cfRule>
  </conditionalFormatting>
  <conditionalFormatting sqref="Q123 Q125:Q126 Q128:Q130">
    <cfRule type="cellIs" dxfId="16675" priority="2619" operator="lessThan">
      <formula>0</formula>
    </cfRule>
  </conditionalFormatting>
  <conditionalFormatting sqref="R123 R125:R126 R128:R130">
    <cfRule type="cellIs" dxfId="16674" priority="2617" operator="lessThan">
      <formula>0.8</formula>
    </cfRule>
    <cfRule type="cellIs" dxfId="16673" priority="2618" operator="greaterThan">
      <formula>1</formula>
    </cfRule>
  </conditionalFormatting>
  <conditionalFormatting sqref="R123 R125:R126 R128:R130">
    <cfRule type="cellIs" dxfId="16672" priority="2615" operator="greaterThan">
      <formula>1</formula>
    </cfRule>
    <cfRule type="cellIs" dxfId="16671" priority="2616" operator="lessThan">
      <formula>0.8</formula>
    </cfRule>
  </conditionalFormatting>
  <conditionalFormatting sqref="Q123 Q125:Q126 Q128:Q130">
    <cfRule type="cellIs" dxfId="16670" priority="2613" operator="lessThan">
      <formula>0</formula>
    </cfRule>
  </conditionalFormatting>
  <conditionalFormatting sqref="R123 R125:R126 R128:R130">
    <cfRule type="cellIs" dxfId="16669" priority="2611" operator="lessThan">
      <formula>0.8</formula>
    </cfRule>
    <cfRule type="cellIs" dxfId="16668" priority="2612" operator="greaterThan">
      <formula>1</formula>
    </cfRule>
  </conditionalFormatting>
  <conditionalFormatting sqref="R123 R125:R126 R128:R130">
    <cfRule type="cellIs" dxfId="16667" priority="2609" operator="greaterThan">
      <formula>1</formula>
    </cfRule>
    <cfRule type="cellIs" dxfId="16666" priority="2610" operator="lessThan">
      <formula>0.8</formula>
    </cfRule>
  </conditionalFormatting>
  <conditionalFormatting sqref="P123 P125:P126 P128:P130">
    <cfRule type="cellIs" dxfId="16665" priority="2608" operator="greaterThan">
      <formula>0</formula>
    </cfRule>
  </conditionalFormatting>
  <conditionalFormatting sqref="Q31">
    <cfRule type="cellIs" dxfId="16664" priority="2607" operator="lessThan">
      <formula>0</formula>
    </cfRule>
  </conditionalFormatting>
  <conditionalFormatting sqref="R31">
    <cfRule type="cellIs" dxfId="16663" priority="2605" operator="lessThan">
      <formula>0.8</formula>
    </cfRule>
    <cfRule type="cellIs" dxfId="16662" priority="2606" operator="greaterThan">
      <formula>1</formula>
    </cfRule>
  </conditionalFormatting>
  <conditionalFormatting sqref="R31">
    <cfRule type="cellIs" dxfId="16661" priority="2603" operator="greaterThan">
      <formula>1</formula>
    </cfRule>
    <cfRule type="cellIs" dxfId="16660" priority="2604" operator="lessThan">
      <formula>0.8</formula>
    </cfRule>
  </conditionalFormatting>
  <conditionalFormatting sqref="P31">
    <cfRule type="cellIs" dxfId="16659" priority="2602" operator="greaterThan">
      <formula>0</formula>
    </cfRule>
  </conditionalFormatting>
  <conditionalFormatting sqref="Q31">
    <cfRule type="cellIs" dxfId="16658" priority="2601" operator="lessThan">
      <formula>0</formula>
    </cfRule>
  </conditionalFormatting>
  <conditionalFormatting sqref="R31">
    <cfRule type="cellIs" dxfId="16657" priority="2599" operator="lessThan">
      <formula>0.8</formula>
    </cfRule>
    <cfRule type="cellIs" dxfId="16656" priority="2600" operator="greaterThan">
      <formula>1</formula>
    </cfRule>
  </conditionalFormatting>
  <conditionalFormatting sqref="R31">
    <cfRule type="cellIs" dxfId="16655" priority="2597" operator="greaterThan">
      <formula>1</formula>
    </cfRule>
    <cfRule type="cellIs" dxfId="16654" priority="2598" operator="lessThan">
      <formula>0.8</formula>
    </cfRule>
  </conditionalFormatting>
  <conditionalFormatting sqref="P31">
    <cfRule type="cellIs" dxfId="16653" priority="2596" operator="greaterThan">
      <formula>0</formula>
    </cfRule>
  </conditionalFormatting>
  <conditionalFormatting sqref="Q31">
    <cfRule type="cellIs" dxfId="16652" priority="2595" operator="lessThan">
      <formula>0</formula>
    </cfRule>
  </conditionalFormatting>
  <conditionalFormatting sqref="R31">
    <cfRule type="cellIs" dxfId="16651" priority="2593" operator="lessThan">
      <formula>0.8</formula>
    </cfRule>
    <cfRule type="cellIs" dxfId="16650" priority="2594" operator="greaterThan">
      <formula>1</formula>
    </cfRule>
  </conditionalFormatting>
  <conditionalFormatting sqref="R31">
    <cfRule type="cellIs" dxfId="16649" priority="2591" operator="greaterThan">
      <formula>1</formula>
    </cfRule>
    <cfRule type="cellIs" dxfId="16648" priority="2592" operator="lessThan">
      <formula>0.8</formula>
    </cfRule>
  </conditionalFormatting>
  <conditionalFormatting sqref="P31">
    <cfRule type="cellIs" dxfId="16647" priority="2590" operator="greaterThan">
      <formula>0</formula>
    </cfRule>
  </conditionalFormatting>
  <conditionalFormatting sqref="Q31">
    <cfRule type="cellIs" dxfId="16646" priority="2589" operator="lessThan">
      <formula>0</formula>
    </cfRule>
  </conditionalFormatting>
  <conditionalFormatting sqref="R31">
    <cfRule type="cellIs" dxfId="16645" priority="2587" operator="lessThan">
      <formula>0.8</formula>
    </cfRule>
    <cfRule type="cellIs" dxfId="16644" priority="2588" operator="greaterThan">
      <formula>1</formula>
    </cfRule>
  </conditionalFormatting>
  <conditionalFormatting sqref="R31">
    <cfRule type="cellIs" dxfId="16643" priority="2585" operator="greaterThan">
      <formula>1</formula>
    </cfRule>
    <cfRule type="cellIs" dxfId="16642" priority="2586" operator="lessThan">
      <formula>0.8</formula>
    </cfRule>
  </conditionalFormatting>
  <conditionalFormatting sqref="P31">
    <cfRule type="cellIs" dxfId="16641" priority="2584" operator="greaterThan">
      <formula>0</formula>
    </cfRule>
  </conditionalFormatting>
  <conditionalFormatting sqref="P31">
    <cfRule type="cellIs" dxfId="16640" priority="2578" operator="greaterThan">
      <formula>0</formula>
    </cfRule>
  </conditionalFormatting>
  <conditionalFormatting sqref="Q31">
    <cfRule type="cellIs" dxfId="16639" priority="2583" operator="lessThan">
      <formula>0</formula>
    </cfRule>
  </conditionalFormatting>
  <conditionalFormatting sqref="R31">
    <cfRule type="cellIs" dxfId="16638" priority="2581" operator="lessThan">
      <formula>0.8</formula>
    </cfRule>
    <cfRule type="cellIs" dxfId="16637" priority="2582" operator="greaterThan">
      <formula>1</formula>
    </cfRule>
  </conditionalFormatting>
  <conditionalFormatting sqref="R31">
    <cfRule type="cellIs" dxfId="16636" priority="2579" operator="greaterThan">
      <formula>1</formula>
    </cfRule>
    <cfRule type="cellIs" dxfId="16635" priority="2580" operator="lessThan">
      <formula>0.8</formula>
    </cfRule>
  </conditionalFormatting>
  <conditionalFormatting sqref="P31">
    <cfRule type="cellIs" dxfId="16634" priority="2572" operator="greaterThan">
      <formula>0</formula>
    </cfRule>
  </conditionalFormatting>
  <conditionalFormatting sqref="Q31">
    <cfRule type="cellIs" dxfId="16633" priority="2577" operator="lessThan">
      <formula>0</formula>
    </cfRule>
  </conditionalFormatting>
  <conditionalFormatting sqref="R31">
    <cfRule type="cellIs" dxfId="16632" priority="2575" operator="lessThan">
      <formula>0.8</formula>
    </cfRule>
    <cfRule type="cellIs" dxfId="16631" priority="2576" operator="greaterThan">
      <formula>1</formula>
    </cfRule>
  </conditionalFormatting>
  <conditionalFormatting sqref="R31">
    <cfRule type="cellIs" dxfId="16630" priority="2573" operator="greaterThan">
      <formula>1</formula>
    </cfRule>
    <cfRule type="cellIs" dxfId="16629" priority="2574" operator="lessThan">
      <formula>0.8</formula>
    </cfRule>
  </conditionalFormatting>
  <conditionalFormatting sqref="R31">
    <cfRule type="cellIs" dxfId="16628" priority="2569" operator="lessThan">
      <formula>0.8</formula>
    </cfRule>
    <cfRule type="cellIs" dxfId="16627" priority="2570" operator="greaterThan">
      <formula>1</formula>
    </cfRule>
  </conditionalFormatting>
  <conditionalFormatting sqref="R31">
    <cfRule type="cellIs" dxfId="16626" priority="2567" operator="greaterThan">
      <formula>1</formula>
    </cfRule>
    <cfRule type="cellIs" dxfId="16625" priority="2568" operator="lessThan">
      <formula>0.8</formula>
    </cfRule>
  </conditionalFormatting>
  <conditionalFormatting sqref="P31">
    <cfRule type="cellIs" dxfId="16624" priority="2566" operator="greaterThan">
      <formula>0</formula>
    </cfRule>
  </conditionalFormatting>
  <conditionalFormatting sqref="Q31">
    <cfRule type="cellIs" dxfId="16623" priority="2571" operator="lessThan">
      <formula>0</formula>
    </cfRule>
  </conditionalFormatting>
  <conditionalFormatting sqref="Q31">
    <cfRule type="cellIs" dxfId="16622" priority="2565" operator="lessThan">
      <formula>0</formula>
    </cfRule>
  </conditionalFormatting>
  <conditionalFormatting sqref="R31">
    <cfRule type="cellIs" dxfId="16621" priority="2563" operator="lessThan">
      <formula>0.8</formula>
    </cfRule>
    <cfRule type="cellIs" dxfId="16620" priority="2564" operator="greaterThan">
      <formula>1</formula>
    </cfRule>
  </conditionalFormatting>
  <conditionalFormatting sqref="R31">
    <cfRule type="cellIs" dxfId="16619" priority="2561" operator="greaterThan">
      <formula>1</formula>
    </cfRule>
    <cfRule type="cellIs" dxfId="16618" priority="2562" operator="lessThan">
      <formula>0.8</formula>
    </cfRule>
  </conditionalFormatting>
  <conditionalFormatting sqref="P31">
    <cfRule type="cellIs" dxfId="16617" priority="2560" operator="greaterThan">
      <formula>0</formula>
    </cfRule>
  </conditionalFormatting>
  <conditionalFormatting sqref="P31">
    <cfRule type="cellIs" dxfId="16616" priority="2554" operator="greaterThan">
      <formula>0</formula>
    </cfRule>
  </conditionalFormatting>
  <conditionalFormatting sqref="Q31">
    <cfRule type="cellIs" dxfId="16615" priority="2559" operator="lessThan">
      <formula>0</formula>
    </cfRule>
  </conditionalFormatting>
  <conditionalFormatting sqref="R31">
    <cfRule type="cellIs" dxfId="16614" priority="2557" operator="lessThan">
      <formula>0.8</formula>
    </cfRule>
    <cfRule type="cellIs" dxfId="16613" priority="2558" operator="greaterThan">
      <formula>1</formula>
    </cfRule>
  </conditionalFormatting>
  <conditionalFormatting sqref="R31">
    <cfRule type="cellIs" dxfId="16612" priority="2555" operator="greaterThan">
      <formula>1</formula>
    </cfRule>
    <cfRule type="cellIs" dxfId="16611" priority="2556" operator="lessThan">
      <formula>0.8</formula>
    </cfRule>
  </conditionalFormatting>
  <conditionalFormatting sqref="P31">
    <cfRule type="cellIs" dxfId="16610" priority="2548" operator="greaterThan">
      <formula>0</formula>
    </cfRule>
  </conditionalFormatting>
  <conditionalFormatting sqref="Q31">
    <cfRule type="cellIs" dxfId="16609" priority="2553" operator="lessThan">
      <formula>0</formula>
    </cfRule>
  </conditionalFormatting>
  <conditionalFormatting sqref="R31">
    <cfRule type="cellIs" dxfId="16608" priority="2551" operator="lessThan">
      <formula>0.8</formula>
    </cfRule>
    <cfRule type="cellIs" dxfId="16607" priority="2552" operator="greaterThan">
      <formula>1</formula>
    </cfRule>
  </conditionalFormatting>
  <conditionalFormatting sqref="R31">
    <cfRule type="cellIs" dxfId="16606" priority="2549" operator="greaterThan">
      <formula>1</formula>
    </cfRule>
    <cfRule type="cellIs" dxfId="16605" priority="2550" operator="lessThan">
      <formula>0.8</formula>
    </cfRule>
  </conditionalFormatting>
  <conditionalFormatting sqref="R31">
    <cfRule type="cellIs" dxfId="16604" priority="2545" operator="lessThan">
      <formula>0.8</formula>
    </cfRule>
    <cfRule type="cellIs" dxfId="16603" priority="2546" operator="greaterThan">
      <formula>1</formula>
    </cfRule>
  </conditionalFormatting>
  <conditionalFormatting sqref="R31">
    <cfRule type="cellIs" dxfId="16602" priority="2543" operator="greaterThan">
      <formula>1</formula>
    </cfRule>
    <cfRule type="cellIs" dxfId="16601" priority="2544" operator="lessThan">
      <formula>0.8</formula>
    </cfRule>
  </conditionalFormatting>
  <conditionalFormatting sqref="P31">
    <cfRule type="cellIs" dxfId="16600" priority="2542" operator="greaterThan">
      <formula>0</formula>
    </cfRule>
  </conditionalFormatting>
  <conditionalFormatting sqref="Q31">
    <cfRule type="cellIs" dxfId="16599" priority="2547" operator="lessThan">
      <formula>0</formula>
    </cfRule>
  </conditionalFormatting>
  <conditionalFormatting sqref="P31">
    <cfRule type="cellIs" dxfId="16598" priority="2536" operator="greaterThan">
      <formula>0</formula>
    </cfRule>
  </conditionalFormatting>
  <conditionalFormatting sqref="Q31">
    <cfRule type="cellIs" dxfId="16597" priority="2541" operator="lessThan">
      <formula>0</formula>
    </cfRule>
  </conditionalFormatting>
  <conditionalFormatting sqref="R31">
    <cfRule type="cellIs" dxfId="16596" priority="2539" operator="lessThan">
      <formula>0.8</formula>
    </cfRule>
    <cfRule type="cellIs" dxfId="16595" priority="2540" operator="greaterThan">
      <formula>1</formula>
    </cfRule>
  </conditionalFormatting>
  <conditionalFormatting sqref="R31">
    <cfRule type="cellIs" dxfId="16594" priority="2537" operator="greaterThan">
      <formula>1</formula>
    </cfRule>
    <cfRule type="cellIs" dxfId="16593" priority="2538" operator="lessThan">
      <formula>0.8</formula>
    </cfRule>
  </conditionalFormatting>
  <conditionalFormatting sqref="R31">
    <cfRule type="cellIs" dxfId="16592" priority="2533" operator="lessThan">
      <formula>0.8</formula>
    </cfRule>
    <cfRule type="cellIs" dxfId="16591" priority="2534" operator="greaterThan">
      <formula>1</formula>
    </cfRule>
  </conditionalFormatting>
  <conditionalFormatting sqref="R31">
    <cfRule type="cellIs" dxfId="16590" priority="2531" operator="greaterThan">
      <formula>1</formula>
    </cfRule>
    <cfRule type="cellIs" dxfId="16589" priority="2532" operator="lessThan">
      <formula>0.8</formula>
    </cfRule>
  </conditionalFormatting>
  <conditionalFormatting sqref="P31">
    <cfRule type="cellIs" dxfId="16588" priority="2530" operator="greaterThan">
      <formula>0</formula>
    </cfRule>
  </conditionalFormatting>
  <conditionalFormatting sqref="Q31">
    <cfRule type="cellIs" dxfId="16587" priority="2535" operator="lessThan">
      <formula>0</formula>
    </cfRule>
  </conditionalFormatting>
  <conditionalFormatting sqref="R31">
    <cfRule type="cellIs" dxfId="16586" priority="2527" operator="lessThan">
      <formula>0.8</formula>
    </cfRule>
    <cfRule type="cellIs" dxfId="16585" priority="2528" operator="greaterThan">
      <formula>1</formula>
    </cfRule>
  </conditionalFormatting>
  <conditionalFormatting sqref="R31">
    <cfRule type="cellIs" dxfId="16584" priority="2525" operator="greaterThan">
      <formula>1</formula>
    </cfRule>
    <cfRule type="cellIs" dxfId="16583" priority="2526" operator="lessThan">
      <formula>0.8</formula>
    </cfRule>
  </conditionalFormatting>
  <conditionalFormatting sqref="P31">
    <cfRule type="cellIs" dxfId="16582" priority="2524" operator="greaterThan">
      <formula>0</formula>
    </cfRule>
  </conditionalFormatting>
  <conditionalFormatting sqref="Q31">
    <cfRule type="cellIs" dxfId="16581" priority="2529" operator="lessThan">
      <formula>0</formula>
    </cfRule>
  </conditionalFormatting>
  <conditionalFormatting sqref="Q31">
    <cfRule type="cellIs" dxfId="16580" priority="2523" operator="lessThan">
      <formula>0</formula>
    </cfRule>
  </conditionalFormatting>
  <conditionalFormatting sqref="R31">
    <cfRule type="cellIs" dxfId="16579" priority="2521" operator="lessThan">
      <formula>0.8</formula>
    </cfRule>
    <cfRule type="cellIs" dxfId="16578" priority="2522" operator="greaterThan">
      <formula>1</formula>
    </cfRule>
  </conditionalFormatting>
  <conditionalFormatting sqref="R31">
    <cfRule type="cellIs" dxfId="16577" priority="2519" operator="greaterThan">
      <formula>1</formula>
    </cfRule>
    <cfRule type="cellIs" dxfId="16576" priority="2520" operator="lessThan">
      <formula>0.8</formula>
    </cfRule>
  </conditionalFormatting>
  <conditionalFormatting sqref="P31">
    <cfRule type="cellIs" dxfId="16575" priority="2518" operator="greaterThan">
      <formula>0</formula>
    </cfRule>
  </conditionalFormatting>
  <conditionalFormatting sqref="Q31">
    <cfRule type="cellIs" dxfId="16574" priority="2512" operator="lessThan">
      <formula>0</formula>
    </cfRule>
  </conditionalFormatting>
  <conditionalFormatting sqref="R31">
    <cfRule type="cellIs" dxfId="16573" priority="2516" operator="lessThan">
      <formula>0.8</formula>
    </cfRule>
    <cfRule type="cellIs" dxfId="16572" priority="2517" operator="greaterThan">
      <formula>1</formula>
    </cfRule>
  </conditionalFormatting>
  <conditionalFormatting sqref="R31">
    <cfRule type="cellIs" dxfId="16571" priority="2514" operator="greaterThan">
      <formula>1</formula>
    </cfRule>
    <cfRule type="cellIs" dxfId="16570" priority="2515" operator="lessThan">
      <formula>0.8</formula>
    </cfRule>
  </conditionalFormatting>
  <conditionalFormatting sqref="P31">
    <cfRule type="cellIs" dxfId="16569" priority="2513" operator="greaterThan">
      <formula>0</formula>
    </cfRule>
  </conditionalFormatting>
  <conditionalFormatting sqref="Q31">
    <cfRule type="cellIs" dxfId="16568" priority="2511" operator="lessThan">
      <formula>0</formula>
    </cfRule>
  </conditionalFormatting>
  <conditionalFormatting sqref="R31">
    <cfRule type="cellIs" dxfId="16567" priority="2509" operator="lessThan">
      <formula>0.8</formula>
    </cfRule>
    <cfRule type="cellIs" dxfId="16566" priority="2510" operator="greaterThan">
      <formula>1</formula>
    </cfRule>
  </conditionalFormatting>
  <conditionalFormatting sqref="R31">
    <cfRule type="cellIs" dxfId="16565" priority="2507" operator="greaterThan">
      <formula>1</formula>
    </cfRule>
    <cfRule type="cellIs" dxfId="16564" priority="2508" operator="lessThan">
      <formula>0.8</formula>
    </cfRule>
  </conditionalFormatting>
  <conditionalFormatting sqref="P31">
    <cfRule type="cellIs" dxfId="16563" priority="2506" operator="greaterThan">
      <formula>0</formula>
    </cfRule>
  </conditionalFormatting>
  <conditionalFormatting sqref="Q31">
    <cfRule type="cellIs" dxfId="16562" priority="2505" operator="lessThan">
      <formula>0</formula>
    </cfRule>
  </conditionalFormatting>
  <conditionalFormatting sqref="R31">
    <cfRule type="cellIs" dxfId="16561" priority="2503" operator="lessThan">
      <formula>0.8</formula>
    </cfRule>
    <cfRule type="cellIs" dxfId="16560" priority="2504" operator="greaterThan">
      <formula>1</formula>
    </cfRule>
  </conditionalFormatting>
  <conditionalFormatting sqref="R31">
    <cfRule type="cellIs" dxfId="16559" priority="2501" operator="greaterThan">
      <formula>1</formula>
    </cfRule>
    <cfRule type="cellIs" dxfId="16558" priority="2502" operator="lessThan">
      <formula>0.8</formula>
    </cfRule>
  </conditionalFormatting>
  <conditionalFormatting sqref="P31">
    <cfRule type="cellIs" dxfId="16557" priority="2500" operator="greaterThan">
      <formula>0</formula>
    </cfRule>
  </conditionalFormatting>
  <conditionalFormatting sqref="Q31">
    <cfRule type="cellIs" dxfId="16556" priority="2499" operator="lessThan">
      <formula>0</formula>
    </cfRule>
  </conditionalFormatting>
  <conditionalFormatting sqref="R31">
    <cfRule type="cellIs" dxfId="16555" priority="2497" operator="lessThan">
      <formula>0.8</formula>
    </cfRule>
    <cfRule type="cellIs" dxfId="16554" priority="2498" operator="greaterThan">
      <formula>1</formula>
    </cfRule>
  </conditionalFormatting>
  <conditionalFormatting sqref="R31">
    <cfRule type="cellIs" dxfId="16553" priority="2495" operator="greaterThan">
      <formula>1</formula>
    </cfRule>
    <cfRule type="cellIs" dxfId="16552" priority="2496" operator="lessThan">
      <formula>0.8</formula>
    </cfRule>
  </conditionalFormatting>
  <conditionalFormatting sqref="P31">
    <cfRule type="cellIs" dxfId="16551" priority="2494" operator="greaterThan">
      <formula>0</formula>
    </cfRule>
  </conditionalFormatting>
  <conditionalFormatting sqref="Q31">
    <cfRule type="cellIs" dxfId="16550" priority="2493" operator="lessThan">
      <formula>0</formula>
    </cfRule>
  </conditionalFormatting>
  <conditionalFormatting sqref="R31">
    <cfRule type="cellIs" dxfId="16549" priority="2491" operator="lessThan">
      <formula>0.8</formula>
    </cfRule>
    <cfRule type="cellIs" dxfId="16548" priority="2492" operator="greaterThan">
      <formula>1</formula>
    </cfRule>
  </conditionalFormatting>
  <conditionalFormatting sqref="R31">
    <cfRule type="cellIs" dxfId="16547" priority="2489" operator="greaterThan">
      <formula>1</formula>
    </cfRule>
    <cfRule type="cellIs" dxfId="16546" priority="2490" operator="lessThan">
      <formula>0.8</formula>
    </cfRule>
  </conditionalFormatting>
  <conditionalFormatting sqref="P31">
    <cfRule type="cellIs" dxfId="16545" priority="2488" operator="greaterThan">
      <formula>0</formula>
    </cfRule>
  </conditionalFormatting>
  <conditionalFormatting sqref="Q31">
    <cfRule type="cellIs" dxfId="16544" priority="2487" operator="lessThan">
      <formula>0</formula>
    </cfRule>
  </conditionalFormatting>
  <conditionalFormatting sqref="R31">
    <cfRule type="cellIs" dxfId="16543" priority="2485" operator="lessThan">
      <formula>0.8</formula>
    </cfRule>
    <cfRule type="cellIs" dxfId="16542" priority="2486" operator="greaterThan">
      <formula>1</formula>
    </cfRule>
  </conditionalFormatting>
  <conditionalFormatting sqref="R31">
    <cfRule type="cellIs" dxfId="16541" priority="2483" operator="greaterThan">
      <formula>1</formula>
    </cfRule>
    <cfRule type="cellIs" dxfId="16540" priority="2484" operator="lessThan">
      <formula>0.8</formula>
    </cfRule>
  </conditionalFormatting>
  <conditionalFormatting sqref="P31">
    <cfRule type="cellIs" dxfId="16539" priority="2482" operator="greaterThan">
      <formula>0</formula>
    </cfRule>
  </conditionalFormatting>
  <conditionalFormatting sqref="P31">
    <cfRule type="cellIs" dxfId="16538" priority="2476" operator="greaterThan">
      <formula>0</formula>
    </cfRule>
  </conditionalFormatting>
  <conditionalFormatting sqref="Q31">
    <cfRule type="cellIs" dxfId="16537" priority="2481" operator="lessThan">
      <formula>0</formula>
    </cfRule>
  </conditionalFormatting>
  <conditionalFormatting sqref="R31">
    <cfRule type="cellIs" dxfId="16536" priority="2479" operator="lessThan">
      <formula>0.8</formula>
    </cfRule>
    <cfRule type="cellIs" dxfId="16535" priority="2480" operator="greaterThan">
      <formula>1</formula>
    </cfRule>
  </conditionalFormatting>
  <conditionalFormatting sqref="R31">
    <cfRule type="cellIs" dxfId="16534" priority="2477" operator="greaterThan">
      <formula>1</formula>
    </cfRule>
    <cfRule type="cellIs" dxfId="16533" priority="2478" operator="lessThan">
      <formula>0.8</formula>
    </cfRule>
  </conditionalFormatting>
  <conditionalFormatting sqref="P31">
    <cfRule type="cellIs" dxfId="16532" priority="2470" operator="greaterThan">
      <formula>0</formula>
    </cfRule>
  </conditionalFormatting>
  <conditionalFormatting sqref="Q31">
    <cfRule type="cellIs" dxfId="16531" priority="2475" operator="lessThan">
      <formula>0</formula>
    </cfRule>
  </conditionalFormatting>
  <conditionalFormatting sqref="R31">
    <cfRule type="cellIs" dxfId="16530" priority="2473" operator="lessThan">
      <formula>0.8</formula>
    </cfRule>
    <cfRule type="cellIs" dxfId="16529" priority="2474" operator="greaterThan">
      <formula>1</formula>
    </cfRule>
  </conditionalFormatting>
  <conditionalFormatting sqref="R31">
    <cfRule type="cellIs" dxfId="16528" priority="2471" operator="greaterThan">
      <formula>1</formula>
    </cfRule>
    <cfRule type="cellIs" dxfId="16527" priority="2472" operator="lessThan">
      <formula>0.8</formula>
    </cfRule>
  </conditionalFormatting>
  <conditionalFormatting sqref="R31">
    <cfRule type="cellIs" dxfId="16526" priority="2467" operator="lessThan">
      <formula>0.8</formula>
    </cfRule>
    <cfRule type="cellIs" dxfId="16525" priority="2468" operator="greaterThan">
      <formula>1</formula>
    </cfRule>
  </conditionalFormatting>
  <conditionalFormatting sqref="R31">
    <cfRule type="cellIs" dxfId="16524" priority="2465" operator="greaterThan">
      <formula>1</formula>
    </cfRule>
    <cfRule type="cellIs" dxfId="16523" priority="2466" operator="lessThan">
      <formula>0.8</formula>
    </cfRule>
  </conditionalFormatting>
  <conditionalFormatting sqref="P31">
    <cfRule type="cellIs" dxfId="16522" priority="2464" operator="greaterThan">
      <formula>0</formula>
    </cfRule>
  </conditionalFormatting>
  <conditionalFormatting sqref="Q31">
    <cfRule type="cellIs" dxfId="16521" priority="2469" operator="lessThan">
      <formula>0</formula>
    </cfRule>
  </conditionalFormatting>
  <conditionalFormatting sqref="Q31">
    <cfRule type="cellIs" dxfId="16520" priority="2463" operator="lessThan">
      <formula>0</formula>
    </cfRule>
  </conditionalFormatting>
  <conditionalFormatting sqref="R31">
    <cfRule type="cellIs" dxfId="16519" priority="2461" operator="lessThan">
      <formula>0.8</formula>
    </cfRule>
    <cfRule type="cellIs" dxfId="16518" priority="2462" operator="greaterThan">
      <formula>1</formula>
    </cfRule>
  </conditionalFormatting>
  <conditionalFormatting sqref="R31">
    <cfRule type="cellIs" dxfId="16517" priority="2459" operator="greaterThan">
      <formula>1</formula>
    </cfRule>
    <cfRule type="cellIs" dxfId="16516" priority="2460" operator="lessThan">
      <formula>0.8</formula>
    </cfRule>
  </conditionalFormatting>
  <conditionalFormatting sqref="P31">
    <cfRule type="cellIs" dxfId="16515" priority="2458" operator="greaterThan">
      <formula>0</formula>
    </cfRule>
  </conditionalFormatting>
  <conditionalFormatting sqref="Q31">
    <cfRule type="cellIs" dxfId="16514" priority="2457" operator="lessThan">
      <formula>0</formula>
    </cfRule>
  </conditionalFormatting>
  <conditionalFormatting sqref="R31">
    <cfRule type="cellIs" dxfId="16513" priority="2455" operator="lessThan">
      <formula>0.8</formula>
    </cfRule>
    <cfRule type="cellIs" dxfId="16512" priority="2456" operator="greaterThan">
      <formula>1</formula>
    </cfRule>
  </conditionalFormatting>
  <conditionalFormatting sqref="R31">
    <cfRule type="cellIs" dxfId="16511" priority="2453" operator="greaterThan">
      <formula>1</formula>
    </cfRule>
    <cfRule type="cellIs" dxfId="16510" priority="2454" operator="lessThan">
      <formula>0.8</formula>
    </cfRule>
  </conditionalFormatting>
  <conditionalFormatting sqref="P31">
    <cfRule type="cellIs" dxfId="16509" priority="2452" operator="greaterThan">
      <formula>0</formula>
    </cfRule>
  </conditionalFormatting>
  <conditionalFormatting sqref="Q31">
    <cfRule type="cellIs" dxfId="16508" priority="2451" operator="lessThan">
      <formula>0</formula>
    </cfRule>
  </conditionalFormatting>
  <conditionalFormatting sqref="R31">
    <cfRule type="cellIs" dxfId="16507" priority="2449" operator="lessThan">
      <formula>0.8</formula>
    </cfRule>
    <cfRule type="cellIs" dxfId="16506" priority="2450" operator="greaterThan">
      <formula>1</formula>
    </cfRule>
  </conditionalFormatting>
  <conditionalFormatting sqref="R31">
    <cfRule type="cellIs" dxfId="16505" priority="2447" operator="greaterThan">
      <formula>1</formula>
    </cfRule>
    <cfRule type="cellIs" dxfId="16504" priority="2448" operator="lessThan">
      <formula>0.8</formula>
    </cfRule>
  </conditionalFormatting>
  <conditionalFormatting sqref="P31">
    <cfRule type="cellIs" dxfId="16503" priority="2446" operator="greaterThan">
      <formula>0</formula>
    </cfRule>
  </conditionalFormatting>
  <conditionalFormatting sqref="Q31">
    <cfRule type="cellIs" dxfId="16502" priority="2445" operator="lessThan">
      <formula>0</formula>
    </cfRule>
  </conditionalFormatting>
  <conditionalFormatting sqref="R31">
    <cfRule type="cellIs" dxfId="16501" priority="2443" operator="lessThan">
      <formula>0.8</formula>
    </cfRule>
    <cfRule type="cellIs" dxfId="16500" priority="2444" operator="greaterThan">
      <formula>1</formula>
    </cfRule>
  </conditionalFormatting>
  <conditionalFormatting sqref="R31">
    <cfRule type="cellIs" dxfId="16499" priority="2441" operator="greaterThan">
      <formula>1</formula>
    </cfRule>
    <cfRule type="cellIs" dxfId="16498" priority="2442" operator="lessThan">
      <formula>0.8</formula>
    </cfRule>
  </conditionalFormatting>
  <conditionalFormatting sqref="P31">
    <cfRule type="cellIs" dxfId="16497" priority="2440" operator="greaterThan">
      <formula>0</formula>
    </cfRule>
  </conditionalFormatting>
  <conditionalFormatting sqref="P31">
    <cfRule type="cellIs" dxfId="16496" priority="2434" operator="greaterThan">
      <formula>0</formula>
    </cfRule>
  </conditionalFormatting>
  <conditionalFormatting sqref="Q31">
    <cfRule type="cellIs" dxfId="16495" priority="2439" operator="lessThan">
      <formula>0</formula>
    </cfRule>
  </conditionalFormatting>
  <conditionalFormatting sqref="R31">
    <cfRule type="cellIs" dxfId="16494" priority="2437" operator="lessThan">
      <formula>0.8</formula>
    </cfRule>
    <cfRule type="cellIs" dxfId="16493" priority="2438" operator="greaterThan">
      <formula>1</formula>
    </cfRule>
  </conditionalFormatting>
  <conditionalFormatting sqref="R31">
    <cfRule type="cellIs" dxfId="16492" priority="2435" operator="greaterThan">
      <formula>1</formula>
    </cfRule>
    <cfRule type="cellIs" dxfId="16491" priority="2436" operator="lessThan">
      <formula>0.8</formula>
    </cfRule>
  </conditionalFormatting>
  <conditionalFormatting sqref="P31">
    <cfRule type="cellIs" dxfId="16490" priority="2428" operator="greaterThan">
      <formula>0</formula>
    </cfRule>
  </conditionalFormatting>
  <conditionalFormatting sqref="Q31">
    <cfRule type="cellIs" dxfId="16489" priority="2433" operator="lessThan">
      <formula>0</formula>
    </cfRule>
  </conditionalFormatting>
  <conditionalFormatting sqref="R31">
    <cfRule type="cellIs" dxfId="16488" priority="2431" operator="lessThan">
      <formula>0.8</formula>
    </cfRule>
    <cfRule type="cellIs" dxfId="16487" priority="2432" operator="greaterThan">
      <formula>1</formula>
    </cfRule>
  </conditionalFormatting>
  <conditionalFormatting sqref="R31">
    <cfRule type="cellIs" dxfId="16486" priority="2429" operator="greaterThan">
      <formula>1</formula>
    </cfRule>
    <cfRule type="cellIs" dxfId="16485" priority="2430" operator="lessThan">
      <formula>0.8</formula>
    </cfRule>
  </conditionalFormatting>
  <conditionalFormatting sqref="R31">
    <cfRule type="cellIs" dxfId="16484" priority="2425" operator="lessThan">
      <formula>0.8</formula>
    </cfRule>
    <cfRule type="cellIs" dxfId="16483" priority="2426" operator="greaterThan">
      <formula>1</formula>
    </cfRule>
  </conditionalFormatting>
  <conditionalFormatting sqref="R31">
    <cfRule type="cellIs" dxfId="16482" priority="2423" operator="greaterThan">
      <formula>1</formula>
    </cfRule>
    <cfRule type="cellIs" dxfId="16481" priority="2424" operator="lessThan">
      <formula>0.8</formula>
    </cfRule>
  </conditionalFormatting>
  <conditionalFormatting sqref="P31">
    <cfRule type="cellIs" dxfId="16480" priority="2422" operator="greaterThan">
      <formula>0</formula>
    </cfRule>
  </conditionalFormatting>
  <conditionalFormatting sqref="Q31">
    <cfRule type="cellIs" dxfId="16479" priority="2427" operator="lessThan">
      <formula>0</formula>
    </cfRule>
  </conditionalFormatting>
  <conditionalFormatting sqref="Q31">
    <cfRule type="cellIs" dxfId="16478" priority="2421" operator="lessThan">
      <formula>0</formula>
    </cfRule>
  </conditionalFormatting>
  <conditionalFormatting sqref="R31">
    <cfRule type="cellIs" dxfId="16477" priority="2419" operator="lessThan">
      <formula>0.8</formula>
    </cfRule>
    <cfRule type="cellIs" dxfId="16476" priority="2420" operator="greaterThan">
      <formula>1</formula>
    </cfRule>
  </conditionalFormatting>
  <conditionalFormatting sqref="R31">
    <cfRule type="cellIs" dxfId="16475" priority="2417" operator="greaterThan">
      <formula>1</formula>
    </cfRule>
    <cfRule type="cellIs" dxfId="16474" priority="2418" operator="lessThan">
      <formula>0.8</formula>
    </cfRule>
  </conditionalFormatting>
  <conditionalFormatting sqref="P31">
    <cfRule type="cellIs" dxfId="16473" priority="2416" operator="greaterThan">
      <formula>0</formula>
    </cfRule>
  </conditionalFormatting>
  <conditionalFormatting sqref="P31">
    <cfRule type="cellIs" dxfId="16472" priority="2410" operator="greaterThan">
      <formula>0</formula>
    </cfRule>
  </conditionalFormatting>
  <conditionalFormatting sqref="Q31">
    <cfRule type="cellIs" dxfId="16471" priority="2415" operator="lessThan">
      <formula>0</formula>
    </cfRule>
  </conditionalFormatting>
  <conditionalFormatting sqref="R31">
    <cfRule type="cellIs" dxfId="16470" priority="2413" operator="lessThan">
      <formula>0.8</formula>
    </cfRule>
    <cfRule type="cellIs" dxfId="16469" priority="2414" operator="greaterThan">
      <formula>1</formula>
    </cfRule>
  </conditionalFormatting>
  <conditionalFormatting sqref="R31">
    <cfRule type="cellIs" dxfId="16468" priority="2411" operator="greaterThan">
      <formula>1</formula>
    </cfRule>
    <cfRule type="cellIs" dxfId="16467" priority="2412" operator="lessThan">
      <formula>0.8</formula>
    </cfRule>
  </conditionalFormatting>
  <conditionalFormatting sqref="P31">
    <cfRule type="cellIs" dxfId="16466" priority="2404" operator="greaterThan">
      <formula>0</formula>
    </cfRule>
  </conditionalFormatting>
  <conditionalFormatting sqref="Q31">
    <cfRule type="cellIs" dxfId="16465" priority="2409" operator="lessThan">
      <formula>0</formula>
    </cfRule>
  </conditionalFormatting>
  <conditionalFormatting sqref="R31">
    <cfRule type="cellIs" dxfId="16464" priority="2407" operator="lessThan">
      <formula>0.8</formula>
    </cfRule>
    <cfRule type="cellIs" dxfId="16463" priority="2408" operator="greaterThan">
      <formula>1</formula>
    </cfRule>
  </conditionalFormatting>
  <conditionalFormatting sqref="R31">
    <cfRule type="cellIs" dxfId="16462" priority="2405" operator="greaterThan">
      <formula>1</formula>
    </cfRule>
    <cfRule type="cellIs" dxfId="16461" priority="2406" operator="lessThan">
      <formula>0.8</formula>
    </cfRule>
  </conditionalFormatting>
  <conditionalFormatting sqref="R31">
    <cfRule type="cellIs" dxfId="16460" priority="2401" operator="lessThan">
      <formula>0.8</formula>
    </cfRule>
    <cfRule type="cellIs" dxfId="16459" priority="2402" operator="greaterThan">
      <formula>1</formula>
    </cfRule>
  </conditionalFormatting>
  <conditionalFormatting sqref="R31">
    <cfRule type="cellIs" dxfId="16458" priority="2399" operator="greaterThan">
      <formula>1</formula>
    </cfRule>
    <cfRule type="cellIs" dxfId="16457" priority="2400" operator="lessThan">
      <formula>0.8</formula>
    </cfRule>
  </conditionalFormatting>
  <conditionalFormatting sqref="P31">
    <cfRule type="cellIs" dxfId="16456" priority="2398" operator="greaterThan">
      <formula>0</formula>
    </cfRule>
  </conditionalFormatting>
  <conditionalFormatting sqref="Q31">
    <cfRule type="cellIs" dxfId="16455" priority="2403" operator="lessThan">
      <formula>0</formula>
    </cfRule>
  </conditionalFormatting>
  <conditionalFormatting sqref="P31">
    <cfRule type="cellIs" dxfId="16454" priority="2392" operator="greaterThan">
      <formula>0</formula>
    </cfRule>
  </conditionalFormatting>
  <conditionalFormatting sqref="Q31">
    <cfRule type="cellIs" dxfId="16453" priority="2397" operator="lessThan">
      <formula>0</formula>
    </cfRule>
  </conditionalFormatting>
  <conditionalFormatting sqref="R31">
    <cfRule type="cellIs" dxfId="16452" priority="2395" operator="lessThan">
      <formula>0.8</formula>
    </cfRule>
    <cfRule type="cellIs" dxfId="16451" priority="2396" operator="greaterThan">
      <formula>1</formula>
    </cfRule>
  </conditionalFormatting>
  <conditionalFormatting sqref="R31">
    <cfRule type="cellIs" dxfId="16450" priority="2393" operator="greaterThan">
      <formula>1</formula>
    </cfRule>
    <cfRule type="cellIs" dxfId="16449" priority="2394" operator="lessThan">
      <formula>0.8</formula>
    </cfRule>
  </conditionalFormatting>
  <conditionalFormatting sqref="R31">
    <cfRule type="cellIs" dxfId="16448" priority="2389" operator="lessThan">
      <formula>0.8</formula>
    </cfRule>
    <cfRule type="cellIs" dxfId="16447" priority="2390" operator="greaterThan">
      <formula>1</formula>
    </cfRule>
  </conditionalFormatting>
  <conditionalFormatting sqref="R31">
    <cfRule type="cellIs" dxfId="16446" priority="2387" operator="greaterThan">
      <formula>1</formula>
    </cfRule>
    <cfRule type="cellIs" dxfId="16445" priority="2388" operator="lessThan">
      <formula>0.8</formula>
    </cfRule>
  </conditionalFormatting>
  <conditionalFormatting sqref="P31">
    <cfRule type="cellIs" dxfId="16444" priority="2386" operator="greaterThan">
      <formula>0</formula>
    </cfRule>
  </conditionalFormatting>
  <conditionalFormatting sqref="Q31">
    <cfRule type="cellIs" dxfId="16443" priority="2391" operator="lessThan">
      <formula>0</formula>
    </cfRule>
  </conditionalFormatting>
  <conditionalFormatting sqref="R31">
    <cfRule type="cellIs" dxfId="16442" priority="2383" operator="lessThan">
      <formula>0.8</formula>
    </cfRule>
    <cfRule type="cellIs" dxfId="16441" priority="2384" operator="greaterThan">
      <formula>1</formula>
    </cfRule>
  </conditionalFormatting>
  <conditionalFormatting sqref="R31">
    <cfRule type="cellIs" dxfId="16440" priority="2381" operator="greaterThan">
      <formula>1</formula>
    </cfRule>
    <cfRule type="cellIs" dxfId="16439" priority="2382" operator="lessThan">
      <formula>0.8</formula>
    </cfRule>
  </conditionalFormatting>
  <conditionalFormatting sqref="P31">
    <cfRule type="cellIs" dxfId="16438" priority="2380" operator="greaterThan">
      <formula>0</formula>
    </cfRule>
  </conditionalFormatting>
  <conditionalFormatting sqref="Q31">
    <cfRule type="cellIs" dxfId="16437" priority="2385" operator="lessThan">
      <formula>0</formula>
    </cfRule>
  </conditionalFormatting>
  <conditionalFormatting sqref="Q31">
    <cfRule type="cellIs" dxfId="16436" priority="2379" operator="lessThan">
      <formula>0</formula>
    </cfRule>
  </conditionalFormatting>
  <conditionalFormatting sqref="R31">
    <cfRule type="cellIs" dxfId="16435" priority="2377" operator="lessThan">
      <formula>0.8</formula>
    </cfRule>
    <cfRule type="cellIs" dxfId="16434" priority="2378" operator="greaterThan">
      <formula>1</formula>
    </cfRule>
  </conditionalFormatting>
  <conditionalFormatting sqref="R31">
    <cfRule type="cellIs" dxfId="16433" priority="2375" operator="greaterThan">
      <formula>1</formula>
    </cfRule>
    <cfRule type="cellIs" dxfId="16432" priority="2376" operator="lessThan">
      <formula>0.8</formula>
    </cfRule>
  </conditionalFormatting>
  <conditionalFormatting sqref="P31">
    <cfRule type="cellIs" dxfId="16431" priority="2374" operator="greaterThan">
      <formula>0</formula>
    </cfRule>
  </conditionalFormatting>
  <conditionalFormatting sqref="Q31">
    <cfRule type="cellIs" dxfId="16430" priority="2368" operator="lessThan">
      <formula>0</formula>
    </cfRule>
  </conditionalFormatting>
  <conditionalFormatting sqref="R31">
    <cfRule type="cellIs" dxfId="16429" priority="2372" operator="lessThan">
      <formula>0.8</formula>
    </cfRule>
    <cfRule type="cellIs" dxfId="16428" priority="2373" operator="greaterThan">
      <formula>1</formula>
    </cfRule>
  </conditionalFormatting>
  <conditionalFormatting sqref="R31">
    <cfRule type="cellIs" dxfId="16427" priority="2370" operator="greaterThan">
      <formula>1</formula>
    </cfRule>
    <cfRule type="cellIs" dxfId="16426" priority="2371" operator="lessThan">
      <formula>0.8</formula>
    </cfRule>
  </conditionalFormatting>
  <conditionalFormatting sqref="P31">
    <cfRule type="cellIs" dxfId="16425" priority="2369" operator="greaterThan">
      <formula>0</formula>
    </cfRule>
  </conditionalFormatting>
  <conditionalFormatting sqref="Q31">
    <cfRule type="cellIs" dxfId="16424" priority="2367" operator="lessThan">
      <formula>0</formula>
    </cfRule>
  </conditionalFormatting>
  <conditionalFormatting sqref="R31">
    <cfRule type="cellIs" dxfId="16423" priority="2365" operator="lessThan">
      <formula>0.8</formula>
    </cfRule>
    <cfRule type="cellIs" dxfId="16422" priority="2366" operator="greaterThan">
      <formula>1</formula>
    </cfRule>
  </conditionalFormatting>
  <conditionalFormatting sqref="R31">
    <cfRule type="cellIs" dxfId="16421" priority="2363" operator="greaterThan">
      <formula>1</formula>
    </cfRule>
    <cfRule type="cellIs" dxfId="16420" priority="2364" operator="lessThan">
      <formula>0.8</formula>
    </cfRule>
  </conditionalFormatting>
  <conditionalFormatting sqref="P31">
    <cfRule type="cellIs" dxfId="16419" priority="2362" operator="greaterThan">
      <formula>0</formula>
    </cfRule>
  </conditionalFormatting>
  <conditionalFormatting sqref="Q31">
    <cfRule type="cellIs" dxfId="16418" priority="2361" operator="lessThan">
      <formula>0</formula>
    </cfRule>
  </conditionalFormatting>
  <conditionalFormatting sqref="R31">
    <cfRule type="cellIs" dxfId="16417" priority="2359" operator="lessThan">
      <formula>0.8</formula>
    </cfRule>
    <cfRule type="cellIs" dxfId="16416" priority="2360" operator="greaterThan">
      <formula>1</formula>
    </cfRule>
  </conditionalFormatting>
  <conditionalFormatting sqref="R31">
    <cfRule type="cellIs" dxfId="16415" priority="2357" operator="greaterThan">
      <formula>1</formula>
    </cfRule>
    <cfRule type="cellIs" dxfId="16414" priority="2358" operator="lessThan">
      <formula>0.8</formula>
    </cfRule>
  </conditionalFormatting>
  <conditionalFormatting sqref="P31">
    <cfRule type="cellIs" dxfId="16413" priority="2356" operator="greaterThan">
      <formula>0</formula>
    </cfRule>
  </conditionalFormatting>
  <conditionalFormatting sqref="Q31">
    <cfRule type="cellIs" dxfId="16412" priority="2355" operator="lessThan">
      <formula>0</formula>
    </cfRule>
  </conditionalFormatting>
  <conditionalFormatting sqref="R31">
    <cfRule type="cellIs" dxfId="16411" priority="2353" operator="lessThan">
      <formula>0.8</formula>
    </cfRule>
    <cfRule type="cellIs" dxfId="16410" priority="2354" operator="greaterThan">
      <formula>1</formula>
    </cfRule>
  </conditionalFormatting>
  <conditionalFormatting sqref="R31">
    <cfRule type="cellIs" dxfId="16409" priority="2351" operator="greaterThan">
      <formula>1</formula>
    </cfRule>
    <cfRule type="cellIs" dxfId="16408" priority="2352" operator="lessThan">
      <formula>0.8</formula>
    </cfRule>
  </conditionalFormatting>
  <conditionalFormatting sqref="P31">
    <cfRule type="cellIs" dxfId="16407" priority="2350" operator="greaterThan">
      <formula>0</formula>
    </cfRule>
  </conditionalFormatting>
  <conditionalFormatting sqref="Q31">
    <cfRule type="cellIs" dxfId="16406" priority="2349" operator="lessThan">
      <formula>0</formula>
    </cfRule>
  </conditionalFormatting>
  <conditionalFormatting sqref="R31">
    <cfRule type="cellIs" dxfId="16405" priority="2347" operator="lessThan">
      <formula>0.8</formula>
    </cfRule>
    <cfRule type="cellIs" dxfId="16404" priority="2348" operator="greaterThan">
      <formula>1</formula>
    </cfRule>
  </conditionalFormatting>
  <conditionalFormatting sqref="R31">
    <cfRule type="cellIs" dxfId="16403" priority="2345" operator="greaterThan">
      <formula>1</formula>
    </cfRule>
    <cfRule type="cellIs" dxfId="16402" priority="2346" operator="lessThan">
      <formula>0.8</formula>
    </cfRule>
  </conditionalFormatting>
  <conditionalFormatting sqref="P31">
    <cfRule type="cellIs" dxfId="16401" priority="2344" operator="greaterThan">
      <formula>0</formula>
    </cfRule>
  </conditionalFormatting>
  <conditionalFormatting sqref="Q31">
    <cfRule type="cellIs" dxfId="16400" priority="2343" operator="lessThan">
      <formula>0</formula>
    </cfRule>
  </conditionalFormatting>
  <conditionalFormatting sqref="R31">
    <cfRule type="cellIs" dxfId="16399" priority="2341" operator="lessThan">
      <formula>0.8</formula>
    </cfRule>
    <cfRule type="cellIs" dxfId="16398" priority="2342" operator="greaterThan">
      <formula>1</formula>
    </cfRule>
  </conditionalFormatting>
  <conditionalFormatting sqref="R31">
    <cfRule type="cellIs" dxfId="16397" priority="2339" operator="greaterThan">
      <formula>1</formula>
    </cfRule>
    <cfRule type="cellIs" dxfId="16396" priority="2340" operator="lessThan">
      <formula>0.8</formula>
    </cfRule>
  </conditionalFormatting>
  <conditionalFormatting sqref="P31">
    <cfRule type="cellIs" dxfId="16395" priority="2338" operator="greaterThan">
      <formula>0</formula>
    </cfRule>
  </conditionalFormatting>
  <conditionalFormatting sqref="P31">
    <cfRule type="cellIs" dxfId="16394" priority="2332" operator="greaterThan">
      <formula>0</formula>
    </cfRule>
  </conditionalFormatting>
  <conditionalFormatting sqref="Q31">
    <cfRule type="cellIs" dxfId="16393" priority="2337" operator="lessThan">
      <formula>0</formula>
    </cfRule>
  </conditionalFormatting>
  <conditionalFormatting sqref="R31">
    <cfRule type="cellIs" dxfId="16392" priority="2335" operator="lessThan">
      <formula>0.8</formula>
    </cfRule>
    <cfRule type="cellIs" dxfId="16391" priority="2336" operator="greaterThan">
      <formula>1</formula>
    </cfRule>
  </conditionalFormatting>
  <conditionalFormatting sqref="R31">
    <cfRule type="cellIs" dxfId="16390" priority="2333" operator="greaterThan">
      <formula>1</formula>
    </cfRule>
    <cfRule type="cellIs" dxfId="16389" priority="2334" operator="lessThan">
      <formula>0.8</formula>
    </cfRule>
  </conditionalFormatting>
  <conditionalFormatting sqref="P31">
    <cfRule type="cellIs" dxfId="16388" priority="2326" operator="greaterThan">
      <formula>0</formula>
    </cfRule>
  </conditionalFormatting>
  <conditionalFormatting sqref="Q31">
    <cfRule type="cellIs" dxfId="16387" priority="2331" operator="lessThan">
      <formula>0</formula>
    </cfRule>
  </conditionalFormatting>
  <conditionalFormatting sqref="R31">
    <cfRule type="cellIs" dxfId="16386" priority="2329" operator="lessThan">
      <formula>0.8</formula>
    </cfRule>
    <cfRule type="cellIs" dxfId="16385" priority="2330" operator="greaterThan">
      <formula>1</formula>
    </cfRule>
  </conditionalFormatting>
  <conditionalFormatting sqref="R31">
    <cfRule type="cellIs" dxfId="16384" priority="2327" operator="greaterThan">
      <formula>1</formula>
    </cfRule>
    <cfRule type="cellIs" dxfId="16383" priority="2328" operator="lessThan">
      <formula>0.8</formula>
    </cfRule>
  </conditionalFormatting>
  <conditionalFormatting sqref="R31">
    <cfRule type="cellIs" dxfId="16382" priority="2323" operator="lessThan">
      <formula>0.8</formula>
    </cfRule>
    <cfRule type="cellIs" dxfId="16381" priority="2324" operator="greaterThan">
      <formula>1</formula>
    </cfRule>
  </conditionalFormatting>
  <conditionalFormatting sqref="R31">
    <cfRule type="cellIs" dxfId="16380" priority="2321" operator="greaterThan">
      <formula>1</formula>
    </cfRule>
    <cfRule type="cellIs" dxfId="16379" priority="2322" operator="lessThan">
      <formula>0.8</formula>
    </cfRule>
  </conditionalFormatting>
  <conditionalFormatting sqref="P31">
    <cfRule type="cellIs" dxfId="16378" priority="2320" operator="greaterThan">
      <formula>0</formula>
    </cfRule>
  </conditionalFormatting>
  <conditionalFormatting sqref="Q31">
    <cfRule type="cellIs" dxfId="16377" priority="2325" operator="lessThan">
      <formula>0</formula>
    </cfRule>
  </conditionalFormatting>
  <conditionalFormatting sqref="P79">
    <cfRule type="cellIs" dxfId="16376" priority="2314" operator="greaterThan">
      <formula>0</formula>
    </cfRule>
  </conditionalFormatting>
  <conditionalFormatting sqref="Q79">
    <cfRule type="cellIs" dxfId="16375" priority="2319" operator="lessThan">
      <formula>0</formula>
    </cfRule>
  </conditionalFormatting>
  <conditionalFormatting sqref="R79">
    <cfRule type="cellIs" dxfId="16374" priority="2317" operator="lessThan">
      <formula>0.8</formula>
    </cfRule>
    <cfRule type="cellIs" dxfId="16373" priority="2318" operator="greaterThan">
      <formula>1</formula>
    </cfRule>
  </conditionalFormatting>
  <conditionalFormatting sqref="R79">
    <cfRule type="cellIs" dxfId="16372" priority="2315" operator="greaterThan">
      <formula>1</formula>
    </cfRule>
    <cfRule type="cellIs" dxfId="16371" priority="2316" operator="lessThan">
      <formula>0.8</formula>
    </cfRule>
  </conditionalFormatting>
  <conditionalFormatting sqref="Q79">
    <cfRule type="cellIs" dxfId="16370" priority="2313" operator="lessThan">
      <formula>0</formula>
    </cfRule>
  </conditionalFormatting>
  <conditionalFormatting sqref="R79">
    <cfRule type="cellIs" dxfId="16369" priority="2311" operator="lessThan">
      <formula>0.8</formula>
    </cfRule>
    <cfRule type="cellIs" dxfId="16368" priority="2312" operator="greaterThan">
      <formula>1</formula>
    </cfRule>
  </conditionalFormatting>
  <conditionalFormatting sqref="R79">
    <cfRule type="cellIs" dxfId="16367" priority="2309" operator="greaterThan">
      <formula>1</formula>
    </cfRule>
    <cfRule type="cellIs" dxfId="16366" priority="2310" operator="lessThan">
      <formula>0.8</formula>
    </cfRule>
  </conditionalFormatting>
  <conditionalFormatting sqref="P79">
    <cfRule type="cellIs" dxfId="16365" priority="2308" operator="greaterThan">
      <formula>0</formula>
    </cfRule>
  </conditionalFormatting>
  <conditionalFormatting sqref="P79">
    <cfRule type="cellIs" dxfId="16364" priority="2302" operator="greaterThan">
      <formula>0</formula>
    </cfRule>
  </conditionalFormatting>
  <conditionalFormatting sqref="Q79">
    <cfRule type="cellIs" dxfId="16363" priority="2307" operator="lessThan">
      <formula>0</formula>
    </cfRule>
  </conditionalFormatting>
  <conditionalFormatting sqref="R79">
    <cfRule type="cellIs" dxfId="16362" priority="2305" operator="lessThan">
      <formula>0.8</formula>
    </cfRule>
    <cfRule type="cellIs" dxfId="16361" priority="2306" operator="greaterThan">
      <formula>1</formula>
    </cfRule>
  </conditionalFormatting>
  <conditionalFormatting sqref="R79">
    <cfRule type="cellIs" dxfId="16360" priority="2303" operator="greaterThan">
      <formula>1</formula>
    </cfRule>
    <cfRule type="cellIs" dxfId="16359" priority="2304" operator="lessThan">
      <formula>0.8</formula>
    </cfRule>
  </conditionalFormatting>
  <conditionalFormatting sqref="Q79">
    <cfRule type="cellIs" dxfId="16358" priority="2296" operator="lessThan">
      <formula>0</formula>
    </cfRule>
  </conditionalFormatting>
  <conditionalFormatting sqref="P79">
    <cfRule type="cellIs" dxfId="16357" priority="2297" operator="greaterThan">
      <formula>0</formula>
    </cfRule>
  </conditionalFormatting>
  <conditionalFormatting sqref="R79">
    <cfRule type="cellIs" dxfId="16356" priority="2300" operator="lessThan">
      <formula>0.8</formula>
    </cfRule>
    <cfRule type="cellIs" dxfId="16355" priority="2301" operator="greaterThan">
      <formula>1</formula>
    </cfRule>
  </conditionalFormatting>
  <conditionalFormatting sqref="R79">
    <cfRule type="cellIs" dxfId="16354" priority="2298" operator="greaterThan">
      <formula>1</formula>
    </cfRule>
    <cfRule type="cellIs" dxfId="16353" priority="2299" operator="lessThan">
      <formula>0.8</formula>
    </cfRule>
  </conditionalFormatting>
  <conditionalFormatting sqref="Q79">
    <cfRule type="cellIs" dxfId="16352" priority="2290" operator="lessThan">
      <formula>0</formula>
    </cfRule>
  </conditionalFormatting>
  <conditionalFormatting sqref="R79">
    <cfRule type="cellIs" dxfId="16351" priority="2294" operator="lessThan">
      <formula>0.8</formula>
    </cfRule>
    <cfRule type="cellIs" dxfId="16350" priority="2295" operator="greaterThan">
      <formula>1</formula>
    </cfRule>
  </conditionalFormatting>
  <conditionalFormatting sqref="R79">
    <cfRule type="cellIs" dxfId="16349" priority="2292" operator="greaterThan">
      <formula>1</formula>
    </cfRule>
    <cfRule type="cellIs" dxfId="16348" priority="2293" operator="lessThan">
      <formula>0.8</formula>
    </cfRule>
  </conditionalFormatting>
  <conditionalFormatting sqref="P79">
    <cfRule type="cellIs" dxfId="16347" priority="2291" operator="greaterThan">
      <formula>0</formula>
    </cfRule>
  </conditionalFormatting>
  <conditionalFormatting sqref="Q79">
    <cfRule type="cellIs" dxfId="16346" priority="2289" operator="lessThan">
      <formula>0</formula>
    </cfRule>
  </conditionalFormatting>
  <conditionalFormatting sqref="R79">
    <cfRule type="cellIs" dxfId="16345" priority="2287" operator="lessThan">
      <formula>0.8</formula>
    </cfRule>
    <cfRule type="cellIs" dxfId="16344" priority="2288" operator="greaterThan">
      <formula>1</formula>
    </cfRule>
  </conditionalFormatting>
  <conditionalFormatting sqref="R79">
    <cfRule type="cellIs" dxfId="16343" priority="2285" operator="greaterThan">
      <formula>1</formula>
    </cfRule>
    <cfRule type="cellIs" dxfId="16342" priority="2286" operator="lessThan">
      <formula>0.8</formula>
    </cfRule>
  </conditionalFormatting>
  <conditionalFormatting sqref="P79">
    <cfRule type="cellIs" dxfId="16341" priority="2284" operator="greaterThan">
      <formula>0</formula>
    </cfRule>
  </conditionalFormatting>
  <conditionalFormatting sqref="Q79">
    <cfRule type="cellIs" dxfId="16340" priority="2283" operator="lessThan">
      <formula>0</formula>
    </cfRule>
  </conditionalFormatting>
  <conditionalFormatting sqref="R79">
    <cfRule type="cellIs" dxfId="16339" priority="2281" operator="lessThan">
      <formula>0.8</formula>
    </cfRule>
    <cfRule type="cellIs" dxfId="16338" priority="2282" operator="greaterThan">
      <formula>1</formula>
    </cfRule>
  </conditionalFormatting>
  <conditionalFormatting sqref="R79">
    <cfRule type="cellIs" dxfId="16337" priority="2279" operator="greaterThan">
      <formula>1</formula>
    </cfRule>
    <cfRule type="cellIs" dxfId="16336" priority="2280" operator="lessThan">
      <formula>0.8</formula>
    </cfRule>
  </conditionalFormatting>
  <conditionalFormatting sqref="P79">
    <cfRule type="cellIs" dxfId="16335" priority="2278" operator="greaterThan">
      <formula>0</formula>
    </cfRule>
  </conditionalFormatting>
  <conditionalFormatting sqref="P79">
    <cfRule type="cellIs" dxfId="16334" priority="2272" operator="greaterThan">
      <formula>0</formula>
    </cfRule>
  </conditionalFormatting>
  <conditionalFormatting sqref="Q79">
    <cfRule type="cellIs" dxfId="16333" priority="2277" operator="lessThan">
      <formula>0</formula>
    </cfRule>
  </conditionalFormatting>
  <conditionalFormatting sqref="R79">
    <cfRule type="cellIs" dxfId="16332" priority="2275" operator="lessThan">
      <formula>0.8</formula>
    </cfRule>
    <cfRule type="cellIs" dxfId="16331" priority="2276" operator="greaterThan">
      <formula>1</formula>
    </cfRule>
  </conditionalFormatting>
  <conditionalFormatting sqref="R79">
    <cfRule type="cellIs" dxfId="16330" priority="2273" operator="greaterThan">
      <formula>1</formula>
    </cfRule>
    <cfRule type="cellIs" dxfId="16329" priority="2274" operator="lessThan">
      <formula>0.8</formula>
    </cfRule>
  </conditionalFormatting>
  <conditionalFormatting sqref="P71:P78">
    <cfRule type="cellIs" dxfId="16328" priority="2266" operator="greaterThan">
      <formula>0</formula>
    </cfRule>
  </conditionalFormatting>
  <conditionalFormatting sqref="Q71:Q78">
    <cfRule type="cellIs" dxfId="16327" priority="2271" operator="lessThan">
      <formula>0</formula>
    </cfRule>
  </conditionalFormatting>
  <conditionalFormatting sqref="R71:R78">
    <cfRule type="cellIs" dxfId="16326" priority="2269" operator="lessThan">
      <formula>0.8</formula>
    </cfRule>
    <cfRule type="cellIs" dxfId="16325" priority="2270" operator="greaterThan">
      <formula>1</formula>
    </cfRule>
  </conditionalFormatting>
  <conditionalFormatting sqref="R71:R78">
    <cfRule type="cellIs" dxfId="16324" priority="2267" operator="greaterThan">
      <formula>1</formula>
    </cfRule>
    <cfRule type="cellIs" dxfId="16323" priority="2268" operator="lessThan">
      <formula>0.8</formula>
    </cfRule>
  </conditionalFormatting>
  <conditionalFormatting sqref="Q148:Q153">
    <cfRule type="cellIs" dxfId="16322" priority="2265" operator="lessThan">
      <formula>0</formula>
    </cfRule>
  </conditionalFormatting>
  <conditionalFormatting sqref="R148:R153">
    <cfRule type="cellIs" dxfId="16321" priority="2263" operator="lessThan">
      <formula>0.8</formula>
    </cfRule>
    <cfRule type="cellIs" dxfId="16320" priority="2264" operator="greaterThan">
      <formula>1</formula>
    </cfRule>
  </conditionalFormatting>
  <conditionalFormatting sqref="R148:R153">
    <cfRule type="cellIs" dxfId="16319" priority="2261" operator="greaterThan">
      <formula>1</formula>
    </cfRule>
    <cfRule type="cellIs" dxfId="16318" priority="2262" operator="lessThan">
      <formula>0.8</formula>
    </cfRule>
  </conditionalFormatting>
  <conditionalFormatting sqref="P148:P153">
    <cfRule type="cellIs" dxfId="16317" priority="2260" operator="greaterThan">
      <formula>0</formula>
    </cfRule>
  </conditionalFormatting>
  <conditionalFormatting sqref="Q148:Q153">
    <cfRule type="cellIs" dxfId="16316" priority="2259" operator="lessThan">
      <formula>0</formula>
    </cfRule>
  </conditionalFormatting>
  <conditionalFormatting sqref="R148:R153">
    <cfRule type="cellIs" dxfId="16315" priority="2257" operator="lessThan">
      <formula>0.8</formula>
    </cfRule>
    <cfRule type="cellIs" dxfId="16314" priority="2258" operator="greaterThan">
      <formula>1</formula>
    </cfRule>
  </conditionalFormatting>
  <conditionalFormatting sqref="R148:R153">
    <cfRule type="cellIs" dxfId="16313" priority="2255" operator="greaterThan">
      <formula>1</formula>
    </cfRule>
    <cfRule type="cellIs" dxfId="16312" priority="2256" operator="lessThan">
      <formula>0.8</formula>
    </cfRule>
  </conditionalFormatting>
  <conditionalFormatting sqref="P148:P153">
    <cfRule type="cellIs" dxfId="16311" priority="2254" operator="greaterThan">
      <formula>0</formula>
    </cfRule>
  </conditionalFormatting>
  <conditionalFormatting sqref="Q148:Q153">
    <cfRule type="cellIs" dxfId="16310" priority="2253" operator="lessThan">
      <formula>0</formula>
    </cfRule>
  </conditionalFormatting>
  <conditionalFormatting sqref="R148:R153">
    <cfRule type="cellIs" dxfId="16309" priority="2251" operator="lessThan">
      <formula>0.8</formula>
    </cfRule>
    <cfRule type="cellIs" dxfId="16308" priority="2252" operator="greaterThan">
      <formula>1</formula>
    </cfRule>
  </conditionalFormatting>
  <conditionalFormatting sqref="R148:R153">
    <cfRule type="cellIs" dxfId="16307" priority="2249" operator="greaterThan">
      <formula>1</formula>
    </cfRule>
    <cfRule type="cellIs" dxfId="16306" priority="2250" operator="lessThan">
      <formula>0.8</formula>
    </cfRule>
  </conditionalFormatting>
  <conditionalFormatting sqref="P148:P153">
    <cfRule type="cellIs" dxfId="16305" priority="2248" operator="greaterThan">
      <formula>0</formula>
    </cfRule>
  </conditionalFormatting>
  <conditionalFormatting sqref="Q148:Q153">
    <cfRule type="cellIs" dxfId="16304" priority="2247" operator="lessThan">
      <formula>0</formula>
    </cfRule>
  </conditionalFormatting>
  <conditionalFormatting sqref="R148:R153">
    <cfRule type="cellIs" dxfId="16303" priority="2245" operator="lessThan">
      <formula>0.8</formula>
    </cfRule>
    <cfRule type="cellIs" dxfId="16302" priority="2246" operator="greaterThan">
      <formula>1</formula>
    </cfRule>
  </conditionalFormatting>
  <conditionalFormatting sqref="R148:R153">
    <cfRule type="cellIs" dxfId="16301" priority="2243" operator="greaterThan">
      <formula>1</formula>
    </cfRule>
    <cfRule type="cellIs" dxfId="16300" priority="2244" operator="lessThan">
      <formula>0.8</formula>
    </cfRule>
  </conditionalFormatting>
  <conditionalFormatting sqref="P148:P153">
    <cfRule type="cellIs" dxfId="16299" priority="2242" operator="greaterThan">
      <formula>0</formula>
    </cfRule>
  </conditionalFormatting>
  <conditionalFormatting sqref="P148:P153">
    <cfRule type="cellIs" dxfId="16298" priority="2236" operator="greaterThan">
      <formula>0</formula>
    </cfRule>
  </conditionalFormatting>
  <conditionalFormatting sqref="Q148:Q153">
    <cfRule type="cellIs" dxfId="16297" priority="2241" operator="lessThan">
      <formula>0</formula>
    </cfRule>
  </conditionalFormatting>
  <conditionalFormatting sqref="R148:R153">
    <cfRule type="cellIs" dxfId="16296" priority="2239" operator="lessThan">
      <formula>0.8</formula>
    </cfRule>
    <cfRule type="cellIs" dxfId="16295" priority="2240" operator="greaterThan">
      <formula>1</formula>
    </cfRule>
  </conditionalFormatting>
  <conditionalFormatting sqref="R148:R153">
    <cfRule type="cellIs" dxfId="16294" priority="2237" operator="greaterThan">
      <formula>1</formula>
    </cfRule>
    <cfRule type="cellIs" dxfId="16293" priority="2238" operator="lessThan">
      <formula>0.8</formula>
    </cfRule>
  </conditionalFormatting>
  <conditionalFormatting sqref="P148:P153">
    <cfRule type="cellIs" dxfId="16292" priority="2230" operator="greaterThan">
      <formula>0</formula>
    </cfRule>
  </conditionalFormatting>
  <conditionalFormatting sqref="Q148:Q153">
    <cfRule type="cellIs" dxfId="16291" priority="2235" operator="lessThan">
      <formula>0</formula>
    </cfRule>
  </conditionalFormatting>
  <conditionalFormatting sqref="R148:R153">
    <cfRule type="cellIs" dxfId="16290" priority="2233" operator="lessThan">
      <formula>0.8</formula>
    </cfRule>
    <cfRule type="cellIs" dxfId="16289" priority="2234" operator="greaterThan">
      <formula>1</formula>
    </cfRule>
  </conditionalFormatting>
  <conditionalFormatting sqref="R148:R153">
    <cfRule type="cellIs" dxfId="16288" priority="2231" operator="greaterThan">
      <formula>1</formula>
    </cfRule>
    <cfRule type="cellIs" dxfId="16287" priority="2232" operator="lessThan">
      <formula>0.8</formula>
    </cfRule>
  </conditionalFormatting>
  <conditionalFormatting sqref="R148:R153">
    <cfRule type="cellIs" dxfId="16286" priority="2227" operator="lessThan">
      <formula>0.8</formula>
    </cfRule>
    <cfRule type="cellIs" dxfId="16285" priority="2228" operator="greaterThan">
      <formula>1</formula>
    </cfRule>
  </conditionalFormatting>
  <conditionalFormatting sqref="R148:R153">
    <cfRule type="cellIs" dxfId="16284" priority="2225" operator="greaterThan">
      <formula>1</formula>
    </cfRule>
    <cfRule type="cellIs" dxfId="16283" priority="2226" operator="lessThan">
      <formula>0.8</formula>
    </cfRule>
  </conditionalFormatting>
  <conditionalFormatting sqref="P148:P153">
    <cfRule type="cellIs" dxfId="16282" priority="2224" operator="greaterThan">
      <formula>0</formula>
    </cfRule>
  </conditionalFormatting>
  <conditionalFormatting sqref="Q148:Q153">
    <cfRule type="cellIs" dxfId="16281" priority="2229" operator="lessThan">
      <formula>0</formula>
    </cfRule>
  </conditionalFormatting>
  <conditionalFormatting sqref="Q148:Q153">
    <cfRule type="cellIs" dxfId="16280" priority="2223" operator="lessThan">
      <formula>0</formula>
    </cfRule>
  </conditionalFormatting>
  <conditionalFormatting sqref="R148:R153">
    <cfRule type="cellIs" dxfId="16279" priority="2221" operator="lessThan">
      <formula>0.8</formula>
    </cfRule>
    <cfRule type="cellIs" dxfId="16278" priority="2222" operator="greaterThan">
      <formula>1</formula>
    </cfRule>
  </conditionalFormatting>
  <conditionalFormatting sqref="R148:R153">
    <cfRule type="cellIs" dxfId="16277" priority="2219" operator="greaterThan">
      <formula>1</formula>
    </cfRule>
    <cfRule type="cellIs" dxfId="16276" priority="2220" operator="lessThan">
      <formula>0.8</formula>
    </cfRule>
  </conditionalFormatting>
  <conditionalFormatting sqref="P148:P153">
    <cfRule type="cellIs" dxfId="16275" priority="2218" operator="greaterThan">
      <formula>0</formula>
    </cfRule>
  </conditionalFormatting>
  <conditionalFormatting sqref="P148:P153">
    <cfRule type="cellIs" dxfId="16274" priority="2212" operator="greaterThan">
      <formula>0</formula>
    </cfRule>
  </conditionalFormatting>
  <conditionalFormatting sqref="Q148:Q153">
    <cfRule type="cellIs" dxfId="16273" priority="2217" operator="lessThan">
      <formula>0</formula>
    </cfRule>
  </conditionalFormatting>
  <conditionalFormatting sqref="R148:R153">
    <cfRule type="cellIs" dxfId="16272" priority="2215" operator="lessThan">
      <formula>0.8</formula>
    </cfRule>
    <cfRule type="cellIs" dxfId="16271" priority="2216" operator="greaterThan">
      <formula>1</formula>
    </cfRule>
  </conditionalFormatting>
  <conditionalFormatting sqref="R148:R153">
    <cfRule type="cellIs" dxfId="16270" priority="2213" operator="greaterThan">
      <formula>1</formula>
    </cfRule>
    <cfRule type="cellIs" dxfId="16269" priority="2214" operator="lessThan">
      <formula>0.8</formula>
    </cfRule>
  </conditionalFormatting>
  <conditionalFormatting sqref="P148:P153">
    <cfRule type="cellIs" dxfId="16268" priority="2206" operator="greaterThan">
      <formula>0</formula>
    </cfRule>
  </conditionalFormatting>
  <conditionalFormatting sqref="Q148:Q153">
    <cfRule type="cellIs" dxfId="16267" priority="2211" operator="lessThan">
      <formula>0</formula>
    </cfRule>
  </conditionalFormatting>
  <conditionalFormatting sqref="R148:R153">
    <cfRule type="cellIs" dxfId="16266" priority="2209" operator="lessThan">
      <formula>0.8</formula>
    </cfRule>
    <cfRule type="cellIs" dxfId="16265" priority="2210" operator="greaterThan">
      <formula>1</formula>
    </cfRule>
  </conditionalFormatting>
  <conditionalFormatting sqref="R148:R153">
    <cfRule type="cellIs" dxfId="16264" priority="2207" operator="greaterThan">
      <formula>1</formula>
    </cfRule>
    <cfRule type="cellIs" dxfId="16263" priority="2208" operator="lessThan">
      <formula>0.8</formula>
    </cfRule>
  </conditionalFormatting>
  <conditionalFormatting sqref="R148:R153">
    <cfRule type="cellIs" dxfId="16262" priority="2203" operator="lessThan">
      <formula>0.8</formula>
    </cfRule>
    <cfRule type="cellIs" dxfId="16261" priority="2204" operator="greaterThan">
      <formula>1</formula>
    </cfRule>
  </conditionalFormatting>
  <conditionalFormatting sqref="R148:R153">
    <cfRule type="cellIs" dxfId="16260" priority="2201" operator="greaterThan">
      <formula>1</formula>
    </cfRule>
    <cfRule type="cellIs" dxfId="16259" priority="2202" operator="lessThan">
      <formula>0.8</formula>
    </cfRule>
  </conditionalFormatting>
  <conditionalFormatting sqref="P148:P153">
    <cfRule type="cellIs" dxfId="16258" priority="2200" operator="greaterThan">
      <formula>0</formula>
    </cfRule>
  </conditionalFormatting>
  <conditionalFormatting sqref="Q148:Q153">
    <cfRule type="cellIs" dxfId="16257" priority="2205" operator="lessThan">
      <formula>0</formula>
    </cfRule>
  </conditionalFormatting>
  <conditionalFormatting sqref="P148:P153">
    <cfRule type="cellIs" dxfId="16256" priority="2194" operator="greaterThan">
      <formula>0</formula>
    </cfRule>
  </conditionalFormatting>
  <conditionalFormatting sqref="Q148:Q153">
    <cfRule type="cellIs" dxfId="16255" priority="2199" operator="lessThan">
      <formula>0</formula>
    </cfRule>
  </conditionalFormatting>
  <conditionalFormatting sqref="R148:R153">
    <cfRule type="cellIs" dxfId="16254" priority="2197" operator="lessThan">
      <formula>0.8</formula>
    </cfRule>
    <cfRule type="cellIs" dxfId="16253" priority="2198" operator="greaterThan">
      <formula>1</formula>
    </cfRule>
  </conditionalFormatting>
  <conditionalFormatting sqref="R148:R153">
    <cfRule type="cellIs" dxfId="16252" priority="2195" operator="greaterThan">
      <formula>1</formula>
    </cfRule>
    <cfRule type="cellIs" dxfId="16251" priority="2196" operator="lessThan">
      <formula>0.8</formula>
    </cfRule>
  </conditionalFormatting>
  <conditionalFormatting sqref="R148:R153">
    <cfRule type="cellIs" dxfId="16250" priority="2191" operator="lessThan">
      <formula>0.8</formula>
    </cfRule>
    <cfRule type="cellIs" dxfId="16249" priority="2192" operator="greaterThan">
      <formula>1</formula>
    </cfRule>
  </conditionalFormatting>
  <conditionalFormatting sqref="R148:R153">
    <cfRule type="cellIs" dxfId="16248" priority="2189" operator="greaterThan">
      <formula>1</formula>
    </cfRule>
    <cfRule type="cellIs" dxfId="16247" priority="2190" operator="lessThan">
      <formula>0.8</formula>
    </cfRule>
  </conditionalFormatting>
  <conditionalFormatting sqref="P148:P153">
    <cfRule type="cellIs" dxfId="16246" priority="2188" operator="greaterThan">
      <formula>0</formula>
    </cfRule>
  </conditionalFormatting>
  <conditionalFormatting sqref="Q148:Q153">
    <cfRule type="cellIs" dxfId="16245" priority="2193" operator="lessThan">
      <formula>0</formula>
    </cfRule>
  </conditionalFormatting>
  <conditionalFormatting sqref="R148:R153">
    <cfRule type="cellIs" dxfId="16244" priority="2185" operator="lessThan">
      <formula>0.8</formula>
    </cfRule>
    <cfRule type="cellIs" dxfId="16243" priority="2186" operator="greaterThan">
      <formula>1</formula>
    </cfRule>
  </conditionalFormatting>
  <conditionalFormatting sqref="R148:R153">
    <cfRule type="cellIs" dxfId="16242" priority="2183" operator="greaterThan">
      <formula>1</formula>
    </cfRule>
    <cfRule type="cellIs" dxfId="16241" priority="2184" operator="lessThan">
      <formula>0.8</formula>
    </cfRule>
  </conditionalFormatting>
  <conditionalFormatting sqref="P148:P153">
    <cfRule type="cellIs" dxfId="16240" priority="2182" operator="greaterThan">
      <formula>0</formula>
    </cfRule>
  </conditionalFormatting>
  <conditionalFormatting sqref="Q148:Q153">
    <cfRule type="cellIs" dxfId="16239" priority="2187" operator="lessThan">
      <formula>0</formula>
    </cfRule>
  </conditionalFormatting>
  <conditionalFormatting sqref="Q148:Q153">
    <cfRule type="cellIs" dxfId="16238" priority="2181" operator="lessThan">
      <formula>0</formula>
    </cfRule>
  </conditionalFormatting>
  <conditionalFormatting sqref="R148:R153">
    <cfRule type="cellIs" dxfId="16237" priority="2179" operator="lessThan">
      <formula>0.8</formula>
    </cfRule>
    <cfRule type="cellIs" dxfId="16236" priority="2180" operator="greaterThan">
      <formula>1</formula>
    </cfRule>
  </conditionalFormatting>
  <conditionalFormatting sqref="R148:R153">
    <cfRule type="cellIs" dxfId="16235" priority="2177" operator="greaterThan">
      <formula>1</formula>
    </cfRule>
    <cfRule type="cellIs" dxfId="16234" priority="2178" operator="lessThan">
      <formula>0.8</formula>
    </cfRule>
  </conditionalFormatting>
  <conditionalFormatting sqref="P148:P153">
    <cfRule type="cellIs" dxfId="16233" priority="2176" operator="greaterThan">
      <formula>0</formula>
    </cfRule>
  </conditionalFormatting>
  <conditionalFormatting sqref="Q148:Q153">
    <cfRule type="cellIs" dxfId="16232" priority="2170" operator="lessThan">
      <formula>0</formula>
    </cfRule>
  </conditionalFormatting>
  <conditionalFormatting sqref="R148:R153">
    <cfRule type="cellIs" dxfId="16231" priority="2174" operator="lessThan">
      <formula>0.8</formula>
    </cfRule>
    <cfRule type="cellIs" dxfId="16230" priority="2175" operator="greaterThan">
      <formula>1</formula>
    </cfRule>
  </conditionalFormatting>
  <conditionalFormatting sqref="R148:R153">
    <cfRule type="cellIs" dxfId="16229" priority="2172" operator="greaterThan">
      <formula>1</formula>
    </cfRule>
    <cfRule type="cellIs" dxfId="16228" priority="2173" operator="lessThan">
      <formula>0.8</formula>
    </cfRule>
  </conditionalFormatting>
  <conditionalFormatting sqref="P148:P153">
    <cfRule type="cellIs" dxfId="16227" priority="2171" operator="greaterThan">
      <formula>0</formula>
    </cfRule>
  </conditionalFormatting>
  <conditionalFormatting sqref="Q148:Q153">
    <cfRule type="cellIs" dxfId="16226" priority="2169" operator="lessThan">
      <formula>0</formula>
    </cfRule>
  </conditionalFormatting>
  <conditionalFormatting sqref="R148:R153">
    <cfRule type="cellIs" dxfId="16225" priority="2167" operator="lessThan">
      <formula>0.8</formula>
    </cfRule>
    <cfRule type="cellIs" dxfId="16224" priority="2168" operator="greaterThan">
      <formula>1</formula>
    </cfRule>
  </conditionalFormatting>
  <conditionalFormatting sqref="R148:R153">
    <cfRule type="cellIs" dxfId="16223" priority="2165" operator="greaterThan">
      <formula>1</formula>
    </cfRule>
    <cfRule type="cellIs" dxfId="16222" priority="2166" operator="lessThan">
      <formula>0.8</formula>
    </cfRule>
  </conditionalFormatting>
  <conditionalFormatting sqref="P148:P153">
    <cfRule type="cellIs" dxfId="16221" priority="2164" operator="greaterThan">
      <formula>0</formula>
    </cfRule>
  </conditionalFormatting>
  <conditionalFormatting sqref="Q148:Q153">
    <cfRule type="cellIs" dxfId="16220" priority="2163" operator="lessThan">
      <formula>0</formula>
    </cfRule>
  </conditionalFormatting>
  <conditionalFormatting sqref="R148:R153">
    <cfRule type="cellIs" dxfId="16219" priority="2161" operator="lessThan">
      <formula>0.8</formula>
    </cfRule>
    <cfRule type="cellIs" dxfId="16218" priority="2162" operator="greaterThan">
      <formula>1</formula>
    </cfRule>
  </conditionalFormatting>
  <conditionalFormatting sqref="R148:R153">
    <cfRule type="cellIs" dxfId="16217" priority="2159" operator="greaterThan">
      <formula>1</formula>
    </cfRule>
    <cfRule type="cellIs" dxfId="16216" priority="2160" operator="lessThan">
      <formula>0.8</formula>
    </cfRule>
  </conditionalFormatting>
  <conditionalFormatting sqref="P148:P153">
    <cfRule type="cellIs" dxfId="16215" priority="2158" operator="greaterThan">
      <formula>0</formula>
    </cfRule>
  </conditionalFormatting>
  <conditionalFormatting sqref="Q148:Q153">
    <cfRule type="cellIs" dxfId="16214" priority="2157" operator="lessThan">
      <formula>0</formula>
    </cfRule>
  </conditionalFormatting>
  <conditionalFormatting sqref="R148:R153">
    <cfRule type="cellIs" dxfId="16213" priority="2155" operator="lessThan">
      <formula>0.8</formula>
    </cfRule>
    <cfRule type="cellIs" dxfId="16212" priority="2156" operator="greaterThan">
      <formula>1</formula>
    </cfRule>
  </conditionalFormatting>
  <conditionalFormatting sqref="R148:R153">
    <cfRule type="cellIs" dxfId="16211" priority="2153" operator="greaterThan">
      <formula>1</formula>
    </cfRule>
    <cfRule type="cellIs" dxfId="16210" priority="2154" operator="lessThan">
      <formula>0.8</formula>
    </cfRule>
  </conditionalFormatting>
  <conditionalFormatting sqref="P148:P153">
    <cfRule type="cellIs" dxfId="16209" priority="2152" operator="greaterThan">
      <formula>0</formula>
    </cfRule>
  </conditionalFormatting>
  <conditionalFormatting sqref="Q148:Q153">
    <cfRule type="cellIs" dxfId="16208" priority="2151" operator="lessThan">
      <formula>0</formula>
    </cfRule>
  </conditionalFormatting>
  <conditionalFormatting sqref="R148:R153">
    <cfRule type="cellIs" dxfId="16207" priority="2149" operator="lessThan">
      <formula>0.8</formula>
    </cfRule>
    <cfRule type="cellIs" dxfId="16206" priority="2150" operator="greaterThan">
      <formula>1</formula>
    </cfRule>
  </conditionalFormatting>
  <conditionalFormatting sqref="R148:R153">
    <cfRule type="cellIs" dxfId="16205" priority="2147" operator="greaterThan">
      <formula>1</formula>
    </cfRule>
    <cfRule type="cellIs" dxfId="16204" priority="2148" operator="lessThan">
      <formula>0.8</formula>
    </cfRule>
  </conditionalFormatting>
  <conditionalFormatting sqref="P148:P153">
    <cfRule type="cellIs" dxfId="16203" priority="2146" operator="greaterThan">
      <formula>0</formula>
    </cfRule>
  </conditionalFormatting>
  <conditionalFormatting sqref="Q148:Q153">
    <cfRule type="cellIs" dxfId="16202" priority="2145" operator="lessThan">
      <formula>0</formula>
    </cfRule>
  </conditionalFormatting>
  <conditionalFormatting sqref="R148:R153">
    <cfRule type="cellIs" dxfId="16201" priority="2143" operator="lessThan">
      <formula>0.8</formula>
    </cfRule>
    <cfRule type="cellIs" dxfId="16200" priority="2144" operator="greaterThan">
      <formula>1</formula>
    </cfRule>
  </conditionalFormatting>
  <conditionalFormatting sqref="R148:R153">
    <cfRule type="cellIs" dxfId="16199" priority="2141" operator="greaterThan">
      <formula>1</formula>
    </cfRule>
    <cfRule type="cellIs" dxfId="16198" priority="2142" operator="lessThan">
      <formula>0.8</formula>
    </cfRule>
  </conditionalFormatting>
  <conditionalFormatting sqref="P148:P153">
    <cfRule type="cellIs" dxfId="16197" priority="2140" operator="greaterThan">
      <formula>0</formula>
    </cfRule>
  </conditionalFormatting>
  <conditionalFormatting sqref="P148:P153">
    <cfRule type="cellIs" dxfId="16196" priority="2134" operator="greaterThan">
      <formula>0</formula>
    </cfRule>
  </conditionalFormatting>
  <conditionalFormatting sqref="Q148:Q153">
    <cfRule type="cellIs" dxfId="16195" priority="2139" operator="lessThan">
      <formula>0</formula>
    </cfRule>
  </conditionalFormatting>
  <conditionalFormatting sqref="R148:R153">
    <cfRule type="cellIs" dxfId="16194" priority="2137" operator="lessThan">
      <formula>0.8</formula>
    </cfRule>
    <cfRule type="cellIs" dxfId="16193" priority="2138" operator="greaterThan">
      <formula>1</formula>
    </cfRule>
  </conditionalFormatting>
  <conditionalFormatting sqref="R148:R153">
    <cfRule type="cellIs" dxfId="16192" priority="2135" operator="greaterThan">
      <formula>1</formula>
    </cfRule>
    <cfRule type="cellIs" dxfId="16191" priority="2136" operator="lessThan">
      <formula>0.8</formula>
    </cfRule>
  </conditionalFormatting>
  <conditionalFormatting sqref="P148:P153">
    <cfRule type="cellIs" dxfId="16190" priority="2128" operator="greaterThan">
      <formula>0</formula>
    </cfRule>
  </conditionalFormatting>
  <conditionalFormatting sqref="Q148:Q153">
    <cfRule type="cellIs" dxfId="16189" priority="2133" operator="lessThan">
      <formula>0</formula>
    </cfRule>
  </conditionalFormatting>
  <conditionalFormatting sqref="R148:R153">
    <cfRule type="cellIs" dxfId="16188" priority="2131" operator="lessThan">
      <formula>0.8</formula>
    </cfRule>
    <cfRule type="cellIs" dxfId="16187" priority="2132" operator="greaterThan">
      <formula>1</formula>
    </cfRule>
  </conditionalFormatting>
  <conditionalFormatting sqref="R148:R153">
    <cfRule type="cellIs" dxfId="16186" priority="2129" operator="greaterThan">
      <formula>1</formula>
    </cfRule>
    <cfRule type="cellIs" dxfId="16185" priority="2130" operator="lessThan">
      <formula>0.8</formula>
    </cfRule>
  </conditionalFormatting>
  <conditionalFormatting sqref="R148:R153">
    <cfRule type="cellIs" dxfId="16184" priority="2125" operator="lessThan">
      <formula>0.8</formula>
    </cfRule>
    <cfRule type="cellIs" dxfId="16183" priority="2126" operator="greaterThan">
      <formula>1</formula>
    </cfRule>
  </conditionalFormatting>
  <conditionalFormatting sqref="R148:R153">
    <cfRule type="cellIs" dxfId="16182" priority="2123" operator="greaterThan">
      <formula>1</formula>
    </cfRule>
    <cfRule type="cellIs" dxfId="16181" priority="2124" operator="lessThan">
      <formula>0.8</formula>
    </cfRule>
  </conditionalFormatting>
  <conditionalFormatting sqref="P148:P153">
    <cfRule type="cellIs" dxfId="16180" priority="2122" operator="greaterThan">
      <formula>0</formula>
    </cfRule>
  </conditionalFormatting>
  <conditionalFormatting sqref="Q148:Q153">
    <cfRule type="cellIs" dxfId="16179" priority="2127" operator="lessThan">
      <formula>0</formula>
    </cfRule>
  </conditionalFormatting>
  <conditionalFormatting sqref="Q148:Q153">
    <cfRule type="cellIs" dxfId="16178" priority="2116" operator="lessThan">
      <formula>0</formula>
    </cfRule>
  </conditionalFormatting>
  <conditionalFormatting sqref="P148:P153">
    <cfRule type="cellIs" dxfId="16177" priority="2117" operator="greaterThan">
      <formula>0</formula>
    </cfRule>
  </conditionalFormatting>
  <conditionalFormatting sqref="R148:R153">
    <cfRule type="cellIs" dxfId="16176" priority="2120" operator="lessThan">
      <formula>0.8</formula>
    </cfRule>
    <cfRule type="cellIs" dxfId="16175" priority="2121" operator="greaterThan">
      <formula>1</formula>
    </cfRule>
  </conditionalFormatting>
  <conditionalFormatting sqref="R148:R153">
    <cfRule type="cellIs" dxfId="16174" priority="2118" operator="greaterThan">
      <formula>1</formula>
    </cfRule>
    <cfRule type="cellIs" dxfId="16173" priority="2119" operator="lessThan">
      <formula>0.8</formula>
    </cfRule>
  </conditionalFormatting>
  <conditionalFormatting sqref="Q148:Q153">
    <cfRule type="cellIs" dxfId="16172" priority="2110" operator="lessThan">
      <formula>0</formula>
    </cfRule>
  </conditionalFormatting>
  <conditionalFormatting sqref="R148:R153">
    <cfRule type="cellIs" dxfId="16171" priority="2114" operator="lessThan">
      <formula>0.8</formula>
    </cfRule>
    <cfRule type="cellIs" dxfId="16170" priority="2115" operator="greaterThan">
      <formula>1</formula>
    </cfRule>
  </conditionalFormatting>
  <conditionalFormatting sqref="R148:R153">
    <cfRule type="cellIs" dxfId="16169" priority="2112" operator="greaterThan">
      <formula>1</formula>
    </cfRule>
    <cfRule type="cellIs" dxfId="16168" priority="2113" operator="lessThan">
      <formula>0.8</formula>
    </cfRule>
  </conditionalFormatting>
  <conditionalFormatting sqref="P148:P153">
    <cfRule type="cellIs" dxfId="16167" priority="2111" operator="greaterThan">
      <formula>0</formula>
    </cfRule>
  </conditionalFormatting>
  <conditionalFormatting sqref="Q148:Q153">
    <cfRule type="cellIs" dxfId="16166" priority="2109" operator="lessThan">
      <formula>0</formula>
    </cfRule>
  </conditionalFormatting>
  <conditionalFormatting sqref="R148:R153">
    <cfRule type="cellIs" dxfId="16165" priority="2107" operator="lessThan">
      <formula>0.8</formula>
    </cfRule>
    <cfRule type="cellIs" dxfId="16164" priority="2108" operator="greaterThan">
      <formula>1</formula>
    </cfRule>
  </conditionalFormatting>
  <conditionalFormatting sqref="R148:R153">
    <cfRule type="cellIs" dxfId="16163" priority="2105" operator="greaterThan">
      <formula>1</formula>
    </cfRule>
    <cfRule type="cellIs" dxfId="16162" priority="2106" operator="lessThan">
      <formula>0.8</formula>
    </cfRule>
  </conditionalFormatting>
  <conditionalFormatting sqref="P148:P153">
    <cfRule type="cellIs" dxfId="16161" priority="2104" operator="greaterThan">
      <formula>0</formula>
    </cfRule>
  </conditionalFormatting>
  <conditionalFormatting sqref="Q148:Q153">
    <cfRule type="cellIs" dxfId="16160" priority="2103" operator="lessThan">
      <formula>0</formula>
    </cfRule>
  </conditionalFormatting>
  <conditionalFormatting sqref="R148:R153">
    <cfRule type="cellIs" dxfId="16159" priority="2101" operator="lessThan">
      <formula>0.8</formula>
    </cfRule>
    <cfRule type="cellIs" dxfId="16158" priority="2102" operator="greaterThan">
      <formula>1</formula>
    </cfRule>
  </conditionalFormatting>
  <conditionalFormatting sqref="R148:R153">
    <cfRule type="cellIs" dxfId="16157" priority="2099" operator="greaterThan">
      <formula>1</formula>
    </cfRule>
    <cfRule type="cellIs" dxfId="16156" priority="2100" operator="lessThan">
      <formula>0.8</formula>
    </cfRule>
  </conditionalFormatting>
  <conditionalFormatting sqref="P148:P153">
    <cfRule type="cellIs" dxfId="16155" priority="2098" operator="greaterThan">
      <formula>0</formula>
    </cfRule>
  </conditionalFormatting>
  <conditionalFormatting sqref="Q148:Q153">
    <cfRule type="cellIs" dxfId="16154" priority="2097" operator="lessThan">
      <formula>0</formula>
    </cfRule>
  </conditionalFormatting>
  <conditionalFormatting sqref="R148:R153">
    <cfRule type="cellIs" dxfId="16153" priority="2095" operator="lessThan">
      <formula>0.8</formula>
    </cfRule>
    <cfRule type="cellIs" dxfId="16152" priority="2096" operator="greaterThan">
      <formula>1</formula>
    </cfRule>
  </conditionalFormatting>
  <conditionalFormatting sqref="R148:R153">
    <cfRule type="cellIs" dxfId="16151" priority="2093" operator="greaterThan">
      <formula>1</formula>
    </cfRule>
    <cfRule type="cellIs" dxfId="16150" priority="2094" operator="lessThan">
      <formula>0.8</formula>
    </cfRule>
  </conditionalFormatting>
  <conditionalFormatting sqref="P148:P153">
    <cfRule type="cellIs" dxfId="16149" priority="2092" operator="greaterThan">
      <formula>0</formula>
    </cfRule>
  </conditionalFormatting>
  <conditionalFormatting sqref="Q148:Q153">
    <cfRule type="cellIs" dxfId="16148" priority="2091" operator="lessThan">
      <formula>0</formula>
    </cfRule>
  </conditionalFormatting>
  <conditionalFormatting sqref="R148:R153">
    <cfRule type="cellIs" dxfId="16147" priority="2089" operator="lessThan">
      <formula>0.8</formula>
    </cfRule>
    <cfRule type="cellIs" dxfId="16146" priority="2090" operator="greaterThan">
      <formula>1</formula>
    </cfRule>
  </conditionalFormatting>
  <conditionalFormatting sqref="R148:R153">
    <cfRule type="cellIs" dxfId="16145" priority="2087" operator="greaterThan">
      <formula>1</formula>
    </cfRule>
    <cfRule type="cellIs" dxfId="16144" priority="2088" operator="lessThan">
      <formula>0.8</formula>
    </cfRule>
  </conditionalFormatting>
  <conditionalFormatting sqref="P148:P153">
    <cfRule type="cellIs" dxfId="16143" priority="2086" operator="greaterThan">
      <formula>0</formula>
    </cfRule>
  </conditionalFormatting>
  <conditionalFormatting sqref="Q124 Q127 Q131">
    <cfRule type="cellIs" dxfId="16142" priority="2080" operator="lessThan">
      <formula>0</formula>
    </cfRule>
  </conditionalFormatting>
  <conditionalFormatting sqref="P124 P127 P131">
    <cfRule type="cellIs" dxfId="16141" priority="2081" operator="greaterThan">
      <formula>0</formula>
    </cfRule>
  </conditionalFormatting>
  <conditionalFormatting sqref="R124 R127 R131">
    <cfRule type="cellIs" dxfId="16140" priority="2084" operator="lessThan">
      <formula>0.8</formula>
    </cfRule>
    <cfRule type="cellIs" dxfId="16139" priority="2085" operator="greaterThan">
      <formula>1</formula>
    </cfRule>
  </conditionalFormatting>
  <conditionalFormatting sqref="R124 R127 R131">
    <cfRule type="cellIs" dxfId="16138" priority="2082" operator="greaterThan">
      <formula>1</formula>
    </cfRule>
    <cfRule type="cellIs" dxfId="16137" priority="2083" operator="lessThan">
      <formula>0.8</formula>
    </cfRule>
  </conditionalFormatting>
  <conditionalFormatting sqref="Q124 Q127 Q131">
    <cfRule type="cellIs" dxfId="16136" priority="2074" operator="lessThan">
      <formula>0</formula>
    </cfRule>
  </conditionalFormatting>
  <conditionalFormatting sqref="R124 R127 R131">
    <cfRule type="cellIs" dxfId="16135" priority="2078" operator="lessThan">
      <formula>0.8</formula>
    </cfRule>
    <cfRule type="cellIs" dxfId="16134" priority="2079" operator="greaterThan">
      <formula>1</formula>
    </cfRule>
  </conditionalFormatting>
  <conditionalFormatting sqref="R124 R127 R131">
    <cfRule type="cellIs" dxfId="16133" priority="2076" operator="greaterThan">
      <formula>1</formula>
    </cfRule>
    <cfRule type="cellIs" dxfId="16132" priority="2077" operator="lessThan">
      <formula>0.8</formula>
    </cfRule>
  </conditionalFormatting>
  <conditionalFormatting sqref="P124 P127 P131">
    <cfRule type="cellIs" dxfId="16131" priority="2075" operator="greaterThan">
      <formula>0</formula>
    </cfRule>
  </conditionalFormatting>
  <conditionalFormatting sqref="Q124 Q127 Q131">
    <cfRule type="cellIs" dxfId="16130" priority="2073" operator="lessThan">
      <formula>0</formula>
    </cfRule>
  </conditionalFormatting>
  <conditionalFormatting sqref="R124 R127 R131">
    <cfRule type="cellIs" dxfId="16129" priority="2071" operator="lessThan">
      <formula>0.8</formula>
    </cfRule>
    <cfRule type="cellIs" dxfId="16128" priority="2072" operator="greaterThan">
      <formula>1</formula>
    </cfRule>
  </conditionalFormatting>
  <conditionalFormatting sqref="R124 R127 R131">
    <cfRule type="cellIs" dxfId="16127" priority="2069" operator="greaterThan">
      <formula>1</formula>
    </cfRule>
    <cfRule type="cellIs" dxfId="16126" priority="2070" operator="lessThan">
      <formula>0.8</formula>
    </cfRule>
  </conditionalFormatting>
  <conditionalFormatting sqref="P124 P127 P131">
    <cfRule type="cellIs" dxfId="16125" priority="2068" operator="greaterThan">
      <formula>0</formula>
    </cfRule>
  </conditionalFormatting>
  <conditionalFormatting sqref="Q124 Q127 Q131">
    <cfRule type="cellIs" dxfId="16124" priority="2067" operator="lessThan">
      <formula>0</formula>
    </cfRule>
  </conditionalFormatting>
  <conditionalFormatting sqref="R124 R127 R131">
    <cfRule type="cellIs" dxfId="16123" priority="2065" operator="lessThan">
      <formula>0.8</formula>
    </cfRule>
    <cfRule type="cellIs" dxfId="16122" priority="2066" operator="greaterThan">
      <formula>1</formula>
    </cfRule>
  </conditionalFormatting>
  <conditionalFormatting sqref="R124 R127 R131">
    <cfRule type="cellIs" dxfId="16121" priority="2063" operator="greaterThan">
      <formula>1</formula>
    </cfRule>
    <cfRule type="cellIs" dxfId="16120" priority="2064" operator="lessThan">
      <formula>0.8</formula>
    </cfRule>
  </conditionalFormatting>
  <conditionalFormatting sqref="P124 P127 P131">
    <cfRule type="cellIs" dxfId="16119" priority="2062" operator="greaterThan">
      <formula>0</formula>
    </cfRule>
  </conditionalFormatting>
  <conditionalFormatting sqref="Q124 Q127 Q131">
    <cfRule type="cellIs" dxfId="16118" priority="2061" operator="lessThan">
      <formula>0</formula>
    </cfRule>
  </conditionalFormatting>
  <conditionalFormatting sqref="R124 R127 R131">
    <cfRule type="cellIs" dxfId="16117" priority="2059" operator="lessThan">
      <formula>0.8</formula>
    </cfRule>
    <cfRule type="cellIs" dxfId="16116" priority="2060" operator="greaterThan">
      <formula>1</formula>
    </cfRule>
  </conditionalFormatting>
  <conditionalFormatting sqref="R124 R127 R131">
    <cfRule type="cellIs" dxfId="16115" priority="2057" operator="greaterThan">
      <formula>1</formula>
    </cfRule>
    <cfRule type="cellIs" dxfId="16114" priority="2058" operator="lessThan">
      <formula>0.8</formula>
    </cfRule>
  </conditionalFormatting>
  <conditionalFormatting sqref="P124 P127 P131">
    <cfRule type="cellIs" dxfId="16113" priority="2056" operator="greaterThan">
      <formula>0</formula>
    </cfRule>
  </conditionalFormatting>
  <conditionalFormatting sqref="Q124 Q127 Q131">
    <cfRule type="cellIs" dxfId="16112" priority="2055" operator="lessThan">
      <formula>0</formula>
    </cfRule>
  </conditionalFormatting>
  <conditionalFormatting sqref="R124 R127 R131">
    <cfRule type="cellIs" dxfId="16111" priority="2053" operator="lessThan">
      <formula>0.8</formula>
    </cfRule>
    <cfRule type="cellIs" dxfId="16110" priority="2054" operator="greaterThan">
      <formula>1</formula>
    </cfRule>
  </conditionalFormatting>
  <conditionalFormatting sqref="R124 R127 R131">
    <cfRule type="cellIs" dxfId="16109" priority="2051" operator="greaterThan">
      <formula>1</formula>
    </cfRule>
    <cfRule type="cellIs" dxfId="16108" priority="2052" operator="lessThan">
      <formula>0.8</formula>
    </cfRule>
  </conditionalFormatting>
  <conditionalFormatting sqref="P124 P127 P131">
    <cfRule type="cellIs" dxfId="16107" priority="2050" operator="greaterThan">
      <formula>0</formula>
    </cfRule>
  </conditionalFormatting>
  <conditionalFormatting sqref="Q124 Q127 Q131">
    <cfRule type="cellIs" dxfId="16106" priority="2049" operator="lessThan">
      <formula>0</formula>
    </cfRule>
  </conditionalFormatting>
  <conditionalFormatting sqref="R124 R127 R131">
    <cfRule type="cellIs" dxfId="16105" priority="2047" operator="lessThan">
      <formula>0.8</formula>
    </cfRule>
    <cfRule type="cellIs" dxfId="16104" priority="2048" operator="greaterThan">
      <formula>1</formula>
    </cfRule>
  </conditionalFormatting>
  <conditionalFormatting sqref="R124 R127 R131">
    <cfRule type="cellIs" dxfId="16103" priority="2045" operator="greaterThan">
      <formula>1</formula>
    </cfRule>
    <cfRule type="cellIs" dxfId="16102" priority="2046" operator="lessThan">
      <formula>0.8</formula>
    </cfRule>
  </conditionalFormatting>
  <conditionalFormatting sqref="P124 P127 P131">
    <cfRule type="cellIs" dxfId="16101" priority="2044" operator="greaterThan">
      <formula>0</formula>
    </cfRule>
  </conditionalFormatting>
  <conditionalFormatting sqref="Q124 Q127 Q131">
    <cfRule type="cellIs" dxfId="16100" priority="2043" operator="lessThan">
      <formula>0</formula>
    </cfRule>
  </conditionalFormatting>
  <conditionalFormatting sqref="R124 R127 R131">
    <cfRule type="cellIs" dxfId="16099" priority="2041" operator="lessThan">
      <formula>0.8</formula>
    </cfRule>
    <cfRule type="cellIs" dxfId="16098" priority="2042" operator="greaterThan">
      <formula>1</formula>
    </cfRule>
  </conditionalFormatting>
  <conditionalFormatting sqref="R124 R127 R131">
    <cfRule type="cellIs" dxfId="16097" priority="2039" operator="greaterThan">
      <formula>1</formula>
    </cfRule>
    <cfRule type="cellIs" dxfId="16096" priority="2040" operator="lessThan">
      <formula>0.8</formula>
    </cfRule>
  </conditionalFormatting>
  <conditionalFormatting sqref="P124 P127 P131">
    <cfRule type="cellIs" dxfId="16095" priority="2038" operator="greaterThan">
      <formula>0</formula>
    </cfRule>
  </conditionalFormatting>
  <conditionalFormatting sqref="Q124 Q127 Q131">
    <cfRule type="cellIs" dxfId="16094" priority="2037" operator="lessThan">
      <formula>0</formula>
    </cfRule>
  </conditionalFormatting>
  <conditionalFormatting sqref="R124 R127 R131">
    <cfRule type="cellIs" dxfId="16093" priority="2035" operator="lessThan">
      <formula>0.8</formula>
    </cfRule>
    <cfRule type="cellIs" dxfId="16092" priority="2036" operator="greaterThan">
      <formula>1</formula>
    </cfRule>
  </conditionalFormatting>
  <conditionalFormatting sqref="R124 R127 R131">
    <cfRule type="cellIs" dxfId="16091" priority="2033" operator="greaterThan">
      <formula>1</formula>
    </cfRule>
    <cfRule type="cellIs" dxfId="16090" priority="2034" operator="lessThan">
      <formula>0.8</formula>
    </cfRule>
  </conditionalFormatting>
  <conditionalFormatting sqref="P124 P127 P131">
    <cfRule type="cellIs" dxfId="16089" priority="2032" operator="greaterThan">
      <formula>0</formula>
    </cfRule>
  </conditionalFormatting>
  <conditionalFormatting sqref="P124 P127 P131">
    <cfRule type="cellIs" dxfId="16088" priority="2026" operator="greaterThan">
      <formula>0</formula>
    </cfRule>
  </conditionalFormatting>
  <conditionalFormatting sqref="Q124 Q127 Q131">
    <cfRule type="cellIs" dxfId="16087" priority="2031" operator="lessThan">
      <formula>0</formula>
    </cfRule>
  </conditionalFormatting>
  <conditionalFormatting sqref="R124 R127 R131">
    <cfRule type="cellIs" dxfId="16086" priority="2029" operator="lessThan">
      <formula>0.8</formula>
    </cfRule>
    <cfRule type="cellIs" dxfId="16085" priority="2030" operator="greaterThan">
      <formula>1</formula>
    </cfRule>
  </conditionalFormatting>
  <conditionalFormatting sqref="R124 R127 R131">
    <cfRule type="cellIs" dxfId="16084" priority="2027" operator="greaterThan">
      <formula>1</formula>
    </cfRule>
    <cfRule type="cellIs" dxfId="16083" priority="2028" operator="lessThan">
      <formula>0.8</formula>
    </cfRule>
  </conditionalFormatting>
  <conditionalFormatting sqref="P124 P127 P131">
    <cfRule type="cellIs" dxfId="16082" priority="2020" operator="greaterThan">
      <formula>0</formula>
    </cfRule>
  </conditionalFormatting>
  <conditionalFormatting sqref="Q124 Q127 Q131">
    <cfRule type="cellIs" dxfId="16081" priority="2025" operator="lessThan">
      <formula>0</formula>
    </cfRule>
  </conditionalFormatting>
  <conditionalFormatting sqref="R124 R127 R131">
    <cfRule type="cellIs" dxfId="16080" priority="2023" operator="lessThan">
      <formula>0.8</formula>
    </cfRule>
    <cfRule type="cellIs" dxfId="16079" priority="2024" operator="greaterThan">
      <formula>1</formula>
    </cfRule>
  </conditionalFormatting>
  <conditionalFormatting sqref="R124 R127 R131">
    <cfRule type="cellIs" dxfId="16078" priority="2021" operator="greaterThan">
      <formula>1</formula>
    </cfRule>
    <cfRule type="cellIs" dxfId="16077" priority="2022" operator="lessThan">
      <formula>0.8</formula>
    </cfRule>
  </conditionalFormatting>
  <conditionalFormatting sqref="R124 R127 R131">
    <cfRule type="cellIs" dxfId="16076" priority="2017" operator="lessThan">
      <formula>0.8</formula>
    </cfRule>
    <cfRule type="cellIs" dxfId="16075" priority="2018" operator="greaterThan">
      <formula>1</formula>
    </cfRule>
  </conditionalFormatting>
  <conditionalFormatting sqref="R124 R127 R131">
    <cfRule type="cellIs" dxfId="16074" priority="2015" operator="greaterThan">
      <formula>1</formula>
    </cfRule>
    <cfRule type="cellIs" dxfId="16073" priority="2016" operator="lessThan">
      <formula>0.8</formula>
    </cfRule>
  </conditionalFormatting>
  <conditionalFormatting sqref="P124 P127 P131">
    <cfRule type="cellIs" dxfId="16072" priority="2014" operator="greaterThan">
      <formula>0</formula>
    </cfRule>
  </conditionalFormatting>
  <conditionalFormatting sqref="Q124 Q127 Q131">
    <cfRule type="cellIs" dxfId="16071" priority="2019" operator="lessThan">
      <formula>0</formula>
    </cfRule>
  </conditionalFormatting>
  <conditionalFormatting sqref="Q124 Q127 Q131">
    <cfRule type="cellIs" dxfId="16070" priority="2013" operator="lessThan">
      <formula>0</formula>
    </cfRule>
  </conditionalFormatting>
  <conditionalFormatting sqref="R124 R127 R131">
    <cfRule type="cellIs" dxfId="16069" priority="2011" operator="lessThan">
      <formula>0.8</formula>
    </cfRule>
    <cfRule type="cellIs" dxfId="16068" priority="2012" operator="greaterThan">
      <formula>1</formula>
    </cfRule>
  </conditionalFormatting>
  <conditionalFormatting sqref="R124 R127 R131">
    <cfRule type="cellIs" dxfId="16067" priority="2009" operator="greaterThan">
      <formula>1</formula>
    </cfRule>
    <cfRule type="cellIs" dxfId="16066" priority="2010" operator="lessThan">
      <formula>0.8</formula>
    </cfRule>
  </conditionalFormatting>
  <conditionalFormatting sqref="P124 P127 P131">
    <cfRule type="cellIs" dxfId="16065" priority="2008" operator="greaterThan">
      <formula>0</formula>
    </cfRule>
  </conditionalFormatting>
  <conditionalFormatting sqref="P124 P127 P131">
    <cfRule type="cellIs" dxfId="16064" priority="2002" operator="greaterThan">
      <formula>0</formula>
    </cfRule>
  </conditionalFormatting>
  <conditionalFormatting sqref="Q124 Q127 Q131">
    <cfRule type="cellIs" dxfId="16063" priority="2007" operator="lessThan">
      <formula>0</formula>
    </cfRule>
  </conditionalFormatting>
  <conditionalFormatting sqref="R124 R127 R131">
    <cfRule type="cellIs" dxfId="16062" priority="2005" operator="lessThan">
      <formula>0.8</formula>
    </cfRule>
    <cfRule type="cellIs" dxfId="16061" priority="2006" operator="greaterThan">
      <formula>1</formula>
    </cfRule>
  </conditionalFormatting>
  <conditionalFormatting sqref="R124 R127 R131">
    <cfRule type="cellIs" dxfId="16060" priority="2003" operator="greaterThan">
      <formula>1</formula>
    </cfRule>
    <cfRule type="cellIs" dxfId="16059" priority="2004" operator="lessThan">
      <formula>0.8</formula>
    </cfRule>
  </conditionalFormatting>
  <conditionalFormatting sqref="P124 P127 P131">
    <cfRule type="cellIs" dxfId="16058" priority="1996" operator="greaterThan">
      <formula>0</formula>
    </cfRule>
  </conditionalFormatting>
  <conditionalFormatting sqref="Q124 Q127 Q131">
    <cfRule type="cellIs" dxfId="16057" priority="2001" operator="lessThan">
      <formula>0</formula>
    </cfRule>
  </conditionalFormatting>
  <conditionalFormatting sqref="R124 R127 R131">
    <cfRule type="cellIs" dxfId="16056" priority="1999" operator="lessThan">
      <formula>0.8</formula>
    </cfRule>
    <cfRule type="cellIs" dxfId="16055" priority="2000" operator="greaterThan">
      <formula>1</formula>
    </cfRule>
  </conditionalFormatting>
  <conditionalFormatting sqref="R124 R127 R131">
    <cfRule type="cellIs" dxfId="16054" priority="1997" operator="greaterThan">
      <formula>1</formula>
    </cfRule>
    <cfRule type="cellIs" dxfId="16053" priority="1998" operator="lessThan">
      <formula>0.8</formula>
    </cfRule>
  </conditionalFormatting>
  <conditionalFormatting sqref="R124 R127 R131">
    <cfRule type="cellIs" dxfId="16052" priority="1993" operator="lessThan">
      <formula>0.8</formula>
    </cfRule>
    <cfRule type="cellIs" dxfId="16051" priority="1994" operator="greaterThan">
      <formula>1</formula>
    </cfRule>
  </conditionalFormatting>
  <conditionalFormatting sqref="R124 R127 R131">
    <cfRule type="cellIs" dxfId="16050" priority="1991" operator="greaterThan">
      <formula>1</formula>
    </cfRule>
    <cfRule type="cellIs" dxfId="16049" priority="1992" operator="lessThan">
      <formula>0.8</formula>
    </cfRule>
  </conditionalFormatting>
  <conditionalFormatting sqref="P124 P127 P131">
    <cfRule type="cellIs" dxfId="16048" priority="1990" operator="greaterThan">
      <formula>0</formula>
    </cfRule>
  </conditionalFormatting>
  <conditionalFormatting sqref="Q124 Q127 Q131">
    <cfRule type="cellIs" dxfId="16047" priority="1995" operator="lessThan">
      <formula>0</formula>
    </cfRule>
  </conditionalFormatting>
  <conditionalFormatting sqref="P124 P127 P131">
    <cfRule type="cellIs" dxfId="16046" priority="1984" operator="greaterThan">
      <formula>0</formula>
    </cfRule>
  </conditionalFormatting>
  <conditionalFormatting sqref="Q124 Q127 Q131">
    <cfRule type="cellIs" dxfId="16045" priority="1989" operator="lessThan">
      <formula>0</formula>
    </cfRule>
  </conditionalFormatting>
  <conditionalFormatting sqref="R124 R127 R131">
    <cfRule type="cellIs" dxfId="16044" priority="1987" operator="lessThan">
      <formula>0.8</formula>
    </cfRule>
    <cfRule type="cellIs" dxfId="16043" priority="1988" operator="greaterThan">
      <formula>1</formula>
    </cfRule>
  </conditionalFormatting>
  <conditionalFormatting sqref="R124 R127 R131">
    <cfRule type="cellIs" dxfId="16042" priority="1985" operator="greaterThan">
      <formula>1</formula>
    </cfRule>
    <cfRule type="cellIs" dxfId="16041" priority="1986" operator="lessThan">
      <formula>0.8</formula>
    </cfRule>
  </conditionalFormatting>
  <conditionalFormatting sqref="R124 R127 R131">
    <cfRule type="cellIs" dxfId="16040" priority="1981" operator="lessThan">
      <formula>0.8</formula>
    </cfRule>
    <cfRule type="cellIs" dxfId="16039" priority="1982" operator="greaterThan">
      <formula>1</formula>
    </cfRule>
  </conditionalFormatting>
  <conditionalFormatting sqref="R124 R127 R131">
    <cfRule type="cellIs" dxfId="16038" priority="1979" operator="greaterThan">
      <formula>1</formula>
    </cfRule>
    <cfRule type="cellIs" dxfId="16037" priority="1980" operator="lessThan">
      <formula>0.8</formula>
    </cfRule>
  </conditionalFormatting>
  <conditionalFormatting sqref="P124 P127 P131">
    <cfRule type="cellIs" dxfId="16036" priority="1978" operator="greaterThan">
      <formula>0</formula>
    </cfRule>
  </conditionalFormatting>
  <conditionalFormatting sqref="Q124 Q127 Q131">
    <cfRule type="cellIs" dxfId="16035" priority="1983" operator="lessThan">
      <formula>0</formula>
    </cfRule>
  </conditionalFormatting>
  <conditionalFormatting sqref="R124 R127 R131">
    <cfRule type="cellIs" dxfId="16034" priority="1975" operator="lessThan">
      <formula>0.8</formula>
    </cfRule>
    <cfRule type="cellIs" dxfId="16033" priority="1976" operator="greaterThan">
      <formula>1</formula>
    </cfRule>
  </conditionalFormatting>
  <conditionalFormatting sqref="R124 R127 R131">
    <cfRule type="cellIs" dxfId="16032" priority="1973" operator="greaterThan">
      <formula>1</formula>
    </cfRule>
    <cfRule type="cellIs" dxfId="16031" priority="1974" operator="lessThan">
      <formula>0.8</formula>
    </cfRule>
  </conditionalFormatting>
  <conditionalFormatting sqref="P124 P127 P131">
    <cfRule type="cellIs" dxfId="16030" priority="1972" operator="greaterThan">
      <formula>0</formula>
    </cfRule>
  </conditionalFormatting>
  <conditionalFormatting sqref="Q124 Q127 Q131">
    <cfRule type="cellIs" dxfId="16029" priority="1977" operator="lessThan">
      <formula>0</formula>
    </cfRule>
  </conditionalFormatting>
  <conditionalFormatting sqref="Q124 Q127 Q131">
    <cfRule type="cellIs" dxfId="16028" priority="1971" operator="lessThan">
      <formula>0</formula>
    </cfRule>
  </conditionalFormatting>
  <conditionalFormatting sqref="R124 R127 R131">
    <cfRule type="cellIs" dxfId="16027" priority="1969" operator="lessThan">
      <formula>0.8</formula>
    </cfRule>
    <cfRule type="cellIs" dxfId="16026" priority="1970" operator="greaterThan">
      <formula>1</formula>
    </cfRule>
  </conditionalFormatting>
  <conditionalFormatting sqref="R124 R127 R131">
    <cfRule type="cellIs" dxfId="16025" priority="1967" operator="greaterThan">
      <formula>1</formula>
    </cfRule>
    <cfRule type="cellIs" dxfId="16024" priority="1968" operator="lessThan">
      <formula>0.8</formula>
    </cfRule>
  </conditionalFormatting>
  <conditionalFormatting sqref="P124 P127 P131">
    <cfRule type="cellIs" dxfId="16023" priority="1966" operator="greaterThan">
      <formula>0</formula>
    </cfRule>
  </conditionalFormatting>
  <conditionalFormatting sqref="Q124 Q127 Q131">
    <cfRule type="cellIs" dxfId="16022" priority="1960" operator="lessThan">
      <formula>0</formula>
    </cfRule>
  </conditionalFormatting>
  <conditionalFormatting sqref="R124 R127 R131">
    <cfRule type="cellIs" dxfId="16021" priority="1964" operator="lessThan">
      <formula>0.8</formula>
    </cfRule>
    <cfRule type="cellIs" dxfId="16020" priority="1965" operator="greaterThan">
      <formula>1</formula>
    </cfRule>
  </conditionalFormatting>
  <conditionalFormatting sqref="R124 R127 R131">
    <cfRule type="cellIs" dxfId="16019" priority="1962" operator="greaterThan">
      <formula>1</formula>
    </cfRule>
    <cfRule type="cellIs" dxfId="16018" priority="1963" operator="lessThan">
      <formula>0.8</formula>
    </cfRule>
  </conditionalFormatting>
  <conditionalFormatting sqref="P124 P127 P131">
    <cfRule type="cellIs" dxfId="16017" priority="1961" operator="greaterThan">
      <formula>0</formula>
    </cfRule>
  </conditionalFormatting>
  <conditionalFormatting sqref="Q124 Q127 Q131">
    <cfRule type="cellIs" dxfId="16016" priority="1959" operator="lessThan">
      <formula>0</formula>
    </cfRule>
  </conditionalFormatting>
  <conditionalFormatting sqref="R124 R127 R131">
    <cfRule type="cellIs" dxfId="16015" priority="1957" operator="lessThan">
      <formula>0.8</formula>
    </cfRule>
    <cfRule type="cellIs" dxfId="16014" priority="1958" operator="greaterThan">
      <formula>1</formula>
    </cfRule>
  </conditionalFormatting>
  <conditionalFormatting sqref="R124 R127 R131">
    <cfRule type="cellIs" dxfId="16013" priority="1955" operator="greaterThan">
      <formula>1</formula>
    </cfRule>
    <cfRule type="cellIs" dxfId="16012" priority="1956" operator="lessThan">
      <formula>0.8</formula>
    </cfRule>
  </conditionalFormatting>
  <conditionalFormatting sqref="P124 P127 P131">
    <cfRule type="cellIs" dxfId="16011" priority="1954" operator="greaterThan">
      <formula>0</formula>
    </cfRule>
  </conditionalFormatting>
  <conditionalFormatting sqref="Q124 Q127 Q131">
    <cfRule type="cellIs" dxfId="16010" priority="1953" operator="lessThan">
      <formula>0</formula>
    </cfRule>
  </conditionalFormatting>
  <conditionalFormatting sqref="R124 R127 R131">
    <cfRule type="cellIs" dxfId="16009" priority="1951" operator="lessThan">
      <formula>0.8</formula>
    </cfRule>
    <cfRule type="cellIs" dxfId="16008" priority="1952" operator="greaterThan">
      <formula>1</formula>
    </cfRule>
  </conditionalFormatting>
  <conditionalFormatting sqref="R124 R127 R131">
    <cfRule type="cellIs" dxfId="16007" priority="1949" operator="greaterThan">
      <formula>1</formula>
    </cfRule>
    <cfRule type="cellIs" dxfId="16006" priority="1950" operator="lessThan">
      <formula>0.8</formula>
    </cfRule>
  </conditionalFormatting>
  <conditionalFormatting sqref="P124 P127 P131">
    <cfRule type="cellIs" dxfId="16005" priority="1948" operator="greaterThan">
      <formula>0</formula>
    </cfRule>
  </conditionalFormatting>
  <conditionalFormatting sqref="Q124 Q127 Q131">
    <cfRule type="cellIs" dxfId="16004" priority="1947" operator="lessThan">
      <formula>0</formula>
    </cfRule>
  </conditionalFormatting>
  <conditionalFormatting sqref="R124 R127 R131">
    <cfRule type="cellIs" dxfId="16003" priority="1945" operator="lessThan">
      <formula>0.8</formula>
    </cfRule>
    <cfRule type="cellIs" dxfId="16002" priority="1946" operator="greaterThan">
      <formula>1</formula>
    </cfRule>
  </conditionalFormatting>
  <conditionalFormatting sqref="R124 R127 R131">
    <cfRule type="cellIs" dxfId="16001" priority="1943" operator="greaterThan">
      <formula>1</formula>
    </cfRule>
    <cfRule type="cellIs" dxfId="16000" priority="1944" operator="lessThan">
      <formula>0.8</formula>
    </cfRule>
  </conditionalFormatting>
  <conditionalFormatting sqref="P124 P127 P131">
    <cfRule type="cellIs" dxfId="15999" priority="1942" operator="greaterThan">
      <formula>0</formula>
    </cfRule>
  </conditionalFormatting>
  <conditionalFormatting sqref="Q124 Q127 Q131">
    <cfRule type="cellIs" dxfId="15998" priority="1941" operator="lessThan">
      <formula>0</formula>
    </cfRule>
  </conditionalFormatting>
  <conditionalFormatting sqref="R124 R127 R131">
    <cfRule type="cellIs" dxfId="15997" priority="1939" operator="lessThan">
      <formula>0.8</formula>
    </cfRule>
    <cfRule type="cellIs" dxfId="15996" priority="1940" operator="greaterThan">
      <formula>1</formula>
    </cfRule>
  </conditionalFormatting>
  <conditionalFormatting sqref="R124 R127 R131">
    <cfRule type="cellIs" dxfId="15995" priority="1937" operator="greaterThan">
      <formula>1</formula>
    </cfRule>
    <cfRule type="cellIs" dxfId="15994" priority="1938" operator="lessThan">
      <formula>0.8</formula>
    </cfRule>
  </conditionalFormatting>
  <conditionalFormatting sqref="P124 P127 P131">
    <cfRule type="cellIs" dxfId="15993" priority="1936" operator="greaterThan">
      <formula>0</formula>
    </cfRule>
  </conditionalFormatting>
  <conditionalFormatting sqref="Q124 Q127 Q131">
    <cfRule type="cellIs" dxfId="15992" priority="1935" operator="lessThan">
      <formula>0</formula>
    </cfRule>
  </conditionalFormatting>
  <conditionalFormatting sqref="R124 R127 R131">
    <cfRule type="cellIs" dxfId="15991" priority="1933" operator="lessThan">
      <formula>0.8</formula>
    </cfRule>
    <cfRule type="cellIs" dxfId="15990" priority="1934" operator="greaterThan">
      <formula>1</formula>
    </cfRule>
  </conditionalFormatting>
  <conditionalFormatting sqref="R124 R127 R131">
    <cfRule type="cellIs" dxfId="15989" priority="1931" operator="greaterThan">
      <formula>1</formula>
    </cfRule>
    <cfRule type="cellIs" dxfId="15988" priority="1932" operator="lessThan">
      <formula>0.8</formula>
    </cfRule>
  </conditionalFormatting>
  <conditionalFormatting sqref="P124 P127 P131">
    <cfRule type="cellIs" dxfId="15987" priority="1930" operator="greaterThan">
      <formula>0</formula>
    </cfRule>
  </conditionalFormatting>
  <conditionalFormatting sqref="P124 P127 P131">
    <cfRule type="cellIs" dxfId="15986" priority="1924" operator="greaterThan">
      <formula>0</formula>
    </cfRule>
  </conditionalFormatting>
  <conditionalFormatting sqref="Q124 Q127 Q131">
    <cfRule type="cellIs" dxfId="15985" priority="1929" operator="lessThan">
      <formula>0</formula>
    </cfRule>
  </conditionalFormatting>
  <conditionalFormatting sqref="R124 R127 R131">
    <cfRule type="cellIs" dxfId="15984" priority="1927" operator="lessThan">
      <formula>0.8</formula>
    </cfRule>
    <cfRule type="cellIs" dxfId="15983" priority="1928" operator="greaterThan">
      <formula>1</formula>
    </cfRule>
  </conditionalFormatting>
  <conditionalFormatting sqref="R124 R127 R131">
    <cfRule type="cellIs" dxfId="15982" priority="1925" operator="greaterThan">
      <formula>1</formula>
    </cfRule>
    <cfRule type="cellIs" dxfId="15981" priority="1926" operator="lessThan">
      <formula>0.8</formula>
    </cfRule>
  </conditionalFormatting>
  <conditionalFormatting sqref="P124 P127 P131">
    <cfRule type="cellIs" dxfId="15980" priority="1918" operator="greaterThan">
      <formula>0</formula>
    </cfRule>
  </conditionalFormatting>
  <conditionalFormatting sqref="Q124 Q127 Q131">
    <cfRule type="cellIs" dxfId="15979" priority="1923" operator="lessThan">
      <formula>0</formula>
    </cfRule>
  </conditionalFormatting>
  <conditionalFormatting sqref="R124 R127 R131">
    <cfRule type="cellIs" dxfId="15978" priority="1921" operator="lessThan">
      <formula>0.8</formula>
    </cfRule>
    <cfRule type="cellIs" dxfId="15977" priority="1922" operator="greaterThan">
      <formula>1</formula>
    </cfRule>
  </conditionalFormatting>
  <conditionalFormatting sqref="R124 R127 R131">
    <cfRule type="cellIs" dxfId="15976" priority="1919" operator="greaterThan">
      <formula>1</formula>
    </cfRule>
    <cfRule type="cellIs" dxfId="15975" priority="1920" operator="lessThan">
      <formula>0.8</formula>
    </cfRule>
  </conditionalFormatting>
  <conditionalFormatting sqref="R124 R127 R131">
    <cfRule type="cellIs" dxfId="15974" priority="1915" operator="lessThan">
      <formula>0.8</formula>
    </cfRule>
    <cfRule type="cellIs" dxfId="15973" priority="1916" operator="greaterThan">
      <formula>1</formula>
    </cfRule>
  </conditionalFormatting>
  <conditionalFormatting sqref="R124 R127 R131">
    <cfRule type="cellIs" dxfId="15972" priority="1913" operator="greaterThan">
      <formula>1</formula>
    </cfRule>
    <cfRule type="cellIs" dxfId="15971" priority="1914" operator="lessThan">
      <formula>0.8</formula>
    </cfRule>
  </conditionalFormatting>
  <conditionalFormatting sqref="P124 P127 P131">
    <cfRule type="cellIs" dxfId="15970" priority="1912" operator="greaterThan">
      <formula>0</formula>
    </cfRule>
  </conditionalFormatting>
  <conditionalFormatting sqref="Q124 Q127 Q131">
    <cfRule type="cellIs" dxfId="15969" priority="1917" operator="lessThan">
      <formula>0</formula>
    </cfRule>
  </conditionalFormatting>
  <conditionalFormatting sqref="Q5:Q14">
    <cfRule type="cellIs" dxfId="15968" priority="1911" operator="lessThan">
      <formula>0</formula>
    </cfRule>
  </conditionalFormatting>
  <conditionalFormatting sqref="R5:R14">
    <cfRule type="cellIs" dxfId="15967" priority="1909" operator="lessThan">
      <formula>0.8</formula>
    </cfRule>
    <cfRule type="cellIs" dxfId="15966" priority="1910" operator="greaterThan">
      <formula>1</formula>
    </cfRule>
  </conditionalFormatting>
  <conditionalFormatting sqref="R5:R14">
    <cfRule type="cellIs" dxfId="15965" priority="1907" operator="greaterThan">
      <formula>1</formula>
    </cfRule>
    <cfRule type="cellIs" dxfId="15964" priority="1908" operator="lessThan">
      <formula>0.8</formula>
    </cfRule>
  </conditionalFormatting>
  <conditionalFormatting sqref="P5:P14">
    <cfRule type="cellIs" dxfId="15963" priority="1906" operator="greaterThan">
      <formula>0</formula>
    </cfRule>
  </conditionalFormatting>
  <conditionalFormatting sqref="Q83">
    <cfRule type="cellIs" dxfId="15962" priority="1905" operator="lessThan">
      <formula>0</formula>
    </cfRule>
  </conditionalFormatting>
  <conditionalFormatting sqref="R83">
    <cfRule type="cellIs" dxfId="15961" priority="1903" operator="lessThan">
      <formula>0.8</formula>
    </cfRule>
    <cfRule type="cellIs" dxfId="15960" priority="1904" operator="greaterThan">
      <formula>1</formula>
    </cfRule>
  </conditionalFormatting>
  <conditionalFormatting sqref="R83">
    <cfRule type="cellIs" dxfId="15959" priority="1901" operator="greaterThan">
      <formula>1</formula>
    </cfRule>
    <cfRule type="cellIs" dxfId="15958" priority="1902" operator="lessThan">
      <formula>0.8</formula>
    </cfRule>
  </conditionalFormatting>
  <conditionalFormatting sqref="P83">
    <cfRule type="cellIs" dxfId="15957" priority="1900" operator="greaterThan">
      <formula>0</formula>
    </cfRule>
  </conditionalFormatting>
  <conditionalFormatting sqref="Q83">
    <cfRule type="cellIs" dxfId="15956" priority="1899" operator="lessThan">
      <formula>0</formula>
    </cfRule>
  </conditionalFormatting>
  <conditionalFormatting sqref="R83">
    <cfRule type="cellIs" dxfId="15955" priority="1897" operator="lessThan">
      <formula>0.8</formula>
    </cfRule>
    <cfRule type="cellIs" dxfId="15954" priority="1898" operator="greaterThan">
      <formula>1</formula>
    </cfRule>
  </conditionalFormatting>
  <conditionalFormatting sqref="R83">
    <cfRule type="cellIs" dxfId="15953" priority="1895" operator="greaterThan">
      <formula>1</formula>
    </cfRule>
    <cfRule type="cellIs" dxfId="15952" priority="1896" operator="lessThan">
      <formula>0.8</formula>
    </cfRule>
  </conditionalFormatting>
  <conditionalFormatting sqref="P83">
    <cfRule type="cellIs" dxfId="15951" priority="1894" operator="greaterThan">
      <formula>0</formula>
    </cfRule>
  </conditionalFormatting>
  <conditionalFormatting sqref="Q83">
    <cfRule type="cellIs" dxfId="15950" priority="1893" operator="lessThan">
      <formula>0</formula>
    </cfRule>
  </conditionalFormatting>
  <conditionalFormatting sqref="R83">
    <cfRule type="cellIs" dxfId="15949" priority="1891" operator="lessThan">
      <formula>0.8</formula>
    </cfRule>
    <cfRule type="cellIs" dxfId="15948" priority="1892" operator="greaterThan">
      <formula>1</formula>
    </cfRule>
  </conditionalFormatting>
  <conditionalFormatting sqref="R83">
    <cfRule type="cellIs" dxfId="15947" priority="1889" operator="greaterThan">
      <formula>1</formula>
    </cfRule>
    <cfRule type="cellIs" dxfId="15946" priority="1890" operator="lessThan">
      <formula>0.8</formula>
    </cfRule>
  </conditionalFormatting>
  <conditionalFormatting sqref="P83">
    <cfRule type="cellIs" dxfId="15945" priority="1888" operator="greaterThan">
      <formula>0</formula>
    </cfRule>
  </conditionalFormatting>
  <conditionalFormatting sqref="Q83">
    <cfRule type="cellIs" dxfId="15944" priority="1887" operator="lessThan">
      <formula>0</formula>
    </cfRule>
  </conditionalFormatting>
  <conditionalFormatting sqref="R83">
    <cfRule type="cellIs" dxfId="15943" priority="1885" operator="lessThan">
      <formula>0.8</formula>
    </cfRule>
    <cfRule type="cellIs" dxfId="15942" priority="1886" operator="greaterThan">
      <formula>1</formula>
    </cfRule>
  </conditionalFormatting>
  <conditionalFormatting sqref="R83">
    <cfRule type="cellIs" dxfId="15941" priority="1883" operator="greaterThan">
      <formula>1</formula>
    </cfRule>
    <cfRule type="cellIs" dxfId="15940" priority="1884" operator="lessThan">
      <formula>0.8</formula>
    </cfRule>
  </conditionalFormatting>
  <conditionalFormatting sqref="P83">
    <cfRule type="cellIs" dxfId="15939" priority="1882" operator="greaterThan">
      <formula>0</formula>
    </cfRule>
  </conditionalFormatting>
  <conditionalFormatting sqref="P83">
    <cfRule type="cellIs" dxfId="15938" priority="1876" operator="greaterThan">
      <formula>0</formula>
    </cfRule>
  </conditionalFormatting>
  <conditionalFormatting sqref="Q83">
    <cfRule type="cellIs" dxfId="15937" priority="1881" operator="lessThan">
      <formula>0</formula>
    </cfRule>
  </conditionalFormatting>
  <conditionalFormatting sqref="R83">
    <cfRule type="cellIs" dxfId="15936" priority="1879" operator="lessThan">
      <formula>0.8</formula>
    </cfRule>
    <cfRule type="cellIs" dxfId="15935" priority="1880" operator="greaterThan">
      <formula>1</formula>
    </cfRule>
  </conditionalFormatting>
  <conditionalFormatting sqref="R83">
    <cfRule type="cellIs" dxfId="15934" priority="1877" operator="greaterThan">
      <formula>1</formula>
    </cfRule>
    <cfRule type="cellIs" dxfId="15933" priority="1878" operator="lessThan">
      <formula>0.8</formula>
    </cfRule>
  </conditionalFormatting>
  <conditionalFormatting sqref="P83">
    <cfRule type="cellIs" dxfId="15932" priority="1870" operator="greaterThan">
      <formula>0</formula>
    </cfRule>
  </conditionalFormatting>
  <conditionalFormatting sqref="Q83">
    <cfRule type="cellIs" dxfId="15931" priority="1875" operator="lessThan">
      <formula>0</formula>
    </cfRule>
  </conditionalFormatting>
  <conditionalFormatting sqref="R83">
    <cfRule type="cellIs" dxfId="15930" priority="1873" operator="lessThan">
      <formula>0.8</formula>
    </cfRule>
    <cfRule type="cellIs" dxfId="15929" priority="1874" operator="greaterThan">
      <formula>1</formula>
    </cfRule>
  </conditionalFormatting>
  <conditionalFormatting sqref="R83">
    <cfRule type="cellIs" dxfId="15928" priority="1871" operator="greaterThan">
      <formula>1</formula>
    </cfRule>
    <cfRule type="cellIs" dxfId="15927" priority="1872" operator="lessThan">
      <formula>0.8</formula>
    </cfRule>
  </conditionalFormatting>
  <conditionalFormatting sqref="R83">
    <cfRule type="cellIs" dxfId="15926" priority="1867" operator="lessThan">
      <formula>0.8</formula>
    </cfRule>
    <cfRule type="cellIs" dxfId="15925" priority="1868" operator="greaterThan">
      <formula>1</formula>
    </cfRule>
  </conditionalFormatting>
  <conditionalFormatting sqref="R83">
    <cfRule type="cellIs" dxfId="15924" priority="1865" operator="greaterThan">
      <formula>1</formula>
    </cfRule>
    <cfRule type="cellIs" dxfId="15923" priority="1866" operator="lessThan">
      <formula>0.8</formula>
    </cfRule>
  </conditionalFormatting>
  <conditionalFormatting sqref="P83">
    <cfRule type="cellIs" dxfId="15922" priority="1864" operator="greaterThan">
      <formula>0</formula>
    </cfRule>
  </conditionalFormatting>
  <conditionalFormatting sqref="Q83">
    <cfRule type="cellIs" dxfId="15921" priority="1869" operator="lessThan">
      <formula>0</formula>
    </cfRule>
  </conditionalFormatting>
  <conditionalFormatting sqref="Q83">
    <cfRule type="cellIs" dxfId="15920" priority="1863" operator="lessThan">
      <formula>0</formula>
    </cfRule>
  </conditionalFormatting>
  <conditionalFormatting sqref="R83">
    <cfRule type="cellIs" dxfId="15919" priority="1861" operator="lessThan">
      <formula>0.8</formula>
    </cfRule>
    <cfRule type="cellIs" dxfId="15918" priority="1862" operator="greaterThan">
      <formula>1</formula>
    </cfRule>
  </conditionalFormatting>
  <conditionalFormatting sqref="R83">
    <cfRule type="cellIs" dxfId="15917" priority="1859" operator="greaterThan">
      <formula>1</formula>
    </cfRule>
    <cfRule type="cellIs" dxfId="15916" priority="1860" operator="lessThan">
      <formula>0.8</formula>
    </cfRule>
  </conditionalFormatting>
  <conditionalFormatting sqref="P83">
    <cfRule type="cellIs" dxfId="15915" priority="1858" operator="greaterThan">
      <formula>0</formula>
    </cfRule>
  </conditionalFormatting>
  <conditionalFormatting sqref="P83">
    <cfRule type="cellIs" dxfId="15914" priority="1852" operator="greaterThan">
      <formula>0</formula>
    </cfRule>
  </conditionalFormatting>
  <conditionalFormatting sqref="Q83">
    <cfRule type="cellIs" dxfId="15913" priority="1857" operator="lessThan">
      <formula>0</formula>
    </cfRule>
  </conditionalFormatting>
  <conditionalFormatting sqref="R83">
    <cfRule type="cellIs" dxfId="15912" priority="1855" operator="lessThan">
      <formula>0.8</formula>
    </cfRule>
    <cfRule type="cellIs" dxfId="15911" priority="1856" operator="greaterThan">
      <formula>1</formula>
    </cfRule>
  </conditionalFormatting>
  <conditionalFormatting sqref="R83">
    <cfRule type="cellIs" dxfId="15910" priority="1853" operator="greaterThan">
      <formula>1</formula>
    </cfRule>
    <cfRule type="cellIs" dxfId="15909" priority="1854" operator="lessThan">
      <formula>0.8</formula>
    </cfRule>
  </conditionalFormatting>
  <conditionalFormatting sqref="P83">
    <cfRule type="cellIs" dxfId="15908" priority="1846" operator="greaterThan">
      <formula>0</formula>
    </cfRule>
  </conditionalFormatting>
  <conditionalFormatting sqref="Q83">
    <cfRule type="cellIs" dxfId="15907" priority="1851" operator="lessThan">
      <formula>0</formula>
    </cfRule>
  </conditionalFormatting>
  <conditionalFormatting sqref="R83">
    <cfRule type="cellIs" dxfId="15906" priority="1849" operator="lessThan">
      <formula>0.8</formula>
    </cfRule>
    <cfRule type="cellIs" dxfId="15905" priority="1850" operator="greaterThan">
      <formula>1</formula>
    </cfRule>
  </conditionalFormatting>
  <conditionalFormatting sqref="R83">
    <cfRule type="cellIs" dxfId="15904" priority="1847" operator="greaterThan">
      <formula>1</formula>
    </cfRule>
    <cfRule type="cellIs" dxfId="15903" priority="1848" operator="lessThan">
      <formula>0.8</formula>
    </cfRule>
  </conditionalFormatting>
  <conditionalFormatting sqref="R83">
    <cfRule type="cellIs" dxfId="15902" priority="1843" operator="lessThan">
      <formula>0.8</formula>
    </cfRule>
    <cfRule type="cellIs" dxfId="15901" priority="1844" operator="greaterThan">
      <formula>1</formula>
    </cfRule>
  </conditionalFormatting>
  <conditionalFormatting sqref="R83">
    <cfRule type="cellIs" dxfId="15900" priority="1841" operator="greaterThan">
      <formula>1</formula>
    </cfRule>
    <cfRule type="cellIs" dxfId="15899" priority="1842" operator="lessThan">
      <formula>0.8</formula>
    </cfRule>
  </conditionalFormatting>
  <conditionalFormatting sqref="P83">
    <cfRule type="cellIs" dxfId="15898" priority="1840" operator="greaterThan">
      <formula>0</formula>
    </cfRule>
  </conditionalFormatting>
  <conditionalFormatting sqref="Q83">
    <cfRule type="cellIs" dxfId="15897" priority="1845" operator="lessThan">
      <formula>0</formula>
    </cfRule>
  </conditionalFormatting>
  <conditionalFormatting sqref="P83">
    <cfRule type="cellIs" dxfId="15896" priority="1834" operator="greaterThan">
      <formula>0</formula>
    </cfRule>
  </conditionalFormatting>
  <conditionalFormatting sqref="Q83">
    <cfRule type="cellIs" dxfId="15895" priority="1839" operator="lessThan">
      <formula>0</formula>
    </cfRule>
  </conditionalFormatting>
  <conditionalFormatting sqref="R83">
    <cfRule type="cellIs" dxfId="15894" priority="1837" operator="lessThan">
      <formula>0.8</formula>
    </cfRule>
    <cfRule type="cellIs" dxfId="15893" priority="1838" operator="greaterThan">
      <formula>1</formula>
    </cfRule>
  </conditionalFormatting>
  <conditionalFormatting sqref="R83">
    <cfRule type="cellIs" dxfId="15892" priority="1835" operator="greaterThan">
      <formula>1</formula>
    </cfRule>
    <cfRule type="cellIs" dxfId="15891" priority="1836" operator="lessThan">
      <formula>0.8</formula>
    </cfRule>
  </conditionalFormatting>
  <conditionalFormatting sqref="R83">
    <cfRule type="cellIs" dxfId="15890" priority="1831" operator="lessThan">
      <formula>0.8</formula>
    </cfRule>
    <cfRule type="cellIs" dxfId="15889" priority="1832" operator="greaterThan">
      <formula>1</formula>
    </cfRule>
  </conditionalFormatting>
  <conditionalFormatting sqref="R83">
    <cfRule type="cellIs" dxfId="15888" priority="1829" operator="greaterThan">
      <formula>1</formula>
    </cfRule>
    <cfRule type="cellIs" dxfId="15887" priority="1830" operator="lessThan">
      <formula>0.8</formula>
    </cfRule>
  </conditionalFormatting>
  <conditionalFormatting sqref="P83">
    <cfRule type="cellIs" dxfId="15886" priority="1828" operator="greaterThan">
      <formula>0</formula>
    </cfRule>
  </conditionalFormatting>
  <conditionalFormatting sqref="Q83">
    <cfRule type="cellIs" dxfId="15885" priority="1833" operator="lessThan">
      <formula>0</formula>
    </cfRule>
  </conditionalFormatting>
  <conditionalFormatting sqref="R83">
    <cfRule type="cellIs" dxfId="15884" priority="1825" operator="lessThan">
      <formula>0.8</formula>
    </cfRule>
    <cfRule type="cellIs" dxfId="15883" priority="1826" operator="greaterThan">
      <formula>1</formula>
    </cfRule>
  </conditionalFormatting>
  <conditionalFormatting sqref="R83">
    <cfRule type="cellIs" dxfId="15882" priority="1823" operator="greaterThan">
      <formula>1</formula>
    </cfRule>
    <cfRule type="cellIs" dxfId="15881" priority="1824" operator="lessThan">
      <formula>0.8</formula>
    </cfRule>
  </conditionalFormatting>
  <conditionalFormatting sqref="P83">
    <cfRule type="cellIs" dxfId="15880" priority="1822" operator="greaterThan">
      <formula>0</formula>
    </cfRule>
  </conditionalFormatting>
  <conditionalFormatting sqref="Q83">
    <cfRule type="cellIs" dxfId="15879" priority="1827" operator="lessThan">
      <formula>0</formula>
    </cfRule>
  </conditionalFormatting>
  <conditionalFormatting sqref="Q83">
    <cfRule type="cellIs" dxfId="15878" priority="1821" operator="lessThan">
      <formula>0</formula>
    </cfRule>
  </conditionalFormatting>
  <conditionalFormatting sqref="R83">
    <cfRule type="cellIs" dxfId="15877" priority="1819" operator="lessThan">
      <formula>0.8</formula>
    </cfRule>
    <cfRule type="cellIs" dxfId="15876" priority="1820" operator="greaterThan">
      <formula>1</formula>
    </cfRule>
  </conditionalFormatting>
  <conditionalFormatting sqref="R83">
    <cfRule type="cellIs" dxfId="15875" priority="1817" operator="greaterThan">
      <formula>1</formula>
    </cfRule>
    <cfRule type="cellIs" dxfId="15874" priority="1818" operator="lessThan">
      <formula>0.8</formula>
    </cfRule>
  </conditionalFormatting>
  <conditionalFormatting sqref="P83">
    <cfRule type="cellIs" dxfId="15873" priority="1816" operator="greaterThan">
      <formula>0</formula>
    </cfRule>
  </conditionalFormatting>
  <conditionalFormatting sqref="Q83">
    <cfRule type="cellIs" dxfId="15872" priority="1810" operator="lessThan">
      <formula>0</formula>
    </cfRule>
  </conditionalFormatting>
  <conditionalFormatting sqref="R83">
    <cfRule type="cellIs" dxfId="15871" priority="1814" operator="lessThan">
      <formula>0.8</formula>
    </cfRule>
    <cfRule type="cellIs" dxfId="15870" priority="1815" operator="greaterThan">
      <formula>1</formula>
    </cfRule>
  </conditionalFormatting>
  <conditionalFormatting sqref="R83">
    <cfRule type="cellIs" dxfId="15869" priority="1812" operator="greaterThan">
      <formula>1</formula>
    </cfRule>
    <cfRule type="cellIs" dxfId="15868" priority="1813" operator="lessThan">
      <formula>0.8</formula>
    </cfRule>
  </conditionalFormatting>
  <conditionalFormatting sqref="P83">
    <cfRule type="cellIs" dxfId="15867" priority="1811" operator="greaterThan">
      <formula>0</formula>
    </cfRule>
  </conditionalFormatting>
  <conditionalFormatting sqref="Q83">
    <cfRule type="cellIs" dxfId="15866" priority="1809" operator="lessThan">
      <formula>0</formula>
    </cfRule>
  </conditionalFormatting>
  <conditionalFormatting sqref="R83">
    <cfRule type="cellIs" dxfId="15865" priority="1807" operator="lessThan">
      <formula>0.8</formula>
    </cfRule>
    <cfRule type="cellIs" dxfId="15864" priority="1808" operator="greaterThan">
      <formula>1</formula>
    </cfRule>
  </conditionalFormatting>
  <conditionalFormatting sqref="R83">
    <cfRule type="cellIs" dxfId="15863" priority="1805" operator="greaterThan">
      <formula>1</formula>
    </cfRule>
    <cfRule type="cellIs" dxfId="15862" priority="1806" operator="lessThan">
      <formula>0.8</formula>
    </cfRule>
  </conditionalFormatting>
  <conditionalFormatting sqref="P83">
    <cfRule type="cellIs" dxfId="15861" priority="1804" operator="greaterThan">
      <formula>0</formula>
    </cfRule>
  </conditionalFormatting>
  <conditionalFormatting sqref="Q83">
    <cfRule type="cellIs" dxfId="15860" priority="1803" operator="lessThan">
      <formula>0</formula>
    </cfRule>
  </conditionalFormatting>
  <conditionalFormatting sqref="R83">
    <cfRule type="cellIs" dxfId="15859" priority="1801" operator="lessThan">
      <formula>0.8</formula>
    </cfRule>
    <cfRule type="cellIs" dxfId="15858" priority="1802" operator="greaterThan">
      <formula>1</formula>
    </cfRule>
  </conditionalFormatting>
  <conditionalFormatting sqref="R83">
    <cfRule type="cellIs" dxfId="15857" priority="1799" operator="greaterThan">
      <formula>1</formula>
    </cfRule>
    <cfRule type="cellIs" dxfId="15856" priority="1800" operator="lessThan">
      <formula>0.8</formula>
    </cfRule>
  </conditionalFormatting>
  <conditionalFormatting sqref="P83">
    <cfRule type="cellIs" dxfId="15855" priority="1798" operator="greaterThan">
      <formula>0</formula>
    </cfRule>
  </conditionalFormatting>
  <conditionalFormatting sqref="Q83">
    <cfRule type="cellIs" dxfId="15854" priority="1797" operator="lessThan">
      <formula>0</formula>
    </cfRule>
  </conditionalFormatting>
  <conditionalFormatting sqref="R83">
    <cfRule type="cellIs" dxfId="15853" priority="1795" operator="lessThan">
      <formula>0.8</formula>
    </cfRule>
    <cfRule type="cellIs" dxfId="15852" priority="1796" operator="greaterThan">
      <formula>1</formula>
    </cfRule>
  </conditionalFormatting>
  <conditionalFormatting sqref="R83">
    <cfRule type="cellIs" dxfId="15851" priority="1793" operator="greaterThan">
      <formula>1</formula>
    </cfRule>
    <cfRule type="cellIs" dxfId="15850" priority="1794" operator="lessThan">
      <formula>0.8</formula>
    </cfRule>
  </conditionalFormatting>
  <conditionalFormatting sqref="P83">
    <cfRule type="cellIs" dxfId="15849" priority="1792" operator="greaterThan">
      <formula>0</formula>
    </cfRule>
  </conditionalFormatting>
  <conditionalFormatting sqref="Q83">
    <cfRule type="cellIs" dxfId="15848" priority="1791" operator="lessThan">
      <formula>0</formula>
    </cfRule>
  </conditionalFormatting>
  <conditionalFormatting sqref="R83">
    <cfRule type="cellIs" dxfId="15847" priority="1789" operator="lessThan">
      <formula>0.8</formula>
    </cfRule>
    <cfRule type="cellIs" dxfId="15846" priority="1790" operator="greaterThan">
      <formula>1</formula>
    </cfRule>
  </conditionalFormatting>
  <conditionalFormatting sqref="R83">
    <cfRule type="cellIs" dxfId="15845" priority="1787" operator="greaterThan">
      <formula>1</formula>
    </cfRule>
    <cfRule type="cellIs" dxfId="15844" priority="1788" operator="lessThan">
      <formula>0.8</formula>
    </cfRule>
  </conditionalFormatting>
  <conditionalFormatting sqref="P83">
    <cfRule type="cellIs" dxfId="15843" priority="1786" operator="greaterThan">
      <formula>0</formula>
    </cfRule>
  </conditionalFormatting>
  <conditionalFormatting sqref="Q83">
    <cfRule type="cellIs" dxfId="15842" priority="1785" operator="lessThan">
      <formula>0</formula>
    </cfRule>
  </conditionalFormatting>
  <conditionalFormatting sqref="R83">
    <cfRule type="cellIs" dxfId="15841" priority="1783" operator="lessThan">
      <formula>0.8</formula>
    </cfRule>
    <cfRule type="cellIs" dxfId="15840" priority="1784" operator="greaterThan">
      <formula>1</formula>
    </cfRule>
  </conditionalFormatting>
  <conditionalFormatting sqref="R83">
    <cfRule type="cellIs" dxfId="15839" priority="1781" operator="greaterThan">
      <formula>1</formula>
    </cfRule>
    <cfRule type="cellIs" dxfId="15838" priority="1782" operator="lessThan">
      <formula>0.8</formula>
    </cfRule>
  </conditionalFormatting>
  <conditionalFormatting sqref="P83">
    <cfRule type="cellIs" dxfId="15837" priority="1780" operator="greaterThan">
      <formula>0</formula>
    </cfRule>
  </conditionalFormatting>
  <conditionalFormatting sqref="P83">
    <cfRule type="cellIs" dxfId="15836" priority="1774" operator="greaterThan">
      <formula>0</formula>
    </cfRule>
  </conditionalFormatting>
  <conditionalFormatting sqref="Q83">
    <cfRule type="cellIs" dxfId="15835" priority="1779" operator="lessThan">
      <formula>0</formula>
    </cfRule>
  </conditionalFormatting>
  <conditionalFormatting sqref="R83">
    <cfRule type="cellIs" dxfId="15834" priority="1777" operator="lessThan">
      <formula>0.8</formula>
    </cfRule>
    <cfRule type="cellIs" dxfId="15833" priority="1778" operator="greaterThan">
      <formula>1</formula>
    </cfRule>
  </conditionalFormatting>
  <conditionalFormatting sqref="R83">
    <cfRule type="cellIs" dxfId="15832" priority="1775" operator="greaterThan">
      <formula>1</formula>
    </cfRule>
    <cfRule type="cellIs" dxfId="15831" priority="1776" operator="lessThan">
      <formula>0.8</formula>
    </cfRule>
  </conditionalFormatting>
  <conditionalFormatting sqref="P83">
    <cfRule type="cellIs" dxfId="15830" priority="1768" operator="greaterThan">
      <formula>0</formula>
    </cfRule>
  </conditionalFormatting>
  <conditionalFormatting sqref="Q83">
    <cfRule type="cellIs" dxfId="15829" priority="1773" operator="lessThan">
      <formula>0</formula>
    </cfRule>
  </conditionalFormatting>
  <conditionalFormatting sqref="R83">
    <cfRule type="cellIs" dxfId="15828" priority="1771" operator="lessThan">
      <formula>0.8</formula>
    </cfRule>
    <cfRule type="cellIs" dxfId="15827" priority="1772" operator="greaterThan">
      <formula>1</formula>
    </cfRule>
  </conditionalFormatting>
  <conditionalFormatting sqref="R83">
    <cfRule type="cellIs" dxfId="15826" priority="1769" operator="greaterThan">
      <formula>1</formula>
    </cfRule>
    <cfRule type="cellIs" dxfId="15825" priority="1770" operator="lessThan">
      <formula>0.8</formula>
    </cfRule>
  </conditionalFormatting>
  <conditionalFormatting sqref="R83">
    <cfRule type="cellIs" dxfId="15824" priority="1765" operator="lessThan">
      <formula>0.8</formula>
    </cfRule>
    <cfRule type="cellIs" dxfId="15823" priority="1766" operator="greaterThan">
      <formula>1</formula>
    </cfRule>
  </conditionalFormatting>
  <conditionalFormatting sqref="R83">
    <cfRule type="cellIs" dxfId="15822" priority="1763" operator="greaterThan">
      <formula>1</formula>
    </cfRule>
    <cfRule type="cellIs" dxfId="15821" priority="1764" operator="lessThan">
      <formula>0.8</formula>
    </cfRule>
  </conditionalFormatting>
  <conditionalFormatting sqref="P83">
    <cfRule type="cellIs" dxfId="15820" priority="1762" operator="greaterThan">
      <formula>0</formula>
    </cfRule>
  </conditionalFormatting>
  <conditionalFormatting sqref="Q83">
    <cfRule type="cellIs" dxfId="15819" priority="1767" operator="lessThan">
      <formula>0</formula>
    </cfRule>
  </conditionalFormatting>
  <conditionalFormatting sqref="Q83">
    <cfRule type="cellIs" dxfId="15818" priority="1756" operator="lessThan">
      <formula>0</formula>
    </cfRule>
  </conditionalFormatting>
  <conditionalFormatting sqref="P83">
    <cfRule type="cellIs" dxfId="15817" priority="1757" operator="greaterThan">
      <formula>0</formula>
    </cfRule>
  </conditionalFormatting>
  <conditionalFormatting sqref="R83">
    <cfRule type="cellIs" dxfId="15816" priority="1760" operator="lessThan">
      <formula>0.8</formula>
    </cfRule>
    <cfRule type="cellIs" dxfId="15815" priority="1761" operator="greaterThan">
      <formula>1</formula>
    </cfRule>
  </conditionalFormatting>
  <conditionalFormatting sqref="R83">
    <cfRule type="cellIs" dxfId="15814" priority="1758" operator="greaterThan">
      <formula>1</formula>
    </cfRule>
    <cfRule type="cellIs" dxfId="15813" priority="1759" operator="lessThan">
      <formula>0.8</formula>
    </cfRule>
  </conditionalFormatting>
  <conditionalFormatting sqref="Q83">
    <cfRule type="cellIs" dxfId="15812" priority="1750" operator="lessThan">
      <formula>0</formula>
    </cfRule>
  </conditionalFormatting>
  <conditionalFormatting sqref="R83">
    <cfRule type="cellIs" dxfId="15811" priority="1754" operator="lessThan">
      <formula>0.8</formula>
    </cfRule>
    <cfRule type="cellIs" dxfId="15810" priority="1755" operator="greaterThan">
      <formula>1</formula>
    </cfRule>
  </conditionalFormatting>
  <conditionalFormatting sqref="R83">
    <cfRule type="cellIs" dxfId="15809" priority="1752" operator="greaterThan">
      <formula>1</formula>
    </cfRule>
    <cfRule type="cellIs" dxfId="15808" priority="1753" operator="lessThan">
      <formula>0.8</formula>
    </cfRule>
  </conditionalFormatting>
  <conditionalFormatting sqref="P83">
    <cfRule type="cellIs" dxfId="15807" priority="1751" operator="greaterThan">
      <formula>0</formula>
    </cfRule>
  </conditionalFormatting>
  <conditionalFormatting sqref="Q83">
    <cfRule type="cellIs" dxfId="15806" priority="1749" operator="lessThan">
      <formula>0</formula>
    </cfRule>
  </conditionalFormatting>
  <conditionalFormatting sqref="R83">
    <cfRule type="cellIs" dxfId="15805" priority="1747" operator="lessThan">
      <formula>0.8</formula>
    </cfRule>
    <cfRule type="cellIs" dxfId="15804" priority="1748" operator="greaterThan">
      <formula>1</formula>
    </cfRule>
  </conditionalFormatting>
  <conditionalFormatting sqref="R83">
    <cfRule type="cellIs" dxfId="15803" priority="1745" operator="greaterThan">
      <formula>1</formula>
    </cfRule>
    <cfRule type="cellIs" dxfId="15802" priority="1746" operator="lessThan">
      <formula>0.8</formula>
    </cfRule>
  </conditionalFormatting>
  <conditionalFormatting sqref="P83">
    <cfRule type="cellIs" dxfId="15801" priority="1744" operator="greaterThan">
      <formula>0</formula>
    </cfRule>
  </conditionalFormatting>
  <conditionalFormatting sqref="Q83">
    <cfRule type="cellIs" dxfId="15800" priority="1743" operator="lessThan">
      <formula>0</formula>
    </cfRule>
  </conditionalFormatting>
  <conditionalFormatting sqref="R83">
    <cfRule type="cellIs" dxfId="15799" priority="1741" operator="lessThan">
      <formula>0.8</formula>
    </cfRule>
    <cfRule type="cellIs" dxfId="15798" priority="1742" operator="greaterThan">
      <formula>1</formula>
    </cfRule>
  </conditionalFormatting>
  <conditionalFormatting sqref="R83">
    <cfRule type="cellIs" dxfId="15797" priority="1739" operator="greaterThan">
      <formula>1</formula>
    </cfRule>
    <cfRule type="cellIs" dxfId="15796" priority="1740" operator="lessThan">
      <formula>0.8</formula>
    </cfRule>
  </conditionalFormatting>
  <conditionalFormatting sqref="P83">
    <cfRule type="cellIs" dxfId="15795" priority="1738" operator="greaterThan">
      <formula>0</formula>
    </cfRule>
  </conditionalFormatting>
  <conditionalFormatting sqref="Q83">
    <cfRule type="cellIs" dxfId="15794" priority="1737" operator="lessThan">
      <formula>0</formula>
    </cfRule>
  </conditionalFormatting>
  <conditionalFormatting sqref="R83">
    <cfRule type="cellIs" dxfId="15793" priority="1735" operator="lessThan">
      <formula>0.8</formula>
    </cfRule>
    <cfRule type="cellIs" dxfId="15792" priority="1736" operator="greaterThan">
      <formula>1</formula>
    </cfRule>
  </conditionalFormatting>
  <conditionalFormatting sqref="R83">
    <cfRule type="cellIs" dxfId="15791" priority="1733" operator="greaterThan">
      <formula>1</formula>
    </cfRule>
    <cfRule type="cellIs" dxfId="15790" priority="1734" operator="lessThan">
      <formula>0.8</formula>
    </cfRule>
  </conditionalFormatting>
  <conditionalFormatting sqref="P83">
    <cfRule type="cellIs" dxfId="15789" priority="1732" operator="greaterThan">
      <formula>0</formula>
    </cfRule>
  </conditionalFormatting>
  <conditionalFormatting sqref="Q32:Q39">
    <cfRule type="cellIs" dxfId="15788" priority="1726" operator="lessThan">
      <formula>0</formula>
    </cfRule>
  </conditionalFormatting>
  <conditionalFormatting sqref="P32:P39">
    <cfRule type="cellIs" dxfId="15787" priority="1727" operator="greaterThan">
      <formula>0</formula>
    </cfRule>
  </conditionalFormatting>
  <conditionalFormatting sqref="R32:R39">
    <cfRule type="cellIs" dxfId="15786" priority="1730" operator="lessThan">
      <formula>0.8</formula>
    </cfRule>
    <cfRule type="cellIs" dxfId="15785" priority="1731" operator="greaterThan">
      <formula>1</formula>
    </cfRule>
  </conditionalFormatting>
  <conditionalFormatting sqref="R32:R39">
    <cfRule type="cellIs" dxfId="15784" priority="1728" operator="greaterThan">
      <formula>1</formula>
    </cfRule>
    <cfRule type="cellIs" dxfId="15783" priority="1729" operator="lessThan">
      <formula>0.8</formula>
    </cfRule>
  </conditionalFormatting>
  <conditionalFormatting sqref="Q32:Q39">
    <cfRule type="cellIs" dxfId="15782" priority="1720" operator="lessThan">
      <formula>0</formula>
    </cfRule>
  </conditionalFormatting>
  <conditionalFormatting sqref="R32:R39">
    <cfRule type="cellIs" dxfId="15781" priority="1724" operator="lessThan">
      <formula>0.8</formula>
    </cfRule>
    <cfRule type="cellIs" dxfId="15780" priority="1725" operator="greaterThan">
      <formula>1</formula>
    </cfRule>
  </conditionalFormatting>
  <conditionalFormatting sqref="R32:R39">
    <cfRule type="cellIs" dxfId="15779" priority="1722" operator="greaterThan">
      <formula>1</formula>
    </cfRule>
    <cfRule type="cellIs" dxfId="15778" priority="1723" operator="lessThan">
      <formula>0.8</formula>
    </cfRule>
  </conditionalFormatting>
  <conditionalFormatting sqref="P32:P39">
    <cfRule type="cellIs" dxfId="15777" priority="1721" operator="greaterThan">
      <formula>0</formula>
    </cfRule>
  </conditionalFormatting>
  <conditionalFormatting sqref="Q32:Q39">
    <cfRule type="cellIs" dxfId="15776" priority="1719" operator="lessThan">
      <formula>0</formula>
    </cfRule>
  </conditionalFormatting>
  <conditionalFormatting sqref="R32:R39">
    <cfRule type="cellIs" dxfId="15775" priority="1717" operator="lessThan">
      <formula>0.8</formula>
    </cfRule>
    <cfRule type="cellIs" dxfId="15774" priority="1718" operator="greaterThan">
      <formula>1</formula>
    </cfRule>
  </conditionalFormatting>
  <conditionalFormatting sqref="R32:R39">
    <cfRule type="cellIs" dxfId="15773" priority="1715" operator="greaterThan">
      <formula>1</formula>
    </cfRule>
    <cfRule type="cellIs" dxfId="15772" priority="1716" operator="lessThan">
      <formula>0.8</formula>
    </cfRule>
  </conditionalFormatting>
  <conditionalFormatting sqref="P32:P39">
    <cfRule type="cellIs" dxfId="15771" priority="1714" operator="greaterThan">
      <formula>0</formula>
    </cfRule>
  </conditionalFormatting>
  <conditionalFormatting sqref="Q32:Q39">
    <cfRule type="cellIs" dxfId="15770" priority="1713" operator="lessThan">
      <formula>0</formula>
    </cfRule>
  </conditionalFormatting>
  <conditionalFormatting sqref="R32:R39">
    <cfRule type="cellIs" dxfId="15769" priority="1711" operator="lessThan">
      <formula>0.8</formula>
    </cfRule>
    <cfRule type="cellIs" dxfId="15768" priority="1712" operator="greaterThan">
      <formula>1</formula>
    </cfRule>
  </conditionalFormatting>
  <conditionalFormatting sqref="R32:R39">
    <cfRule type="cellIs" dxfId="15767" priority="1709" operator="greaterThan">
      <formula>1</formula>
    </cfRule>
    <cfRule type="cellIs" dxfId="15766" priority="1710" operator="lessThan">
      <formula>0.8</formula>
    </cfRule>
  </conditionalFormatting>
  <conditionalFormatting sqref="P32:P39">
    <cfRule type="cellIs" dxfId="15765" priority="1708" operator="greaterThan">
      <formula>0</formula>
    </cfRule>
  </conditionalFormatting>
  <conditionalFormatting sqref="Q32:Q39">
    <cfRule type="cellIs" dxfId="15764" priority="1702" operator="lessThan">
      <formula>0</formula>
    </cfRule>
  </conditionalFormatting>
  <conditionalFormatting sqref="R32:R39">
    <cfRule type="cellIs" dxfId="15763" priority="1706" operator="lessThan">
      <formula>0.8</formula>
    </cfRule>
    <cfRule type="cellIs" dxfId="15762" priority="1707" operator="greaterThan">
      <formula>1</formula>
    </cfRule>
  </conditionalFormatting>
  <conditionalFormatting sqref="R32:R39">
    <cfRule type="cellIs" dxfId="15761" priority="1704" operator="greaterThan">
      <formula>1</formula>
    </cfRule>
    <cfRule type="cellIs" dxfId="15760" priority="1705" operator="lessThan">
      <formula>0.8</formula>
    </cfRule>
  </conditionalFormatting>
  <conditionalFormatting sqref="P32:P39">
    <cfRule type="cellIs" dxfId="15759" priority="1703" operator="greaterThan">
      <formula>0</formula>
    </cfRule>
  </conditionalFormatting>
  <conditionalFormatting sqref="Q32:Q39">
    <cfRule type="cellIs" dxfId="15758" priority="1701" operator="lessThan">
      <formula>0</formula>
    </cfRule>
  </conditionalFormatting>
  <conditionalFormatting sqref="R32:R39">
    <cfRule type="cellIs" dxfId="15757" priority="1699" operator="lessThan">
      <formula>0.8</formula>
    </cfRule>
    <cfRule type="cellIs" dxfId="15756" priority="1700" operator="greaterThan">
      <formula>1</formula>
    </cfRule>
  </conditionalFormatting>
  <conditionalFormatting sqref="R32:R39">
    <cfRule type="cellIs" dxfId="15755" priority="1697" operator="greaterThan">
      <formula>1</formula>
    </cfRule>
    <cfRule type="cellIs" dxfId="15754" priority="1698" operator="lessThan">
      <formula>0.8</formula>
    </cfRule>
  </conditionalFormatting>
  <conditionalFormatting sqref="P32:P39">
    <cfRule type="cellIs" dxfId="15753" priority="1696" operator="greaterThan">
      <formula>0</formula>
    </cfRule>
  </conditionalFormatting>
  <conditionalFormatting sqref="Q32:Q39">
    <cfRule type="cellIs" dxfId="15752" priority="1695" operator="lessThan">
      <formula>0</formula>
    </cfRule>
  </conditionalFormatting>
  <conditionalFormatting sqref="R32:R39">
    <cfRule type="cellIs" dxfId="15751" priority="1693" operator="lessThan">
      <formula>0.8</formula>
    </cfRule>
    <cfRule type="cellIs" dxfId="15750" priority="1694" operator="greaterThan">
      <formula>1</formula>
    </cfRule>
  </conditionalFormatting>
  <conditionalFormatting sqref="R32:R39">
    <cfRule type="cellIs" dxfId="15749" priority="1691" operator="greaterThan">
      <formula>1</formula>
    </cfRule>
    <cfRule type="cellIs" dxfId="15748" priority="1692" operator="lessThan">
      <formula>0.8</formula>
    </cfRule>
  </conditionalFormatting>
  <conditionalFormatting sqref="P32:P39">
    <cfRule type="cellIs" dxfId="15747" priority="1690" operator="greaterThan">
      <formula>0</formula>
    </cfRule>
  </conditionalFormatting>
  <conditionalFormatting sqref="Q32:Q39">
    <cfRule type="cellIs" dxfId="15746" priority="1689" operator="lessThan">
      <formula>0</formula>
    </cfRule>
  </conditionalFormatting>
  <conditionalFormatting sqref="R32:R39">
    <cfRule type="cellIs" dxfId="15745" priority="1687" operator="lessThan">
      <formula>0.8</formula>
    </cfRule>
    <cfRule type="cellIs" dxfId="15744" priority="1688" operator="greaterThan">
      <formula>1</formula>
    </cfRule>
  </conditionalFormatting>
  <conditionalFormatting sqref="R32:R39">
    <cfRule type="cellIs" dxfId="15743" priority="1685" operator="greaterThan">
      <formula>1</formula>
    </cfRule>
    <cfRule type="cellIs" dxfId="15742" priority="1686" operator="lessThan">
      <formula>0.8</formula>
    </cfRule>
  </conditionalFormatting>
  <conditionalFormatting sqref="P32:P39">
    <cfRule type="cellIs" dxfId="15741" priority="1684" operator="greaterThan">
      <formula>0</formula>
    </cfRule>
  </conditionalFormatting>
  <conditionalFormatting sqref="Q32:Q39">
    <cfRule type="cellIs" dxfId="15740" priority="1683" operator="lessThan">
      <formula>0</formula>
    </cfRule>
  </conditionalFormatting>
  <conditionalFormatting sqref="R32:R39">
    <cfRule type="cellIs" dxfId="15739" priority="1681" operator="lessThan">
      <formula>0.8</formula>
    </cfRule>
    <cfRule type="cellIs" dxfId="15738" priority="1682" operator="greaterThan">
      <formula>1</formula>
    </cfRule>
  </conditionalFormatting>
  <conditionalFormatting sqref="R32:R39">
    <cfRule type="cellIs" dxfId="15737" priority="1679" operator="greaterThan">
      <formula>1</formula>
    </cfRule>
    <cfRule type="cellIs" dxfId="15736" priority="1680" operator="lessThan">
      <formula>0.8</formula>
    </cfRule>
  </conditionalFormatting>
  <conditionalFormatting sqref="P32:P39">
    <cfRule type="cellIs" dxfId="15735" priority="1678" operator="greaterThan">
      <formula>0</formula>
    </cfRule>
  </conditionalFormatting>
  <conditionalFormatting sqref="Q32:Q39">
    <cfRule type="cellIs" dxfId="15734" priority="1677" operator="lessThan">
      <formula>0</formula>
    </cfRule>
  </conditionalFormatting>
  <conditionalFormatting sqref="R32:R39">
    <cfRule type="cellIs" dxfId="15733" priority="1675" operator="lessThan">
      <formula>0.8</formula>
    </cfRule>
    <cfRule type="cellIs" dxfId="15732" priority="1676" operator="greaterThan">
      <formula>1</formula>
    </cfRule>
  </conditionalFormatting>
  <conditionalFormatting sqref="R32:R39">
    <cfRule type="cellIs" dxfId="15731" priority="1673" operator="greaterThan">
      <formula>1</formula>
    </cfRule>
    <cfRule type="cellIs" dxfId="15730" priority="1674" operator="lessThan">
      <formula>0.8</formula>
    </cfRule>
  </conditionalFormatting>
  <conditionalFormatting sqref="P32:P39">
    <cfRule type="cellIs" dxfId="15729" priority="1672" operator="greaterThan">
      <formula>0</formula>
    </cfRule>
  </conditionalFormatting>
  <conditionalFormatting sqref="P32:P39">
    <cfRule type="cellIs" dxfId="15728" priority="1666" operator="greaterThan">
      <formula>0</formula>
    </cfRule>
  </conditionalFormatting>
  <conditionalFormatting sqref="Q32:Q39">
    <cfRule type="cellIs" dxfId="15727" priority="1671" operator="lessThan">
      <formula>0</formula>
    </cfRule>
  </conditionalFormatting>
  <conditionalFormatting sqref="R32:R39">
    <cfRule type="cellIs" dxfId="15726" priority="1669" operator="lessThan">
      <formula>0.8</formula>
    </cfRule>
    <cfRule type="cellIs" dxfId="15725" priority="1670" operator="greaterThan">
      <formula>1</formula>
    </cfRule>
  </conditionalFormatting>
  <conditionalFormatting sqref="R32:R39">
    <cfRule type="cellIs" dxfId="15724" priority="1667" operator="greaterThan">
      <formula>1</formula>
    </cfRule>
    <cfRule type="cellIs" dxfId="15723" priority="1668" operator="lessThan">
      <formula>0.8</formula>
    </cfRule>
  </conditionalFormatting>
  <conditionalFormatting sqref="P32:P39">
    <cfRule type="cellIs" dxfId="15722" priority="1660" operator="greaterThan">
      <formula>0</formula>
    </cfRule>
  </conditionalFormatting>
  <conditionalFormatting sqref="Q32:Q39">
    <cfRule type="cellIs" dxfId="15721" priority="1665" operator="lessThan">
      <formula>0</formula>
    </cfRule>
  </conditionalFormatting>
  <conditionalFormatting sqref="R32:R39">
    <cfRule type="cellIs" dxfId="15720" priority="1663" operator="lessThan">
      <formula>0.8</formula>
    </cfRule>
    <cfRule type="cellIs" dxfId="15719" priority="1664" operator="greaterThan">
      <formula>1</formula>
    </cfRule>
  </conditionalFormatting>
  <conditionalFormatting sqref="R32:R39">
    <cfRule type="cellIs" dxfId="15718" priority="1661" operator="greaterThan">
      <formula>1</formula>
    </cfRule>
    <cfRule type="cellIs" dxfId="15717" priority="1662" operator="lessThan">
      <formula>0.8</formula>
    </cfRule>
  </conditionalFormatting>
  <conditionalFormatting sqref="R32:R39">
    <cfRule type="cellIs" dxfId="15716" priority="1657" operator="lessThan">
      <formula>0.8</formula>
    </cfRule>
    <cfRule type="cellIs" dxfId="15715" priority="1658" operator="greaterThan">
      <formula>1</formula>
    </cfRule>
  </conditionalFormatting>
  <conditionalFormatting sqref="R32:R39">
    <cfRule type="cellIs" dxfId="15714" priority="1655" operator="greaterThan">
      <formula>1</formula>
    </cfRule>
    <cfRule type="cellIs" dxfId="15713" priority="1656" operator="lessThan">
      <formula>0.8</formula>
    </cfRule>
  </conditionalFormatting>
  <conditionalFormatting sqref="P32:P39">
    <cfRule type="cellIs" dxfId="15712" priority="1654" operator="greaterThan">
      <formula>0</formula>
    </cfRule>
  </conditionalFormatting>
  <conditionalFormatting sqref="Q32:Q39">
    <cfRule type="cellIs" dxfId="15711" priority="1659" operator="lessThan">
      <formula>0</formula>
    </cfRule>
  </conditionalFormatting>
  <conditionalFormatting sqref="Q32:Q39">
    <cfRule type="cellIs" dxfId="15710" priority="1648" operator="lessThan">
      <formula>0</formula>
    </cfRule>
  </conditionalFormatting>
  <conditionalFormatting sqref="P32:P39">
    <cfRule type="cellIs" dxfId="15709" priority="1649" operator="greaterThan">
      <formula>0</formula>
    </cfRule>
  </conditionalFormatting>
  <conditionalFormatting sqref="R32:R39">
    <cfRule type="cellIs" dxfId="15708" priority="1652" operator="lessThan">
      <formula>0.8</formula>
    </cfRule>
    <cfRule type="cellIs" dxfId="15707" priority="1653" operator="greaterThan">
      <formula>1</formula>
    </cfRule>
  </conditionalFormatting>
  <conditionalFormatting sqref="R32:R39">
    <cfRule type="cellIs" dxfId="15706" priority="1650" operator="greaterThan">
      <formula>1</formula>
    </cfRule>
    <cfRule type="cellIs" dxfId="15705" priority="1651" operator="lessThan">
      <formula>0.8</formula>
    </cfRule>
  </conditionalFormatting>
  <conditionalFormatting sqref="Q32:Q39">
    <cfRule type="cellIs" dxfId="15704" priority="1642" operator="lessThan">
      <formula>0</formula>
    </cfRule>
  </conditionalFormatting>
  <conditionalFormatting sqref="R32:R39">
    <cfRule type="cellIs" dxfId="15703" priority="1646" operator="lessThan">
      <formula>0.8</formula>
    </cfRule>
    <cfRule type="cellIs" dxfId="15702" priority="1647" operator="greaterThan">
      <formula>1</formula>
    </cfRule>
  </conditionalFormatting>
  <conditionalFormatting sqref="R32:R39">
    <cfRule type="cellIs" dxfId="15701" priority="1644" operator="greaterThan">
      <formula>1</formula>
    </cfRule>
    <cfRule type="cellIs" dxfId="15700" priority="1645" operator="lessThan">
      <formula>0.8</formula>
    </cfRule>
  </conditionalFormatting>
  <conditionalFormatting sqref="P32:P39">
    <cfRule type="cellIs" dxfId="15699" priority="1643" operator="greaterThan">
      <formula>0</formula>
    </cfRule>
  </conditionalFormatting>
  <conditionalFormatting sqref="Q32:Q39">
    <cfRule type="cellIs" dxfId="15698" priority="1641" operator="lessThan">
      <formula>0</formula>
    </cfRule>
  </conditionalFormatting>
  <conditionalFormatting sqref="R32:R39">
    <cfRule type="cellIs" dxfId="15697" priority="1639" operator="lessThan">
      <formula>0.8</formula>
    </cfRule>
    <cfRule type="cellIs" dxfId="15696" priority="1640" operator="greaterThan">
      <formula>1</formula>
    </cfRule>
  </conditionalFormatting>
  <conditionalFormatting sqref="R32:R39">
    <cfRule type="cellIs" dxfId="15695" priority="1637" operator="greaterThan">
      <formula>1</formula>
    </cfRule>
    <cfRule type="cellIs" dxfId="15694" priority="1638" operator="lessThan">
      <formula>0.8</formula>
    </cfRule>
  </conditionalFormatting>
  <conditionalFormatting sqref="P32:P39">
    <cfRule type="cellIs" dxfId="15693" priority="1636" operator="greaterThan">
      <formula>0</formula>
    </cfRule>
  </conditionalFormatting>
  <conditionalFormatting sqref="Q32:Q39">
    <cfRule type="cellIs" dxfId="15692" priority="1635" operator="lessThan">
      <formula>0</formula>
    </cfRule>
  </conditionalFormatting>
  <conditionalFormatting sqref="R32:R39">
    <cfRule type="cellIs" dxfId="15691" priority="1633" operator="lessThan">
      <formula>0.8</formula>
    </cfRule>
    <cfRule type="cellIs" dxfId="15690" priority="1634" operator="greaterThan">
      <formula>1</formula>
    </cfRule>
  </conditionalFormatting>
  <conditionalFormatting sqref="R32:R39">
    <cfRule type="cellIs" dxfId="15689" priority="1631" operator="greaterThan">
      <formula>1</formula>
    </cfRule>
    <cfRule type="cellIs" dxfId="15688" priority="1632" operator="lessThan">
      <formula>0.8</formula>
    </cfRule>
  </conditionalFormatting>
  <conditionalFormatting sqref="P32:P39">
    <cfRule type="cellIs" dxfId="15687" priority="1630" operator="greaterThan">
      <formula>0</formula>
    </cfRule>
  </conditionalFormatting>
  <conditionalFormatting sqref="Q32:Q39">
    <cfRule type="cellIs" dxfId="15686" priority="1624" operator="lessThan">
      <formula>0</formula>
    </cfRule>
  </conditionalFormatting>
  <conditionalFormatting sqref="P32:P39">
    <cfRule type="cellIs" dxfId="15685" priority="1625" operator="greaterThan">
      <formula>0</formula>
    </cfRule>
  </conditionalFormatting>
  <conditionalFormatting sqref="R32:R39">
    <cfRule type="cellIs" dxfId="15684" priority="1628" operator="lessThan">
      <formula>0.8</formula>
    </cfRule>
    <cfRule type="cellIs" dxfId="15683" priority="1629" operator="greaterThan">
      <formula>1</formula>
    </cfRule>
  </conditionalFormatting>
  <conditionalFormatting sqref="R32:R39">
    <cfRule type="cellIs" dxfId="15682" priority="1626" operator="greaterThan">
      <formula>1</formula>
    </cfRule>
    <cfRule type="cellIs" dxfId="15681" priority="1627" operator="lessThan">
      <formula>0.8</formula>
    </cfRule>
  </conditionalFormatting>
  <conditionalFormatting sqref="Q32:Q39">
    <cfRule type="cellIs" dxfId="15680" priority="1618" operator="lessThan">
      <formula>0</formula>
    </cfRule>
  </conditionalFormatting>
  <conditionalFormatting sqref="R32:R39">
    <cfRule type="cellIs" dxfId="15679" priority="1622" operator="lessThan">
      <formula>0.8</formula>
    </cfRule>
    <cfRule type="cellIs" dxfId="15678" priority="1623" operator="greaterThan">
      <formula>1</formula>
    </cfRule>
  </conditionalFormatting>
  <conditionalFormatting sqref="R32:R39">
    <cfRule type="cellIs" dxfId="15677" priority="1620" operator="greaterThan">
      <formula>1</formula>
    </cfRule>
    <cfRule type="cellIs" dxfId="15676" priority="1621" operator="lessThan">
      <formula>0.8</formula>
    </cfRule>
  </conditionalFormatting>
  <conditionalFormatting sqref="P32:P39">
    <cfRule type="cellIs" dxfId="15675" priority="1619" operator="greaterThan">
      <formula>0</formula>
    </cfRule>
  </conditionalFormatting>
  <conditionalFormatting sqref="Q32:Q39">
    <cfRule type="cellIs" dxfId="15674" priority="1617" operator="lessThan">
      <formula>0</formula>
    </cfRule>
  </conditionalFormatting>
  <conditionalFormatting sqref="R32:R39">
    <cfRule type="cellIs" dxfId="15673" priority="1615" operator="lessThan">
      <formula>0.8</formula>
    </cfRule>
    <cfRule type="cellIs" dxfId="15672" priority="1616" operator="greaterThan">
      <formula>1</formula>
    </cfRule>
  </conditionalFormatting>
  <conditionalFormatting sqref="R32:R39">
    <cfRule type="cellIs" dxfId="15671" priority="1613" operator="greaterThan">
      <formula>1</formula>
    </cfRule>
    <cfRule type="cellIs" dxfId="15670" priority="1614" operator="lessThan">
      <formula>0.8</formula>
    </cfRule>
  </conditionalFormatting>
  <conditionalFormatting sqref="P32:P39">
    <cfRule type="cellIs" dxfId="15669" priority="1612" operator="greaterThan">
      <formula>0</formula>
    </cfRule>
  </conditionalFormatting>
  <conditionalFormatting sqref="Q32:Q39">
    <cfRule type="cellIs" dxfId="15668" priority="1611" operator="lessThan">
      <formula>0</formula>
    </cfRule>
  </conditionalFormatting>
  <conditionalFormatting sqref="R32:R39">
    <cfRule type="cellIs" dxfId="15667" priority="1609" operator="lessThan">
      <formula>0.8</formula>
    </cfRule>
    <cfRule type="cellIs" dxfId="15666" priority="1610" operator="greaterThan">
      <formula>1</formula>
    </cfRule>
  </conditionalFormatting>
  <conditionalFormatting sqref="R32:R39">
    <cfRule type="cellIs" dxfId="15665" priority="1607" operator="greaterThan">
      <formula>1</formula>
    </cfRule>
    <cfRule type="cellIs" dxfId="15664" priority="1608" operator="lessThan">
      <formula>0.8</formula>
    </cfRule>
  </conditionalFormatting>
  <conditionalFormatting sqref="P32:P39">
    <cfRule type="cellIs" dxfId="15663" priority="1606" operator="greaterThan">
      <formula>0</formula>
    </cfRule>
  </conditionalFormatting>
  <conditionalFormatting sqref="Q19:Q24">
    <cfRule type="cellIs" dxfId="15662" priority="1605" operator="lessThan">
      <formula>0</formula>
    </cfRule>
  </conditionalFormatting>
  <conditionalFormatting sqref="R19:R24">
    <cfRule type="cellIs" dxfId="15661" priority="1603" operator="lessThan">
      <formula>0.8</formula>
    </cfRule>
    <cfRule type="cellIs" dxfId="15660" priority="1604" operator="greaterThan">
      <formula>1</formula>
    </cfRule>
  </conditionalFormatting>
  <conditionalFormatting sqref="R19:R24">
    <cfRule type="cellIs" dxfId="15659" priority="1601" operator="greaterThan">
      <formula>1</formula>
    </cfRule>
    <cfRule type="cellIs" dxfId="15658" priority="1602" operator="lessThan">
      <formula>0.8</formula>
    </cfRule>
  </conditionalFormatting>
  <conditionalFormatting sqref="P19:P24">
    <cfRule type="cellIs" dxfId="15657" priority="1600" operator="greaterThan">
      <formula>0</formula>
    </cfRule>
  </conditionalFormatting>
  <conditionalFormatting sqref="R19:R24">
    <cfRule type="cellIs" dxfId="15656" priority="1597" operator="lessThan">
      <formula>0.8</formula>
    </cfRule>
    <cfRule type="cellIs" dxfId="15655" priority="1598" operator="greaterThan">
      <formula>1</formula>
    </cfRule>
  </conditionalFormatting>
  <conditionalFormatting sqref="R19:R24">
    <cfRule type="cellIs" dxfId="15654" priority="1595" operator="greaterThan">
      <formula>1</formula>
    </cfRule>
    <cfRule type="cellIs" dxfId="15653" priority="1596" operator="lessThan">
      <formula>0.8</formula>
    </cfRule>
  </conditionalFormatting>
  <conditionalFormatting sqref="P19:P24">
    <cfRule type="cellIs" dxfId="15652" priority="1594" operator="greaterThan">
      <formula>0</formula>
    </cfRule>
  </conditionalFormatting>
  <conditionalFormatting sqref="Q19:Q24">
    <cfRule type="cellIs" dxfId="15651" priority="1599" operator="lessThan">
      <formula>0</formula>
    </cfRule>
  </conditionalFormatting>
  <conditionalFormatting sqref="R19:R24">
    <cfRule type="cellIs" dxfId="15650" priority="1591" operator="lessThan">
      <formula>0.8</formula>
    </cfRule>
    <cfRule type="cellIs" dxfId="15649" priority="1592" operator="greaterThan">
      <formula>1</formula>
    </cfRule>
  </conditionalFormatting>
  <conditionalFormatting sqref="R19:R24">
    <cfRule type="cellIs" dxfId="15648" priority="1589" operator="greaterThan">
      <formula>1</formula>
    </cfRule>
    <cfRule type="cellIs" dxfId="15647" priority="1590" operator="lessThan">
      <formula>0.8</formula>
    </cfRule>
  </conditionalFormatting>
  <conditionalFormatting sqref="P19:P24">
    <cfRule type="cellIs" dxfId="15646" priority="1588" operator="greaterThan">
      <formula>0</formula>
    </cfRule>
  </conditionalFormatting>
  <conditionalFormatting sqref="Q19:Q24">
    <cfRule type="cellIs" dxfId="15645" priority="1593" operator="lessThan">
      <formula>0</formula>
    </cfRule>
  </conditionalFormatting>
  <conditionalFormatting sqref="Q19:Q24">
    <cfRule type="cellIs" dxfId="15644" priority="1587" operator="lessThan">
      <formula>0</formula>
    </cfRule>
  </conditionalFormatting>
  <conditionalFormatting sqref="R19:R24">
    <cfRule type="cellIs" dxfId="15643" priority="1585" operator="lessThan">
      <formula>0.8</formula>
    </cfRule>
    <cfRule type="cellIs" dxfId="15642" priority="1586" operator="greaterThan">
      <formula>1</formula>
    </cfRule>
  </conditionalFormatting>
  <conditionalFormatting sqref="R19:R24">
    <cfRule type="cellIs" dxfId="15641" priority="1583" operator="greaterThan">
      <formula>1</formula>
    </cfRule>
    <cfRule type="cellIs" dxfId="15640" priority="1584" operator="lessThan">
      <formula>0.8</formula>
    </cfRule>
  </conditionalFormatting>
  <conditionalFormatting sqref="P19:P24">
    <cfRule type="cellIs" dxfId="15639" priority="1582" operator="greaterThan">
      <formula>0</formula>
    </cfRule>
  </conditionalFormatting>
  <conditionalFormatting sqref="Q135:Q136 Q139 Q142">
    <cfRule type="cellIs" dxfId="15638" priority="1581" operator="lessThan">
      <formula>0</formula>
    </cfRule>
  </conditionalFormatting>
  <conditionalFormatting sqref="R135:R136 R139 R142">
    <cfRule type="cellIs" dxfId="15637" priority="1579" operator="lessThan">
      <formula>0.8</formula>
    </cfRule>
    <cfRule type="cellIs" dxfId="15636" priority="1580" operator="greaterThan">
      <formula>1</formula>
    </cfRule>
  </conditionalFormatting>
  <conditionalFormatting sqref="R135:R136 R139 R142">
    <cfRule type="cellIs" dxfId="15635" priority="1577" operator="greaterThan">
      <formula>1</formula>
    </cfRule>
    <cfRule type="cellIs" dxfId="15634" priority="1578" operator="lessThan">
      <formula>0.8</formula>
    </cfRule>
  </conditionalFormatting>
  <conditionalFormatting sqref="P135:P136 P139 P142">
    <cfRule type="cellIs" dxfId="15633" priority="1576" operator="greaterThan">
      <formula>0</formula>
    </cfRule>
  </conditionalFormatting>
  <conditionalFormatting sqref="P135:P136 P139 P142">
    <cfRule type="cellIs" dxfId="15632" priority="1570" operator="greaterThan">
      <formula>0</formula>
    </cfRule>
  </conditionalFormatting>
  <conditionalFormatting sqref="Q135:Q136 Q139 Q142">
    <cfRule type="cellIs" dxfId="15631" priority="1575" operator="lessThan">
      <formula>0</formula>
    </cfRule>
  </conditionalFormatting>
  <conditionalFormatting sqref="R135:R136 R139 R142">
    <cfRule type="cellIs" dxfId="15630" priority="1573" operator="lessThan">
      <formula>0.8</formula>
    </cfRule>
    <cfRule type="cellIs" dxfId="15629" priority="1574" operator="greaterThan">
      <formula>1</formula>
    </cfRule>
  </conditionalFormatting>
  <conditionalFormatting sqref="R135:R136 R139 R142">
    <cfRule type="cellIs" dxfId="15628" priority="1571" operator="greaterThan">
      <formula>1</formula>
    </cfRule>
    <cfRule type="cellIs" dxfId="15627" priority="1572" operator="lessThan">
      <formula>0.8</formula>
    </cfRule>
  </conditionalFormatting>
  <conditionalFormatting sqref="Q25">
    <cfRule type="cellIs" dxfId="15626" priority="1569" operator="lessThan">
      <formula>0</formula>
    </cfRule>
  </conditionalFormatting>
  <conditionalFormatting sqref="R25">
    <cfRule type="cellIs" dxfId="15625" priority="1567" operator="lessThan">
      <formula>0.8</formula>
    </cfRule>
    <cfRule type="cellIs" dxfId="15624" priority="1568" operator="greaterThan">
      <formula>1</formula>
    </cfRule>
  </conditionalFormatting>
  <conditionalFormatting sqref="R25">
    <cfRule type="cellIs" dxfId="15623" priority="1565" operator="greaterThan">
      <formula>1</formula>
    </cfRule>
    <cfRule type="cellIs" dxfId="15622" priority="1566" operator="lessThan">
      <formula>0.8</formula>
    </cfRule>
  </conditionalFormatting>
  <conditionalFormatting sqref="P25">
    <cfRule type="cellIs" dxfId="15621" priority="1564" operator="greaterThan">
      <formula>0</formula>
    </cfRule>
  </conditionalFormatting>
  <conditionalFormatting sqref="R25">
    <cfRule type="cellIs" dxfId="15620" priority="1561" operator="lessThan">
      <formula>0.8</formula>
    </cfRule>
    <cfRule type="cellIs" dxfId="15619" priority="1562" operator="greaterThan">
      <formula>1</formula>
    </cfRule>
  </conditionalFormatting>
  <conditionalFormatting sqref="R25">
    <cfRule type="cellIs" dxfId="15618" priority="1559" operator="greaterThan">
      <formula>1</formula>
    </cfRule>
    <cfRule type="cellIs" dxfId="15617" priority="1560" operator="lessThan">
      <formula>0.8</formula>
    </cfRule>
  </conditionalFormatting>
  <conditionalFormatting sqref="P25">
    <cfRule type="cellIs" dxfId="15616" priority="1558" operator="greaterThan">
      <formula>0</formula>
    </cfRule>
  </conditionalFormatting>
  <conditionalFormatting sqref="Q25">
    <cfRule type="cellIs" dxfId="15615" priority="1563" operator="lessThan">
      <formula>0</formula>
    </cfRule>
  </conditionalFormatting>
  <conditionalFormatting sqref="R25">
    <cfRule type="cellIs" dxfId="15614" priority="1555" operator="lessThan">
      <formula>0.8</formula>
    </cfRule>
    <cfRule type="cellIs" dxfId="15613" priority="1556" operator="greaterThan">
      <formula>1</formula>
    </cfRule>
  </conditionalFormatting>
  <conditionalFormatting sqref="R25">
    <cfRule type="cellIs" dxfId="15612" priority="1553" operator="greaterThan">
      <formula>1</formula>
    </cfRule>
    <cfRule type="cellIs" dxfId="15611" priority="1554" operator="lessThan">
      <formula>0.8</formula>
    </cfRule>
  </conditionalFormatting>
  <conditionalFormatting sqref="P25">
    <cfRule type="cellIs" dxfId="15610" priority="1552" operator="greaterThan">
      <formula>0</formula>
    </cfRule>
  </conditionalFormatting>
  <conditionalFormatting sqref="Q25">
    <cfRule type="cellIs" dxfId="15609" priority="1557" operator="lessThan">
      <formula>0</formula>
    </cfRule>
  </conditionalFormatting>
  <conditionalFormatting sqref="Q25">
    <cfRule type="cellIs" dxfId="15608" priority="1551" operator="lessThan">
      <formula>0</formula>
    </cfRule>
  </conditionalFormatting>
  <conditionalFormatting sqref="R25">
    <cfRule type="cellIs" dxfId="15607" priority="1549" operator="lessThan">
      <formula>0.8</formula>
    </cfRule>
    <cfRule type="cellIs" dxfId="15606" priority="1550" operator="greaterThan">
      <formula>1</formula>
    </cfRule>
  </conditionalFormatting>
  <conditionalFormatting sqref="R25">
    <cfRule type="cellIs" dxfId="15605" priority="1547" operator="greaterThan">
      <formula>1</formula>
    </cfRule>
    <cfRule type="cellIs" dxfId="15604" priority="1548" operator="lessThan">
      <formula>0.8</formula>
    </cfRule>
  </conditionalFormatting>
  <conditionalFormatting sqref="P25">
    <cfRule type="cellIs" dxfId="15603" priority="1546" operator="greaterThan">
      <formula>0</formula>
    </cfRule>
  </conditionalFormatting>
  <conditionalFormatting sqref="Q25">
    <cfRule type="cellIs" dxfId="15602" priority="1545" operator="lessThan">
      <formula>0</formula>
    </cfRule>
  </conditionalFormatting>
  <conditionalFormatting sqref="R25">
    <cfRule type="cellIs" dxfId="15601" priority="1543" operator="lessThan">
      <formula>0.8</formula>
    </cfRule>
    <cfRule type="cellIs" dxfId="15600" priority="1544" operator="greaterThan">
      <formula>1</formula>
    </cfRule>
  </conditionalFormatting>
  <conditionalFormatting sqref="R25">
    <cfRule type="cellIs" dxfId="15599" priority="1541" operator="greaterThan">
      <formula>1</formula>
    </cfRule>
    <cfRule type="cellIs" dxfId="15598" priority="1542" operator="lessThan">
      <formula>0.8</formula>
    </cfRule>
  </conditionalFormatting>
  <conditionalFormatting sqref="P25">
    <cfRule type="cellIs" dxfId="15597" priority="1540" operator="greaterThan">
      <formula>0</formula>
    </cfRule>
  </conditionalFormatting>
  <conditionalFormatting sqref="P19:P24">
    <cfRule type="cellIs" dxfId="15596" priority="1534" operator="greaterThan">
      <formula>0</formula>
    </cfRule>
  </conditionalFormatting>
  <conditionalFormatting sqref="Q19:Q24">
    <cfRule type="cellIs" dxfId="15595" priority="1539" operator="lessThan">
      <formula>0</formula>
    </cfRule>
  </conditionalFormatting>
  <conditionalFormatting sqref="R19:R24">
    <cfRule type="cellIs" dxfId="15594" priority="1537" operator="lessThan">
      <formula>0.8</formula>
    </cfRule>
    <cfRule type="cellIs" dxfId="15593" priority="1538" operator="greaterThan">
      <formula>1</formula>
    </cfRule>
  </conditionalFormatting>
  <conditionalFormatting sqref="R19:R24">
    <cfRule type="cellIs" dxfId="15592" priority="1535" operator="greaterThan">
      <formula>1</formula>
    </cfRule>
    <cfRule type="cellIs" dxfId="15591" priority="1536" operator="lessThan">
      <formula>0.8</formula>
    </cfRule>
  </conditionalFormatting>
  <conditionalFormatting sqref="Q19:Q24">
    <cfRule type="cellIs" dxfId="15590" priority="1533" operator="lessThan">
      <formula>0</formula>
    </cfRule>
  </conditionalFormatting>
  <conditionalFormatting sqref="R19:R24">
    <cfRule type="cellIs" dxfId="15589" priority="1531" operator="lessThan">
      <formula>0.8</formula>
    </cfRule>
    <cfRule type="cellIs" dxfId="15588" priority="1532" operator="greaterThan">
      <formula>1</formula>
    </cfRule>
  </conditionalFormatting>
  <conditionalFormatting sqref="R19:R24">
    <cfRule type="cellIs" dxfId="15587" priority="1529" operator="greaterThan">
      <formula>1</formula>
    </cfRule>
    <cfRule type="cellIs" dxfId="15586" priority="1530" operator="lessThan">
      <formula>0.8</formula>
    </cfRule>
  </conditionalFormatting>
  <conditionalFormatting sqref="P19:P24">
    <cfRule type="cellIs" dxfId="15585" priority="1528" operator="greaterThan">
      <formula>0</formula>
    </cfRule>
  </conditionalFormatting>
  <conditionalFormatting sqref="Q19:Q24">
    <cfRule type="cellIs" dxfId="15584" priority="1527" operator="lessThan">
      <formula>0</formula>
    </cfRule>
  </conditionalFormatting>
  <conditionalFormatting sqref="R19:R24">
    <cfRule type="cellIs" dxfId="15583" priority="1525" operator="lessThan">
      <formula>0.8</formula>
    </cfRule>
    <cfRule type="cellIs" dxfId="15582" priority="1526" operator="greaterThan">
      <formula>1</formula>
    </cfRule>
  </conditionalFormatting>
  <conditionalFormatting sqref="R19:R24">
    <cfRule type="cellIs" dxfId="15581" priority="1523" operator="greaterThan">
      <formula>1</formula>
    </cfRule>
    <cfRule type="cellIs" dxfId="15580" priority="1524" operator="lessThan">
      <formula>0.8</formula>
    </cfRule>
  </conditionalFormatting>
  <conditionalFormatting sqref="P19:P24">
    <cfRule type="cellIs" dxfId="15579" priority="1522" operator="greaterThan">
      <formula>0</formula>
    </cfRule>
  </conditionalFormatting>
  <conditionalFormatting sqref="Q19:Q24">
    <cfRule type="cellIs" dxfId="15578" priority="1521" operator="lessThan">
      <formula>0</formula>
    </cfRule>
  </conditionalFormatting>
  <conditionalFormatting sqref="R19:R24">
    <cfRule type="cellIs" dxfId="15577" priority="1519" operator="lessThan">
      <formula>0.8</formula>
    </cfRule>
    <cfRule type="cellIs" dxfId="15576" priority="1520" operator="greaterThan">
      <formula>1</formula>
    </cfRule>
  </conditionalFormatting>
  <conditionalFormatting sqref="R19:R24">
    <cfRule type="cellIs" dxfId="15575" priority="1517" operator="greaterThan">
      <formula>1</formula>
    </cfRule>
    <cfRule type="cellIs" dxfId="15574" priority="1518" operator="lessThan">
      <formula>0.8</formula>
    </cfRule>
  </conditionalFormatting>
  <conditionalFormatting sqref="P19:P24">
    <cfRule type="cellIs" dxfId="15573" priority="1516" operator="greaterThan">
      <formula>0</formula>
    </cfRule>
  </conditionalFormatting>
  <conditionalFormatting sqref="R19:R24">
    <cfRule type="cellIs" dxfId="15572" priority="1513" operator="lessThan">
      <formula>0.8</formula>
    </cfRule>
    <cfRule type="cellIs" dxfId="15571" priority="1514" operator="greaterThan">
      <formula>1</formula>
    </cfRule>
  </conditionalFormatting>
  <conditionalFormatting sqref="R19:R24">
    <cfRule type="cellIs" dxfId="15570" priority="1511" operator="greaterThan">
      <formula>1</formula>
    </cfRule>
    <cfRule type="cellIs" dxfId="15569" priority="1512" operator="lessThan">
      <formula>0.8</formula>
    </cfRule>
  </conditionalFormatting>
  <conditionalFormatting sqref="P19:P24">
    <cfRule type="cellIs" dxfId="15568" priority="1510" operator="greaterThan">
      <formula>0</formula>
    </cfRule>
  </conditionalFormatting>
  <conditionalFormatting sqref="Q19:Q24">
    <cfRule type="cellIs" dxfId="15567" priority="1515" operator="lessThan">
      <formula>0</formula>
    </cfRule>
  </conditionalFormatting>
  <conditionalFormatting sqref="Q19:Q24">
    <cfRule type="cellIs" dxfId="15566" priority="1509" operator="lessThan">
      <formula>0</formula>
    </cfRule>
  </conditionalFormatting>
  <conditionalFormatting sqref="R19:R24">
    <cfRule type="cellIs" dxfId="15565" priority="1507" operator="lessThan">
      <formula>0.8</formula>
    </cfRule>
    <cfRule type="cellIs" dxfId="15564" priority="1508" operator="greaterThan">
      <formula>1</formula>
    </cfRule>
  </conditionalFormatting>
  <conditionalFormatting sqref="R19:R24">
    <cfRule type="cellIs" dxfId="15563" priority="1505" operator="greaterThan">
      <formula>1</formula>
    </cfRule>
    <cfRule type="cellIs" dxfId="15562" priority="1506" operator="lessThan">
      <formula>0.8</formula>
    </cfRule>
  </conditionalFormatting>
  <conditionalFormatting sqref="P19:P24">
    <cfRule type="cellIs" dxfId="15561" priority="1504" operator="greaterThan">
      <formula>0</formula>
    </cfRule>
  </conditionalFormatting>
  <conditionalFormatting sqref="P19:P24">
    <cfRule type="cellIs" dxfId="15560" priority="1498" operator="greaterThan">
      <formula>0</formula>
    </cfRule>
  </conditionalFormatting>
  <conditionalFormatting sqref="Q19:Q24">
    <cfRule type="cellIs" dxfId="15559" priority="1503" operator="lessThan">
      <formula>0</formula>
    </cfRule>
  </conditionalFormatting>
  <conditionalFormatting sqref="R19:R24">
    <cfRule type="cellIs" dxfId="15558" priority="1501" operator="lessThan">
      <formula>0.8</formula>
    </cfRule>
    <cfRule type="cellIs" dxfId="15557" priority="1502" operator="greaterThan">
      <formula>1</formula>
    </cfRule>
  </conditionalFormatting>
  <conditionalFormatting sqref="R19:R24">
    <cfRule type="cellIs" dxfId="15556" priority="1499" operator="greaterThan">
      <formula>1</formula>
    </cfRule>
    <cfRule type="cellIs" dxfId="15555" priority="1500" operator="lessThan">
      <formula>0.8</formula>
    </cfRule>
  </conditionalFormatting>
  <conditionalFormatting sqref="P19:P24">
    <cfRule type="cellIs" dxfId="15554" priority="1492" operator="greaterThan">
      <formula>0</formula>
    </cfRule>
  </conditionalFormatting>
  <conditionalFormatting sqref="Q19:Q24">
    <cfRule type="cellIs" dxfId="15553" priority="1497" operator="lessThan">
      <formula>0</formula>
    </cfRule>
  </conditionalFormatting>
  <conditionalFormatting sqref="R19:R24">
    <cfRule type="cellIs" dxfId="15552" priority="1495" operator="lessThan">
      <formula>0.8</formula>
    </cfRule>
    <cfRule type="cellIs" dxfId="15551" priority="1496" operator="greaterThan">
      <formula>1</formula>
    </cfRule>
  </conditionalFormatting>
  <conditionalFormatting sqref="R19:R24">
    <cfRule type="cellIs" dxfId="15550" priority="1493" operator="greaterThan">
      <formula>1</formula>
    </cfRule>
    <cfRule type="cellIs" dxfId="15549" priority="1494" operator="lessThan">
      <formula>0.8</formula>
    </cfRule>
  </conditionalFormatting>
  <conditionalFormatting sqref="Q19:Q24">
    <cfRule type="cellIs" dxfId="15548" priority="1491" operator="lessThan">
      <formula>0</formula>
    </cfRule>
  </conditionalFormatting>
  <conditionalFormatting sqref="R19:R24">
    <cfRule type="cellIs" dxfId="15547" priority="1489" operator="lessThan">
      <formula>0.8</formula>
    </cfRule>
    <cfRule type="cellIs" dxfId="15546" priority="1490" operator="greaterThan">
      <formula>1</formula>
    </cfRule>
  </conditionalFormatting>
  <conditionalFormatting sqref="R19:R24">
    <cfRule type="cellIs" dxfId="15545" priority="1487" operator="greaterThan">
      <formula>1</formula>
    </cfRule>
    <cfRule type="cellIs" dxfId="15544" priority="1488" operator="lessThan">
      <formula>0.8</formula>
    </cfRule>
  </conditionalFormatting>
  <conditionalFormatting sqref="P19:P24">
    <cfRule type="cellIs" dxfId="15543" priority="1486" operator="greaterThan">
      <formula>0</formula>
    </cfRule>
  </conditionalFormatting>
  <conditionalFormatting sqref="Q19:Q24">
    <cfRule type="cellIs" dxfId="15542" priority="1485" operator="lessThan">
      <formula>0</formula>
    </cfRule>
  </conditionalFormatting>
  <conditionalFormatting sqref="R19:R24">
    <cfRule type="cellIs" dxfId="15541" priority="1483" operator="lessThan">
      <formula>0.8</formula>
    </cfRule>
    <cfRule type="cellIs" dxfId="15540" priority="1484" operator="greaterThan">
      <formula>1</formula>
    </cfRule>
  </conditionalFormatting>
  <conditionalFormatting sqref="R19:R24">
    <cfRule type="cellIs" dxfId="15539" priority="1481" operator="greaterThan">
      <formula>1</formula>
    </cfRule>
    <cfRule type="cellIs" dxfId="15538" priority="1482" operator="lessThan">
      <formula>0.8</formula>
    </cfRule>
  </conditionalFormatting>
  <conditionalFormatting sqref="P19:P24">
    <cfRule type="cellIs" dxfId="15537" priority="1480" operator="greaterThan">
      <formula>0</formula>
    </cfRule>
  </conditionalFormatting>
  <conditionalFormatting sqref="P19:P24">
    <cfRule type="cellIs" dxfId="15536" priority="1474" operator="greaterThan">
      <formula>0</formula>
    </cfRule>
  </conditionalFormatting>
  <conditionalFormatting sqref="Q19:Q24">
    <cfRule type="cellIs" dxfId="15535" priority="1479" operator="lessThan">
      <formula>0</formula>
    </cfRule>
  </conditionalFormatting>
  <conditionalFormatting sqref="R19:R24">
    <cfRule type="cellIs" dxfId="15534" priority="1477" operator="lessThan">
      <formula>0.8</formula>
    </cfRule>
    <cfRule type="cellIs" dxfId="15533" priority="1478" operator="greaterThan">
      <formula>1</formula>
    </cfRule>
  </conditionalFormatting>
  <conditionalFormatting sqref="R19:R24">
    <cfRule type="cellIs" dxfId="15532" priority="1475" operator="greaterThan">
      <formula>1</formula>
    </cfRule>
    <cfRule type="cellIs" dxfId="15531" priority="1476" operator="lessThan">
      <formula>0.8</formula>
    </cfRule>
  </conditionalFormatting>
  <conditionalFormatting sqref="Q19:Q24">
    <cfRule type="cellIs" dxfId="15530" priority="1473" operator="lessThan">
      <formula>0</formula>
    </cfRule>
  </conditionalFormatting>
  <conditionalFormatting sqref="R19:R24">
    <cfRule type="cellIs" dxfId="15529" priority="1471" operator="lessThan">
      <formula>0.8</formula>
    </cfRule>
    <cfRule type="cellIs" dxfId="15528" priority="1472" operator="greaterThan">
      <formula>1</formula>
    </cfRule>
  </conditionalFormatting>
  <conditionalFormatting sqref="R19:R24">
    <cfRule type="cellIs" dxfId="15527" priority="1469" operator="greaterThan">
      <formula>1</formula>
    </cfRule>
    <cfRule type="cellIs" dxfId="15526" priority="1470" operator="lessThan">
      <formula>0.8</formula>
    </cfRule>
  </conditionalFormatting>
  <conditionalFormatting sqref="P19:P24">
    <cfRule type="cellIs" dxfId="15525" priority="1468" operator="greaterThan">
      <formula>0</formula>
    </cfRule>
  </conditionalFormatting>
  <conditionalFormatting sqref="Q19:Q24">
    <cfRule type="cellIs" dxfId="15524" priority="1467" operator="lessThan">
      <formula>0</formula>
    </cfRule>
  </conditionalFormatting>
  <conditionalFormatting sqref="R19:R24">
    <cfRule type="cellIs" dxfId="15523" priority="1465" operator="lessThan">
      <formula>0.8</formula>
    </cfRule>
    <cfRule type="cellIs" dxfId="15522" priority="1466" operator="greaterThan">
      <formula>1</formula>
    </cfRule>
  </conditionalFormatting>
  <conditionalFormatting sqref="R19:R24">
    <cfRule type="cellIs" dxfId="15521" priority="1463" operator="greaterThan">
      <formula>1</formula>
    </cfRule>
    <cfRule type="cellIs" dxfId="15520" priority="1464" operator="lessThan">
      <formula>0.8</formula>
    </cfRule>
  </conditionalFormatting>
  <conditionalFormatting sqref="P19:P24">
    <cfRule type="cellIs" dxfId="15519" priority="1462" operator="greaterThan">
      <formula>0</formula>
    </cfRule>
  </conditionalFormatting>
  <conditionalFormatting sqref="Q19:Q24">
    <cfRule type="cellIs" dxfId="15518" priority="1461" operator="lessThan">
      <formula>0</formula>
    </cfRule>
  </conditionalFormatting>
  <conditionalFormatting sqref="R19:R24">
    <cfRule type="cellIs" dxfId="15517" priority="1459" operator="lessThan">
      <formula>0.8</formula>
    </cfRule>
    <cfRule type="cellIs" dxfId="15516" priority="1460" operator="greaterThan">
      <formula>1</formula>
    </cfRule>
  </conditionalFormatting>
  <conditionalFormatting sqref="R19:R24">
    <cfRule type="cellIs" dxfId="15515" priority="1457" operator="greaterThan">
      <formula>1</formula>
    </cfRule>
    <cfRule type="cellIs" dxfId="15514" priority="1458" operator="lessThan">
      <formula>0.8</formula>
    </cfRule>
  </conditionalFormatting>
  <conditionalFormatting sqref="P19:P24">
    <cfRule type="cellIs" dxfId="15513" priority="1456" operator="greaterThan">
      <formula>0</formula>
    </cfRule>
  </conditionalFormatting>
  <conditionalFormatting sqref="R19:R24">
    <cfRule type="cellIs" dxfId="15512" priority="1453" operator="lessThan">
      <formula>0.8</formula>
    </cfRule>
    <cfRule type="cellIs" dxfId="15511" priority="1454" operator="greaterThan">
      <formula>1</formula>
    </cfRule>
  </conditionalFormatting>
  <conditionalFormatting sqref="R19:R24">
    <cfRule type="cellIs" dxfId="15510" priority="1451" operator="greaterThan">
      <formula>1</formula>
    </cfRule>
    <cfRule type="cellIs" dxfId="15509" priority="1452" operator="lessThan">
      <formula>0.8</formula>
    </cfRule>
  </conditionalFormatting>
  <conditionalFormatting sqref="P19:P24">
    <cfRule type="cellIs" dxfId="15508" priority="1450" operator="greaterThan">
      <formula>0</formula>
    </cfRule>
  </conditionalFormatting>
  <conditionalFormatting sqref="Q19:Q24">
    <cfRule type="cellIs" dxfId="15507" priority="1455" operator="lessThan">
      <formula>0</formula>
    </cfRule>
  </conditionalFormatting>
  <conditionalFormatting sqref="Q40">
    <cfRule type="cellIs" dxfId="15506" priority="1449" operator="lessThan">
      <formula>0</formula>
    </cfRule>
  </conditionalFormatting>
  <conditionalFormatting sqref="R40">
    <cfRule type="cellIs" dxfId="15505" priority="1447" operator="lessThan">
      <formula>0.8</formula>
    </cfRule>
    <cfRule type="cellIs" dxfId="15504" priority="1448" operator="greaterThan">
      <formula>1</formula>
    </cfRule>
  </conditionalFormatting>
  <conditionalFormatting sqref="R40">
    <cfRule type="cellIs" dxfId="15503" priority="1445" operator="greaterThan">
      <formula>1</formula>
    </cfRule>
    <cfRule type="cellIs" dxfId="15502" priority="1446" operator="lessThan">
      <formula>0.8</formula>
    </cfRule>
  </conditionalFormatting>
  <conditionalFormatting sqref="P40">
    <cfRule type="cellIs" dxfId="15501" priority="1444" operator="greaterThan">
      <formula>0</formula>
    </cfRule>
  </conditionalFormatting>
  <conditionalFormatting sqref="P40">
    <cfRule type="cellIs" dxfId="15500" priority="1438" operator="greaterThan">
      <formula>0</formula>
    </cfRule>
  </conditionalFormatting>
  <conditionalFormatting sqref="Q40">
    <cfRule type="cellIs" dxfId="15499" priority="1443" operator="lessThan">
      <formula>0</formula>
    </cfRule>
  </conditionalFormatting>
  <conditionalFormatting sqref="R40">
    <cfRule type="cellIs" dxfId="15498" priority="1441" operator="lessThan">
      <formula>0.8</formula>
    </cfRule>
    <cfRule type="cellIs" dxfId="15497" priority="1442" operator="greaterThan">
      <formula>1</formula>
    </cfRule>
  </conditionalFormatting>
  <conditionalFormatting sqref="R40">
    <cfRule type="cellIs" dxfId="15496" priority="1439" operator="greaterThan">
      <formula>1</formula>
    </cfRule>
    <cfRule type="cellIs" dxfId="15495" priority="1440" operator="lessThan">
      <formula>0.8</formula>
    </cfRule>
  </conditionalFormatting>
  <conditionalFormatting sqref="P40">
    <cfRule type="cellIs" dxfId="15494" priority="1432" operator="greaterThan">
      <formula>0</formula>
    </cfRule>
  </conditionalFormatting>
  <conditionalFormatting sqref="Q40">
    <cfRule type="cellIs" dxfId="15493" priority="1437" operator="lessThan">
      <formula>0</formula>
    </cfRule>
  </conditionalFormatting>
  <conditionalFormatting sqref="R40">
    <cfRule type="cellIs" dxfId="15492" priority="1435" operator="lessThan">
      <formula>0.8</formula>
    </cfRule>
    <cfRule type="cellIs" dxfId="15491" priority="1436" operator="greaterThan">
      <formula>1</formula>
    </cfRule>
  </conditionalFormatting>
  <conditionalFormatting sqref="R40">
    <cfRule type="cellIs" dxfId="15490" priority="1433" operator="greaterThan">
      <formula>1</formula>
    </cfRule>
    <cfRule type="cellIs" dxfId="15489" priority="1434" operator="lessThan">
      <formula>0.8</formula>
    </cfRule>
  </conditionalFormatting>
  <conditionalFormatting sqref="Q40">
    <cfRule type="cellIs" dxfId="15488" priority="1431" operator="lessThan">
      <formula>0</formula>
    </cfRule>
  </conditionalFormatting>
  <conditionalFormatting sqref="R40">
    <cfRule type="cellIs" dxfId="15487" priority="1429" operator="lessThan">
      <formula>0.8</formula>
    </cfRule>
    <cfRule type="cellIs" dxfId="15486" priority="1430" operator="greaterThan">
      <formula>1</formula>
    </cfRule>
  </conditionalFormatting>
  <conditionalFormatting sqref="R40">
    <cfRule type="cellIs" dxfId="15485" priority="1427" operator="greaterThan">
      <formula>1</formula>
    </cfRule>
    <cfRule type="cellIs" dxfId="15484" priority="1428" operator="lessThan">
      <formula>0.8</formula>
    </cfRule>
  </conditionalFormatting>
  <conditionalFormatting sqref="P40">
    <cfRule type="cellIs" dxfId="15483" priority="1426" operator="greaterThan">
      <formula>0</formula>
    </cfRule>
  </conditionalFormatting>
  <conditionalFormatting sqref="P40">
    <cfRule type="cellIs" dxfId="15482" priority="1420" operator="greaterThan">
      <formula>0</formula>
    </cfRule>
  </conditionalFormatting>
  <conditionalFormatting sqref="Q40">
    <cfRule type="cellIs" dxfId="15481" priority="1425" operator="lessThan">
      <formula>0</formula>
    </cfRule>
  </conditionalFormatting>
  <conditionalFormatting sqref="R40">
    <cfRule type="cellIs" dxfId="15480" priority="1423" operator="lessThan">
      <formula>0.8</formula>
    </cfRule>
    <cfRule type="cellIs" dxfId="15479" priority="1424" operator="greaterThan">
      <formula>1</formula>
    </cfRule>
  </conditionalFormatting>
  <conditionalFormatting sqref="R40">
    <cfRule type="cellIs" dxfId="15478" priority="1421" operator="greaterThan">
      <formula>1</formula>
    </cfRule>
    <cfRule type="cellIs" dxfId="15477" priority="1422" operator="lessThan">
      <formula>0.8</formula>
    </cfRule>
  </conditionalFormatting>
  <conditionalFormatting sqref="P40">
    <cfRule type="cellIs" dxfId="15476" priority="1414" operator="greaterThan">
      <formula>0</formula>
    </cfRule>
  </conditionalFormatting>
  <conditionalFormatting sqref="Q40">
    <cfRule type="cellIs" dxfId="15475" priority="1419" operator="lessThan">
      <formula>0</formula>
    </cfRule>
  </conditionalFormatting>
  <conditionalFormatting sqref="R40">
    <cfRule type="cellIs" dxfId="15474" priority="1417" operator="lessThan">
      <formula>0.8</formula>
    </cfRule>
    <cfRule type="cellIs" dxfId="15473" priority="1418" operator="greaterThan">
      <formula>1</formula>
    </cfRule>
  </conditionalFormatting>
  <conditionalFormatting sqref="R40">
    <cfRule type="cellIs" dxfId="15472" priority="1415" operator="greaterThan">
      <formula>1</formula>
    </cfRule>
    <cfRule type="cellIs" dxfId="15471" priority="1416" operator="lessThan">
      <formula>0.8</formula>
    </cfRule>
  </conditionalFormatting>
  <conditionalFormatting sqref="P40">
    <cfRule type="cellIs" dxfId="15470" priority="1408" operator="greaterThan">
      <formula>0</formula>
    </cfRule>
  </conditionalFormatting>
  <conditionalFormatting sqref="Q40">
    <cfRule type="cellIs" dxfId="15469" priority="1413" operator="lessThan">
      <formula>0</formula>
    </cfRule>
  </conditionalFormatting>
  <conditionalFormatting sqref="R40">
    <cfRule type="cellIs" dxfId="15468" priority="1411" operator="lessThan">
      <formula>0.8</formula>
    </cfRule>
    <cfRule type="cellIs" dxfId="15467" priority="1412" operator="greaterThan">
      <formula>1</formula>
    </cfRule>
  </conditionalFormatting>
  <conditionalFormatting sqref="R40">
    <cfRule type="cellIs" dxfId="15466" priority="1409" operator="greaterThan">
      <formula>1</formula>
    </cfRule>
    <cfRule type="cellIs" dxfId="15465" priority="1410" operator="lessThan">
      <formula>0.8</formula>
    </cfRule>
  </conditionalFormatting>
  <conditionalFormatting sqref="Q40">
    <cfRule type="cellIs" dxfId="15464" priority="1402" operator="lessThan">
      <formula>0</formula>
    </cfRule>
  </conditionalFormatting>
  <conditionalFormatting sqref="P40">
    <cfRule type="cellIs" dxfId="15463" priority="1403" operator="greaterThan">
      <formula>0</formula>
    </cfRule>
  </conditionalFormatting>
  <conditionalFormatting sqref="R40">
    <cfRule type="cellIs" dxfId="15462" priority="1406" operator="lessThan">
      <formula>0.8</formula>
    </cfRule>
    <cfRule type="cellIs" dxfId="15461" priority="1407" operator="greaterThan">
      <formula>1</formula>
    </cfRule>
  </conditionalFormatting>
  <conditionalFormatting sqref="R40">
    <cfRule type="cellIs" dxfId="15460" priority="1404" operator="greaterThan">
      <formula>1</formula>
    </cfRule>
    <cfRule type="cellIs" dxfId="15459" priority="1405" operator="lessThan">
      <formula>0.8</formula>
    </cfRule>
  </conditionalFormatting>
  <conditionalFormatting sqref="Q40">
    <cfRule type="cellIs" dxfId="15458" priority="1396" operator="lessThan">
      <formula>0</formula>
    </cfRule>
  </conditionalFormatting>
  <conditionalFormatting sqref="R40">
    <cfRule type="cellIs" dxfId="15457" priority="1400" operator="lessThan">
      <formula>0.8</formula>
    </cfRule>
    <cfRule type="cellIs" dxfId="15456" priority="1401" operator="greaterThan">
      <formula>1</formula>
    </cfRule>
  </conditionalFormatting>
  <conditionalFormatting sqref="R40">
    <cfRule type="cellIs" dxfId="15455" priority="1398" operator="greaterThan">
      <formula>1</formula>
    </cfRule>
    <cfRule type="cellIs" dxfId="15454" priority="1399" operator="lessThan">
      <formula>0.8</formula>
    </cfRule>
  </conditionalFormatting>
  <conditionalFormatting sqref="P40">
    <cfRule type="cellIs" dxfId="15453" priority="1397" operator="greaterThan">
      <formula>0</formula>
    </cfRule>
  </conditionalFormatting>
  <conditionalFormatting sqref="Q40">
    <cfRule type="cellIs" dxfId="15452" priority="1395" operator="lessThan">
      <formula>0</formula>
    </cfRule>
  </conditionalFormatting>
  <conditionalFormatting sqref="R40">
    <cfRule type="cellIs" dxfId="15451" priority="1393" operator="lessThan">
      <formula>0.8</formula>
    </cfRule>
    <cfRule type="cellIs" dxfId="15450" priority="1394" operator="greaterThan">
      <formula>1</formula>
    </cfRule>
  </conditionalFormatting>
  <conditionalFormatting sqref="R40">
    <cfRule type="cellIs" dxfId="15449" priority="1391" operator="greaterThan">
      <formula>1</formula>
    </cfRule>
    <cfRule type="cellIs" dxfId="15448" priority="1392" operator="lessThan">
      <formula>0.8</formula>
    </cfRule>
  </conditionalFormatting>
  <conditionalFormatting sqref="P40">
    <cfRule type="cellIs" dxfId="15447" priority="1390" operator="greaterThan">
      <formula>0</formula>
    </cfRule>
  </conditionalFormatting>
  <conditionalFormatting sqref="Q40">
    <cfRule type="cellIs" dxfId="15446" priority="1389" operator="lessThan">
      <formula>0</formula>
    </cfRule>
  </conditionalFormatting>
  <conditionalFormatting sqref="R40">
    <cfRule type="cellIs" dxfId="15445" priority="1387" operator="lessThan">
      <formula>0.8</formula>
    </cfRule>
    <cfRule type="cellIs" dxfId="15444" priority="1388" operator="greaterThan">
      <formula>1</formula>
    </cfRule>
  </conditionalFormatting>
  <conditionalFormatting sqref="R40">
    <cfRule type="cellIs" dxfId="15443" priority="1385" operator="greaterThan">
      <formula>1</formula>
    </cfRule>
    <cfRule type="cellIs" dxfId="15442" priority="1386" operator="lessThan">
      <formula>0.8</formula>
    </cfRule>
  </conditionalFormatting>
  <conditionalFormatting sqref="P40">
    <cfRule type="cellIs" dxfId="15441" priority="1384" operator="greaterThan">
      <formula>0</formula>
    </cfRule>
  </conditionalFormatting>
  <conditionalFormatting sqref="Q32:Q39">
    <cfRule type="cellIs" dxfId="15440" priority="1383" operator="lessThan">
      <formula>0</formula>
    </cfRule>
  </conditionalFormatting>
  <conditionalFormatting sqref="R32:R39">
    <cfRule type="cellIs" dxfId="15439" priority="1381" operator="lessThan">
      <formula>0.8</formula>
    </cfRule>
    <cfRule type="cellIs" dxfId="15438" priority="1382" operator="greaterThan">
      <formula>1</formula>
    </cfRule>
  </conditionalFormatting>
  <conditionalFormatting sqref="R32:R39">
    <cfRule type="cellIs" dxfId="15437" priority="1379" operator="greaterThan">
      <formula>1</formula>
    </cfRule>
    <cfRule type="cellIs" dxfId="15436" priority="1380" operator="lessThan">
      <formula>0.8</formula>
    </cfRule>
  </conditionalFormatting>
  <conditionalFormatting sqref="P32:P39">
    <cfRule type="cellIs" dxfId="15435" priority="1378" operator="greaterThan">
      <formula>0</formula>
    </cfRule>
  </conditionalFormatting>
  <conditionalFormatting sqref="Q32:Q39">
    <cfRule type="cellIs" dxfId="15434" priority="1377" operator="lessThan">
      <formula>0</formula>
    </cfRule>
  </conditionalFormatting>
  <conditionalFormatting sqref="R32:R39">
    <cfRule type="cellIs" dxfId="15433" priority="1375" operator="lessThan">
      <formula>0.8</formula>
    </cfRule>
    <cfRule type="cellIs" dxfId="15432" priority="1376" operator="greaterThan">
      <formula>1</formula>
    </cfRule>
  </conditionalFormatting>
  <conditionalFormatting sqref="R32:R39">
    <cfRule type="cellIs" dxfId="15431" priority="1373" operator="greaterThan">
      <formula>1</formula>
    </cfRule>
    <cfRule type="cellIs" dxfId="15430" priority="1374" operator="lessThan">
      <formula>0.8</formula>
    </cfRule>
  </conditionalFormatting>
  <conditionalFormatting sqref="P32:P39">
    <cfRule type="cellIs" dxfId="15429" priority="1372" operator="greaterThan">
      <formula>0</formula>
    </cfRule>
  </conditionalFormatting>
  <conditionalFormatting sqref="Q32:Q39">
    <cfRule type="cellIs" dxfId="15428" priority="1371" operator="lessThan">
      <formula>0</formula>
    </cfRule>
  </conditionalFormatting>
  <conditionalFormatting sqref="R32:R39">
    <cfRule type="cellIs" dxfId="15427" priority="1369" operator="lessThan">
      <formula>0.8</formula>
    </cfRule>
    <cfRule type="cellIs" dxfId="15426" priority="1370" operator="greaterThan">
      <formula>1</formula>
    </cfRule>
  </conditionalFormatting>
  <conditionalFormatting sqref="R32:R39">
    <cfRule type="cellIs" dxfId="15425" priority="1367" operator="greaterThan">
      <formula>1</formula>
    </cfRule>
    <cfRule type="cellIs" dxfId="15424" priority="1368" operator="lessThan">
      <formula>0.8</formula>
    </cfRule>
  </conditionalFormatting>
  <conditionalFormatting sqref="P32:P39">
    <cfRule type="cellIs" dxfId="15423" priority="1366" operator="greaterThan">
      <formula>0</formula>
    </cfRule>
  </conditionalFormatting>
  <conditionalFormatting sqref="Q32:Q39">
    <cfRule type="cellIs" dxfId="15422" priority="1365" operator="lessThan">
      <formula>0</formula>
    </cfRule>
  </conditionalFormatting>
  <conditionalFormatting sqref="R32:R39">
    <cfRule type="cellIs" dxfId="15421" priority="1363" operator="lessThan">
      <formula>0.8</formula>
    </cfRule>
    <cfRule type="cellIs" dxfId="15420" priority="1364" operator="greaterThan">
      <formula>1</formula>
    </cfRule>
  </conditionalFormatting>
  <conditionalFormatting sqref="R32:R39">
    <cfRule type="cellIs" dxfId="15419" priority="1361" operator="greaterThan">
      <formula>1</formula>
    </cfRule>
    <cfRule type="cellIs" dxfId="15418" priority="1362" operator="lessThan">
      <formula>0.8</formula>
    </cfRule>
  </conditionalFormatting>
  <conditionalFormatting sqref="P32:P39">
    <cfRule type="cellIs" dxfId="15417" priority="1360" operator="greaterThan">
      <formula>0</formula>
    </cfRule>
  </conditionalFormatting>
  <conditionalFormatting sqref="P32:P39">
    <cfRule type="cellIs" dxfId="15416" priority="1354" operator="greaterThan">
      <formula>0</formula>
    </cfRule>
  </conditionalFormatting>
  <conditionalFormatting sqref="Q32:Q39">
    <cfRule type="cellIs" dxfId="15415" priority="1359" operator="lessThan">
      <formula>0</formula>
    </cfRule>
  </conditionalFormatting>
  <conditionalFormatting sqref="R32:R39">
    <cfRule type="cellIs" dxfId="15414" priority="1357" operator="lessThan">
      <formula>0.8</formula>
    </cfRule>
    <cfRule type="cellIs" dxfId="15413" priority="1358" operator="greaterThan">
      <formula>1</formula>
    </cfRule>
  </conditionalFormatting>
  <conditionalFormatting sqref="R32:R39">
    <cfRule type="cellIs" dxfId="15412" priority="1355" operator="greaterThan">
      <formula>1</formula>
    </cfRule>
    <cfRule type="cellIs" dxfId="15411" priority="1356" operator="lessThan">
      <formula>0.8</formula>
    </cfRule>
  </conditionalFormatting>
  <conditionalFormatting sqref="P32:P39">
    <cfRule type="cellIs" dxfId="15410" priority="1348" operator="greaterThan">
      <formula>0</formula>
    </cfRule>
  </conditionalFormatting>
  <conditionalFormatting sqref="Q32:Q39">
    <cfRule type="cellIs" dxfId="15409" priority="1353" operator="lessThan">
      <formula>0</formula>
    </cfRule>
  </conditionalFormatting>
  <conditionalFormatting sqref="R32:R39">
    <cfRule type="cellIs" dxfId="15408" priority="1351" operator="lessThan">
      <formula>0.8</formula>
    </cfRule>
    <cfRule type="cellIs" dxfId="15407" priority="1352" operator="greaterThan">
      <formula>1</formula>
    </cfRule>
  </conditionalFormatting>
  <conditionalFormatting sqref="R32:R39">
    <cfRule type="cellIs" dxfId="15406" priority="1349" operator="greaterThan">
      <formula>1</formula>
    </cfRule>
    <cfRule type="cellIs" dxfId="15405" priority="1350" operator="lessThan">
      <formula>0.8</formula>
    </cfRule>
  </conditionalFormatting>
  <conditionalFormatting sqref="R32:R39">
    <cfRule type="cellIs" dxfId="15404" priority="1345" operator="lessThan">
      <formula>0.8</formula>
    </cfRule>
    <cfRule type="cellIs" dxfId="15403" priority="1346" operator="greaterThan">
      <formula>1</formula>
    </cfRule>
  </conditionalFormatting>
  <conditionalFormatting sqref="R32:R39">
    <cfRule type="cellIs" dxfId="15402" priority="1343" operator="greaterThan">
      <formula>1</formula>
    </cfRule>
    <cfRule type="cellIs" dxfId="15401" priority="1344" operator="lessThan">
      <formula>0.8</formula>
    </cfRule>
  </conditionalFormatting>
  <conditionalFormatting sqref="P32:P39">
    <cfRule type="cellIs" dxfId="15400" priority="1342" operator="greaterThan">
      <formula>0</formula>
    </cfRule>
  </conditionalFormatting>
  <conditionalFormatting sqref="Q32:Q39">
    <cfRule type="cellIs" dxfId="15399" priority="1347" operator="lessThan">
      <formula>0</formula>
    </cfRule>
  </conditionalFormatting>
  <conditionalFormatting sqref="Q32:Q39">
    <cfRule type="cellIs" dxfId="15398" priority="1341" operator="lessThan">
      <formula>0</formula>
    </cfRule>
  </conditionalFormatting>
  <conditionalFormatting sqref="R32:R39">
    <cfRule type="cellIs" dxfId="15397" priority="1339" operator="lessThan">
      <formula>0.8</formula>
    </cfRule>
    <cfRule type="cellIs" dxfId="15396" priority="1340" operator="greaterThan">
      <formula>1</formula>
    </cfRule>
  </conditionalFormatting>
  <conditionalFormatting sqref="R32:R39">
    <cfRule type="cellIs" dxfId="15395" priority="1337" operator="greaterThan">
      <formula>1</formula>
    </cfRule>
    <cfRule type="cellIs" dxfId="15394" priority="1338" operator="lessThan">
      <formula>0.8</formula>
    </cfRule>
  </conditionalFormatting>
  <conditionalFormatting sqref="P32:P39">
    <cfRule type="cellIs" dxfId="15393" priority="1336" operator="greaterThan">
      <formula>0</formula>
    </cfRule>
  </conditionalFormatting>
  <conditionalFormatting sqref="P32:P39">
    <cfRule type="cellIs" dxfId="15392" priority="1330" operator="greaterThan">
      <formula>0</formula>
    </cfRule>
  </conditionalFormatting>
  <conditionalFormatting sqref="Q32:Q39">
    <cfRule type="cellIs" dxfId="15391" priority="1335" operator="lessThan">
      <formula>0</formula>
    </cfRule>
  </conditionalFormatting>
  <conditionalFormatting sqref="R32:R39">
    <cfRule type="cellIs" dxfId="15390" priority="1333" operator="lessThan">
      <formula>0.8</formula>
    </cfRule>
    <cfRule type="cellIs" dxfId="15389" priority="1334" operator="greaterThan">
      <formula>1</formula>
    </cfRule>
  </conditionalFormatting>
  <conditionalFormatting sqref="R32:R39">
    <cfRule type="cellIs" dxfId="15388" priority="1331" operator="greaterThan">
      <formula>1</formula>
    </cfRule>
    <cfRule type="cellIs" dxfId="15387" priority="1332" operator="lessThan">
      <formula>0.8</formula>
    </cfRule>
  </conditionalFormatting>
  <conditionalFormatting sqref="P32:P39">
    <cfRule type="cellIs" dxfId="15386" priority="1324" operator="greaterThan">
      <formula>0</formula>
    </cfRule>
  </conditionalFormatting>
  <conditionalFormatting sqref="Q32:Q39">
    <cfRule type="cellIs" dxfId="15385" priority="1329" operator="lessThan">
      <formula>0</formula>
    </cfRule>
  </conditionalFormatting>
  <conditionalFormatting sqref="R32:R39">
    <cfRule type="cellIs" dxfId="15384" priority="1327" operator="lessThan">
      <formula>0.8</formula>
    </cfRule>
    <cfRule type="cellIs" dxfId="15383" priority="1328" operator="greaterThan">
      <formula>1</formula>
    </cfRule>
  </conditionalFormatting>
  <conditionalFormatting sqref="R32:R39">
    <cfRule type="cellIs" dxfId="15382" priority="1325" operator="greaterThan">
      <formula>1</formula>
    </cfRule>
    <cfRule type="cellIs" dxfId="15381" priority="1326" operator="lessThan">
      <formula>0.8</formula>
    </cfRule>
  </conditionalFormatting>
  <conditionalFormatting sqref="R32:R39">
    <cfRule type="cellIs" dxfId="15380" priority="1321" operator="lessThan">
      <formula>0.8</formula>
    </cfRule>
    <cfRule type="cellIs" dxfId="15379" priority="1322" operator="greaterThan">
      <formula>1</formula>
    </cfRule>
  </conditionalFormatting>
  <conditionalFormatting sqref="R32:R39">
    <cfRule type="cellIs" dxfId="15378" priority="1319" operator="greaterThan">
      <formula>1</formula>
    </cfRule>
    <cfRule type="cellIs" dxfId="15377" priority="1320" operator="lessThan">
      <formula>0.8</formula>
    </cfRule>
  </conditionalFormatting>
  <conditionalFormatting sqref="P32:P39">
    <cfRule type="cellIs" dxfId="15376" priority="1318" operator="greaterThan">
      <formula>0</formula>
    </cfRule>
  </conditionalFormatting>
  <conditionalFormatting sqref="Q32:Q39">
    <cfRule type="cellIs" dxfId="15375" priority="1323" operator="lessThan">
      <formula>0</formula>
    </cfRule>
  </conditionalFormatting>
  <conditionalFormatting sqref="P32:P39">
    <cfRule type="cellIs" dxfId="15374" priority="1312" operator="greaterThan">
      <formula>0</formula>
    </cfRule>
  </conditionalFormatting>
  <conditionalFormatting sqref="Q32:Q39">
    <cfRule type="cellIs" dxfId="15373" priority="1317" operator="lessThan">
      <formula>0</formula>
    </cfRule>
  </conditionalFormatting>
  <conditionalFormatting sqref="R32:R39">
    <cfRule type="cellIs" dxfId="15372" priority="1315" operator="lessThan">
      <formula>0.8</formula>
    </cfRule>
    <cfRule type="cellIs" dxfId="15371" priority="1316" operator="greaterThan">
      <formula>1</formula>
    </cfRule>
  </conditionalFormatting>
  <conditionalFormatting sqref="R32:R39">
    <cfRule type="cellIs" dxfId="15370" priority="1313" operator="greaterThan">
      <formula>1</formula>
    </cfRule>
    <cfRule type="cellIs" dxfId="15369" priority="1314" operator="lessThan">
      <formula>0.8</formula>
    </cfRule>
  </conditionalFormatting>
  <conditionalFormatting sqref="R32:R39">
    <cfRule type="cellIs" dxfId="15368" priority="1309" operator="lessThan">
      <formula>0.8</formula>
    </cfRule>
    <cfRule type="cellIs" dxfId="15367" priority="1310" operator="greaterThan">
      <formula>1</formula>
    </cfRule>
  </conditionalFormatting>
  <conditionalFormatting sqref="R32:R39">
    <cfRule type="cellIs" dxfId="15366" priority="1307" operator="greaterThan">
      <formula>1</formula>
    </cfRule>
    <cfRule type="cellIs" dxfId="15365" priority="1308" operator="lessThan">
      <formula>0.8</formula>
    </cfRule>
  </conditionalFormatting>
  <conditionalFormatting sqref="P32:P39">
    <cfRule type="cellIs" dxfId="15364" priority="1306" operator="greaterThan">
      <formula>0</formula>
    </cfRule>
  </conditionalFormatting>
  <conditionalFormatting sqref="Q32:Q39">
    <cfRule type="cellIs" dxfId="15363" priority="1311" operator="lessThan">
      <formula>0</formula>
    </cfRule>
  </conditionalFormatting>
  <conditionalFormatting sqref="R32:R39">
    <cfRule type="cellIs" dxfId="15362" priority="1303" operator="lessThan">
      <formula>0.8</formula>
    </cfRule>
    <cfRule type="cellIs" dxfId="15361" priority="1304" operator="greaterThan">
      <formula>1</formula>
    </cfRule>
  </conditionalFormatting>
  <conditionalFormatting sqref="R32:R39">
    <cfRule type="cellIs" dxfId="15360" priority="1301" operator="greaterThan">
      <formula>1</formula>
    </cfRule>
    <cfRule type="cellIs" dxfId="15359" priority="1302" operator="lessThan">
      <formula>0.8</formula>
    </cfRule>
  </conditionalFormatting>
  <conditionalFormatting sqref="P32:P39">
    <cfRule type="cellIs" dxfId="15358" priority="1300" operator="greaterThan">
      <formula>0</formula>
    </cfRule>
  </conditionalFormatting>
  <conditionalFormatting sqref="Q32:Q39">
    <cfRule type="cellIs" dxfId="15357" priority="1305" operator="lessThan">
      <formula>0</formula>
    </cfRule>
  </conditionalFormatting>
  <conditionalFormatting sqref="Q32:Q39">
    <cfRule type="cellIs" dxfId="15356" priority="1299" operator="lessThan">
      <formula>0</formula>
    </cfRule>
  </conditionalFormatting>
  <conditionalFormatting sqref="R32:R39">
    <cfRule type="cellIs" dxfId="15355" priority="1297" operator="lessThan">
      <formula>0.8</formula>
    </cfRule>
    <cfRule type="cellIs" dxfId="15354" priority="1298" operator="greaterThan">
      <formula>1</formula>
    </cfRule>
  </conditionalFormatting>
  <conditionalFormatting sqref="R32:R39">
    <cfRule type="cellIs" dxfId="15353" priority="1295" operator="greaterThan">
      <formula>1</formula>
    </cfRule>
    <cfRule type="cellIs" dxfId="15352" priority="1296" operator="lessThan">
      <formula>0.8</formula>
    </cfRule>
  </conditionalFormatting>
  <conditionalFormatting sqref="P32:P39">
    <cfRule type="cellIs" dxfId="15351" priority="1294" operator="greaterThan">
      <formula>0</formula>
    </cfRule>
  </conditionalFormatting>
  <conditionalFormatting sqref="Q32:Q39">
    <cfRule type="cellIs" dxfId="15350" priority="1288" operator="lessThan">
      <formula>0</formula>
    </cfRule>
  </conditionalFormatting>
  <conditionalFormatting sqref="R32:R39">
    <cfRule type="cellIs" dxfId="15349" priority="1292" operator="lessThan">
      <formula>0.8</formula>
    </cfRule>
    <cfRule type="cellIs" dxfId="15348" priority="1293" operator="greaterThan">
      <formula>1</formula>
    </cfRule>
  </conditionalFormatting>
  <conditionalFormatting sqref="R32:R39">
    <cfRule type="cellIs" dxfId="15347" priority="1290" operator="greaterThan">
      <formula>1</formula>
    </cfRule>
    <cfRule type="cellIs" dxfId="15346" priority="1291" operator="lessThan">
      <formula>0.8</formula>
    </cfRule>
  </conditionalFormatting>
  <conditionalFormatting sqref="P32:P39">
    <cfRule type="cellIs" dxfId="15345" priority="1289" operator="greaterThan">
      <formula>0</formula>
    </cfRule>
  </conditionalFormatting>
  <conditionalFormatting sqref="Q32:Q39">
    <cfRule type="cellIs" dxfId="15344" priority="1287" operator="lessThan">
      <formula>0</formula>
    </cfRule>
  </conditionalFormatting>
  <conditionalFormatting sqref="R32:R39">
    <cfRule type="cellIs" dxfId="15343" priority="1285" operator="lessThan">
      <formula>0.8</formula>
    </cfRule>
    <cfRule type="cellIs" dxfId="15342" priority="1286" operator="greaterThan">
      <formula>1</formula>
    </cfRule>
  </conditionalFormatting>
  <conditionalFormatting sqref="R32:R39">
    <cfRule type="cellIs" dxfId="15341" priority="1283" operator="greaterThan">
      <formula>1</formula>
    </cfRule>
    <cfRule type="cellIs" dxfId="15340" priority="1284" operator="lessThan">
      <formula>0.8</formula>
    </cfRule>
  </conditionalFormatting>
  <conditionalFormatting sqref="P32:P39">
    <cfRule type="cellIs" dxfId="15339" priority="1282" operator="greaterThan">
      <formula>0</formula>
    </cfRule>
  </conditionalFormatting>
  <conditionalFormatting sqref="Q32:Q39">
    <cfRule type="cellIs" dxfId="15338" priority="1281" operator="lessThan">
      <formula>0</formula>
    </cfRule>
  </conditionalFormatting>
  <conditionalFormatting sqref="R32:R39">
    <cfRule type="cellIs" dxfId="15337" priority="1279" operator="lessThan">
      <formula>0.8</formula>
    </cfRule>
    <cfRule type="cellIs" dxfId="15336" priority="1280" operator="greaterThan">
      <formula>1</formula>
    </cfRule>
  </conditionalFormatting>
  <conditionalFormatting sqref="R32:R39">
    <cfRule type="cellIs" dxfId="15335" priority="1277" operator="greaterThan">
      <formula>1</formula>
    </cfRule>
    <cfRule type="cellIs" dxfId="15334" priority="1278" operator="lessThan">
      <formula>0.8</formula>
    </cfRule>
  </conditionalFormatting>
  <conditionalFormatting sqref="P32:P39">
    <cfRule type="cellIs" dxfId="15333" priority="1276" operator="greaterThan">
      <formula>0</formula>
    </cfRule>
  </conditionalFormatting>
  <conditionalFormatting sqref="Q32:Q39">
    <cfRule type="cellIs" dxfId="15332" priority="1275" operator="lessThan">
      <formula>0</formula>
    </cfRule>
  </conditionalFormatting>
  <conditionalFormatting sqref="R32:R39">
    <cfRule type="cellIs" dxfId="15331" priority="1273" operator="lessThan">
      <formula>0.8</formula>
    </cfRule>
    <cfRule type="cellIs" dxfId="15330" priority="1274" operator="greaterThan">
      <formula>1</formula>
    </cfRule>
  </conditionalFormatting>
  <conditionalFormatting sqref="R32:R39">
    <cfRule type="cellIs" dxfId="15329" priority="1271" operator="greaterThan">
      <formula>1</formula>
    </cfRule>
    <cfRule type="cellIs" dxfId="15328" priority="1272" operator="lessThan">
      <formula>0.8</formula>
    </cfRule>
  </conditionalFormatting>
  <conditionalFormatting sqref="P32:P39">
    <cfRule type="cellIs" dxfId="15327" priority="1270" operator="greaterThan">
      <formula>0</formula>
    </cfRule>
  </conditionalFormatting>
  <conditionalFormatting sqref="Q32:Q39">
    <cfRule type="cellIs" dxfId="15326" priority="1269" operator="lessThan">
      <formula>0</formula>
    </cfRule>
  </conditionalFormatting>
  <conditionalFormatting sqref="R32:R39">
    <cfRule type="cellIs" dxfId="15325" priority="1267" operator="lessThan">
      <formula>0.8</formula>
    </cfRule>
    <cfRule type="cellIs" dxfId="15324" priority="1268" operator="greaterThan">
      <formula>1</formula>
    </cfRule>
  </conditionalFormatting>
  <conditionalFormatting sqref="R32:R39">
    <cfRule type="cellIs" dxfId="15323" priority="1265" operator="greaterThan">
      <formula>1</formula>
    </cfRule>
    <cfRule type="cellIs" dxfId="15322" priority="1266" operator="lessThan">
      <formula>0.8</formula>
    </cfRule>
  </conditionalFormatting>
  <conditionalFormatting sqref="P32:P39">
    <cfRule type="cellIs" dxfId="15321" priority="1264" operator="greaterThan">
      <formula>0</formula>
    </cfRule>
  </conditionalFormatting>
  <conditionalFormatting sqref="Q32:Q39">
    <cfRule type="cellIs" dxfId="15320" priority="1263" operator="lessThan">
      <formula>0</formula>
    </cfRule>
  </conditionalFormatting>
  <conditionalFormatting sqref="R32:R39">
    <cfRule type="cellIs" dxfId="15319" priority="1261" operator="lessThan">
      <formula>0.8</formula>
    </cfRule>
    <cfRule type="cellIs" dxfId="15318" priority="1262" operator="greaterThan">
      <formula>1</formula>
    </cfRule>
  </conditionalFormatting>
  <conditionalFormatting sqref="R32:R39">
    <cfRule type="cellIs" dxfId="15317" priority="1259" operator="greaterThan">
      <formula>1</formula>
    </cfRule>
    <cfRule type="cellIs" dxfId="15316" priority="1260" operator="lessThan">
      <formula>0.8</formula>
    </cfRule>
  </conditionalFormatting>
  <conditionalFormatting sqref="P32:P39">
    <cfRule type="cellIs" dxfId="15315" priority="1258" operator="greaterThan">
      <formula>0</formula>
    </cfRule>
  </conditionalFormatting>
  <conditionalFormatting sqref="P32:P39">
    <cfRule type="cellIs" dxfId="15314" priority="1252" operator="greaterThan">
      <formula>0</formula>
    </cfRule>
  </conditionalFormatting>
  <conditionalFormatting sqref="Q32:Q39">
    <cfRule type="cellIs" dxfId="15313" priority="1257" operator="lessThan">
      <formula>0</formula>
    </cfRule>
  </conditionalFormatting>
  <conditionalFormatting sqref="R32:R39">
    <cfRule type="cellIs" dxfId="15312" priority="1255" operator="lessThan">
      <formula>0.8</formula>
    </cfRule>
    <cfRule type="cellIs" dxfId="15311" priority="1256" operator="greaterThan">
      <formula>1</formula>
    </cfRule>
  </conditionalFormatting>
  <conditionalFormatting sqref="R32:R39">
    <cfRule type="cellIs" dxfId="15310" priority="1253" operator="greaterThan">
      <formula>1</formula>
    </cfRule>
    <cfRule type="cellIs" dxfId="15309" priority="1254" operator="lessThan">
      <formula>0.8</formula>
    </cfRule>
  </conditionalFormatting>
  <conditionalFormatting sqref="P32:P39">
    <cfRule type="cellIs" dxfId="15308" priority="1246" operator="greaterThan">
      <formula>0</formula>
    </cfRule>
  </conditionalFormatting>
  <conditionalFormatting sqref="Q32:Q39">
    <cfRule type="cellIs" dxfId="15307" priority="1251" operator="lessThan">
      <formula>0</formula>
    </cfRule>
  </conditionalFormatting>
  <conditionalFormatting sqref="R32:R39">
    <cfRule type="cellIs" dxfId="15306" priority="1249" operator="lessThan">
      <formula>0.8</formula>
    </cfRule>
    <cfRule type="cellIs" dxfId="15305" priority="1250" operator="greaterThan">
      <formula>1</formula>
    </cfRule>
  </conditionalFormatting>
  <conditionalFormatting sqref="R32:R39">
    <cfRule type="cellIs" dxfId="15304" priority="1247" operator="greaterThan">
      <formula>1</formula>
    </cfRule>
    <cfRule type="cellIs" dxfId="15303" priority="1248" operator="lessThan">
      <formula>0.8</formula>
    </cfRule>
  </conditionalFormatting>
  <conditionalFormatting sqref="R32:R39">
    <cfRule type="cellIs" dxfId="15302" priority="1243" operator="lessThan">
      <formula>0.8</formula>
    </cfRule>
    <cfRule type="cellIs" dxfId="15301" priority="1244" operator="greaterThan">
      <formula>1</formula>
    </cfRule>
  </conditionalFormatting>
  <conditionalFormatting sqref="R32:R39">
    <cfRule type="cellIs" dxfId="15300" priority="1241" operator="greaterThan">
      <formula>1</formula>
    </cfRule>
    <cfRule type="cellIs" dxfId="15299" priority="1242" operator="lessThan">
      <formula>0.8</formula>
    </cfRule>
  </conditionalFormatting>
  <conditionalFormatting sqref="P32:P39">
    <cfRule type="cellIs" dxfId="15298" priority="1240" operator="greaterThan">
      <formula>0</formula>
    </cfRule>
  </conditionalFormatting>
  <conditionalFormatting sqref="Q32:Q39">
    <cfRule type="cellIs" dxfId="15297" priority="1245" operator="lessThan">
      <formula>0</formula>
    </cfRule>
  </conditionalFormatting>
  <conditionalFormatting sqref="Q32:Q39">
    <cfRule type="cellIs" dxfId="15296" priority="1234" operator="lessThan">
      <formula>0</formula>
    </cfRule>
  </conditionalFormatting>
  <conditionalFormatting sqref="P32:P39">
    <cfRule type="cellIs" dxfId="15295" priority="1235" operator="greaterThan">
      <formula>0</formula>
    </cfRule>
  </conditionalFormatting>
  <conditionalFormatting sqref="R32:R39">
    <cfRule type="cellIs" dxfId="15294" priority="1238" operator="lessThan">
      <formula>0.8</formula>
    </cfRule>
    <cfRule type="cellIs" dxfId="15293" priority="1239" operator="greaterThan">
      <formula>1</formula>
    </cfRule>
  </conditionalFormatting>
  <conditionalFormatting sqref="R32:R39">
    <cfRule type="cellIs" dxfId="15292" priority="1236" operator="greaterThan">
      <formula>1</formula>
    </cfRule>
    <cfRule type="cellIs" dxfId="15291" priority="1237" operator="lessThan">
      <formula>0.8</formula>
    </cfRule>
  </conditionalFormatting>
  <conditionalFormatting sqref="Q32:Q39">
    <cfRule type="cellIs" dxfId="15290" priority="1228" operator="lessThan">
      <formula>0</formula>
    </cfRule>
  </conditionalFormatting>
  <conditionalFormatting sqref="R32:R39">
    <cfRule type="cellIs" dxfId="15289" priority="1232" operator="lessThan">
      <formula>0.8</formula>
    </cfRule>
    <cfRule type="cellIs" dxfId="15288" priority="1233" operator="greaterThan">
      <formula>1</formula>
    </cfRule>
  </conditionalFormatting>
  <conditionalFormatting sqref="R32:R39">
    <cfRule type="cellIs" dxfId="15287" priority="1230" operator="greaterThan">
      <formula>1</formula>
    </cfRule>
    <cfRule type="cellIs" dxfId="15286" priority="1231" operator="lessThan">
      <formula>0.8</formula>
    </cfRule>
  </conditionalFormatting>
  <conditionalFormatting sqref="P32:P39">
    <cfRule type="cellIs" dxfId="15285" priority="1229" operator="greaterThan">
      <formula>0</formula>
    </cfRule>
  </conditionalFormatting>
  <conditionalFormatting sqref="Q32:Q39">
    <cfRule type="cellIs" dxfId="15284" priority="1227" operator="lessThan">
      <formula>0</formula>
    </cfRule>
  </conditionalFormatting>
  <conditionalFormatting sqref="R32:R39">
    <cfRule type="cellIs" dxfId="15283" priority="1225" operator="lessThan">
      <formula>0.8</formula>
    </cfRule>
    <cfRule type="cellIs" dxfId="15282" priority="1226" operator="greaterThan">
      <formula>1</formula>
    </cfRule>
  </conditionalFormatting>
  <conditionalFormatting sqref="R32:R39">
    <cfRule type="cellIs" dxfId="15281" priority="1223" operator="greaterThan">
      <formula>1</formula>
    </cfRule>
    <cfRule type="cellIs" dxfId="15280" priority="1224" operator="lessThan">
      <formula>0.8</formula>
    </cfRule>
  </conditionalFormatting>
  <conditionalFormatting sqref="P32:P39">
    <cfRule type="cellIs" dxfId="15279" priority="1222" operator="greaterThan">
      <formula>0</formula>
    </cfRule>
  </conditionalFormatting>
  <conditionalFormatting sqref="Q32:Q39">
    <cfRule type="cellIs" dxfId="15278" priority="1221" operator="lessThan">
      <formula>0</formula>
    </cfRule>
  </conditionalFormatting>
  <conditionalFormatting sqref="R32:R39">
    <cfRule type="cellIs" dxfId="15277" priority="1219" operator="lessThan">
      <formula>0.8</formula>
    </cfRule>
    <cfRule type="cellIs" dxfId="15276" priority="1220" operator="greaterThan">
      <formula>1</formula>
    </cfRule>
  </conditionalFormatting>
  <conditionalFormatting sqref="R32:R39">
    <cfRule type="cellIs" dxfId="15275" priority="1217" operator="greaterThan">
      <formula>1</formula>
    </cfRule>
    <cfRule type="cellIs" dxfId="15274" priority="1218" operator="lessThan">
      <formula>0.8</formula>
    </cfRule>
  </conditionalFormatting>
  <conditionalFormatting sqref="P32:P39">
    <cfRule type="cellIs" dxfId="15273" priority="1216" operator="greaterThan">
      <formula>0</formula>
    </cfRule>
  </conditionalFormatting>
  <conditionalFormatting sqref="Q32:Q39">
    <cfRule type="cellIs" dxfId="15272" priority="1215" operator="lessThan">
      <formula>0</formula>
    </cfRule>
  </conditionalFormatting>
  <conditionalFormatting sqref="R32:R39">
    <cfRule type="cellIs" dxfId="15271" priority="1213" operator="lessThan">
      <formula>0.8</formula>
    </cfRule>
    <cfRule type="cellIs" dxfId="15270" priority="1214" operator="greaterThan">
      <formula>1</formula>
    </cfRule>
  </conditionalFormatting>
  <conditionalFormatting sqref="R32:R39">
    <cfRule type="cellIs" dxfId="15269" priority="1211" operator="greaterThan">
      <formula>1</formula>
    </cfRule>
    <cfRule type="cellIs" dxfId="15268" priority="1212" operator="lessThan">
      <formula>0.8</formula>
    </cfRule>
  </conditionalFormatting>
  <conditionalFormatting sqref="P32:P39">
    <cfRule type="cellIs" dxfId="15267" priority="1210" operator="greaterThan">
      <formula>0</formula>
    </cfRule>
  </conditionalFormatting>
  <conditionalFormatting sqref="Q32:Q39">
    <cfRule type="cellIs" dxfId="15266" priority="1209" operator="lessThan">
      <formula>0</formula>
    </cfRule>
  </conditionalFormatting>
  <conditionalFormatting sqref="R32:R39">
    <cfRule type="cellIs" dxfId="15265" priority="1207" operator="lessThan">
      <formula>0.8</formula>
    </cfRule>
    <cfRule type="cellIs" dxfId="15264" priority="1208" operator="greaterThan">
      <formula>1</formula>
    </cfRule>
  </conditionalFormatting>
  <conditionalFormatting sqref="R32:R39">
    <cfRule type="cellIs" dxfId="15263" priority="1205" operator="greaterThan">
      <formula>1</formula>
    </cfRule>
    <cfRule type="cellIs" dxfId="15262" priority="1206" operator="lessThan">
      <formula>0.8</formula>
    </cfRule>
  </conditionalFormatting>
  <conditionalFormatting sqref="P32:P39">
    <cfRule type="cellIs" dxfId="15261" priority="1204" operator="greaterThan">
      <formula>0</formula>
    </cfRule>
  </conditionalFormatting>
  <conditionalFormatting sqref="Q105">
    <cfRule type="cellIs" dxfId="15260" priority="1203" operator="lessThan">
      <formula>0</formula>
    </cfRule>
  </conditionalFormatting>
  <conditionalFormatting sqref="P105">
    <cfRule type="cellIs" dxfId="15259" priority="1202" operator="greaterThan">
      <formula>0</formula>
    </cfRule>
  </conditionalFormatting>
  <conditionalFormatting sqref="P105">
    <cfRule type="cellIs" dxfId="15258" priority="1200" operator="greaterThan">
      <formula>0</formula>
    </cfRule>
  </conditionalFormatting>
  <conditionalFormatting sqref="Q105">
    <cfRule type="cellIs" dxfId="15257" priority="1201" operator="lessThan">
      <formula>0</formula>
    </cfRule>
  </conditionalFormatting>
  <conditionalFormatting sqref="Q105">
    <cfRule type="cellIs" dxfId="15256" priority="1199" operator="lessThan">
      <formula>0</formula>
    </cfRule>
  </conditionalFormatting>
  <conditionalFormatting sqref="P105">
    <cfRule type="cellIs" dxfId="15255" priority="1198" operator="greaterThan">
      <formula>0</formula>
    </cfRule>
  </conditionalFormatting>
  <conditionalFormatting sqref="Q96:Q104">
    <cfRule type="cellIs" dxfId="15254" priority="1192" operator="lessThan">
      <formula>0</formula>
    </cfRule>
  </conditionalFormatting>
  <conditionalFormatting sqref="P96:P104">
    <cfRule type="cellIs" dxfId="15253" priority="1193" operator="greaterThan">
      <formula>0</formula>
    </cfRule>
  </conditionalFormatting>
  <conditionalFormatting sqref="R96:R105">
    <cfRule type="cellIs" dxfId="15252" priority="1196" operator="lessThan">
      <formula>0.8</formula>
    </cfRule>
    <cfRule type="cellIs" dxfId="15251" priority="1197" operator="greaterThan">
      <formula>1</formula>
    </cfRule>
  </conditionalFormatting>
  <conditionalFormatting sqref="R96:R105">
    <cfRule type="cellIs" dxfId="15250" priority="1194" operator="greaterThan">
      <formula>1</formula>
    </cfRule>
    <cfRule type="cellIs" dxfId="15249" priority="1195" operator="lessThan">
      <formula>0.8</formula>
    </cfRule>
  </conditionalFormatting>
  <conditionalFormatting sqref="Q96:Q104">
    <cfRule type="cellIs" dxfId="15248" priority="1186" operator="lessThan">
      <formula>0</formula>
    </cfRule>
  </conditionalFormatting>
  <conditionalFormatting sqref="R96:R105">
    <cfRule type="cellIs" dxfId="15247" priority="1190" operator="lessThan">
      <formula>0.8</formula>
    </cfRule>
    <cfRule type="cellIs" dxfId="15246" priority="1191" operator="greaterThan">
      <formula>1</formula>
    </cfRule>
  </conditionalFormatting>
  <conditionalFormatting sqref="R96:R105">
    <cfRule type="cellIs" dxfId="15245" priority="1188" operator="greaterThan">
      <formula>1</formula>
    </cfRule>
    <cfRule type="cellIs" dxfId="15244" priority="1189" operator="lessThan">
      <formula>0.8</formula>
    </cfRule>
  </conditionalFormatting>
  <conditionalFormatting sqref="P96:P104">
    <cfRule type="cellIs" dxfId="15243" priority="1187" operator="greaterThan">
      <formula>0</formula>
    </cfRule>
  </conditionalFormatting>
  <conditionalFormatting sqref="Q96:Q104">
    <cfRule type="cellIs" dxfId="15242" priority="1185" operator="lessThan">
      <formula>0</formula>
    </cfRule>
  </conditionalFormatting>
  <conditionalFormatting sqref="R96:R105">
    <cfRule type="cellIs" dxfId="15241" priority="1183" operator="lessThan">
      <formula>0.8</formula>
    </cfRule>
    <cfRule type="cellIs" dxfId="15240" priority="1184" operator="greaterThan">
      <formula>1</formula>
    </cfRule>
  </conditionalFormatting>
  <conditionalFormatting sqref="R96:R105">
    <cfRule type="cellIs" dxfId="15239" priority="1181" operator="greaterThan">
      <formula>1</formula>
    </cfRule>
    <cfRule type="cellIs" dxfId="15238" priority="1182" operator="lessThan">
      <formula>0.8</formula>
    </cfRule>
  </conditionalFormatting>
  <conditionalFormatting sqref="P96:P104">
    <cfRule type="cellIs" dxfId="15237" priority="1180" operator="greaterThan">
      <formula>0</formula>
    </cfRule>
  </conditionalFormatting>
  <conditionalFormatting sqref="Q96:Q104">
    <cfRule type="cellIs" dxfId="15236" priority="1179" operator="lessThan">
      <formula>0</formula>
    </cfRule>
  </conditionalFormatting>
  <conditionalFormatting sqref="R96:R105">
    <cfRule type="cellIs" dxfId="15235" priority="1177" operator="lessThan">
      <formula>0.8</formula>
    </cfRule>
    <cfRule type="cellIs" dxfId="15234" priority="1178" operator="greaterThan">
      <formula>1</formula>
    </cfRule>
  </conditionalFormatting>
  <conditionalFormatting sqref="R96:R105">
    <cfRule type="cellIs" dxfId="15233" priority="1175" operator="greaterThan">
      <formula>1</formula>
    </cfRule>
    <cfRule type="cellIs" dxfId="15232" priority="1176" operator="lessThan">
      <formula>0.8</formula>
    </cfRule>
  </conditionalFormatting>
  <conditionalFormatting sqref="P96:P104">
    <cfRule type="cellIs" dxfId="15231" priority="1174" operator="greaterThan">
      <formula>0</formula>
    </cfRule>
  </conditionalFormatting>
  <conditionalFormatting sqref="Q96:Q104">
    <cfRule type="cellIs" dxfId="15230" priority="1168" operator="lessThan">
      <formula>0</formula>
    </cfRule>
  </conditionalFormatting>
  <conditionalFormatting sqref="R96:R105">
    <cfRule type="cellIs" dxfId="15229" priority="1172" operator="lessThan">
      <formula>0.8</formula>
    </cfRule>
    <cfRule type="cellIs" dxfId="15228" priority="1173" operator="greaterThan">
      <formula>1</formula>
    </cfRule>
  </conditionalFormatting>
  <conditionalFormatting sqref="R96:R105">
    <cfRule type="cellIs" dxfId="15227" priority="1170" operator="greaterThan">
      <formula>1</formula>
    </cfRule>
    <cfRule type="cellIs" dxfId="15226" priority="1171" operator="lessThan">
      <formula>0.8</formula>
    </cfRule>
  </conditionalFormatting>
  <conditionalFormatting sqref="P96:P104">
    <cfRule type="cellIs" dxfId="15225" priority="1169" operator="greaterThan">
      <formula>0</formula>
    </cfRule>
  </conditionalFormatting>
  <conditionalFormatting sqref="Q96:Q104">
    <cfRule type="cellIs" dxfId="15224" priority="1167" operator="lessThan">
      <formula>0</formula>
    </cfRule>
  </conditionalFormatting>
  <conditionalFormatting sqref="R96:R105">
    <cfRule type="cellIs" dxfId="15223" priority="1165" operator="lessThan">
      <formula>0.8</formula>
    </cfRule>
    <cfRule type="cellIs" dxfId="15222" priority="1166" operator="greaterThan">
      <formula>1</formula>
    </cfRule>
  </conditionalFormatting>
  <conditionalFormatting sqref="R96:R105">
    <cfRule type="cellIs" dxfId="15221" priority="1163" operator="greaterThan">
      <formula>1</formula>
    </cfRule>
    <cfRule type="cellIs" dxfId="15220" priority="1164" operator="lessThan">
      <formula>0.8</formula>
    </cfRule>
  </conditionalFormatting>
  <conditionalFormatting sqref="P96:P104">
    <cfRule type="cellIs" dxfId="15219" priority="1162" operator="greaterThan">
      <formula>0</formula>
    </cfRule>
  </conditionalFormatting>
  <conditionalFormatting sqref="Q96:Q104">
    <cfRule type="cellIs" dxfId="15218" priority="1161" operator="lessThan">
      <formula>0</formula>
    </cfRule>
  </conditionalFormatting>
  <conditionalFormatting sqref="R96:R105">
    <cfRule type="cellIs" dxfId="15217" priority="1159" operator="lessThan">
      <formula>0.8</formula>
    </cfRule>
    <cfRule type="cellIs" dxfId="15216" priority="1160" operator="greaterThan">
      <formula>1</formula>
    </cfRule>
  </conditionalFormatting>
  <conditionalFormatting sqref="R96:R105">
    <cfRule type="cellIs" dxfId="15215" priority="1157" operator="greaterThan">
      <formula>1</formula>
    </cfRule>
    <cfRule type="cellIs" dxfId="15214" priority="1158" operator="lessThan">
      <formula>0.8</formula>
    </cfRule>
  </conditionalFormatting>
  <conditionalFormatting sqref="P96:P104">
    <cfRule type="cellIs" dxfId="15213" priority="1156" operator="greaterThan">
      <formula>0</formula>
    </cfRule>
  </conditionalFormatting>
  <conditionalFormatting sqref="Q96:Q104">
    <cfRule type="cellIs" dxfId="15212" priority="1155" operator="lessThan">
      <formula>0</formula>
    </cfRule>
  </conditionalFormatting>
  <conditionalFormatting sqref="R96:R105">
    <cfRule type="cellIs" dxfId="15211" priority="1153" operator="lessThan">
      <formula>0.8</formula>
    </cfRule>
    <cfRule type="cellIs" dxfId="15210" priority="1154" operator="greaterThan">
      <formula>1</formula>
    </cfRule>
  </conditionalFormatting>
  <conditionalFormatting sqref="R96:R105">
    <cfRule type="cellIs" dxfId="15209" priority="1151" operator="greaterThan">
      <formula>1</formula>
    </cfRule>
    <cfRule type="cellIs" dxfId="15208" priority="1152" operator="lessThan">
      <formula>0.8</formula>
    </cfRule>
  </conditionalFormatting>
  <conditionalFormatting sqref="P96:P104">
    <cfRule type="cellIs" dxfId="15207" priority="1150" operator="greaterThan">
      <formula>0</formula>
    </cfRule>
  </conditionalFormatting>
  <conditionalFormatting sqref="Q96:Q104">
    <cfRule type="cellIs" dxfId="15206" priority="1149" operator="lessThan">
      <formula>0</formula>
    </cfRule>
  </conditionalFormatting>
  <conditionalFormatting sqref="R96:R105">
    <cfRule type="cellIs" dxfId="15205" priority="1147" operator="lessThan">
      <formula>0.8</formula>
    </cfRule>
    <cfRule type="cellIs" dxfId="15204" priority="1148" operator="greaterThan">
      <formula>1</formula>
    </cfRule>
  </conditionalFormatting>
  <conditionalFormatting sqref="R96:R105">
    <cfRule type="cellIs" dxfId="15203" priority="1145" operator="greaterThan">
      <formula>1</formula>
    </cfRule>
    <cfRule type="cellIs" dxfId="15202" priority="1146" operator="lessThan">
      <formula>0.8</formula>
    </cfRule>
  </conditionalFormatting>
  <conditionalFormatting sqref="P96:P104">
    <cfRule type="cellIs" dxfId="15201" priority="1144" operator="greaterThan">
      <formula>0</formula>
    </cfRule>
  </conditionalFormatting>
  <conditionalFormatting sqref="Q96:Q104">
    <cfRule type="cellIs" dxfId="15200" priority="1143" operator="lessThan">
      <formula>0</formula>
    </cfRule>
  </conditionalFormatting>
  <conditionalFormatting sqref="R96:R105">
    <cfRule type="cellIs" dxfId="15199" priority="1141" operator="lessThan">
      <formula>0.8</formula>
    </cfRule>
    <cfRule type="cellIs" dxfId="15198" priority="1142" operator="greaterThan">
      <formula>1</formula>
    </cfRule>
  </conditionalFormatting>
  <conditionalFormatting sqref="R96:R105">
    <cfRule type="cellIs" dxfId="15197" priority="1139" operator="greaterThan">
      <formula>1</formula>
    </cfRule>
    <cfRule type="cellIs" dxfId="15196" priority="1140" operator="lessThan">
      <formula>0.8</formula>
    </cfRule>
  </conditionalFormatting>
  <conditionalFormatting sqref="P96:P104">
    <cfRule type="cellIs" dxfId="15195" priority="1138" operator="greaterThan">
      <formula>0</formula>
    </cfRule>
  </conditionalFormatting>
  <conditionalFormatting sqref="P96:P104">
    <cfRule type="cellIs" dxfId="15194" priority="1132" operator="greaterThan">
      <formula>0</formula>
    </cfRule>
  </conditionalFormatting>
  <conditionalFormatting sqref="Q96:Q104">
    <cfRule type="cellIs" dxfId="15193" priority="1137" operator="lessThan">
      <formula>0</formula>
    </cfRule>
  </conditionalFormatting>
  <conditionalFormatting sqref="R96:R105">
    <cfRule type="cellIs" dxfId="15192" priority="1135" operator="lessThan">
      <formula>0.8</formula>
    </cfRule>
    <cfRule type="cellIs" dxfId="15191" priority="1136" operator="greaterThan">
      <formula>1</formula>
    </cfRule>
  </conditionalFormatting>
  <conditionalFormatting sqref="R96:R105">
    <cfRule type="cellIs" dxfId="15190" priority="1133" operator="greaterThan">
      <formula>1</formula>
    </cfRule>
    <cfRule type="cellIs" dxfId="15189" priority="1134" operator="lessThan">
      <formula>0.8</formula>
    </cfRule>
  </conditionalFormatting>
  <conditionalFormatting sqref="P96:P104">
    <cfRule type="cellIs" dxfId="15188" priority="1126" operator="greaterThan">
      <formula>0</formula>
    </cfRule>
  </conditionalFormatting>
  <conditionalFormatting sqref="Q96:Q104">
    <cfRule type="cellIs" dxfId="15187" priority="1131" operator="lessThan">
      <formula>0</formula>
    </cfRule>
  </conditionalFormatting>
  <conditionalFormatting sqref="R96:R105">
    <cfRule type="cellIs" dxfId="15186" priority="1129" operator="lessThan">
      <formula>0.8</formula>
    </cfRule>
    <cfRule type="cellIs" dxfId="15185" priority="1130" operator="greaterThan">
      <formula>1</formula>
    </cfRule>
  </conditionalFormatting>
  <conditionalFormatting sqref="R96:R105">
    <cfRule type="cellIs" dxfId="15184" priority="1127" operator="greaterThan">
      <formula>1</formula>
    </cfRule>
    <cfRule type="cellIs" dxfId="15183" priority="1128" operator="lessThan">
      <formula>0.8</formula>
    </cfRule>
  </conditionalFormatting>
  <conditionalFormatting sqref="R96:R105">
    <cfRule type="cellIs" dxfId="15182" priority="1123" operator="lessThan">
      <formula>0.8</formula>
    </cfRule>
    <cfRule type="cellIs" dxfId="15181" priority="1124" operator="greaterThan">
      <formula>1</formula>
    </cfRule>
  </conditionalFormatting>
  <conditionalFormatting sqref="R96:R105">
    <cfRule type="cellIs" dxfId="15180" priority="1121" operator="greaterThan">
      <formula>1</formula>
    </cfRule>
    <cfRule type="cellIs" dxfId="15179" priority="1122" operator="lessThan">
      <formula>0.8</formula>
    </cfRule>
  </conditionalFormatting>
  <conditionalFormatting sqref="P96:P104">
    <cfRule type="cellIs" dxfId="15178" priority="1120" operator="greaterThan">
      <formula>0</formula>
    </cfRule>
  </conditionalFormatting>
  <conditionalFormatting sqref="Q96:Q104">
    <cfRule type="cellIs" dxfId="15177" priority="1125" operator="lessThan">
      <formula>0</formula>
    </cfRule>
  </conditionalFormatting>
  <conditionalFormatting sqref="Q96:Q104">
    <cfRule type="cellIs" dxfId="15176" priority="1114" operator="lessThan">
      <formula>0</formula>
    </cfRule>
  </conditionalFormatting>
  <conditionalFormatting sqref="P96:P104">
    <cfRule type="cellIs" dxfId="15175" priority="1115" operator="greaterThan">
      <formula>0</formula>
    </cfRule>
  </conditionalFormatting>
  <conditionalFormatting sqref="R96:R105">
    <cfRule type="cellIs" dxfId="15174" priority="1118" operator="lessThan">
      <formula>0.8</formula>
    </cfRule>
    <cfRule type="cellIs" dxfId="15173" priority="1119" operator="greaterThan">
      <formula>1</formula>
    </cfRule>
  </conditionalFormatting>
  <conditionalFormatting sqref="R96:R105">
    <cfRule type="cellIs" dxfId="15172" priority="1116" operator="greaterThan">
      <formula>1</formula>
    </cfRule>
    <cfRule type="cellIs" dxfId="15171" priority="1117" operator="lessThan">
      <formula>0.8</formula>
    </cfRule>
  </conditionalFormatting>
  <conditionalFormatting sqref="Q96:Q104">
    <cfRule type="cellIs" dxfId="15170" priority="1108" operator="lessThan">
      <formula>0</formula>
    </cfRule>
  </conditionalFormatting>
  <conditionalFormatting sqref="R96:R105">
    <cfRule type="cellIs" dxfId="15169" priority="1112" operator="lessThan">
      <formula>0.8</formula>
    </cfRule>
    <cfRule type="cellIs" dxfId="15168" priority="1113" operator="greaterThan">
      <formula>1</formula>
    </cfRule>
  </conditionalFormatting>
  <conditionalFormatting sqref="R96:R105">
    <cfRule type="cellIs" dxfId="15167" priority="1110" operator="greaterThan">
      <formula>1</formula>
    </cfRule>
    <cfRule type="cellIs" dxfId="15166" priority="1111" operator="lessThan">
      <formula>0.8</formula>
    </cfRule>
  </conditionalFormatting>
  <conditionalFormatting sqref="P96:P104">
    <cfRule type="cellIs" dxfId="15165" priority="1109" operator="greaterThan">
      <formula>0</formula>
    </cfRule>
  </conditionalFormatting>
  <conditionalFormatting sqref="Q96:Q104">
    <cfRule type="cellIs" dxfId="15164" priority="1107" operator="lessThan">
      <formula>0</formula>
    </cfRule>
  </conditionalFormatting>
  <conditionalFormatting sqref="R96:R105">
    <cfRule type="cellIs" dxfId="15163" priority="1105" operator="lessThan">
      <formula>0.8</formula>
    </cfRule>
    <cfRule type="cellIs" dxfId="15162" priority="1106" operator="greaterThan">
      <formula>1</formula>
    </cfRule>
  </conditionalFormatting>
  <conditionalFormatting sqref="R96:R105">
    <cfRule type="cellIs" dxfId="15161" priority="1103" operator="greaterThan">
      <formula>1</formula>
    </cfRule>
    <cfRule type="cellIs" dxfId="15160" priority="1104" operator="lessThan">
      <formula>0.8</formula>
    </cfRule>
  </conditionalFormatting>
  <conditionalFormatting sqref="P96:P104">
    <cfRule type="cellIs" dxfId="15159" priority="1102" operator="greaterThan">
      <formula>0</formula>
    </cfRule>
  </conditionalFormatting>
  <conditionalFormatting sqref="Q96:Q104">
    <cfRule type="cellIs" dxfId="15158" priority="1101" operator="lessThan">
      <formula>0</formula>
    </cfRule>
  </conditionalFormatting>
  <conditionalFormatting sqref="R96:R105">
    <cfRule type="cellIs" dxfId="15157" priority="1099" operator="lessThan">
      <formula>0.8</formula>
    </cfRule>
    <cfRule type="cellIs" dxfId="15156" priority="1100" operator="greaterThan">
      <formula>1</formula>
    </cfRule>
  </conditionalFormatting>
  <conditionalFormatting sqref="R96:R105">
    <cfRule type="cellIs" dxfId="15155" priority="1097" operator="greaterThan">
      <formula>1</formula>
    </cfRule>
    <cfRule type="cellIs" dxfId="15154" priority="1098" operator="lessThan">
      <formula>0.8</formula>
    </cfRule>
  </conditionalFormatting>
  <conditionalFormatting sqref="P96:P104">
    <cfRule type="cellIs" dxfId="15153" priority="1096" operator="greaterThan">
      <formula>0</formula>
    </cfRule>
  </conditionalFormatting>
  <conditionalFormatting sqref="Q96:Q104">
    <cfRule type="cellIs" dxfId="15152" priority="1090" operator="lessThan">
      <formula>0</formula>
    </cfRule>
  </conditionalFormatting>
  <conditionalFormatting sqref="P96:P104">
    <cfRule type="cellIs" dxfId="15151" priority="1091" operator="greaterThan">
      <formula>0</formula>
    </cfRule>
  </conditionalFormatting>
  <conditionalFormatting sqref="R96:R105">
    <cfRule type="cellIs" dxfId="15150" priority="1094" operator="lessThan">
      <formula>0.8</formula>
    </cfRule>
    <cfRule type="cellIs" dxfId="15149" priority="1095" operator="greaterThan">
      <formula>1</formula>
    </cfRule>
  </conditionalFormatting>
  <conditionalFormatting sqref="R96:R105">
    <cfRule type="cellIs" dxfId="15148" priority="1092" operator="greaterThan">
      <formula>1</formula>
    </cfRule>
    <cfRule type="cellIs" dxfId="15147" priority="1093" operator="lessThan">
      <formula>0.8</formula>
    </cfRule>
  </conditionalFormatting>
  <conditionalFormatting sqref="Q96:Q104">
    <cfRule type="cellIs" dxfId="15146" priority="1084" operator="lessThan">
      <formula>0</formula>
    </cfRule>
  </conditionalFormatting>
  <conditionalFormatting sqref="R96:R105">
    <cfRule type="cellIs" dxfId="15145" priority="1088" operator="lessThan">
      <formula>0.8</formula>
    </cfRule>
    <cfRule type="cellIs" dxfId="15144" priority="1089" operator="greaterThan">
      <formula>1</formula>
    </cfRule>
  </conditionalFormatting>
  <conditionalFormatting sqref="R96:R105">
    <cfRule type="cellIs" dxfId="15143" priority="1086" operator="greaterThan">
      <formula>1</formula>
    </cfRule>
    <cfRule type="cellIs" dxfId="15142" priority="1087" operator="lessThan">
      <formula>0.8</formula>
    </cfRule>
  </conditionalFormatting>
  <conditionalFormatting sqref="P96:P104">
    <cfRule type="cellIs" dxfId="15141" priority="1085" operator="greaterThan">
      <formula>0</formula>
    </cfRule>
  </conditionalFormatting>
  <conditionalFormatting sqref="Q96:Q104">
    <cfRule type="cellIs" dxfId="15140" priority="1083" operator="lessThan">
      <formula>0</formula>
    </cfRule>
  </conditionalFormatting>
  <conditionalFormatting sqref="R96:R105">
    <cfRule type="cellIs" dxfId="15139" priority="1081" operator="lessThan">
      <formula>0.8</formula>
    </cfRule>
    <cfRule type="cellIs" dxfId="15138" priority="1082" operator="greaterThan">
      <formula>1</formula>
    </cfRule>
  </conditionalFormatting>
  <conditionalFormatting sqref="R96:R105">
    <cfRule type="cellIs" dxfId="15137" priority="1079" operator="greaterThan">
      <formula>1</formula>
    </cfRule>
    <cfRule type="cellIs" dxfId="15136" priority="1080" operator="lessThan">
      <formula>0.8</formula>
    </cfRule>
  </conditionalFormatting>
  <conditionalFormatting sqref="P96:P104">
    <cfRule type="cellIs" dxfId="15135" priority="1078" operator="greaterThan">
      <formula>0</formula>
    </cfRule>
  </conditionalFormatting>
  <conditionalFormatting sqref="Q96:Q104">
    <cfRule type="cellIs" dxfId="15134" priority="1077" operator="lessThan">
      <formula>0</formula>
    </cfRule>
  </conditionalFormatting>
  <conditionalFormatting sqref="R96:R105">
    <cfRule type="cellIs" dxfId="15133" priority="1075" operator="lessThan">
      <formula>0.8</formula>
    </cfRule>
    <cfRule type="cellIs" dxfId="15132" priority="1076" operator="greaterThan">
      <formula>1</formula>
    </cfRule>
  </conditionalFormatting>
  <conditionalFormatting sqref="R96:R105">
    <cfRule type="cellIs" dxfId="15131" priority="1073" operator="greaterThan">
      <formula>1</formula>
    </cfRule>
    <cfRule type="cellIs" dxfId="15130" priority="1074" operator="lessThan">
      <formula>0.8</formula>
    </cfRule>
  </conditionalFormatting>
  <conditionalFormatting sqref="P96:P104">
    <cfRule type="cellIs" dxfId="15129" priority="1072" operator="greaterThan">
      <formula>0</formula>
    </cfRule>
  </conditionalFormatting>
  <conditionalFormatting sqref="P124 P127 P131">
    <cfRule type="cellIs" dxfId="15128" priority="1066" operator="greaterThan">
      <formula>0</formula>
    </cfRule>
  </conditionalFormatting>
  <conditionalFormatting sqref="Q124 Q127 Q131">
    <cfRule type="cellIs" dxfId="15127" priority="1071" operator="lessThan">
      <formula>0</formula>
    </cfRule>
  </conditionalFormatting>
  <conditionalFormatting sqref="R124 R127 R131">
    <cfRule type="cellIs" dxfId="15126" priority="1069" operator="lessThan">
      <formula>0.8</formula>
    </cfRule>
    <cfRule type="cellIs" dxfId="15125" priority="1070" operator="greaterThan">
      <formula>1</formula>
    </cfRule>
  </conditionalFormatting>
  <conditionalFormatting sqref="R124 R127 R131">
    <cfRule type="cellIs" dxfId="15124" priority="1067" operator="greaterThan">
      <formula>1</formula>
    </cfRule>
    <cfRule type="cellIs" dxfId="15123" priority="1068" operator="lessThan">
      <formula>0.8</formula>
    </cfRule>
  </conditionalFormatting>
  <conditionalFormatting sqref="Q124 Q127 Q131">
    <cfRule type="cellIs" dxfId="15122" priority="1065" operator="lessThan">
      <formula>0</formula>
    </cfRule>
  </conditionalFormatting>
  <conditionalFormatting sqref="R124 R127 R131">
    <cfRule type="cellIs" dxfId="15121" priority="1063" operator="lessThan">
      <formula>0.8</formula>
    </cfRule>
    <cfRule type="cellIs" dxfId="15120" priority="1064" operator="greaterThan">
      <formula>1</formula>
    </cfRule>
  </conditionalFormatting>
  <conditionalFormatting sqref="R124 R127 R131">
    <cfRule type="cellIs" dxfId="15119" priority="1061" operator="greaterThan">
      <formula>1</formula>
    </cfRule>
    <cfRule type="cellIs" dxfId="15118" priority="1062" operator="lessThan">
      <formula>0.8</formula>
    </cfRule>
  </conditionalFormatting>
  <conditionalFormatting sqref="P124 P127 P131">
    <cfRule type="cellIs" dxfId="15117" priority="1060" operator="greaterThan">
      <formula>0</formula>
    </cfRule>
  </conditionalFormatting>
  <conditionalFormatting sqref="Q123 Q125:Q126 Q128:Q130">
    <cfRule type="cellIs" dxfId="15116" priority="1059" operator="lessThan">
      <formula>0</formula>
    </cfRule>
  </conditionalFormatting>
  <conditionalFormatting sqref="R123 R125:R126 R128:R130">
    <cfRule type="cellIs" dxfId="15115" priority="1057" operator="lessThan">
      <formula>0.8</formula>
    </cfRule>
    <cfRule type="cellIs" dxfId="15114" priority="1058" operator="greaterThan">
      <formula>1</formula>
    </cfRule>
  </conditionalFormatting>
  <conditionalFormatting sqref="R123 R125:R126 R128:R130">
    <cfRule type="cellIs" dxfId="15113" priority="1055" operator="greaterThan">
      <formula>1</formula>
    </cfRule>
    <cfRule type="cellIs" dxfId="15112" priority="1056" operator="lessThan">
      <formula>0.8</formula>
    </cfRule>
  </conditionalFormatting>
  <conditionalFormatting sqref="P123 P125:P126 P128:P130">
    <cfRule type="cellIs" dxfId="15111" priority="1054" operator="greaterThan">
      <formula>0</formula>
    </cfRule>
  </conditionalFormatting>
  <conditionalFormatting sqref="P123 P125:P126 P128:P130">
    <cfRule type="cellIs" dxfId="15110" priority="1048" operator="greaterThan">
      <formula>0</formula>
    </cfRule>
  </conditionalFormatting>
  <conditionalFormatting sqref="Q123 Q125:Q126 Q128:Q130">
    <cfRule type="cellIs" dxfId="15109" priority="1053" operator="lessThan">
      <formula>0</formula>
    </cfRule>
  </conditionalFormatting>
  <conditionalFormatting sqref="R123 R125:R126 R128:R130">
    <cfRule type="cellIs" dxfId="15108" priority="1051" operator="lessThan">
      <formula>0.8</formula>
    </cfRule>
    <cfRule type="cellIs" dxfId="15107" priority="1052" operator="greaterThan">
      <formula>1</formula>
    </cfRule>
  </conditionalFormatting>
  <conditionalFormatting sqref="R123 R125:R126 R128:R130">
    <cfRule type="cellIs" dxfId="15106" priority="1049" operator="greaterThan">
      <formula>1</formula>
    </cfRule>
    <cfRule type="cellIs" dxfId="15105" priority="1050" operator="lessThan">
      <formula>0.8</formula>
    </cfRule>
  </conditionalFormatting>
  <conditionalFormatting sqref="P122">
    <cfRule type="cellIs" dxfId="15104" priority="1042" operator="greaterThan">
      <formula>0</formula>
    </cfRule>
  </conditionalFormatting>
  <conditionalFormatting sqref="Q122">
    <cfRule type="cellIs" dxfId="15103" priority="1047" operator="lessThan">
      <formula>0</formula>
    </cfRule>
  </conditionalFormatting>
  <conditionalFormatting sqref="R122">
    <cfRule type="cellIs" dxfId="15102" priority="1045" operator="lessThan">
      <formula>0.8</formula>
    </cfRule>
    <cfRule type="cellIs" dxfId="15101" priority="1046" operator="greaterThan">
      <formula>1</formula>
    </cfRule>
  </conditionalFormatting>
  <conditionalFormatting sqref="R122">
    <cfRule type="cellIs" dxfId="15100" priority="1043" operator="greaterThan">
      <formula>1</formula>
    </cfRule>
    <cfRule type="cellIs" dxfId="15099" priority="1044" operator="lessThan">
      <formula>0.8</formula>
    </cfRule>
  </conditionalFormatting>
  <conditionalFormatting sqref="Q109:Q116">
    <cfRule type="cellIs" dxfId="15098" priority="1041" operator="lessThan">
      <formula>0</formula>
    </cfRule>
  </conditionalFormatting>
  <conditionalFormatting sqref="R109:R116">
    <cfRule type="cellIs" dxfId="15097" priority="1039" operator="lessThan">
      <formula>0.8</formula>
    </cfRule>
    <cfRule type="cellIs" dxfId="15096" priority="1040" operator="greaterThan">
      <formula>1</formula>
    </cfRule>
  </conditionalFormatting>
  <conditionalFormatting sqref="R109:R116">
    <cfRule type="cellIs" dxfId="15095" priority="1037" operator="greaterThan">
      <formula>1</formula>
    </cfRule>
    <cfRule type="cellIs" dxfId="15094" priority="1038" operator="lessThan">
      <formula>0.8</formula>
    </cfRule>
  </conditionalFormatting>
  <conditionalFormatting sqref="P109:P116">
    <cfRule type="cellIs" dxfId="15093" priority="1036" operator="greaterThan">
      <formula>0</formula>
    </cfRule>
  </conditionalFormatting>
  <conditionalFormatting sqref="P137 P140 P143">
    <cfRule type="cellIs" dxfId="15092" priority="1035" operator="greaterThan">
      <formula>0</formula>
    </cfRule>
  </conditionalFormatting>
  <conditionalFormatting sqref="Q137 Q140 Q143">
    <cfRule type="cellIs" dxfId="15091" priority="1034" operator="lessThan">
      <formula>0</formula>
    </cfRule>
  </conditionalFormatting>
  <conditionalFormatting sqref="R137 R140 R143">
    <cfRule type="cellIs" dxfId="15090" priority="1032" operator="lessThan">
      <formula>0.8</formula>
    </cfRule>
    <cfRule type="cellIs" dxfId="15089" priority="1033" operator="greaterThan">
      <formula>1</formula>
    </cfRule>
  </conditionalFormatting>
  <conditionalFormatting sqref="R137 R140 R143">
    <cfRule type="cellIs" dxfId="15088" priority="1030" operator="greaterThan">
      <formula>1</formula>
    </cfRule>
    <cfRule type="cellIs" dxfId="15087" priority="1031" operator="lessThan">
      <formula>0.8</formula>
    </cfRule>
  </conditionalFormatting>
  <conditionalFormatting sqref="P137 P140 P143">
    <cfRule type="cellIs" dxfId="15086" priority="1029" operator="greaterThan">
      <formula>0</formula>
    </cfRule>
  </conditionalFormatting>
  <conditionalFormatting sqref="Q137 Q140 Q143">
    <cfRule type="cellIs" dxfId="15085" priority="1028" operator="lessThan">
      <formula>0</formula>
    </cfRule>
  </conditionalFormatting>
  <conditionalFormatting sqref="R137 R140 R143">
    <cfRule type="cellIs" dxfId="15084" priority="1026" operator="lessThan">
      <formula>0.8</formula>
    </cfRule>
    <cfRule type="cellIs" dxfId="15083" priority="1027" operator="greaterThan">
      <formula>1</formula>
    </cfRule>
  </conditionalFormatting>
  <conditionalFormatting sqref="R137 R140 R143">
    <cfRule type="cellIs" dxfId="15082" priority="1024" operator="greaterThan">
      <formula>1</formula>
    </cfRule>
    <cfRule type="cellIs" dxfId="15081" priority="1025" operator="lessThan">
      <formula>0.8</formula>
    </cfRule>
  </conditionalFormatting>
  <conditionalFormatting sqref="P137 P140 P143">
    <cfRule type="cellIs" dxfId="15080" priority="1023" operator="greaterThan">
      <formula>0</formula>
    </cfRule>
  </conditionalFormatting>
  <conditionalFormatting sqref="P137 P140 P143">
    <cfRule type="cellIs" dxfId="15079" priority="1017" operator="greaterThan">
      <formula>0</formula>
    </cfRule>
  </conditionalFormatting>
  <conditionalFormatting sqref="Q137 Q140 Q143">
    <cfRule type="cellIs" dxfId="15078" priority="1022" operator="lessThan">
      <formula>0</formula>
    </cfRule>
  </conditionalFormatting>
  <conditionalFormatting sqref="R137 R140 R143">
    <cfRule type="cellIs" dxfId="15077" priority="1020" operator="lessThan">
      <formula>0.8</formula>
    </cfRule>
    <cfRule type="cellIs" dxfId="15076" priority="1021" operator="greaterThan">
      <formula>1</formula>
    </cfRule>
  </conditionalFormatting>
  <conditionalFormatting sqref="R137 R140 R143">
    <cfRule type="cellIs" dxfId="15075" priority="1018" operator="greaterThan">
      <formula>1</formula>
    </cfRule>
    <cfRule type="cellIs" dxfId="15074" priority="1019" operator="lessThan">
      <formula>0.8</formula>
    </cfRule>
  </conditionalFormatting>
  <conditionalFormatting sqref="Q137 Q140 Q143">
    <cfRule type="cellIs" dxfId="15073" priority="1016" operator="lessThan">
      <formula>0</formula>
    </cfRule>
  </conditionalFormatting>
  <conditionalFormatting sqref="R137 R140 R143">
    <cfRule type="cellIs" dxfId="15072" priority="1014" operator="lessThan">
      <formula>0.8</formula>
    </cfRule>
    <cfRule type="cellIs" dxfId="15071" priority="1015" operator="greaterThan">
      <formula>1</formula>
    </cfRule>
  </conditionalFormatting>
  <conditionalFormatting sqref="R137 R140 R143">
    <cfRule type="cellIs" dxfId="15070" priority="1012" operator="greaterThan">
      <formula>1</formula>
    </cfRule>
    <cfRule type="cellIs" dxfId="15069" priority="1013" operator="lessThan">
      <formula>0.8</formula>
    </cfRule>
  </conditionalFormatting>
  <conditionalFormatting sqref="P137 P140 P143">
    <cfRule type="cellIs" dxfId="15068" priority="1011" operator="greaterThan">
      <formula>0</formula>
    </cfRule>
  </conditionalFormatting>
  <conditionalFormatting sqref="Q137 Q140 Q143">
    <cfRule type="cellIs" dxfId="15067" priority="1010" operator="lessThan">
      <formula>0</formula>
    </cfRule>
  </conditionalFormatting>
  <conditionalFormatting sqref="R137 R140 R143">
    <cfRule type="cellIs" dxfId="15066" priority="1008" operator="lessThan">
      <formula>0.8</formula>
    </cfRule>
    <cfRule type="cellIs" dxfId="15065" priority="1009" operator="greaterThan">
      <formula>1</formula>
    </cfRule>
  </conditionalFormatting>
  <conditionalFormatting sqref="R137 R140 R143">
    <cfRule type="cellIs" dxfId="15064" priority="1006" operator="greaterThan">
      <formula>1</formula>
    </cfRule>
    <cfRule type="cellIs" dxfId="15063" priority="1007" operator="lessThan">
      <formula>0.8</formula>
    </cfRule>
  </conditionalFormatting>
  <conditionalFormatting sqref="P137 P140 P143">
    <cfRule type="cellIs" dxfId="15062" priority="1005" operator="greaterThan">
      <formula>0</formula>
    </cfRule>
  </conditionalFormatting>
  <conditionalFormatting sqref="P137 P140 P143">
    <cfRule type="cellIs" dxfId="15061" priority="999" operator="greaterThan">
      <formula>0</formula>
    </cfRule>
  </conditionalFormatting>
  <conditionalFormatting sqref="Q137 Q140 Q143">
    <cfRule type="cellIs" dxfId="15060" priority="1004" operator="lessThan">
      <formula>0</formula>
    </cfRule>
  </conditionalFormatting>
  <conditionalFormatting sqref="R137 R140 R143">
    <cfRule type="cellIs" dxfId="15059" priority="1002" operator="lessThan">
      <formula>0.8</formula>
    </cfRule>
    <cfRule type="cellIs" dxfId="15058" priority="1003" operator="greaterThan">
      <formula>1</formula>
    </cfRule>
  </conditionalFormatting>
  <conditionalFormatting sqref="R137 R140 R143">
    <cfRule type="cellIs" dxfId="15057" priority="1000" operator="greaterThan">
      <formula>1</formula>
    </cfRule>
    <cfRule type="cellIs" dxfId="15056" priority="1001" operator="lessThan">
      <formula>0.8</formula>
    </cfRule>
  </conditionalFormatting>
  <conditionalFormatting sqref="Q137 Q140 Q143">
    <cfRule type="cellIs" dxfId="15055" priority="998" operator="lessThan">
      <formula>0</formula>
    </cfRule>
  </conditionalFormatting>
  <conditionalFormatting sqref="R137 R140 R143">
    <cfRule type="cellIs" dxfId="15054" priority="996" operator="lessThan">
      <formula>0.8</formula>
    </cfRule>
    <cfRule type="cellIs" dxfId="15053" priority="997" operator="greaterThan">
      <formula>1</formula>
    </cfRule>
  </conditionalFormatting>
  <conditionalFormatting sqref="R137 R140 R143">
    <cfRule type="cellIs" dxfId="15052" priority="994" operator="greaterThan">
      <formula>1</formula>
    </cfRule>
    <cfRule type="cellIs" dxfId="15051" priority="995" operator="lessThan">
      <formula>0.8</formula>
    </cfRule>
  </conditionalFormatting>
  <conditionalFormatting sqref="P137 P140 P143">
    <cfRule type="cellIs" dxfId="15050" priority="993" operator="greaterThan">
      <formula>0</formula>
    </cfRule>
  </conditionalFormatting>
  <conditionalFormatting sqref="Q137 Q140 Q143">
    <cfRule type="cellIs" dxfId="15049" priority="992" operator="lessThan">
      <formula>0</formula>
    </cfRule>
  </conditionalFormatting>
  <conditionalFormatting sqref="R137 R140 R143">
    <cfRule type="cellIs" dxfId="15048" priority="990" operator="lessThan">
      <formula>0.8</formula>
    </cfRule>
    <cfRule type="cellIs" dxfId="15047" priority="991" operator="greaterThan">
      <formula>1</formula>
    </cfRule>
  </conditionalFormatting>
  <conditionalFormatting sqref="R137 R140 R143">
    <cfRule type="cellIs" dxfId="15046" priority="988" operator="greaterThan">
      <formula>1</formula>
    </cfRule>
    <cfRule type="cellIs" dxfId="15045" priority="989" operator="lessThan">
      <formula>0.8</formula>
    </cfRule>
  </conditionalFormatting>
  <conditionalFormatting sqref="P137 P140 P143">
    <cfRule type="cellIs" dxfId="15044" priority="987" operator="greaterThan">
      <formula>0</formula>
    </cfRule>
  </conditionalFormatting>
  <conditionalFormatting sqref="P137 P140 P143">
    <cfRule type="cellIs" dxfId="15043" priority="981" operator="greaterThan">
      <formula>0</formula>
    </cfRule>
  </conditionalFormatting>
  <conditionalFormatting sqref="Q137 Q140 Q143">
    <cfRule type="cellIs" dxfId="15042" priority="986" operator="lessThan">
      <formula>0</formula>
    </cfRule>
  </conditionalFormatting>
  <conditionalFormatting sqref="R137 R140 R143">
    <cfRule type="cellIs" dxfId="15041" priority="984" operator="lessThan">
      <formula>0.8</formula>
    </cfRule>
    <cfRule type="cellIs" dxfId="15040" priority="985" operator="greaterThan">
      <formula>1</formula>
    </cfRule>
  </conditionalFormatting>
  <conditionalFormatting sqref="R137 R140 R143">
    <cfRule type="cellIs" dxfId="15039" priority="982" operator="greaterThan">
      <formula>1</formula>
    </cfRule>
    <cfRule type="cellIs" dxfId="15038" priority="983" operator="lessThan">
      <formula>0.8</formula>
    </cfRule>
  </conditionalFormatting>
  <conditionalFormatting sqref="Q137 Q140 Q143">
    <cfRule type="cellIs" dxfId="15037" priority="980" operator="lessThan">
      <formula>0</formula>
    </cfRule>
  </conditionalFormatting>
  <conditionalFormatting sqref="R137 R140 R143">
    <cfRule type="cellIs" dxfId="15036" priority="978" operator="lessThan">
      <formula>0.8</formula>
    </cfRule>
    <cfRule type="cellIs" dxfId="15035" priority="979" operator="greaterThan">
      <formula>1</formula>
    </cfRule>
  </conditionalFormatting>
  <conditionalFormatting sqref="R137 R140 R143">
    <cfRule type="cellIs" dxfId="15034" priority="976" operator="greaterThan">
      <formula>1</formula>
    </cfRule>
    <cfRule type="cellIs" dxfId="15033" priority="977" operator="lessThan">
      <formula>0.8</formula>
    </cfRule>
  </conditionalFormatting>
  <conditionalFormatting sqref="P137 P140 P143">
    <cfRule type="cellIs" dxfId="15032" priority="975" operator="greaterThan">
      <formula>0</formula>
    </cfRule>
  </conditionalFormatting>
  <conditionalFormatting sqref="P138 P141 P144">
    <cfRule type="cellIs" dxfId="15031" priority="969" operator="greaterThan">
      <formula>0</formula>
    </cfRule>
  </conditionalFormatting>
  <conditionalFormatting sqref="Q138 Q141 Q144">
    <cfRule type="cellIs" dxfId="15030" priority="974" operator="lessThan">
      <formula>0</formula>
    </cfRule>
  </conditionalFormatting>
  <conditionalFormatting sqref="R138 R141 R144">
    <cfRule type="cellIs" dxfId="15029" priority="972" operator="lessThan">
      <formula>0.8</formula>
    </cfRule>
    <cfRule type="cellIs" dxfId="15028" priority="973" operator="greaterThan">
      <formula>1</formula>
    </cfRule>
  </conditionalFormatting>
  <conditionalFormatting sqref="R138 R141 R144">
    <cfRule type="cellIs" dxfId="15027" priority="970" operator="greaterThan">
      <formula>1</formula>
    </cfRule>
    <cfRule type="cellIs" dxfId="15026" priority="971" operator="lessThan">
      <formula>0.8</formula>
    </cfRule>
  </conditionalFormatting>
  <conditionalFormatting sqref="Q138 Q141 Q144">
    <cfRule type="cellIs" dxfId="15025" priority="968" operator="lessThan">
      <formula>0</formula>
    </cfRule>
  </conditionalFormatting>
  <conditionalFormatting sqref="R138 R141 R144">
    <cfRule type="cellIs" dxfId="15024" priority="966" operator="lessThan">
      <formula>0.8</formula>
    </cfRule>
    <cfRule type="cellIs" dxfId="15023" priority="967" operator="greaterThan">
      <formula>1</formula>
    </cfRule>
  </conditionalFormatting>
  <conditionalFormatting sqref="R138 R141 R144">
    <cfRule type="cellIs" dxfId="15022" priority="964" operator="greaterThan">
      <formula>1</formula>
    </cfRule>
    <cfRule type="cellIs" dxfId="15021" priority="965" operator="lessThan">
      <formula>0.8</formula>
    </cfRule>
  </conditionalFormatting>
  <conditionalFormatting sqref="P138 P141 P144">
    <cfRule type="cellIs" dxfId="15020" priority="963" operator="greaterThan">
      <formula>0</formula>
    </cfRule>
  </conditionalFormatting>
  <conditionalFormatting sqref="Q138 Q141 Q144">
    <cfRule type="cellIs" dxfId="15019" priority="962" operator="lessThan">
      <formula>0</formula>
    </cfRule>
  </conditionalFormatting>
  <conditionalFormatting sqref="R138 R141 R144">
    <cfRule type="cellIs" dxfId="15018" priority="960" operator="lessThan">
      <formula>0.8</formula>
    </cfRule>
    <cfRule type="cellIs" dxfId="15017" priority="961" operator="greaterThan">
      <formula>1</formula>
    </cfRule>
  </conditionalFormatting>
  <conditionalFormatting sqref="R138 R141 R144">
    <cfRule type="cellIs" dxfId="15016" priority="958" operator="greaterThan">
      <formula>1</formula>
    </cfRule>
    <cfRule type="cellIs" dxfId="15015" priority="959" operator="lessThan">
      <formula>0.8</formula>
    </cfRule>
  </conditionalFormatting>
  <conditionalFormatting sqref="P138 P141 P144">
    <cfRule type="cellIs" dxfId="15014" priority="957" operator="greaterThan">
      <formula>0</formula>
    </cfRule>
  </conditionalFormatting>
  <conditionalFormatting sqref="Q138 Q141 Q144">
    <cfRule type="cellIs" dxfId="15013" priority="956" operator="lessThan">
      <formula>0</formula>
    </cfRule>
  </conditionalFormatting>
  <conditionalFormatting sqref="R138 R141 R144">
    <cfRule type="cellIs" dxfId="15012" priority="954" operator="lessThan">
      <formula>0.8</formula>
    </cfRule>
    <cfRule type="cellIs" dxfId="15011" priority="955" operator="greaterThan">
      <formula>1</formula>
    </cfRule>
  </conditionalFormatting>
  <conditionalFormatting sqref="R138 R141 R144">
    <cfRule type="cellIs" dxfId="15010" priority="952" operator="greaterThan">
      <formula>1</formula>
    </cfRule>
    <cfRule type="cellIs" dxfId="15009" priority="953" operator="lessThan">
      <formula>0.8</formula>
    </cfRule>
  </conditionalFormatting>
  <conditionalFormatting sqref="P138 P141 P144">
    <cfRule type="cellIs" dxfId="15008" priority="951" operator="greaterThan">
      <formula>0</formula>
    </cfRule>
  </conditionalFormatting>
  <conditionalFormatting sqref="Q138 Q141 Q144">
    <cfRule type="cellIs" dxfId="15007" priority="950" operator="lessThan">
      <formula>0</formula>
    </cfRule>
  </conditionalFormatting>
  <conditionalFormatting sqref="R138 R141 R144">
    <cfRule type="cellIs" dxfId="15006" priority="948" operator="lessThan">
      <formula>0.8</formula>
    </cfRule>
    <cfRule type="cellIs" dxfId="15005" priority="949" operator="greaterThan">
      <formula>1</formula>
    </cfRule>
  </conditionalFormatting>
  <conditionalFormatting sqref="R138 R141 R144">
    <cfRule type="cellIs" dxfId="15004" priority="946" operator="greaterThan">
      <formula>1</formula>
    </cfRule>
    <cfRule type="cellIs" dxfId="15003" priority="947" operator="lessThan">
      <formula>0.8</formula>
    </cfRule>
  </conditionalFormatting>
  <conditionalFormatting sqref="Q138 Q141 Q144">
    <cfRule type="cellIs" dxfId="15002" priority="945" operator="lessThan">
      <formula>0</formula>
    </cfRule>
  </conditionalFormatting>
  <conditionalFormatting sqref="R138 R141 R144">
    <cfRule type="cellIs" dxfId="15001" priority="943" operator="lessThan">
      <formula>0.8</formula>
    </cfRule>
    <cfRule type="cellIs" dxfId="15000" priority="944" operator="greaterThan">
      <formula>1</formula>
    </cfRule>
  </conditionalFormatting>
  <conditionalFormatting sqref="R138 R141 R144">
    <cfRule type="cellIs" dxfId="14999" priority="941" operator="greaterThan">
      <formula>1</formula>
    </cfRule>
    <cfRule type="cellIs" dxfId="14998" priority="942" operator="lessThan">
      <formula>0.8</formula>
    </cfRule>
  </conditionalFormatting>
  <conditionalFormatting sqref="P138 P141 P144">
    <cfRule type="cellIs" dxfId="14997" priority="940" operator="greaterThan">
      <formula>0</formula>
    </cfRule>
  </conditionalFormatting>
  <conditionalFormatting sqref="P138 P141 P144">
    <cfRule type="cellIs" dxfId="14996" priority="934" operator="greaterThan">
      <formula>0</formula>
    </cfRule>
  </conditionalFormatting>
  <conditionalFormatting sqref="Q138 Q141 Q144">
    <cfRule type="cellIs" dxfId="14995" priority="939" operator="lessThan">
      <formula>0</formula>
    </cfRule>
  </conditionalFormatting>
  <conditionalFormatting sqref="R138 R141 R144">
    <cfRule type="cellIs" dxfId="14994" priority="937" operator="lessThan">
      <formula>0.8</formula>
    </cfRule>
    <cfRule type="cellIs" dxfId="14993" priority="938" operator="greaterThan">
      <formula>1</formula>
    </cfRule>
  </conditionalFormatting>
  <conditionalFormatting sqref="R138 R141 R144">
    <cfRule type="cellIs" dxfId="14992" priority="935" operator="greaterThan">
      <formula>1</formula>
    </cfRule>
    <cfRule type="cellIs" dxfId="14991" priority="936" operator="lessThan">
      <formula>0.8</formula>
    </cfRule>
  </conditionalFormatting>
  <conditionalFormatting sqref="Q138 Q141 Q144">
    <cfRule type="cellIs" dxfId="14990" priority="933" operator="lessThan">
      <formula>0</formula>
    </cfRule>
  </conditionalFormatting>
  <conditionalFormatting sqref="R138 R141 R144">
    <cfRule type="cellIs" dxfId="14989" priority="931" operator="lessThan">
      <formula>0.8</formula>
    </cfRule>
    <cfRule type="cellIs" dxfId="14988" priority="932" operator="greaterThan">
      <formula>1</formula>
    </cfRule>
  </conditionalFormatting>
  <conditionalFormatting sqref="R138 R141 R144">
    <cfRule type="cellIs" dxfId="14987" priority="929" operator="greaterThan">
      <formula>1</formula>
    </cfRule>
    <cfRule type="cellIs" dxfId="14986" priority="930" operator="lessThan">
      <formula>0.8</formula>
    </cfRule>
  </conditionalFormatting>
  <conditionalFormatting sqref="P138 P141 P144">
    <cfRule type="cellIs" dxfId="14985" priority="928" operator="greaterThan">
      <formula>0</formula>
    </cfRule>
  </conditionalFormatting>
  <conditionalFormatting sqref="Q148:Q153">
    <cfRule type="cellIs" dxfId="14984" priority="927" operator="lessThan">
      <formula>0</formula>
    </cfRule>
  </conditionalFormatting>
  <conditionalFormatting sqref="R148:R153">
    <cfRule type="cellIs" dxfId="14983" priority="925" operator="lessThan">
      <formula>0.8</formula>
    </cfRule>
    <cfRule type="cellIs" dxfId="14982" priority="926" operator="greaterThan">
      <formula>1</formula>
    </cfRule>
  </conditionalFormatting>
  <conditionalFormatting sqref="R148:R153">
    <cfRule type="cellIs" dxfId="14981" priority="923" operator="greaterThan">
      <formula>1</formula>
    </cfRule>
    <cfRule type="cellIs" dxfId="14980" priority="924" operator="lessThan">
      <formula>0.8</formula>
    </cfRule>
  </conditionalFormatting>
  <conditionalFormatting sqref="P148:P153">
    <cfRule type="cellIs" dxfId="14979" priority="922" operator="greaterThan">
      <formula>0</formula>
    </cfRule>
  </conditionalFormatting>
  <conditionalFormatting sqref="P148:P153">
    <cfRule type="cellIs" dxfId="14978" priority="916" operator="greaterThan">
      <formula>0</formula>
    </cfRule>
  </conditionalFormatting>
  <conditionalFormatting sqref="Q148:Q153">
    <cfRule type="cellIs" dxfId="14977" priority="921" operator="lessThan">
      <formula>0</formula>
    </cfRule>
  </conditionalFormatting>
  <conditionalFormatting sqref="R148:R153">
    <cfRule type="cellIs" dxfId="14976" priority="919" operator="lessThan">
      <formula>0.8</formula>
    </cfRule>
    <cfRule type="cellIs" dxfId="14975" priority="920" operator="greaterThan">
      <formula>1</formula>
    </cfRule>
  </conditionalFormatting>
  <conditionalFormatting sqref="R148:R153">
    <cfRule type="cellIs" dxfId="14974" priority="917" operator="greaterThan">
      <formula>1</formula>
    </cfRule>
    <cfRule type="cellIs" dxfId="14973" priority="918" operator="lessThan">
      <formula>0.8</formula>
    </cfRule>
  </conditionalFormatting>
  <conditionalFormatting sqref="Q148:Q153">
    <cfRule type="cellIs" dxfId="14972" priority="915" operator="lessThan">
      <formula>0</formula>
    </cfRule>
  </conditionalFormatting>
  <conditionalFormatting sqref="R148:R153">
    <cfRule type="cellIs" dxfId="14971" priority="913" operator="lessThan">
      <formula>0.8</formula>
    </cfRule>
    <cfRule type="cellIs" dxfId="14970" priority="914" operator="greaterThan">
      <formula>1</formula>
    </cfRule>
  </conditionalFormatting>
  <conditionalFormatting sqref="R148:R153">
    <cfRule type="cellIs" dxfId="14969" priority="911" operator="greaterThan">
      <formula>1</formula>
    </cfRule>
    <cfRule type="cellIs" dxfId="14968" priority="912" operator="lessThan">
      <formula>0.8</formula>
    </cfRule>
  </conditionalFormatting>
  <conditionalFormatting sqref="P148:P153">
    <cfRule type="cellIs" dxfId="14967" priority="910" operator="greaterThan">
      <formula>0</formula>
    </cfRule>
  </conditionalFormatting>
  <conditionalFormatting sqref="Q148:Q153">
    <cfRule type="cellIs" dxfId="14966" priority="909" operator="lessThan">
      <formula>0</formula>
    </cfRule>
  </conditionalFormatting>
  <conditionalFormatting sqref="R148:R153">
    <cfRule type="cellIs" dxfId="14965" priority="907" operator="lessThan">
      <formula>0.8</formula>
    </cfRule>
    <cfRule type="cellIs" dxfId="14964" priority="908" operator="greaterThan">
      <formula>1</formula>
    </cfRule>
  </conditionalFormatting>
  <conditionalFormatting sqref="R148:R153">
    <cfRule type="cellIs" dxfId="14963" priority="905" operator="greaterThan">
      <formula>1</formula>
    </cfRule>
    <cfRule type="cellIs" dxfId="14962" priority="906" operator="lessThan">
      <formula>0.8</formula>
    </cfRule>
  </conditionalFormatting>
  <conditionalFormatting sqref="P148:P153">
    <cfRule type="cellIs" dxfId="14961" priority="904" operator="greaterThan">
      <formula>0</formula>
    </cfRule>
  </conditionalFormatting>
  <conditionalFormatting sqref="P148:P153">
    <cfRule type="cellIs" dxfId="14960" priority="898" operator="greaterThan">
      <formula>0</formula>
    </cfRule>
  </conditionalFormatting>
  <conditionalFormatting sqref="Q148:Q153">
    <cfRule type="cellIs" dxfId="14959" priority="903" operator="lessThan">
      <formula>0</formula>
    </cfRule>
  </conditionalFormatting>
  <conditionalFormatting sqref="R148:R153">
    <cfRule type="cellIs" dxfId="14958" priority="901" operator="lessThan">
      <formula>0.8</formula>
    </cfRule>
    <cfRule type="cellIs" dxfId="14957" priority="902" operator="greaterThan">
      <formula>1</formula>
    </cfRule>
  </conditionalFormatting>
  <conditionalFormatting sqref="R148:R153">
    <cfRule type="cellIs" dxfId="14956" priority="899" operator="greaterThan">
      <formula>1</formula>
    </cfRule>
    <cfRule type="cellIs" dxfId="14955" priority="900" operator="lessThan">
      <formula>0.8</formula>
    </cfRule>
  </conditionalFormatting>
  <conditionalFormatting sqref="Q148:Q153">
    <cfRule type="cellIs" dxfId="14954" priority="897" operator="lessThan">
      <formula>0</formula>
    </cfRule>
  </conditionalFormatting>
  <conditionalFormatting sqref="R148:R153">
    <cfRule type="cellIs" dxfId="14953" priority="895" operator="lessThan">
      <formula>0.8</formula>
    </cfRule>
    <cfRule type="cellIs" dxfId="14952" priority="896" operator="greaterThan">
      <formula>1</formula>
    </cfRule>
  </conditionalFormatting>
  <conditionalFormatting sqref="R148:R153">
    <cfRule type="cellIs" dxfId="14951" priority="893" operator="greaterThan">
      <formula>1</formula>
    </cfRule>
    <cfRule type="cellIs" dxfId="14950" priority="894" operator="lessThan">
      <formula>0.8</formula>
    </cfRule>
  </conditionalFormatting>
  <conditionalFormatting sqref="P148:P153">
    <cfRule type="cellIs" dxfId="14949" priority="892" operator="greaterThan">
      <formula>0</formula>
    </cfRule>
  </conditionalFormatting>
  <conditionalFormatting sqref="Q148:Q153">
    <cfRule type="cellIs" dxfId="14948" priority="886" operator="lessThan">
      <formula>0</formula>
    </cfRule>
  </conditionalFormatting>
  <conditionalFormatting sqref="P148:P153">
    <cfRule type="cellIs" dxfId="14947" priority="887" operator="greaterThan">
      <formula>0</formula>
    </cfRule>
  </conditionalFormatting>
  <conditionalFormatting sqref="R148:R153">
    <cfRule type="cellIs" dxfId="14946" priority="890" operator="lessThan">
      <formula>0.8</formula>
    </cfRule>
    <cfRule type="cellIs" dxfId="14945" priority="891" operator="greaterThan">
      <formula>1</formula>
    </cfRule>
  </conditionalFormatting>
  <conditionalFormatting sqref="R148:R153">
    <cfRule type="cellIs" dxfId="14944" priority="888" operator="greaterThan">
      <formula>1</formula>
    </cfRule>
    <cfRule type="cellIs" dxfId="14943" priority="889" operator="lessThan">
      <formula>0.8</formula>
    </cfRule>
  </conditionalFormatting>
  <conditionalFormatting sqref="Q148:Q153">
    <cfRule type="cellIs" dxfId="14942" priority="880" operator="lessThan">
      <formula>0</formula>
    </cfRule>
  </conditionalFormatting>
  <conditionalFormatting sqref="R148:R153">
    <cfRule type="cellIs" dxfId="14941" priority="884" operator="lessThan">
      <formula>0.8</formula>
    </cfRule>
    <cfRule type="cellIs" dxfId="14940" priority="885" operator="greaterThan">
      <formula>1</formula>
    </cfRule>
  </conditionalFormatting>
  <conditionalFormatting sqref="R148:R153">
    <cfRule type="cellIs" dxfId="14939" priority="882" operator="greaterThan">
      <formula>1</formula>
    </cfRule>
    <cfRule type="cellIs" dxfId="14938" priority="883" operator="lessThan">
      <formula>0.8</formula>
    </cfRule>
  </conditionalFormatting>
  <conditionalFormatting sqref="P148:P153">
    <cfRule type="cellIs" dxfId="14937" priority="881" operator="greaterThan">
      <formula>0</formula>
    </cfRule>
  </conditionalFormatting>
  <conditionalFormatting sqref="Q148:Q153">
    <cfRule type="cellIs" dxfId="14936" priority="879" operator="lessThan">
      <formula>0</formula>
    </cfRule>
  </conditionalFormatting>
  <conditionalFormatting sqref="R148:R153">
    <cfRule type="cellIs" dxfId="14935" priority="877" operator="lessThan">
      <formula>0.8</formula>
    </cfRule>
    <cfRule type="cellIs" dxfId="14934" priority="878" operator="greaterThan">
      <formula>1</formula>
    </cfRule>
  </conditionalFormatting>
  <conditionalFormatting sqref="R148:R153">
    <cfRule type="cellIs" dxfId="14933" priority="875" operator="greaterThan">
      <formula>1</formula>
    </cfRule>
    <cfRule type="cellIs" dxfId="14932" priority="876" operator="lessThan">
      <formula>0.8</formula>
    </cfRule>
  </conditionalFormatting>
  <conditionalFormatting sqref="P148:P153">
    <cfRule type="cellIs" dxfId="14931" priority="874" operator="greaterThan">
      <formula>0</formula>
    </cfRule>
  </conditionalFormatting>
  <conditionalFormatting sqref="Q148:Q153">
    <cfRule type="cellIs" dxfId="14930" priority="873" operator="lessThan">
      <formula>0</formula>
    </cfRule>
  </conditionalFormatting>
  <conditionalFormatting sqref="R148:R153">
    <cfRule type="cellIs" dxfId="14929" priority="871" operator="lessThan">
      <formula>0.8</formula>
    </cfRule>
    <cfRule type="cellIs" dxfId="14928" priority="872" operator="greaterThan">
      <formula>1</formula>
    </cfRule>
  </conditionalFormatting>
  <conditionalFormatting sqref="R148:R153">
    <cfRule type="cellIs" dxfId="14927" priority="869" operator="greaterThan">
      <formula>1</formula>
    </cfRule>
    <cfRule type="cellIs" dxfId="14926" priority="870" operator="lessThan">
      <formula>0.8</formula>
    </cfRule>
  </conditionalFormatting>
  <conditionalFormatting sqref="P148:P153">
    <cfRule type="cellIs" dxfId="14925" priority="868" operator="greaterThan">
      <formula>0</formula>
    </cfRule>
  </conditionalFormatting>
  <conditionalFormatting sqref="Q148:Q153">
    <cfRule type="cellIs" dxfId="14924" priority="867" operator="lessThan">
      <formula>0</formula>
    </cfRule>
  </conditionalFormatting>
  <conditionalFormatting sqref="R148:R153">
    <cfRule type="cellIs" dxfId="14923" priority="865" operator="lessThan">
      <formula>0.8</formula>
    </cfRule>
    <cfRule type="cellIs" dxfId="14922" priority="866" operator="greaterThan">
      <formula>1</formula>
    </cfRule>
  </conditionalFormatting>
  <conditionalFormatting sqref="R148:R153">
    <cfRule type="cellIs" dxfId="14921" priority="863" operator="greaterThan">
      <formula>1</formula>
    </cfRule>
    <cfRule type="cellIs" dxfId="14920" priority="864" operator="lessThan">
      <formula>0.8</formula>
    </cfRule>
  </conditionalFormatting>
  <conditionalFormatting sqref="P148:P153">
    <cfRule type="cellIs" dxfId="14919" priority="862" operator="greaterThan">
      <formula>0</formula>
    </cfRule>
  </conditionalFormatting>
  <conditionalFormatting sqref="Q148:Q153">
    <cfRule type="cellIs" dxfId="14918" priority="861" operator="lessThan">
      <formula>0</formula>
    </cfRule>
  </conditionalFormatting>
  <conditionalFormatting sqref="R148:R153">
    <cfRule type="cellIs" dxfId="14917" priority="859" operator="lessThan">
      <formula>0.8</formula>
    </cfRule>
    <cfRule type="cellIs" dxfId="14916" priority="860" operator="greaterThan">
      <formula>1</formula>
    </cfRule>
  </conditionalFormatting>
  <conditionalFormatting sqref="R148:R153">
    <cfRule type="cellIs" dxfId="14915" priority="857" operator="greaterThan">
      <formula>1</formula>
    </cfRule>
    <cfRule type="cellIs" dxfId="14914" priority="858" operator="lessThan">
      <formula>0.8</formula>
    </cfRule>
  </conditionalFormatting>
  <conditionalFormatting sqref="P148:P153">
    <cfRule type="cellIs" dxfId="14913" priority="856" operator="greaterThan">
      <formula>0</formula>
    </cfRule>
  </conditionalFormatting>
  <conditionalFormatting sqref="Q148:Q153">
    <cfRule type="cellIs" dxfId="14912" priority="855" operator="lessThan">
      <formula>0</formula>
    </cfRule>
  </conditionalFormatting>
  <conditionalFormatting sqref="R148:R153">
    <cfRule type="cellIs" dxfId="14911" priority="853" operator="lessThan">
      <formula>0.8</formula>
    </cfRule>
    <cfRule type="cellIs" dxfId="14910" priority="854" operator="greaterThan">
      <formula>1</formula>
    </cfRule>
  </conditionalFormatting>
  <conditionalFormatting sqref="R148:R153">
    <cfRule type="cellIs" dxfId="14909" priority="851" operator="greaterThan">
      <formula>1</formula>
    </cfRule>
    <cfRule type="cellIs" dxfId="14908" priority="852" operator="lessThan">
      <formula>0.8</formula>
    </cfRule>
  </conditionalFormatting>
  <conditionalFormatting sqref="P148:P153">
    <cfRule type="cellIs" dxfId="14907" priority="850" operator="greaterThan">
      <formula>0</formula>
    </cfRule>
  </conditionalFormatting>
  <conditionalFormatting sqref="Q148:Q153">
    <cfRule type="cellIs" dxfId="14906" priority="849" operator="lessThan">
      <formula>0</formula>
    </cfRule>
  </conditionalFormatting>
  <conditionalFormatting sqref="R148:R153">
    <cfRule type="cellIs" dxfId="14905" priority="847" operator="lessThan">
      <formula>0.8</formula>
    </cfRule>
    <cfRule type="cellIs" dxfId="14904" priority="848" operator="greaterThan">
      <formula>1</formula>
    </cfRule>
  </conditionalFormatting>
  <conditionalFormatting sqref="R148:R153">
    <cfRule type="cellIs" dxfId="14903" priority="845" operator="greaterThan">
      <formula>1</formula>
    </cfRule>
    <cfRule type="cellIs" dxfId="14902" priority="846" operator="lessThan">
      <formula>0.8</formula>
    </cfRule>
  </conditionalFormatting>
  <conditionalFormatting sqref="P148:P153">
    <cfRule type="cellIs" dxfId="14901" priority="844" operator="greaterThan">
      <formula>0</formula>
    </cfRule>
  </conditionalFormatting>
  <conditionalFormatting sqref="Q148:Q153">
    <cfRule type="cellIs" dxfId="14900" priority="843" operator="lessThan">
      <formula>0</formula>
    </cfRule>
  </conditionalFormatting>
  <conditionalFormatting sqref="R148:R153">
    <cfRule type="cellIs" dxfId="14899" priority="841" operator="lessThan">
      <formula>0.8</formula>
    </cfRule>
    <cfRule type="cellIs" dxfId="14898" priority="842" operator="greaterThan">
      <formula>1</formula>
    </cfRule>
  </conditionalFormatting>
  <conditionalFormatting sqref="R148:R153">
    <cfRule type="cellIs" dxfId="14897" priority="839" operator="greaterThan">
      <formula>1</formula>
    </cfRule>
    <cfRule type="cellIs" dxfId="14896" priority="840" operator="lessThan">
      <formula>0.8</formula>
    </cfRule>
  </conditionalFormatting>
  <conditionalFormatting sqref="P148:P153">
    <cfRule type="cellIs" dxfId="14895" priority="838" operator="greaterThan">
      <formula>0</formula>
    </cfRule>
  </conditionalFormatting>
  <conditionalFormatting sqref="P148:P153">
    <cfRule type="cellIs" dxfId="14894" priority="832" operator="greaterThan">
      <formula>0</formula>
    </cfRule>
  </conditionalFormatting>
  <conditionalFormatting sqref="Q148:Q153">
    <cfRule type="cellIs" dxfId="14893" priority="837" operator="lessThan">
      <formula>0</formula>
    </cfRule>
  </conditionalFormatting>
  <conditionalFormatting sqref="R148:R153">
    <cfRule type="cellIs" dxfId="14892" priority="835" operator="lessThan">
      <formula>0.8</formula>
    </cfRule>
    <cfRule type="cellIs" dxfId="14891" priority="836" operator="greaterThan">
      <formula>1</formula>
    </cfRule>
  </conditionalFormatting>
  <conditionalFormatting sqref="R148:R153">
    <cfRule type="cellIs" dxfId="14890" priority="833" operator="greaterThan">
      <formula>1</formula>
    </cfRule>
    <cfRule type="cellIs" dxfId="14889" priority="834" operator="lessThan">
      <formula>0.8</formula>
    </cfRule>
  </conditionalFormatting>
  <conditionalFormatting sqref="P148:P153">
    <cfRule type="cellIs" dxfId="14888" priority="826" operator="greaterThan">
      <formula>0</formula>
    </cfRule>
  </conditionalFormatting>
  <conditionalFormatting sqref="Q148:Q153">
    <cfRule type="cellIs" dxfId="14887" priority="831" operator="lessThan">
      <formula>0</formula>
    </cfRule>
  </conditionalFormatting>
  <conditionalFormatting sqref="R148:R153">
    <cfRule type="cellIs" dxfId="14886" priority="829" operator="lessThan">
      <formula>0.8</formula>
    </cfRule>
    <cfRule type="cellIs" dxfId="14885" priority="830" operator="greaterThan">
      <formula>1</formula>
    </cfRule>
  </conditionalFormatting>
  <conditionalFormatting sqref="R148:R153">
    <cfRule type="cellIs" dxfId="14884" priority="827" operator="greaterThan">
      <formula>1</formula>
    </cfRule>
    <cfRule type="cellIs" dxfId="14883" priority="828" operator="lessThan">
      <formula>0.8</formula>
    </cfRule>
  </conditionalFormatting>
  <conditionalFormatting sqref="R148:R153">
    <cfRule type="cellIs" dxfId="14882" priority="823" operator="lessThan">
      <formula>0.8</formula>
    </cfRule>
    <cfRule type="cellIs" dxfId="14881" priority="824" operator="greaterThan">
      <formula>1</formula>
    </cfRule>
  </conditionalFormatting>
  <conditionalFormatting sqref="R148:R153">
    <cfRule type="cellIs" dxfId="14880" priority="821" operator="greaterThan">
      <formula>1</formula>
    </cfRule>
    <cfRule type="cellIs" dxfId="14879" priority="822" operator="lessThan">
      <formula>0.8</formula>
    </cfRule>
  </conditionalFormatting>
  <conditionalFormatting sqref="P148:P153">
    <cfRule type="cellIs" dxfId="14878" priority="820" operator="greaterThan">
      <formula>0</formula>
    </cfRule>
  </conditionalFormatting>
  <conditionalFormatting sqref="Q148:Q153">
    <cfRule type="cellIs" dxfId="14877" priority="825" operator="lessThan">
      <formula>0</formula>
    </cfRule>
  </conditionalFormatting>
  <conditionalFormatting sqref="Q148:Q153">
    <cfRule type="cellIs" dxfId="14876" priority="819" operator="lessThan">
      <formula>0</formula>
    </cfRule>
  </conditionalFormatting>
  <conditionalFormatting sqref="R148:R153">
    <cfRule type="cellIs" dxfId="14875" priority="817" operator="lessThan">
      <formula>0.8</formula>
    </cfRule>
    <cfRule type="cellIs" dxfId="14874" priority="818" operator="greaterThan">
      <formula>1</formula>
    </cfRule>
  </conditionalFormatting>
  <conditionalFormatting sqref="R148:R153">
    <cfRule type="cellIs" dxfId="14873" priority="815" operator="greaterThan">
      <formula>1</formula>
    </cfRule>
    <cfRule type="cellIs" dxfId="14872" priority="816" operator="lessThan">
      <formula>0.8</formula>
    </cfRule>
  </conditionalFormatting>
  <conditionalFormatting sqref="P148:P153">
    <cfRule type="cellIs" dxfId="14871" priority="814" operator="greaterThan">
      <formula>0</formula>
    </cfRule>
  </conditionalFormatting>
  <conditionalFormatting sqref="P148:P153">
    <cfRule type="cellIs" dxfId="14870" priority="808" operator="greaterThan">
      <formula>0</formula>
    </cfRule>
  </conditionalFormatting>
  <conditionalFormatting sqref="Q148:Q153">
    <cfRule type="cellIs" dxfId="14869" priority="813" operator="lessThan">
      <formula>0</formula>
    </cfRule>
  </conditionalFormatting>
  <conditionalFormatting sqref="R148:R153">
    <cfRule type="cellIs" dxfId="14868" priority="811" operator="lessThan">
      <formula>0.8</formula>
    </cfRule>
    <cfRule type="cellIs" dxfId="14867" priority="812" operator="greaterThan">
      <formula>1</formula>
    </cfRule>
  </conditionalFormatting>
  <conditionalFormatting sqref="R148:R153">
    <cfRule type="cellIs" dxfId="14866" priority="809" operator="greaterThan">
      <formula>1</formula>
    </cfRule>
    <cfRule type="cellIs" dxfId="14865" priority="810" operator="lessThan">
      <formula>0.8</formula>
    </cfRule>
  </conditionalFormatting>
  <conditionalFormatting sqref="P148:P153">
    <cfRule type="cellIs" dxfId="14864" priority="802" operator="greaterThan">
      <formula>0</formula>
    </cfRule>
  </conditionalFormatting>
  <conditionalFormatting sqref="Q148:Q153">
    <cfRule type="cellIs" dxfId="14863" priority="807" operator="lessThan">
      <formula>0</formula>
    </cfRule>
  </conditionalFormatting>
  <conditionalFormatting sqref="R148:R153">
    <cfRule type="cellIs" dxfId="14862" priority="805" operator="lessThan">
      <formula>0.8</formula>
    </cfRule>
    <cfRule type="cellIs" dxfId="14861" priority="806" operator="greaterThan">
      <formula>1</formula>
    </cfRule>
  </conditionalFormatting>
  <conditionalFormatting sqref="R148:R153">
    <cfRule type="cellIs" dxfId="14860" priority="803" operator="greaterThan">
      <formula>1</formula>
    </cfRule>
    <cfRule type="cellIs" dxfId="14859" priority="804" operator="lessThan">
      <formula>0.8</formula>
    </cfRule>
  </conditionalFormatting>
  <conditionalFormatting sqref="R148:R153">
    <cfRule type="cellIs" dxfId="14858" priority="799" operator="lessThan">
      <formula>0.8</formula>
    </cfRule>
    <cfRule type="cellIs" dxfId="14857" priority="800" operator="greaterThan">
      <formula>1</formula>
    </cfRule>
  </conditionalFormatting>
  <conditionalFormatting sqref="R148:R153">
    <cfRule type="cellIs" dxfId="14856" priority="797" operator="greaterThan">
      <formula>1</formula>
    </cfRule>
    <cfRule type="cellIs" dxfId="14855" priority="798" operator="lessThan">
      <formula>0.8</formula>
    </cfRule>
  </conditionalFormatting>
  <conditionalFormatting sqref="P148:P153">
    <cfRule type="cellIs" dxfId="14854" priority="796" operator="greaterThan">
      <formula>0</formula>
    </cfRule>
  </conditionalFormatting>
  <conditionalFormatting sqref="Q148:Q153">
    <cfRule type="cellIs" dxfId="14853" priority="801" operator="lessThan">
      <formula>0</formula>
    </cfRule>
  </conditionalFormatting>
  <conditionalFormatting sqref="P148:P153">
    <cfRule type="cellIs" dxfId="14852" priority="790" operator="greaterThan">
      <formula>0</formula>
    </cfRule>
  </conditionalFormatting>
  <conditionalFormatting sqref="Q148:Q153">
    <cfRule type="cellIs" dxfId="14851" priority="795" operator="lessThan">
      <formula>0</formula>
    </cfRule>
  </conditionalFormatting>
  <conditionalFormatting sqref="R148:R153">
    <cfRule type="cellIs" dxfId="14850" priority="793" operator="lessThan">
      <formula>0.8</formula>
    </cfRule>
    <cfRule type="cellIs" dxfId="14849" priority="794" operator="greaterThan">
      <formula>1</formula>
    </cfRule>
  </conditionalFormatting>
  <conditionalFormatting sqref="R148:R153">
    <cfRule type="cellIs" dxfId="14848" priority="791" operator="greaterThan">
      <formula>1</formula>
    </cfRule>
    <cfRule type="cellIs" dxfId="14847" priority="792" operator="lessThan">
      <formula>0.8</formula>
    </cfRule>
  </conditionalFormatting>
  <conditionalFormatting sqref="R148:R153">
    <cfRule type="cellIs" dxfId="14846" priority="787" operator="lessThan">
      <formula>0.8</formula>
    </cfRule>
    <cfRule type="cellIs" dxfId="14845" priority="788" operator="greaterThan">
      <formula>1</formula>
    </cfRule>
  </conditionalFormatting>
  <conditionalFormatting sqref="R148:R153">
    <cfRule type="cellIs" dxfId="14844" priority="785" operator="greaterThan">
      <formula>1</formula>
    </cfRule>
    <cfRule type="cellIs" dxfId="14843" priority="786" operator="lessThan">
      <formula>0.8</formula>
    </cfRule>
  </conditionalFormatting>
  <conditionalFormatting sqref="P148:P153">
    <cfRule type="cellIs" dxfId="14842" priority="784" operator="greaterThan">
      <formula>0</formula>
    </cfRule>
  </conditionalFormatting>
  <conditionalFormatting sqref="Q148:Q153">
    <cfRule type="cellIs" dxfId="14841" priority="789" operator="lessThan">
      <formula>0</formula>
    </cfRule>
  </conditionalFormatting>
  <conditionalFormatting sqref="R148:R153">
    <cfRule type="cellIs" dxfId="14840" priority="781" operator="lessThan">
      <formula>0.8</formula>
    </cfRule>
    <cfRule type="cellIs" dxfId="14839" priority="782" operator="greaterThan">
      <formula>1</formula>
    </cfRule>
  </conditionalFormatting>
  <conditionalFormatting sqref="R148:R153">
    <cfRule type="cellIs" dxfId="14838" priority="779" operator="greaterThan">
      <formula>1</formula>
    </cfRule>
    <cfRule type="cellIs" dxfId="14837" priority="780" operator="lessThan">
      <formula>0.8</formula>
    </cfRule>
  </conditionalFormatting>
  <conditionalFormatting sqref="P148:P153">
    <cfRule type="cellIs" dxfId="14836" priority="778" operator="greaterThan">
      <formula>0</formula>
    </cfRule>
  </conditionalFormatting>
  <conditionalFormatting sqref="Q148:Q153">
    <cfRule type="cellIs" dxfId="14835" priority="783" operator="lessThan">
      <formula>0</formula>
    </cfRule>
  </conditionalFormatting>
  <conditionalFormatting sqref="Q148:Q153">
    <cfRule type="cellIs" dxfId="14834" priority="777" operator="lessThan">
      <formula>0</formula>
    </cfRule>
  </conditionalFormatting>
  <conditionalFormatting sqref="R148:R153">
    <cfRule type="cellIs" dxfId="14833" priority="775" operator="lessThan">
      <formula>0.8</formula>
    </cfRule>
    <cfRule type="cellIs" dxfId="14832" priority="776" operator="greaterThan">
      <formula>1</formula>
    </cfRule>
  </conditionalFormatting>
  <conditionalFormatting sqref="R148:R153">
    <cfRule type="cellIs" dxfId="14831" priority="773" operator="greaterThan">
      <formula>1</formula>
    </cfRule>
    <cfRule type="cellIs" dxfId="14830" priority="774" operator="lessThan">
      <formula>0.8</formula>
    </cfRule>
  </conditionalFormatting>
  <conditionalFormatting sqref="P148:P153">
    <cfRule type="cellIs" dxfId="14829" priority="772" operator="greaterThan">
      <formula>0</formula>
    </cfRule>
  </conditionalFormatting>
  <conditionalFormatting sqref="Q148:Q153">
    <cfRule type="cellIs" dxfId="14828" priority="766" operator="lessThan">
      <formula>0</formula>
    </cfRule>
  </conditionalFormatting>
  <conditionalFormatting sqref="R148:R153">
    <cfRule type="cellIs" dxfId="14827" priority="770" operator="lessThan">
      <formula>0.8</formula>
    </cfRule>
    <cfRule type="cellIs" dxfId="14826" priority="771" operator="greaterThan">
      <formula>1</formula>
    </cfRule>
  </conditionalFormatting>
  <conditionalFormatting sqref="R148:R153">
    <cfRule type="cellIs" dxfId="14825" priority="768" operator="greaterThan">
      <formula>1</formula>
    </cfRule>
    <cfRule type="cellIs" dxfId="14824" priority="769" operator="lessThan">
      <formula>0.8</formula>
    </cfRule>
  </conditionalFormatting>
  <conditionalFormatting sqref="P148:P153">
    <cfRule type="cellIs" dxfId="14823" priority="767" operator="greaterThan">
      <formula>0</formula>
    </cfRule>
  </conditionalFormatting>
  <conditionalFormatting sqref="Q148:Q153">
    <cfRule type="cellIs" dxfId="14822" priority="765" operator="lessThan">
      <formula>0</formula>
    </cfRule>
  </conditionalFormatting>
  <conditionalFormatting sqref="R148:R153">
    <cfRule type="cellIs" dxfId="14821" priority="763" operator="lessThan">
      <formula>0.8</formula>
    </cfRule>
    <cfRule type="cellIs" dxfId="14820" priority="764" operator="greaterThan">
      <formula>1</formula>
    </cfRule>
  </conditionalFormatting>
  <conditionalFormatting sqref="R148:R153">
    <cfRule type="cellIs" dxfId="14819" priority="761" operator="greaterThan">
      <formula>1</formula>
    </cfRule>
    <cfRule type="cellIs" dxfId="14818" priority="762" operator="lessThan">
      <formula>0.8</formula>
    </cfRule>
  </conditionalFormatting>
  <conditionalFormatting sqref="P148:P153">
    <cfRule type="cellIs" dxfId="14817" priority="760" operator="greaterThan">
      <formula>0</formula>
    </cfRule>
  </conditionalFormatting>
  <conditionalFormatting sqref="Q148:Q153">
    <cfRule type="cellIs" dxfId="14816" priority="759" operator="lessThan">
      <formula>0</formula>
    </cfRule>
  </conditionalFormatting>
  <conditionalFormatting sqref="R148:R153">
    <cfRule type="cellIs" dxfId="14815" priority="757" operator="lessThan">
      <formula>0.8</formula>
    </cfRule>
    <cfRule type="cellIs" dxfId="14814" priority="758" operator="greaterThan">
      <formula>1</formula>
    </cfRule>
  </conditionalFormatting>
  <conditionalFormatting sqref="R148:R153">
    <cfRule type="cellIs" dxfId="14813" priority="755" operator="greaterThan">
      <formula>1</formula>
    </cfRule>
    <cfRule type="cellIs" dxfId="14812" priority="756" operator="lessThan">
      <formula>0.8</formula>
    </cfRule>
  </conditionalFormatting>
  <conditionalFormatting sqref="P148:P153">
    <cfRule type="cellIs" dxfId="14811" priority="754" operator="greaterThan">
      <formula>0</formula>
    </cfRule>
  </conditionalFormatting>
  <conditionalFormatting sqref="Q148:Q153">
    <cfRule type="cellIs" dxfId="14810" priority="753" operator="lessThan">
      <formula>0</formula>
    </cfRule>
  </conditionalFormatting>
  <conditionalFormatting sqref="R148:R153">
    <cfRule type="cellIs" dxfId="14809" priority="751" operator="lessThan">
      <formula>0.8</formula>
    </cfRule>
    <cfRule type="cellIs" dxfId="14808" priority="752" operator="greaterThan">
      <formula>1</formula>
    </cfRule>
  </conditionalFormatting>
  <conditionalFormatting sqref="R148:R153">
    <cfRule type="cellIs" dxfId="14807" priority="749" operator="greaterThan">
      <formula>1</formula>
    </cfRule>
    <cfRule type="cellIs" dxfId="14806" priority="750" operator="lessThan">
      <formula>0.8</formula>
    </cfRule>
  </conditionalFormatting>
  <conditionalFormatting sqref="P148:P153">
    <cfRule type="cellIs" dxfId="14805" priority="748" operator="greaterThan">
      <formula>0</formula>
    </cfRule>
  </conditionalFormatting>
  <conditionalFormatting sqref="Q148:Q153">
    <cfRule type="cellIs" dxfId="14804" priority="747" operator="lessThan">
      <formula>0</formula>
    </cfRule>
  </conditionalFormatting>
  <conditionalFormatting sqref="R148:R153">
    <cfRule type="cellIs" dxfId="14803" priority="745" operator="lessThan">
      <formula>0.8</formula>
    </cfRule>
    <cfRule type="cellIs" dxfId="14802" priority="746" operator="greaterThan">
      <formula>1</formula>
    </cfRule>
  </conditionalFormatting>
  <conditionalFormatting sqref="R148:R153">
    <cfRule type="cellIs" dxfId="14801" priority="743" operator="greaterThan">
      <formula>1</formula>
    </cfRule>
    <cfRule type="cellIs" dxfId="14800" priority="744" operator="lessThan">
      <formula>0.8</formula>
    </cfRule>
  </conditionalFormatting>
  <conditionalFormatting sqref="P148:P153">
    <cfRule type="cellIs" dxfId="14799" priority="742" operator="greaterThan">
      <formula>0</formula>
    </cfRule>
  </conditionalFormatting>
  <conditionalFormatting sqref="Q148:Q153">
    <cfRule type="cellIs" dxfId="14798" priority="741" operator="lessThan">
      <formula>0</formula>
    </cfRule>
  </conditionalFormatting>
  <conditionalFormatting sqref="R148:R153">
    <cfRule type="cellIs" dxfId="14797" priority="739" operator="lessThan">
      <formula>0.8</formula>
    </cfRule>
    <cfRule type="cellIs" dxfId="14796" priority="740" operator="greaterThan">
      <formula>1</formula>
    </cfRule>
  </conditionalFormatting>
  <conditionalFormatting sqref="R148:R153">
    <cfRule type="cellIs" dxfId="14795" priority="737" operator="greaterThan">
      <formula>1</formula>
    </cfRule>
    <cfRule type="cellIs" dxfId="14794" priority="738" operator="lessThan">
      <formula>0.8</formula>
    </cfRule>
  </conditionalFormatting>
  <conditionalFormatting sqref="P148:P153">
    <cfRule type="cellIs" dxfId="14793" priority="736" operator="greaterThan">
      <formula>0</formula>
    </cfRule>
  </conditionalFormatting>
  <conditionalFormatting sqref="P148:P153">
    <cfRule type="cellIs" dxfId="14792" priority="730" operator="greaterThan">
      <formula>0</formula>
    </cfRule>
  </conditionalFormatting>
  <conditionalFormatting sqref="Q148:Q153">
    <cfRule type="cellIs" dxfId="14791" priority="735" operator="lessThan">
      <formula>0</formula>
    </cfRule>
  </conditionalFormatting>
  <conditionalFormatting sqref="R148:R153">
    <cfRule type="cellIs" dxfId="14790" priority="733" operator="lessThan">
      <formula>0.8</formula>
    </cfRule>
    <cfRule type="cellIs" dxfId="14789" priority="734" operator="greaterThan">
      <formula>1</formula>
    </cfRule>
  </conditionalFormatting>
  <conditionalFormatting sqref="R148:R153">
    <cfRule type="cellIs" dxfId="14788" priority="731" operator="greaterThan">
      <formula>1</formula>
    </cfRule>
    <cfRule type="cellIs" dxfId="14787" priority="732" operator="lessThan">
      <formula>0.8</formula>
    </cfRule>
  </conditionalFormatting>
  <conditionalFormatting sqref="P148:P153">
    <cfRule type="cellIs" dxfId="14786" priority="724" operator="greaterThan">
      <formula>0</formula>
    </cfRule>
  </conditionalFormatting>
  <conditionalFormatting sqref="Q148:Q153">
    <cfRule type="cellIs" dxfId="14785" priority="729" operator="lessThan">
      <formula>0</formula>
    </cfRule>
  </conditionalFormatting>
  <conditionalFormatting sqref="R148:R153">
    <cfRule type="cellIs" dxfId="14784" priority="727" operator="lessThan">
      <formula>0.8</formula>
    </cfRule>
    <cfRule type="cellIs" dxfId="14783" priority="728" operator="greaterThan">
      <formula>1</formula>
    </cfRule>
  </conditionalFormatting>
  <conditionalFormatting sqref="R148:R153">
    <cfRule type="cellIs" dxfId="14782" priority="725" operator="greaterThan">
      <formula>1</formula>
    </cfRule>
    <cfRule type="cellIs" dxfId="14781" priority="726" operator="lessThan">
      <formula>0.8</formula>
    </cfRule>
  </conditionalFormatting>
  <conditionalFormatting sqref="R148:R153">
    <cfRule type="cellIs" dxfId="14780" priority="721" operator="lessThan">
      <formula>0.8</formula>
    </cfRule>
    <cfRule type="cellIs" dxfId="14779" priority="722" operator="greaterThan">
      <formula>1</formula>
    </cfRule>
  </conditionalFormatting>
  <conditionalFormatting sqref="R148:R153">
    <cfRule type="cellIs" dxfId="14778" priority="719" operator="greaterThan">
      <formula>1</formula>
    </cfRule>
    <cfRule type="cellIs" dxfId="14777" priority="720" operator="lessThan">
      <formula>0.8</formula>
    </cfRule>
  </conditionalFormatting>
  <conditionalFormatting sqref="P148:P153">
    <cfRule type="cellIs" dxfId="14776" priority="718" operator="greaterThan">
      <formula>0</formula>
    </cfRule>
  </conditionalFormatting>
  <conditionalFormatting sqref="Q148:Q153">
    <cfRule type="cellIs" dxfId="14775" priority="723" operator="lessThan">
      <formula>0</formula>
    </cfRule>
  </conditionalFormatting>
  <conditionalFormatting sqref="P44:P51">
    <cfRule type="cellIs" dxfId="14774" priority="712" operator="greaterThan">
      <formula>0</formula>
    </cfRule>
  </conditionalFormatting>
  <conditionalFormatting sqref="Q44:Q51">
    <cfRule type="cellIs" dxfId="14773" priority="717" operator="lessThan">
      <formula>0</formula>
    </cfRule>
  </conditionalFormatting>
  <conditionalFormatting sqref="R44:R51">
    <cfRule type="cellIs" dxfId="14772" priority="715" operator="lessThan">
      <formula>0.8</formula>
    </cfRule>
    <cfRule type="cellIs" dxfId="14771" priority="716" operator="greaterThan">
      <formula>1</formula>
    </cfRule>
  </conditionalFormatting>
  <conditionalFormatting sqref="R44:R51">
    <cfRule type="cellIs" dxfId="14770" priority="713" operator="greaterThan">
      <formula>1</formula>
    </cfRule>
    <cfRule type="cellIs" dxfId="14769" priority="714" operator="lessThan">
      <formula>0.8</formula>
    </cfRule>
  </conditionalFormatting>
  <conditionalFormatting sqref="Q84:Q91">
    <cfRule type="cellIs" dxfId="14768" priority="711" operator="lessThan">
      <formula>0</formula>
    </cfRule>
  </conditionalFormatting>
  <conditionalFormatting sqref="R84:R91">
    <cfRule type="cellIs" dxfId="14767" priority="709" operator="lessThan">
      <formula>0.8</formula>
    </cfRule>
    <cfRule type="cellIs" dxfId="14766" priority="710" operator="greaterThan">
      <formula>1</formula>
    </cfRule>
  </conditionalFormatting>
  <conditionalFormatting sqref="R84:R91">
    <cfRule type="cellIs" dxfId="14765" priority="707" operator="greaterThan">
      <formula>1</formula>
    </cfRule>
    <cfRule type="cellIs" dxfId="14764" priority="708" operator="lessThan">
      <formula>0.8</formula>
    </cfRule>
  </conditionalFormatting>
  <conditionalFormatting sqref="P84:P91">
    <cfRule type="cellIs" dxfId="14763" priority="706" operator="greaterThan">
      <formula>0</formula>
    </cfRule>
  </conditionalFormatting>
  <conditionalFormatting sqref="Q84:Q91">
    <cfRule type="cellIs" dxfId="14762" priority="705" operator="lessThan">
      <formula>0</formula>
    </cfRule>
  </conditionalFormatting>
  <conditionalFormatting sqref="R84:R91">
    <cfRule type="cellIs" dxfId="14761" priority="703" operator="lessThan">
      <formula>0.8</formula>
    </cfRule>
    <cfRule type="cellIs" dxfId="14760" priority="704" operator="greaterThan">
      <formula>1</formula>
    </cfRule>
  </conditionalFormatting>
  <conditionalFormatting sqref="R84:R91">
    <cfRule type="cellIs" dxfId="14759" priority="701" operator="greaterThan">
      <formula>1</formula>
    </cfRule>
    <cfRule type="cellIs" dxfId="14758" priority="702" operator="lessThan">
      <formula>0.8</formula>
    </cfRule>
  </conditionalFormatting>
  <conditionalFormatting sqref="P84:P91">
    <cfRule type="cellIs" dxfId="14757" priority="700" operator="greaterThan">
      <formula>0</formula>
    </cfRule>
  </conditionalFormatting>
  <conditionalFormatting sqref="Q84:Q91">
    <cfRule type="cellIs" dxfId="14756" priority="699" operator="lessThan">
      <formula>0</formula>
    </cfRule>
  </conditionalFormatting>
  <conditionalFormatting sqref="R84:R91">
    <cfRule type="cellIs" dxfId="14755" priority="697" operator="lessThan">
      <formula>0.8</formula>
    </cfRule>
    <cfRule type="cellIs" dxfId="14754" priority="698" operator="greaterThan">
      <formula>1</formula>
    </cfRule>
  </conditionalFormatting>
  <conditionalFormatting sqref="R84:R91">
    <cfRule type="cellIs" dxfId="14753" priority="695" operator="greaterThan">
      <formula>1</formula>
    </cfRule>
    <cfRule type="cellIs" dxfId="14752" priority="696" operator="lessThan">
      <formula>0.8</formula>
    </cfRule>
  </conditionalFormatting>
  <conditionalFormatting sqref="P84:P91">
    <cfRule type="cellIs" dxfId="14751" priority="694" operator="greaterThan">
      <formula>0</formula>
    </cfRule>
  </conditionalFormatting>
  <conditionalFormatting sqref="Q84:Q91">
    <cfRule type="cellIs" dxfId="14750" priority="693" operator="lessThan">
      <formula>0</formula>
    </cfRule>
  </conditionalFormatting>
  <conditionalFormatting sqref="R84:R91">
    <cfRule type="cellIs" dxfId="14749" priority="691" operator="lessThan">
      <formula>0.8</formula>
    </cfRule>
    <cfRule type="cellIs" dxfId="14748" priority="692" operator="greaterThan">
      <formula>1</formula>
    </cfRule>
  </conditionalFormatting>
  <conditionalFormatting sqref="R84:R91">
    <cfRule type="cellIs" dxfId="14747" priority="689" operator="greaterThan">
      <formula>1</formula>
    </cfRule>
    <cfRule type="cellIs" dxfId="14746" priority="690" operator="lessThan">
      <formula>0.8</formula>
    </cfRule>
  </conditionalFormatting>
  <conditionalFormatting sqref="P84:P91">
    <cfRule type="cellIs" dxfId="14745" priority="688" operator="greaterThan">
      <formula>0</formula>
    </cfRule>
  </conditionalFormatting>
  <conditionalFormatting sqref="P84:P91">
    <cfRule type="cellIs" dxfId="14744" priority="682" operator="greaterThan">
      <formula>0</formula>
    </cfRule>
  </conditionalFormatting>
  <conditionalFormatting sqref="Q84:Q91">
    <cfRule type="cellIs" dxfId="14743" priority="687" operator="lessThan">
      <formula>0</formula>
    </cfRule>
  </conditionalFormatting>
  <conditionalFormatting sqref="R84:R91">
    <cfRule type="cellIs" dxfId="14742" priority="685" operator="lessThan">
      <formula>0.8</formula>
    </cfRule>
    <cfRule type="cellIs" dxfId="14741" priority="686" operator="greaterThan">
      <formula>1</formula>
    </cfRule>
  </conditionalFormatting>
  <conditionalFormatting sqref="R84:R91">
    <cfRule type="cellIs" dxfId="14740" priority="683" operator="greaterThan">
      <formula>1</formula>
    </cfRule>
    <cfRule type="cellIs" dxfId="14739" priority="684" operator="lessThan">
      <formula>0.8</formula>
    </cfRule>
  </conditionalFormatting>
  <conditionalFormatting sqref="P84:P91">
    <cfRule type="cellIs" dxfId="14738" priority="676" operator="greaterThan">
      <formula>0</formula>
    </cfRule>
  </conditionalFormatting>
  <conditionalFormatting sqref="Q84:Q91">
    <cfRule type="cellIs" dxfId="14737" priority="681" operator="lessThan">
      <formula>0</formula>
    </cfRule>
  </conditionalFormatting>
  <conditionalFormatting sqref="R84:R91">
    <cfRule type="cellIs" dxfId="14736" priority="679" operator="lessThan">
      <formula>0.8</formula>
    </cfRule>
    <cfRule type="cellIs" dxfId="14735" priority="680" operator="greaterThan">
      <formula>1</formula>
    </cfRule>
  </conditionalFormatting>
  <conditionalFormatting sqref="R84:R91">
    <cfRule type="cellIs" dxfId="14734" priority="677" operator="greaterThan">
      <formula>1</formula>
    </cfRule>
    <cfRule type="cellIs" dxfId="14733" priority="678" operator="lessThan">
      <formula>0.8</formula>
    </cfRule>
  </conditionalFormatting>
  <conditionalFormatting sqref="R84:R91">
    <cfRule type="cellIs" dxfId="14732" priority="673" operator="lessThan">
      <formula>0.8</formula>
    </cfRule>
    <cfRule type="cellIs" dxfId="14731" priority="674" operator="greaterThan">
      <formula>1</formula>
    </cfRule>
  </conditionalFormatting>
  <conditionalFormatting sqref="R84:R91">
    <cfRule type="cellIs" dxfId="14730" priority="671" operator="greaterThan">
      <formula>1</formula>
    </cfRule>
    <cfRule type="cellIs" dxfId="14729" priority="672" operator="lessThan">
      <formula>0.8</formula>
    </cfRule>
  </conditionalFormatting>
  <conditionalFormatting sqref="P84:P91">
    <cfRule type="cellIs" dxfId="14728" priority="670" operator="greaterThan">
      <formula>0</formula>
    </cfRule>
  </conditionalFormatting>
  <conditionalFormatting sqref="Q84:Q91">
    <cfRule type="cellIs" dxfId="14727" priority="675" operator="lessThan">
      <formula>0</formula>
    </cfRule>
  </conditionalFormatting>
  <conditionalFormatting sqref="Q84:Q91">
    <cfRule type="cellIs" dxfId="14726" priority="669" operator="lessThan">
      <formula>0</formula>
    </cfRule>
  </conditionalFormatting>
  <conditionalFormatting sqref="R84:R91">
    <cfRule type="cellIs" dxfId="14725" priority="667" operator="lessThan">
      <formula>0.8</formula>
    </cfRule>
    <cfRule type="cellIs" dxfId="14724" priority="668" operator="greaterThan">
      <formula>1</formula>
    </cfRule>
  </conditionalFormatting>
  <conditionalFormatting sqref="R84:R91">
    <cfRule type="cellIs" dxfId="14723" priority="665" operator="greaterThan">
      <formula>1</formula>
    </cfRule>
    <cfRule type="cellIs" dxfId="14722" priority="666" operator="lessThan">
      <formula>0.8</formula>
    </cfRule>
  </conditionalFormatting>
  <conditionalFormatting sqref="P84:P91">
    <cfRule type="cellIs" dxfId="14721" priority="664" operator="greaterThan">
      <formula>0</formula>
    </cfRule>
  </conditionalFormatting>
  <conditionalFormatting sqref="P84:P91">
    <cfRule type="cellIs" dxfId="14720" priority="658" operator="greaterThan">
      <formula>0</formula>
    </cfRule>
  </conditionalFormatting>
  <conditionalFormatting sqref="Q84:Q91">
    <cfRule type="cellIs" dxfId="14719" priority="663" operator="lessThan">
      <formula>0</formula>
    </cfRule>
  </conditionalFormatting>
  <conditionalFormatting sqref="R84:R91">
    <cfRule type="cellIs" dxfId="14718" priority="661" operator="lessThan">
      <formula>0.8</formula>
    </cfRule>
    <cfRule type="cellIs" dxfId="14717" priority="662" operator="greaterThan">
      <formula>1</formula>
    </cfRule>
  </conditionalFormatting>
  <conditionalFormatting sqref="R84:R91">
    <cfRule type="cellIs" dxfId="14716" priority="659" operator="greaterThan">
      <formula>1</formula>
    </cfRule>
    <cfRule type="cellIs" dxfId="14715" priority="660" operator="lessThan">
      <formula>0.8</formula>
    </cfRule>
  </conditionalFormatting>
  <conditionalFormatting sqref="P84:P91">
    <cfRule type="cellIs" dxfId="14714" priority="652" operator="greaterThan">
      <formula>0</formula>
    </cfRule>
  </conditionalFormatting>
  <conditionalFormatting sqref="Q84:Q91">
    <cfRule type="cellIs" dxfId="14713" priority="657" operator="lessThan">
      <formula>0</formula>
    </cfRule>
  </conditionalFormatting>
  <conditionalFormatting sqref="R84:R91">
    <cfRule type="cellIs" dxfId="14712" priority="655" operator="lessThan">
      <formula>0.8</formula>
    </cfRule>
    <cfRule type="cellIs" dxfId="14711" priority="656" operator="greaterThan">
      <formula>1</formula>
    </cfRule>
  </conditionalFormatting>
  <conditionalFormatting sqref="R84:R91">
    <cfRule type="cellIs" dxfId="14710" priority="653" operator="greaterThan">
      <formula>1</formula>
    </cfRule>
    <cfRule type="cellIs" dxfId="14709" priority="654" operator="lessThan">
      <formula>0.8</formula>
    </cfRule>
  </conditionalFormatting>
  <conditionalFormatting sqref="R84:R91">
    <cfRule type="cellIs" dxfId="14708" priority="649" operator="lessThan">
      <formula>0.8</formula>
    </cfRule>
    <cfRule type="cellIs" dxfId="14707" priority="650" operator="greaterThan">
      <formula>1</formula>
    </cfRule>
  </conditionalFormatting>
  <conditionalFormatting sqref="R84:R91">
    <cfRule type="cellIs" dxfId="14706" priority="647" operator="greaterThan">
      <formula>1</formula>
    </cfRule>
    <cfRule type="cellIs" dxfId="14705" priority="648" operator="lessThan">
      <formula>0.8</formula>
    </cfRule>
  </conditionalFormatting>
  <conditionalFormatting sqref="P84:P91">
    <cfRule type="cellIs" dxfId="14704" priority="646" operator="greaterThan">
      <formula>0</formula>
    </cfRule>
  </conditionalFormatting>
  <conditionalFormatting sqref="Q84:Q91">
    <cfRule type="cellIs" dxfId="14703" priority="651" operator="lessThan">
      <formula>0</formula>
    </cfRule>
  </conditionalFormatting>
  <conditionalFormatting sqref="P84:P91">
    <cfRule type="cellIs" dxfId="14702" priority="640" operator="greaterThan">
      <formula>0</formula>
    </cfRule>
  </conditionalFormatting>
  <conditionalFormatting sqref="Q84:Q91">
    <cfRule type="cellIs" dxfId="14701" priority="645" operator="lessThan">
      <formula>0</formula>
    </cfRule>
  </conditionalFormatting>
  <conditionalFormatting sqref="R84:R91">
    <cfRule type="cellIs" dxfId="14700" priority="643" operator="lessThan">
      <formula>0.8</formula>
    </cfRule>
    <cfRule type="cellIs" dxfId="14699" priority="644" operator="greaterThan">
      <formula>1</formula>
    </cfRule>
  </conditionalFormatting>
  <conditionalFormatting sqref="R84:R91">
    <cfRule type="cellIs" dxfId="14698" priority="641" operator="greaterThan">
      <formula>1</formula>
    </cfRule>
    <cfRule type="cellIs" dxfId="14697" priority="642" operator="lessThan">
      <formula>0.8</formula>
    </cfRule>
  </conditionalFormatting>
  <conditionalFormatting sqref="R84:R91">
    <cfRule type="cellIs" dxfId="14696" priority="637" operator="lessThan">
      <formula>0.8</formula>
    </cfRule>
    <cfRule type="cellIs" dxfId="14695" priority="638" operator="greaterThan">
      <formula>1</formula>
    </cfRule>
  </conditionalFormatting>
  <conditionalFormatting sqref="R84:R91">
    <cfRule type="cellIs" dxfId="14694" priority="635" operator="greaterThan">
      <formula>1</formula>
    </cfRule>
    <cfRule type="cellIs" dxfId="14693" priority="636" operator="lessThan">
      <formula>0.8</formula>
    </cfRule>
  </conditionalFormatting>
  <conditionalFormatting sqref="P84:P91">
    <cfRule type="cellIs" dxfId="14692" priority="634" operator="greaterThan">
      <formula>0</formula>
    </cfRule>
  </conditionalFormatting>
  <conditionalFormatting sqref="Q84:Q91">
    <cfRule type="cellIs" dxfId="14691" priority="639" operator="lessThan">
      <formula>0</formula>
    </cfRule>
  </conditionalFormatting>
  <conditionalFormatting sqref="R84:R91">
    <cfRule type="cellIs" dxfId="14690" priority="631" operator="lessThan">
      <formula>0.8</formula>
    </cfRule>
    <cfRule type="cellIs" dxfId="14689" priority="632" operator="greaterThan">
      <formula>1</formula>
    </cfRule>
  </conditionalFormatting>
  <conditionalFormatting sqref="R84:R91">
    <cfRule type="cellIs" dxfId="14688" priority="629" operator="greaterThan">
      <formula>1</formula>
    </cfRule>
    <cfRule type="cellIs" dxfId="14687" priority="630" operator="lessThan">
      <formula>0.8</formula>
    </cfRule>
  </conditionalFormatting>
  <conditionalFormatting sqref="P84:P91">
    <cfRule type="cellIs" dxfId="14686" priority="628" operator="greaterThan">
      <formula>0</formula>
    </cfRule>
  </conditionalFormatting>
  <conditionalFormatting sqref="Q84:Q91">
    <cfRule type="cellIs" dxfId="14685" priority="633" operator="lessThan">
      <formula>0</formula>
    </cfRule>
  </conditionalFormatting>
  <conditionalFormatting sqref="Q84:Q91">
    <cfRule type="cellIs" dxfId="14684" priority="627" operator="lessThan">
      <formula>0</formula>
    </cfRule>
  </conditionalFormatting>
  <conditionalFormatting sqref="R84:R91">
    <cfRule type="cellIs" dxfId="14683" priority="625" operator="lessThan">
      <formula>0.8</formula>
    </cfRule>
    <cfRule type="cellIs" dxfId="14682" priority="626" operator="greaterThan">
      <formula>1</formula>
    </cfRule>
  </conditionalFormatting>
  <conditionalFormatting sqref="R84:R91">
    <cfRule type="cellIs" dxfId="14681" priority="623" operator="greaterThan">
      <formula>1</formula>
    </cfRule>
    <cfRule type="cellIs" dxfId="14680" priority="624" operator="lessThan">
      <formula>0.8</formula>
    </cfRule>
  </conditionalFormatting>
  <conditionalFormatting sqref="P84:P91">
    <cfRule type="cellIs" dxfId="14679" priority="622" operator="greaterThan">
      <formula>0</formula>
    </cfRule>
  </conditionalFormatting>
  <conditionalFormatting sqref="Q84:Q91">
    <cfRule type="cellIs" dxfId="14678" priority="616" operator="lessThan">
      <formula>0</formula>
    </cfRule>
  </conditionalFormatting>
  <conditionalFormatting sqref="R84:R91">
    <cfRule type="cellIs" dxfId="14677" priority="620" operator="lessThan">
      <formula>0.8</formula>
    </cfRule>
    <cfRule type="cellIs" dxfId="14676" priority="621" operator="greaterThan">
      <formula>1</formula>
    </cfRule>
  </conditionalFormatting>
  <conditionalFormatting sqref="R84:R91">
    <cfRule type="cellIs" dxfId="14675" priority="618" operator="greaterThan">
      <formula>1</formula>
    </cfRule>
    <cfRule type="cellIs" dxfId="14674" priority="619" operator="lessThan">
      <formula>0.8</formula>
    </cfRule>
  </conditionalFormatting>
  <conditionalFormatting sqref="P84:P91">
    <cfRule type="cellIs" dxfId="14673" priority="617" operator="greaterThan">
      <formula>0</formula>
    </cfRule>
  </conditionalFormatting>
  <conditionalFormatting sqref="Q84:Q91">
    <cfRule type="cellIs" dxfId="14672" priority="615" operator="lessThan">
      <formula>0</formula>
    </cfRule>
  </conditionalFormatting>
  <conditionalFormatting sqref="R84:R91">
    <cfRule type="cellIs" dxfId="14671" priority="613" operator="lessThan">
      <formula>0.8</formula>
    </cfRule>
    <cfRule type="cellIs" dxfId="14670" priority="614" operator="greaterThan">
      <formula>1</formula>
    </cfRule>
  </conditionalFormatting>
  <conditionalFormatting sqref="R84:R91">
    <cfRule type="cellIs" dxfId="14669" priority="611" operator="greaterThan">
      <formula>1</formula>
    </cfRule>
    <cfRule type="cellIs" dxfId="14668" priority="612" operator="lessThan">
      <formula>0.8</formula>
    </cfRule>
  </conditionalFormatting>
  <conditionalFormatting sqref="P84:P91">
    <cfRule type="cellIs" dxfId="14667" priority="610" operator="greaterThan">
      <formula>0</formula>
    </cfRule>
  </conditionalFormatting>
  <conditionalFormatting sqref="Q84:Q91">
    <cfRule type="cellIs" dxfId="14666" priority="609" operator="lessThan">
      <formula>0</formula>
    </cfRule>
  </conditionalFormatting>
  <conditionalFormatting sqref="R84:R91">
    <cfRule type="cellIs" dxfId="14665" priority="607" operator="lessThan">
      <formula>0.8</formula>
    </cfRule>
    <cfRule type="cellIs" dxfId="14664" priority="608" operator="greaterThan">
      <formula>1</formula>
    </cfRule>
  </conditionalFormatting>
  <conditionalFormatting sqref="R84:R91">
    <cfRule type="cellIs" dxfId="14663" priority="605" operator="greaterThan">
      <formula>1</formula>
    </cfRule>
    <cfRule type="cellIs" dxfId="14662" priority="606" operator="lessThan">
      <formula>0.8</formula>
    </cfRule>
  </conditionalFormatting>
  <conditionalFormatting sqref="P84:P91">
    <cfRule type="cellIs" dxfId="14661" priority="604" operator="greaterThan">
      <formula>0</formula>
    </cfRule>
  </conditionalFormatting>
  <conditionalFormatting sqref="Q84:Q91">
    <cfRule type="cellIs" dxfId="14660" priority="603" operator="lessThan">
      <formula>0</formula>
    </cfRule>
  </conditionalFormatting>
  <conditionalFormatting sqref="R84:R91">
    <cfRule type="cellIs" dxfId="14659" priority="601" operator="lessThan">
      <formula>0.8</formula>
    </cfRule>
    <cfRule type="cellIs" dxfId="14658" priority="602" operator="greaterThan">
      <formula>1</formula>
    </cfRule>
  </conditionalFormatting>
  <conditionalFormatting sqref="R84:R91">
    <cfRule type="cellIs" dxfId="14657" priority="599" operator="greaterThan">
      <formula>1</formula>
    </cfRule>
    <cfRule type="cellIs" dxfId="14656" priority="600" operator="lessThan">
      <formula>0.8</formula>
    </cfRule>
  </conditionalFormatting>
  <conditionalFormatting sqref="P84:P91">
    <cfRule type="cellIs" dxfId="14655" priority="598" operator="greaterThan">
      <formula>0</formula>
    </cfRule>
  </conditionalFormatting>
  <conditionalFormatting sqref="Q84:Q91">
    <cfRule type="cellIs" dxfId="14654" priority="597" operator="lessThan">
      <formula>0</formula>
    </cfRule>
  </conditionalFormatting>
  <conditionalFormatting sqref="R84:R91">
    <cfRule type="cellIs" dxfId="14653" priority="595" operator="lessThan">
      <formula>0.8</formula>
    </cfRule>
    <cfRule type="cellIs" dxfId="14652" priority="596" operator="greaterThan">
      <formula>1</formula>
    </cfRule>
  </conditionalFormatting>
  <conditionalFormatting sqref="R84:R91">
    <cfRule type="cellIs" dxfId="14651" priority="593" operator="greaterThan">
      <formula>1</formula>
    </cfRule>
    <cfRule type="cellIs" dxfId="14650" priority="594" operator="lessThan">
      <formula>0.8</formula>
    </cfRule>
  </conditionalFormatting>
  <conditionalFormatting sqref="P84:P91">
    <cfRule type="cellIs" dxfId="14649" priority="592" operator="greaterThan">
      <formula>0</formula>
    </cfRule>
  </conditionalFormatting>
  <conditionalFormatting sqref="Q84:Q91">
    <cfRule type="cellIs" dxfId="14648" priority="591" operator="lessThan">
      <formula>0</formula>
    </cfRule>
  </conditionalFormatting>
  <conditionalFormatting sqref="R84:R91">
    <cfRule type="cellIs" dxfId="14647" priority="589" operator="lessThan">
      <formula>0.8</formula>
    </cfRule>
    <cfRule type="cellIs" dxfId="14646" priority="590" operator="greaterThan">
      <formula>1</formula>
    </cfRule>
  </conditionalFormatting>
  <conditionalFormatting sqref="R84:R91">
    <cfRule type="cellIs" dxfId="14645" priority="587" operator="greaterThan">
      <formula>1</formula>
    </cfRule>
    <cfRule type="cellIs" dxfId="14644" priority="588" operator="lessThan">
      <formula>0.8</formula>
    </cfRule>
  </conditionalFormatting>
  <conditionalFormatting sqref="P84:P91">
    <cfRule type="cellIs" dxfId="14643" priority="586" operator="greaterThan">
      <formula>0</formula>
    </cfRule>
  </conditionalFormatting>
  <conditionalFormatting sqref="P84:P91">
    <cfRule type="cellIs" dxfId="14642" priority="580" operator="greaterThan">
      <formula>0</formula>
    </cfRule>
  </conditionalFormatting>
  <conditionalFormatting sqref="Q84:Q91">
    <cfRule type="cellIs" dxfId="14641" priority="585" operator="lessThan">
      <formula>0</formula>
    </cfRule>
  </conditionalFormatting>
  <conditionalFormatting sqref="R84:R91">
    <cfRule type="cellIs" dxfId="14640" priority="583" operator="lessThan">
      <formula>0.8</formula>
    </cfRule>
    <cfRule type="cellIs" dxfId="14639" priority="584" operator="greaterThan">
      <formula>1</formula>
    </cfRule>
  </conditionalFormatting>
  <conditionalFormatting sqref="R84:R91">
    <cfRule type="cellIs" dxfId="14638" priority="581" operator="greaterThan">
      <formula>1</formula>
    </cfRule>
    <cfRule type="cellIs" dxfId="14637" priority="582" operator="lessThan">
      <formula>0.8</formula>
    </cfRule>
  </conditionalFormatting>
  <conditionalFormatting sqref="P84:P91">
    <cfRule type="cellIs" dxfId="14636" priority="574" operator="greaterThan">
      <formula>0</formula>
    </cfRule>
  </conditionalFormatting>
  <conditionalFormatting sqref="Q84:Q91">
    <cfRule type="cellIs" dxfId="14635" priority="579" operator="lessThan">
      <formula>0</formula>
    </cfRule>
  </conditionalFormatting>
  <conditionalFormatting sqref="R84:R91">
    <cfRule type="cellIs" dxfId="14634" priority="577" operator="lessThan">
      <formula>0.8</formula>
    </cfRule>
    <cfRule type="cellIs" dxfId="14633" priority="578" operator="greaterThan">
      <formula>1</formula>
    </cfRule>
  </conditionalFormatting>
  <conditionalFormatting sqref="R84:R91">
    <cfRule type="cellIs" dxfId="14632" priority="575" operator="greaterThan">
      <formula>1</formula>
    </cfRule>
    <cfRule type="cellIs" dxfId="14631" priority="576" operator="lessThan">
      <formula>0.8</formula>
    </cfRule>
  </conditionalFormatting>
  <conditionalFormatting sqref="R84:R91">
    <cfRule type="cellIs" dxfId="14630" priority="571" operator="lessThan">
      <formula>0.8</formula>
    </cfRule>
    <cfRule type="cellIs" dxfId="14629" priority="572" operator="greaterThan">
      <formula>1</formula>
    </cfRule>
  </conditionalFormatting>
  <conditionalFormatting sqref="R84:R91">
    <cfRule type="cellIs" dxfId="14628" priority="569" operator="greaterThan">
      <formula>1</formula>
    </cfRule>
    <cfRule type="cellIs" dxfId="14627" priority="570" operator="lessThan">
      <formula>0.8</formula>
    </cfRule>
  </conditionalFormatting>
  <conditionalFormatting sqref="P84:P91">
    <cfRule type="cellIs" dxfId="14626" priority="568" operator="greaterThan">
      <formula>0</formula>
    </cfRule>
  </conditionalFormatting>
  <conditionalFormatting sqref="Q84:Q91">
    <cfRule type="cellIs" dxfId="14625" priority="573" operator="lessThan">
      <formula>0</formula>
    </cfRule>
  </conditionalFormatting>
  <conditionalFormatting sqref="Q84:Q91">
    <cfRule type="cellIs" dxfId="14624" priority="567" operator="lessThan">
      <formula>0</formula>
    </cfRule>
  </conditionalFormatting>
  <conditionalFormatting sqref="R84:R91">
    <cfRule type="cellIs" dxfId="14623" priority="565" operator="lessThan">
      <formula>0.8</formula>
    </cfRule>
    <cfRule type="cellIs" dxfId="14622" priority="566" operator="greaterThan">
      <formula>1</formula>
    </cfRule>
  </conditionalFormatting>
  <conditionalFormatting sqref="R84:R91">
    <cfRule type="cellIs" dxfId="14621" priority="563" operator="greaterThan">
      <formula>1</formula>
    </cfRule>
    <cfRule type="cellIs" dxfId="14620" priority="564" operator="lessThan">
      <formula>0.8</formula>
    </cfRule>
  </conditionalFormatting>
  <conditionalFormatting sqref="P84:P91">
    <cfRule type="cellIs" dxfId="14619" priority="562" operator="greaterThan">
      <formula>0</formula>
    </cfRule>
  </conditionalFormatting>
  <conditionalFormatting sqref="Q84:Q91">
    <cfRule type="cellIs" dxfId="14618" priority="561" operator="lessThan">
      <formula>0</formula>
    </cfRule>
  </conditionalFormatting>
  <conditionalFormatting sqref="R84:R91">
    <cfRule type="cellIs" dxfId="14617" priority="559" operator="lessThan">
      <formula>0.8</formula>
    </cfRule>
    <cfRule type="cellIs" dxfId="14616" priority="560" operator="greaterThan">
      <formula>1</formula>
    </cfRule>
  </conditionalFormatting>
  <conditionalFormatting sqref="R84:R91">
    <cfRule type="cellIs" dxfId="14615" priority="557" operator="greaterThan">
      <formula>1</formula>
    </cfRule>
    <cfRule type="cellIs" dxfId="14614" priority="558" operator="lessThan">
      <formula>0.8</formula>
    </cfRule>
  </conditionalFormatting>
  <conditionalFormatting sqref="P84:P91">
    <cfRule type="cellIs" dxfId="14613" priority="556" operator="greaterThan">
      <formula>0</formula>
    </cfRule>
  </conditionalFormatting>
  <conditionalFormatting sqref="Q84:Q91">
    <cfRule type="cellIs" dxfId="14612" priority="555" operator="lessThan">
      <formula>0</formula>
    </cfRule>
  </conditionalFormatting>
  <conditionalFormatting sqref="R84:R91">
    <cfRule type="cellIs" dxfId="14611" priority="553" operator="lessThan">
      <formula>0.8</formula>
    </cfRule>
    <cfRule type="cellIs" dxfId="14610" priority="554" operator="greaterThan">
      <formula>1</formula>
    </cfRule>
  </conditionalFormatting>
  <conditionalFormatting sqref="R84:R91">
    <cfRule type="cellIs" dxfId="14609" priority="551" operator="greaterThan">
      <formula>1</formula>
    </cfRule>
    <cfRule type="cellIs" dxfId="14608" priority="552" operator="lessThan">
      <formula>0.8</formula>
    </cfRule>
  </conditionalFormatting>
  <conditionalFormatting sqref="P84:P91">
    <cfRule type="cellIs" dxfId="14607" priority="550" operator="greaterThan">
      <formula>0</formula>
    </cfRule>
  </conditionalFormatting>
  <conditionalFormatting sqref="Q84:Q91">
    <cfRule type="cellIs" dxfId="14606" priority="549" operator="lessThan">
      <formula>0</formula>
    </cfRule>
  </conditionalFormatting>
  <conditionalFormatting sqref="R84:R91">
    <cfRule type="cellIs" dxfId="14605" priority="547" operator="lessThan">
      <formula>0.8</formula>
    </cfRule>
    <cfRule type="cellIs" dxfId="14604" priority="548" operator="greaterThan">
      <formula>1</formula>
    </cfRule>
  </conditionalFormatting>
  <conditionalFormatting sqref="R84:R91">
    <cfRule type="cellIs" dxfId="14603" priority="545" operator="greaterThan">
      <formula>1</formula>
    </cfRule>
    <cfRule type="cellIs" dxfId="14602" priority="546" operator="lessThan">
      <formula>0.8</formula>
    </cfRule>
  </conditionalFormatting>
  <conditionalFormatting sqref="P84:P91">
    <cfRule type="cellIs" dxfId="14601" priority="544" operator="greaterThan">
      <formula>0</formula>
    </cfRule>
  </conditionalFormatting>
  <conditionalFormatting sqref="P84:P91">
    <cfRule type="cellIs" dxfId="14600" priority="538" operator="greaterThan">
      <formula>0</formula>
    </cfRule>
  </conditionalFormatting>
  <conditionalFormatting sqref="Q84:Q91">
    <cfRule type="cellIs" dxfId="14599" priority="543" operator="lessThan">
      <formula>0</formula>
    </cfRule>
  </conditionalFormatting>
  <conditionalFormatting sqref="R84:R91">
    <cfRule type="cellIs" dxfId="14598" priority="541" operator="lessThan">
      <formula>0.8</formula>
    </cfRule>
    <cfRule type="cellIs" dxfId="14597" priority="542" operator="greaterThan">
      <formula>1</formula>
    </cfRule>
  </conditionalFormatting>
  <conditionalFormatting sqref="R84:R91">
    <cfRule type="cellIs" dxfId="14596" priority="539" operator="greaterThan">
      <formula>1</formula>
    </cfRule>
    <cfRule type="cellIs" dxfId="14595" priority="540" operator="lessThan">
      <formula>0.8</formula>
    </cfRule>
  </conditionalFormatting>
  <conditionalFormatting sqref="P84:P91">
    <cfRule type="cellIs" dxfId="14594" priority="532" operator="greaterThan">
      <formula>0</formula>
    </cfRule>
  </conditionalFormatting>
  <conditionalFormatting sqref="Q84:Q91">
    <cfRule type="cellIs" dxfId="14593" priority="537" operator="lessThan">
      <formula>0</formula>
    </cfRule>
  </conditionalFormatting>
  <conditionalFormatting sqref="R84:R91">
    <cfRule type="cellIs" dxfId="14592" priority="535" operator="lessThan">
      <formula>0.8</formula>
    </cfRule>
    <cfRule type="cellIs" dxfId="14591" priority="536" operator="greaterThan">
      <formula>1</formula>
    </cfRule>
  </conditionalFormatting>
  <conditionalFormatting sqref="R84:R91">
    <cfRule type="cellIs" dxfId="14590" priority="533" operator="greaterThan">
      <formula>1</formula>
    </cfRule>
    <cfRule type="cellIs" dxfId="14589" priority="534" operator="lessThan">
      <formula>0.8</formula>
    </cfRule>
  </conditionalFormatting>
  <conditionalFormatting sqref="R84:R91">
    <cfRule type="cellIs" dxfId="14588" priority="529" operator="lessThan">
      <formula>0.8</formula>
    </cfRule>
    <cfRule type="cellIs" dxfId="14587" priority="530" operator="greaterThan">
      <formula>1</formula>
    </cfRule>
  </conditionalFormatting>
  <conditionalFormatting sqref="R84:R91">
    <cfRule type="cellIs" dxfId="14586" priority="527" operator="greaterThan">
      <formula>1</formula>
    </cfRule>
    <cfRule type="cellIs" dxfId="14585" priority="528" operator="lessThan">
      <formula>0.8</formula>
    </cfRule>
  </conditionalFormatting>
  <conditionalFormatting sqref="P84:P91">
    <cfRule type="cellIs" dxfId="14584" priority="526" operator="greaterThan">
      <formula>0</formula>
    </cfRule>
  </conditionalFormatting>
  <conditionalFormatting sqref="Q84:Q91">
    <cfRule type="cellIs" dxfId="14583" priority="531" operator="lessThan">
      <formula>0</formula>
    </cfRule>
  </conditionalFormatting>
  <conditionalFormatting sqref="Q84:Q91">
    <cfRule type="cellIs" dxfId="14582" priority="525" operator="lessThan">
      <formula>0</formula>
    </cfRule>
  </conditionalFormatting>
  <conditionalFormatting sqref="R84:R91">
    <cfRule type="cellIs" dxfId="14581" priority="523" operator="lessThan">
      <formula>0.8</formula>
    </cfRule>
    <cfRule type="cellIs" dxfId="14580" priority="524" operator="greaterThan">
      <formula>1</formula>
    </cfRule>
  </conditionalFormatting>
  <conditionalFormatting sqref="R84:R91">
    <cfRule type="cellIs" dxfId="14579" priority="521" operator="greaterThan">
      <formula>1</formula>
    </cfRule>
    <cfRule type="cellIs" dxfId="14578" priority="522" operator="lessThan">
      <formula>0.8</formula>
    </cfRule>
  </conditionalFormatting>
  <conditionalFormatting sqref="P84:P91">
    <cfRule type="cellIs" dxfId="14577" priority="520" operator="greaterThan">
      <formula>0</formula>
    </cfRule>
  </conditionalFormatting>
  <conditionalFormatting sqref="P84:P91">
    <cfRule type="cellIs" dxfId="14576" priority="514" operator="greaterThan">
      <formula>0</formula>
    </cfRule>
  </conditionalFormatting>
  <conditionalFormatting sqref="Q84:Q91">
    <cfRule type="cellIs" dxfId="14575" priority="519" operator="lessThan">
      <formula>0</formula>
    </cfRule>
  </conditionalFormatting>
  <conditionalFormatting sqref="R84:R91">
    <cfRule type="cellIs" dxfId="14574" priority="517" operator="lessThan">
      <formula>0.8</formula>
    </cfRule>
    <cfRule type="cellIs" dxfId="14573" priority="518" operator="greaterThan">
      <formula>1</formula>
    </cfRule>
  </conditionalFormatting>
  <conditionalFormatting sqref="R84:R91">
    <cfRule type="cellIs" dxfId="14572" priority="515" operator="greaterThan">
      <formula>1</formula>
    </cfRule>
    <cfRule type="cellIs" dxfId="14571" priority="516" operator="lessThan">
      <formula>0.8</formula>
    </cfRule>
  </conditionalFormatting>
  <conditionalFormatting sqref="P84:P91">
    <cfRule type="cellIs" dxfId="14570" priority="508" operator="greaterThan">
      <formula>0</formula>
    </cfRule>
  </conditionalFormatting>
  <conditionalFormatting sqref="Q84:Q91">
    <cfRule type="cellIs" dxfId="14569" priority="513" operator="lessThan">
      <formula>0</formula>
    </cfRule>
  </conditionalFormatting>
  <conditionalFormatting sqref="R84:R91">
    <cfRule type="cellIs" dxfId="14568" priority="511" operator="lessThan">
      <formula>0.8</formula>
    </cfRule>
    <cfRule type="cellIs" dxfId="14567" priority="512" operator="greaterThan">
      <formula>1</formula>
    </cfRule>
  </conditionalFormatting>
  <conditionalFormatting sqref="R84:R91">
    <cfRule type="cellIs" dxfId="14566" priority="509" operator="greaterThan">
      <formula>1</formula>
    </cfRule>
    <cfRule type="cellIs" dxfId="14565" priority="510" operator="lessThan">
      <formula>0.8</formula>
    </cfRule>
  </conditionalFormatting>
  <conditionalFormatting sqref="R84:R91">
    <cfRule type="cellIs" dxfId="14564" priority="505" operator="lessThan">
      <formula>0.8</formula>
    </cfRule>
    <cfRule type="cellIs" dxfId="14563" priority="506" operator="greaterThan">
      <formula>1</formula>
    </cfRule>
  </conditionalFormatting>
  <conditionalFormatting sqref="R84:R91">
    <cfRule type="cellIs" dxfId="14562" priority="503" operator="greaterThan">
      <formula>1</formula>
    </cfRule>
    <cfRule type="cellIs" dxfId="14561" priority="504" operator="lessThan">
      <formula>0.8</formula>
    </cfRule>
  </conditionalFormatting>
  <conditionalFormatting sqref="P84:P91">
    <cfRule type="cellIs" dxfId="14560" priority="502" operator="greaterThan">
      <formula>0</formula>
    </cfRule>
  </conditionalFormatting>
  <conditionalFormatting sqref="Q84:Q91">
    <cfRule type="cellIs" dxfId="14559" priority="507" operator="lessThan">
      <formula>0</formula>
    </cfRule>
  </conditionalFormatting>
  <conditionalFormatting sqref="P84:P91">
    <cfRule type="cellIs" dxfId="14558" priority="496" operator="greaterThan">
      <formula>0</formula>
    </cfRule>
  </conditionalFormatting>
  <conditionalFormatting sqref="Q84:Q91">
    <cfRule type="cellIs" dxfId="14557" priority="501" operator="lessThan">
      <formula>0</formula>
    </cfRule>
  </conditionalFormatting>
  <conditionalFormatting sqref="R84:R91">
    <cfRule type="cellIs" dxfId="14556" priority="499" operator="lessThan">
      <formula>0.8</formula>
    </cfRule>
    <cfRule type="cellIs" dxfId="14555" priority="500" operator="greaterThan">
      <formula>1</formula>
    </cfRule>
  </conditionalFormatting>
  <conditionalFormatting sqref="R84:R91">
    <cfRule type="cellIs" dxfId="14554" priority="497" operator="greaterThan">
      <formula>1</formula>
    </cfRule>
    <cfRule type="cellIs" dxfId="14553" priority="498" operator="lessThan">
      <formula>0.8</formula>
    </cfRule>
  </conditionalFormatting>
  <conditionalFormatting sqref="R84:R91">
    <cfRule type="cellIs" dxfId="14552" priority="493" operator="lessThan">
      <formula>0.8</formula>
    </cfRule>
    <cfRule type="cellIs" dxfId="14551" priority="494" operator="greaterThan">
      <formula>1</formula>
    </cfRule>
  </conditionalFormatting>
  <conditionalFormatting sqref="R84:R91">
    <cfRule type="cellIs" dxfId="14550" priority="491" operator="greaterThan">
      <formula>1</formula>
    </cfRule>
    <cfRule type="cellIs" dxfId="14549" priority="492" operator="lessThan">
      <formula>0.8</formula>
    </cfRule>
  </conditionalFormatting>
  <conditionalFormatting sqref="P84:P91">
    <cfRule type="cellIs" dxfId="14548" priority="490" operator="greaterThan">
      <formula>0</formula>
    </cfRule>
  </conditionalFormatting>
  <conditionalFormatting sqref="Q84:Q91">
    <cfRule type="cellIs" dxfId="14547" priority="495" operator="lessThan">
      <formula>0</formula>
    </cfRule>
  </conditionalFormatting>
  <conditionalFormatting sqref="R84:R91">
    <cfRule type="cellIs" dxfId="14546" priority="487" operator="lessThan">
      <formula>0.8</formula>
    </cfRule>
    <cfRule type="cellIs" dxfId="14545" priority="488" operator="greaterThan">
      <formula>1</formula>
    </cfRule>
  </conditionalFormatting>
  <conditionalFormatting sqref="R84:R91">
    <cfRule type="cellIs" dxfId="14544" priority="485" operator="greaterThan">
      <formula>1</formula>
    </cfRule>
    <cfRule type="cellIs" dxfId="14543" priority="486" operator="lessThan">
      <formula>0.8</formula>
    </cfRule>
  </conditionalFormatting>
  <conditionalFormatting sqref="P84:P91">
    <cfRule type="cellIs" dxfId="14542" priority="484" operator="greaterThan">
      <formula>0</formula>
    </cfRule>
  </conditionalFormatting>
  <conditionalFormatting sqref="Q84:Q91">
    <cfRule type="cellIs" dxfId="14541" priority="489" operator="lessThan">
      <formula>0</formula>
    </cfRule>
  </conditionalFormatting>
  <conditionalFormatting sqref="Q84:Q91">
    <cfRule type="cellIs" dxfId="14540" priority="483" operator="lessThan">
      <formula>0</formula>
    </cfRule>
  </conditionalFormatting>
  <conditionalFormatting sqref="R84:R91">
    <cfRule type="cellIs" dxfId="14539" priority="481" operator="lessThan">
      <formula>0.8</formula>
    </cfRule>
    <cfRule type="cellIs" dxfId="14538" priority="482" operator="greaterThan">
      <formula>1</formula>
    </cfRule>
  </conditionalFormatting>
  <conditionalFormatting sqref="R84:R91">
    <cfRule type="cellIs" dxfId="14537" priority="479" operator="greaterThan">
      <formula>1</formula>
    </cfRule>
    <cfRule type="cellIs" dxfId="14536" priority="480" operator="lessThan">
      <formula>0.8</formula>
    </cfRule>
  </conditionalFormatting>
  <conditionalFormatting sqref="P84:P91">
    <cfRule type="cellIs" dxfId="14535" priority="478" operator="greaterThan">
      <formula>0</formula>
    </cfRule>
  </conditionalFormatting>
  <conditionalFormatting sqref="Q84:Q91">
    <cfRule type="cellIs" dxfId="14534" priority="472" operator="lessThan">
      <formula>0</formula>
    </cfRule>
  </conditionalFormatting>
  <conditionalFormatting sqref="R84:R91">
    <cfRule type="cellIs" dxfId="14533" priority="476" operator="lessThan">
      <formula>0.8</formula>
    </cfRule>
    <cfRule type="cellIs" dxfId="14532" priority="477" operator="greaterThan">
      <formula>1</formula>
    </cfRule>
  </conditionalFormatting>
  <conditionalFormatting sqref="R84:R91">
    <cfRule type="cellIs" dxfId="14531" priority="474" operator="greaterThan">
      <formula>1</formula>
    </cfRule>
    <cfRule type="cellIs" dxfId="14530" priority="475" operator="lessThan">
      <formula>0.8</formula>
    </cfRule>
  </conditionalFormatting>
  <conditionalFormatting sqref="P84:P91">
    <cfRule type="cellIs" dxfId="14529" priority="473" operator="greaterThan">
      <formula>0</formula>
    </cfRule>
  </conditionalFormatting>
  <conditionalFormatting sqref="Q84:Q91">
    <cfRule type="cellIs" dxfId="14528" priority="471" operator="lessThan">
      <formula>0</formula>
    </cfRule>
  </conditionalFormatting>
  <conditionalFormatting sqref="R84:R91">
    <cfRule type="cellIs" dxfId="14527" priority="469" operator="lessThan">
      <formula>0.8</formula>
    </cfRule>
    <cfRule type="cellIs" dxfId="14526" priority="470" operator="greaterThan">
      <formula>1</formula>
    </cfRule>
  </conditionalFormatting>
  <conditionalFormatting sqref="R84:R91">
    <cfRule type="cellIs" dxfId="14525" priority="467" operator="greaterThan">
      <formula>1</formula>
    </cfRule>
    <cfRule type="cellIs" dxfId="14524" priority="468" operator="lessThan">
      <formula>0.8</formula>
    </cfRule>
  </conditionalFormatting>
  <conditionalFormatting sqref="P84:P91">
    <cfRule type="cellIs" dxfId="14523" priority="466" operator="greaterThan">
      <formula>0</formula>
    </cfRule>
  </conditionalFormatting>
  <conditionalFormatting sqref="Q84:Q91">
    <cfRule type="cellIs" dxfId="14522" priority="465" operator="lessThan">
      <formula>0</formula>
    </cfRule>
  </conditionalFormatting>
  <conditionalFormatting sqref="R84:R91">
    <cfRule type="cellIs" dxfId="14521" priority="463" operator="lessThan">
      <formula>0.8</formula>
    </cfRule>
    <cfRule type="cellIs" dxfId="14520" priority="464" operator="greaterThan">
      <formula>1</formula>
    </cfRule>
  </conditionalFormatting>
  <conditionalFormatting sqref="R84:R91">
    <cfRule type="cellIs" dxfId="14519" priority="461" operator="greaterThan">
      <formula>1</formula>
    </cfRule>
    <cfRule type="cellIs" dxfId="14518" priority="462" operator="lessThan">
      <formula>0.8</formula>
    </cfRule>
  </conditionalFormatting>
  <conditionalFormatting sqref="P84:P91">
    <cfRule type="cellIs" dxfId="14517" priority="460" operator="greaterThan">
      <formula>0</formula>
    </cfRule>
  </conditionalFormatting>
  <conditionalFormatting sqref="Q84:Q91">
    <cfRule type="cellIs" dxfId="14516" priority="459" operator="lessThan">
      <formula>0</formula>
    </cfRule>
  </conditionalFormatting>
  <conditionalFormatting sqref="R84:R91">
    <cfRule type="cellIs" dxfId="14515" priority="457" operator="lessThan">
      <formula>0.8</formula>
    </cfRule>
    <cfRule type="cellIs" dxfId="14514" priority="458" operator="greaterThan">
      <formula>1</formula>
    </cfRule>
  </conditionalFormatting>
  <conditionalFormatting sqref="R84:R91">
    <cfRule type="cellIs" dxfId="14513" priority="455" operator="greaterThan">
      <formula>1</formula>
    </cfRule>
    <cfRule type="cellIs" dxfId="14512" priority="456" operator="lessThan">
      <formula>0.8</formula>
    </cfRule>
  </conditionalFormatting>
  <conditionalFormatting sqref="P84:P91">
    <cfRule type="cellIs" dxfId="14511" priority="454" operator="greaterThan">
      <formula>0</formula>
    </cfRule>
  </conditionalFormatting>
  <conditionalFormatting sqref="Q84:Q91">
    <cfRule type="cellIs" dxfId="14510" priority="453" operator="lessThan">
      <formula>0</formula>
    </cfRule>
  </conditionalFormatting>
  <conditionalFormatting sqref="R84:R91">
    <cfRule type="cellIs" dxfId="14509" priority="451" operator="lessThan">
      <formula>0.8</formula>
    </cfRule>
    <cfRule type="cellIs" dxfId="14508" priority="452" operator="greaterThan">
      <formula>1</formula>
    </cfRule>
  </conditionalFormatting>
  <conditionalFormatting sqref="R84:R91">
    <cfRule type="cellIs" dxfId="14507" priority="449" operator="greaterThan">
      <formula>1</formula>
    </cfRule>
    <cfRule type="cellIs" dxfId="14506" priority="450" operator="lessThan">
      <formula>0.8</formula>
    </cfRule>
  </conditionalFormatting>
  <conditionalFormatting sqref="P84:P91">
    <cfRule type="cellIs" dxfId="14505" priority="448" operator="greaterThan">
      <formula>0</formula>
    </cfRule>
  </conditionalFormatting>
  <conditionalFormatting sqref="Q84:Q91">
    <cfRule type="cellIs" dxfId="14504" priority="447" operator="lessThan">
      <formula>0</formula>
    </cfRule>
  </conditionalFormatting>
  <conditionalFormatting sqref="R84:R91">
    <cfRule type="cellIs" dxfId="14503" priority="445" operator="lessThan">
      <formula>0.8</formula>
    </cfRule>
    <cfRule type="cellIs" dxfId="14502" priority="446" operator="greaterThan">
      <formula>1</formula>
    </cfRule>
  </conditionalFormatting>
  <conditionalFormatting sqref="R84:R91">
    <cfRule type="cellIs" dxfId="14501" priority="443" operator="greaterThan">
      <formula>1</formula>
    </cfRule>
    <cfRule type="cellIs" dxfId="14500" priority="444" operator="lessThan">
      <formula>0.8</formula>
    </cfRule>
  </conditionalFormatting>
  <conditionalFormatting sqref="P84:P91">
    <cfRule type="cellIs" dxfId="14499" priority="442" operator="greaterThan">
      <formula>0</formula>
    </cfRule>
  </conditionalFormatting>
  <conditionalFormatting sqref="P84:P91">
    <cfRule type="cellIs" dxfId="14498" priority="436" operator="greaterThan">
      <formula>0</formula>
    </cfRule>
  </conditionalFormatting>
  <conditionalFormatting sqref="Q84:Q91">
    <cfRule type="cellIs" dxfId="14497" priority="441" operator="lessThan">
      <formula>0</formula>
    </cfRule>
  </conditionalFormatting>
  <conditionalFormatting sqref="R84:R91">
    <cfRule type="cellIs" dxfId="14496" priority="439" operator="lessThan">
      <formula>0.8</formula>
    </cfRule>
    <cfRule type="cellIs" dxfId="14495" priority="440" operator="greaterThan">
      <formula>1</formula>
    </cfRule>
  </conditionalFormatting>
  <conditionalFormatting sqref="R84:R91">
    <cfRule type="cellIs" dxfId="14494" priority="437" operator="greaterThan">
      <formula>1</formula>
    </cfRule>
    <cfRule type="cellIs" dxfId="14493" priority="438" operator="lessThan">
      <formula>0.8</formula>
    </cfRule>
  </conditionalFormatting>
  <conditionalFormatting sqref="P84:P91">
    <cfRule type="cellIs" dxfId="14492" priority="430" operator="greaterThan">
      <formula>0</formula>
    </cfRule>
  </conditionalFormatting>
  <conditionalFormatting sqref="Q84:Q91">
    <cfRule type="cellIs" dxfId="14491" priority="435" operator="lessThan">
      <formula>0</formula>
    </cfRule>
  </conditionalFormatting>
  <conditionalFormatting sqref="R84:R91">
    <cfRule type="cellIs" dxfId="14490" priority="433" operator="lessThan">
      <formula>0.8</formula>
    </cfRule>
    <cfRule type="cellIs" dxfId="14489" priority="434" operator="greaterThan">
      <formula>1</formula>
    </cfRule>
  </conditionalFormatting>
  <conditionalFormatting sqref="R84:R91">
    <cfRule type="cellIs" dxfId="14488" priority="431" operator="greaterThan">
      <formula>1</formula>
    </cfRule>
    <cfRule type="cellIs" dxfId="14487" priority="432" operator="lessThan">
      <formula>0.8</formula>
    </cfRule>
  </conditionalFormatting>
  <conditionalFormatting sqref="R84:R91">
    <cfRule type="cellIs" dxfId="14486" priority="427" operator="lessThan">
      <formula>0.8</formula>
    </cfRule>
    <cfRule type="cellIs" dxfId="14485" priority="428" operator="greaterThan">
      <formula>1</formula>
    </cfRule>
  </conditionalFormatting>
  <conditionalFormatting sqref="R84:R91">
    <cfRule type="cellIs" dxfId="14484" priority="425" operator="greaterThan">
      <formula>1</formula>
    </cfRule>
    <cfRule type="cellIs" dxfId="14483" priority="426" operator="lessThan">
      <formula>0.8</formula>
    </cfRule>
  </conditionalFormatting>
  <conditionalFormatting sqref="P84:P91">
    <cfRule type="cellIs" dxfId="14482" priority="424" operator="greaterThan">
      <formula>0</formula>
    </cfRule>
  </conditionalFormatting>
  <conditionalFormatting sqref="Q84:Q91">
    <cfRule type="cellIs" dxfId="14481" priority="429" operator="lessThan">
      <formula>0</formula>
    </cfRule>
  </conditionalFormatting>
  <conditionalFormatting sqref="Q84:Q91">
    <cfRule type="cellIs" dxfId="14480" priority="418" operator="lessThan">
      <formula>0</formula>
    </cfRule>
  </conditionalFormatting>
  <conditionalFormatting sqref="P84:P91">
    <cfRule type="cellIs" dxfId="14479" priority="419" operator="greaterThan">
      <formula>0</formula>
    </cfRule>
  </conditionalFormatting>
  <conditionalFormatting sqref="R84:R91">
    <cfRule type="cellIs" dxfId="14478" priority="422" operator="lessThan">
      <formula>0.8</formula>
    </cfRule>
    <cfRule type="cellIs" dxfId="14477" priority="423" operator="greaterThan">
      <formula>1</formula>
    </cfRule>
  </conditionalFormatting>
  <conditionalFormatting sqref="R84:R91">
    <cfRule type="cellIs" dxfId="14476" priority="420" operator="greaterThan">
      <formula>1</formula>
    </cfRule>
    <cfRule type="cellIs" dxfId="14475" priority="421" operator="lessThan">
      <formula>0.8</formula>
    </cfRule>
  </conditionalFormatting>
  <conditionalFormatting sqref="Q84:Q91">
    <cfRule type="cellIs" dxfId="14474" priority="412" operator="lessThan">
      <formula>0</formula>
    </cfRule>
  </conditionalFormatting>
  <conditionalFormatting sqref="R84:R91">
    <cfRule type="cellIs" dxfId="14473" priority="416" operator="lessThan">
      <formula>0.8</formula>
    </cfRule>
    <cfRule type="cellIs" dxfId="14472" priority="417" operator="greaterThan">
      <formula>1</formula>
    </cfRule>
  </conditionalFormatting>
  <conditionalFormatting sqref="R84:R91">
    <cfRule type="cellIs" dxfId="14471" priority="414" operator="greaterThan">
      <formula>1</formula>
    </cfRule>
    <cfRule type="cellIs" dxfId="14470" priority="415" operator="lessThan">
      <formula>0.8</formula>
    </cfRule>
  </conditionalFormatting>
  <conditionalFormatting sqref="P84:P91">
    <cfRule type="cellIs" dxfId="14469" priority="413" operator="greaterThan">
      <formula>0</formula>
    </cfRule>
  </conditionalFormatting>
  <conditionalFormatting sqref="Q84:Q91">
    <cfRule type="cellIs" dxfId="14468" priority="411" operator="lessThan">
      <formula>0</formula>
    </cfRule>
  </conditionalFormatting>
  <conditionalFormatting sqref="R84:R91">
    <cfRule type="cellIs" dxfId="14467" priority="409" operator="lessThan">
      <formula>0.8</formula>
    </cfRule>
    <cfRule type="cellIs" dxfId="14466" priority="410" operator="greaterThan">
      <formula>1</formula>
    </cfRule>
  </conditionalFormatting>
  <conditionalFormatting sqref="R84:R91">
    <cfRule type="cellIs" dxfId="14465" priority="407" operator="greaterThan">
      <formula>1</formula>
    </cfRule>
    <cfRule type="cellIs" dxfId="14464" priority="408" operator="lessThan">
      <formula>0.8</formula>
    </cfRule>
  </conditionalFormatting>
  <conditionalFormatting sqref="P84:P91">
    <cfRule type="cellIs" dxfId="14463" priority="406" operator="greaterThan">
      <formula>0</formula>
    </cfRule>
  </conditionalFormatting>
  <conditionalFormatting sqref="Q84:Q91">
    <cfRule type="cellIs" dxfId="14462" priority="405" operator="lessThan">
      <formula>0</formula>
    </cfRule>
  </conditionalFormatting>
  <conditionalFormatting sqref="R84:R91">
    <cfRule type="cellIs" dxfId="14461" priority="403" operator="lessThan">
      <formula>0.8</formula>
    </cfRule>
    <cfRule type="cellIs" dxfId="14460" priority="404" operator="greaterThan">
      <formula>1</formula>
    </cfRule>
  </conditionalFormatting>
  <conditionalFormatting sqref="R84:R91">
    <cfRule type="cellIs" dxfId="14459" priority="401" operator="greaterThan">
      <formula>1</formula>
    </cfRule>
    <cfRule type="cellIs" dxfId="14458" priority="402" operator="lessThan">
      <formula>0.8</formula>
    </cfRule>
  </conditionalFormatting>
  <conditionalFormatting sqref="P84:P91">
    <cfRule type="cellIs" dxfId="14457" priority="400" operator="greaterThan">
      <formula>0</formula>
    </cfRule>
  </conditionalFormatting>
  <conditionalFormatting sqref="Q84:Q91">
    <cfRule type="cellIs" dxfId="14456" priority="399" operator="lessThan">
      <formula>0</formula>
    </cfRule>
  </conditionalFormatting>
  <conditionalFormatting sqref="R84:R91">
    <cfRule type="cellIs" dxfId="14455" priority="397" operator="lessThan">
      <formula>0.8</formula>
    </cfRule>
    <cfRule type="cellIs" dxfId="14454" priority="398" operator="greaterThan">
      <formula>1</formula>
    </cfRule>
  </conditionalFormatting>
  <conditionalFormatting sqref="R84:R91">
    <cfRule type="cellIs" dxfId="14453" priority="395" operator="greaterThan">
      <formula>1</formula>
    </cfRule>
    <cfRule type="cellIs" dxfId="14452" priority="396" operator="lessThan">
      <formula>0.8</formula>
    </cfRule>
  </conditionalFormatting>
  <conditionalFormatting sqref="P84:P91">
    <cfRule type="cellIs" dxfId="14451" priority="394" operator="greaterThan">
      <formula>0</formula>
    </cfRule>
  </conditionalFormatting>
  <conditionalFormatting sqref="Q84:Q91">
    <cfRule type="cellIs" dxfId="14450" priority="393" operator="lessThan">
      <formula>0</formula>
    </cfRule>
  </conditionalFormatting>
  <conditionalFormatting sqref="R84:R91">
    <cfRule type="cellIs" dxfId="14449" priority="391" operator="lessThan">
      <formula>0.8</formula>
    </cfRule>
    <cfRule type="cellIs" dxfId="14448" priority="392" operator="greaterThan">
      <formula>1</formula>
    </cfRule>
  </conditionalFormatting>
  <conditionalFormatting sqref="R84:R91">
    <cfRule type="cellIs" dxfId="14447" priority="389" operator="greaterThan">
      <formula>1</formula>
    </cfRule>
    <cfRule type="cellIs" dxfId="14446" priority="390" operator="lessThan">
      <formula>0.8</formula>
    </cfRule>
  </conditionalFormatting>
  <conditionalFormatting sqref="P84:P91">
    <cfRule type="cellIs" dxfId="14445" priority="388" operator="greaterThan">
      <formula>0</formula>
    </cfRule>
  </conditionalFormatting>
  <conditionalFormatting sqref="Q84:Q91">
    <cfRule type="cellIs" dxfId="14444" priority="387" operator="lessThan">
      <formula>0</formula>
    </cfRule>
  </conditionalFormatting>
  <conditionalFormatting sqref="R84:R91">
    <cfRule type="cellIs" dxfId="14443" priority="385" operator="lessThan">
      <formula>0.8</formula>
    </cfRule>
    <cfRule type="cellIs" dxfId="14442" priority="386" operator="greaterThan">
      <formula>1</formula>
    </cfRule>
  </conditionalFormatting>
  <conditionalFormatting sqref="R84:R91">
    <cfRule type="cellIs" dxfId="14441" priority="383" operator="greaterThan">
      <formula>1</formula>
    </cfRule>
    <cfRule type="cellIs" dxfId="14440" priority="384" operator="lessThan">
      <formula>0.8</formula>
    </cfRule>
  </conditionalFormatting>
  <conditionalFormatting sqref="P84:P91">
    <cfRule type="cellIs" dxfId="14439" priority="382" operator="greaterThan">
      <formula>0</formula>
    </cfRule>
  </conditionalFormatting>
  <conditionalFormatting sqref="Q84:Q91">
    <cfRule type="cellIs" dxfId="14438" priority="381" operator="lessThan">
      <formula>0</formula>
    </cfRule>
  </conditionalFormatting>
  <conditionalFormatting sqref="R84:R91">
    <cfRule type="cellIs" dxfId="14437" priority="379" operator="lessThan">
      <formula>0.8</formula>
    </cfRule>
    <cfRule type="cellIs" dxfId="14436" priority="380" operator="greaterThan">
      <formula>1</formula>
    </cfRule>
  </conditionalFormatting>
  <conditionalFormatting sqref="R84:R91">
    <cfRule type="cellIs" dxfId="14435" priority="377" operator="greaterThan">
      <formula>1</formula>
    </cfRule>
    <cfRule type="cellIs" dxfId="14434" priority="378" operator="lessThan">
      <formula>0.8</formula>
    </cfRule>
  </conditionalFormatting>
  <conditionalFormatting sqref="P84:P91">
    <cfRule type="cellIs" dxfId="14433" priority="376" operator="greaterThan">
      <formula>0</formula>
    </cfRule>
  </conditionalFormatting>
  <conditionalFormatting sqref="Q84:Q91">
    <cfRule type="cellIs" dxfId="14432" priority="375" operator="lessThan">
      <formula>0</formula>
    </cfRule>
  </conditionalFormatting>
  <conditionalFormatting sqref="R84:R91">
    <cfRule type="cellIs" dxfId="14431" priority="373" operator="lessThan">
      <formula>0.8</formula>
    </cfRule>
    <cfRule type="cellIs" dxfId="14430" priority="374" operator="greaterThan">
      <formula>1</formula>
    </cfRule>
  </conditionalFormatting>
  <conditionalFormatting sqref="R84:R91">
    <cfRule type="cellIs" dxfId="14429" priority="371" operator="greaterThan">
      <formula>1</formula>
    </cfRule>
    <cfRule type="cellIs" dxfId="14428" priority="372" operator="lessThan">
      <formula>0.8</formula>
    </cfRule>
  </conditionalFormatting>
  <conditionalFormatting sqref="P84:P91">
    <cfRule type="cellIs" dxfId="14427" priority="370" operator="greaterThan">
      <formula>0</formula>
    </cfRule>
  </conditionalFormatting>
  <conditionalFormatting sqref="P84:P91">
    <cfRule type="cellIs" dxfId="14426" priority="364" operator="greaterThan">
      <formula>0</formula>
    </cfRule>
  </conditionalFormatting>
  <conditionalFormatting sqref="Q84:Q91">
    <cfRule type="cellIs" dxfId="14425" priority="369" operator="lessThan">
      <formula>0</formula>
    </cfRule>
  </conditionalFormatting>
  <conditionalFormatting sqref="R84:R91">
    <cfRule type="cellIs" dxfId="14424" priority="367" operator="lessThan">
      <formula>0.8</formula>
    </cfRule>
    <cfRule type="cellIs" dxfId="14423" priority="368" operator="greaterThan">
      <formula>1</formula>
    </cfRule>
  </conditionalFormatting>
  <conditionalFormatting sqref="R84:R91">
    <cfRule type="cellIs" dxfId="14422" priority="365" operator="greaterThan">
      <formula>1</formula>
    </cfRule>
    <cfRule type="cellIs" dxfId="14421" priority="366" operator="lessThan">
      <formula>0.8</formula>
    </cfRule>
  </conditionalFormatting>
  <conditionalFormatting sqref="P84:P91">
    <cfRule type="cellIs" dxfId="14420" priority="358" operator="greaterThan">
      <formula>0</formula>
    </cfRule>
  </conditionalFormatting>
  <conditionalFormatting sqref="Q84:Q91">
    <cfRule type="cellIs" dxfId="14419" priority="363" operator="lessThan">
      <formula>0</formula>
    </cfRule>
  </conditionalFormatting>
  <conditionalFormatting sqref="R84:R91">
    <cfRule type="cellIs" dxfId="14418" priority="361" operator="lessThan">
      <formula>0.8</formula>
    </cfRule>
    <cfRule type="cellIs" dxfId="14417" priority="362" operator="greaterThan">
      <formula>1</formula>
    </cfRule>
  </conditionalFormatting>
  <conditionalFormatting sqref="R84:R91">
    <cfRule type="cellIs" dxfId="14416" priority="359" operator="greaterThan">
      <formula>1</formula>
    </cfRule>
    <cfRule type="cellIs" dxfId="14415" priority="360" operator="lessThan">
      <formula>0.8</formula>
    </cfRule>
  </conditionalFormatting>
  <conditionalFormatting sqref="R84:R91">
    <cfRule type="cellIs" dxfId="14414" priority="355" operator="lessThan">
      <formula>0.8</formula>
    </cfRule>
    <cfRule type="cellIs" dxfId="14413" priority="356" operator="greaterThan">
      <formula>1</formula>
    </cfRule>
  </conditionalFormatting>
  <conditionalFormatting sqref="R84:R91">
    <cfRule type="cellIs" dxfId="14412" priority="353" operator="greaterThan">
      <formula>1</formula>
    </cfRule>
    <cfRule type="cellIs" dxfId="14411" priority="354" operator="lessThan">
      <formula>0.8</formula>
    </cfRule>
  </conditionalFormatting>
  <conditionalFormatting sqref="P84:P91">
    <cfRule type="cellIs" dxfId="14410" priority="352" operator="greaterThan">
      <formula>0</formula>
    </cfRule>
  </conditionalFormatting>
  <conditionalFormatting sqref="Q84:Q91">
    <cfRule type="cellIs" dxfId="14409" priority="357" operator="lessThan">
      <formula>0</formula>
    </cfRule>
  </conditionalFormatting>
  <conditionalFormatting sqref="Q84:Q91">
    <cfRule type="cellIs" dxfId="14408" priority="351" operator="lessThan">
      <formula>0</formula>
    </cfRule>
  </conditionalFormatting>
  <conditionalFormatting sqref="R84:R91">
    <cfRule type="cellIs" dxfId="14407" priority="349" operator="lessThan">
      <formula>0.8</formula>
    </cfRule>
    <cfRule type="cellIs" dxfId="14406" priority="350" operator="greaterThan">
      <formula>1</formula>
    </cfRule>
  </conditionalFormatting>
  <conditionalFormatting sqref="R84:R91">
    <cfRule type="cellIs" dxfId="14405" priority="347" operator="greaterThan">
      <formula>1</formula>
    </cfRule>
    <cfRule type="cellIs" dxfId="14404" priority="348" operator="lessThan">
      <formula>0.8</formula>
    </cfRule>
  </conditionalFormatting>
  <conditionalFormatting sqref="P84:P91">
    <cfRule type="cellIs" dxfId="14403" priority="346" operator="greaterThan">
      <formula>0</formula>
    </cfRule>
  </conditionalFormatting>
  <conditionalFormatting sqref="P84:P91">
    <cfRule type="cellIs" dxfId="14402" priority="340" operator="greaterThan">
      <formula>0</formula>
    </cfRule>
  </conditionalFormatting>
  <conditionalFormatting sqref="Q84:Q91">
    <cfRule type="cellIs" dxfId="14401" priority="345" operator="lessThan">
      <formula>0</formula>
    </cfRule>
  </conditionalFormatting>
  <conditionalFormatting sqref="R84:R91">
    <cfRule type="cellIs" dxfId="14400" priority="343" operator="lessThan">
      <formula>0.8</formula>
    </cfRule>
    <cfRule type="cellIs" dxfId="14399" priority="344" operator="greaterThan">
      <formula>1</formula>
    </cfRule>
  </conditionalFormatting>
  <conditionalFormatting sqref="R84:R91">
    <cfRule type="cellIs" dxfId="14398" priority="341" operator="greaterThan">
      <formula>1</formula>
    </cfRule>
    <cfRule type="cellIs" dxfId="14397" priority="342" operator="lessThan">
      <formula>0.8</formula>
    </cfRule>
  </conditionalFormatting>
  <conditionalFormatting sqref="P84:P91">
    <cfRule type="cellIs" dxfId="14396" priority="334" operator="greaterThan">
      <formula>0</formula>
    </cfRule>
  </conditionalFormatting>
  <conditionalFormatting sqref="Q84:Q91">
    <cfRule type="cellIs" dxfId="14395" priority="339" operator="lessThan">
      <formula>0</formula>
    </cfRule>
  </conditionalFormatting>
  <conditionalFormatting sqref="R84:R91">
    <cfRule type="cellIs" dxfId="14394" priority="337" operator="lessThan">
      <formula>0.8</formula>
    </cfRule>
    <cfRule type="cellIs" dxfId="14393" priority="338" operator="greaterThan">
      <formula>1</formula>
    </cfRule>
  </conditionalFormatting>
  <conditionalFormatting sqref="R84:R91">
    <cfRule type="cellIs" dxfId="14392" priority="335" operator="greaterThan">
      <formula>1</formula>
    </cfRule>
    <cfRule type="cellIs" dxfId="14391" priority="336" operator="lessThan">
      <formula>0.8</formula>
    </cfRule>
  </conditionalFormatting>
  <conditionalFormatting sqref="R84:R91">
    <cfRule type="cellIs" dxfId="14390" priority="331" operator="lessThan">
      <formula>0.8</formula>
    </cfRule>
    <cfRule type="cellIs" dxfId="14389" priority="332" operator="greaterThan">
      <formula>1</formula>
    </cfRule>
  </conditionalFormatting>
  <conditionalFormatting sqref="R84:R91">
    <cfRule type="cellIs" dxfId="14388" priority="329" operator="greaterThan">
      <formula>1</formula>
    </cfRule>
    <cfRule type="cellIs" dxfId="14387" priority="330" operator="lessThan">
      <formula>0.8</formula>
    </cfRule>
  </conditionalFormatting>
  <conditionalFormatting sqref="P84:P91">
    <cfRule type="cellIs" dxfId="14386" priority="328" operator="greaterThan">
      <formula>0</formula>
    </cfRule>
  </conditionalFormatting>
  <conditionalFormatting sqref="Q84:Q91">
    <cfRule type="cellIs" dxfId="14385" priority="333" operator="lessThan">
      <formula>0</formula>
    </cfRule>
  </conditionalFormatting>
  <conditionalFormatting sqref="P84:P91">
    <cfRule type="cellIs" dxfId="14384" priority="322" operator="greaterThan">
      <formula>0</formula>
    </cfRule>
  </conditionalFormatting>
  <conditionalFormatting sqref="Q84:Q91">
    <cfRule type="cellIs" dxfId="14383" priority="327" operator="lessThan">
      <formula>0</formula>
    </cfRule>
  </conditionalFormatting>
  <conditionalFormatting sqref="R84:R91">
    <cfRule type="cellIs" dxfId="14382" priority="325" operator="lessThan">
      <formula>0.8</formula>
    </cfRule>
    <cfRule type="cellIs" dxfId="14381" priority="326" operator="greaterThan">
      <formula>1</formula>
    </cfRule>
  </conditionalFormatting>
  <conditionalFormatting sqref="R84:R91">
    <cfRule type="cellIs" dxfId="14380" priority="323" operator="greaterThan">
      <formula>1</formula>
    </cfRule>
    <cfRule type="cellIs" dxfId="14379" priority="324" operator="lessThan">
      <formula>0.8</formula>
    </cfRule>
  </conditionalFormatting>
  <conditionalFormatting sqref="R84:R91">
    <cfRule type="cellIs" dxfId="14378" priority="319" operator="lessThan">
      <formula>0.8</formula>
    </cfRule>
    <cfRule type="cellIs" dxfId="14377" priority="320" operator="greaterThan">
      <formula>1</formula>
    </cfRule>
  </conditionalFormatting>
  <conditionalFormatting sqref="R84:R91">
    <cfRule type="cellIs" dxfId="14376" priority="317" operator="greaterThan">
      <formula>1</formula>
    </cfRule>
    <cfRule type="cellIs" dxfId="14375" priority="318" operator="lessThan">
      <formula>0.8</formula>
    </cfRule>
  </conditionalFormatting>
  <conditionalFormatting sqref="P84:P91">
    <cfRule type="cellIs" dxfId="14374" priority="316" operator="greaterThan">
      <formula>0</formula>
    </cfRule>
  </conditionalFormatting>
  <conditionalFormatting sqref="Q84:Q91">
    <cfRule type="cellIs" dxfId="14373" priority="321" operator="lessThan">
      <formula>0</formula>
    </cfRule>
  </conditionalFormatting>
  <conditionalFormatting sqref="R84:R91">
    <cfRule type="cellIs" dxfId="14372" priority="313" operator="lessThan">
      <formula>0.8</formula>
    </cfRule>
    <cfRule type="cellIs" dxfId="14371" priority="314" operator="greaterThan">
      <formula>1</formula>
    </cfRule>
  </conditionalFormatting>
  <conditionalFormatting sqref="R84:R91">
    <cfRule type="cellIs" dxfId="14370" priority="311" operator="greaterThan">
      <formula>1</formula>
    </cfRule>
    <cfRule type="cellIs" dxfId="14369" priority="312" operator="lessThan">
      <formula>0.8</formula>
    </cfRule>
  </conditionalFormatting>
  <conditionalFormatting sqref="P84:P91">
    <cfRule type="cellIs" dxfId="14368" priority="310" operator="greaterThan">
      <formula>0</formula>
    </cfRule>
  </conditionalFormatting>
  <conditionalFormatting sqref="Q84:Q91">
    <cfRule type="cellIs" dxfId="14367" priority="315" operator="lessThan">
      <formula>0</formula>
    </cfRule>
  </conditionalFormatting>
  <conditionalFormatting sqref="Q84:Q91">
    <cfRule type="cellIs" dxfId="14366" priority="309" operator="lessThan">
      <formula>0</formula>
    </cfRule>
  </conditionalFormatting>
  <conditionalFormatting sqref="R84:R91">
    <cfRule type="cellIs" dxfId="14365" priority="307" operator="lessThan">
      <formula>0.8</formula>
    </cfRule>
    <cfRule type="cellIs" dxfId="14364" priority="308" operator="greaterThan">
      <formula>1</formula>
    </cfRule>
  </conditionalFormatting>
  <conditionalFormatting sqref="R84:R91">
    <cfRule type="cellIs" dxfId="14363" priority="305" operator="greaterThan">
      <formula>1</formula>
    </cfRule>
    <cfRule type="cellIs" dxfId="14362" priority="306" operator="lessThan">
      <formula>0.8</formula>
    </cfRule>
  </conditionalFormatting>
  <conditionalFormatting sqref="P84:P91">
    <cfRule type="cellIs" dxfId="14361" priority="304" operator="greaterThan">
      <formula>0</formula>
    </cfRule>
  </conditionalFormatting>
  <conditionalFormatting sqref="Q84:Q91">
    <cfRule type="cellIs" dxfId="14360" priority="298" operator="lessThan">
      <formula>0</formula>
    </cfRule>
  </conditionalFormatting>
  <conditionalFormatting sqref="R84:R91">
    <cfRule type="cellIs" dxfId="14359" priority="302" operator="lessThan">
      <formula>0.8</formula>
    </cfRule>
    <cfRule type="cellIs" dxfId="14358" priority="303" operator="greaterThan">
      <formula>1</formula>
    </cfRule>
  </conditionalFormatting>
  <conditionalFormatting sqref="R84:R91">
    <cfRule type="cellIs" dxfId="14357" priority="300" operator="greaterThan">
      <formula>1</formula>
    </cfRule>
    <cfRule type="cellIs" dxfId="14356" priority="301" operator="lessThan">
      <formula>0.8</formula>
    </cfRule>
  </conditionalFormatting>
  <conditionalFormatting sqref="P84:P91">
    <cfRule type="cellIs" dxfId="14355" priority="299" operator="greaterThan">
      <formula>0</formula>
    </cfRule>
  </conditionalFormatting>
  <conditionalFormatting sqref="Q84:Q91">
    <cfRule type="cellIs" dxfId="14354" priority="297" operator="lessThan">
      <formula>0</formula>
    </cfRule>
  </conditionalFormatting>
  <conditionalFormatting sqref="R84:R91">
    <cfRule type="cellIs" dxfId="14353" priority="295" operator="lessThan">
      <formula>0.8</formula>
    </cfRule>
    <cfRule type="cellIs" dxfId="14352" priority="296" operator="greaterThan">
      <formula>1</formula>
    </cfRule>
  </conditionalFormatting>
  <conditionalFormatting sqref="R84:R91">
    <cfRule type="cellIs" dxfId="14351" priority="293" operator="greaterThan">
      <formula>1</formula>
    </cfRule>
    <cfRule type="cellIs" dxfId="14350" priority="294" operator="lessThan">
      <formula>0.8</formula>
    </cfRule>
  </conditionalFormatting>
  <conditionalFormatting sqref="P84:P91">
    <cfRule type="cellIs" dxfId="14349" priority="292" operator="greaterThan">
      <formula>0</formula>
    </cfRule>
  </conditionalFormatting>
  <conditionalFormatting sqref="Q84:Q91">
    <cfRule type="cellIs" dxfId="14348" priority="291" operator="lessThan">
      <formula>0</formula>
    </cfRule>
  </conditionalFormatting>
  <conditionalFormatting sqref="R84:R91">
    <cfRule type="cellIs" dxfId="14347" priority="289" operator="lessThan">
      <formula>0.8</formula>
    </cfRule>
    <cfRule type="cellIs" dxfId="14346" priority="290" operator="greaterThan">
      <formula>1</formula>
    </cfRule>
  </conditionalFormatting>
  <conditionalFormatting sqref="R84:R91">
    <cfRule type="cellIs" dxfId="14345" priority="287" operator="greaterThan">
      <formula>1</formula>
    </cfRule>
    <cfRule type="cellIs" dxfId="14344" priority="288" operator="lessThan">
      <formula>0.8</formula>
    </cfRule>
  </conditionalFormatting>
  <conditionalFormatting sqref="P84:P91">
    <cfRule type="cellIs" dxfId="14343" priority="286" operator="greaterThan">
      <formula>0</formula>
    </cfRule>
  </conditionalFormatting>
  <conditionalFormatting sqref="Q84:Q91">
    <cfRule type="cellIs" dxfId="14342" priority="285" operator="lessThan">
      <formula>0</formula>
    </cfRule>
  </conditionalFormatting>
  <conditionalFormatting sqref="R84:R91">
    <cfRule type="cellIs" dxfId="14341" priority="283" operator="lessThan">
      <formula>0.8</formula>
    </cfRule>
    <cfRule type="cellIs" dxfId="14340" priority="284" operator="greaterThan">
      <formula>1</formula>
    </cfRule>
  </conditionalFormatting>
  <conditionalFormatting sqref="R84:R91">
    <cfRule type="cellIs" dxfId="14339" priority="281" operator="greaterThan">
      <formula>1</formula>
    </cfRule>
    <cfRule type="cellIs" dxfId="14338" priority="282" operator="lessThan">
      <formula>0.8</formula>
    </cfRule>
  </conditionalFormatting>
  <conditionalFormatting sqref="P84:P91">
    <cfRule type="cellIs" dxfId="14337" priority="280" operator="greaterThan">
      <formula>0</formula>
    </cfRule>
  </conditionalFormatting>
  <conditionalFormatting sqref="Q84:Q91">
    <cfRule type="cellIs" dxfId="14336" priority="279" operator="lessThan">
      <formula>0</formula>
    </cfRule>
  </conditionalFormatting>
  <conditionalFormatting sqref="R84:R91">
    <cfRule type="cellIs" dxfId="14335" priority="277" operator="lessThan">
      <formula>0.8</formula>
    </cfRule>
    <cfRule type="cellIs" dxfId="14334" priority="278" operator="greaterThan">
      <formula>1</formula>
    </cfRule>
  </conditionalFormatting>
  <conditionalFormatting sqref="R84:R91">
    <cfRule type="cellIs" dxfId="14333" priority="275" operator="greaterThan">
      <formula>1</formula>
    </cfRule>
    <cfRule type="cellIs" dxfId="14332" priority="276" operator="lessThan">
      <formula>0.8</formula>
    </cfRule>
  </conditionalFormatting>
  <conditionalFormatting sqref="P84:P91">
    <cfRule type="cellIs" dxfId="14331" priority="274" operator="greaterThan">
      <formula>0</formula>
    </cfRule>
  </conditionalFormatting>
  <conditionalFormatting sqref="Q84:Q91">
    <cfRule type="cellIs" dxfId="14330" priority="273" operator="lessThan">
      <formula>0</formula>
    </cfRule>
  </conditionalFormatting>
  <conditionalFormatting sqref="R84:R91">
    <cfRule type="cellIs" dxfId="14329" priority="271" operator="lessThan">
      <formula>0.8</formula>
    </cfRule>
    <cfRule type="cellIs" dxfId="14328" priority="272" operator="greaterThan">
      <formula>1</formula>
    </cfRule>
  </conditionalFormatting>
  <conditionalFormatting sqref="R84:R91">
    <cfRule type="cellIs" dxfId="14327" priority="269" operator="greaterThan">
      <formula>1</formula>
    </cfRule>
    <cfRule type="cellIs" dxfId="14326" priority="270" operator="lessThan">
      <formula>0.8</formula>
    </cfRule>
  </conditionalFormatting>
  <conditionalFormatting sqref="P84:P91">
    <cfRule type="cellIs" dxfId="14325" priority="268" operator="greaterThan">
      <formula>0</formula>
    </cfRule>
  </conditionalFormatting>
  <conditionalFormatting sqref="P84:P91">
    <cfRule type="cellIs" dxfId="14324" priority="262" operator="greaterThan">
      <formula>0</formula>
    </cfRule>
  </conditionalFormatting>
  <conditionalFormatting sqref="Q84:Q91">
    <cfRule type="cellIs" dxfId="14323" priority="267" operator="lessThan">
      <formula>0</formula>
    </cfRule>
  </conditionalFormatting>
  <conditionalFormatting sqref="R84:R91">
    <cfRule type="cellIs" dxfId="14322" priority="265" operator="lessThan">
      <formula>0.8</formula>
    </cfRule>
    <cfRule type="cellIs" dxfId="14321" priority="266" operator="greaterThan">
      <formula>1</formula>
    </cfRule>
  </conditionalFormatting>
  <conditionalFormatting sqref="R84:R91">
    <cfRule type="cellIs" dxfId="14320" priority="263" operator="greaterThan">
      <formula>1</formula>
    </cfRule>
    <cfRule type="cellIs" dxfId="14319" priority="264" operator="lessThan">
      <formula>0.8</formula>
    </cfRule>
  </conditionalFormatting>
  <conditionalFormatting sqref="P84:P91">
    <cfRule type="cellIs" dxfId="14318" priority="256" operator="greaterThan">
      <formula>0</formula>
    </cfRule>
  </conditionalFormatting>
  <conditionalFormatting sqref="Q84:Q91">
    <cfRule type="cellIs" dxfId="14317" priority="261" operator="lessThan">
      <formula>0</formula>
    </cfRule>
  </conditionalFormatting>
  <conditionalFormatting sqref="R84:R91">
    <cfRule type="cellIs" dxfId="14316" priority="259" operator="lessThan">
      <formula>0.8</formula>
    </cfRule>
    <cfRule type="cellIs" dxfId="14315" priority="260" operator="greaterThan">
      <formula>1</formula>
    </cfRule>
  </conditionalFormatting>
  <conditionalFormatting sqref="R84:R91">
    <cfRule type="cellIs" dxfId="14314" priority="257" operator="greaterThan">
      <formula>1</formula>
    </cfRule>
    <cfRule type="cellIs" dxfId="14313" priority="258" operator="lessThan">
      <formula>0.8</formula>
    </cfRule>
  </conditionalFormatting>
  <conditionalFormatting sqref="R84:R91">
    <cfRule type="cellIs" dxfId="14312" priority="253" operator="lessThan">
      <formula>0.8</formula>
    </cfRule>
    <cfRule type="cellIs" dxfId="14311" priority="254" operator="greaterThan">
      <formula>1</formula>
    </cfRule>
  </conditionalFormatting>
  <conditionalFormatting sqref="R84:R91">
    <cfRule type="cellIs" dxfId="14310" priority="251" operator="greaterThan">
      <formula>1</formula>
    </cfRule>
    <cfRule type="cellIs" dxfId="14309" priority="252" operator="lessThan">
      <formula>0.8</formula>
    </cfRule>
  </conditionalFormatting>
  <conditionalFormatting sqref="P84:P91">
    <cfRule type="cellIs" dxfId="14308" priority="250" operator="greaterThan">
      <formula>0</formula>
    </cfRule>
  </conditionalFormatting>
  <conditionalFormatting sqref="Q84:Q91">
    <cfRule type="cellIs" dxfId="14307" priority="255" operator="lessThan">
      <formula>0</formula>
    </cfRule>
  </conditionalFormatting>
  <conditionalFormatting sqref="Q84:Q91">
    <cfRule type="cellIs" dxfId="14306" priority="249" operator="lessThan">
      <formula>0</formula>
    </cfRule>
  </conditionalFormatting>
  <conditionalFormatting sqref="R84:R91">
    <cfRule type="cellIs" dxfId="14305" priority="247" operator="lessThan">
      <formula>0.8</formula>
    </cfRule>
    <cfRule type="cellIs" dxfId="14304" priority="248" operator="greaterThan">
      <formula>1</formula>
    </cfRule>
  </conditionalFormatting>
  <conditionalFormatting sqref="R84:R91">
    <cfRule type="cellIs" dxfId="14303" priority="245" operator="greaterThan">
      <formula>1</formula>
    </cfRule>
    <cfRule type="cellIs" dxfId="14302" priority="246" operator="lessThan">
      <formula>0.8</formula>
    </cfRule>
  </conditionalFormatting>
  <conditionalFormatting sqref="P84:P91">
    <cfRule type="cellIs" dxfId="14301" priority="244" operator="greaterThan">
      <formula>0</formula>
    </cfRule>
  </conditionalFormatting>
  <conditionalFormatting sqref="Q84:Q91">
    <cfRule type="cellIs" dxfId="14300" priority="243" operator="lessThan">
      <formula>0</formula>
    </cfRule>
  </conditionalFormatting>
  <conditionalFormatting sqref="R84:R91">
    <cfRule type="cellIs" dxfId="14299" priority="241" operator="lessThan">
      <formula>0.8</formula>
    </cfRule>
    <cfRule type="cellIs" dxfId="14298" priority="242" operator="greaterThan">
      <formula>1</formula>
    </cfRule>
  </conditionalFormatting>
  <conditionalFormatting sqref="R84:R91">
    <cfRule type="cellIs" dxfId="14297" priority="239" operator="greaterThan">
      <formula>1</formula>
    </cfRule>
    <cfRule type="cellIs" dxfId="14296" priority="240" operator="lessThan">
      <formula>0.8</formula>
    </cfRule>
  </conditionalFormatting>
  <conditionalFormatting sqref="P84:P91">
    <cfRule type="cellIs" dxfId="14295" priority="238" operator="greaterThan">
      <formula>0</formula>
    </cfRule>
  </conditionalFormatting>
  <conditionalFormatting sqref="Q84:Q91">
    <cfRule type="cellIs" dxfId="14294" priority="237" operator="lessThan">
      <formula>0</formula>
    </cfRule>
  </conditionalFormatting>
  <conditionalFormatting sqref="R84:R91">
    <cfRule type="cellIs" dxfId="14293" priority="235" operator="lessThan">
      <formula>0.8</formula>
    </cfRule>
    <cfRule type="cellIs" dxfId="14292" priority="236" operator="greaterThan">
      <formula>1</formula>
    </cfRule>
  </conditionalFormatting>
  <conditionalFormatting sqref="R84:R91">
    <cfRule type="cellIs" dxfId="14291" priority="233" operator="greaterThan">
      <formula>1</formula>
    </cfRule>
    <cfRule type="cellIs" dxfId="14290" priority="234" operator="lessThan">
      <formula>0.8</formula>
    </cfRule>
  </conditionalFormatting>
  <conditionalFormatting sqref="P84:P91">
    <cfRule type="cellIs" dxfId="14289" priority="232" operator="greaterThan">
      <formula>0</formula>
    </cfRule>
  </conditionalFormatting>
  <conditionalFormatting sqref="Q84:Q91">
    <cfRule type="cellIs" dxfId="14288" priority="231" operator="lessThan">
      <formula>0</formula>
    </cfRule>
  </conditionalFormatting>
  <conditionalFormatting sqref="R84:R91">
    <cfRule type="cellIs" dxfId="14287" priority="229" operator="lessThan">
      <formula>0.8</formula>
    </cfRule>
    <cfRule type="cellIs" dxfId="14286" priority="230" operator="greaterThan">
      <formula>1</formula>
    </cfRule>
  </conditionalFormatting>
  <conditionalFormatting sqref="R84:R91">
    <cfRule type="cellIs" dxfId="14285" priority="227" operator="greaterThan">
      <formula>1</formula>
    </cfRule>
    <cfRule type="cellIs" dxfId="14284" priority="228" operator="lessThan">
      <formula>0.8</formula>
    </cfRule>
  </conditionalFormatting>
  <conditionalFormatting sqref="P84:P91">
    <cfRule type="cellIs" dxfId="14283" priority="226" operator="greaterThan">
      <formula>0</formula>
    </cfRule>
  </conditionalFormatting>
  <conditionalFormatting sqref="P84:P91">
    <cfRule type="cellIs" dxfId="14282" priority="220" operator="greaterThan">
      <formula>0</formula>
    </cfRule>
  </conditionalFormatting>
  <conditionalFormatting sqref="Q84:Q91">
    <cfRule type="cellIs" dxfId="14281" priority="225" operator="lessThan">
      <formula>0</formula>
    </cfRule>
  </conditionalFormatting>
  <conditionalFormatting sqref="R84:R91">
    <cfRule type="cellIs" dxfId="14280" priority="223" operator="lessThan">
      <formula>0.8</formula>
    </cfRule>
    <cfRule type="cellIs" dxfId="14279" priority="224" operator="greaterThan">
      <formula>1</formula>
    </cfRule>
  </conditionalFormatting>
  <conditionalFormatting sqref="R84:R91">
    <cfRule type="cellIs" dxfId="14278" priority="221" operator="greaterThan">
      <formula>1</formula>
    </cfRule>
    <cfRule type="cellIs" dxfId="14277" priority="222" operator="lessThan">
      <formula>0.8</formula>
    </cfRule>
  </conditionalFormatting>
  <conditionalFormatting sqref="P84:P91">
    <cfRule type="cellIs" dxfId="14276" priority="214" operator="greaterThan">
      <formula>0</formula>
    </cfRule>
  </conditionalFormatting>
  <conditionalFormatting sqref="Q84:Q91">
    <cfRule type="cellIs" dxfId="14275" priority="219" operator="lessThan">
      <formula>0</formula>
    </cfRule>
  </conditionalFormatting>
  <conditionalFormatting sqref="R84:R91">
    <cfRule type="cellIs" dxfId="14274" priority="217" operator="lessThan">
      <formula>0.8</formula>
    </cfRule>
    <cfRule type="cellIs" dxfId="14273" priority="218" operator="greaterThan">
      <formula>1</formula>
    </cfRule>
  </conditionalFormatting>
  <conditionalFormatting sqref="R84:R91">
    <cfRule type="cellIs" dxfId="14272" priority="215" operator="greaterThan">
      <formula>1</formula>
    </cfRule>
    <cfRule type="cellIs" dxfId="14271" priority="216" operator="lessThan">
      <formula>0.8</formula>
    </cfRule>
  </conditionalFormatting>
  <conditionalFormatting sqref="R84:R91">
    <cfRule type="cellIs" dxfId="14270" priority="211" operator="lessThan">
      <formula>0.8</formula>
    </cfRule>
    <cfRule type="cellIs" dxfId="14269" priority="212" operator="greaterThan">
      <formula>1</formula>
    </cfRule>
  </conditionalFormatting>
  <conditionalFormatting sqref="R84:R91">
    <cfRule type="cellIs" dxfId="14268" priority="209" operator="greaterThan">
      <formula>1</formula>
    </cfRule>
    <cfRule type="cellIs" dxfId="14267" priority="210" operator="lessThan">
      <formula>0.8</formula>
    </cfRule>
  </conditionalFormatting>
  <conditionalFormatting sqref="P84:P91">
    <cfRule type="cellIs" dxfId="14266" priority="208" operator="greaterThan">
      <formula>0</formula>
    </cfRule>
  </conditionalFormatting>
  <conditionalFormatting sqref="Q84:Q91">
    <cfRule type="cellIs" dxfId="14265" priority="213" operator="lessThan">
      <formula>0</formula>
    </cfRule>
  </conditionalFormatting>
  <conditionalFormatting sqref="Q84:Q91">
    <cfRule type="cellIs" dxfId="14264" priority="207" operator="lessThan">
      <formula>0</formula>
    </cfRule>
  </conditionalFormatting>
  <conditionalFormatting sqref="R84:R91">
    <cfRule type="cellIs" dxfId="14263" priority="205" operator="lessThan">
      <formula>0.8</formula>
    </cfRule>
    <cfRule type="cellIs" dxfId="14262" priority="206" operator="greaterThan">
      <formula>1</formula>
    </cfRule>
  </conditionalFormatting>
  <conditionalFormatting sqref="R84:R91">
    <cfRule type="cellIs" dxfId="14261" priority="203" operator="greaterThan">
      <formula>1</formula>
    </cfRule>
    <cfRule type="cellIs" dxfId="14260" priority="204" operator="lessThan">
      <formula>0.8</formula>
    </cfRule>
  </conditionalFormatting>
  <conditionalFormatting sqref="P84:P91">
    <cfRule type="cellIs" dxfId="14259" priority="202" operator="greaterThan">
      <formula>0</formula>
    </cfRule>
  </conditionalFormatting>
  <conditionalFormatting sqref="P84:P91">
    <cfRule type="cellIs" dxfId="14258" priority="196" operator="greaterThan">
      <formula>0</formula>
    </cfRule>
  </conditionalFormatting>
  <conditionalFormatting sqref="Q84:Q91">
    <cfRule type="cellIs" dxfId="14257" priority="201" operator="lessThan">
      <formula>0</formula>
    </cfRule>
  </conditionalFormatting>
  <conditionalFormatting sqref="R84:R91">
    <cfRule type="cellIs" dxfId="14256" priority="199" operator="lessThan">
      <formula>0.8</formula>
    </cfRule>
    <cfRule type="cellIs" dxfId="14255" priority="200" operator="greaterThan">
      <formula>1</formula>
    </cfRule>
  </conditionalFormatting>
  <conditionalFormatting sqref="R84:R91">
    <cfRule type="cellIs" dxfId="14254" priority="197" operator="greaterThan">
      <formula>1</formula>
    </cfRule>
    <cfRule type="cellIs" dxfId="14253" priority="198" operator="lessThan">
      <formula>0.8</formula>
    </cfRule>
  </conditionalFormatting>
  <conditionalFormatting sqref="P84:P91">
    <cfRule type="cellIs" dxfId="14252" priority="190" operator="greaterThan">
      <formula>0</formula>
    </cfRule>
  </conditionalFormatting>
  <conditionalFormatting sqref="Q84:Q91">
    <cfRule type="cellIs" dxfId="14251" priority="195" operator="lessThan">
      <formula>0</formula>
    </cfRule>
  </conditionalFormatting>
  <conditionalFormatting sqref="R84:R91">
    <cfRule type="cellIs" dxfId="14250" priority="193" operator="lessThan">
      <formula>0.8</formula>
    </cfRule>
    <cfRule type="cellIs" dxfId="14249" priority="194" operator="greaterThan">
      <formula>1</formula>
    </cfRule>
  </conditionalFormatting>
  <conditionalFormatting sqref="R84:R91">
    <cfRule type="cellIs" dxfId="14248" priority="191" operator="greaterThan">
      <formula>1</formula>
    </cfRule>
    <cfRule type="cellIs" dxfId="14247" priority="192" operator="lessThan">
      <formula>0.8</formula>
    </cfRule>
  </conditionalFormatting>
  <conditionalFormatting sqref="R84:R91">
    <cfRule type="cellIs" dxfId="14246" priority="187" operator="lessThan">
      <formula>0.8</formula>
    </cfRule>
    <cfRule type="cellIs" dxfId="14245" priority="188" operator="greaterThan">
      <formula>1</formula>
    </cfRule>
  </conditionalFormatting>
  <conditionalFormatting sqref="R84:R91">
    <cfRule type="cellIs" dxfId="14244" priority="185" operator="greaterThan">
      <formula>1</formula>
    </cfRule>
    <cfRule type="cellIs" dxfId="14243" priority="186" operator="lessThan">
      <formula>0.8</formula>
    </cfRule>
  </conditionalFormatting>
  <conditionalFormatting sqref="P84:P91">
    <cfRule type="cellIs" dxfId="14242" priority="184" operator="greaterThan">
      <formula>0</formula>
    </cfRule>
  </conditionalFormatting>
  <conditionalFormatting sqref="Q84:Q91">
    <cfRule type="cellIs" dxfId="14241" priority="189" operator="lessThan">
      <formula>0</formula>
    </cfRule>
  </conditionalFormatting>
  <conditionalFormatting sqref="P84:P91">
    <cfRule type="cellIs" dxfId="14240" priority="178" operator="greaterThan">
      <formula>0</formula>
    </cfRule>
  </conditionalFormatting>
  <conditionalFormatting sqref="Q84:Q91">
    <cfRule type="cellIs" dxfId="14239" priority="183" operator="lessThan">
      <formula>0</formula>
    </cfRule>
  </conditionalFormatting>
  <conditionalFormatting sqref="R84:R91">
    <cfRule type="cellIs" dxfId="14238" priority="181" operator="lessThan">
      <formula>0.8</formula>
    </cfRule>
    <cfRule type="cellIs" dxfId="14237" priority="182" operator="greaterThan">
      <formula>1</formula>
    </cfRule>
  </conditionalFormatting>
  <conditionalFormatting sqref="R84:R91">
    <cfRule type="cellIs" dxfId="14236" priority="179" operator="greaterThan">
      <formula>1</formula>
    </cfRule>
    <cfRule type="cellIs" dxfId="14235" priority="180" operator="lessThan">
      <formula>0.8</formula>
    </cfRule>
  </conditionalFormatting>
  <conditionalFormatting sqref="R84:R91">
    <cfRule type="cellIs" dxfId="14234" priority="175" operator="lessThan">
      <formula>0.8</formula>
    </cfRule>
    <cfRule type="cellIs" dxfId="14233" priority="176" operator="greaterThan">
      <formula>1</formula>
    </cfRule>
  </conditionalFormatting>
  <conditionalFormatting sqref="R84:R91">
    <cfRule type="cellIs" dxfId="14232" priority="173" operator="greaterThan">
      <formula>1</formula>
    </cfRule>
    <cfRule type="cellIs" dxfId="14231" priority="174" operator="lessThan">
      <formula>0.8</formula>
    </cfRule>
  </conditionalFormatting>
  <conditionalFormatting sqref="P84:P91">
    <cfRule type="cellIs" dxfId="14230" priority="172" operator="greaterThan">
      <formula>0</formula>
    </cfRule>
  </conditionalFormatting>
  <conditionalFormatting sqref="Q84:Q91">
    <cfRule type="cellIs" dxfId="14229" priority="177" operator="lessThan">
      <formula>0</formula>
    </cfRule>
  </conditionalFormatting>
  <conditionalFormatting sqref="R84:R91">
    <cfRule type="cellIs" dxfId="14228" priority="169" operator="lessThan">
      <formula>0.8</formula>
    </cfRule>
    <cfRule type="cellIs" dxfId="14227" priority="170" operator="greaterThan">
      <formula>1</formula>
    </cfRule>
  </conditionalFormatting>
  <conditionalFormatting sqref="R84:R91">
    <cfRule type="cellIs" dxfId="14226" priority="167" operator="greaterThan">
      <formula>1</formula>
    </cfRule>
    <cfRule type="cellIs" dxfId="14225" priority="168" operator="lessThan">
      <formula>0.8</formula>
    </cfRule>
  </conditionalFormatting>
  <conditionalFormatting sqref="P84:P91">
    <cfRule type="cellIs" dxfId="14224" priority="166" operator="greaterThan">
      <formula>0</formula>
    </cfRule>
  </conditionalFormatting>
  <conditionalFormatting sqref="Q84:Q91">
    <cfRule type="cellIs" dxfId="14223" priority="171" operator="lessThan">
      <formula>0</formula>
    </cfRule>
  </conditionalFormatting>
  <conditionalFormatting sqref="Q84:Q91">
    <cfRule type="cellIs" dxfId="14222" priority="165" operator="lessThan">
      <formula>0</formula>
    </cfRule>
  </conditionalFormatting>
  <conditionalFormatting sqref="R84:R91">
    <cfRule type="cellIs" dxfId="14221" priority="163" operator="lessThan">
      <formula>0.8</formula>
    </cfRule>
    <cfRule type="cellIs" dxfId="14220" priority="164" operator="greaterThan">
      <formula>1</formula>
    </cfRule>
  </conditionalFormatting>
  <conditionalFormatting sqref="R84:R91">
    <cfRule type="cellIs" dxfId="14219" priority="161" operator="greaterThan">
      <formula>1</formula>
    </cfRule>
    <cfRule type="cellIs" dxfId="14218" priority="162" operator="lessThan">
      <formula>0.8</formula>
    </cfRule>
  </conditionalFormatting>
  <conditionalFormatting sqref="P84:P91">
    <cfRule type="cellIs" dxfId="14217" priority="160" operator="greaterThan">
      <formula>0</formula>
    </cfRule>
  </conditionalFormatting>
  <conditionalFormatting sqref="Q84:Q91">
    <cfRule type="cellIs" dxfId="14216" priority="154" operator="lessThan">
      <formula>0</formula>
    </cfRule>
  </conditionalFormatting>
  <conditionalFormatting sqref="R84:R91">
    <cfRule type="cellIs" dxfId="14215" priority="158" operator="lessThan">
      <formula>0.8</formula>
    </cfRule>
    <cfRule type="cellIs" dxfId="14214" priority="159" operator="greaterThan">
      <formula>1</formula>
    </cfRule>
  </conditionalFormatting>
  <conditionalFormatting sqref="R84:R91">
    <cfRule type="cellIs" dxfId="14213" priority="156" operator="greaterThan">
      <formula>1</formula>
    </cfRule>
    <cfRule type="cellIs" dxfId="14212" priority="157" operator="lessThan">
      <formula>0.8</formula>
    </cfRule>
  </conditionalFormatting>
  <conditionalFormatting sqref="P84:P91">
    <cfRule type="cellIs" dxfId="14211" priority="155" operator="greaterThan">
      <formula>0</formula>
    </cfRule>
  </conditionalFormatting>
  <conditionalFormatting sqref="Q84:Q91">
    <cfRule type="cellIs" dxfId="14210" priority="153" operator="lessThan">
      <formula>0</formula>
    </cfRule>
  </conditionalFormatting>
  <conditionalFormatting sqref="R84:R91">
    <cfRule type="cellIs" dxfId="14209" priority="151" operator="lessThan">
      <formula>0.8</formula>
    </cfRule>
    <cfRule type="cellIs" dxfId="14208" priority="152" operator="greaterThan">
      <formula>1</formula>
    </cfRule>
  </conditionalFormatting>
  <conditionalFormatting sqref="R84:R91">
    <cfRule type="cellIs" dxfId="14207" priority="149" operator="greaterThan">
      <formula>1</formula>
    </cfRule>
    <cfRule type="cellIs" dxfId="14206" priority="150" operator="lessThan">
      <formula>0.8</formula>
    </cfRule>
  </conditionalFormatting>
  <conditionalFormatting sqref="P84:P91">
    <cfRule type="cellIs" dxfId="14205" priority="148" operator="greaterThan">
      <formula>0</formula>
    </cfRule>
  </conditionalFormatting>
  <conditionalFormatting sqref="Q84:Q91">
    <cfRule type="cellIs" dxfId="14204" priority="147" operator="lessThan">
      <formula>0</formula>
    </cfRule>
  </conditionalFormatting>
  <conditionalFormatting sqref="R84:R91">
    <cfRule type="cellIs" dxfId="14203" priority="145" operator="lessThan">
      <formula>0.8</formula>
    </cfRule>
    <cfRule type="cellIs" dxfId="14202" priority="146" operator="greaterThan">
      <formula>1</formula>
    </cfRule>
  </conditionalFormatting>
  <conditionalFormatting sqref="R84:R91">
    <cfRule type="cellIs" dxfId="14201" priority="143" operator="greaterThan">
      <formula>1</formula>
    </cfRule>
    <cfRule type="cellIs" dxfId="14200" priority="144" operator="lessThan">
      <formula>0.8</formula>
    </cfRule>
  </conditionalFormatting>
  <conditionalFormatting sqref="P84:P91">
    <cfRule type="cellIs" dxfId="14199" priority="142" operator="greaterThan">
      <formula>0</formula>
    </cfRule>
  </conditionalFormatting>
  <conditionalFormatting sqref="Q84:Q91">
    <cfRule type="cellIs" dxfId="14198" priority="141" operator="lessThan">
      <formula>0</formula>
    </cfRule>
  </conditionalFormatting>
  <conditionalFormatting sqref="R84:R91">
    <cfRule type="cellIs" dxfId="14197" priority="139" operator="lessThan">
      <formula>0.8</formula>
    </cfRule>
    <cfRule type="cellIs" dxfId="14196" priority="140" operator="greaterThan">
      <formula>1</formula>
    </cfRule>
  </conditionalFormatting>
  <conditionalFormatting sqref="R84:R91">
    <cfRule type="cellIs" dxfId="14195" priority="137" operator="greaterThan">
      <formula>1</formula>
    </cfRule>
    <cfRule type="cellIs" dxfId="14194" priority="138" operator="lessThan">
      <formula>0.8</formula>
    </cfRule>
  </conditionalFormatting>
  <conditionalFormatting sqref="P84:P91">
    <cfRule type="cellIs" dxfId="14193" priority="136" operator="greaterThan">
      <formula>0</formula>
    </cfRule>
  </conditionalFormatting>
  <conditionalFormatting sqref="Q84:Q91">
    <cfRule type="cellIs" dxfId="14192" priority="135" operator="lessThan">
      <formula>0</formula>
    </cfRule>
  </conditionalFormatting>
  <conditionalFormatting sqref="R84:R91">
    <cfRule type="cellIs" dxfId="14191" priority="133" operator="lessThan">
      <formula>0.8</formula>
    </cfRule>
    <cfRule type="cellIs" dxfId="14190" priority="134" operator="greaterThan">
      <formula>1</formula>
    </cfRule>
  </conditionalFormatting>
  <conditionalFormatting sqref="R84:R91">
    <cfRule type="cellIs" dxfId="14189" priority="131" operator="greaterThan">
      <formula>1</formula>
    </cfRule>
    <cfRule type="cellIs" dxfId="14188" priority="132" operator="lessThan">
      <formula>0.8</formula>
    </cfRule>
  </conditionalFormatting>
  <conditionalFormatting sqref="P84:P91">
    <cfRule type="cellIs" dxfId="14187" priority="130" operator="greaterThan">
      <formula>0</formula>
    </cfRule>
  </conditionalFormatting>
  <conditionalFormatting sqref="Q84:Q91">
    <cfRule type="cellIs" dxfId="14186" priority="129" operator="lessThan">
      <formula>0</formula>
    </cfRule>
  </conditionalFormatting>
  <conditionalFormatting sqref="R84:R91">
    <cfRule type="cellIs" dxfId="14185" priority="127" operator="lessThan">
      <formula>0.8</formula>
    </cfRule>
    <cfRule type="cellIs" dxfId="14184" priority="128" operator="greaterThan">
      <formula>1</formula>
    </cfRule>
  </conditionalFormatting>
  <conditionalFormatting sqref="R84:R91">
    <cfRule type="cellIs" dxfId="14183" priority="125" operator="greaterThan">
      <formula>1</formula>
    </cfRule>
    <cfRule type="cellIs" dxfId="14182" priority="126" operator="lessThan">
      <formula>0.8</formula>
    </cfRule>
  </conditionalFormatting>
  <conditionalFormatting sqref="P84:P91">
    <cfRule type="cellIs" dxfId="14181" priority="124" operator="greaterThan">
      <formula>0</formula>
    </cfRule>
  </conditionalFormatting>
  <conditionalFormatting sqref="P84:P91">
    <cfRule type="cellIs" dxfId="14180" priority="118" operator="greaterThan">
      <formula>0</formula>
    </cfRule>
  </conditionalFormatting>
  <conditionalFormatting sqref="Q84:Q91">
    <cfRule type="cellIs" dxfId="14179" priority="123" operator="lessThan">
      <formula>0</formula>
    </cfRule>
  </conditionalFormatting>
  <conditionalFormatting sqref="R84:R91">
    <cfRule type="cellIs" dxfId="14178" priority="121" operator="lessThan">
      <formula>0.8</formula>
    </cfRule>
    <cfRule type="cellIs" dxfId="14177" priority="122" operator="greaterThan">
      <formula>1</formula>
    </cfRule>
  </conditionalFormatting>
  <conditionalFormatting sqref="R84:R91">
    <cfRule type="cellIs" dxfId="14176" priority="119" operator="greaterThan">
      <formula>1</formula>
    </cfRule>
    <cfRule type="cellIs" dxfId="14175" priority="120" operator="lessThan">
      <formula>0.8</formula>
    </cfRule>
  </conditionalFormatting>
  <conditionalFormatting sqref="P84:P91">
    <cfRule type="cellIs" dxfId="14174" priority="112" operator="greaterThan">
      <formula>0</formula>
    </cfRule>
  </conditionalFormatting>
  <conditionalFormatting sqref="Q84:Q91">
    <cfRule type="cellIs" dxfId="14173" priority="117" operator="lessThan">
      <formula>0</formula>
    </cfRule>
  </conditionalFormatting>
  <conditionalFormatting sqref="R84:R91">
    <cfRule type="cellIs" dxfId="14172" priority="115" operator="lessThan">
      <formula>0.8</formula>
    </cfRule>
    <cfRule type="cellIs" dxfId="14171" priority="116" operator="greaterThan">
      <formula>1</formula>
    </cfRule>
  </conditionalFormatting>
  <conditionalFormatting sqref="R84:R91">
    <cfRule type="cellIs" dxfId="14170" priority="113" operator="greaterThan">
      <formula>1</formula>
    </cfRule>
    <cfRule type="cellIs" dxfId="14169" priority="114" operator="lessThan">
      <formula>0.8</formula>
    </cfRule>
  </conditionalFormatting>
  <conditionalFormatting sqref="R84:R91">
    <cfRule type="cellIs" dxfId="14168" priority="109" operator="lessThan">
      <formula>0.8</formula>
    </cfRule>
    <cfRule type="cellIs" dxfId="14167" priority="110" operator="greaterThan">
      <formula>1</formula>
    </cfRule>
  </conditionalFormatting>
  <conditionalFormatting sqref="R84:R91">
    <cfRule type="cellIs" dxfId="14166" priority="107" operator="greaterThan">
      <formula>1</formula>
    </cfRule>
    <cfRule type="cellIs" dxfId="14165" priority="108" operator="lessThan">
      <formula>0.8</formula>
    </cfRule>
  </conditionalFormatting>
  <conditionalFormatting sqref="P84:P91">
    <cfRule type="cellIs" dxfId="14164" priority="106" operator="greaterThan">
      <formula>0</formula>
    </cfRule>
  </conditionalFormatting>
  <conditionalFormatting sqref="Q84:Q91">
    <cfRule type="cellIs" dxfId="14163" priority="111" operator="lessThan">
      <formula>0</formula>
    </cfRule>
  </conditionalFormatting>
  <conditionalFormatting sqref="Q84:Q91">
    <cfRule type="cellIs" dxfId="14162" priority="100" operator="lessThan">
      <formula>0</formula>
    </cfRule>
  </conditionalFormatting>
  <conditionalFormatting sqref="P84:P91">
    <cfRule type="cellIs" dxfId="14161" priority="101" operator="greaterThan">
      <formula>0</formula>
    </cfRule>
  </conditionalFormatting>
  <conditionalFormatting sqref="R84:R91">
    <cfRule type="cellIs" dxfId="14160" priority="104" operator="lessThan">
      <formula>0.8</formula>
    </cfRule>
    <cfRule type="cellIs" dxfId="14159" priority="105" operator="greaterThan">
      <formula>1</formula>
    </cfRule>
  </conditionalFormatting>
  <conditionalFormatting sqref="R84:R91">
    <cfRule type="cellIs" dxfId="14158" priority="102" operator="greaterThan">
      <formula>1</formula>
    </cfRule>
    <cfRule type="cellIs" dxfId="14157" priority="103" operator="lessThan">
      <formula>0.8</formula>
    </cfRule>
  </conditionalFormatting>
  <conditionalFormatting sqref="Q84:Q91">
    <cfRule type="cellIs" dxfId="14156" priority="94" operator="lessThan">
      <formula>0</formula>
    </cfRule>
  </conditionalFormatting>
  <conditionalFormatting sqref="R84:R91">
    <cfRule type="cellIs" dxfId="14155" priority="98" operator="lessThan">
      <formula>0.8</formula>
    </cfRule>
    <cfRule type="cellIs" dxfId="14154" priority="99" operator="greaterThan">
      <formula>1</formula>
    </cfRule>
  </conditionalFormatting>
  <conditionalFormatting sqref="R84:R91">
    <cfRule type="cellIs" dxfId="14153" priority="96" operator="greaterThan">
      <formula>1</formula>
    </cfRule>
    <cfRule type="cellIs" dxfId="14152" priority="97" operator="lessThan">
      <formula>0.8</formula>
    </cfRule>
  </conditionalFormatting>
  <conditionalFormatting sqref="P84:P91">
    <cfRule type="cellIs" dxfId="14151" priority="95" operator="greaterThan">
      <formula>0</formula>
    </cfRule>
  </conditionalFormatting>
  <conditionalFormatting sqref="Q84:Q91">
    <cfRule type="cellIs" dxfId="14150" priority="93" operator="lessThan">
      <formula>0</formula>
    </cfRule>
  </conditionalFormatting>
  <conditionalFormatting sqref="R84:R91">
    <cfRule type="cellIs" dxfId="14149" priority="91" operator="lessThan">
      <formula>0.8</formula>
    </cfRule>
    <cfRule type="cellIs" dxfId="14148" priority="92" operator="greaterThan">
      <formula>1</formula>
    </cfRule>
  </conditionalFormatting>
  <conditionalFormatting sqref="R84:R91">
    <cfRule type="cellIs" dxfId="14147" priority="89" operator="greaterThan">
      <formula>1</formula>
    </cfRule>
    <cfRule type="cellIs" dxfId="14146" priority="90" operator="lessThan">
      <formula>0.8</formula>
    </cfRule>
  </conditionalFormatting>
  <conditionalFormatting sqref="P84:P91">
    <cfRule type="cellIs" dxfId="14145" priority="88" operator="greaterThan">
      <formula>0</formula>
    </cfRule>
  </conditionalFormatting>
  <conditionalFormatting sqref="Q84:Q91">
    <cfRule type="cellIs" dxfId="14144" priority="87" operator="lessThan">
      <formula>0</formula>
    </cfRule>
  </conditionalFormatting>
  <conditionalFormatting sqref="R84:R91">
    <cfRule type="cellIs" dxfId="14143" priority="85" operator="lessThan">
      <formula>0.8</formula>
    </cfRule>
    <cfRule type="cellIs" dxfId="14142" priority="86" operator="greaterThan">
      <formula>1</formula>
    </cfRule>
  </conditionalFormatting>
  <conditionalFormatting sqref="R84:R91">
    <cfRule type="cellIs" dxfId="14141" priority="83" operator="greaterThan">
      <formula>1</formula>
    </cfRule>
    <cfRule type="cellIs" dxfId="14140" priority="84" operator="lessThan">
      <formula>0.8</formula>
    </cfRule>
  </conditionalFormatting>
  <conditionalFormatting sqref="P84:P91">
    <cfRule type="cellIs" dxfId="14139" priority="82" operator="greaterThan">
      <formula>0</formula>
    </cfRule>
  </conditionalFormatting>
  <conditionalFormatting sqref="Q84:Q91">
    <cfRule type="cellIs" dxfId="14138" priority="81" operator="lessThan">
      <formula>0</formula>
    </cfRule>
  </conditionalFormatting>
  <conditionalFormatting sqref="R84:R91">
    <cfRule type="cellIs" dxfId="14137" priority="79" operator="lessThan">
      <formula>0.8</formula>
    </cfRule>
    <cfRule type="cellIs" dxfId="14136" priority="80" operator="greaterThan">
      <formula>1</formula>
    </cfRule>
  </conditionalFormatting>
  <conditionalFormatting sqref="R84:R91">
    <cfRule type="cellIs" dxfId="14135" priority="77" operator="greaterThan">
      <formula>1</formula>
    </cfRule>
    <cfRule type="cellIs" dxfId="14134" priority="78" operator="lessThan">
      <formula>0.8</formula>
    </cfRule>
  </conditionalFormatting>
  <conditionalFormatting sqref="P84:P91">
    <cfRule type="cellIs" dxfId="14133" priority="76" operator="greaterThan">
      <formula>0</formula>
    </cfRule>
  </conditionalFormatting>
  <conditionalFormatting sqref="Q162:Q166">
    <cfRule type="cellIs" dxfId="14132" priority="75" operator="lessThan">
      <formula>0</formula>
    </cfRule>
  </conditionalFormatting>
  <conditionalFormatting sqref="R162:R166">
    <cfRule type="cellIs" dxfId="14131" priority="73" operator="lessThan">
      <formula>0.8</formula>
    </cfRule>
    <cfRule type="cellIs" dxfId="14130" priority="74" operator="greaterThan">
      <formula>1</formula>
    </cfRule>
  </conditionalFormatting>
  <conditionalFormatting sqref="R162:R166">
    <cfRule type="cellIs" dxfId="14129" priority="71" operator="greaterThan">
      <formula>1</formula>
    </cfRule>
    <cfRule type="cellIs" dxfId="14128" priority="72" operator="lessThan">
      <formula>0.8</formula>
    </cfRule>
  </conditionalFormatting>
  <conditionalFormatting sqref="P162:P166">
    <cfRule type="cellIs" dxfId="14127" priority="70" operator="greaterThan">
      <formula>0</formula>
    </cfRule>
  </conditionalFormatting>
  <conditionalFormatting sqref="P167:P168">
    <cfRule type="cellIs" dxfId="14126" priority="64" operator="greaterThan">
      <formula>0</formula>
    </cfRule>
  </conditionalFormatting>
  <conditionalFormatting sqref="R167:R168">
    <cfRule type="cellIs" dxfId="14125" priority="67" operator="lessThan">
      <formula>0.8</formula>
    </cfRule>
    <cfRule type="cellIs" dxfId="14124" priority="68" operator="greaterThan">
      <formula>1</formula>
    </cfRule>
  </conditionalFormatting>
  <conditionalFormatting sqref="R167:R168">
    <cfRule type="cellIs" dxfId="14123" priority="65" operator="greaterThan">
      <formula>1</formula>
    </cfRule>
    <cfRule type="cellIs" dxfId="14122" priority="66" operator="lessThan">
      <formula>0.8</formula>
    </cfRule>
  </conditionalFormatting>
  <conditionalFormatting sqref="Q167:Q168">
    <cfRule type="cellIs" dxfId="14121" priority="69" operator="lessThan">
      <formula>0</formula>
    </cfRule>
  </conditionalFormatting>
  <conditionalFormatting sqref="Q161">
    <cfRule type="cellIs" dxfId="14120" priority="63" operator="lessThan">
      <formula>0</formula>
    </cfRule>
  </conditionalFormatting>
  <conditionalFormatting sqref="R161">
    <cfRule type="cellIs" dxfId="14119" priority="61" operator="lessThan">
      <formula>0.8</formula>
    </cfRule>
    <cfRule type="cellIs" dxfId="14118" priority="62" operator="greaterThan">
      <formula>1</formula>
    </cfRule>
  </conditionalFormatting>
  <conditionalFormatting sqref="R161">
    <cfRule type="cellIs" dxfId="14117" priority="59" operator="greaterThan">
      <formula>1</formula>
    </cfRule>
    <cfRule type="cellIs" dxfId="14116" priority="60" operator="lessThan">
      <formula>0.8</formula>
    </cfRule>
  </conditionalFormatting>
  <conditionalFormatting sqref="P161">
    <cfRule type="cellIs" dxfId="14115" priority="58" operator="greaterThan">
      <formula>0</formula>
    </cfRule>
  </conditionalFormatting>
  <conditionalFormatting sqref="Q162:Q166">
    <cfRule type="cellIs" dxfId="14114" priority="57" operator="lessThan">
      <formula>0</formula>
    </cfRule>
  </conditionalFormatting>
  <conditionalFormatting sqref="R162:R166">
    <cfRule type="cellIs" dxfId="14113" priority="55" operator="lessThan">
      <formula>0.8</formula>
    </cfRule>
    <cfRule type="cellIs" dxfId="14112" priority="56" operator="greaterThan">
      <formula>1</formula>
    </cfRule>
  </conditionalFormatting>
  <conditionalFormatting sqref="R162:R166">
    <cfRule type="cellIs" dxfId="14111" priority="53" operator="greaterThan">
      <formula>1</formula>
    </cfRule>
    <cfRule type="cellIs" dxfId="14110" priority="54" operator="lessThan">
      <formula>0.8</formula>
    </cfRule>
  </conditionalFormatting>
  <conditionalFormatting sqref="P162:P166">
    <cfRule type="cellIs" dxfId="14109" priority="52" operator="greaterThan">
      <formula>0</formula>
    </cfRule>
  </conditionalFormatting>
  <conditionalFormatting sqref="Q162:Q166">
    <cfRule type="cellIs" dxfId="14108" priority="51" operator="lessThan">
      <formula>0</formula>
    </cfRule>
  </conditionalFormatting>
  <conditionalFormatting sqref="R162:R166">
    <cfRule type="cellIs" dxfId="14107" priority="49" operator="lessThan">
      <formula>0.8</formula>
    </cfRule>
    <cfRule type="cellIs" dxfId="14106" priority="50" operator="greaterThan">
      <formula>1</formula>
    </cfRule>
  </conditionalFormatting>
  <conditionalFormatting sqref="R162:R166">
    <cfRule type="cellIs" dxfId="14105" priority="47" operator="greaterThan">
      <formula>1</formula>
    </cfRule>
    <cfRule type="cellIs" dxfId="14104" priority="48" operator="lessThan">
      <formula>0.8</formula>
    </cfRule>
  </conditionalFormatting>
  <conditionalFormatting sqref="P162:P166">
    <cfRule type="cellIs" dxfId="14103" priority="46" operator="greaterThan">
      <formula>0</formula>
    </cfRule>
  </conditionalFormatting>
  <conditionalFormatting sqref="Q167:Q168">
    <cfRule type="cellIs" dxfId="14102" priority="45" operator="lessThan">
      <formula>0</formula>
    </cfRule>
  </conditionalFormatting>
  <conditionalFormatting sqref="R167:R168">
    <cfRule type="cellIs" dxfId="14101" priority="43" operator="lessThan">
      <formula>0.8</formula>
    </cfRule>
    <cfRule type="cellIs" dxfId="14100" priority="44" operator="greaterThan">
      <formula>1</formula>
    </cfRule>
  </conditionalFormatting>
  <conditionalFormatting sqref="R167:R168">
    <cfRule type="cellIs" dxfId="14099" priority="41" operator="greaterThan">
      <formula>1</formula>
    </cfRule>
    <cfRule type="cellIs" dxfId="14098" priority="42" operator="lessThan">
      <formula>0.8</formula>
    </cfRule>
  </conditionalFormatting>
  <conditionalFormatting sqref="P167:P168">
    <cfRule type="cellIs" dxfId="14097" priority="40" operator="greaterThan">
      <formula>0</formula>
    </cfRule>
  </conditionalFormatting>
  <conditionalFormatting sqref="Q161">
    <cfRule type="cellIs" dxfId="14096" priority="39" operator="lessThan">
      <formula>0</formula>
    </cfRule>
  </conditionalFormatting>
  <conditionalFormatting sqref="R161">
    <cfRule type="cellIs" dxfId="14095" priority="37" operator="lessThan">
      <formula>0.8</formula>
    </cfRule>
    <cfRule type="cellIs" dxfId="14094" priority="38" operator="greaterThan">
      <formula>1</formula>
    </cfRule>
  </conditionalFormatting>
  <conditionalFormatting sqref="R161">
    <cfRule type="cellIs" dxfId="14093" priority="35" operator="greaterThan">
      <formula>1</formula>
    </cfRule>
    <cfRule type="cellIs" dxfId="14092" priority="36" operator="lessThan">
      <formula>0.8</formula>
    </cfRule>
  </conditionalFormatting>
  <conditionalFormatting sqref="P161">
    <cfRule type="cellIs" dxfId="14091" priority="34" operator="greaterThan">
      <formula>0</formula>
    </cfRule>
  </conditionalFormatting>
  <conditionalFormatting sqref="Q162:Q166">
    <cfRule type="cellIs" dxfId="14090" priority="33" operator="lessThan">
      <formula>0</formula>
    </cfRule>
  </conditionalFormatting>
  <conditionalFormatting sqref="R162:R166">
    <cfRule type="cellIs" dxfId="14089" priority="31" operator="lessThan">
      <formula>0.8</formula>
    </cfRule>
    <cfRule type="cellIs" dxfId="14088" priority="32" operator="greaterThan">
      <formula>1</formula>
    </cfRule>
  </conditionalFormatting>
  <conditionalFormatting sqref="R162:R166">
    <cfRule type="cellIs" dxfId="14087" priority="29" operator="greaterThan">
      <formula>1</formula>
    </cfRule>
    <cfRule type="cellIs" dxfId="14086" priority="30" operator="lessThan">
      <formula>0.8</formula>
    </cfRule>
  </conditionalFormatting>
  <conditionalFormatting sqref="P162:P166">
    <cfRule type="cellIs" dxfId="14085" priority="28" operator="greaterThan">
      <formula>0</formula>
    </cfRule>
  </conditionalFormatting>
  <conditionalFormatting sqref="Q161">
    <cfRule type="cellIs" dxfId="14084" priority="27" operator="lessThan">
      <formula>0</formula>
    </cfRule>
  </conditionalFormatting>
  <conditionalFormatting sqref="R161">
    <cfRule type="cellIs" dxfId="14083" priority="25" operator="lessThan">
      <formula>0.8</formula>
    </cfRule>
    <cfRule type="cellIs" dxfId="14082" priority="26" operator="greaterThan">
      <formula>1</formula>
    </cfRule>
  </conditionalFormatting>
  <conditionalFormatting sqref="R161">
    <cfRule type="cellIs" dxfId="14081" priority="23" operator="greaterThan">
      <formula>1</formula>
    </cfRule>
    <cfRule type="cellIs" dxfId="14080" priority="24" operator="lessThan">
      <formula>0.8</formula>
    </cfRule>
  </conditionalFormatting>
  <conditionalFormatting sqref="P161">
    <cfRule type="cellIs" dxfId="14079" priority="22" operator="greaterThan">
      <formula>0</formula>
    </cfRule>
  </conditionalFormatting>
  <conditionalFormatting sqref="Q162:Q166">
    <cfRule type="cellIs" dxfId="14078" priority="21" operator="lessThan">
      <formula>0</formula>
    </cfRule>
  </conditionalFormatting>
  <conditionalFormatting sqref="R162:R166">
    <cfRule type="cellIs" dxfId="14077" priority="19" operator="lessThan">
      <formula>0.8</formula>
    </cfRule>
    <cfRule type="cellIs" dxfId="14076" priority="20" operator="greaterThan">
      <formula>1</formula>
    </cfRule>
  </conditionalFormatting>
  <conditionalFormatting sqref="R162:R166">
    <cfRule type="cellIs" dxfId="14075" priority="17" operator="greaterThan">
      <formula>1</formula>
    </cfRule>
    <cfRule type="cellIs" dxfId="14074" priority="18" operator="lessThan">
      <formula>0.8</formula>
    </cfRule>
  </conditionalFormatting>
  <conditionalFormatting sqref="P162:P166">
    <cfRule type="cellIs" dxfId="14073" priority="16" operator="greaterThan">
      <formula>0</formula>
    </cfRule>
  </conditionalFormatting>
  <conditionalFormatting sqref="Q161">
    <cfRule type="cellIs" dxfId="14072" priority="15" operator="lessThan">
      <formula>0</formula>
    </cfRule>
  </conditionalFormatting>
  <conditionalFormatting sqref="R161">
    <cfRule type="cellIs" dxfId="14071" priority="13" operator="lessThan">
      <formula>0.8</formula>
    </cfRule>
    <cfRule type="cellIs" dxfId="14070" priority="14" operator="greaterThan">
      <formula>1</formula>
    </cfRule>
  </conditionalFormatting>
  <conditionalFormatting sqref="R161">
    <cfRule type="cellIs" dxfId="14069" priority="11" operator="greaterThan">
      <formula>1</formula>
    </cfRule>
    <cfRule type="cellIs" dxfId="14068" priority="12" operator="lessThan">
      <formula>0.8</formula>
    </cfRule>
  </conditionalFormatting>
  <conditionalFormatting sqref="P161">
    <cfRule type="cellIs" dxfId="14067" priority="10" operator="greaterThan">
      <formula>0</formula>
    </cfRule>
  </conditionalFormatting>
  <conditionalFormatting sqref="P167:P168">
    <cfRule type="cellIs" dxfId="14066" priority="4" operator="greaterThan">
      <formula>0</formula>
    </cfRule>
  </conditionalFormatting>
  <conditionalFormatting sqref="R167:R168">
    <cfRule type="cellIs" dxfId="14065" priority="7" operator="lessThan">
      <formula>0.8</formula>
    </cfRule>
    <cfRule type="cellIs" dxfId="14064" priority="8" operator="greaterThan">
      <formula>1</formula>
    </cfRule>
  </conditionalFormatting>
  <conditionalFormatting sqref="R167:R168">
    <cfRule type="cellIs" dxfId="14063" priority="5" operator="greaterThan">
      <formula>1</formula>
    </cfRule>
    <cfRule type="cellIs" dxfId="14062" priority="6" operator="lessThan">
      <formula>0.8</formula>
    </cfRule>
  </conditionalFormatting>
  <conditionalFormatting sqref="Q167:Q168">
    <cfRule type="cellIs" dxfId="14061" priority="9" operator="lessThan">
      <formula>0</formula>
    </cfRule>
  </conditionalFormatting>
  <conditionalFormatting sqref="AF30">
    <cfRule type="cellIs" dxfId="14060" priority="3" operator="lessThan">
      <formula>0</formula>
    </cfRule>
  </conditionalFormatting>
  <conditionalFormatting sqref="AG30">
    <cfRule type="cellIs" dxfId="14059" priority="1" operator="greaterThan">
      <formula>1</formula>
    </cfRule>
    <cfRule type="cellIs" dxfId="14058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R36" sqref="R36"/>
    </sheetView>
  </sheetViews>
  <sheetFormatPr defaultColWidth="8.125" defaultRowHeight="15.75"/>
  <cols>
    <col min="1" max="1" width="8.125" style="2"/>
    <col min="2" max="2" width="7.125" style="2" customWidth="1"/>
    <col min="3" max="3" width="7.125" style="61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27" t="s">
        <v>0</v>
      </c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9"/>
      <c r="N1" s="1"/>
      <c r="O1" s="1"/>
    </row>
    <row r="2" spans="2:17" ht="27.75" customHeight="1">
      <c r="B2" s="527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9"/>
      <c r="N2" s="1"/>
      <c r="O2" s="1"/>
    </row>
    <row r="3" spans="2:17" ht="46.5" customHeight="1">
      <c r="B3" s="521" t="s">
        <v>1</v>
      </c>
      <c r="C3" s="522"/>
      <c r="D3" s="530" t="s">
        <v>383</v>
      </c>
      <c r="E3" s="531"/>
      <c r="F3" s="521" t="s">
        <v>2</v>
      </c>
      <c r="G3" s="522"/>
      <c r="H3" s="532">
        <v>215724.30000000002</v>
      </c>
      <c r="I3" s="533"/>
      <c r="J3" s="521" t="s">
        <v>3</v>
      </c>
      <c r="K3" s="522"/>
      <c r="L3" s="534">
        <v>7090538.1265729209</v>
      </c>
      <c r="M3" s="535"/>
      <c r="N3" s="3"/>
    </row>
    <row r="4" spans="2:17" ht="24" customHeight="1">
      <c r="B4" s="521" t="s">
        <v>4</v>
      </c>
      <c r="C4" s="522"/>
      <c r="D4" s="513" t="s">
        <v>5</v>
      </c>
      <c r="E4" s="514"/>
      <c r="F4" s="525" t="s">
        <v>6</v>
      </c>
      <c r="G4" s="526"/>
      <c r="H4" s="525" t="s">
        <v>7</v>
      </c>
      <c r="I4" s="526"/>
      <c r="J4" s="525" t="s">
        <v>8</v>
      </c>
      <c r="K4" s="526"/>
      <c r="L4" s="525" t="s">
        <v>9</v>
      </c>
      <c r="M4" s="526"/>
      <c r="N4" s="505" t="s">
        <v>10</v>
      </c>
      <c r="O4" s="506"/>
      <c r="P4" s="506" t="s">
        <v>11</v>
      </c>
      <c r="Q4" s="506"/>
    </row>
    <row r="5" spans="2:17" ht="24" customHeight="1">
      <c r="B5" s="507" t="s">
        <v>12</v>
      </c>
      <c r="C5" s="508"/>
      <c r="D5" s="513" t="s">
        <v>13</v>
      </c>
      <c r="E5" s="514"/>
      <c r="F5" s="513" t="s">
        <v>14</v>
      </c>
      <c r="G5" s="514"/>
      <c r="H5" s="515" t="s">
        <v>15</v>
      </c>
      <c r="I5" s="516"/>
      <c r="J5" s="517" t="s">
        <v>16</v>
      </c>
      <c r="K5" s="518"/>
      <c r="L5" s="519" t="s">
        <v>17</v>
      </c>
      <c r="M5" s="520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509"/>
      <c r="C6" s="510"/>
      <c r="D6" s="521" t="s">
        <v>21</v>
      </c>
      <c r="E6" s="522"/>
      <c r="F6" s="523">
        <f>AVERAGE(D13:O13,P13:Q13,D30:F30,H30,J30:L30)</f>
        <v>359.07166537774361</v>
      </c>
      <c r="G6" s="524"/>
      <c r="H6" s="499">
        <f>AVERAGE(D13:P13,Q13)</f>
        <v>146.10749806661539</v>
      </c>
      <c r="I6" s="500"/>
      <c r="J6" s="499">
        <f>AVERAGE(D30:F30,H30)</f>
        <v>717.5</v>
      </c>
      <c r="K6" s="500"/>
      <c r="L6" s="501">
        <f>AVERAGE(J30:L30)</f>
        <v>875</v>
      </c>
      <c r="M6" s="502"/>
      <c r="N6" s="503">
        <v>0</v>
      </c>
      <c r="O6" s="488">
        <v>0</v>
      </c>
      <c r="P6" s="504">
        <v>3</v>
      </c>
      <c r="Q6" s="488">
        <v>2</v>
      </c>
    </row>
    <row r="7" spans="2:17" s="6" customFormat="1" ht="39.6" customHeight="1">
      <c r="B7" s="509"/>
      <c r="C7" s="510"/>
      <c r="D7" s="489" t="s">
        <v>22</v>
      </c>
      <c r="E7" s="490"/>
      <c r="F7" s="491">
        <f>AVERAGE(D14:O14,P14:Q14,D31:F31,J31:L31,H31)</f>
        <v>322.72396576802868</v>
      </c>
      <c r="G7" s="492"/>
      <c r="H7" s="493">
        <f>AVERAGE(D14:P14,Q14)</f>
        <v>128.5593608598038</v>
      </c>
      <c r="I7" s="494"/>
      <c r="J7" s="493">
        <f>AVERAGE(D31:F31,H31)</f>
        <v>685.8359955838157</v>
      </c>
      <c r="K7" s="494"/>
      <c r="L7" s="495">
        <f>AVERAGE(J31:L31)</f>
        <v>744.67608225202855</v>
      </c>
      <c r="M7" s="496"/>
      <c r="N7" s="503"/>
      <c r="O7" s="488"/>
      <c r="P7" s="504"/>
      <c r="Q7" s="488"/>
    </row>
    <row r="8" spans="2:17" s="6" customFormat="1" ht="39.6" customHeight="1">
      <c r="B8" s="511"/>
      <c r="C8" s="512"/>
      <c r="D8" s="489" t="s">
        <v>23</v>
      </c>
      <c r="E8" s="490"/>
      <c r="F8" s="497">
        <f>AVERAGE(D15:O15,P15:Q15,D32:F32,H32,J32:K32,L32)</f>
        <v>0.88592975011399167</v>
      </c>
      <c r="G8" s="498"/>
      <c r="H8" s="497">
        <f>AVERAGE(D15:O15,P15:Q15)</f>
        <v>0.87829031623408393</v>
      </c>
      <c r="I8" s="498"/>
      <c r="J8" s="497">
        <f>AVERAGE(D32:F32,H32)</f>
        <v>0.93819355268070881</v>
      </c>
      <c r="K8" s="498"/>
      <c r="L8" s="497">
        <f>AVERAGE(J32:L32)</f>
        <v>0.8518953714646047</v>
      </c>
      <c r="M8" s="498"/>
      <c r="N8" s="503"/>
      <c r="O8" s="488"/>
      <c r="P8" s="504"/>
      <c r="Q8" s="48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462" t="s">
        <v>24</v>
      </c>
      <c r="C10" s="484"/>
      <c r="D10" s="485" t="s">
        <v>25</v>
      </c>
      <c r="E10" s="486"/>
      <c r="F10" s="486"/>
      <c r="G10" s="486"/>
      <c r="H10" s="486"/>
      <c r="I10" s="486"/>
      <c r="J10" s="486"/>
      <c r="K10" s="486"/>
      <c r="L10" s="486"/>
      <c r="M10" s="486"/>
      <c r="N10" s="486"/>
      <c r="O10" s="486"/>
      <c r="P10" s="486"/>
      <c r="Q10" s="487"/>
    </row>
    <row r="11" spans="2:17" ht="17.25" customHeight="1">
      <c r="B11" s="470" t="s">
        <v>26</v>
      </c>
      <c r="C11" s="47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50000000000003" customHeight="1">
      <c r="B12" s="472"/>
      <c r="C12" s="473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50000000000003" customHeight="1">
      <c r="B13" s="474" t="s">
        <v>41</v>
      </c>
      <c r="C13" s="14" t="s">
        <v>42</v>
      </c>
      <c r="D13" s="15">
        <v>109.07529239766082</v>
      </c>
      <c r="E13" s="15">
        <v>94.00093370681607</v>
      </c>
      <c r="F13" s="15">
        <v>138.53182636077375</v>
      </c>
      <c r="G13" s="15">
        <v>257.5555555555556</v>
      </c>
      <c r="H13" s="15">
        <v>250</v>
      </c>
      <c r="I13" s="15">
        <v>87.873015873015873</v>
      </c>
      <c r="J13" s="15">
        <v>107.40233918128656</v>
      </c>
      <c r="K13" s="15">
        <v>323.59375</v>
      </c>
      <c r="L13" s="15">
        <v>84.573129251700692</v>
      </c>
      <c r="M13" s="15">
        <v>82.46974574917688</v>
      </c>
      <c r="N13" s="15">
        <v>84.656346749226003</v>
      </c>
      <c r="O13" s="15">
        <v>80.248562582927917</v>
      </c>
      <c r="P13" s="15">
        <v>195.52447552447552</v>
      </c>
      <c r="Q13" s="16">
        <v>150</v>
      </c>
    </row>
    <row r="14" spans="2:17" ht="39.950000000000003" customHeight="1">
      <c r="B14" s="475"/>
      <c r="C14" s="14" t="s">
        <v>43</v>
      </c>
      <c r="D14" s="15">
        <v>95.92637939382432</v>
      </c>
      <c r="E14" s="15">
        <v>79.566137326900659</v>
      </c>
      <c r="F14" s="15">
        <v>126.19862798200722</v>
      </c>
      <c r="G14" s="15">
        <v>226.01935093635765</v>
      </c>
      <c r="H14" s="15">
        <v>207.11087470620842</v>
      </c>
      <c r="I14" s="15">
        <v>76.924295544575244</v>
      </c>
      <c r="J14" s="15">
        <v>93.326017388087251</v>
      </c>
      <c r="K14" s="15">
        <v>276.69188028494057</v>
      </c>
      <c r="L14" s="15">
        <v>72.836886555727219</v>
      </c>
      <c r="M14" s="15">
        <v>66.830528307002922</v>
      </c>
      <c r="N14" s="15">
        <v>74.825386673269477</v>
      </c>
      <c r="O14" s="15">
        <v>69.989355255991256</v>
      </c>
      <c r="P14" s="15">
        <v>191.80549834902769</v>
      </c>
      <c r="Q14" s="16">
        <v>141.77983333333333</v>
      </c>
    </row>
    <row r="15" spans="2:17" ht="39.950000000000003" customHeight="1">
      <c r="B15" s="476"/>
      <c r="C15" s="10" t="s">
        <v>44</v>
      </c>
      <c r="D15" s="17">
        <f t="shared" ref="D15:P15" si="0">D14/D13</f>
        <v>0.87945104051705036</v>
      </c>
      <c r="E15" s="17">
        <f t="shared" si="0"/>
        <v>0.84643986170459995</v>
      </c>
      <c r="F15" s="17">
        <f t="shared" si="0"/>
        <v>0.9109720942633962</v>
      </c>
      <c r="G15" s="17">
        <f t="shared" si="0"/>
        <v>0.87755571977015467</v>
      </c>
      <c r="H15" s="17">
        <f t="shared" si="0"/>
        <v>0.8284434988248337</v>
      </c>
      <c r="I15" s="17">
        <f t="shared" si="0"/>
        <v>0.87540292978833822</v>
      </c>
      <c r="J15" s="17">
        <f t="shared" si="0"/>
        <v>0.86893840580660342</v>
      </c>
      <c r="K15" s="17">
        <f t="shared" si="0"/>
        <v>0.85505940793028468</v>
      </c>
      <c r="L15" s="17">
        <f t="shared" si="0"/>
        <v>0.86122965060161272</v>
      </c>
      <c r="M15" s="17">
        <f t="shared" si="0"/>
        <v>0.81036418507049834</v>
      </c>
      <c r="N15" s="17">
        <f t="shared" si="0"/>
        <v>0.88387214363173061</v>
      </c>
      <c r="O15" s="17">
        <f t="shared" si="0"/>
        <v>0.87215712036792037</v>
      </c>
      <c r="P15" s="17">
        <f t="shared" si="0"/>
        <v>0.98097948011126468</v>
      </c>
      <c r="Q15" s="18">
        <f>Q14/Q13</f>
        <v>0.94519888888888881</v>
      </c>
    </row>
    <row r="16" spans="2:17" ht="22.9" customHeight="1">
      <c r="B16" s="477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9" customHeight="1">
      <c r="B17" s="478"/>
      <c r="C17" s="10" t="s">
        <v>47</v>
      </c>
      <c r="D17" s="19">
        <v>0.69027777777777777</v>
      </c>
      <c r="E17" s="19">
        <v>0.5444444444444444</v>
      </c>
      <c r="F17" s="19">
        <v>0.50416666666666654</v>
      </c>
      <c r="G17" s="19">
        <v>0.52777777777777779</v>
      </c>
      <c r="H17" s="19">
        <v>0.65208333333333335</v>
      </c>
      <c r="I17" s="19">
        <v>0.70972222222222203</v>
      </c>
      <c r="J17" s="19">
        <v>0.81597222222222232</v>
      </c>
      <c r="K17" s="19">
        <v>0.57499999999999996</v>
      </c>
      <c r="L17" s="19">
        <v>0.83402777777777781</v>
      </c>
      <c r="M17" s="19">
        <v>0.98958333333333326</v>
      </c>
      <c r="N17" s="19">
        <v>1.0138888888888891</v>
      </c>
      <c r="O17" s="19">
        <v>0.87916666666666665</v>
      </c>
      <c r="P17" s="19">
        <v>0.63124999999999998</v>
      </c>
      <c r="Q17" s="20">
        <v>0.60763888888888895</v>
      </c>
    </row>
    <row r="18" spans="2:17" ht="22.9" customHeight="1">
      <c r="B18" s="479" t="s">
        <v>48</v>
      </c>
      <c r="C18" s="480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9" customHeight="1">
      <c r="B19" s="481"/>
      <c r="C19" s="482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9" customHeight="1">
      <c r="B20" s="479" t="s">
        <v>50</v>
      </c>
      <c r="C20" s="480"/>
      <c r="D20" s="21">
        <v>1</v>
      </c>
      <c r="E20" s="21" t="s">
        <v>49</v>
      </c>
      <c r="F20" s="21" t="s">
        <v>49</v>
      </c>
      <c r="G20" s="21">
        <v>1</v>
      </c>
      <c r="H20" s="21">
        <v>1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9" customHeight="1">
      <c r="B21" s="481"/>
      <c r="C21" s="482"/>
      <c r="D21" s="21" t="s">
        <v>49</v>
      </c>
      <c r="E21" s="21" t="s">
        <v>49</v>
      </c>
      <c r="F21" s="21" t="s">
        <v>49</v>
      </c>
      <c r="G21" s="21">
        <v>1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>
        <v>1</v>
      </c>
      <c r="Q21" s="22"/>
    </row>
    <row r="22" spans="2:17" ht="22.9" customHeight="1">
      <c r="B22" s="458" t="s">
        <v>51</v>
      </c>
      <c r="C22" s="459"/>
      <c r="D22" s="23">
        <v>18.375</v>
      </c>
      <c r="E22" s="23">
        <v>17.571428571428573</v>
      </c>
      <c r="F22" s="23">
        <v>14.833333333333334</v>
      </c>
      <c r="G22" s="23">
        <v>6.333333333333333</v>
      </c>
      <c r="H22" s="23">
        <v>6.75</v>
      </c>
      <c r="I22" s="23">
        <v>16.2</v>
      </c>
      <c r="J22" s="23">
        <v>16</v>
      </c>
      <c r="K22" s="23">
        <v>8.6666666666666661</v>
      </c>
      <c r="L22" s="23">
        <v>17.285714285714285</v>
      </c>
      <c r="M22" s="23">
        <v>18.399999999999999</v>
      </c>
      <c r="N22" s="23">
        <v>17.428571428571427</v>
      </c>
      <c r="O22" s="23">
        <v>17.8</v>
      </c>
      <c r="P22" s="23">
        <v>11.6</v>
      </c>
      <c r="Q22" s="24">
        <v>10.8</v>
      </c>
    </row>
    <row r="23" spans="2:17" ht="22.9" customHeight="1">
      <c r="B23" s="458" t="s">
        <v>52</v>
      </c>
      <c r="C23" s="459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9" customHeight="1">
      <c r="B24" s="458" t="s">
        <v>58</v>
      </c>
      <c r="C24" s="45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9" customHeight="1" thickBot="1">
      <c r="B25" s="460" t="s">
        <v>59</v>
      </c>
      <c r="C25" s="461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5" thickBot="1">
      <c r="B26" s="483"/>
      <c r="C26" s="483"/>
    </row>
    <row r="27" spans="2:17" ht="30" customHeight="1" thickBot="1">
      <c r="B27" s="462" t="s">
        <v>24</v>
      </c>
      <c r="C27" s="463"/>
      <c r="D27" s="464" t="s">
        <v>64</v>
      </c>
      <c r="E27" s="465"/>
      <c r="F27" s="465"/>
      <c r="G27" s="465"/>
      <c r="H27" s="466"/>
      <c r="I27" s="467" t="s">
        <v>65</v>
      </c>
      <c r="J27" s="468"/>
      <c r="K27" s="468"/>
      <c r="L27" s="468"/>
      <c r="M27" s="469"/>
    </row>
    <row r="28" spans="2:17" ht="17.25" customHeight="1">
      <c r="B28" s="470" t="s">
        <v>26</v>
      </c>
      <c r="C28" s="471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472"/>
      <c r="C29" s="473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50000000000003" customHeight="1">
      <c r="B30" s="474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50000000000003" customHeight="1">
      <c r="B31" s="475"/>
      <c r="C31" s="34" t="s">
        <v>43</v>
      </c>
      <c r="D31" s="15">
        <v>272.58870967741944</v>
      </c>
      <c r="E31" s="15">
        <v>741.92358193277357</v>
      </c>
      <c r="F31" s="15">
        <v>799.01989934185065</v>
      </c>
      <c r="G31" s="15">
        <v>0</v>
      </c>
      <c r="H31" s="41">
        <v>929.81179138321932</v>
      </c>
      <c r="I31" s="42">
        <v>0</v>
      </c>
      <c r="J31" s="15">
        <v>726.98181818181649</v>
      </c>
      <c r="K31" s="15">
        <v>623.94285714285706</v>
      </c>
      <c r="L31" s="15">
        <v>883.10357143141232</v>
      </c>
      <c r="M31" s="16">
        <v>770.37499999999727</v>
      </c>
    </row>
    <row r="32" spans="2:17" ht="39.950000000000003" customHeight="1">
      <c r="B32" s="476"/>
      <c r="C32" s="43" t="s">
        <v>44</v>
      </c>
      <c r="D32" s="17">
        <f t="shared" ref="D32:M32" si="1">D31/D30</f>
        <v>0.85183971774193579</v>
      </c>
      <c r="E32" s="17">
        <f t="shared" si="1"/>
        <v>0.89930131143366498</v>
      </c>
      <c r="F32" s="17">
        <f t="shared" si="1"/>
        <v>0.9685089688992129</v>
      </c>
      <c r="G32" s="17">
        <f t="shared" si="1"/>
        <v>0</v>
      </c>
      <c r="H32" s="44">
        <f t="shared" si="1"/>
        <v>1.0331242126480216</v>
      </c>
      <c r="I32" s="45">
        <f t="shared" si="1"/>
        <v>0</v>
      </c>
      <c r="J32" s="17">
        <f t="shared" si="1"/>
        <v>0.88119008264462606</v>
      </c>
      <c r="K32" s="17">
        <f t="shared" si="1"/>
        <v>0.69326984126984115</v>
      </c>
      <c r="L32" s="17">
        <f t="shared" si="1"/>
        <v>0.981226190479347</v>
      </c>
      <c r="M32" s="18">
        <f t="shared" si="1"/>
        <v>0.85597222222221914</v>
      </c>
    </row>
    <row r="33" spans="2:13" ht="25.9" customHeight="1">
      <c r="B33" s="477" t="s">
        <v>45</v>
      </c>
      <c r="C33" s="43" t="s">
        <v>46</v>
      </c>
      <c r="D33" s="19">
        <v>0.18055555555555555</v>
      </c>
      <c r="E33" s="19">
        <v>0.18055555555555555</v>
      </c>
      <c r="F33" s="19">
        <v>0.18055555555555555</v>
      </c>
      <c r="G33" s="19">
        <v>0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9" customHeight="1">
      <c r="B34" s="478"/>
      <c r="C34" s="43" t="s">
        <v>47</v>
      </c>
      <c r="D34" s="19">
        <v>0.2298611111111111</v>
      </c>
      <c r="E34" s="19">
        <v>0.375</v>
      </c>
      <c r="F34" s="19">
        <v>0.36388888888888887</v>
      </c>
      <c r="G34" s="19">
        <v>0</v>
      </c>
      <c r="H34" s="46">
        <v>0.46458333333333335</v>
      </c>
      <c r="I34" s="47">
        <v>0</v>
      </c>
      <c r="J34" s="19">
        <v>0.98958333333333337</v>
      </c>
      <c r="K34" s="19">
        <v>0.79513888888888884</v>
      </c>
      <c r="L34" s="19">
        <v>46062.09375</v>
      </c>
      <c r="M34" s="20">
        <v>0.76736111111111116</v>
      </c>
    </row>
    <row r="35" spans="2:13" ht="25.9" customHeight="1">
      <c r="B35" s="458" t="s">
        <v>51</v>
      </c>
      <c r="C35" s="459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9" customHeight="1">
      <c r="B36" s="458" t="s">
        <v>52</v>
      </c>
      <c r="C36" s="459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9" customHeight="1">
      <c r="B37" s="458" t="s">
        <v>58</v>
      </c>
      <c r="C37" s="459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9" customHeight="1" thickBot="1">
      <c r="B38" s="460" t="s">
        <v>59</v>
      </c>
      <c r="C38" s="461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4" type="noConversion"/>
  <conditionalFormatting sqref="D32 F32:J32 L32">
    <cfRule type="cellIs" dxfId="14057" priority="6" operator="lessThan">
      <formula>0.8</formula>
    </cfRule>
  </conditionalFormatting>
  <conditionalFormatting sqref="M32">
    <cfRule type="cellIs" dxfId="14056" priority="5" operator="lessThan">
      <formula>0.8</formula>
    </cfRule>
  </conditionalFormatting>
  <conditionalFormatting sqref="K32">
    <cfRule type="cellIs" dxfId="14055" priority="4" operator="lessThan">
      <formula>0.8</formula>
    </cfRule>
  </conditionalFormatting>
  <conditionalFormatting sqref="E32">
    <cfRule type="cellIs" dxfId="14054" priority="3" operator="lessThan">
      <formula>0.8</formula>
    </cfRule>
  </conditionalFormatting>
  <conditionalFormatting sqref="D15:P15">
    <cfRule type="cellIs" dxfId="14053" priority="2" operator="lessThan">
      <formula>0.8</formula>
    </cfRule>
  </conditionalFormatting>
  <conditionalFormatting sqref="Q15">
    <cfRule type="cellIs" dxfId="14052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28" zoomScale="85" zoomScaleNormal="85" workbookViewId="0">
      <selection activeCell="F39" sqref="F39"/>
    </sheetView>
  </sheetViews>
  <sheetFormatPr defaultColWidth="7.875" defaultRowHeight="15.75"/>
  <cols>
    <col min="1" max="1" width="13.625" style="371" customWidth="1"/>
    <col min="2" max="2" width="12.75" style="371" customWidth="1"/>
    <col min="3" max="3" width="12.75" style="457" hidden="1" customWidth="1"/>
    <col min="4" max="5" width="18.375" style="371" customWidth="1"/>
    <col min="6" max="6" width="9.75" style="455" customWidth="1"/>
    <col min="7" max="7" width="21.125" style="371" bestFit="1" customWidth="1"/>
    <col min="8" max="8" width="15.625" style="371" customWidth="1"/>
    <col min="9" max="9" width="12.25" style="371" bestFit="1" customWidth="1"/>
    <col min="10" max="15" width="9.75" style="371" customWidth="1"/>
    <col min="16" max="16" width="9.75" style="456" customWidth="1"/>
    <col min="17" max="18" width="9.75" style="371" customWidth="1"/>
    <col min="19" max="16384" width="7.875" style="371"/>
  </cols>
  <sheetData>
    <row r="1" spans="1:18" ht="26.25" customHeight="1">
      <c r="A1" s="362" t="s">
        <v>360</v>
      </c>
      <c r="B1" s="363"/>
      <c r="C1" s="364"/>
      <c r="D1" s="365" t="s">
        <v>82</v>
      </c>
      <c r="E1" s="366">
        <f>SUM(G5:G124)</f>
        <v>74888</v>
      </c>
      <c r="F1" s="367" t="s">
        <v>3</v>
      </c>
      <c r="G1" s="368">
        <f>SUM(H5:H124)</f>
        <v>1468490.2295694838</v>
      </c>
      <c r="H1" s="369" t="s">
        <v>361</v>
      </c>
      <c r="I1" s="370">
        <f>+J16+J64+J24+J38+J51+J81+J100+J91+J57+J124+J111</f>
        <v>37.550000000000004</v>
      </c>
      <c r="J1" s="584" t="s">
        <v>362</v>
      </c>
      <c r="K1" s="585"/>
      <c r="L1" s="586"/>
      <c r="M1" s="584" t="s">
        <v>87</v>
      </c>
      <c r="N1" s="585"/>
      <c r="O1" s="585"/>
      <c r="P1" s="585"/>
      <c r="Q1" s="585"/>
      <c r="R1" s="586"/>
    </row>
    <row r="2" spans="1:18" ht="26.25" customHeight="1" thickBot="1">
      <c r="A2" s="590" t="s">
        <v>377</v>
      </c>
      <c r="B2" s="591"/>
      <c r="C2" s="372"/>
      <c r="D2" s="373" t="s">
        <v>41</v>
      </c>
      <c r="E2" s="374">
        <f>AVERAGE(L16,L24,L38,L51,L100,L111,L91)</f>
        <v>598.47718157735187</v>
      </c>
      <c r="F2" s="375" t="s">
        <v>94</v>
      </c>
      <c r="G2" s="376">
        <f>G1/E1</f>
        <v>19.60915272900176</v>
      </c>
      <c r="H2" s="377" t="s">
        <v>364</v>
      </c>
      <c r="I2" s="378">
        <f>COUNT(I5:I124)</f>
        <v>0</v>
      </c>
      <c r="J2" s="587"/>
      <c r="K2" s="588"/>
      <c r="L2" s="589"/>
      <c r="M2" s="587"/>
      <c r="N2" s="588"/>
      <c r="O2" s="588"/>
      <c r="P2" s="588"/>
      <c r="Q2" s="588"/>
      <c r="R2" s="589"/>
    </row>
    <row r="3" spans="1:18" ht="23.25" customHeight="1">
      <c r="A3" s="592" t="s">
        <v>96</v>
      </c>
      <c r="B3" s="594" t="s">
        <v>365</v>
      </c>
      <c r="C3" s="379"/>
      <c r="D3" s="595" t="s">
        <v>98</v>
      </c>
      <c r="E3" s="595"/>
      <c r="F3" s="596" t="s">
        <v>99</v>
      </c>
      <c r="G3" s="597" t="s">
        <v>366</v>
      </c>
      <c r="H3" s="598" t="s">
        <v>367</v>
      </c>
      <c r="I3" s="599" t="s">
        <v>102</v>
      </c>
      <c r="J3" s="567" t="s">
        <v>106</v>
      </c>
      <c r="K3" s="577" t="s">
        <v>105</v>
      </c>
      <c r="L3" s="579" t="s">
        <v>41</v>
      </c>
      <c r="M3" s="581" t="s">
        <v>109</v>
      </c>
      <c r="N3" s="581"/>
      <c r="O3" s="567" t="s">
        <v>301</v>
      </c>
      <c r="P3" s="582" t="s">
        <v>111</v>
      </c>
      <c r="Q3" s="567" t="s">
        <v>112</v>
      </c>
      <c r="R3" s="567"/>
    </row>
    <row r="4" spans="1:18" ht="15.75" customHeight="1">
      <c r="A4" s="593"/>
      <c r="B4" s="594"/>
      <c r="C4" s="379"/>
      <c r="D4" s="595"/>
      <c r="E4" s="595"/>
      <c r="F4" s="596"/>
      <c r="G4" s="597"/>
      <c r="H4" s="598"/>
      <c r="I4" s="600"/>
      <c r="J4" s="576"/>
      <c r="K4" s="578"/>
      <c r="L4" s="580"/>
      <c r="M4" s="381" t="s">
        <v>116</v>
      </c>
      <c r="N4" s="381" t="s">
        <v>117</v>
      </c>
      <c r="O4" s="576"/>
      <c r="P4" s="583"/>
      <c r="Q4" s="382" t="s">
        <v>118</v>
      </c>
      <c r="R4" s="382" t="s">
        <v>368</v>
      </c>
    </row>
    <row r="5" spans="1:18">
      <c r="A5" s="568" t="s">
        <v>369</v>
      </c>
      <c r="B5" s="383" t="s">
        <v>389</v>
      </c>
      <c r="C5" s="383"/>
      <c r="D5" s="384" t="s">
        <v>370</v>
      </c>
      <c r="E5" s="384"/>
      <c r="F5" s="385">
        <v>29.965493443754308</v>
      </c>
      <c r="G5" s="379">
        <v>2101</v>
      </c>
      <c r="H5" s="386">
        <f>F5*G5</f>
        <v>62957.501725327798</v>
      </c>
      <c r="I5" s="387"/>
      <c r="J5" s="388">
        <v>13</v>
      </c>
      <c r="K5" s="389">
        <f t="shared" ref="K5:K12" si="0">G5/P5*60</f>
        <v>1260.6000000000004</v>
      </c>
      <c r="L5" s="390">
        <f t="shared" ref="L5:L12" si="1">K5/J5</f>
        <v>96.969230769230791</v>
      </c>
      <c r="M5" s="391">
        <v>0.17361111111111113</v>
      </c>
      <c r="N5" s="391">
        <v>0.24305555555555555</v>
      </c>
      <c r="O5" s="382">
        <v>10</v>
      </c>
      <c r="P5" s="392">
        <f t="shared" ref="P5:P80" si="2">(N5-M5)*24*60</f>
        <v>99.999999999999972</v>
      </c>
      <c r="Q5" s="393"/>
      <c r="R5" s="393"/>
    </row>
    <row r="6" spans="1:18">
      <c r="A6" s="568"/>
      <c r="B6" s="383">
        <v>0</v>
      </c>
      <c r="C6" s="383"/>
      <c r="D6" s="384" t="s">
        <v>371</v>
      </c>
      <c r="E6" s="384"/>
      <c r="F6" s="385" t="s">
        <v>391</v>
      </c>
      <c r="G6" s="379">
        <v>1186</v>
      </c>
      <c r="H6" s="386">
        <f t="shared" ref="H6:H113" si="3">F6*G6</f>
        <v>0</v>
      </c>
      <c r="I6" s="387"/>
      <c r="J6" s="388">
        <v>9</v>
      </c>
      <c r="K6" s="389">
        <f t="shared" si="0"/>
        <v>1581.3333333333333</v>
      </c>
      <c r="L6" s="390">
        <f t="shared" si="1"/>
        <v>175.7037037037037</v>
      </c>
      <c r="M6" s="391">
        <v>0.25</v>
      </c>
      <c r="N6" s="391">
        <v>0.28125</v>
      </c>
      <c r="O6" s="382">
        <v>10</v>
      </c>
      <c r="P6" s="392">
        <f t="shared" si="2"/>
        <v>45</v>
      </c>
      <c r="Q6" s="382"/>
      <c r="R6" s="382"/>
    </row>
    <row r="7" spans="1:18">
      <c r="A7" s="568"/>
      <c r="B7" s="383">
        <v>0</v>
      </c>
      <c r="C7" s="383"/>
      <c r="D7" s="384" t="s">
        <v>372</v>
      </c>
      <c r="E7" s="384"/>
      <c r="F7" s="385" t="s">
        <v>391</v>
      </c>
      <c r="G7" s="379">
        <v>1226</v>
      </c>
      <c r="H7" s="386">
        <f t="shared" si="3"/>
        <v>0</v>
      </c>
      <c r="I7" s="387"/>
      <c r="J7" s="388">
        <v>9</v>
      </c>
      <c r="K7" s="389">
        <f t="shared" si="0"/>
        <v>1634.6666666666665</v>
      </c>
      <c r="L7" s="390">
        <f t="shared" si="1"/>
        <v>181.62962962962962</v>
      </c>
      <c r="M7" s="391">
        <v>0.28472222222222221</v>
      </c>
      <c r="N7" s="391">
        <v>0.31597222222222221</v>
      </c>
      <c r="O7" s="382">
        <v>5</v>
      </c>
      <c r="P7" s="392">
        <f t="shared" si="2"/>
        <v>45</v>
      </c>
      <c r="Q7" s="393"/>
      <c r="R7" s="393"/>
    </row>
    <row r="8" spans="1:18">
      <c r="A8" s="568"/>
      <c r="B8" s="383" t="s">
        <v>392</v>
      </c>
      <c r="C8" s="383"/>
      <c r="D8" s="384" t="s">
        <v>373</v>
      </c>
      <c r="E8" s="384"/>
      <c r="F8" s="385">
        <v>19.7</v>
      </c>
      <c r="G8" s="379">
        <v>190</v>
      </c>
      <c r="H8" s="386">
        <f t="shared" si="3"/>
        <v>3743</v>
      </c>
      <c r="I8" s="387"/>
      <c r="J8" s="388">
        <v>12</v>
      </c>
      <c r="K8" s="389">
        <f t="shared" si="0"/>
        <v>1140.0000000000041</v>
      </c>
      <c r="L8" s="390">
        <f t="shared" si="1"/>
        <v>95.000000000000341</v>
      </c>
      <c r="M8" s="391">
        <v>0.31944444444444448</v>
      </c>
      <c r="N8" s="391">
        <v>0.3263888888888889</v>
      </c>
      <c r="O8" s="382">
        <v>5</v>
      </c>
      <c r="P8" s="392">
        <f t="shared" si="2"/>
        <v>9.9999999999999645</v>
      </c>
      <c r="Q8" s="393"/>
      <c r="R8" s="393"/>
    </row>
    <row r="9" spans="1:18">
      <c r="A9" s="568"/>
      <c r="B9" s="383" t="s">
        <v>392</v>
      </c>
      <c r="C9" s="383"/>
      <c r="D9" s="384" t="s">
        <v>308</v>
      </c>
      <c r="E9" s="384"/>
      <c r="F9" s="385">
        <v>27.05</v>
      </c>
      <c r="G9" s="394">
        <v>596</v>
      </c>
      <c r="H9" s="386">
        <f t="shared" si="3"/>
        <v>16121.800000000001</v>
      </c>
      <c r="I9" s="387"/>
      <c r="J9" s="388">
        <v>13</v>
      </c>
      <c r="K9" s="389">
        <f t="shared" si="0"/>
        <v>1430.399999999996</v>
      </c>
      <c r="L9" s="390">
        <f t="shared" si="1"/>
        <v>110.03076923076893</v>
      </c>
      <c r="M9" s="391">
        <v>0.3298611111111111</v>
      </c>
      <c r="N9" s="391">
        <v>0.34722222222222227</v>
      </c>
      <c r="O9" s="382">
        <v>5</v>
      </c>
      <c r="P9" s="392">
        <f t="shared" si="2"/>
        <v>25.000000000000071</v>
      </c>
      <c r="Q9" s="393">
        <v>0.34722222222222227</v>
      </c>
      <c r="R9" s="393">
        <v>0.3888888888888889</v>
      </c>
    </row>
    <row r="10" spans="1:18">
      <c r="A10" s="568"/>
      <c r="B10" s="383" t="s">
        <v>392</v>
      </c>
      <c r="C10" s="383"/>
      <c r="D10" s="384" t="s">
        <v>309</v>
      </c>
      <c r="E10" s="384"/>
      <c r="F10" s="385">
        <v>36.450000000000003</v>
      </c>
      <c r="G10" s="394">
        <v>3030</v>
      </c>
      <c r="H10" s="386">
        <f t="shared" si="3"/>
        <v>110443.50000000001</v>
      </c>
      <c r="I10" s="387"/>
      <c r="J10" s="388">
        <v>10</v>
      </c>
      <c r="K10" s="389">
        <f t="shared" si="0"/>
        <v>1454.4000000000005</v>
      </c>
      <c r="L10" s="390">
        <f t="shared" si="1"/>
        <v>145.44000000000005</v>
      </c>
      <c r="M10" s="391">
        <v>0.3888888888888889</v>
      </c>
      <c r="N10" s="391">
        <v>0.47569444444444442</v>
      </c>
      <c r="O10" s="382">
        <v>5</v>
      </c>
      <c r="P10" s="392">
        <f t="shared" si="2"/>
        <v>124.99999999999996</v>
      </c>
      <c r="Q10" s="393"/>
      <c r="R10" s="393"/>
    </row>
    <row r="11" spans="1:18">
      <c r="A11" s="568"/>
      <c r="B11" s="383" t="s">
        <v>392</v>
      </c>
      <c r="C11" s="383"/>
      <c r="D11" s="384" t="s">
        <v>310</v>
      </c>
      <c r="E11" s="384"/>
      <c r="F11" s="385">
        <v>25.64</v>
      </c>
      <c r="G11" s="394">
        <v>687</v>
      </c>
      <c r="H11" s="386">
        <f t="shared" si="3"/>
        <v>17614.68</v>
      </c>
      <c r="I11" s="387"/>
      <c r="J11" s="388">
        <v>10</v>
      </c>
      <c r="K11" s="389">
        <f t="shared" si="0"/>
        <v>1374.0000000000014</v>
      </c>
      <c r="L11" s="390">
        <f t="shared" si="1"/>
        <v>137.40000000000015</v>
      </c>
      <c r="M11" s="391">
        <v>0.47916666666666669</v>
      </c>
      <c r="N11" s="391">
        <v>0.5</v>
      </c>
      <c r="O11" s="382">
        <v>5</v>
      </c>
      <c r="P11" s="392">
        <f t="shared" si="2"/>
        <v>29.999999999999972</v>
      </c>
      <c r="Q11" s="393"/>
      <c r="R11" s="393"/>
    </row>
    <row r="12" spans="1:18">
      <c r="A12" s="569"/>
      <c r="B12" s="383" t="s">
        <v>392</v>
      </c>
      <c r="C12" s="383"/>
      <c r="D12" s="384" t="s">
        <v>311</v>
      </c>
      <c r="E12" s="384"/>
      <c r="F12" s="385">
        <v>29.52</v>
      </c>
      <c r="G12" s="394">
        <v>1186</v>
      </c>
      <c r="H12" s="386">
        <f t="shared" si="3"/>
        <v>35010.720000000001</v>
      </c>
      <c r="I12" s="387"/>
      <c r="J12" s="388">
        <v>12</v>
      </c>
      <c r="K12" s="389">
        <f t="shared" si="0"/>
        <v>1778.9999999999993</v>
      </c>
      <c r="L12" s="390">
        <f t="shared" si="1"/>
        <v>148.24999999999994</v>
      </c>
      <c r="M12" s="391">
        <v>0.50347222222222221</v>
      </c>
      <c r="N12" s="391">
        <v>0.53125</v>
      </c>
      <c r="O12" s="382">
        <v>5</v>
      </c>
      <c r="P12" s="392">
        <f t="shared" si="2"/>
        <v>40.000000000000014</v>
      </c>
      <c r="Q12" s="393"/>
      <c r="R12" s="393"/>
    </row>
    <row r="13" spans="1:18">
      <c r="A13" s="569"/>
      <c r="B13" s="383" t="s">
        <v>392</v>
      </c>
      <c r="C13" s="395"/>
      <c r="D13" s="384" t="s">
        <v>312</v>
      </c>
      <c r="E13" s="384"/>
      <c r="F13" s="385">
        <v>29.856999999999999</v>
      </c>
      <c r="G13" s="396">
        <v>1126</v>
      </c>
      <c r="H13" s="386">
        <f t="shared" si="3"/>
        <v>33618.981999999996</v>
      </c>
      <c r="I13" s="387"/>
      <c r="J13" s="388">
        <v>12</v>
      </c>
      <c r="K13" s="389">
        <f>G13/P13*60</f>
        <v>1688.9999999999995</v>
      </c>
      <c r="L13" s="390">
        <f>K13/J13</f>
        <v>140.74999999999997</v>
      </c>
      <c r="M13" s="391">
        <v>0.53472222222222221</v>
      </c>
      <c r="N13" s="391">
        <v>0.5625</v>
      </c>
      <c r="O13" s="382">
        <v>5</v>
      </c>
      <c r="P13" s="392">
        <f t="shared" si="2"/>
        <v>40.000000000000014</v>
      </c>
      <c r="Q13" s="393"/>
      <c r="R13" s="382"/>
    </row>
    <row r="14" spans="1:18">
      <c r="A14" s="569"/>
      <c r="B14" s="383" t="s">
        <v>389</v>
      </c>
      <c r="C14" s="383"/>
      <c r="D14" s="397" t="s">
        <v>313</v>
      </c>
      <c r="E14" s="398"/>
      <c r="F14" s="385">
        <v>28.57</v>
      </c>
      <c r="G14" s="394">
        <v>1493</v>
      </c>
      <c r="H14" s="386">
        <f t="shared" si="3"/>
        <v>42655.01</v>
      </c>
      <c r="I14" s="387"/>
      <c r="J14" s="388">
        <v>8</v>
      </c>
      <c r="K14" s="389">
        <f>G14/P14*60</f>
        <v>1492.9999999999975</v>
      </c>
      <c r="L14" s="390">
        <f>K14/J14</f>
        <v>186.62499999999969</v>
      </c>
      <c r="M14" s="391">
        <v>0.56597222222222221</v>
      </c>
      <c r="N14" s="391">
        <v>0.60763888888888895</v>
      </c>
      <c r="O14" s="382">
        <v>5</v>
      </c>
      <c r="P14" s="392">
        <f t="shared" si="2"/>
        <v>60.000000000000107</v>
      </c>
      <c r="Q14" s="382"/>
      <c r="R14" s="382"/>
    </row>
    <row r="15" spans="1:18">
      <c r="A15" s="569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70"/>
      <c r="B16" s="383">
        <v>0</v>
      </c>
      <c r="C16" s="400" t="s">
        <v>79</v>
      </c>
      <c r="D16" s="552" t="s">
        <v>75</v>
      </c>
      <c r="E16" s="552"/>
      <c r="F16" s="401"/>
      <c r="G16" s="402"/>
      <c r="H16" s="403"/>
      <c r="I16" s="404"/>
      <c r="J16" s="405">
        <f>AVERAGE(J5:J15)</f>
        <v>10.8</v>
      </c>
      <c r="K16" s="405">
        <f>AVERAGE(K5:K15)</f>
        <v>1483.64</v>
      </c>
      <c r="L16" s="406">
        <f>AVERAGE(L5:L15)</f>
        <v>141.77983333333333</v>
      </c>
      <c r="M16" s="391"/>
      <c r="N16" s="391"/>
      <c r="O16" s="389"/>
      <c r="P16" s="389"/>
      <c r="Q16" s="390"/>
      <c r="R16" s="390"/>
    </row>
    <row r="17" spans="1:18" ht="15.75" customHeight="1">
      <c r="A17" s="571" t="s">
        <v>314</v>
      </c>
      <c r="B17" s="383" t="s">
        <v>392</v>
      </c>
      <c r="C17" s="395"/>
      <c r="D17" s="574" t="s">
        <v>315</v>
      </c>
      <c r="E17" s="575"/>
      <c r="F17" s="385">
        <v>14.03</v>
      </c>
      <c r="G17" s="379">
        <v>495</v>
      </c>
      <c r="H17" s="407">
        <f t="shared" ref="H17:H23" si="4">F17*G17</f>
        <v>6944.8499999999995</v>
      </c>
      <c r="I17" s="408"/>
      <c r="J17" s="388">
        <v>6</v>
      </c>
      <c r="K17" s="389">
        <f>G17/P17*60</f>
        <v>1484.9999999999995</v>
      </c>
      <c r="L17" s="390">
        <f>K17/J17</f>
        <v>247.49999999999991</v>
      </c>
      <c r="M17" s="391">
        <v>0.18055555555555555</v>
      </c>
      <c r="N17" s="391">
        <v>0.19444444444444445</v>
      </c>
      <c r="O17" s="382">
        <v>20</v>
      </c>
      <c r="P17" s="392">
        <f>(N17-M17)*24*60</f>
        <v>20.000000000000007</v>
      </c>
      <c r="Q17" s="382"/>
      <c r="R17" s="382"/>
    </row>
    <row r="18" spans="1:18" ht="15.75" customHeight="1">
      <c r="A18" s="571"/>
      <c r="B18" s="383" t="s">
        <v>389</v>
      </c>
      <c r="C18" s="395"/>
      <c r="D18" s="562" t="s">
        <v>316</v>
      </c>
      <c r="E18" s="563"/>
      <c r="F18" s="385">
        <v>14.49</v>
      </c>
      <c r="G18" s="396">
        <v>769</v>
      </c>
      <c r="H18" s="386">
        <f t="shared" si="4"/>
        <v>11142.81</v>
      </c>
      <c r="I18" s="387"/>
      <c r="J18" s="388">
        <v>5</v>
      </c>
      <c r="K18" s="389">
        <f>G18/P18*60</f>
        <v>1488.387096774195</v>
      </c>
      <c r="L18" s="390">
        <f>K18/J18</f>
        <v>297.677419354839</v>
      </c>
      <c r="M18" s="391">
        <v>0.20833333333333334</v>
      </c>
      <c r="N18" s="391">
        <v>0.2298611111111111</v>
      </c>
      <c r="O18" s="382">
        <v>20</v>
      </c>
      <c r="P18" s="392">
        <f t="shared" ref="P18:P23" si="5">(N18-M18)*24*60</f>
        <v>30.999999999999972</v>
      </c>
      <c r="Q18" s="393"/>
      <c r="R18" s="393"/>
    </row>
    <row r="19" spans="1:18" ht="15.75" customHeight="1">
      <c r="A19" s="571"/>
      <c r="B19" s="383">
        <v>0</v>
      </c>
      <c r="C19" s="395"/>
      <c r="D19" s="562"/>
      <c r="E19" s="563"/>
      <c r="F19" s="385" t="s">
        <v>391</v>
      </c>
      <c r="G19" s="396"/>
      <c r="H19" s="386">
        <f t="shared" si="4"/>
        <v>0</v>
      </c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72"/>
      <c r="B20" s="383">
        <v>0</v>
      </c>
      <c r="C20" s="395"/>
      <c r="D20" s="411"/>
      <c r="E20" s="398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72"/>
      <c r="B21" s="383">
        <v>0</v>
      </c>
      <c r="C21" s="395"/>
      <c r="D21" s="411"/>
      <c r="E21" s="398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72"/>
      <c r="B22" s="383">
        <v>0</v>
      </c>
      <c r="C22" s="395"/>
      <c r="D22" s="411"/>
      <c r="E22" s="398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72"/>
      <c r="B23" s="383">
        <v>0</v>
      </c>
      <c r="C23" s="395"/>
      <c r="D23" s="411"/>
      <c r="E23" s="398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45" customHeight="1">
      <c r="A24" s="573"/>
      <c r="B24" s="383">
        <v>0</v>
      </c>
      <c r="C24" s="12" t="s">
        <v>317</v>
      </c>
      <c r="D24" s="552" t="s">
        <v>75</v>
      </c>
      <c r="E24" s="552"/>
      <c r="F24" s="401"/>
      <c r="G24" s="412"/>
      <c r="H24" s="403"/>
      <c r="I24" s="404"/>
      <c r="J24" s="405">
        <f>AVERAGE(J17:J23)</f>
        <v>5.5</v>
      </c>
      <c r="K24" s="405">
        <f>AVERAGE(K17:K23)</f>
        <v>1486.6935483870973</v>
      </c>
      <c r="L24" s="406">
        <f>AVERAGE(L17:L23)</f>
        <v>272.58870967741944</v>
      </c>
      <c r="M24" s="391"/>
      <c r="N24" s="391"/>
      <c r="O24" s="382"/>
      <c r="P24" s="382"/>
      <c r="Q24" s="382"/>
      <c r="R24" s="382"/>
    </row>
    <row r="25" spans="1:18">
      <c r="A25" s="556" t="s">
        <v>318</v>
      </c>
      <c r="B25" s="383" t="s">
        <v>389</v>
      </c>
      <c r="C25" s="413"/>
      <c r="D25" s="414" t="s">
        <v>319</v>
      </c>
      <c r="E25" s="415"/>
      <c r="F25" s="385">
        <v>22.281818181818181</v>
      </c>
      <c r="G25" s="379">
        <v>595</v>
      </c>
      <c r="H25" s="386">
        <f t="shared" ref="H25:H37" si="6">F25*G25</f>
        <v>13257.681818181818</v>
      </c>
      <c r="I25" s="387"/>
      <c r="J25" s="388">
        <v>4</v>
      </c>
      <c r="K25" s="389">
        <f t="shared" ref="K25:K28" si="7">G25/P25*60</f>
        <v>2550.0000000000023</v>
      </c>
      <c r="L25" s="390">
        <f t="shared" ref="L25:L28" si="8">K25/J25</f>
        <v>637.50000000000057</v>
      </c>
      <c r="M25" s="391">
        <v>0.18055555555555555</v>
      </c>
      <c r="N25" s="391">
        <v>0.19027777777777777</v>
      </c>
      <c r="O25" s="382">
        <v>20</v>
      </c>
      <c r="P25" s="392">
        <f t="shared" ref="P25:P37" si="9">(N25-M25)*24*60</f>
        <v>13.999999999999989</v>
      </c>
      <c r="Q25" s="393"/>
      <c r="R25" s="393"/>
    </row>
    <row r="26" spans="1:18">
      <c r="A26" s="556"/>
      <c r="B26" s="383" t="s">
        <v>389</v>
      </c>
      <c r="C26" s="413"/>
      <c r="D26" s="416" t="s">
        <v>320</v>
      </c>
      <c r="E26" s="414"/>
      <c r="F26" s="385">
        <v>16.66</v>
      </c>
      <c r="G26" s="379">
        <v>2395</v>
      </c>
      <c r="H26" s="386">
        <f t="shared" si="6"/>
        <v>39900.699999999997</v>
      </c>
      <c r="I26" s="387"/>
      <c r="J26" s="388">
        <v>4</v>
      </c>
      <c r="K26" s="389">
        <f t="shared" si="7"/>
        <v>2817.6470588235306</v>
      </c>
      <c r="L26" s="390">
        <f t="shared" si="8"/>
        <v>704.41176470588266</v>
      </c>
      <c r="M26" s="391">
        <v>0.20416666666666669</v>
      </c>
      <c r="N26" s="391">
        <v>0.23958333333333334</v>
      </c>
      <c r="O26" s="382">
        <v>20</v>
      </c>
      <c r="P26" s="392">
        <f t="shared" si="9"/>
        <v>50.999999999999979</v>
      </c>
      <c r="Q26" s="393"/>
      <c r="R26" s="393"/>
    </row>
    <row r="27" spans="1:18">
      <c r="A27" s="556"/>
      <c r="B27" s="383" t="s">
        <v>389</v>
      </c>
      <c r="C27" s="413"/>
      <c r="D27" s="411" t="s">
        <v>321</v>
      </c>
      <c r="E27" s="414"/>
      <c r="F27" s="385">
        <v>18.18</v>
      </c>
      <c r="G27" s="379">
        <v>2591</v>
      </c>
      <c r="H27" s="386">
        <f t="shared" si="6"/>
        <v>47104.38</v>
      </c>
      <c r="I27" s="387"/>
      <c r="J27" s="388">
        <v>4</v>
      </c>
      <c r="K27" s="389">
        <f t="shared" si="7"/>
        <v>2776.0714285714266</v>
      </c>
      <c r="L27" s="390">
        <f t="shared" si="8"/>
        <v>694.01785714285666</v>
      </c>
      <c r="M27" s="391">
        <v>0.25347222222222221</v>
      </c>
      <c r="N27" s="391">
        <v>0.29236111111111113</v>
      </c>
      <c r="O27" s="382">
        <v>20</v>
      </c>
      <c r="P27" s="392">
        <f t="shared" si="9"/>
        <v>56.000000000000043</v>
      </c>
      <c r="Q27" s="393">
        <v>0.29236111111111113</v>
      </c>
      <c r="R27" s="393">
        <v>0.33402777777777781</v>
      </c>
    </row>
    <row r="28" spans="1:18">
      <c r="A28" s="556"/>
      <c r="B28" s="383" t="s">
        <v>389</v>
      </c>
      <c r="C28" s="395"/>
      <c r="D28" s="416" t="s">
        <v>322</v>
      </c>
      <c r="E28" s="417"/>
      <c r="F28" s="385">
        <v>17.890909090909091</v>
      </c>
      <c r="G28" s="379">
        <v>1584</v>
      </c>
      <c r="H28" s="386">
        <f t="shared" si="6"/>
        <v>28339.200000000001</v>
      </c>
      <c r="I28" s="387"/>
      <c r="J28" s="388">
        <v>3</v>
      </c>
      <c r="K28" s="389">
        <f t="shared" si="7"/>
        <v>2795.2941176470626</v>
      </c>
      <c r="L28" s="390">
        <f t="shared" si="8"/>
        <v>931.76470588235418</v>
      </c>
      <c r="M28" s="391">
        <v>0.35138888888888892</v>
      </c>
      <c r="N28" s="391">
        <v>0.375</v>
      </c>
      <c r="O28" s="382">
        <v>20</v>
      </c>
      <c r="P28" s="392">
        <f t="shared" si="9"/>
        <v>33.999999999999957</v>
      </c>
      <c r="Q28" s="393"/>
      <c r="R28" s="393"/>
    </row>
    <row r="29" spans="1:18">
      <c r="A29" s="556"/>
      <c r="B29" s="383">
        <v>0</v>
      </c>
      <c r="C29" s="379"/>
      <c r="D29" s="416"/>
      <c r="E29" s="417"/>
      <c r="F29" s="385" t="s">
        <v>391</v>
      </c>
      <c r="G29" s="379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56"/>
      <c r="B30" s="383">
        <v>0</v>
      </c>
      <c r="C30" s="379"/>
      <c r="D30" s="418"/>
      <c r="E30" s="417"/>
      <c r="F30" s="385" t="s">
        <v>391</v>
      </c>
      <c r="G30" s="379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56"/>
      <c r="B31" s="383">
        <v>0</v>
      </c>
      <c r="C31" s="395"/>
      <c r="D31" s="414"/>
      <c r="E31" s="417"/>
      <c r="F31" s="385" t="s">
        <v>391</v>
      </c>
      <c r="G31" s="379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56"/>
      <c r="B32" s="383">
        <v>0</v>
      </c>
      <c r="C32" s="395"/>
      <c r="D32" s="416"/>
      <c r="E32" s="398"/>
      <c r="F32" s="385" t="s">
        <v>391</v>
      </c>
      <c r="G32" s="379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56"/>
      <c r="B33" s="383">
        <v>0</v>
      </c>
      <c r="C33" s="379"/>
      <c r="D33" s="416"/>
      <c r="E33" s="417"/>
      <c r="F33" s="385" t="s">
        <v>391</v>
      </c>
      <c r="G33" s="379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56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56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56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56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45" customHeight="1">
      <c r="A38" s="557"/>
      <c r="B38" s="383">
        <v>0</v>
      </c>
      <c r="C38" s="12" t="s">
        <v>67</v>
      </c>
      <c r="D38" s="547" t="s">
        <v>323</v>
      </c>
      <c r="E38" s="547"/>
      <c r="F38" s="401"/>
      <c r="G38" s="420"/>
      <c r="H38" s="403"/>
      <c r="I38" s="404"/>
      <c r="J38" s="405">
        <f>AVERAGE(J25:J37)</f>
        <v>3.75</v>
      </c>
      <c r="K38" s="405">
        <f>AVERAGE(K25:K37)</f>
        <v>2734.7531512605055</v>
      </c>
      <c r="L38" s="406">
        <f>AVERAGE(L25:L37)</f>
        <v>741.92358193277357</v>
      </c>
      <c r="M38" s="391"/>
      <c r="N38" s="391"/>
      <c r="O38" s="389"/>
      <c r="P38" s="389"/>
      <c r="Q38" s="390"/>
      <c r="R38" s="390"/>
    </row>
    <row r="39" spans="1:18" ht="16.149999999999999" customHeight="1">
      <c r="A39" s="558" t="s">
        <v>324</v>
      </c>
      <c r="B39" s="383" t="s">
        <v>389</v>
      </c>
      <c r="C39" s="395"/>
      <c r="D39" s="416" t="s">
        <v>325</v>
      </c>
      <c r="E39" s="398"/>
      <c r="F39" s="385">
        <v>21.45</v>
      </c>
      <c r="G39" s="379">
        <v>937</v>
      </c>
      <c r="H39" s="386">
        <f t="shared" ref="H39:H47" si="10">F39*G39</f>
        <v>20098.649999999998</v>
      </c>
      <c r="I39" s="387"/>
      <c r="J39" s="388">
        <v>3</v>
      </c>
      <c r="K39" s="389">
        <f>G39/P39*60</f>
        <v>2677.1428571428564</v>
      </c>
      <c r="L39" s="390">
        <f>K39/J39</f>
        <v>892.38095238095218</v>
      </c>
      <c r="M39" s="391">
        <v>0.18055555555555555</v>
      </c>
      <c r="N39" s="391">
        <v>0.19513888888888889</v>
      </c>
      <c r="O39" s="382">
        <v>20</v>
      </c>
      <c r="P39" s="421">
        <f t="shared" ref="P39:P50" si="11">(N39-M39)*24*60</f>
        <v>21.000000000000007</v>
      </c>
      <c r="Q39" s="393"/>
      <c r="R39" s="393"/>
    </row>
    <row r="40" spans="1:18">
      <c r="A40" s="559"/>
      <c r="B40" s="383" t="s">
        <v>389</v>
      </c>
      <c r="C40" s="395"/>
      <c r="D40" s="411" t="s">
        <v>326</v>
      </c>
      <c r="E40" s="398"/>
      <c r="F40" s="385">
        <v>15.15</v>
      </c>
      <c r="G40" s="379">
        <v>1240</v>
      </c>
      <c r="H40" s="386">
        <f t="shared" si="10"/>
        <v>18786</v>
      </c>
      <c r="I40" s="387"/>
      <c r="J40" s="388">
        <v>4</v>
      </c>
      <c r="K40" s="389">
        <f>G40/P40*60</f>
        <v>2755.555555555557</v>
      </c>
      <c r="L40" s="390">
        <f>K40/J40</f>
        <v>688.88888888888926</v>
      </c>
      <c r="M40" s="391">
        <v>0.20902777777777778</v>
      </c>
      <c r="N40" s="391">
        <v>0.22777777777777777</v>
      </c>
      <c r="O40" s="382">
        <v>20</v>
      </c>
      <c r="P40" s="421">
        <f t="shared" si="11"/>
        <v>26.999999999999986</v>
      </c>
      <c r="Q40" s="393">
        <v>0.22777777777777777</v>
      </c>
      <c r="R40" s="393">
        <v>0.26944444444444443</v>
      </c>
    </row>
    <row r="41" spans="1:18">
      <c r="A41" s="559"/>
      <c r="B41" s="383" t="s">
        <v>389</v>
      </c>
      <c r="C41" s="395"/>
      <c r="D41" s="416" t="s">
        <v>327</v>
      </c>
      <c r="E41" s="398"/>
      <c r="F41" s="385">
        <v>18.53</v>
      </c>
      <c r="G41" s="379">
        <v>2323</v>
      </c>
      <c r="H41" s="386">
        <f t="shared" si="10"/>
        <v>43045.19</v>
      </c>
      <c r="I41" s="387"/>
      <c r="J41" s="388">
        <v>3</v>
      </c>
      <c r="K41" s="389">
        <f t="shared" ref="K41:K42" si="12">G41/P41*60</f>
        <v>2787.5999999999967</v>
      </c>
      <c r="L41" s="390">
        <f t="shared" ref="L41:L42" si="13">K41/J41</f>
        <v>929.19999999999891</v>
      </c>
      <c r="M41" s="391">
        <v>0.28680555555555554</v>
      </c>
      <c r="N41" s="391">
        <v>0.3215277777777778</v>
      </c>
      <c r="O41" s="382">
        <v>20</v>
      </c>
      <c r="P41" s="421">
        <f t="shared" si="11"/>
        <v>50.000000000000064</v>
      </c>
      <c r="Q41" s="393"/>
      <c r="R41" s="393"/>
    </row>
    <row r="42" spans="1:18">
      <c r="A42" s="559"/>
      <c r="B42" s="383" t="s">
        <v>389</v>
      </c>
      <c r="C42" s="395"/>
      <c r="D42" s="411" t="s">
        <v>328</v>
      </c>
      <c r="E42" s="398"/>
      <c r="F42" s="385">
        <v>27.27</v>
      </c>
      <c r="G42" s="379">
        <v>1874</v>
      </c>
      <c r="H42" s="386">
        <f t="shared" si="10"/>
        <v>51103.979999999996</v>
      </c>
      <c r="I42" s="387"/>
      <c r="J42" s="388">
        <v>4</v>
      </c>
      <c r="K42" s="389">
        <f t="shared" si="12"/>
        <v>2742.4390243902485</v>
      </c>
      <c r="L42" s="390">
        <f t="shared" si="13"/>
        <v>685.60975609756213</v>
      </c>
      <c r="M42" s="391">
        <v>0.3354166666666667</v>
      </c>
      <c r="N42" s="391">
        <v>0.36388888888888887</v>
      </c>
      <c r="O42" s="382">
        <v>20</v>
      </c>
      <c r="P42" s="421">
        <f t="shared" si="11"/>
        <v>40.999999999999936</v>
      </c>
      <c r="Q42" s="393"/>
      <c r="R42" s="393"/>
    </row>
    <row r="43" spans="1:18" ht="15.75" customHeight="1">
      <c r="A43" s="559"/>
      <c r="B43" s="383">
        <v>0</v>
      </c>
      <c r="C43" s="395"/>
      <c r="D43" s="418"/>
      <c r="E43" s="398"/>
      <c r="F43" s="385" t="s">
        <v>391</v>
      </c>
      <c r="G43" s="379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59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59"/>
      <c r="B45" s="383">
        <v>0</v>
      </c>
      <c r="C45" s="395"/>
      <c r="D45" s="416"/>
      <c r="E45" s="417"/>
      <c r="F45" s="385" t="s">
        <v>391</v>
      </c>
      <c r="G45" s="379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59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59"/>
      <c r="B47" s="383">
        <v>0</v>
      </c>
      <c r="C47" s="395"/>
      <c r="D47" s="416"/>
      <c r="E47" s="417"/>
      <c r="F47" s="385" t="s">
        <v>391</v>
      </c>
      <c r="G47" s="379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60"/>
      <c r="B48" s="383">
        <v>0</v>
      </c>
      <c r="C48" s="379"/>
      <c r="D48" s="562"/>
      <c r="E48" s="563"/>
      <c r="F48" s="385" t="s">
        <v>391</v>
      </c>
      <c r="G48" s="379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60"/>
      <c r="B49" s="383">
        <v>0</v>
      </c>
      <c r="C49" s="379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60"/>
      <c r="B50" s="383">
        <v>0</v>
      </c>
      <c r="C50" s="379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61"/>
      <c r="B51" s="383">
        <v>0</v>
      </c>
      <c r="C51" s="12" t="s">
        <v>68</v>
      </c>
      <c r="D51" s="552" t="s">
        <v>75</v>
      </c>
      <c r="E51" s="552"/>
      <c r="F51" s="401"/>
      <c r="G51" s="406"/>
      <c r="H51" s="428"/>
      <c r="I51" s="429"/>
      <c r="J51" s="405">
        <f>AVERAGE(J39:J50)</f>
        <v>3.5</v>
      </c>
      <c r="K51" s="405">
        <f>AVERAGE(K39:K50)</f>
        <v>2740.6843592721648</v>
      </c>
      <c r="L51" s="406">
        <f>AVERAGE(L39:L50)</f>
        <v>799.01989934185065</v>
      </c>
      <c r="M51" s="430"/>
      <c r="N51" s="391"/>
      <c r="O51" s="389"/>
      <c r="P51" s="389"/>
      <c r="Q51" s="390"/>
      <c r="R51" s="390"/>
    </row>
    <row r="52" spans="1:18" ht="15.6" customHeight="1">
      <c r="A52" s="564" t="s">
        <v>329</v>
      </c>
      <c r="B52" s="383">
        <v>0</v>
      </c>
      <c r="C52" s="395"/>
      <c r="D52" s="414"/>
      <c r="E52" s="431"/>
      <c r="F52" s="385" t="s">
        <v>391</v>
      </c>
      <c r="G52" s="379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6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65"/>
      <c r="B54" s="383">
        <v>0</v>
      </c>
      <c r="C54" s="395"/>
      <c r="D54" s="414"/>
      <c r="E54" s="398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6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6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6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6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6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6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6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6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6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66"/>
      <c r="B64" s="383">
        <v>0</v>
      </c>
      <c r="C64" s="12" t="s">
        <v>330</v>
      </c>
      <c r="D64" s="552" t="s">
        <v>75</v>
      </c>
      <c r="E64" s="552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49" t="s">
        <v>331</v>
      </c>
      <c r="B65" s="383" t="s">
        <v>389</v>
      </c>
      <c r="C65" s="395"/>
      <c r="D65" s="414" t="s">
        <v>332</v>
      </c>
      <c r="E65" s="431"/>
      <c r="F65" s="385">
        <v>25.03</v>
      </c>
      <c r="G65" s="379">
        <v>737</v>
      </c>
      <c r="H65" s="386">
        <f>F65*G65</f>
        <v>18447.11</v>
      </c>
      <c r="I65" s="387"/>
      <c r="J65" s="388">
        <v>4</v>
      </c>
      <c r="K65" s="389">
        <f t="shared" ref="K65:K71" si="16">G65/P65*60</f>
        <v>3158.5714285714307</v>
      </c>
      <c r="L65" s="390">
        <f t="shared" ref="L65:L71" si="17">K65/J65</f>
        <v>789.64285714285768</v>
      </c>
      <c r="M65" s="391">
        <v>0.18055555555555555</v>
      </c>
      <c r="N65" s="391">
        <v>0.19027777777777777</v>
      </c>
      <c r="O65" s="389">
        <v>20</v>
      </c>
      <c r="P65" s="392">
        <f>(N65-M65)*24*60</f>
        <v>13.999999999999989</v>
      </c>
      <c r="Q65" s="393"/>
      <c r="R65" s="393"/>
    </row>
    <row r="66" spans="1:18" ht="15.6" customHeight="1">
      <c r="A66" s="550"/>
      <c r="B66" s="383" t="s">
        <v>389</v>
      </c>
      <c r="C66" s="395"/>
      <c r="D66" s="414" t="s">
        <v>333</v>
      </c>
      <c r="E66" s="432"/>
      <c r="F66" s="385">
        <v>24.82</v>
      </c>
      <c r="G66" s="394">
        <v>983</v>
      </c>
      <c r="H66" s="386">
        <f t="shared" ref="H66:H74" si="18">F66*G66</f>
        <v>24398.06</v>
      </c>
      <c r="I66" s="387"/>
      <c r="J66" s="388">
        <v>4</v>
      </c>
      <c r="K66" s="389">
        <f t="shared" si="16"/>
        <v>2949.0000000000045</v>
      </c>
      <c r="L66" s="390">
        <f t="shared" si="17"/>
        <v>737.25000000000114</v>
      </c>
      <c r="M66" s="391">
        <v>0.20416666666666669</v>
      </c>
      <c r="N66" s="391">
        <v>0.21805555555555556</v>
      </c>
      <c r="O66" s="389">
        <v>20</v>
      </c>
      <c r="P66" s="392">
        <f t="shared" ref="P66:P74" si="19">(N66-M66)*24*60</f>
        <v>19.999999999999968</v>
      </c>
      <c r="Q66" s="393"/>
      <c r="R66" s="393"/>
    </row>
    <row r="67" spans="1:18" ht="15.6" customHeight="1">
      <c r="A67" s="550"/>
      <c r="B67" s="383" t="s">
        <v>389</v>
      </c>
      <c r="C67" s="395"/>
      <c r="D67" s="414" t="s">
        <v>334</v>
      </c>
      <c r="E67" s="417"/>
      <c r="F67" s="385">
        <v>30</v>
      </c>
      <c r="G67" s="394">
        <v>1487</v>
      </c>
      <c r="H67" s="386">
        <f t="shared" si="18"/>
        <v>44610</v>
      </c>
      <c r="I67" s="387"/>
      <c r="J67" s="388">
        <v>4</v>
      </c>
      <c r="K67" s="389">
        <f t="shared" si="16"/>
        <v>3186.4285714285693</v>
      </c>
      <c r="L67" s="390">
        <f t="shared" si="17"/>
        <v>796.60714285714232</v>
      </c>
      <c r="M67" s="391">
        <v>0.23194444444444443</v>
      </c>
      <c r="N67" s="391">
        <v>0.25138888888888888</v>
      </c>
      <c r="O67" s="389">
        <v>20</v>
      </c>
      <c r="P67" s="392">
        <f t="shared" si="19"/>
        <v>28.000000000000021</v>
      </c>
      <c r="Q67" s="393"/>
      <c r="R67" s="393"/>
    </row>
    <row r="68" spans="1:18" ht="15.6" customHeight="1">
      <c r="A68" s="550"/>
      <c r="B68" s="383" t="s">
        <v>389</v>
      </c>
      <c r="C68" s="395"/>
      <c r="D68" s="434" t="s">
        <v>335</v>
      </c>
      <c r="E68" s="417"/>
      <c r="F68" s="385">
        <v>14.03</v>
      </c>
      <c r="G68" s="394">
        <v>2583</v>
      </c>
      <c r="H68" s="386">
        <f t="shared" si="18"/>
        <v>36239.49</v>
      </c>
      <c r="I68" s="387"/>
      <c r="J68" s="388">
        <v>3</v>
      </c>
      <c r="K68" s="389">
        <f t="shared" si="16"/>
        <v>3162.8571428571436</v>
      </c>
      <c r="L68" s="390">
        <f t="shared" si="17"/>
        <v>1054.2857142857144</v>
      </c>
      <c r="M68" s="391">
        <v>0.26527777777777778</v>
      </c>
      <c r="N68" s="391">
        <v>0.29930555555555555</v>
      </c>
      <c r="O68" s="389">
        <v>25</v>
      </c>
      <c r="P68" s="392">
        <f t="shared" si="19"/>
        <v>48.999999999999986</v>
      </c>
      <c r="Q68" s="393">
        <v>0.29930555555555555</v>
      </c>
      <c r="R68" s="393">
        <v>0.34097222222222223</v>
      </c>
    </row>
    <row r="69" spans="1:18" ht="15.6" customHeight="1">
      <c r="A69" s="550"/>
      <c r="B69" s="383" t="s">
        <v>389</v>
      </c>
      <c r="C69" s="395"/>
      <c r="D69" s="414" t="s">
        <v>336</v>
      </c>
      <c r="E69" s="417"/>
      <c r="F69" s="385">
        <v>18.18</v>
      </c>
      <c r="G69" s="394">
        <v>830</v>
      </c>
      <c r="H69" s="386">
        <f t="shared" si="18"/>
        <v>15089.4</v>
      </c>
      <c r="I69" s="387"/>
      <c r="J69" s="388">
        <v>3</v>
      </c>
      <c r="K69" s="389">
        <f t="shared" si="16"/>
        <v>3112.4999999999959</v>
      </c>
      <c r="L69" s="390">
        <f t="shared" si="17"/>
        <v>1037.4999999999986</v>
      </c>
      <c r="M69" s="391">
        <v>0.35833333333333334</v>
      </c>
      <c r="N69" s="391">
        <v>0.36944444444444446</v>
      </c>
      <c r="O69" s="389">
        <v>20</v>
      </c>
      <c r="P69" s="392">
        <f t="shared" si="19"/>
        <v>16.000000000000021</v>
      </c>
      <c r="Q69" s="393"/>
      <c r="R69" s="393"/>
    </row>
    <row r="70" spans="1:18" ht="15.75" customHeight="1">
      <c r="A70" s="550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1392</v>
      </c>
      <c r="H70" s="386">
        <f t="shared" si="18"/>
        <v>25306.560000000001</v>
      </c>
      <c r="I70" s="387"/>
      <c r="J70" s="388">
        <v>3</v>
      </c>
      <c r="K70" s="389">
        <f t="shared" si="16"/>
        <v>3093.3333333333262</v>
      </c>
      <c r="L70" s="390">
        <f t="shared" si="17"/>
        <v>1031.1111111111088</v>
      </c>
      <c r="M70" s="391">
        <v>0.3833333333333333</v>
      </c>
      <c r="N70" s="391">
        <v>0.40208333333333335</v>
      </c>
      <c r="O70" s="389">
        <v>20</v>
      </c>
      <c r="P70" s="392">
        <f t="shared" si="19"/>
        <v>27.000000000000064</v>
      </c>
      <c r="Q70" s="393"/>
      <c r="R70" s="393"/>
    </row>
    <row r="71" spans="1:18" ht="15.6" customHeight="1">
      <c r="A71" s="550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3718</v>
      </c>
      <c r="H71" s="386">
        <f t="shared" si="18"/>
        <v>53114.285714285703</v>
      </c>
      <c r="I71" s="387"/>
      <c r="J71" s="388">
        <v>3</v>
      </c>
      <c r="K71" s="389">
        <f t="shared" si="16"/>
        <v>3186.8571428571395</v>
      </c>
      <c r="L71" s="390">
        <f t="shared" si="17"/>
        <v>1062.2857142857131</v>
      </c>
      <c r="M71" s="391">
        <v>0.41597222222222219</v>
      </c>
      <c r="N71" s="391">
        <v>0.46458333333333335</v>
      </c>
      <c r="O71" s="389">
        <v>20</v>
      </c>
      <c r="P71" s="392">
        <f t="shared" si="19"/>
        <v>70.000000000000071</v>
      </c>
      <c r="Q71" s="393"/>
      <c r="R71" s="393"/>
    </row>
    <row r="72" spans="1:18" ht="15.6" customHeight="1">
      <c r="A72" s="550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50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50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51"/>
      <c r="B75" s="383">
        <v>0</v>
      </c>
      <c r="C75" s="12" t="s">
        <v>339</v>
      </c>
      <c r="D75" s="552" t="s">
        <v>75</v>
      </c>
      <c r="E75" s="552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3121.36394557823</v>
      </c>
      <c r="L75" s="406">
        <f>AVERAGE(L65:L74)</f>
        <v>929.81179138321932</v>
      </c>
      <c r="M75" s="391"/>
      <c r="N75" s="391"/>
      <c r="O75" s="382"/>
      <c r="P75" s="382"/>
      <c r="Q75" s="382"/>
      <c r="R75" s="382"/>
    </row>
    <row r="76" spans="1:18" ht="16.149999999999999" customHeight="1">
      <c r="A76" s="553" t="s">
        <v>340</v>
      </c>
      <c r="B76" s="383">
        <v>0</v>
      </c>
      <c r="C76" s="400"/>
      <c r="D76" s="554"/>
      <c r="E76" s="555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53"/>
      <c r="B77" s="383">
        <v>0</v>
      </c>
      <c r="C77" s="400"/>
      <c r="D77" s="554"/>
      <c r="E77" s="555"/>
      <c r="F77" s="385" t="s">
        <v>391</v>
      </c>
      <c r="G77" s="379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53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53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53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53"/>
      <c r="B81" s="383">
        <v>0</v>
      </c>
      <c r="C81" s="12" t="s">
        <v>71</v>
      </c>
      <c r="D81" s="547" t="s">
        <v>75</v>
      </c>
      <c r="E81" s="547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38" t="s">
        <v>341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5140</v>
      </c>
      <c r="H82" s="444">
        <f t="shared" ref="H82:H87" si="20">F82*G82</f>
        <v>85632.4</v>
      </c>
      <c r="I82" s="387"/>
      <c r="J82" s="388">
        <v>4</v>
      </c>
      <c r="K82" s="389">
        <f t="shared" ref="K82:K86" si="21">G82/P82*60</f>
        <v>2803.6363636363612</v>
      </c>
      <c r="L82" s="390">
        <f t="shared" ref="L82:L86" si="22">K82/J82</f>
        <v>700.90909090909031</v>
      </c>
      <c r="M82" s="391">
        <v>0.72222222222222221</v>
      </c>
      <c r="N82" s="391">
        <v>0.79861111111111116</v>
      </c>
      <c r="O82" s="389">
        <v>20</v>
      </c>
      <c r="P82" s="392">
        <f>(N82-M82)*24*60</f>
        <v>110.00000000000009</v>
      </c>
      <c r="Q82" s="393"/>
      <c r="R82" s="393"/>
    </row>
    <row r="83" spans="1:18">
      <c r="A83" s="539"/>
      <c r="B83" s="383" t="s">
        <v>389</v>
      </c>
      <c r="C83" s="413"/>
      <c r="D83" s="414" t="s">
        <v>343</v>
      </c>
      <c r="E83" s="443"/>
      <c r="F83" s="385">
        <v>18.18</v>
      </c>
      <c r="G83" s="419">
        <v>380</v>
      </c>
      <c r="H83" s="444">
        <f t="shared" si="20"/>
        <v>6908.4</v>
      </c>
      <c r="I83" s="387"/>
      <c r="J83" s="388">
        <v>4</v>
      </c>
      <c r="K83" s="389">
        <f t="shared" si="21"/>
        <v>2279.9999999999718</v>
      </c>
      <c r="L83" s="390">
        <f t="shared" si="22"/>
        <v>569.99999999999295</v>
      </c>
      <c r="M83" s="391">
        <v>0.8125</v>
      </c>
      <c r="N83" s="391">
        <v>0.81944444444444453</v>
      </c>
      <c r="O83" s="389">
        <v>20</v>
      </c>
      <c r="P83" s="392">
        <f>(N83-M83)*24*60</f>
        <v>10.000000000000124</v>
      </c>
      <c r="Q83" s="393"/>
      <c r="R83" s="393"/>
    </row>
    <row r="84" spans="1:18">
      <c r="A84" s="539"/>
      <c r="B84" s="383" t="s">
        <v>389</v>
      </c>
      <c r="C84" s="413"/>
      <c r="D84" s="433" t="s">
        <v>344</v>
      </c>
      <c r="E84" s="443"/>
      <c r="F84" s="385">
        <v>16.7</v>
      </c>
      <c r="G84" s="419">
        <v>1140</v>
      </c>
      <c r="H84" s="445">
        <f t="shared" si="20"/>
        <v>19038</v>
      </c>
      <c r="I84" s="387"/>
      <c r="J84" s="388">
        <v>3</v>
      </c>
      <c r="K84" s="389">
        <f t="shared" si="21"/>
        <v>2735.9999999999923</v>
      </c>
      <c r="L84" s="390">
        <f t="shared" si="22"/>
        <v>911.99999999999739</v>
      </c>
      <c r="M84" s="391">
        <v>0.83333333333333337</v>
      </c>
      <c r="N84" s="391">
        <v>0.85069444444444453</v>
      </c>
      <c r="O84" s="389">
        <v>20</v>
      </c>
      <c r="P84" s="421">
        <f t="shared" ref="P84:P85" si="23">(N84-M84)*24*60</f>
        <v>25.000000000000071</v>
      </c>
      <c r="Q84" s="393">
        <v>0.85069444444444453</v>
      </c>
      <c r="R84" s="393">
        <v>0.89236111111111116</v>
      </c>
    </row>
    <row r="85" spans="1:18">
      <c r="A85" s="539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952</v>
      </c>
      <c r="H85" s="445">
        <f t="shared" si="20"/>
        <v>21212.290909090909</v>
      </c>
      <c r="I85" s="387"/>
      <c r="J85" s="388">
        <v>4</v>
      </c>
      <c r="K85" s="389">
        <f t="shared" si="21"/>
        <v>2856.0000000000105</v>
      </c>
      <c r="L85" s="390">
        <f t="shared" si="22"/>
        <v>714.00000000000261</v>
      </c>
      <c r="M85" s="391">
        <v>0.90625</v>
      </c>
      <c r="N85" s="391">
        <v>0.92013888888888884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39"/>
      <c r="B86" s="383" t="s">
        <v>389</v>
      </c>
      <c r="C86" s="413"/>
      <c r="D86" s="414" t="s">
        <v>346</v>
      </c>
      <c r="E86" s="443"/>
      <c r="F86" s="385">
        <v>17.890909090909091</v>
      </c>
      <c r="G86" s="379">
        <v>3690</v>
      </c>
      <c r="H86" s="445">
        <f t="shared" si="20"/>
        <v>66017.454545454544</v>
      </c>
      <c r="I86" s="387"/>
      <c r="J86" s="388">
        <v>3</v>
      </c>
      <c r="K86" s="389">
        <f t="shared" si="21"/>
        <v>2213.9999999999973</v>
      </c>
      <c r="L86" s="390">
        <f t="shared" si="22"/>
        <v>737.99999999999909</v>
      </c>
      <c r="M86" s="391">
        <v>0.92013888888888884</v>
      </c>
      <c r="N86" s="446">
        <v>0.98958333333333337</v>
      </c>
      <c r="O86" s="382">
        <v>20</v>
      </c>
      <c r="P86" s="421">
        <f>(N86-M86)*24*60</f>
        <v>100.00000000000013</v>
      </c>
      <c r="Q86" s="382"/>
      <c r="R86" s="382"/>
    </row>
    <row r="87" spans="1:18">
      <c r="A87" s="539"/>
      <c r="B87" s="383"/>
      <c r="C87" s="413"/>
      <c r="D87" s="414"/>
      <c r="E87" s="443"/>
      <c r="F87" s="385" t="s">
        <v>391</v>
      </c>
      <c r="G87" s="379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39"/>
      <c r="B88" s="383">
        <v>0</v>
      </c>
      <c r="C88" s="413"/>
      <c r="D88" s="414"/>
      <c r="E88" s="443"/>
      <c r="F88" s="385" t="s">
        <v>391</v>
      </c>
      <c r="G88" s="379"/>
      <c r="H88" s="445"/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39"/>
      <c r="B89" s="383">
        <v>0</v>
      </c>
      <c r="C89" s="413"/>
      <c r="D89" s="414"/>
      <c r="E89" s="443"/>
      <c r="F89" s="385" t="s">
        <v>391</v>
      </c>
      <c r="G89" s="379"/>
      <c r="H89" s="445">
        <f t="shared" ref="H89:H90" si="24">F89*G89</f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5">(N89-M89)*24*60</f>
        <v>0</v>
      </c>
      <c r="Q89" s="382"/>
      <c r="R89" s="382"/>
    </row>
    <row r="90" spans="1:18">
      <c r="A90" s="539"/>
      <c r="B90" s="383">
        <v>0</v>
      </c>
      <c r="C90" s="413"/>
      <c r="D90" s="414"/>
      <c r="E90" s="443"/>
      <c r="F90" s="385" t="s">
        <v>391</v>
      </c>
      <c r="G90" s="379"/>
      <c r="H90" s="445">
        <f t="shared" si="24"/>
        <v>0</v>
      </c>
      <c r="I90" s="387"/>
      <c r="J90" s="388"/>
      <c r="K90" s="389"/>
      <c r="L90" s="390"/>
      <c r="M90" s="391"/>
      <c r="N90" s="446"/>
      <c r="O90" s="382"/>
      <c r="P90" s="421">
        <f t="shared" si="25"/>
        <v>0</v>
      </c>
      <c r="Q90" s="382"/>
      <c r="R90" s="382"/>
    </row>
    <row r="91" spans="1:18" ht="17.45" customHeight="1">
      <c r="A91" s="539"/>
      <c r="B91" s="383">
        <v>0</v>
      </c>
      <c r="C91" s="12" t="s">
        <v>318</v>
      </c>
      <c r="D91" s="540" t="s">
        <v>75</v>
      </c>
      <c r="E91" s="540"/>
      <c r="F91" s="401"/>
      <c r="G91" s="447"/>
      <c r="H91" s="448"/>
      <c r="I91" s="404"/>
      <c r="J91" s="405">
        <f>AVERAGE(J82:J90)</f>
        <v>3.6</v>
      </c>
      <c r="K91" s="405">
        <f>AVERAGE(K82:K90)</f>
        <v>2577.9272727272669</v>
      </c>
      <c r="L91" s="406">
        <f>AVERAGE(L82:L90)</f>
        <v>726.98181818181649</v>
      </c>
      <c r="M91" s="391"/>
      <c r="N91" s="391"/>
      <c r="O91" s="389"/>
      <c r="P91" s="389"/>
      <c r="Q91" s="390"/>
      <c r="R91" s="390"/>
    </row>
    <row r="92" spans="1:18" ht="16.149999999999999" customHeight="1">
      <c r="A92" s="541" t="s">
        <v>347</v>
      </c>
      <c r="B92" s="383" t="s">
        <v>389</v>
      </c>
      <c r="C92" s="400"/>
      <c r="D92" s="449" t="s">
        <v>348</v>
      </c>
      <c r="E92" s="443"/>
      <c r="F92" s="385">
        <v>24.54</v>
      </c>
      <c r="G92" s="379">
        <v>1804</v>
      </c>
      <c r="H92" s="386">
        <f t="shared" ref="H92:H97" si="26">F92*G92</f>
        <v>44270.159999999996</v>
      </c>
      <c r="I92" s="387"/>
      <c r="J92" s="388">
        <v>3</v>
      </c>
      <c r="K92" s="389">
        <f>G92/P92*60</f>
        <v>2164.7999999999938</v>
      </c>
      <c r="L92" s="390">
        <f t="shared" ref="L92:L93" si="27">K92/J92</f>
        <v>721.59999999999798</v>
      </c>
      <c r="M92" s="391">
        <v>0.72222222222222221</v>
      </c>
      <c r="N92" s="391">
        <v>0.75694444444444453</v>
      </c>
      <c r="O92" s="382">
        <v>20</v>
      </c>
      <c r="P92" s="392">
        <f>(N92-M92)*24*60</f>
        <v>50.000000000000142</v>
      </c>
      <c r="Q92" s="393"/>
      <c r="R92" s="393"/>
    </row>
    <row r="93" spans="1:18">
      <c r="A93" s="542"/>
      <c r="B93" s="383" t="s">
        <v>389</v>
      </c>
      <c r="C93" s="400"/>
      <c r="D93" s="414" t="s">
        <v>349</v>
      </c>
      <c r="E93" s="443"/>
      <c r="F93" s="385">
        <v>22.48</v>
      </c>
      <c r="G93" s="379">
        <v>1228</v>
      </c>
      <c r="H93" s="386">
        <f t="shared" si="26"/>
        <v>27605.440000000002</v>
      </c>
      <c r="I93" s="387"/>
      <c r="J93" s="388">
        <v>4</v>
      </c>
      <c r="K93" s="389">
        <f t="shared" ref="K93" si="28">G93/P93*60</f>
        <v>2105.1428571428651</v>
      </c>
      <c r="L93" s="390">
        <f t="shared" si="27"/>
        <v>526.28571428571627</v>
      </c>
      <c r="M93" s="391">
        <v>0.77083333333333337</v>
      </c>
      <c r="N93" s="391">
        <v>0.79513888888888884</v>
      </c>
      <c r="O93" s="382">
        <v>20</v>
      </c>
      <c r="P93" s="392">
        <f>(N93-M93)*24*60</f>
        <v>34.999999999999872</v>
      </c>
      <c r="Q93" s="393"/>
      <c r="R93" s="393"/>
    </row>
    <row r="94" spans="1:18">
      <c r="A94" s="542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6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43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6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43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6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43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6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43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43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43"/>
      <c r="B100" s="383">
        <v>0</v>
      </c>
      <c r="C100" s="12" t="s">
        <v>350</v>
      </c>
      <c r="D100" s="544" t="s">
        <v>75</v>
      </c>
      <c r="E100" s="545"/>
      <c r="F100" s="401"/>
      <c r="G100" s="402"/>
      <c r="H100" s="450"/>
      <c r="I100" s="404"/>
      <c r="J100" s="405">
        <f>AVERAGE(J92:J99)</f>
        <v>3.5</v>
      </c>
      <c r="K100" s="405">
        <f>AVERAGE(K92:K99)</f>
        <v>2134.9714285714294</v>
      </c>
      <c r="L100" s="406">
        <f>AVERAGE(L92:L99)</f>
        <v>623.94285714285706</v>
      </c>
      <c r="M100" s="391"/>
      <c r="N100" s="391"/>
      <c r="O100" s="389"/>
      <c r="P100" s="389"/>
      <c r="Q100" s="390"/>
      <c r="R100" s="390"/>
    </row>
    <row r="101" spans="1:18" ht="16.149999999999999" customHeight="1">
      <c r="A101" s="546" t="s">
        <v>351</v>
      </c>
      <c r="B101" s="383" t="s">
        <v>389</v>
      </c>
      <c r="C101" s="12"/>
      <c r="D101" s="437" t="s">
        <v>352</v>
      </c>
      <c r="E101" s="451"/>
      <c r="F101" s="385">
        <v>25.03</v>
      </c>
      <c r="G101" s="379">
        <v>1077</v>
      </c>
      <c r="H101" s="386">
        <f t="shared" ref="H101:H110" si="29">F101*G101</f>
        <v>26957.31</v>
      </c>
      <c r="I101" s="387"/>
      <c r="J101" s="388">
        <v>4</v>
      </c>
      <c r="K101" s="389">
        <f>G101/P101*60</f>
        <v>3230.9999999999854</v>
      </c>
      <c r="L101" s="390">
        <f t="shared" ref="L101:L105" si="30">K101/J101</f>
        <v>807.74999999999636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1">(N101-M101)*24*60</f>
        <v>20.000000000000089</v>
      </c>
      <c r="Q101" s="390"/>
      <c r="R101" s="393"/>
    </row>
    <row r="102" spans="1:18">
      <c r="A102" s="546"/>
      <c r="B102" s="383" t="s">
        <v>389</v>
      </c>
      <c r="C102" s="12"/>
      <c r="D102" s="414" t="s">
        <v>353</v>
      </c>
      <c r="E102" s="451"/>
      <c r="F102" s="385">
        <v>24.82</v>
      </c>
      <c r="G102" s="379">
        <v>1671</v>
      </c>
      <c r="H102" s="386">
        <f t="shared" si="29"/>
        <v>41474.22</v>
      </c>
      <c r="I102" s="387"/>
      <c r="J102" s="388">
        <v>4</v>
      </c>
      <c r="K102" s="389">
        <f t="shared" ref="K102:K105" si="32">G102/P102*60</f>
        <v>2864.5714285714389</v>
      </c>
      <c r="L102" s="390">
        <f t="shared" si="30"/>
        <v>716.14285714285973</v>
      </c>
      <c r="M102" s="391">
        <v>0.75</v>
      </c>
      <c r="N102" s="391">
        <v>0.77430555555555547</v>
      </c>
      <c r="O102" s="382">
        <v>20</v>
      </c>
      <c r="P102" s="389">
        <f t="shared" si="31"/>
        <v>34.999999999999872</v>
      </c>
      <c r="Q102" s="393"/>
      <c r="R102" s="393"/>
    </row>
    <row r="103" spans="1:18">
      <c r="A103" s="546"/>
      <c r="B103" s="383" t="s">
        <v>389</v>
      </c>
      <c r="C103" s="12"/>
      <c r="D103" s="433" t="s">
        <v>354</v>
      </c>
      <c r="E103" s="414"/>
      <c r="F103" s="385">
        <v>28.57</v>
      </c>
      <c r="G103" s="379">
        <v>2832</v>
      </c>
      <c r="H103" s="386">
        <f t="shared" si="29"/>
        <v>80910.240000000005</v>
      </c>
      <c r="I103" s="387"/>
      <c r="J103" s="388">
        <v>3</v>
      </c>
      <c r="K103" s="389">
        <f t="shared" si="32"/>
        <v>2832.0000000000027</v>
      </c>
      <c r="L103" s="390">
        <f t="shared" si="30"/>
        <v>944.00000000000091</v>
      </c>
      <c r="M103" s="391">
        <v>0.78819444444444453</v>
      </c>
      <c r="N103" s="391">
        <v>0.82986111111111116</v>
      </c>
      <c r="O103" s="382">
        <v>20</v>
      </c>
      <c r="P103" s="389">
        <f t="shared" si="31"/>
        <v>59.999999999999943</v>
      </c>
      <c r="Q103" s="393"/>
      <c r="R103" s="393"/>
    </row>
    <row r="104" spans="1:18">
      <c r="A104" s="546"/>
      <c r="B104" s="383" t="s">
        <v>389</v>
      </c>
      <c r="C104" s="12"/>
      <c r="D104" s="414" t="s">
        <v>355</v>
      </c>
      <c r="E104" s="437"/>
      <c r="F104" s="385">
        <v>14.03</v>
      </c>
      <c r="G104" s="379">
        <v>5829</v>
      </c>
      <c r="H104" s="386">
        <f t="shared" si="29"/>
        <v>81780.87</v>
      </c>
      <c r="I104" s="387"/>
      <c r="J104" s="388">
        <v>3</v>
      </c>
      <c r="K104" s="389">
        <f t="shared" si="32"/>
        <v>2914.4999999999986</v>
      </c>
      <c r="L104" s="390">
        <f t="shared" si="30"/>
        <v>971.49999999999955</v>
      </c>
      <c r="M104" s="391">
        <v>0.84375</v>
      </c>
      <c r="N104" s="391">
        <v>0.92708333333333337</v>
      </c>
      <c r="O104" s="382">
        <v>20</v>
      </c>
      <c r="P104" s="389">
        <f>(N104-M104)*24*60</f>
        <v>120.00000000000006</v>
      </c>
      <c r="Q104" s="393">
        <v>0.92708333333333337</v>
      </c>
      <c r="R104" s="393">
        <v>0.96875</v>
      </c>
    </row>
    <row r="105" spans="1:18">
      <c r="A105" s="546"/>
      <c r="B105" s="383" t="s">
        <v>389</v>
      </c>
      <c r="C105" s="12"/>
      <c r="D105" s="414" t="s">
        <v>356</v>
      </c>
      <c r="E105" s="433"/>
      <c r="F105" s="385">
        <v>14.285714285714283</v>
      </c>
      <c r="G105" s="379">
        <v>7809</v>
      </c>
      <c r="H105" s="386">
        <f t="shared" si="29"/>
        <v>111557.14285714284</v>
      </c>
      <c r="I105" s="387"/>
      <c r="J105" s="388">
        <v>3</v>
      </c>
      <c r="K105" s="389">
        <f t="shared" si="32"/>
        <v>2928.3750000426135</v>
      </c>
      <c r="L105" s="390">
        <f t="shared" si="30"/>
        <v>976.12500001420449</v>
      </c>
      <c r="M105" s="391">
        <v>46061.982638888891</v>
      </c>
      <c r="N105" s="446">
        <v>46062.09375</v>
      </c>
      <c r="O105" s="382">
        <v>20</v>
      </c>
      <c r="P105" s="389">
        <f>(N105-M105)*24*60</f>
        <v>159.99999999767169</v>
      </c>
      <c r="Q105" s="390"/>
      <c r="R105" s="393"/>
    </row>
    <row r="106" spans="1:18">
      <c r="A106" s="546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9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1"/>
        <v>0</v>
      </c>
      <c r="Q106" s="390"/>
      <c r="R106" s="393"/>
    </row>
    <row r="107" spans="1:18">
      <c r="A107" s="546"/>
      <c r="B107" s="383">
        <v>0</v>
      </c>
      <c r="C107" s="12"/>
      <c r="D107" s="414"/>
      <c r="E107" s="433"/>
      <c r="F107" s="385" t="s">
        <v>391</v>
      </c>
      <c r="G107" s="379"/>
      <c r="H107" s="386">
        <f t="shared" si="29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1"/>
        <v>0</v>
      </c>
      <c r="Q107" s="390"/>
      <c r="R107" s="393"/>
    </row>
    <row r="108" spans="1:18">
      <c r="A108" s="546"/>
      <c r="B108" s="383">
        <v>0</v>
      </c>
      <c r="C108" s="12"/>
      <c r="D108" s="414"/>
      <c r="E108" s="433"/>
      <c r="F108" s="385" t="s">
        <v>391</v>
      </c>
      <c r="G108" s="379"/>
      <c r="H108" s="386">
        <f t="shared" si="29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1"/>
        <v>0</v>
      </c>
      <c r="Q108" s="390"/>
      <c r="R108" s="393"/>
    </row>
    <row r="109" spans="1:18">
      <c r="A109" s="546"/>
      <c r="B109" s="383">
        <v>0</v>
      </c>
      <c r="C109" s="400"/>
      <c r="D109" s="414"/>
      <c r="E109" s="433"/>
      <c r="F109" s="385" t="s">
        <v>391</v>
      </c>
      <c r="G109" s="379"/>
      <c r="H109" s="386">
        <f t="shared" si="29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1"/>
        <v>0</v>
      </c>
      <c r="Q109" s="390"/>
      <c r="R109" s="393"/>
    </row>
    <row r="110" spans="1:18">
      <c r="A110" s="546"/>
      <c r="B110" s="383">
        <v>0</v>
      </c>
      <c r="C110" s="400"/>
      <c r="D110" s="414"/>
      <c r="E110" s="433"/>
      <c r="F110" s="385" t="s">
        <v>391</v>
      </c>
      <c r="G110" s="379"/>
      <c r="H110" s="386">
        <f t="shared" si="29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1"/>
        <v>0</v>
      </c>
      <c r="Q110" s="390"/>
      <c r="R110" s="393"/>
    </row>
    <row r="111" spans="1:18" ht="15.75" customHeight="1">
      <c r="A111" s="546"/>
      <c r="B111" s="383">
        <v>0</v>
      </c>
      <c r="C111" s="12" t="s">
        <v>330</v>
      </c>
      <c r="D111" s="547" t="s">
        <v>75</v>
      </c>
      <c r="E111" s="548"/>
      <c r="F111" s="452"/>
      <c r="G111" s="453"/>
      <c r="H111" s="403"/>
      <c r="I111" s="404"/>
      <c r="J111" s="405">
        <f>AVERAGE(J101:J110)</f>
        <v>3.4</v>
      </c>
      <c r="K111" s="405">
        <f>AVERAGE(K101:K110)</f>
        <v>2954.0892857228077</v>
      </c>
      <c r="L111" s="406">
        <f>AVERAGE(L101:L110)</f>
        <v>883.10357143141232</v>
      </c>
      <c r="M111" s="391"/>
      <c r="N111" s="391"/>
      <c r="O111" s="389"/>
      <c r="P111" s="389"/>
      <c r="Q111" s="390"/>
      <c r="R111" s="382"/>
    </row>
    <row r="112" spans="1:18" ht="16.149999999999999" customHeight="1">
      <c r="A112" s="536" t="s">
        <v>357</v>
      </c>
      <c r="B112" s="383" t="s">
        <v>389</v>
      </c>
      <c r="C112" s="12"/>
      <c r="D112" s="441" t="s">
        <v>358</v>
      </c>
      <c r="E112" s="454"/>
      <c r="F112" s="385">
        <v>18.18</v>
      </c>
      <c r="G112" s="379">
        <v>897</v>
      </c>
      <c r="H112" s="444">
        <f t="shared" si="3"/>
        <v>16307.46</v>
      </c>
      <c r="I112" s="387"/>
      <c r="J112" s="388">
        <v>4</v>
      </c>
      <c r="K112" s="389">
        <f t="shared" ref="K112:K113" si="33">G112/P112*60</f>
        <v>2690.9999999999882</v>
      </c>
      <c r="L112" s="390">
        <f t="shared" ref="L112:L113" si="34">K112/J112</f>
        <v>672.74999999999704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5">(N112-M112)*24*60</f>
        <v>20.000000000000089</v>
      </c>
      <c r="Q112" s="382"/>
      <c r="R112" s="382"/>
    </row>
    <row r="113" spans="1:18">
      <c r="A113" s="536"/>
      <c r="B113" s="383" t="s">
        <v>389</v>
      </c>
      <c r="C113" s="413"/>
      <c r="D113" s="441" t="s">
        <v>359</v>
      </c>
      <c r="E113" s="441"/>
      <c r="F113" s="385">
        <v>18.18</v>
      </c>
      <c r="G113" s="379">
        <v>1085</v>
      </c>
      <c r="H113" s="444">
        <f t="shared" si="3"/>
        <v>19725.3</v>
      </c>
      <c r="I113" s="387"/>
      <c r="J113" s="388">
        <v>3</v>
      </c>
      <c r="K113" s="389">
        <f t="shared" si="33"/>
        <v>2603.9999999999927</v>
      </c>
      <c r="L113" s="390">
        <f t="shared" si="34"/>
        <v>867.99999999999761</v>
      </c>
      <c r="M113" s="391">
        <v>0.75</v>
      </c>
      <c r="N113" s="391">
        <v>0.76736111111111116</v>
      </c>
      <c r="O113" s="382">
        <v>20</v>
      </c>
      <c r="P113" s="392">
        <f t="shared" si="35"/>
        <v>25.000000000000071</v>
      </c>
      <c r="Q113" s="393"/>
      <c r="R113" s="393"/>
    </row>
    <row r="114" spans="1:18">
      <c r="A114" s="536"/>
      <c r="B114" s="383">
        <v>0</v>
      </c>
      <c r="C114" s="413"/>
      <c r="D114" s="437"/>
      <c r="E114" s="414"/>
      <c r="F114" s="385" t="s">
        <v>391</v>
      </c>
      <c r="G114" s="379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5"/>
        <v>0</v>
      </c>
      <c r="Q114" s="393"/>
      <c r="R114" s="393"/>
    </row>
    <row r="115" spans="1:18">
      <c r="A115" s="536"/>
      <c r="B115" s="383">
        <v>0</v>
      </c>
      <c r="C115" s="413"/>
      <c r="D115" s="414"/>
      <c r="E115" s="437"/>
      <c r="F115" s="385" t="s">
        <v>391</v>
      </c>
      <c r="G115" s="379"/>
      <c r="H115" s="444">
        <f t="shared" ref="H115:H123" si="36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5"/>
        <v>0</v>
      </c>
      <c r="Q115" s="393"/>
      <c r="R115" s="393"/>
    </row>
    <row r="116" spans="1:18">
      <c r="A116" s="536"/>
      <c r="B116" s="383">
        <v>0</v>
      </c>
      <c r="C116" s="413"/>
      <c r="D116" s="414"/>
      <c r="E116" s="433"/>
      <c r="F116" s="385" t="s">
        <v>391</v>
      </c>
      <c r="G116" s="379"/>
      <c r="H116" s="444">
        <f t="shared" si="36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5"/>
        <v>0</v>
      </c>
      <c r="Q116" s="393"/>
      <c r="R116" s="393"/>
    </row>
    <row r="117" spans="1:18">
      <c r="A117" s="536"/>
      <c r="B117" s="383">
        <v>0</v>
      </c>
      <c r="C117" s="413"/>
      <c r="D117" s="433"/>
      <c r="E117" s="432"/>
      <c r="F117" s="385" t="s">
        <v>391</v>
      </c>
      <c r="G117" s="379"/>
      <c r="H117" s="444">
        <f t="shared" si="36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5"/>
        <v>0</v>
      </c>
      <c r="Q117" s="393"/>
      <c r="R117" s="393"/>
    </row>
    <row r="118" spans="1:18">
      <c r="A118" s="536"/>
      <c r="B118" s="383">
        <v>0</v>
      </c>
      <c r="C118" s="413"/>
      <c r="D118" s="433"/>
      <c r="E118" s="432"/>
      <c r="F118" s="385" t="s">
        <v>391</v>
      </c>
      <c r="G118" s="379"/>
      <c r="H118" s="444">
        <f t="shared" si="36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5"/>
        <v>0</v>
      </c>
      <c r="Q118" s="393"/>
      <c r="R118" s="393"/>
    </row>
    <row r="119" spans="1:18">
      <c r="A119" s="536"/>
      <c r="B119" s="383">
        <v>0</v>
      </c>
      <c r="C119" s="413"/>
      <c r="D119" s="433"/>
      <c r="E119" s="432"/>
      <c r="F119" s="385" t="s">
        <v>391</v>
      </c>
      <c r="G119" s="379"/>
      <c r="H119" s="444">
        <f t="shared" si="36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5"/>
        <v>0</v>
      </c>
      <c r="Q119" s="393"/>
      <c r="R119" s="393"/>
    </row>
    <row r="120" spans="1:18">
      <c r="A120" s="536"/>
      <c r="B120" s="383">
        <v>0</v>
      </c>
      <c r="C120" s="413"/>
      <c r="D120" s="433"/>
      <c r="E120" s="432"/>
      <c r="F120" s="385" t="s">
        <v>391</v>
      </c>
      <c r="G120" s="379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36"/>
      <c r="B121" s="383">
        <v>0</v>
      </c>
      <c r="C121" s="413"/>
      <c r="D121" s="433"/>
      <c r="E121" s="432"/>
      <c r="F121" s="385" t="s">
        <v>391</v>
      </c>
      <c r="G121" s="379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36"/>
      <c r="B122" s="383">
        <v>0</v>
      </c>
      <c r="C122" s="413"/>
      <c r="D122" s="433"/>
      <c r="E122" s="432"/>
      <c r="F122" s="385" t="s">
        <v>391</v>
      </c>
      <c r="G122" s="379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5"/>
        <v>0</v>
      </c>
      <c r="Q122" s="393"/>
      <c r="R122" s="393"/>
    </row>
    <row r="123" spans="1:18">
      <c r="A123" s="536"/>
      <c r="B123" s="383">
        <v>0</v>
      </c>
      <c r="C123" s="413"/>
      <c r="D123" s="433"/>
      <c r="E123" s="432"/>
      <c r="F123" s="385" t="s">
        <v>391</v>
      </c>
      <c r="G123" s="379"/>
      <c r="H123" s="444">
        <f t="shared" si="36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5"/>
        <v>0</v>
      </c>
      <c r="Q123" s="393"/>
      <c r="R123" s="393"/>
    </row>
    <row r="124" spans="1:18" ht="17.45" customHeight="1">
      <c r="A124" s="536"/>
      <c r="B124" s="400">
        <v>0</v>
      </c>
      <c r="C124" s="12" t="s">
        <v>339</v>
      </c>
      <c r="D124" s="537" t="s">
        <v>75</v>
      </c>
      <c r="E124" s="537"/>
      <c r="F124" s="401"/>
      <c r="G124" s="447"/>
      <c r="H124" s="448"/>
      <c r="I124" s="404"/>
      <c r="J124" s="405">
        <f>AVERAGE(J112:J123)</f>
        <v>3.5</v>
      </c>
      <c r="K124" s="405">
        <f>AVERAGE(K112:K123)</f>
        <v>2647.4999999999905</v>
      </c>
      <c r="L124" s="406">
        <f>AVERAGE(L112:L123)</f>
        <v>770.37499999999727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4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L8" sqref="L8"/>
      <selection pane="bottomLeft" activeCell="F20" sqref="F20"/>
    </sheetView>
  </sheetViews>
  <sheetFormatPr defaultColWidth="7.875" defaultRowHeight="15.75"/>
  <cols>
    <col min="1" max="1" width="14.25" style="71" customWidth="1"/>
    <col min="2" max="2" width="12.75" style="71" customWidth="1"/>
    <col min="3" max="3" width="12.75" style="71" hidden="1" customWidth="1"/>
    <col min="4" max="4" width="14.25" style="71" customWidth="1"/>
    <col min="5" max="5" width="16.5" style="71" customWidth="1"/>
    <col min="6" max="6" width="8.875" style="71" customWidth="1"/>
    <col min="7" max="7" width="20.25" style="71" bestFit="1" customWidth="1"/>
    <col min="8" max="8" width="16.375" style="71" customWidth="1"/>
    <col min="9" max="9" width="6.375" style="71" customWidth="1"/>
    <col min="10" max="10" width="10.125" style="71" customWidth="1"/>
    <col min="11" max="11" width="10.625" style="71" customWidth="1"/>
    <col min="12" max="12" width="14.5" style="71" customWidth="1"/>
    <col min="13" max="13" width="10.125" style="71" customWidth="1"/>
    <col min="14" max="14" width="9.25" style="71" customWidth="1"/>
    <col min="15" max="15" width="11.875" style="71" customWidth="1"/>
    <col min="16" max="16" width="6" style="71" customWidth="1"/>
    <col min="17" max="18" width="9.25" style="71" customWidth="1"/>
    <col min="19" max="19" width="8.625" style="71" customWidth="1"/>
    <col min="20" max="21" width="7.625" style="71" bestFit="1" customWidth="1"/>
    <col min="22" max="22" width="10.625" style="71" customWidth="1"/>
    <col min="23" max="23" width="8.625" style="360" customWidth="1"/>
    <col min="24" max="25" width="7.125" style="71" customWidth="1"/>
    <col min="26" max="27" width="9.5" style="71" customWidth="1"/>
    <col min="28" max="28" width="12.625" style="71" customWidth="1"/>
    <col min="29" max="29" width="12.5" style="71" customWidth="1"/>
    <col min="30" max="31" width="9.5" style="71" customWidth="1"/>
    <col min="32" max="32" width="13.125" style="71" customWidth="1"/>
    <col min="33" max="33" width="10.375" style="71" customWidth="1"/>
    <col min="34" max="34" width="9.25" style="71" customWidth="1"/>
    <col min="35" max="35" width="7.875" style="71" customWidth="1"/>
    <col min="36" max="36" width="24.5" style="71" bestFit="1" customWidth="1"/>
    <col min="37" max="16384" width="7.875" style="71"/>
  </cols>
  <sheetData>
    <row r="1" spans="1:34" ht="26.25" customHeight="1">
      <c r="A1" s="62" t="s">
        <v>226</v>
      </c>
      <c r="B1" s="62"/>
      <c r="C1" s="62"/>
      <c r="D1" s="63" t="s">
        <v>227</v>
      </c>
      <c r="E1" s="64">
        <f>SUM(G5:G173)</f>
        <v>140836.30000000002</v>
      </c>
      <c r="F1" s="65" t="s">
        <v>3</v>
      </c>
      <c r="G1" s="66">
        <f>SUM(H5:H173)</f>
        <v>5622047.8970034374</v>
      </c>
      <c r="H1" s="67" t="s">
        <v>83</v>
      </c>
      <c r="I1" s="68">
        <f>M17+M30+M43+M56+M69+M82+M95+M108+M121+M134+M147+M160+M173</f>
        <v>187.24404761904762</v>
      </c>
      <c r="J1" s="668" t="s">
        <v>84</v>
      </c>
      <c r="K1" s="668"/>
      <c r="L1" s="668"/>
      <c r="M1" s="668" t="s">
        <v>85</v>
      </c>
      <c r="N1" s="668"/>
      <c r="O1" s="668"/>
      <c r="P1" s="668" t="s">
        <v>228</v>
      </c>
      <c r="Q1" s="668"/>
      <c r="R1" s="668"/>
      <c r="S1" s="668"/>
      <c r="T1" s="668" t="s">
        <v>229</v>
      </c>
      <c r="U1" s="668"/>
      <c r="V1" s="668"/>
      <c r="W1" s="668"/>
      <c r="X1" s="668"/>
      <c r="Y1" s="668"/>
      <c r="Z1" s="69" t="s">
        <v>230</v>
      </c>
      <c r="AA1" s="69" t="s">
        <v>231</v>
      </c>
      <c r="AB1" s="669" t="s">
        <v>232</v>
      </c>
      <c r="AC1" s="670"/>
      <c r="AD1" s="69" t="s">
        <v>230</v>
      </c>
      <c r="AE1" s="69" t="s">
        <v>233</v>
      </c>
      <c r="AF1" s="668" t="s">
        <v>234</v>
      </c>
      <c r="AG1" s="673"/>
      <c r="AH1" s="673"/>
    </row>
    <row r="2" spans="1:34" ht="26.25" customHeight="1">
      <c r="A2" s="667" t="s">
        <v>291</v>
      </c>
      <c r="B2" s="667"/>
      <c r="C2" s="63"/>
      <c r="D2" s="63" t="s">
        <v>236</v>
      </c>
      <c r="E2" s="73">
        <f>AVERAGE(O17,O30,O43,O56,O69,O82,O95,O108,O121,O134,O147,O160,O173)</f>
        <v>127.54240143876306</v>
      </c>
      <c r="F2" s="74" t="s">
        <v>94</v>
      </c>
      <c r="G2" s="75">
        <f>G1/E1</f>
        <v>39.919025826462615</v>
      </c>
      <c r="H2" s="67" t="s">
        <v>95</v>
      </c>
      <c r="I2" s="67">
        <f>COUNT(I5:I173)</f>
        <v>4</v>
      </c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8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71"/>
      <c r="AC2" s="672"/>
      <c r="AD2" s="77">
        <f>AD17+AD30+AD43+AD56+AD69+AD82+AD95+AD108+AD121+AD134+AD147+AD160+AD173</f>
        <v>3</v>
      </c>
      <c r="AE2" s="77">
        <f>AE17+AE30+AE43+AE56+AE69+AE82+AE95+AE108+AE121+AE134+AE147+AE160+AE173</f>
        <v>2</v>
      </c>
      <c r="AF2" s="673"/>
      <c r="AG2" s="673"/>
      <c r="AH2" s="673"/>
    </row>
    <row r="3" spans="1:34" ht="30.6" customHeight="1">
      <c r="A3" s="601" t="s">
        <v>237</v>
      </c>
      <c r="B3" s="601" t="s">
        <v>97</v>
      </c>
      <c r="C3" s="665"/>
      <c r="D3" s="601" t="s">
        <v>238</v>
      </c>
      <c r="E3" s="601"/>
      <c r="F3" s="665" t="s">
        <v>99</v>
      </c>
      <c r="G3" s="659" t="s">
        <v>100</v>
      </c>
      <c r="H3" s="665" t="s">
        <v>101</v>
      </c>
      <c r="I3" s="661" t="s">
        <v>239</v>
      </c>
      <c r="J3" s="664" t="s">
        <v>103</v>
      </c>
      <c r="K3" s="654" t="s">
        <v>104</v>
      </c>
      <c r="L3" s="635" t="s">
        <v>76</v>
      </c>
      <c r="M3" s="659" t="s">
        <v>103</v>
      </c>
      <c r="N3" s="654" t="s">
        <v>240</v>
      </c>
      <c r="O3" s="635" t="s">
        <v>236</v>
      </c>
      <c r="P3" s="664" t="s">
        <v>241</v>
      </c>
      <c r="Q3" s="635" t="s">
        <v>236</v>
      </c>
      <c r="R3" s="655" t="s">
        <v>242</v>
      </c>
      <c r="S3" s="632" t="s">
        <v>243</v>
      </c>
      <c r="T3" s="659" t="s">
        <v>109</v>
      </c>
      <c r="U3" s="659"/>
      <c r="V3" s="660" t="s">
        <v>110</v>
      </c>
      <c r="W3" s="661" t="s">
        <v>244</v>
      </c>
      <c r="X3" s="659" t="s">
        <v>245</v>
      </c>
      <c r="Y3" s="659"/>
      <c r="Z3" s="662" t="s">
        <v>246</v>
      </c>
      <c r="AA3" s="663"/>
      <c r="AB3" s="650" t="s">
        <v>247</v>
      </c>
      <c r="AC3" s="651"/>
      <c r="AD3" s="652" t="s">
        <v>248</v>
      </c>
      <c r="AE3" s="653"/>
      <c r="AF3" s="654" t="s">
        <v>240</v>
      </c>
      <c r="AG3" s="655" t="s">
        <v>242</v>
      </c>
      <c r="AH3" s="632" t="s">
        <v>243</v>
      </c>
    </row>
    <row r="4" spans="1:34" ht="30.6" customHeight="1">
      <c r="A4" s="665"/>
      <c r="B4" s="601"/>
      <c r="C4" s="666"/>
      <c r="D4" s="601"/>
      <c r="E4" s="601"/>
      <c r="F4" s="666"/>
      <c r="G4" s="659"/>
      <c r="H4" s="666"/>
      <c r="I4" s="661"/>
      <c r="J4" s="664"/>
      <c r="K4" s="654"/>
      <c r="L4" s="635"/>
      <c r="M4" s="659"/>
      <c r="N4" s="654"/>
      <c r="O4" s="635"/>
      <c r="P4" s="664"/>
      <c r="Q4" s="635"/>
      <c r="R4" s="655"/>
      <c r="S4" s="632"/>
      <c r="T4" s="79" t="s">
        <v>116</v>
      </c>
      <c r="U4" s="79" t="s">
        <v>117</v>
      </c>
      <c r="V4" s="659"/>
      <c r="W4" s="661"/>
      <c r="X4" s="65" t="s">
        <v>249</v>
      </c>
      <c r="Y4" s="65" t="s">
        <v>78</v>
      </c>
      <c r="Z4" s="79" t="s">
        <v>250</v>
      </c>
      <c r="AA4" s="79" t="s">
        <v>251</v>
      </c>
      <c r="AB4" s="651"/>
      <c r="AC4" s="651"/>
      <c r="AD4" s="79" t="s">
        <v>252</v>
      </c>
      <c r="AE4" s="80" t="s">
        <v>253</v>
      </c>
      <c r="AF4" s="654"/>
      <c r="AG4" s="655"/>
      <c r="AH4" s="632"/>
    </row>
    <row r="5" spans="1:34" ht="19.5" customHeight="1">
      <c r="A5" s="656" t="s">
        <v>254</v>
      </c>
      <c r="B5" s="81" t="s">
        <v>385</v>
      </c>
      <c r="C5" s="82"/>
      <c r="D5" s="83" t="s">
        <v>124</v>
      </c>
      <c r="E5" s="84"/>
      <c r="F5" s="85">
        <v>37.94</v>
      </c>
      <c r="G5" s="86">
        <v>2936</v>
      </c>
      <c r="H5" s="87">
        <f t="shared" ref="H5:H16" si="0">F5*G5</f>
        <v>111391.84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2" si="1">G5/W5*60</f>
        <v>2122.4096385542161</v>
      </c>
      <c r="O5" s="90">
        <f t="shared" ref="O5:O12" si="2">N5/M5</f>
        <v>106.12048192771081</v>
      </c>
      <c r="P5" s="92">
        <f t="shared" ref="P5:P12" si="3">M5-J5</f>
        <v>0</v>
      </c>
      <c r="Q5" s="93">
        <f t="shared" ref="Q5:Q12" si="4">O5-L5</f>
        <v>-3.8795180722891871</v>
      </c>
      <c r="R5" s="94">
        <f t="shared" ref="R5:R12" si="5">O5/L5</f>
        <v>0.96473165388828008</v>
      </c>
      <c r="S5" s="620">
        <f>R17</f>
        <v>0.87945104051705036</v>
      </c>
      <c r="T5" s="96">
        <v>0.29166666666666669</v>
      </c>
      <c r="U5" s="96">
        <v>0.34930555555555559</v>
      </c>
      <c r="V5" s="65">
        <v>5</v>
      </c>
      <c r="W5" s="88">
        <f>(U5-T5)*24*60</f>
        <v>83.000000000000028</v>
      </c>
      <c r="X5" s="65"/>
      <c r="Y5" s="65"/>
      <c r="Z5" s="97"/>
      <c r="AA5" s="97"/>
      <c r="AB5" s="601"/>
      <c r="AC5" s="601"/>
      <c r="AD5" s="98"/>
      <c r="AE5" s="98"/>
      <c r="AF5" s="92">
        <f t="shared" ref="AF5:AF70" si="6">N5-K5</f>
        <v>-77.590361445783856</v>
      </c>
      <c r="AG5" s="94">
        <f t="shared" ref="AG5:AG70" si="7">N5/K5</f>
        <v>0.96473165388828008</v>
      </c>
      <c r="AH5" s="620">
        <f>AG17</f>
        <v>0.87234239350127918</v>
      </c>
    </row>
    <row r="6" spans="1:34" ht="19.149999999999999" customHeight="1">
      <c r="A6" s="657"/>
      <c r="B6" s="81" t="s">
        <v>385</v>
      </c>
      <c r="C6" s="82"/>
      <c r="D6" s="83" t="s">
        <v>125</v>
      </c>
      <c r="E6" s="84"/>
      <c r="F6" s="85">
        <v>31.266131815044861</v>
      </c>
      <c r="G6" s="86">
        <v>1395</v>
      </c>
      <c r="H6" s="87">
        <f t="shared" si="0"/>
        <v>43616.253881987584</v>
      </c>
      <c r="I6" s="88"/>
      <c r="J6" s="89">
        <v>18</v>
      </c>
      <c r="K6" s="86">
        <v>2700</v>
      </c>
      <c r="L6" s="90">
        <v>150</v>
      </c>
      <c r="M6" s="91">
        <v>18</v>
      </c>
      <c r="N6" s="86">
        <f t="shared" si="1"/>
        <v>2391.4285714285693</v>
      </c>
      <c r="O6" s="90">
        <f t="shared" si="2"/>
        <v>132.85714285714275</v>
      </c>
      <c r="P6" s="92">
        <f t="shared" si="3"/>
        <v>0</v>
      </c>
      <c r="Q6" s="93">
        <f t="shared" si="4"/>
        <v>-17.142857142857252</v>
      </c>
      <c r="R6" s="94">
        <f t="shared" si="5"/>
        <v>0.88571428571428501</v>
      </c>
      <c r="S6" s="620"/>
      <c r="T6" s="96">
        <v>0.35347222222222224</v>
      </c>
      <c r="U6" s="96">
        <v>0.37777777777777782</v>
      </c>
      <c r="V6" s="65">
        <v>6</v>
      </c>
      <c r="W6" s="88">
        <f t="shared" ref="W6:W17" si="8">(U6-T6)*24*60</f>
        <v>35.000000000000036</v>
      </c>
      <c r="X6" s="99"/>
      <c r="Y6" s="99"/>
      <c r="Z6" s="100"/>
      <c r="AA6" s="100"/>
      <c r="AB6" s="601"/>
      <c r="AC6" s="601"/>
      <c r="AD6" s="101"/>
      <c r="AE6" s="101"/>
      <c r="AF6" s="92">
        <f t="shared" si="6"/>
        <v>-308.57142857143072</v>
      </c>
      <c r="AG6" s="94">
        <f t="shared" si="7"/>
        <v>0.8857142857142849</v>
      </c>
      <c r="AH6" s="620"/>
    </row>
    <row r="7" spans="1:34" ht="19.149999999999999" customHeight="1">
      <c r="A7" s="657"/>
      <c r="B7" s="81" t="s">
        <v>385</v>
      </c>
      <c r="C7" s="82"/>
      <c r="D7" s="83" t="s">
        <v>126</v>
      </c>
      <c r="E7" s="84"/>
      <c r="F7" s="85">
        <v>38.630952380952372</v>
      </c>
      <c r="G7" s="86">
        <v>2349</v>
      </c>
      <c r="H7" s="87">
        <f t="shared" si="0"/>
        <v>90744.107142857116</v>
      </c>
      <c r="I7" s="88"/>
      <c r="J7" s="89">
        <v>18</v>
      </c>
      <c r="K7" s="86">
        <v>2800</v>
      </c>
      <c r="L7" s="90">
        <v>155.55555555555554</v>
      </c>
      <c r="M7" s="91">
        <v>18</v>
      </c>
      <c r="N7" s="86">
        <f t="shared" si="1"/>
        <v>2429.9999999999986</v>
      </c>
      <c r="O7" s="90">
        <f t="shared" si="2"/>
        <v>134.99999999999991</v>
      </c>
      <c r="P7" s="92">
        <f t="shared" si="3"/>
        <v>0</v>
      </c>
      <c r="Q7" s="93">
        <f t="shared" si="4"/>
        <v>-20.555555555555628</v>
      </c>
      <c r="R7" s="94">
        <f t="shared" si="5"/>
        <v>0.86785714285714233</v>
      </c>
      <c r="S7" s="620"/>
      <c r="T7" s="96">
        <v>0.39375000000000004</v>
      </c>
      <c r="U7" s="96">
        <v>0.43402777777777785</v>
      </c>
      <c r="V7" s="65">
        <v>23</v>
      </c>
      <c r="W7" s="88">
        <f t="shared" si="8"/>
        <v>58.000000000000036</v>
      </c>
      <c r="X7" s="99">
        <v>0.38125000000000003</v>
      </c>
      <c r="Y7" s="99">
        <v>0.39097222222222222</v>
      </c>
      <c r="Z7" s="100"/>
      <c r="AA7" s="100"/>
      <c r="AB7" s="601"/>
      <c r="AC7" s="601"/>
      <c r="AD7" s="101"/>
      <c r="AE7" s="101"/>
      <c r="AF7" s="92">
        <f t="shared" si="6"/>
        <v>-370.00000000000136</v>
      </c>
      <c r="AG7" s="94">
        <f t="shared" si="7"/>
        <v>0.86785714285714233</v>
      </c>
      <c r="AH7" s="620"/>
    </row>
    <row r="8" spans="1:34" ht="19.149999999999999" customHeight="1">
      <c r="A8" s="657"/>
      <c r="B8" s="81" t="s">
        <v>385</v>
      </c>
      <c r="C8" s="82"/>
      <c r="D8" s="83" t="s">
        <v>127</v>
      </c>
      <c r="E8" s="84"/>
      <c r="F8" s="85">
        <v>38</v>
      </c>
      <c r="G8" s="86">
        <v>4020</v>
      </c>
      <c r="H8" s="87">
        <f t="shared" si="0"/>
        <v>152760</v>
      </c>
      <c r="I8" s="88"/>
      <c r="J8" s="89">
        <v>19</v>
      </c>
      <c r="K8" s="86">
        <v>2800</v>
      </c>
      <c r="L8" s="90">
        <v>147.36842105263159</v>
      </c>
      <c r="M8" s="91">
        <v>18</v>
      </c>
      <c r="N8" s="86">
        <f t="shared" si="1"/>
        <v>2461.2244897959167</v>
      </c>
      <c r="O8" s="90">
        <f t="shared" si="2"/>
        <v>136.73469387755094</v>
      </c>
      <c r="P8" s="92">
        <f t="shared" si="3"/>
        <v>-1</v>
      </c>
      <c r="Q8" s="93">
        <f t="shared" si="4"/>
        <v>-10.633727175080651</v>
      </c>
      <c r="R8" s="94">
        <f t="shared" si="5"/>
        <v>0.92784256559766698</v>
      </c>
      <c r="S8" s="620"/>
      <c r="T8" s="96">
        <v>0.43750000000000006</v>
      </c>
      <c r="U8" s="96">
        <v>0.50555555555555565</v>
      </c>
      <c r="V8" s="65">
        <v>5</v>
      </c>
      <c r="W8" s="88">
        <f t="shared" si="8"/>
        <v>98.000000000000057</v>
      </c>
      <c r="X8" s="99"/>
      <c r="Y8" s="99"/>
      <c r="Z8" s="100"/>
      <c r="AA8" s="100"/>
      <c r="AB8" s="601"/>
      <c r="AC8" s="601"/>
      <c r="AD8" s="101"/>
      <c r="AE8" s="101"/>
      <c r="AF8" s="92">
        <f t="shared" si="6"/>
        <v>-338.77551020408328</v>
      </c>
      <c r="AG8" s="94">
        <f t="shared" si="7"/>
        <v>0.87900874635568449</v>
      </c>
      <c r="AH8" s="620"/>
    </row>
    <row r="9" spans="1:34" ht="19.149999999999999" customHeight="1">
      <c r="A9" s="657"/>
      <c r="B9" s="81" t="s">
        <v>386</v>
      </c>
      <c r="C9" s="102"/>
      <c r="D9" s="83" t="s">
        <v>128</v>
      </c>
      <c r="E9" s="103"/>
      <c r="F9" s="85">
        <v>59.34</v>
      </c>
      <c r="G9" s="104">
        <v>536</v>
      </c>
      <c r="H9" s="87">
        <f t="shared" si="0"/>
        <v>31806.240000000002</v>
      </c>
      <c r="I9" s="101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1191.1111111111154</v>
      </c>
      <c r="O9" s="90">
        <f t="shared" si="2"/>
        <v>62.690058479532389</v>
      </c>
      <c r="P9" s="92">
        <f t="shared" si="3"/>
        <v>0</v>
      </c>
      <c r="Q9" s="93">
        <f t="shared" si="4"/>
        <v>-13.099415204678131</v>
      </c>
      <c r="R9" s="94">
        <f t="shared" si="5"/>
        <v>0.8271604938271635</v>
      </c>
      <c r="S9" s="620"/>
      <c r="T9" s="96">
        <v>0.54652777777777783</v>
      </c>
      <c r="U9" s="96">
        <v>0.56527777777777777</v>
      </c>
      <c r="V9" s="65">
        <v>6</v>
      </c>
      <c r="W9" s="88">
        <f t="shared" si="8"/>
        <v>26.999999999999904</v>
      </c>
      <c r="X9" s="99"/>
      <c r="Y9" s="99"/>
      <c r="Z9" s="100"/>
      <c r="AA9" s="100"/>
      <c r="AB9" s="601"/>
      <c r="AC9" s="601"/>
      <c r="AD9" s="101">
        <v>1</v>
      </c>
      <c r="AE9" s="101"/>
      <c r="AF9" s="92">
        <f t="shared" si="6"/>
        <v>-248.88888888888459</v>
      </c>
      <c r="AG9" s="94">
        <f t="shared" si="7"/>
        <v>0.8271604938271635</v>
      </c>
      <c r="AH9" s="620"/>
    </row>
    <row r="10" spans="1:34" ht="19.149999999999999" customHeight="1">
      <c r="A10" s="658"/>
      <c r="B10" s="81" t="s">
        <v>386</v>
      </c>
      <c r="C10" s="82"/>
      <c r="D10" s="83" t="s">
        <v>129</v>
      </c>
      <c r="E10" s="84"/>
      <c r="F10" s="85">
        <v>71.55</v>
      </c>
      <c r="G10" s="86">
        <v>713</v>
      </c>
      <c r="H10" s="87">
        <f t="shared" si="0"/>
        <v>51015.15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1222.2857142857131</v>
      </c>
      <c r="O10" s="90">
        <f t="shared" si="2"/>
        <v>67.904761904761841</v>
      </c>
      <c r="P10" s="92">
        <f t="shared" si="3"/>
        <v>0</v>
      </c>
      <c r="Q10" s="93">
        <f t="shared" si="4"/>
        <v>-9.0396825396826017</v>
      </c>
      <c r="R10" s="94">
        <f t="shared" si="5"/>
        <v>0.88251676121712141</v>
      </c>
      <c r="S10" s="623"/>
      <c r="T10" s="96">
        <v>0.57013888888888886</v>
      </c>
      <c r="U10" s="96">
        <v>0.59444444444444444</v>
      </c>
      <c r="V10" s="65">
        <v>7</v>
      </c>
      <c r="W10" s="88">
        <f t="shared" si="8"/>
        <v>35.000000000000036</v>
      </c>
      <c r="X10" s="99"/>
      <c r="Y10" s="99"/>
      <c r="Z10" s="100"/>
      <c r="AA10" s="100"/>
      <c r="AB10" s="601"/>
      <c r="AC10" s="601"/>
      <c r="AD10" s="101"/>
      <c r="AE10" s="101"/>
      <c r="AF10" s="92">
        <f t="shared" si="6"/>
        <v>-162.71428571428692</v>
      </c>
      <c r="AG10" s="94">
        <f t="shared" si="7"/>
        <v>0.88251676121712141</v>
      </c>
      <c r="AH10" s="623"/>
    </row>
    <row r="11" spans="1:34" ht="19.149999999999999" customHeight="1">
      <c r="A11" s="658"/>
      <c r="B11" s="81" t="s">
        <v>386</v>
      </c>
      <c r="C11" s="82"/>
      <c r="D11" s="83" t="s">
        <v>130</v>
      </c>
      <c r="E11" s="84"/>
      <c r="F11" s="85">
        <v>77.34</v>
      </c>
      <c r="G11" s="86">
        <v>591</v>
      </c>
      <c r="H11" s="87">
        <f t="shared" si="0"/>
        <v>45707.94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1074.5454545454531</v>
      </c>
      <c r="O11" s="90">
        <f t="shared" si="2"/>
        <v>59.696969696969617</v>
      </c>
      <c r="P11" s="92">
        <f t="shared" si="3"/>
        <v>0</v>
      </c>
      <c r="Q11" s="93">
        <f t="shared" si="4"/>
        <v>-20.303030303030383</v>
      </c>
      <c r="R11" s="94">
        <f t="shared" si="5"/>
        <v>0.74621212121212022</v>
      </c>
      <c r="S11" s="623"/>
      <c r="T11" s="96">
        <v>0.59861111111111109</v>
      </c>
      <c r="U11" s="96">
        <v>0.62152777777777779</v>
      </c>
      <c r="V11" s="65">
        <v>6</v>
      </c>
      <c r="W11" s="88">
        <f t="shared" si="8"/>
        <v>33.000000000000043</v>
      </c>
      <c r="X11" s="99"/>
      <c r="Y11" s="99"/>
      <c r="Z11" s="100"/>
      <c r="AA11" s="100"/>
      <c r="AB11" s="601"/>
      <c r="AC11" s="601"/>
      <c r="AD11" s="101"/>
      <c r="AE11" s="101"/>
      <c r="AF11" s="92">
        <f t="shared" si="6"/>
        <v>-365.45454545454686</v>
      </c>
      <c r="AG11" s="94">
        <f t="shared" si="7"/>
        <v>0.74621212121212022</v>
      </c>
      <c r="AH11" s="623"/>
    </row>
    <row r="12" spans="1:34" ht="19.149999999999999" customHeight="1">
      <c r="A12" s="658"/>
      <c r="B12" s="81" t="s">
        <v>386</v>
      </c>
      <c r="C12" s="82"/>
      <c r="D12" s="83" t="s">
        <v>131</v>
      </c>
      <c r="E12" s="84"/>
      <c r="F12" s="85">
        <v>59.54</v>
      </c>
      <c r="G12" s="86">
        <v>1534</v>
      </c>
      <c r="H12" s="87">
        <f t="shared" si="0"/>
        <v>91334.36</v>
      </c>
      <c r="I12" s="88"/>
      <c r="J12" s="89">
        <v>18</v>
      </c>
      <c r="K12" s="86">
        <v>1385</v>
      </c>
      <c r="L12" s="90">
        <v>76.944444444444443</v>
      </c>
      <c r="M12" s="91">
        <v>18</v>
      </c>
      <c r="N12" s="86">
        <f t="shared" si="1"/>
        <v>1195.3246753246747</v>
      </c>
      <c r="O12" s="90">
        <f t="shared" si="2"/>
        <v>66.406926406926374</v>
      </c>
      <c r="P12" s="92">
        <f t="shared" si="3"/>
        <v>0</v>
      </c>
      <c r="Q12" s="93">
        <f t="shared" si="4"/>
        <v>-10.537518037518069</v>
      </c>
      <c r="R12" s="94">
        <f t="shared" si="5"/>
        <v>0.86305030709362796</v>
      </c>
      <c r="S12" s="623"/>
      <c r="T12" s="96">
        <v>0.63680555555555551</v>
      </c>
      <c r="U12" s="96">
        <v>0.69027777777777777</v>
      </c>
      <c r="V12" s="65">
        <v>22</v>
      </c>
      <c r="W12" s="88">
        <f t="shared" si="8"/>
        <v>77.000000000000043</v>
      </c>
      <c r="X12" s="99">
        <v>0.625</v>
      </c>
      <c r="Y12" s="99">
        <v>0.63402777777777775</v>
      </c>
      <c r="Z12" s="100"/>
      <c r="AA12" s="100"/>
      <c r="AB12" s="601"/>
      <c r="AC12" s="601"/>
      <c r="AD12" s="101"/>
      <c r="AE12" s="101"/>
      <c r="AF12" s="92"/>
      <c r="AG12" s="94"/>
      <c r="AH12" s="623"/>
    </row>
    <row r="13" spans="1:34" ht="19.149999999999999" customHeight="1">
      <c r="A13" s="658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4"/>
      <c r="S13" s="623"/>
      <c r="T13" s="111"/>
      <c r="U13" s="111"/>
      <c r="V13" s="109"/>
      <c r="W13" s="88"/>
      <c r="X13" s="112"/>
      <c r="Y13" s="112"/>
      <c r="Z13" s="100"/>
      <c r="AA13" s="100"/>
      <c r="AB13" s="601"/>
      <c r="AC13" s="601"/>
      <c r="AD13" s="101"/>
      <c r="AE13" s="101"/>
      <c r="AF13" s="113"/>
      <c r="AG13" s="114"/>
      <c r="AH13" s="623"/>
    </row>
    <row r="14" spans="1:34" ht="19.149999999999999" customHeight="1">
      <c r="A14" s="658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4"/>
      <c r="S14" s="623"/>
      <c r="T14" s="111"/>
      <c r="U14" s="111"/>
      <c r="V14" s="109"/>
      <c r="W14" s="88"/>
      <c r="X14" s="112"/>
      <c r="Y14" s="112"/>
      <c r="Z14" s="100"/>
      <c r="AA14" s="100"/>
      <c r="AB14" s="601"/>
      <c r="AC14" s="601"/>
      <c r="AD14" s="101"/>
      <c r="AE14" s="101"/>
      <c r="AF14" s="113"/>
      <c r="AG14" s="114"/>
      <c r="AH14" s="623"/>
    </row>
    <row r="15" spans="1:34" ht="19.149999999999999" customHeight="1">
      <c r="A15" s="658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4"/>
      <c r="S15" s="623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01"/>
      <c r="AC15" s="601"/>
      <c r="AD15" s="101"/>
      <c r="AE15" s="101"/>
      <c r="AF15" s="113"/>
      <c r="AG15" s="114"/>
      <c r="AH15" s="623"/>
    </row>
    <row r="16" spans="1:34" ht="19.149999999999999" customHeight="1">
      <c r="A16" s="658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4"/>
      <c r="S16" s="623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01"/>
      <c r="AC16" s="601"/>
      <c r="AD16" s="101"/>
      <c r="AE16" s="101"/>
      <c r="AF16" s="113"/>
      <c r="AG16" s="114"/>
      <c r="AH16" s="623"/>
    </row>
    <row r="17" spans="1:34" ht="19.149999999999999" customHeight="1">
      <c r="A17" s="658"/>
      <c r="B17" s="118">
        <v>0</v>
      </c>
      <c r="C17" s="118" t="s">
        <v>255</v>
      </c>
      <c r="D17" s="607" t="s">
        <v>256</v>
      </c>
      <c r="E17" s="607"/>
      <c r="F17" s="119"/>
      <c r="G17" s="120"/>
      <c r="H17" s="121"/>
      <c r="I17" s="122"/>
      <c r="J17" s="120">
        <v>18.5</v>
      </c>
      <c r="K17" s="120">
        <v>2018.75</v>
      </c>
      <c r="L17" s="123">
        <v>109.07529239766082</v>
      </c>
      <c r="M17" s="120">
        <f t="shared" ref="M17:O17" si="9">AVERAGE(M5:M16)</f>
        <v>18.375</v>
      </c>
      <c r="N17" s="120">
        <f t="shared" si="9"/>
        <v>1761.0412068807073</v>
      </c>
      <c r="O17" s="123">
        <f t="shared" si="9"/>
        <v>95.92637939382432</v>
      </c>
      <c r="P17" s="113">
        <f t="shared" ref="P17:P24" si="10">M17-J17</f>
        <v>-0.125</v>
      </c>
      <c r="Q17" s="124">
        <f t="shared" ref="Q17:Q24" si="11">O17-L17</f>
        <v>-13.148913003836498</v>
      </c>
      <c r="R17" s="125">
        <f>O17/L17</f>
        <v>0.87945104051705036</v>
      </c>
      <c r="S17" s="623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01"/>
      <c r="AC17" s="601"/>
      <c r="AD17" s="129">
        <f>SUM(AD5:AD16)</f>
        <v>1</v>
      </c>
      <c r="AE17" s="129">
        <f>SUM(AE5:AE16)</f>
        <v>0</v>
      </c>
      <c r="AF17" s="113">
        <f t="shared" si="6"/>
        <v>-257.70879311929275</v>
      </c>
      <c r="AG17" s="114">
        <f t="shared" si="7"/>
        <v>0.87234239350127918</v>
      </c>
      <c r="AH17" s="623"/>
    </row>
    <row r="18" spans="1:34" ht="19.149999999999999" customHeight="1">
      <c r="A18" s="604" t="s">
        <v>257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1316</v>
      </c>
      <c r="H18" s="135">
        <f t="shared" ref="H18:H29" si="12">F18*G18</f>
        <v>48507.76</v>
      </c>
      <c r="I18" s="101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2024.6153846153854</v>
      </c>
      <c r="O18" s="137">
        <f t="shared" ref="O18:O24" si="14">N18/M18</f>
        <v>106.55870445344134</v>
      </c>
      <c r="P18" s="100">
        <f t="shared" si="10"/>
        <v>1</v>
      </c>
      <c r="Q18" s="139">
        <f t="shared" si="11"/>
        <v>-18.441295546558663</v>
      </c>
      <c r="R18" s="140">
        <f t="shared" ref="R18:R24" si="15">O18/L18</f>
        <v>0.85246963562753064</v>
      </c>
      <c r="S18" s="605">
        <f>R30</f>
        <v>0.84643986170459995</v>
      </c>
      <c r="T18" s="142">
        <v>0.16666666666666666</v>
      </c>
      <c r="U18" s="142">
        <v>0.19374999999999998</v>
      </c>
      <c r="V18" s="101">
        <v>5</v>
      </c>
      <c r="W18" s="143">
        <f>(U18-T18)*24*60</f>
        <v>38.999999999999979</v>
      </c>
      <c r="X18" s="137"/>
      <c r="Y18" s="137"/>
      <c r="Z18" s="100"/>
      <c r="AA18" s="100"/>
      <c r="AB18" s="601"/>
      <c r="AC18" s="601"/>
      <c r="AD18" s="101"/>
      <c r="AE18" s="101"/>
      <c r="AF18" s="144">
        <f t="shared" si="6"/>
        <v>-225.38461538461456</v>
      </c>
      <c r="AG18" s="145">
        <f t="shared" si="7"/>
        <v>0.89982905982906014</v>
      </c>
      <c r="AH18" s="646">
        <f>AG30</f>
        <v>0.86163209402418983</v>
      </c>
    </row>
    <row r="19" spans="1:34" ht="19.149999999999999" customHeight="1">
      <c r="A19" s="604"/>
      <c r="B19" s="146" t="s">
        <v>387</v>
      </c>
      <c r="C19" s="147"/>
      <c r="D19" s="132" t="s">
        <v>134</v>
      </c>
      <c r="E19" s="133"/>
      <c r="F19" s="85">
        <v>56.43</v>
      </c>
      <c r="G19" s="104">
        <v>1185.0999999999999</v>
      </c>
      <c r="H19" s="135">
        <f t="shared" si="12"/>
        <v>66875.192999999999</v>
      </c>
      <c r="I19" s="101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1316.7777777777776</v>
      </c>
      <c r="O19" s="150">
        <f t="shared" si="14"/>
        <v>73.154320987654316</v>
      </c>
      <c r="P19" s="100">
        <f t="shared" si="10"/>
        <v>1</v>
      </c>
      <c r="Q19" s="139">
        <f t="shared" si="11"/>
        <v>-15.080973129992742</v>
      </c>
      <c r="R19" s="140">
        <f t="shared" si="15"/>
        <v>0.82908230452674891</v>
      </c>
      <c r="S19" s="605"/>
      <c r="T19" s="142">
        <v>0.19930555555555554</v>
      </c>
      <c r="U19" s="142">
        <v>0.23680555555555555</v>
      </c>
      <c r="V19" s="101">
        <v>8</v>
      </c>
      <c r="W19" s="143">
        <f>(U19-T19)*24*60</f>
        <v>54.000000000000007</v>
      </c>
      <c r="X19" s="151"/>
      <c r="Y19" s="151"/>
      <c r="Z19" s="100"/>
      <c r="AA19" s="100"/>
      <c r="AB19" s="601"/>
      <c r="AC19" s="601"/>
      <c r="AD19" s="101"/>
      <c r="AE19" s="101"/>
      <c r="AF19" s="92">
        <f t="shared" si="6"/>
        <v>-183.2222222222224</v>
      </c>
      <c r="AG19" s="94">
        <f t="shared" si="7"/>
        <v>0.87785185185185177</v>
      </c>
      <c r="AH19" s="647"/>
    </row>
    <row r="20" spans="1:34" ht="19.149999999999999" customHeight="1">
      <c r="A20" s="604"/>
      <c r="B20" s="146" t="s">
        <v>387</v>
      </c>
      <c r="C20" s="102"/>
      <c r="D20" s="83" t="s">
        <v>135</v>
      </c>
      <c r="E20" s="133"/>
      <c r="F20" s="85">
        <v>49.9</v>
      </c>
      <c r="G20" s="104">
        <v>1112</v>
      </c>
      <c r="H20" s="135">
        <f t="shared" si="12"/>
        <v>55488.799999999996</v>
      </c>
      <c r="I20" s="101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1308.2352941176475</v>
      </c>
      <c r="O20" s="150">
        <f t="shared" si="14"/>
        <v>76.955017301038083</v>
      </c>
      <c r="P20" s="100">
        <f t="shared" si="10"/>
        <v>0</v>
      </c>
      <c r="Q20" s="139">
        <f t="shared" si="11"/>
        <v>-11.280276816608975</v>
      </c>
      <c r="R20" s="140">
        <f t="shared" si="15"/>
        <v>0.87215686274509829</v>
      </c>
      <c r="S20" s="605"/>
      <c r="T20" s="142">
        <v>0.25208333333333333</v>
      </c>
      <c r="U20" s="142">
        <v>0.28749999999999998</v>
      </c>
      <c r="V20" s="101">
        <v>22</v>
      </c>
      <c r="W20" s="143">
        <f t="shared" ref="W20:W29" si="16">(U20-T20)*24*60</f>
        <v>50.999999999999979</v>
      </c>
      <c r="X20" s="151">
        <v>0.24027777777777778</v>
      </c>
      <c r="Y20" s="151">
        <v>0.24930555555555556</v>
      </c>
      <c r="Z20" s="100"/>
      <c r="AA20" s="100"/>
      <c r="AB20" s="601"/>
      <c r="AC20" s="601"/>
      <c r="AD20" s="101"/>
      <c r="AE20" s="101"/>
      <c r="AF20" s="92">
        <f t="shared" si="6"/>
        <v>-191.76470588235247</v>
      </c>
      <c r="AG20" s="94">
        <f t="shared" si="7"/>
        <v>0.8721568627450984</v>
      </c>
      <c r="AH20" s="647"/>
    </row>
    <row r="21" spans="1:34" ht="19.149999999999999" customHeight="1">
      <c r="A21" s="604"/>
      <c r="B21" s="146" t="s">
        <v>387</v>
      </c>
      <c r="C21" s="152"/>
      <c r="D21" s="153" t="s">
        <v>136</v>
      </c>
      <c r="E21" s="84"/>
      <c r="F21" s="85">
        <v>56.43</v>
      </c>
      <c r="G21" s="86">
        <v>958</v>
      </c>
      <c r="H21" s="135">
        <f t="shared" si="12"/>
        <v>54059.94</v>
      </c>
      <c r="I21" s="65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1336.7441860465115</v>
      </c>
      <c r="O21" s="150">
        <f t="shared" si="14"/>
        <v>74.263565891472865</v>
      </c>
      <c r="P21" s="100">
        <f t="shared" si="10"/>
        <v>0</v>
      </c>
      <c r="Q21" s="139">
        <f t="shared" si="11"/>
        <v>-16.625322997416021</v>
      </c>
      <c r="R21" s="140">
        <f t="shared" si="15"/>
        <v>0.81708079831693869</v>
      </c>
      <c r="S21" s="605"/>
      <c r="T21" s="142">
        <v>0.29097222222222219</v>
      </c>
      <c r="U21" s="142">
        <v>0.3208333333333333</v>
      </c>
      <c r="V21" s="101">
        <v>5</v>
      </c>
      <c r="W21" s="143">
        <f t="shared" si="16"/>
        <v>43.000000000000007</v>
      </c>
      <c r="X21" s="151"/>
      <c r="Y21" s="151"/>
      <c r="Z21" s="100"/>
      <c r="AA21" s="100"/>
      <c r="AB21" s="601"/>
      <c r="AC21" s="601"/>
      <c r="AD21" s="101"/>
      <c r="AE21" s="101"/>
      <c r="AF21" s="92">
        <f t="shared" si="6"/>
        <v>-299.25581395348854</v>
      </c>
      <c r="AG21" s="94">
        <f t="shared" si="7"/>
        <v>0.81708079831693858</v>
      </c>
      <c r="AH21" s="648"/>
    </row>
    <row r="22" spans="1:34" ht="19.149999999999999" customHeight="1">
      <c r="A22" s="604"/>
      <c r="B22" s="146" t="s">
        <v>388</v>
      </c>
      <c r="C22" s="152"/>
      <c r="D22" s="83" t="s">
        <v>137</v>
      </c>
      <c r="E22" s="84"/>
      <c r="F22" s="85">
        <v>43.14</v>
      </c>
      <c r="G22" s="86">
        <v>1164.0999999999999</v>
      </c>
      <c r="H22" s="135">
        <f t="shared" si="12"/>
        <v>50219.273999999998</v>
      </c>
      <c r="I22" s="65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1269.9272727272735</v>
      </c>
      <c r="O22" s="150">
        <f t="shared" si="14"/>
        <v>74.70160427807491</v>
      </c>
      <c r="P22" s="100">
        <f t="shared" si="10"/>
        <v>0</v>
      </c>
      <c r="Q22" s="139">
        <f t="shared" si="11"/>
        <v>-10.004278074866264</v>
      </c>
      <c r="R22" s="140">
        <f t="shared" si="15"/>
        <v>0.8818939393939399</v>
      </c>
      <c r="S22" s="605"/>
      <c r="T22" s="142">
        <v>0.3256944444444444</v>
      </c>
      <c r="U22" s="142">
        <v>0.36388888888888882</v>
      </c>
      <c r="V22" s="101">
        <v>7</v>
      </c>
      <c r="W22" s="143">
        <f t="shared" si="16"/>
        <v>54.999999999999964</v>
      </c>
      <c r="X22" s="151"/>
      <c r="Y22" s="151"/>
      <c r="Z22" s="100"/>
      <c r="AA22" s="100"/>
      <c r="AB22" s="601"/>
      <c r="AC22" s="601"/>
      <c r="AD22" s="101"/>
      <c r="AE22" s="101"/>
      <c r="AF22" s="92">
        <f t="shared" si="6"/>
        <v>-170.07272727272652</v>
      </c>
      <c r="AG22" s="94">
        <f t="shared" si="7"/>
        <v>0.8818939393939399</v>
      </c>
      <c r="AH22" s="648"/>
    </row>
    <row r="23" spans="1:34" ht="19.149999999999999" customHeight="1">
      <c r="A23" s="604"/>
      <c r="B23" s="146" t="s">
        <v>387</v>
      </c>
      <c r="C23" s="152"/>
      <c r="D23" s="83" t="s">
        <v>138</v>
      </c>
      <c r="E23" s="84"/>
      <c r="F23" s="85">
        <v>38.39</v>
      </c>
      <c r="G23" s="86">
        <v>3390</v>
      </c>
      <c r="H23" s="135">
        <f t="shared" si="12"/>
        <v>130142.1</v>
      </c>
      <c r="I23" s="65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1320.7792207792206</v>
      </c>
      <c r="O23" s="150">
        <f t="shared" si="14"/>
        <v>73.376623376623371</v>
      </c>
      <c r="P23" s="100">
        <f t="shared" si="10"/>
        <v>1</v>
      </c>
      <c r="Q23" s="139">
        <f t="shared" si="11"/>
        <v>-22.858670741023687</v>
      </c>
      <c r="R23" s="140">
        <f t="shared" si="15"/>
        <v>0.76247102530721111</v>
      </c>
      <c r="S23" s="605"/>
      <c r="T23" s="142">
        <v>0.37986111111111104</v>
      </c>
      <c r="U23" s="142">
        <v>0.48680555555555549</v>
      </c>
      <c r="V23" s="101">
        <v>23</v>
      </c>
      <c r="W23" s="143">
        <f t="shared" si="16"/>
        <v>154</v>
      </c>
      <c r="X23" s="151">
        <v>0.36736111111111108</v>
      </c>
      <c r="Y23" s="151">
        <v>0.37708333333333338</v>
      </c>
      <c r="Z23" s="100"/>
      <c r="AA23" s="100"/>
      <c r="AB23" s="601"/>
      <c r="AC23" s="601"/>
      <c r="AD23" s="101"/>
      <c r="AE23" s="101"/>
      <c r="AF23" s="92"/>
      <c r="AG23" s="94"/>
      <c r="AH23" s="648"/>
    </row>
    <row r="24" spans="1:34" ht="19.149999999999999" customHeight="1">
      <c r="A24" s="604"/>
      <c r="B24" s="146" t="s">
        <v>388</v>
      </c>
      <c r="C24" s="131"/>
      <c r="D24" s="132" t="s">
        <v>137</v>
      </c>
      <c r="E24" s="133"/>
      <c r="F24" s="85">
        <v>43.14</v>
      </c>
      <c r="G24" s="104">
        <v>498.9</v>
      </c>
      <c r="H24" s="135">
        <f t="shared" si="12"/>
        <v>21522.545999999998</v>
      </c>
      <c r="I24" s="143"/>
      <c r="J24" s="148">
        <v>17</v>
      </c>
      <c r="K24" s="86">
        <v>1440</v>
      </c>
      <c r="L24" s="90">
        <v>84.705882352941174</v>
      </c>
      <c r="M24" s="138">
        <v>16</v>
      </c>
      <c r="N24" s="149">
        <f t="shared" si="13"/>
        <v>1247.2499999999961</v>
      </c>
      <c r="O24" s="150">
        <f t="shared" si="14"/>
        <v>77.953124999999758</v>
      </c>
      <c r="P24" s="100">
        <f t="shared" si="10"/>
        <v>-1</v>
      </c>
      <c r="Q24" s="139">
        <f t="shared" si="11"/>
        <v>-6.7527573529414155</v>
      </c>
      <c r="R24" s="140">
        <f t="shared" si="15"/>
        <v>0.92027994791666379</v>
      </c>
      <c r="S24" s="605"/>
      <c r="T24" s="142">
        <v>0.52777777777777768</v>
      </c>
      <c r="U24" s="142">
        <v>0.5444444444444444</v>
      </c>
      <c r="V24" s="101">
        <v>6</v>
      </c>
      <c r="W24" s="143">
        <f t="shared" si="16"/>
        <v>24.000000000000075</v>
      </c>
      <c r="X24" s="101"/>
      <c r="Y24" s="101"/>
      <c r="Z24" s="100"/>
      <c r="AA24" s="100"/>
      <c r="AB24" s="601"/>
      <c r="AC24" s="601"/>
      <c r="AD24" s="101"/>
      <c r="AE24" s="101"/>
      <c r="AF24" s="92">
        <f t="shared" si="6"/>
        <v>-192.75000000000387</v>
      </c>
      <c r="AG24" s="94"/>
      <c r="AH24" s="648"/>
    </row>
    <row r="25" spans="1:34" ht="19.149999999999999" customHeight="1">
      <c r="A25" s="604"/>
      <c r="B25" s="146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0"/>
      <c r="S25" s="605"/>
      <c r="T25" s="142"/>
      <c r="U25" s="142"/>
      <c r="V25" s="101"/>
      <c r="W25" s="143">
        <f t="shared" si="16"/>
        <v>0</v>
      </c>
      <c r="X25" s="101"/>
      <c r="Y25" s="101"/>
      <c r="Z25" s="100"/>
      <c r="AA25" s="100"/>
      <c r="AB25" s="601"/>
      <c r="AC25" s="601"/>
      <c r="AD25" s="101"/>
      <c r="AE25" s="101"/>
      <c r="AF25" s="92">
        <f t="shared" si="6"/>
        <v>0</v>
      </c>
      <c r="AG25" s="94"/>
      <c r="AH25" s="648"/>
    </row>
    <row r="26" spans="1:34" ht="19.149999999999999" customHeight="1">
      <c r="A26" s="604"/>
      <c r="B26" s="146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0"/>
      <c r="S26" s="605"/>
      <c r="T26" s="142"/>
      <c r="U26" s="142"/>
      <c r="V26" s="101"/>
      <c r="W26" s="143">
        <f t="shared" si="16"/>
        <v>0</v>
      </c>
      <c r="X26" s="101"/>
      <c r="Y26" s="101"/>
      <c r="Z26" s="100"/>
      <c r="AA26" s="100"/>
      <c r="AB26" s="601"/>
      <c r="AC26" s="601"/>
      <c r="AD26" s="101"/>
      <c r="AE26" s="101"/>
      <c r="AF26" s="92">
        <f t="shared" si="6"/>
        <v>0</v>
      </c>
      <c r="AG26" s="94"/>
      <c r="AH26" s="648"/>
    </row>
    <row r="27" spans="1:34" ht="19.149999999999999" customHeight="1">
      <c r="A27" s="604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0"/>
      <c r="S27" s="605"/>
      <c r="T27" s="142"/>
      <c r="U27" s="142"/>
      <c r="V27" s="101"/>
      <c r="W27" s="143">
        <f t="shared" si="16"/>
        <v>0</v>
      </c>
      <c r="X27" s="101"/>
      <c r="Y27" s="101"/>
      <c r="Z27" s="100"/>
      <c r="AA27" s="100"/>
      <c r="AB27" s="601"/>
      <c r="AC27" s="601"/>
      <c r="AD27" s="101"/>
      <c r="AE27" s="101"/>
      <c r="AF27" s="92">
        <f t="shared" si="6"/>
        <v>0</v>
      </c>
      <c r="AG27" s="94"/>
      <c r="AH27" s="648"/>
    </row>
    <row r="28" spans="1:34" ht="19.149999999999999" customHeight="1">
      <c r="A28" s="604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0"/>
      <c r="S28" s="605"/>
      <c r="T28" s="142"/>
      <c r="U28" s="142"/>
      <c r="V28" s="101"/>
      <c r="W28" s="143">
        <f t="shared" si="16"/>
        <v>0</v>
      </c>
      <c r="X28" s="101"/>
      <c r="Y28" s="101"/>
      <c r="Z28" s="100"/>
      <c r="AA28" s="100"/>
      <c r="AB28" s="601"/>
      <c r="AC28" s="601"/>
      <c r="AD28" s="101"/>
      <c r="AE28" s="101"/>
      <c r="AF28" s="92">
        <f t="shared" si="6"/>
        <v>0</v>
      </c>
      <c r="AG28" s="94"/>
      <c r="AH28" s="648"/>
    </row>
    <row r="29" spans="1:34" ht="19.149999999999999" customHeight="1">
      <c r="A29" s="604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0"/>
      <c r="S29" s="605"/>
      <c r="T29" s="142"/>
      <c r="U29" s="142"/>
      <c r="V29" s="101"/>
      <c r="W29" s="143">
        <f t="shared" si="16"/>
        <v>0</v>
      </c>
      <c r="X29" s="101"/>
      <c r="Y29" s="101"/>
      <c r="Z29" s="100"/>
      <c r="AA29" s="100"/>
      <c r="AB29" s="601"/>
      <c r="AC29" s="601"/>
      <c r="AD29" s="101"/>
      <c r="AE29" s="101"/>
      <c r="AF29" s="92">
        <f t="shared" si="6"/>
        <v>0</v>
      </c>
      <c r="AG29" s="94"/>
      <c r="AH29" s="648"/>
    </row>
    <row r="30" spans="1:34" ht="19.149999999999999" customHeight="1">
      <c r="A30" s="604"/>
      <c r="B30" s="155">
        <v>0</v>
      </c>
      <c r="C30" s="156" t="s">
        <v>258</v>
      </c>
      <c r="D30" s="645" t="s">
        <v>256</v>
      </c>
      <c r="E30" s="645"/>
      <c r="F30" s="157"/>
      <c r="G30" s="158"/>
      <c r="H30" s="159"/>
      <c r="I30" s="160"/>
      <c r="J30" s="158">
        <v>17.285714285714285</v>
      </c>
      <c r="K30" s="158">
        <v>1628.8571428571429</v>
      </c>
      <c r="L30" s="161">
        <v>94.00093370681607</v>
      </c>
      <c r="M30" s="158">
        <f t="shared" ref="M30:O30" si="17">AVERAGE(M18:M29)</f>
        <v>17.571428571428573</v>
      </c>
      <c r="N30" s="158">
        <f t="shared" si="17"/>
        <v>1403.4755908662589</v>
      </c>
      <c r="O30" s="161">
        <f t="shared" si="17"/>
        <v>79.566137326900659</v>
      </c>
      <c r="P30" s="100">
        <f t="shared" ref="P30:P36" si="18">M30-J30</f>
        <v>0.28571428571428825</v>
      </c>
      <c r="Q30" s="139">
        <f t="shared" ref="Q30:Q36" si="19">O30-L30</f>
        <v>-14.434796379915412</v>
      </c>
      <c r="R30" s="162">
        <f t="shared" ref="R30:R36" si="20">O30/L30</f>
        <v>0.84643986170459995</v>
      </c>
      <c r="S30" s="605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01"/>
      <c r="AC30" s="601"/>
      <c r="AD30" s="164">
        <f>SUM(AD18:AD29)</f>
        <v>0</v>
      </c>
      <c r="AE30" s="164">
        <f>SUM(AE18:AE29)</f>
        <v>0</v>
      </c>
      <c r="AF30" s="165">
        <f t="shared" si="6"/>
        <v>-225.38155199088396</v>
      </c>
      <c r="AG30" s="166">
        <f t="shared" ref="AG30" si="21">N30/K30</f>
        <v>0.86163209402418983</v>
      </c>
      <c r="AH30" s="649"/>
    </row>
    <row r="31" spans="1:34" ht="19.149999999999999" customHeight="1">
      <c r="A31" s="642" t="s">
        <v>259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1920</v>
      </c>
      <c r="H31" s="171">
        <f t="shared" ref="H31:H40" si="22">F31*G31</f>
        <v>65721.599999999991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2057.1428571428569</v>
      </c>
      <c r="O31" s="174">
        <f t="shared" ref="O31:O36" si="24">N31/M31</f>
        <v>158.24175824175822</v>
      </c>
      <c r="P31" s="175">
        <f t="shared" si="18"/>
        <v>0</v>
      </c>
      <c r="Q31" s="176">
        <f t="shared" si="19"/>
        <v>-14.835164835164846</v>
      </c>
      <c r="R31" s="177">
        <f t="shared" si="20"/>
        <v>0.91428571428571426</v>
      </c>
      <c r="S31" s="644">
        <f>R43</f>
        <v>0.9109720942633962</v>
      </c>
      <c r="T31" s="178">
        <v>0.16666666666666666</v>
      </c>
      <c r="U31" s="178">
        <v>0.20555555555555555</v>
      </c>
      <c r="V31" s="98">
        <v>5</v>
      </c>
      <c r="W31" s="179">
        <f t="shared" ref="W31:W42" si="25">(U31-T31)*24*60</f>
        <v>56</v>
      </c>
      <c r="X31" s="98"/>
      <c r="Y31" s="98"/>
      <c r="Z31" s="97"/>
      <c r="AA31" s="97"/>
      <c r="AB31" s="601"/>
      <c r="AC31" s="601"/>
      <c r="AD31" s="98"/>
      <c r="AE31" s="98"/>
      <c r="AF31" s="175">
        <f t="shared" si="6"/>
        <v>-192.85714285714312</v>
      </c>
      <c r="AG31" s="180">
        <f t="shared" si="7"/>
        <v>0.91428571428571415</v>
      </c>
      <c r="AH31" s="622">
        <f>AG43</f>
        <v>0.90085547982920156</v>
      </c>
    </row>
    <row r="32" spans="1:34" ht="19.149999999999999" customHeight="1">
      <c r="A32" s="643"/>
      <c r="B32" s="182" t="s">
        <v>389</v>
      </c>
      <c r="C32" s="183"/>
      <c r="D32" s="153" t="s">
        <v>141</v>
      </c>
      <c r="E32" s="84"/>
      <c r="F32" s="85">
        <v>35.33</v>
      </c>
      <c r="G32" s="86">
        <v>2190</v>
      </c>
      <c r="H32" s="135">
        <f t="shared" si="22"/>
        <v>77372.7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2119.354838709678</v>
      </c>
      <c r="O32" s="90">
        <f t="shared" si="24"/>
        <v>176.61290322580649</v>
      </c>
      <c r="P32" s="92">
        <f t="shared" si="18"/>
        <v>0</v>
      </c>
      <c r="Q32" s="93">
        <f t="shared" si="19"/>
        <v>-10.887096774193509</v>
      </c>
      <c r="R32" s="94">
        <f t="shared" si="20"/>
        <v>0.94193548387096793</v>
      </c>
      <c r="S32" s="605"/>
      <c r="T32" s="142">
        <v>0.21041666666666667</v>
      </c>
      <c r="U32" s="142">
        <v>0.25347222222222221</v>
      </c>
      <c r="V32" s="101">
        <v>7</v>
      </c>
      <c r="W32" s="143">
        <f t="shared" si="25"/>
        <v>61.999999999999979</v>
      </c>
      <c r="X32" s="184"/>
      <c r="Y32" s="184"/>
      <c r="Z32" s="185"/>
      <c r="AA32" s="185"/>
      <c r="AB32" s="601"/>
      <c r="AC32" s="601"/>
      <c r="AD32" s="101"/>
      <c r="AE32" s="101"/>
      <c r="AF32" s="92">
        <f t="shared" si="6"/>
        <v>-130.64516129032199</v>
      </c>
      <c r="AG32" s="94">
        <f t="shared" si="7"/>
        <v>0.94193548387096804</v>
      </c>
      <c r="AH32" s="620"/>
    </row>
    <row r="33" spans="1:34" ht="19.149999999999999" customHeight="1">
      <c r="A33" s="643"/>
      <c r="B33" s="182" t="s">
        <v>389</v>
      </c>
      <c r="C33" s="101"/>
      <c r="D33" s="132" t="s">
        <v>142</v>
      </c>
      <c r="E33" s="133"/>
      <c r="F33" s="85">
        <v>36.409999999999997</v>
      </c>
      <c r="G33" s="104">
        <v>2808.3999999999996</v>
      </c>
      <c r="H33" s="135">
        <f t="shared" si="22"/>
        <v>102253.84399999998</v>
      </c>
      <c r="I33" s="101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2054.9268292682918</v>
      </c>
      <c r="O33" s="90">
        <f t="shared" si="24"/>
        <v>205.49268292682919</v>
      </c>
      <c r="P33" s="92">
        <f t="shared" si="18"/>
        <v>0</v>
      </c>
      <c r="Q33" s="93">
        <f t="shared" si="19"/>
        <v>-19.50731707317081</v>
      </c>
      <c r="R33" s="94">
        <f t="shared" si="20"/>
        <v>0.91330081300812971</v>
      </c>
      <c r="S33" s="605"/>
      <c r="T33" s="142">
        <v>0.25902777777777775</v>
      </c>
      <c r="U33" s="142">
        <v>0.31597222222222221</v>
      </c>
      <c r="V33" s="101">
        <v>8</v>
      </c>
      <c r="W33" s="143">
        <f t="shared" si="25"/>
        <v>82.000000000000028</v>
      </c>
      <c r="X33" s="184"/>
      <c r="Y33" s="184"/>
      <c r="Z33" s="185"/>
      <c r="AA33" s="185"/>
      <c r="AB33" s="601"/>
      <c r="AC33" s="601"/>
      <c r="AD33" s="101"/>
      <c r="AE33" s="101"/>
      <c r="AF33" s="92">
        <f t="shared" si="6"/>
        <v>-195.07317073170816</v>
      </c>
      <c r="AG33" s="186">
        <f t="shared" si="7"/>
        <v>0.91330081300812971</v>
      </c>
      <c r="AH33" s="620"/>
    </row>
    <row r="34" spans="1:34" ht="19.149999999999999" customHeight="1">
      <c r="A34" s="643"/>
      <c r="B34" s="182" t="s">
        <v>390</v>
      </c>
      <c r="C34" s="187"/>
      <c r="D34" s="132" t="s">
        <v>143</v>
      </c>
      <c r="E34" s="133"/>
      <c r="F34" s="85">
        <v>49.91</v>
      </c>
      <c r="G34" s="104">
        <v>678</v>
      </c>
      <c r="H34" s="135">
        <f t="shared" si="22"/>
        <v>33838.979999999996</v>
      </c>
      <c r="I34" s="101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1312.2580645161304</v>
      </c>
      <c r="O34" s="90">
        <f t="shared" si="24"/>
        <v>72.903225806451687</v>
      </c>
      <c r="P34" s="92">
        <f t="shared" si="18"/>
        <v>0</v>
      </c>
      <c r="Q34" s="93">
        <f t="shared" si="19"/>
        <v>-10.430107526881642</v>
      </c>
      <c r="R34" s="94">
        <f t="shared" si="20"/>
        <v>0.87483870967742028</v>
      </c>
      <c r="S34" s="605"/>
      <c r="T34" s="142">
        <v>0.33194444444444443</v>
      </c>
      <c r="U34" s="142">
        <v>0.35347222222222219</v>
      </c>
      <c r="V34" s="101">
        <v>23</v>
      </c>
      <c r="W34" s="143">
        <f t="shared" si="25"/>
        <v>30.999999999999972</v>
      </c>
      <c r="X34" s="184">
        <v>0.31944444444444448</v>
      </c>
      <c r="Y34" s="184">
        <v>0.32916666666666666</v>
      </c>
      <c r="Z34" s="185"/>
      <c r="AA34" s="185"/>
      <c r="AB34" s="601"/>
      <c r="AC34" s="601"/>
      <c r="AD34" s="101"/>
      <c r="AE34" s="101"/>
      <c r="AF34" s="92">
        <f t="shared" si="6"/>
        <v>-187.74193548386961</v>
      </c>
      <c r="AG34" s="186">
        <f t="shared" si="7"/>
        <v>0.87483870967742028</v>
      </c>
      <c r="AH34" s="620"/>
    </row>
    <row r="35" spans="1:34" ht="19.149999999999999" customHeight="1">
      <c r="A35" s="643"/>
      <c r="B35" s="182" t="s">
        <v>390</v>
      </c>
      <c r="C35" s="82"/>
      <c r="D35" s="83" t="s">
        <v>144</v>
      </c>
      <c r="E35" s="84"/>
      <c r="F35" s="85">
        <v>53.27</v>
      </c>
      <c r="G35" s="188">
        <v>1249</v>
      </c>
      <c r="H35" s="135">
        <f t="shared" si="22"/>
        <v>66534.23000000001</v>
      </c>
      <c r="I35" s="65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1338.2142857142867</v>
      </c>
      <c r="O35" s="90">
        <f t="shared" si="24"/>
        <v>74.345238095238145</v>
      </c>
      <c r="P35" s="92">
        <f t="shared" si="18"/>
        <v>0</v>
      </c>
      <c r="Q35" s="93">
        <f t="shared" si="19"/>
        <v>-8.988095238095184</v>
      </c>
      <c r="R35" s="94">
        <f t="shared" si="20"/>
        <v>0.89214285714285779</v>
      </c>
      <c r="S35" s="605"/>
      <c r="T35" s="142">
        <v>0.35833333333333328</v>
      </c>
      <c r="U35" s="142">
        <v>0.39722222222222214</v>
      </c>
      <c r="V35" s="101">
        <v>7</v>
      </c>
      <c r="W35" s="143">
        <f t="shared" si="25"/>
        <v>55.999999999999957</v>
      </c>
      <c r="X35" s="184"/>
      <c r="Y35" s="184"/>
      <c r="Z35" s="185"/>
      <c r="AA35" s="185"/>
      <c r="AB35" s="601"/>
      <c r="AC35" s="601"/>
      <c r="AD35" s="101"/>
      <c r="AE35" s="101"/>
      <c r="AF35" s="92">
        <f t="shared" si="6"/>
        <v>-161.78571428571331</v>
      </c>
      <c r="AG35" s="186">
        <f t="shared" si="7"/>
        <v>0.89214285714285779</v>
      </c>
      <c r="AH35" s="623"/>
    </row>
    <row r="36" spans="1:34" ht="19.149999999999999" customHeight="1">
      <c r="A36" s="643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2756</v>
      </c>
      <c r="H36" s="135">
        <f t="shared" si="22"/>
        <v>80235.84097859326</v>
      </c>
      <c r="I36" s="101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1252.7272727272734</v>
      </c>
      <c r="O36" s="90">
        <f t="shared" si="24"/>
        <v>69.595959595959641</v>
      </c>
      <c r="P36" s="92">
        <f t="shared" si="18"/>
        <v>-1</v>
      </c>
      <c r="Q36" s="93">
        <f t="shared" si="19"/>
        <v>-9.3514088250929888</v>
      </c>
      <c r="R36" s="94">
        <f t="shared" si="20"/>
        <v>0.88154882154882219</v>
      </c>
      <c r="S36" s="605"/>
      <c r="T36" s="142">
        <v>0.41249999999999992</v>
      </c>
      <c r="U36" s="142">
        <v>0.50416666666666654</v>
      </c>
      <c r="V36" s="101">
        <v>22</v>
      </c>
      <c r="W36" s="143">
        <f t="shared" si="25"/>
        <v>131.99999999999994</v>
      </c>
      <c r="X36" s="184">
        <v>0.40069444444444446</v>
      </c>
      <c r="Y36" s="184">
        <v>0.40972222222222227</v>
      </c>
      <c r="Z36" s="185"/>
      <c r="AA36" s="185"/>
      <c r="AB36" s="601"/>
      <c r="AC36" s="601"/>
      <c r="AD36" s="101"/>
      <c r="AE36" s="101"/>
      <c r="AF36" s="92">
        <f t="shared" si="6"/>
        <v>-247.27272727272657</v>
      </c>
      <c r="AG36" s="186">
        <f t="shared" si="7"/>
        <v>0.83515151515151564</v>
      </c>
      <c r="AH36" s="623"/>
    </row>
    <row r="37" spans="1:34" ht="19.149999999999999" customHeight="1">
      <c r="A37" s="643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101"/>
      <c r="J37" s="89"/>
      <c r="K37" s="86"/>
      <c r="L37" s="90"/>
      <c r="M37" s="189"/>
      <c r="N37" s="86"/>
      <c r="O37" s="90"/>
      <c r="P37" s="92"/>
      <c r="Q37" s="93"/>
      <c r="R37" s="94"/>
      <c r="S37" s="605"/>
      <c r="T37" s="142"/>
      <c r="U37" s="142"/>
      <c r="V37" s="101"/>
      <c r="W37" s="143"/>
      <c r="X37" s="184"/>
      <c r="Y37" s="184"/>
      <c r="Z37" s="185"/>
      <c r="AA37" s="185"/>
      <c r="AB37" s="601"/>
      <c r="AC37" s="601"/>
      <c r="AD37" s="101"/>
      <c r="AE37" s="101"/>
      <c r="AF37" s="92">
        <f t="shared" si="6"/>
        <v>0</v>
      </c>
      <c r="AG37" s="186" t="e">
        <f t="shared" si="7"/>
        <v>#DIV/0!</v>
      </c>
      <c r="AH37" s="623"/>
    </row>
    <row r="38" spans="1:34" ht="19.149999999999999" customHeight="1">
      <c r="A38" s="643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101"/>
      <c r="J38" s="89"/>
      <c r="K38" s="86"/>
      <c r="L38" s="90"/>
      <c r="M38" s="189"/>
      <c r="N38" s="86"/>
      <c r="O38" s="90"/>
      <c r="P38" s="92"/>
      <c r="Q38" s="93"/>
      <c r="R38" s="94"/>
      <c r="S38" s="605"/>
      <c r="T38" s="142"/>
      <c r="U38" s="142"/>
      <c r="V38" s="101"/>
      <c r="W38" s="143"/>
      <c r="X38" s="184"/>
      <c r="Y38" s="184"/>
      <c r="Z38" s="185"/>
      <c r="AA38" s="185"/>
      <c r="AB38" s="601"/>
      <c r="AC38" s="601"/>
      <c r="AD38" s="101"/>
      <c r="AE38" s="101"/>
      <c r="AF38" s="92">
        <f t="shared" si="6"/>
        <v>0</v>
      </c>
      <c r="AG38" s="186" t="e">
        <f t="shared" si="7"/>
        <v>#DIV/0!</v>
      </c>
      <c r="AH38" s="623"/>
    </row>
    <row r="39" spans="1:34" ht="19.149999999999999" customHeight="1">
      <c r="A39" s="643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101"/>
      <c r="J39" s="89"/>
      <c r="K39" s="86"/>
      <c r="L39" s="90"/>
      <c r="M39" s="189"/>
      <c r="N39" s="86"/>
      <c r="O39" s="90"/>
      <c r="P39" s="92"/>
      <c r="Q39" s="93"/>
      <c r="R39" s="94"/>
      <c r="S39" s="605"/>
      <c r="T39" s="142"/>
      <c r="U39" s="142"/>
      <c r="V39" s="101"/>
      <c r="W39" s="143"/>
      <c r="X39" s="184"/>
      <c r="Y39" s="184"/>
      <c r="Z39" s="185"/>
      <c r="AA39" s="185"/>
      <c r="AB39" s="601"/>
      <c r="AC39" s="601"/>
      <c r="AD39" s="101"/>
      <c r="AE39" s="101"/>
      <c r="AF39" s="92"/>
      <c r="AG39" s="191"/>
      <c r="AH39" s="623"/>
    </row>
    <row r="40" spans="1:34" ht="19.149999999999999" customHeight="1">
      <c r="A40" s="643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65"/>
      <c r="J40" s="193"/>
      <c r="K40" s="194"/>
      <c r="L40" s="195"/>
      <c r="M40" s="91"/>
      <c r="N40" s="86"/>
      <c r="O40" s="90"/>
      <c r="P40" s="92"/>
      <c r="Q40" s="93"/>
      <c r="R40" s="94"/>
      <c r="S40" s="605"/>
      <c r="T40" s="142"/>
      <c r="U40" s="142"/>
      <c r="V40" s="101"/>
      <c r="W40" s="143">
        <f t="shared" si="25"/>
        <v>0</v>
      </c>
      <c r="X40" s="184"/>
      <c r="Y40" s="184"/>
      <c r="Z40" s="185"/>
      <c r="AA40" s="185"/>
      <c r="AB40" s="601"/>
      <c r="AC40" s="601"/>
      <c r="AD40" s="101"/>
      <c r="AE40" s="101"/>
      <c r="AF40" s="92"/>
      <c r="AG40" s="191"/>
      <c r="AH40" s="623"/>
    </row>
    <row r="41" spans="1:34" ht="19.149999999999999" customHeight="1">
      <c r="A41" s="643"/>
      <c r="B41" s="101">
        <v>0</v>
      </c>
      <c r="C41" s="102"/>
      <c r="D41" s="132"/>
      <c r="E41" s="133"/>
      <c r="F41" s="85" t="s">
        <v>391</v>
      </c>
      <c r="G41" s="104"/>
      <c r="H41" s="135"/>
      <c r="I41" s="101"/>
      <c r="J41" s="138"/>
      <c r="K41" s="104"/>
      <c r="L41" s="137"/>
      <c r="M41" s="189"/>
      <c r="N41" s="104"/>
      <c r="O41" s="137"/>
      <c r="P41" s="100"/>
      <c r="Q41" s="139"/>
      <c r="R41" s="140"/>
      <c r="S41" s="605"/>
      <c r="T41" s="142"/>
      <c r="U41" s="142"/>
      <c r="V41" s="101"/>
      <c r="W41" s="143">
        <f t="shared" si="25"/>
        <v>0</v>
      </c>
      <c r="X41" s="184"/>
      <c r="Y41" s="184"/>
      <c r="Z41" s="185"/>
      <c r="AA41" s="185"/>
      <c r="AB41" s="601"/>
      <c r="AC41" s="601"/>
      <c r="AD41" s="101"/>
      <c r="AE41" s="101"/>
      <c r="AF41" s="92"/>
      <c r="AG41" s="191"/>
      <c r="AH41" s="623"/>
    </row>
    <row r="42" spans="1:34" ht="19.149999999999999" customHeight="1">
      <c r="A42" s="643"/>
      <c r="B42" s="101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101"/>
      <c r="J42" s="138"/>
      <c r="K42" s="104"/>
      <c r="L42" s="137"/>
      <c r="M42" s="189"/>
      <c r="N42" s="104"/>
      <c r="O42" s="137"/>
      <c r="P42" s="100"/>
      <c r="Q42" s="139"/>
      <c r="R42" s="140"/>
      <c r="S42" s="605"/>
      <c r="T42" s="142"/>
      <c r="U42" s="142"/>
      <c r="V42" s="101"/>
      <c r="W42" s="143">
        <f t="shared" si="25"/>
        <v>0</v>
      </c>
      <c r="X42" s="184"/>
      <c r="Y42" s="184"/>
      <c r="Z42" s="185"/>
      <c r="AA42" s="185"/>
      <c r="AB42" s="601"/>
      <c r="AC42" s="601"/>
      <c r="AD42" s="101"/>
      <c r="AE42" s="101"/>
      <c r="AF42" s="92"/>
      <c r="AG42" s="191"/>
      <c r="AH42" s="623"/>
    </row>
    <row r="43" spans="1:34" ht="19.149999999999999" customHeight="1">
      <c r="A43" s="643"/>
      <c r="B43" s="182">
        <v>0</v>
      </c>
      <c r="C43" s="156" t="s">
        <v>260</v>
      </c>
      <c r="D43" s="602" t="s">
        <v>256</v>
      </c>
      <c r="E43" s="602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1689.1040246797529</v>
      </c>
      <c r="O43" s="161">
        <f t="shared" si="26"/>
        <v>126.19862798200722</v>
      </c>
      <c r="P43" s="100">
        <f>M43-J43</f>
        <v>-0.16666666666666607</v>
      </c>
      <c r="Q43" s="139">
        <f>N43-K43</f>
        <v>-185.89597532024709</v>
      </c>
      <c r="R43" s="162">
        <f t="shared" ref="R43:R46" si="27">O43/L43</f>
        <v>0.9109720942633962</v>
      </c>
      <c r="S43" s="605"/>
      <c r="T43" s="142"/>
      <c r="U43" s="142"/>
      <c r="V43" s="101"/>
      <c r="W43" s="101"/>
      <c r="X43" s="184"/>
      <c r="Y43" s="184"/>
      <c r="Z43" s="197">
        <f>SUM(Z31:Z42)</f>
        <v>0</v>
      </c>
      <c r="AA43" s="197">
        <f>SUM(AA31:AA42)</f>
        <v>0</v>
      </c>
      <c r="AB43" s="601"/>
      <c r="AC43" s="601"/>
      <c r="AD43" s="164">
        <f>SUM(AD31:AD42)</f>
        <v>0</v>
      </c>
      <c r="AE43" s="164">
        <f>SUM(AE31:AE42)</f>
        <v>0</v>
      </c>
      <c r="AF43" s="92">
        <f t="shared" ref="AF43:AF52" si="28">N43-K43</f>
        <v>-185.89597532024709</v>
      </c>
      <c r="AG43" s="114">
        <f t="shared" si="7"/>
        <v>0.90085547982920156</v>
      </c>
      <c r="AH43" s="623"/>
    </row>
    <row r="44" spans="1:34" s="213" customFormat="1" ht="19.149999999999999" customHeight="1">
      <c r="A44" s="638" t="s">
        <v>261</v>
      </c>
      <c r="B44" s="152" t="s">
        <v>388</v>
      </c>
      <c r="C44" s="198"/>
      <c r="D44" s="83" t="s">
        <v>262</v>
      </c>
      <c r="E44" s="84"/>
      <c r="F44" s="199">
        <v>31.43</v>
      </c>
      <c r="G44" s="200">
        <v>3937.4999999999995</v>
      </c>
      <c r="H44" s="87">
        <f>F44*G44</f>
        <v>123755.62499999999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1357.7586206896553</v>
      </c>
      <c r="O44" s="204">
        <f>N44/M44</f>
        <v>226.2931034482759</v>
      </c>
      <c r="P44" s="97">
        <f t="shared" ref="P44:P45" si="29">M44-J44</f>
        <v>0</v>
      </c>
      <c r="Q44" s="205">
        <f t="shared" ref="Q44:Q45" si="30">O44-L44</f>
        <v>-23.7068965517241</v>
      </c>
      <c r="R44" s="206">
        <f t="shared" si="27"/>
        <v>0.90517241379310365</v>
      </c>
      <c r="S44" s="620">
        <f>R56</f>
        <v>0.87755571977015467</v>
      </c>
      <c r="T44" s="207">
        <v>0.16666666666666666</v>
      </c>
      <c r="U44" s="207">
        <v>0.28749999999999998</v>
      </c>
      <c r="V44" s="208">
        <v>5</v>
      </c>
      <c r="W44" s="209">
        <f t="shared" ref="W44:W56" si="31">(U44-T44)*24*60</f>
        <v>173.99999999999997</v>
      </c>
      <c r="X44" s="184"/>
      <c r="Y44" s="184"/>
      <c r="Z44" s="185"/>
      <c r="AA44" s="185"/>
      <c r="AB44" s="601"/>
      <c r="AC44" s="601"/>
      <c r="AD44" s="101"/>
      <c r="AE44" s="101"/>
      <c r="AF44" s="210">
        <f t="shared" si="28"/>
        <v>-142.24137931034466</v>
      </c>
      <c r="AG44" s="211">
        <f t="shared" si="7"/>
        <v>0.90517241379310354</v>
      </c>
      <c r="AH44" s="641">
        <f>AG56</f>
        <v>0.92346622268058987</v>
      </c>
    </row>
    <row r="45" spans="1:34" s="213" customFormat="1" ht="19.149999999999999" customHeight="1">
      <c r="A45" s="639"/>
      <c r="B45" s="152" t="s">
        <v>388</v>
      </c>
      <c r="C45" s="198"/>
      <c r="D45" s="83" t="s">
        <v>148</v>
      </c>
      <c r="E45" s="84"/>
      <c r="F45" s="199">
        <v>11.6</v>
      </c>
      <c r="G45" s="200">
        <v>2210</v>
      </c>
      <c r="H45" s="87">
        <f>F45*G45</f>
        <v>25636</v>
      </c>
      <c r="I45" s="214"/>
      <c r="J45" s="202">
        <v>6</v>
      </c>
      <c r="K45" s="203">
        <v>1636</v>
      </c>
      <c r="L45" s="204">
        <v>272.66666666666669</v>
      </c>
      <c r="M45" s="110">
        <v>7</v>
      </c>
      <c r="N45" s="203">
        <f>G45/W45*60</f>
        <v>1489.8876404494381</v>
      </c>
      <c r="O45" s="204">
        <f>N45/M45</f>
        <v>212.84109149277688</v>
      </c>
      <c r="P45" s="97">
        <f t="shared" si="29"/>
        <v>1</v>
      </c>
      <c r="Q45" s="205">
        <f t="shared" si="30"/>
        <v>-59.825575173889803</v>
      </c>
      <c r="R45" s="206">
        <f t="shared" si="27"/>
        <v>0.78059080009575865</v>
      </c>
      <c r="S45" s="620"/>
      <c r="T45" s="207">
        <v>0.30833333333333329</v>
      </c>
      <c r="U45" s="207">
        <v>0.37013888888888885</v>
      </c>
      <c r="V45" s="208">
        <v>30</v>
      </c>
      <c r="W45" s="209">
        <f t="shared" si="31"/>
        <v>89</v>
      </c>
      <c r="X45" s="184">
        <v>0.29097222222222224</v>
      </c>
      <c r="Y45" s="184">
        <v>0.30555555555555552</v>
      </c>
      <c r="Z45" s="185"/>
      <c r="AA45" s="185"/>
      <c r="AB45" s="601"/>
      <c r="AC45" s="601"/>
      <c r="AD45" s="101"/>
      <c r="AE45" s="101"/>
      <c r="AF45" s="210">
        <f t="shared" si="28"/>
        <v>-146.11235955056191</v>
      </c>
      <c r="AG45" s="211">
        <f t="shared" si="7"/>
        <v>0.91068926677838513</v>
      </c>
      <c r="AH45" s="641"/>
    </row>
    <row r="46" spans="1:34" s="213" customFormat="1" ht="19.149999999999999" customHeight="1">
      <c r="A46" s="639"/>
      <c r="B46" s="152" t="s">
        <v>390</v>
      </c>
      <c r="C46" s="198"/>
      <c r="D46" s="83" t="s">
        <v>149</v>
      </c>
      <c r="E46" s="84"/>
      <c r="F46" s="199">
        <v>10.09</v>
      </c>
      <c r="G46" s="200">
        <v>4706.7999999999993</v>
      </c>
      <c r="H46" s="87">
        <f t="shared" ref="H46:H51" si="32">F46*G46</f>
        <v>47491.611999999994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1433.5431472081207</v>
      </c>
      <c r="O46" s="204">
        <f>N46/M46</f>
        <v>238.92385786802012</v>
      </c>
      <c r="P46" s="97">
        <f>M46-J46</f>
        <v>0</v>
      </c>
      <c r="Q46" s="205">
        <f>O46-L46</f>
        <v>-11.076142131979879</v>
      </c>
      <c r="R46" s="206">
        <f t="shared" si="27"/>
        <v>0.95569543147208047</v>
      </c>
      <c r="S46" s="620"/>
      <c r="T46" s="207">
        <v>0.39097222222222217</v>
      </c>
      <c r="U46" s="207">
        <v>0.52777777777777779</v>
      </c>
      <c r="V46" s="208">
        <v>30</v>
      </c>
      <c r="W46" s="209">
        <f t="shared" si="31"/>
        <v>197.00000000000011</v>
      </c>
      <c r="X46" s="184">
        <v>0.37361111111111112</v>
      </c>
      <c r="Y46" s="184">
        <v>0.38819444444444445</v>
      </c>
      <c r="Z46" s="185"/>
      <c r="AA46" s="185"/>
      <c r="AB46" s="601"/>
      <c r="AC46" s="601"/>
      <c r="AD46" s="101">
        <v>1</v>
      </c>
      <c r="AE46" s="101">
        <v>1</v>
      </c>
      <c r="AF46" s="210">
        <f t="shared" si="28"/>
        <v>-66.456852791879328</v>
      </c>
      <c r="AG46" s="211">
        <f t="shared" si="7"/>
        <v>0.95569543147208047</v>
      </c>
      <c r="AH46" s="641"/>
    </row>
    <row r="47" spans="1:34" s="213" customFormat="1" ht="19.149999999999999" customHeight="1">
      <c r="A47" s="639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0"/>
      <c r="T47" s="207"/>
      <c r="U47" s="207"/>
      <c r="V47" s="203"/>
      <c r="W47" s="209"/>
      <c r="X47" s="184"/>
      <c r="Y47" s="184"/>
      <c r="Z47" s="185"/>
      <c r="AA47" s="185"/>
      <c r="AB47" s="601"/>
      <c r="AC47" s="601"/>
      <c r="AD47" s="101"/>
      <c r="AE47" s="101"/>
      <c r="AF47" s="210">
        <f t="shared" si="28"/>
        <v>0</v>
      </c>
      <c r="AG47" s="211" t="e">
        <f t="shared" si="7"/>
        <v>#DIV/0!</v>
      </c>
      <c r="AH47" s="641"/>
    </row>
    <row r="48" spans="1:34" s="213" customFormat="1" ht="19.149999999999999" customHeight="1">
      <c r="A48" s="639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0"/>
      <c r="T48" s="219"/>
      <c r="U48" s="219"/>
      <c r="V48" s="200"/>
      <c r="W48" s="209"/>
      <c r="X48" s="184"/>
      <c r="Y48" s="184"/>
      <c r="Z48" s="185"/>
      <c r="AA48" s="185"/>
      <c r="AB48" s="601"/>
      <c r="AC48" s="601"/>
      <c r="AD48" s="101"/>
      <c r="AE48" s="101"/>
      <c r="AF48" s="210">
        <f t="shared" si="28"/>
        <v>0</v>
      </c>
      <c r="AG48" s="211" t="e">
        <f t="shared" si="7"/>
        <v>#DIV/0!</v>
      </c>
      <c r="AH48" s="641"/>
    </row>
    <row r="49" spans="1:34" s="213" customFormat="1" ht="19.149999999999999" customHeight="1">
      <c r="A49" s="639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0"/>
      <c r="T49" s="219"/>
      <c r="U49" s="219"/>
      <c r="V49" s="200"/>
      <c r="W49" s="209"/>
      <c r="X49" s="220"/>
      <c r="Y49" s="220"/>
      <c r="Z49" s="221"/>
      <c r="AA49" s="185"/>
      <c r="AB49" s="601"/>
      <c r="AC49" s="601"/>
      <c r="AD49" s="101"/>
      <c r="AE49" s="101"/>
      <c r="AF49" s="210">
        <f t="shared" si="28"/>
        <v>0</v>
      </c>
      <c r="AG49" s="211" t="e">
        <f t="shared" si="7"/>
        <v>#DIV/0!</v>
      </c>
      <c r="AH49" s="641"/>
    </row>
    <row r="50" spans="1:34" s="213" customFormat="1" ht="19.149999999999999" customHeight="1">
      <c r="A50" s="639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0"/>
      <c r="T50" s="219"/>
      <c r="U50" s="219"/>
      <c r="V50" s="200"/>
      <c r="W50" s="209"/>
      <c r="X50" s="220"/>
      <c r="Y50" s="220"/>
      <c r="Z50" s="221"/>
      <c r="AA50" s="221"/>
      <c r="AB50" s="601"/>
      <c r="AC50" s="601"/>
      <c r="AD50" s="101"/>
      <c r="AE50" s="101"/>
      <c r="AF50" s="210">
        <f t="shared" si="28"/>
        <v>0</v>
      </c>
      <c r="AG50" s="211" t="e">
        <f t="shared" si="7"/>
        <v>#DIV/0!</v>
      </c>
      <c r="AH50" s="641"/>
    </row>
    <row r="51" spans="1:34" s="213" customFormat="1" ht="19.149999999999999" customHeight="1">
      <c r="A51" s="639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0"/>
      <c r="T51" s="219"/>
      <c r="U51" s="219"/>
      <c r="V51" s="200"/>
      <c r="W51" s="209"/>
      <c r="X51" s="220"/>
      <c r="Y51" s="220"/>
      <c r="Z51" s="221"/>
      <c r="AA51" s="221"/>
      <c r="AB51" s="601"/>
      <c r="AC51" s="601"/>
      <c r="AD51" s="101"/>
      <c r="AE51" s="101"/>
      <c r="AF51" s="210">
        <f t="shared" si="28"/>
        <v>0</v>
      </c>
      <c r="AG51" s="211" t="e">
        <f t="shared" si="7"/>
        <v>#DIV/0!</v>
      </c>
      <c r="AH51" s="641"/>
    </row>
    <row r="52" spans="1:34" s="213" customFormat="1" ht="19.149999999999999" customHeight="1">
      <c r="A52" s="639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0"/>
      <c r="S52" s="620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01"/>
      <c r="AC52" s="601"/>
      <c r="AD52" s="101"/>
      <c r="AE52" s="101"/>
      <c r="AF52" s="210">
        <f t="shared" si="28"/>
        <v>0</v>
      </c>
      <c r="AG52" s="211" t="e">
        <f t="shared" si="7"/>
        <v>#DIV/0!</v>
      </c>
      <c r="AH52" s="641"/>
    </row>
    <row r="53" spans="1:34" s="213" customFormat="1" ht="19.149999999999999" customHeight="1">
      <c r="A53" s="639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0"/>
      <c r="S53" s="620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01"/>
      <c r="AC53" s="601"/>
      <c r="AD53" s="101"/>
      <c r="AE53" s="101"/>
      <c r="AF53" s="210"/>
      <c r="AG53" s="211"/>
      <c r="AH53" s="641"/>
    </row>
    <row r="54" spans="1:34" s="213" customFormat="1" ht="19.149999999999999" customHeight="1">
      <c r="A54" s="639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0"/>
      <c r="S54" s="620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01"/>
      <c r="AC54" s="601"/>
      <c r="AD54" s="101"/>
      <c r="AE54" s="101"/>
      <c r="AF54" s="210"/>
      <c r="AG54" s="211"/>
      <c r="AH54" s="641"/>
    </row>
    <row r="55" spans="1:34" s="213" customFormat="1" ht="19.149999999999999" customHeight="1">
      <c r="A55" s="639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0"/>
      <c r="S55" s="620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01"/>
      <c r="AC55" s="601"/>
      <c r="AD55" s="101"/>
      <c r="AE55" s="101"/>
      <c r="AF55" s="210"/>
      <c r="AG55" s="211"/>
      <c r="AH55" s="641"/>
    </row>
    <row r="56" spans="1:34" ht="19.149999999999999" customHeight="1">
      <c r="A56" s="640"/>
      <c r="B56" s="226">
        <v>0</v>
      </c>
      <c r="C56" s="156" t="s">
        <v>263</v>
      </c>
      <c r="D56" s="602" t="s">
        <v>256</v>
      </c>
      <c r="E56" s="602"/>
      <c r="F56" s="157"/>
      <c r="G56" s="158"/>
      <c r="H56" s="159"/>
      <c r="I56" s="160"/>
      <c r="J56" s="158">
        <v>6</v>
      </c>
      <c r="K56" s="158">
        <v>1545.3333333333333</v>
      </c>
      <c r="L56" s="161">
        <v>257.5555555555556</v>
      </c>
      <c r="M56" s="158">
        <f t="shared" ref="M56:O56" si="33">AVERAGE(M44:M55)</f>
        <v>6.333333333333333</v>
      </c>
      <c r="N56" s="158">
        <f t="shared" si="33"/>
        <v>1427.0631361157382</v>
      </c>
      <c r="O56" s="161">
        <f t="shared" si="33"/>
        <v>226.01935093635765</v>
      </c>
      <c r="P56" s="227">
        <f>M56-J56</f>
        <v>0.33333333333333304</v>
      </c>
      <c r="Q56" s="176">
        <f>N56-K56</f>
        <v>-118.27019721759507</v>
      </c>
      <c r="R56" s="228">
        <f t="shared" ref="R56:R60" si="34">O56/L56</f>
        <v>0.87755571977015467</v>
      </c>
      <c r="S56" s="620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01"/>
      <c r="AC56" s="601"/>
      <c r="AD56" s="164">
        <f>SUM(AD44:AD55)</f>
        <v>1</v>
      </c>
      <c r="AE56" s="164">
        <f>SUM(AE44:AE55)</f>
        <v>1</v>
      </c>
      <c r="AF56" s="232">
        <f>N56-K56</f>
        <v>-118.27019721759507</v>
      </c>
      <c r="AG56" s="140">
        <f>N56/K56</f>
        <v>0.92346622268058987</v>
      </c>
      <c r="AH56" s="641"/>
    </row>
    <row r="57" spans="1:34" ht="19.149999999999999" customHeight="1">
      <c r="A57" s="634" t="s">
        <v>264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1564</v>
      </c>
      <c r="H57" s="135">
        <f t="shared" ref="H57:H66" si="35">F57*G57</f>
        <v>44198.64</v>
      </c>
      <c r="I57" s="101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1303.3333333333328</v>
      </c>
      <c r="O57" s="137">
        <f t="shared" ref="O57:O60" si="37">N57/M57</f>
        <v>186.19047619047612</v>
      </c>
      <c r="P57" s="235">
        <f t="shared" ref="P57:P60" si="38">M57-J57</f>
        <v>1</v>
      </c>
      <c r="Q57" s="93">
        <f t="shared" ref="Q57:Q60" si="39">O57-L57</f>
        <v>-63.809523809523881</v>
      </c>
      <c r="R57" s="94">
        <f t="shared" si="34"/>
        <v>0.74476190476190451</v>
      </c>
      <c r="S57" s="620">
        <f>R69</f>
        <v>0.8284434988248337</v>
      </c>
      <c r="T57" s="207">
        <v>0.16666666666666666</v>
      </c>
      <c r="U57" s="207">
        <v>0.21666666666666667</v>
      </c>
      <c r="V57" s="65">
        <v>5</v>
      </c>
      <c r="W57" s="88">
        <f>(U57-T57)*24*60</f>
        <v>72.000000000000028</v>
      </c>
      <c r="X57" s="99"/>
      <c r="Y57" s="99"/>
      <c r="Z57" s="100"/>
      <c r="AA57" s="100"/>
      <c r="AB57" s="601"/>
      <c r="AC57" s="601"/>
      <c r="AD57" s="101"/>
      <c r="AE57" s="101"/>
      <c r="AF57" s="92">
        <f t="shared" si="6"/>
        <v>-196.6666666666672</v>
      </c>
      <c r="AG57" s="177">
        <f t="shared" si="7"/>
        <v>0.86888888888888849</v>
      </c>
      <c r="AH57" s="622">
        <f>AG69</f>
        <v>0.92837954444049087</v>
      </c>
    </row>
    <row r="58" spans="1:34" ht="19.149999999999999" customHeight="1">
      <c r="A58" s="635"/>
      <c r="B58" s="152" t="s">
        <v>388</v>
      </c>
      <c r="C58" s="147"/>
      <c r="D58" s="83" t="s">
        <v>153</v>
      </c>
      <c r="E58" s="84"/>
      <c r="F58" s="85">
        <v>27.88</v>
      </c>
      <c r="G58" s="200">
        <v>2486</v>
      </c>
      <c r="H58" s="87">
        <f t="shared" si="35"/>
        <v>69309.679999999993</v>
      </c>
      <c r="I58" s="65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1448.1553398058254</v>
      </c>
      <c r="O58" s="90">
        <f t="shared" si="37"/>
        <v>206.87933425797505</v>
      </c>
      <c r="P58" s="235">
        <f t="shared" si="38"/>
        <v>1</v>
      </c>
      <c r="Q58" s="93">
        <f t="shared" si="39"/>
        <v>-43.120665742024954</v>
      </c>
      <c r="R58" s="94">
        <f t="shared" si="34"/>
        <v>0.82751733703190022</v>
      </c>
      <c r="S58" s="620"/>
      <c r="T58" s="236">
        <v>0.22222222222222224</v>
      </c>
      <c r="U58" s="236">
        <v>0.29375000000000001</v>
      </c>
      <c r="V58" s="65">
        <v>8</v>
      </c>
      <c r="W58" s="88">
        <f>(U58-T58)*24*60</f>
        <v>103</v>
      </c>
      <c r="X58" s="99"/>
      <c r="Y58" s="99"/>
      <c r="Z58" s="100"/>
      <c r="AA58" s="100"/>
      <c r="AB58" s="636"/>
      <c r="AC58" s="637"/>
      <c r="AD58" s="101"/>
      <c r="AE58" s="101"/>
      <c r="AF58" s="92">
        <f t="shared" si="6"/>
        <v>-51.844660194174594</v>
      </c>
      <c r="AG58" s="94">
        <f t="shared" si="7"/>
        <v>0.96543689320388359</v>
      </c>
      <c r="AH58" s="620"/>
    </row>
    <row r="59" spans="1:34" ht="19.149999999999999" customHeight="1">
      <c r="A59" s="635"/>
      <c r="B59" s="152" t="s">
        <v>388</v>
      </c>
      <c r="C59" s="147"/>
      <c r="D59" s="83" t="s">
        <v>154</v>
      </c>
      <c r="E59" s="84"/>
      <c r="F59" s="85">
        <v>28</v>
      </c>
      <c r="G59" s="200">
        <v>2482</v>
      </c>
      <c r="H59" s="87">
        <f t="shared" si="35"/>
        <v>69496</v>
      </c>
      <c r="I59" s="65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1445.8252427184473</v>
      </c>
      <c r="O59" s="90">
        <f t="shared" si="37"/>
        <v>206.54646324549248</v>
      </c>
      <c r="P59" s="235">
        <f t="shared" si="38"/>
        <v>1</v>
      </c>
      <c r="Q59" s="93">
        <f t="shared" si="39"/>
        <v>-43.453536754507525</v>
      </c>
      <c r="R59" s="94">
        <f t="shared" si="34"/>
        <v>0.82618585298196989</v>
      </c>
      <c r="S59" s="620"/>
      <c r="T59" s="236">
        <v>0.30972222222222223</v>
      </c>
      <c r="U59" s="236">
        <v>0.38124999999999998</v>
      </c>
      <c r="V59" s="208">
        <v>23</v>
      </c>
      <c r="W59" s="88">
        <f>(U59-T59)*24*60</f>
        <v>102.99999999999996</v>
      </c>
      <c r="X59" s="99">
        <v>0.29722222222222222</v>
      </c>
      <c r="Y59" s="99">
        <v>0.30694444444444441</v>
      </c>
      <c r="Z59" s="100"/>
      <c r="AA59" s="100"/>
      <c r="AB59" s="601"/>
      <c r="AC59" s="601"/>
      <c r="AD59" s="101"/>
      <c r="AE59" s="101"/>
      <c r="AF59" s="92">
        <f t="shared" si="6"/>
        <v>-54.174757281552729</v>
      </c>
      <c r="AG59" s="94">
        <f t="shared" si="7"/>
        <v>0.96388349514563154</v>
      </c>
      <c r="AH59" s="620"/>
    </row>
    <row r="60" spans="1:34" ht="19.149999999999999" customHeight="1">
      <c r="A60" s="635"/>
      <c r="B60" s="152" t="s">
        <v>390</v>
      </c>
      <c r="C60" s="147"/>
      <c r="D60" s="83" t="s">
        <v>149</v>
      </c>
      <c r="E60" s="84"/>
      <c r="F60" s="85">
        <v>10.09</v>
      </c>
      <c r="G60" s="200">
        <v>8741.2000000000007</v>
      </c>
      <c r="H60" s="87">
        <f t="shared" si="35"/>
        <v>88198.708000000013</v>
      </c>
      <c r="I60" s="65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1372.9633507853403</v>
      </c>
      <c r="O60" s="90">
        <f t="shared" si="37"/>
        <v>228.82722513089004</v>
      </c>
      <c r="P60" s="235">
        <f t="shared" si="38"/>
        <v>0</v>
      </c>
      <c r="Q60" s="93">
        <f t="shared" si="39"/>
        <v>-21.172774869109958</v>
      </c>
      <c r="R60" s="94">
        <f t="shared" si="34"/>
        <v>0.91530890052356018</v>
      </c>
      <c r="S60" s="620"/>
      <c r="T60" s="236">
        <v>0.38680555555555551</v>
      </c>
      <c r="U60" s="236">
        <v>0.65208333333333335</v>
      </c>
      <c r="V60" s="208">
        <v>8</v>
      </c>
      <c r="W60" s="88">
        <f>(U60-T60)*24*60</f>
        <v>382.00000000000006</v>
      </c>
      <c r="X60" s="99"/>
      <c r="Y60" s="99"/>
      <c r="Z60" s="100"/>
      <c r="AA60" s="100"/>
      <c r="AB60" s="601"/>
      <c r="AC60" s="601"/>
      <c r="AD60" s="101">
        <v>1</v>
      </c>
      <c r="AE60" s="101"/>
      <c r="AF60" s="92">
        <f t="shared" si="6"/>
        <v>-127.03664921465975</v>
      </c>
      <c r="AG60" s="177">
        <f t="shared" si="7"/>
        <v>0.91530890052356018</v>
      </c>
      <c r="AH60" s="620"/>
    </row>
    <row r="61" spans="1:34" ht="19.149999999999999" customHeight="1">
      <c r="A61" s="635"/>
      <c r="B61" s="152">
        <v>0</v>
      </c>
      <c r="C61" s="147"/>
      <c r="D61" s="83"/>
      <c r="E61" s="84"/>
      <c r="F61" s="85"/>
      <c r="G61" s="200"/>
      <c r="H61" s="87"/>
      <c r="I61" s="65"/>
      <c r="J61" s="89"/>
      <c r="K61" s="86"/>
      <c r="L61" s="137"/>
      <c r="M61" s="110"/>
      <c r="N61" s="86"/>
      <c r="O61" s="90"/>
      <c r="P61" s="235"/>
      <c r="Q61" s="93"/>
      <c r="R61" s="94"/>
      <c r="S61" s="620"/>
      <c r="T61" s="236"/>
      <c r="U61" s="236"/>
      <c r="V61" s="208"/>
      <c r="W61" s="88"/>
      <c r="X61" s="99"/>
      <c r="Y61" s="99"/>
      <c r="Z61" s="100"/>
      <c r="AA61" s="100"/>
      <c r="AB61" s="601"/>
      <c r="AC61" s="601"/>
      <c r="AD61" s="101"/>
      <c r="AE61" s="101"/>
      <c r="AF61" s="92">
        <f t="shared" si="6"/>
        <v>0</v>
      </c>
      <c r="AG61" s="177" t="e">
        <f t="shared" si="7"/>
        <v>#DIV/0!</v>
      </c>
      <c r="AH61" s="620"/>
    </row>
    <row r="62" spans="1:34" ht="19.149999999999999" customHeight="1">
      <c r="A62" s="635"/>
      <c r="B62" s="152">
        <v>0</v>
      </c>
      <c r="C62" s="147"/>
      <c r="D62" s="83"/>
      <c r="E62" s="84"/>
      <c r="F62" s="85" t="s">
        <v>391</v>
      </c>
      <c r="G62" s="200"/>
      <c r="H62" s="87">
        <f t="shared" si="35"/>
        <v>0</v>
      </c>
      <c r="I62" s="65"/>
      <c r="J62" s="239"/>
      <c r="K62" s="108"/>
      <c r="L62" s="137"/>
      <c r="M62" s="110"/>
      <c r="N62" s="86"/>
      <c r="O62" s="90"/>
      <c r="P62" s="235"/>
      <c r="Q62" s="93"/>
      <c r="R62" s="94"/>
      <c r="S62" s="620"/>
      <c r="T62" s="236"/>
      <c r="U62" s="236"/>
      <c r="V62" s="208"/>
      <c r="W62" s="88"/>
      <c r="X62" s="99"/>
      <c r="Y62" s="99"/>
      <c r="Z62" s="100"/>
      <c r="AA62" s="100"/>
      <c r="AB62" s="601"/>
      <c r="AC62" s="601"/>
      <c r="AD62" s="101"/>
      <c r="AE62" s="101"/>
      <c r="AF62" s="92">
        <f t="shared" si="6"/>
        <v>0</v>
      </c>
      <c r="AG62" s="177" t="e">
        <f t="shared" si="7"/>
        <v>#DIV/0!</v>
      </c>
      <c r="AH62" s="620"/>
    </row>
    <row r="63" spans="1:34" ht="19.149999999999999" customHeight="1">
      <c r="A63" s="635"/>
      <c r="B63" s="152">
        <v>0</v>
      </c>
      <c r="C63" s="147"/>
      <c r="D63" s="83"/>
      <c r="E63" s="84"/>
      <c r="F63" s="85" t="s">
        <v>391</v>
      </c>
      <c r="G63" s="200"/>
      <c r="H63" s="87">
        <f t="shared" si="35"/>
        <v>0</v>
      </c>
      <c r="I63" s="65"/>
      <c r="J63" s="89"/>
      <c r="K63" s="86"/>
      <c r="L63" s="137"/>
      <c r="M63" s="110"/>
      <c r="N63" s="86"/>
      <c r="O63" s="90"/>
      <c r="P63" s="235"/>
      <c r="Q63" s="93"/>
      <c r="R63" s="94"/>
      <c r="S63" s="620"/>
      <c r="T63" s="236"/>
      <c r="U63" s="236"/>
      <c r="V63" s="208"/>
      <c r="W63" s="88"/>
      <c r="X63" s="99"/>
      <c r="Y63" s="99"/>
      <c r="Z63" s="100"/>
      <c r="AA63" s="100"/>
      <c r="AB63" s="601"/>
      <c r="AC63" s="601"/>
      <c r="AD63" s="101"/>
      <c r="AE63" s="101"/>
      <c r="AF63" s="92">
        <f t="shared" si="6"/>
        <v>0</v>
      </c>
      <c r="AG63" s="177" t="e">
        <f t="shared" si="7"/>
        <v>#DIV/0!</v>
      </c>
      <c r="AH63" s="620"/>
    </row>
    <row r="64" spans="1:34" ht="19.149999999999999" customHeight="1">
      <c r="A64" s="635"/>
      <c r="B64" s="152">
        <v>0</v>
      </c>
      <c r="C64" s="147"/>
      <c r="D64" s="83"/>
      <c r="E64" s="84"/>
      <c r="F64" s="85" t="s">
        <v>391</v>
      </c>
      <c r="G64" s="200"/>
      <c r="H64" s="87">
        <f t="shared" si="35"/>
        <v>0</v>
      </c>
      <c r="I64" s="65"/>
      <c r="J64" s="239"/>
      <c r="K64" s="108"/>
      <c r="L64" s="137"/>
      <c r="M64" s="110"/>
      <c r="N64" s="86"/>
      <c r="O64" s="90"/>
      <c r="P64" s="235"/>
      <c r="Q64" s="93"/>
      <c r="R64" s="94"/>
      <c r="S64" s="620"/>
      <c r="T64" s="236"/>
      <c r="U64" s="236"/>
      <c r="V64" s="208"/>
      <c r="W64" s="88"/>
      <c r="X64" s="65"/>
      <c r="Y64" s="65"/>
      <c r="Z64" s="100"/>
      <c r="AA64" s="100"/>
      <c r="AB64" s="601"/>
      <c r="AC64" s="601"/>
      <c r="AD64" s="101"/>
      <c r="AE64" s="101"/>
      <c r="AF64" s="92">
        <f t="shared" si="6"/>
        <v>0</v>
      </c>
      <c r="AG64" s="177" t="e">
        <f t="shared" si="7"/>
        <v>#DIV/0!</v>
      </c>
      <c r="AH64" s="620"/>
    </row>
    <row r="65" spans="1:34" ht="19.149999999999999" customHeight="1">
      <c r="A65" s="635"/>
      <c r="B65" s="152">
        <v>0</v>
      </c>
      <c r="C65" s="147"/>
      <c r="D65" s="83"/>
      <c r="E65" s="84"/>
      <c r="F65" s="85" t="s">
        <v>391</v>
      </c>
      <c r="G65" s="200"/>
      <c r="H65" s="87">
        <f t="shared" si="35"/>
        <v>0</v>
      </c>
      <c r="I65" s="65"/>
      <c r="J65" s="239"/>
      <c r="K65" s="108"/>
      <c r="L65" s="137"/>
      <c r="M65" s="110"/>
      <c r="N65" s="108"/>
      <c r="O65" s="127"/>
      <c r="P65" s="92"/>
      <c r="Q65" s="93"/>
      <c r="R65" s="94"/>
      <c r="S65" s="620"/>
      <c r="T65" s="236"/>
      <c r="U65" s="236"/>
      <c r="V65" s="208"/>
      <c r="W65" s="88">
        <f t="shared" ref="W65:W69" si="40">(U65-T65)*24*60</f>
        <v>0</v>
      </c>
      <c r="X65" s="65"/>
      <c r="Y65" s="65"/>
      <c r="Z65" s="100"/>
      <c r="AA65" s="100"/>
      <c r="AB65" s="601"/>
      <c r="AC65" s="601"/>
      <c r="AD65" s="101"/>
      <c r="AE65" s="101"/>
      <c r="AF65" s="92">
        <f t="shared" si="6"/>
        <v>0</v>
      </c>
      <c r="AG65" s="177" t="e">
        <f t="shared" si="7"/>
        <v>#DIV/0!</v>
      </c>
      <c r="AH65" s="620"/>
    </row>
    <row r="66" spans="1:34" ht="19.149999999999999" customHeight="1">
      <c r="A66" s="635"/>
      <c r="B66" s="152">
        <v>0</v>
      </c>
      <c r="C66" s="147"/>
      <c r="D66" s="83"/>
      <c r="E66" s="84"/>
      <c r="F66" s="85" t="s">
        <v>391</v>
      </c>
      <c r="G66" s="200"/>
      <c r="H66" s="87">
        <f t="shared" si="35"/>
        <v>0</v>
      </c>
      <c r="I66" s="65"/>
      <c r="J66" s="239"/>
      <c r="K66" s="108"/>
      <c r="L66" s="137"/>
      <c r="M66" s="110"/>
      <c r="N66" s="108"/>
      <c r="O66" s="127"/>
      <c r="P66" s="92"/>
      <c r="Q66" s="93"/>
      <c r="R66" s="94"/>
      <c r="S66" s="620"/>
      <c r="T66" s="236"/>
      <c r="U66" s="236"/>
      <c r="V66" s="208"/>
      <c r="W66" s="88">
        <f t="shared" si="40"/>
        <v>0</v>
      </c>
      <c r="X66" s="65"/>
      <c r="Y66" s="65"/>
      <c r="Z66" s="100"/>
      <c r="AA66" s="100"/>
      <c r="AB66" s="601"/>
      <c r="AC66" s="601"/>
      <c r="AD66" s="101"/>
      <c r="AE66" s="101"/>
      <c r="AF66" s="92">
        <f t="shared" si="6"/>
        <v>0</v>
      </c>
      <c r="AG66" s="177" t="e">
        <f t="shared" si="7"/>
        <v>#DIV/0!</v>
      </c>
      <c r="AH66" s="620"/>
    </row>
    <row r="67" spans="1:34" ht="19.149999999999999" customHeight="1">
      <c r="A67" s="635"/>
      <c r="B67" s="152">
        <v>0</v>
      </c>
      <c r="C67" s="147"/>
      <c r="D67" s="83"/>
      <c r="E67" s="84"/>
      <c r="F67" s="85" t="s">
        <v>391</v>
      </c>
      <c r="G67" s="200"/>
      <c r="H67" s="87">
        <f>F67*G67</f>
        <v>0</v>
      </c>
      <c r="I67" s="65"/>
      <c r="J67" s="239"/>
      <c r="K67" s="108"/>
      <c r="L67" s="137"/>
      <c r="M67" s="110"/>
      <c r="N67" s="108"/>
      <c r="O67" s="127"/>
      <c r="P67" s="92"/>
      <c r="Q67" s="93"/>
      <c r="R67" s="94"/>
      <c r="S67" s="620"/>
      <c r="T67" s="236"/>
      <c r="U67" s="236"/>
      <c r="V67" s="208"/>
      <c r="W67" s="88">
        <f t="shared" si="40"/>
        <v>0</v>
      </c>
      <c r="X67" s="65"/>
      <c r="Y67" s="65"/>
      <c r="Z67" s="100"/>
      <c r="AA67" s="100"/>
      <c r="AB67" s="601"/>
      <c r="AC67" s="601"/>
      <c r="AD67" s="101"/>
      <c r="AE67" s="101"/>
      <c r="AF67" s="92">
        <f t="shared" si="6"/>
        <v>0</v>
      </c>
      <c r="AG67" s="177" t="e">
        <f t="shared" si="7"/>
        <v>#DIV/0!</v>
      </c>
      <c r="AH67" s="620"/>
    </row>
    <row r="68" spans="1:34" ht="19.149999999999999" customHeight="1">
      <c r="A68" s="635"/>
      <c r="B68" s="65">
        <v>0</v>
      </c>
      <c r="C68" s="147"/>
      <c r="D68" s="83"/>
      <c r="E68" s="84"/>
      <c r="F68" s="199" t="s">
        <v>391</v>
      </c>
      <c r="G68" s="200"/>
      <c r="H68" s="87">
        <f>F68*G68</f>
        <v>0</v>
      </c>
      <c r="I68" s="65"/>
      <c r="J68" s="239"/>
      <c r="K68" s="108"/>
      <c r="L68" s="137"/>
      <c r="M68" s="110"/>
      <c r="N68" s="108"/>
      <c r="O68" s="127"/>
      <c r="P68" s="92"/>
      <c r="Q68" s="93"/>
      <c r="R68" s="94"/>
      <c r="S68" s="620"/>
      <c r="T68" s="236"/>
      <c r="U68" s="236"/>
      <c r="V68" s="208"/>
      <c r="W68" s="88">
        <f t="shared" si="40"/>
        <v>0</v>
      </c>
      <c r="X68" s="65"/>
      <c r="Y68" s="65"/>
      <c r="Z68" s="100"/>
      <c r="AA68" s="100"/>
      <c r="AB68" s="601"/>
      <c r="AC68" s="601"/>
      <c r="AD68" s="101"/>
      <c r="AE68" s="101"/>
      <c r="AF68" s="92"/>
      <c r="AG68" s="94"/>
      <c r="AH68" s="620"/>
    </row>
    <row r="69" spans="1:34" ht="19.149999999999999" customHeight="1">
      <c r="A69" s="635"/>
      <c r="B69" s="240">
        <v>0</v>
      </c>
      <c r="C69" s="12" t="s">
        <v>265</v>
      </c>
      <c r="D69" s="602" t="s">
        <v>256</v>
      </c>
      <c r="E69" s="602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1392.5693166607364</v>
      </c>
      <c r="O69" s="123">
        <f t="shared" si="41"/>
        <v>207.11087470620842</v>
      </c>
      <c r="P69" s="92">
        <f>M69-J69</f>
        <v>0.75</v>
      </c>
      <c r="Q69" s="93">
        <f>N69-K69</f>
        <v>-107.43068333926362</v>
      </c>
      <c r="R69" s="245">
        <f t="shared" ref="R69:R70" si="42">O69/L69</f>
        <v>0.8284434988248337</v>
      </c>
      <c r="S69" s="620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01"/>
      <c r="AC69" s="601"/>
      <c r="AD69" s="164">
        <f>SUM(AD57:AD68)</f>
        <v>1</v>
      </c>
      <c r="AE69" s="164">
        <f>SUM(AE57:AE68)</f>
        <v>0</v>
      </c>
      <c r="AF69" s="92">
        <f t="shared" si="6"/>
        <v>-107.43068333926362</v>
      </c>
      <c r="AG69" s="94">
        <f t="shared" si="7"/>
        <v>0.92837954444049087</v>
      </c>
      <c r="AH69" s="620"/>
    </row>
    <row r="70" spans="1:34" ht="19.149999999999999" customHeight="1">
      <c r="A70" s="632" t="s">
        <v>266</v>
      </c>
      <c r="B70" s="65" t="s">
        <v>387</v>
      </c>
      <c r="C70" s="152"/>
      <c r="D70" s="83" t="s">
        <v>157</v>
      </c>
      <c r="E70" s="84"/>
      <c r="F70" s="85">
        <v>62.13</v>
      </c>
      <c r="G70" s="86">
        <v>466</v>
      </c>
      <c r="H70" s="87">
        <f>F70*G70</f>
        <v>28952.58</v>
      </c>
      <c r="I70" s="65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4" si="43">G70/W70*60</f>
        <v>1118.4000000000003</v>
      </c>
      <c r="O70" s="90">
        <f t="shared" ref="O70:O74" si="44">N70/M70</f>
        <v>86.030769230769252</v>
      </c>
      <c r="P70" s="92">
        <f t="shared" ref="P70:P74" si="45">M70-J70</f>
        <v>-1</v>
      </c>
      <c r="Q70" s="93">
        <f t="shared" ref="Q70" si="46">O70-L70</f>
        <v>-21.112087912087887</v>
      </c>
      <c r="R70" s="94">
        <f t="shared" si="42"/>
        <v>0.80295384615384635</v>
      </c>
      <c r="S70" s="620">
        <f>R82</f>
        <v>0.87540292978833822</v>
      </c>
      <c r="T70" s="96">
        <v>0.29166666666666669</v>
      </c>
      <c r="U70" s="96">
        <v>0.30902777777777779</v>
      </c>
      <c r="V70" s="65">
        <v>5</v>
      </c>
      <c r="W70" s="88">
        <f>(U70-T70)*24*60</f>
        <v>24.999999999999993</v>
      </c>
      <c r="X70" s="65"/>
      <c r="Y70" s="65"/>
      <c r="Z70" s="100"/>
      <c r="AA70" s="100"/>
      <c r="AB70" s="601"/>
      <c r="AC70" s="601"/>
      <c r="AD70" s="101"/>
      <c r="AE70" s="101"/>
      <c r="AF70" s="92">
        <f t="shared" si="6"/>
        <v>-381.59999999999968</v>
      </c>
      <c r="AG70" s="94">
        <f t="shared" si="7"/>
        <v>0.74560000000000026</v>
      </c>
      <c r="AH70" s="620">
        <f>AG82</f>
        <v>0.8680388086458839</v>
      </c>
    </row>
    <row r="71" spans="1:34" ht="19.149999999999999" customHeight="1">
      <c r="A71" s="632"/>
      <c r="B71" s="65" t="s">
        <v>386</v>
      </c>
      <c r="C71" s="82"/>
      <c r="D71" s="246" t="s">
        <v>158</v>
      </c>
      <c r="E71" s="84"/>
      <c r="F71" s="85">
        <v>47.65</v>
      </c>
      <c r="G71" s="86">
        <v>2227</v>
      </c>
      <c r="H71" s="87">
        <f>F71*G71</f>
        <v>106116.55</v>
      </c>
      <c r="I71" s="65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1284.8076923076931</v>
      </c>
      <c r="O71" s="90">
        <f t="shared" si="44"/>
        <v>71.378205128205167</v>
      </c>
      <c r="P71" s="92">
        <f t="shared" si="45"/>
        <v>0</v>
      </c>
      <c r="Q71" s="93">
        <f>O71-L71</f>
        <v>-8.6217948717948332</v>
      </c>
      <c r="R71" s="94">
        <f>O71/L71</f>
        <v>0.89222756410256454</v>
      </c>
      <c r="S71" s="620"/>
      <c r="T71" s="96">
        <v>0.31319444444444444</v>
      </c>
      <c r="U71" s="96">
        <v>0.38541666666666663</v>
      </c>
      <c r="V71" s="65">
        <v>6</v>
      </c>
      <c r="W71" s="88">
        <f t="shared" ref="W71:W81" si="47">(U71-T71)*24*60</f>
        <v>103.99999999999994</v>
      </c>
      <c r="X71" s="99"/>
      <c r="Y71" s="99"/>
      <c r="Z71" s="100"/>
      <c r="AA71" s="100"/>
      <c r="AB71" s="601"/>
      <c r="AC71" s="601"/>
      <c r="AD71" s="101"/>
      <c r="AE71" s="101"/>
      <c r="AF71" s="92">
        <f>N71-K71</f>
        <v>-155.19230769230694</v>
      </c>
      <c r="AG71" s="94">
        <f>N71/K71</f>
        <v>0.89222756410256465</v>
      </c>
      <c r="AH71" s="620"/>
    </row>
    <row r="72" spans="1:34" ht="19.149999999999999" customHeight="1">
      <c r="A72" s="632"/>
      <c r="B72" s="65" t="s">
        <v>386</v>
      </c>
      <c r="C72" s="115"/>
      <c r="D72" s="246" t="s">
        <v>160</v>
      </c>
      <c r="E72" s="84"/>
      <c r="F72" s="85">
        <v>53.76</v>
      </c>
      <c r="G72" s="104">
        <v>2159.2000000000003</v>
      </c>
      <c r="H72" s="87">
        <f t="shared" ref="H72:H80" si="48">F72*G72</f>
        <v>116078.592</v>
      </c>
      <c r="I72" s="65"/>
      <c r="J72" s="138">
        <v>16</v>
      </c>
      <c r="K72" s="104">
        <v>1440</v>
      </c>
      <c r="L72" s="137">
        <v>90</v>
      </c>
      <c r="M72" s="91">
        <v>16</v>
      </c>
      <c r="N72" s="86">
        <f t="shared" si="43"/>
        <v>1257.786407766991</v>
      </c>
      <c r="O72" s="90">
        <f t="shared" si="44"/>
        <v>78.61165048543694</v>
      </c>
      <c r="P72" s="92">
        <f t="shared" si="45"/>
        <v>0</v>
      </c>
      <c r="Q72" s="93">
        <f>O72-L72</f>
        <v>-11.38834951456306</v>
      </c>
      <c r="R72" s="94">
        <f>O72/L72</f>
        <v>0.8734627831715216</v>
      </c>
      <c r="S72" s="620"/>
      <c r="T72" s="96">
        <v>0.42708333333333326</v>
      </c>
      <c r="U72" s="96">
        <v>0.49861111111111101</v>
      </c>
      <c r="V72" s="65">
        <v>7</v>
      </c>
      <c r="W72" s="88">
        <f t="shared" si="47"/>
        <v>102.99999999999996</v>
      </c>
      <c r="X72" s="99"/>
      <c r="Y72" s="99"/>
      <c r="Z72" s="100"/>
      <c r="AA72" s="100"/>
      <c r="AB72" s="601"/>
      <c r="AC72" s="601"/>
      <c r="AD72" s="101"/>
      <c r="AE72" s="101"/>
      <c r="AF72" s="92">
        <f>N72-K72</f>
        <v>-182.21359223300897</v>
      </c>
      <c r="AG72" s="94">
        <f>N72/K72</f>
        <v>0.8734627831715216</v>
      </c>
      <c r="AH72" s="620"/>
    </row>
    <row r="73" spans="1:34" ht="19.149999999999999" customHeight="1">
      <c r="A73" s="632"/>
      <c r="B73" s="65" t="s">
        <v>386</v>
      </c>
      <c r="C73" s="248"/>
      <c r="D73" s="249" t="s">
        <v>161</v>
      </c>
      <c r="E73" s="250"/>
      <c r="F73" s="85">
        <v>47.51</v>
      </c>
      <c r="G73" s="104">
        <v>2776</v>
      </c>
      <c r="H73" s="87">
        <f t="shared" si="48"/>
        <v>131887.75999999998</v>
      </c>
      <c r="I73" s="101"/>
      <c r="J73" s="251">
        <v>16</v>
      </c>
      <c r="K73" s="252">
        <v>1440</v>
      </c>
      <c r="L73" s="137">
        <v>90</v>
      </c>
      <c r="M73" s="189">
        <v>16</v>
      </c>
      <c r="N73" s="86">
        <f t="shared" si="43"/>
        <v>1242.9850746268655</v>
      </c>
      <c r="O73" s="90">
        <f t="shared" si="44"/>
        <v>77.686567164179095</v>
      </c>
      <c r="P73" s="92">
        <f t="shared" si="45"/>
        <v>0</v>
      </c>
      <c r="Q73" s="93">
        <f>O73-L73</f>
        <v>-12.313432835820905</v>
      </c>
      <c r="R73" s="94">
        <f>O73/L73</f>
        <v>0.86318407960198995</v>
      </c>
      <c r="S73" s="620"/>
      <c r="T73" s="96">
        <v>0.51458333333333317</v>
      </c>
      <c r="U73" s="96">
        <v>0.60763888888888873</v>
      </c>
      <c r="V73" s="65">
        <v>23</v>
      </c>
      <c r="W73" s="88">
        <f t="shared" si="47"/>
        <v>134</v>
      </c>
      <c r="X73" s="253">
        <v>0.50208333333333333</v>
      </c>
      <c r="Y73" s="253">
        <v>0.51180555555555551</v>
      </c>
      <c r="Z73" s="185"/>
      <c r="AA73" s="185"/>
      <c r="AB73" s="601"/>
      <c r="AC73" s="601"/>
      <c r="AD73" s="101"/>
      <c r="AE73" s="101"/>
      <c r="AF73" s="92">
        <f>N73-K73</f>
        <v>-197.01492537313447</v>
      </c>
      <c r="AG73" s="94">
        <f>N73/K73</f>
        <v>0.86318407960198995</v>
      </c>
      <c r="AH73" s="620"/>
    </row>
    <row r="74" spans="1:34" ht="19.149999999999999" customHeight="1">
      <c r="A74" s="632"/>
      <c r="B74" s="65" t="s">
        <v>386</v>
      </c>
      <c r="C74" s="248"/>
      <c r="D74" s="249" t="s">
        <v>159</v>
      </c>
      <c r="E74" s="250"/>
      <c r="F74" s="85">
        <v>53.36</v>
      </c>
      <c r="G74" s="247">
        <v>2978.4</v>
      </c>
      <c r="H74" s="87">
        <f t="shared" si="48"/>
        <v>158927.424</v>
      </c>
      <c r="I74" s="65">
        <v>2</v>
      </c>
      <c r="J74" s="89">
        <v>18</v>
      </c>
      <c r="K74" s="247">
        <v>1300</v>
      </c>
      <c r="L74" s="90">
        <v>72.222222222222229</v>
      </c>
      <c r="M74" s="91">
        <v>18</v>
      </c>
      <c r="N74" s="86">
        <f t="shared" si="43"/>
        <v>1276.457142857143</v>
      </c>
      <c r="O74" s="90">
        <f t="shared" si="44"/>
        <v>70.914285714285725</v>
      </c>
      <c r="P74" s="92">
        <f t="shared" si="45"/>
        <v>0</v>
      </c>
      <c r="Q74" s="93">
        <f>O74-L74</f>
        <v>-1.3079365079365033</v>
      </c>
      <c r="R74" s="94">
        <f>O74/L74</f>
        <v>0.98189010989010994</v>
      </c>
      <c r="S74" s="620"/>
      <c r="T74" s="96">
        <v>0.61249999999999982</v>
      </c>
      <c r="U74" s="96">
        <v>0.70972222222222203</v>
      </c>
      <c r="V74" s="65">
        <v>7</v>
      </c>
      <c r="W74" s="88">
        <f t="shared" si="47"/>
        <v>139.99999999999997</v>
      </c>
      <c r="X74" s="253"/>
      <c r="Y74" s="253"/>
      <c r="Z74" s="185"/>
      <c r="AA74" s="185"/>
      <c r="AB74" s="601"/>
      <c r="AC74" s="601"/>
      <c r="AD74" s="101"/>
      <c r="AE74" s="101"/>
      <c r="AF74" s="92">
        <f>N74-K74</f>
        <v>-23.542857142856974</v>
      </c>
      <c r="AG74" s="94">
        <f>N74/K74</f>
        <v>0.98189010989011005</v>
      </c>
      <c r="AH74" s="620"/>
    </row>
    <row r="75" spans="1:34" ht="19.149999999999999" customHeight="1">
      <c r="A75" s="632"/>
      <c r="B75" s="65">
        <v>0</v>
      </c>
      <c r="C75" s="115"/>
      <c r="D75" s="246"/>
      <c r="E75" s="84"/>
      <c r="F75" s="85" t="s">
        <v>391</v>
      </c>
      <c r="G75" s="104"/>
      <c r="H75" s="87">
        <f t="shared" si="48"/>
        <v>0</v>
      </c>
      <c r="I75" s="65"/>
      <c r="J75" s="138"/>
      <c r="K75" s="104"/>
      <c r="L75" s="137"/>
      <c r="M75" s="91"/>
      <c r="N75" s="86"/>
      <c r="O75" s="90"/>
      <c r="P75" s="92"/>
      <c r="Q75" s="93"/>
      <c r="R75" s="94"/>
      <c r="S75" s="620"/>
      <c r="T75" s="96"/>
      <c r="U75" s="96"/>
      <c r="V75" s="65"/>
      <c r="W75" s="88">
        <f t="shared" si="47"/>
        <v>0</v>
      </c>
      <c r="X75" s="253"/>
      <c r="Y75" s="253"/>
      <c r="Z75" s="185"/>
      <c r="AA75" s="185"/>
      <c r="AB75" s="601"/>
      <c r="AC75" s="601"/>
      <c r="AD75" s="101"/>
      <c r="AE75" s="101"/>
      <c r="AF75" s="92">
        <f>N75-K75</f>
        <v>0</v>
      </c>
      <c r="AG75" s="94" t="e">
        <f>N75/K75</f>
        <v>#DIV/0!</v>
      </c>
      <c r="AH75" s="620"/>
    </row>
    <row r="76" spans="1:34" ht="19.149999999999999" customHeight="1">
      <c r="A76" s="632"/>
      <c r="B76" s="65">
        <v>0</v>
      </c>
      <c r="C76" s="248"/>
      <c r="D76" s="249"/>
      <c r="E76" s="250"/>
      <c r="F76" s="85" t="s">
        <v>391</v>
      </c>
      <c r="G76" s="247"/>
      <c r="H76" s="87">
        <f t="shared" si="48"/>
        <v>0</v>
      </c>
      <c r="I76" s="65"/>
      <c r="J76" s="251"/>
      <c r="K76" s="252"/>
      <c r="L76" s="137"/>
      <c r="M76" s="189" t="s">
        <v>49</v>
      </c>
      <c r="N76" s="86"/>
      <c r="O76" s="90"/>
      <c r="P76" s="92"/>
      <c r="Q76" s="93"/>
      <c r="R76" s="94"/>
      <c r="S76" s="620"/>
      <c r="T76" s="96"/>
      <c r="U76" s="96"/>
      <c r="V76" s="65"/>
      <c r="W76" s="88"/>
      <c r="X76" s="253"/>
      <c r="Y76" s="253"/>
      <c r="Z76" s="185"/>
      <c r="AA76" s="185"/>
      <c r="AB76" s="601"/>
      <c r="AC76" s="601"/>
      <c r="AD76" s="101"/>
      <c r="AE76" s="101"/>
      <c r="AF76" s="92">
        <f t="shared" ref="AF76:AF80" si="49">N76-K76</f>
        <v>0</v>
      </c>
      <c r="AG76" s="94" t="e">
        <f t="shared" ref="AG76:AG80" si="50">N76/K76</f>
        <v>#DIV/0!</v>
      </c>
      <c r="AH76" s="620"/>
    </row>
    <row r="77" spans="1:34" ht="19.149999999999999" customHeight="1">
      <c r="A77" s="632"/>
      <c r="B77" s="65">
        <v>0</v>
      </c>
      <c r="C77" s="147"/>
      <c r="D77" s="249"/>
      <c r="E77" s="84"/>
      <c r="F77" s="85" t="s">
        <v>391</v>
      </c>
      <c r="G77" s="247"/>
      <c r="H77" s="87">
        <f t="shared" si="48"/>
        <v>0</v>
      </c>
      <c r="I77" s="101"/>
      <c r="J77" s="89"/>
      <c r="K77" s="247"/>
      <c r="L77" s="90"/>
      <c r="M77" s="189"/>
      <c r="N77" s="86"/>
      <c r="O77" s="90"/>
      <c r="P77" s="92"/>
      <c r="Q77" s="93"/>
      <c r="R77" s="94"/>
      <c r="S77" s="620"/>
      <c r="T77" s="96"/>
      <c r="U77" s="96"/>
      <c r="V77" s="65"/>
      <c r="W77" s="88"/>
      <c r="X77" s="253"/>
      <c r="Y77" s="253"/>
      <c r="Z77" s="185"/>
      <c r="AA77" s="185"/>
      <c r="AB77" s="601"/>
      <c r="AC77" s="601"/>
      <c r="AD77" s="101"/>
      <c r="AE77" s="101"/>
      <c r="AF77" s="92">
        <f t="shared" si="49"/>
        <v>0</v>
      </c>
      <c r="AG77" s="94" t="e">
        <f t="shared" si="50"/>
        <v>#DIV/0!</v>
      </c>
      <c r="AH77" s="620"/>
    </row>
    <row r="78" spans="1:34" ht="19.149999999999999" customHeight="1">
      <c r="A78" s="632"/>
      <c r="B78" s="65">
        <v>0</v>
      </c>
      <c r="C78" s="147"/>
      <c r="D78" s="83"/>
      <c r="E78" s="84"/>
      <c r="F78" s="85" t="s">
        <v>391</v>
      </c>
      <c r="G78" s="104"/>
      <c r="H78" s="87">
        <f t="shared" si="48"/>
        <v>0</v>
      </c>
      <c r="I78" s="101"/>
      <c r="J78" s="138"/>
      <c r="K78" s="104"/>
      <c r="L78" s="137"/>
      <c r="M78" s="189"/>
      <c r="N78" s="86"/>
      <c r="O78" s="90"/>
      <c r="P78" s="92"/>
      <c r="Q78" s="93"/>
      <c r="R78" s="94"/>
      <c r="S78" s="620"/>
      <c r="T78" s="96"/>
      <c r="U78" s="96"/>
      <c r="V78" s="65"/>
      <c r="W78" s="88"/>
      <c r="X78" s="253"/>
      <c r="Y78" s="253"/>
      <c r="Z78" s="185"/>
      <c r="AA78" s="185"/>
      <c r="AB78" s="601"/>
      <c r="AC78" s="601"/>
      <c r="AD78" s="101"/>
      <c r="AE78" s="101"/>
      <c r="AF78" s="92">
        <f t="shared" si="49"/>
        <v>0</v>
      </c>
      <c r="AG78" s="94" t="e">
        <f t="shared" si="50"/>
        <v>#DIV/0!</v>
      </c>
      <c r="AH78" s="620"/>
    </row>
    <row r="79" spans="1:34" ht="19.149999999999999" customHeight="1">
      <c r="A79" s="632"/>
      <c r="B79" s="65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101"/>
      <c r="J79" s="138"/>
      <c r="K79" s="104"/>
      <c r="L79" s="137"/>
      <c r="M79" s="189"/>
      <c r="N79" s="104"/>
      <c r="O79" s="254"/>
      <c r="P79" s="165"/>
      <c r="Q79" s="255"/>
      <c r="R79" s="166"/>
      <c r="S79" s="620"/>
      <c r="T79" s="96"/>
      <c r="U79" s="96"/>
      <c r="V79" s="65"/>
      <c r="W79" s="88">
        <f t="shared" si="47"/>
        <v>0</v>
      </c>
      <c r="X79" s="253"/>
      <c r="Y79" s="253"/>
      <c r="Z79" s="185"/>
      <c r="AA79" s="185"/>
      <c r="AB79" s="601"/>
      <c r="AC79" s="601"/>
      <c r="AD79" s="101"/>
      <c r="AE79" s="101"/>
      <c r="AF79" s="92">
        <f t="shared" si="49"/>
        <v>0</v>
      </c>
      <c r="AG79" s="94" t="e">
        <f t="shared" si="50"/>
        <v>#DIV/0!</v>
      </c>
      <c r="AH79" s="620"/>
    </row>
    <row r="80" spans="1:34" ht="19.149999999999999" customHeight="1">
      <c r="A80" s="632"/>
      <c r="B80" s="65">
        <v>0</v>
      </c>
      <c r="C80" s="147"/>
      <c r="D80" s="83"/>
      <c r="E80" s="84"/>
      <c r="F80" s="85"/>
      <c r="G80" s="104"/>
      <c r="H80" s="87">
        <f t="shared" si="48"/>
        <v>0</v>
      </c>
      <c r="I80" s="101"/>
      <c r="J80" s="138"/>
      <c r="K80" s="104"/>
      <c r="L80" s="137"/>
      <c r="M80" s="189"/>
      <c r="N80" s="104"/>
      <c r="O80" s="256"/>
      <c r="P80" s="100"/>
      <c r="Q80" s="139"/>
      <c r="R80" s="257"/>
      <c r="S80" s="620"/>
      <c r="T80" s="96"/>
      <c r="U80" s="96"/>
      <c r="V80" s="65"/>
      <c r="W80" s="88">
        <f t="shared" si="47"/>
        <v>0</v>
      </c>
      <c r="X80" s="253"/>
      <c r="Y80" s="253"/>
      <c r="Z80" s="185"/>
      <c r="AA80" s="185"/>
      <c r="AB80" s="601"/>
      <c r="AC80" s="601"/>
      <c r="AD80" s="101"/>
      <c r="AE80" s="101"/>
      <c r="AF80" s="92">
        <f t="shared" si="49"/>
        <v>0</v>
      </c>
      <c r="AG80" s="94" t="e">
        <f t="shared" si="50"/>
        <v>#DIV/0!</v>
      </c>
      <c r="AH80" s="620"/>
    </row>
    <row r="81" spans="1:34" ht="19.149999999999999" customHeight="1">
      <c r="A81" s="632"/>
      <c r="B81" s="65">
        <v>0</v>
      </c>
      <c r="C81" s="147"/>
      <c r="D81" s="83"/>
      <c r="E81" s="84"/>
      <c r="F81" s="199"/>
      <c r="G81" s="104"/>
      <c r="H81" s="135"/>
      <c r="I81" s="101"/>
      <c r="J81" s="138"/>
      <c r="K81" s="104"/>
      <c r="L81" s="137"/>
      <c r="M81" s="189"/>
      <c r="N81" s="104"/>
      <c r="O81" s="256"/>
      <c r="P81" s="100"/>
      <c r="Q81" s="139"/>
      <c r="R81" s="257"/>
      <c r="S81" s="620"/>
      <c r="T81" s="96"/>
      <c r="U81" s="96"/>
      <c r="V81" s="65"/>
      <c r="W81" s="88">
        <f t="shared" si="47"/>
        <v>0</v>
      </c>
      <c r="X81" s="253"/>
      <c r="Y81" s="253"/>
      <c r="Z81" s="185"/>
      <c r="AA81" s="185"/>
      <c r="AB81" s="601"/>
      <c r="AC81" s="601"/>
      <c r="AD81" s="101"/>
      <c r="AE81" s="101"/>
      <c r="AF81" s="92"/>
      <c r="AG81" s="186"/>
      <c r="AH81" s="620"/>
    </row>
    <row r="82" spans="1:34" ht="19.149999999999999" customHeight="1">
      <c r="A82" s="633"/>
      <c r="B82" s="240">
        <v>0</v>
      </c>
      <c r="C82" s="156" t="s">
        <v>267</v>
      </c>
      <c r="D82" s="602" t="s">
        <v>256</v>
      </c>
      <c r="E82" s="602"/>
      <c r="F82" s="258"/>
      <c r="G82" s="158"/>
      <c r="H82" s="159"/>
      <c r="I82" s="160"/>
      <c r="J82" s="158">
        <v>16.399999999999999</v>
      </c>
      <c r="K82" s="158">
        <v>1424</v>
      </c>
      <c r="L82" s="161">
        <v>87.873015873015873</v>
      </c>
      <c r="M82" s="158">
        <f t="shared" ref="M82:O82" si="51">AVERAGE(M70:M81)</f>
        <v>16.2</v>
      </c>
      <c r="N82" s="158">
        <f t="shared" si="51"/>
        <v>1236.0872635117387</v>
      </c>
      <c r="O82" s="259">
        <f t="shared" si="51"/>
        <v>76.924295544575244</v>
      </c>
      <c r="P82" s="175">
        <f>M82-J82</f>
        <v>-0.19999999999999929</v>
      </c>
      <c r="Q82" s="176">
        <f>N82-K82</f>
        <v>-187.91273648826132</v>
      </c>
      <c r="R82" s="245">
        <f>O82/L82</f>
        <v>0.87540292978833822</v>
      </c>
      <c r="S82" s="620"/>
      <c r="T82" s="96"/>
      <c r="U82" s="96"/>
      <c r="V82" s="65"/>
      <c r="W82" s="86"/>
      <c r="X82" s="90"/>
      <c r="Y82" s="90"/>
      <c r="Z82" s="163">
        <f>SUM(Z70:Z81)</f>
        <v>0</v>
      </c>
      <c r="AA82" s="163">
        <f>SUM(AA70:AA81)</f>
        <v>0</v>
      </c>
      <c r="AB82" s="601"/>
      <c r="AC82" s="601"/>
      <c r="AD82" s="164">
        <f>SUM(AD70:AD81)</f>
        <v>0</v>
      </c>
      <c r="AE82" s="164">
        <f>SUM(AE70:AE81)</f>
        <v>0</v>
      </c>
      <c r="AF82" s="92">
        <f>N82-K82</f>
        <v>-187.91273648826132</v>
      </c>
      <c r="AG82" s="94">
        <f>N82/K82</f>
        <v>0.8680388086458839</v>
      </c>
      <c r="AH82" s="620"/>
    </row>
    <row r="83" spans="1:34" ht="19.149999999999999" customHeight="1">
      <c r="A83" s="630" t="s">
        <v>268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4467.5999999999995</v>
      </c>
      <c r="H83" s="135">
        <f t="shared" ref="H83:H94" si="52">F83*G83</f>
        <v>238391.13599999997</v>
      </c>
      <c r="I83" s="101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7" si="53">G83/W83*60</f>
        <v>1264.4150943396228</v>
      </c>
      <c r="O83" s="256">
        <f t="shared" ref="O83:O87" si="54">N83/M83</f>
        <v>70.245283018867937</v>
      </c>
      <c r="P83" s="100">
        <f t="shared" ref="P83:P87" si="55">M83-J83</f>
        <v>0</v>
      </c>
      <c r="Q83" s="139">
        <f t="shared" ref="Q83:Q87" si="56">O83-L83</f>
        <v>-1.9769392033542914</v>
      </c>
      <c r="R83" s="261">
        <f t="shared" ref="R83:R87" si="57">O83/L83</f>
        <v>0.97262699564586363</v>
      </c>
      <c r="S83" s="620">
        <f>R95</f>
        <v>0.86893840580660342</v>
      </c>
      <c r="T83" s="96">
        <v>0.33333333333333331</v>
      </c>
      <c r="U83" s="96">
        <v>0.48055555555555551</v>
      </c>
      <c r="V83" s="65">
        <v>5</v>
      </c>
      <c r="W83" s="88">
        <f t="shared" ref="W83:W93" si="58">(U83-T83)*24*60</f>
        <v>211.99999999999997</v>
      </c>
      <c r="X83" s="99"/>
      <c r="Y83" s="99"/>
      <c r="Z83" s="100"/>
      <c r="AA83" s="100"/>
      <c r="AB83" s="601"/>
      <c r="AC83" s="601"/>
      <c r="AD83" s="101"/>
      <c r="AE83" s="101"/>
      <c r="AF83" s="92">
        <f t="shared" ref="AF83:AF173" si="59">N83-K83</f>
        <v>-35.584905660377217</v>
      </c>
      <c r="AG83" s="94">
        <f t="shared" ref="AG83:AG173" si="60">N83/K83</f>
        <v>0.97262699564586363</v>
      </c>
      <c r="AH83" s="620">
        <f>AG95</f>
        <v>0.8363155446785745</v>
      </c>
    </row>
    <row r="84" spans="1:34" ht="19.149999999999999" customHeight="1">
      <c r="A84" s="631"/>
      <c r="B84" s="167" t="s">
        <v>387</v>
      </c>
      <c r="C84" s="147"/>
      <c r="D84" s="262" t="s">
        <v>164</v>
      </c>
      <c r="E84" s="84"/>
      <c r="F84" s="199">
        <v>56.43</v>
      </c>
      <c r="G84" s="86">
        <v>735</v>
      </c>
      <c r="H84" s="135">
        <f t="shared" si="52"/>
        <v>41476.050000000003</v>
      </c>
      <c r="I84" s="65"/>
      <c r="J84" s="138">
        <v>19</v>
      </c>
      <c r="K84" s="104">
        <v>1385</v>
      </c>
      <c r="L84" s="137">
        <v>72.89473684210526</v>
      </c>
      <c r="M84" s="189">
        <v>18</v>
      </c>
      <c r="N84" s="104">
        <f t="shared" si="53"/>
        <v>1049.9999999999995</v>
      </c>
      <c r="O84" s="256">
        <f t="shared" si="54"/>
        <v>58.333333333333307</v>
      </c>
      <c r="P84" s="100">
        <f t="shared" si="55"/>
        <v>-1</v>
      </c>
      <c r="Q84" s="139">
        <f t="shared" si="56"/>
        <v>-14.561403508771953</v>
      </c>
      <c r="R84" s="261">
        <f t="shared" si="57"/>
        <v>0.80024067388688291</v>
      </c>
      <c r="S84" s="620"/>
      <c r="T84" s="96">
        <v>0.5215277777777777</v>
      </c>
      <c r="U84" s="96">
        <v>0.55069444444444438</v>
      </c>
      <c r="V84" s="65">
        <v>6</v>
      </c>
      <c r="W84" s="88">
        <f t="shared" si="58"/>
        <v>42.000000000000014</v>
      </c>
      <c r="X84" s="99"/>
      <c r="Y84" s="99"/>
      <c r="Z84" s="100"/>
      <c r="AA84" s="100"/>
      <c r="AB84" s="601"/>
      <c r="AC84" s="601"/>
      <c r="AD84" s="101"/>
      <c r="AE84" s="101"/>
      <c r="AF84" s="92">
        <f t="shared" si="59"/>
        <v>-335.00000000000045</v>
      </c>
      <c r="AG84" s="94">
        <f t="shared" si="60"/>
        <v>0.75812274368231014</v>
      </c>
      <c r="AH84" s="620"/>
    </row>
    <row r="85" spans="1:34" ht="19.149999999999999" customHeight="1">
      <c r="A85" s="631"/>
      <c r="B85" s="167" t="s">
        <v>388</v>
      </c>
      <c r="C85" s="183"/>
      <c r="D85" s="262" t="s">
        <v>150</v>
      </c>
      <c r="E85" s="84"/>
      <c r="F85" s="199">
        <v>31.43</v>
      </c>
      <c r="G85" s="86">
        <v>1687.5</v>
      </c>
      <c r="H85" s="135">
        <f t="shared" si="52"/>
        <v>53038.125</v>
      </c>
      <c r="I85" s="65"/>
      <c r="J85" s="138">
        <v>6</v>
      </c>
      <c r="K85" s="104">
        <v>1500</v>
      </c>
      <c r="L85" s="137">
        <v>250</v>
      </c>
      <c r="M85" s="189">
        <v>6</v>
      </c>
      <c r="N85" s="104">
        <f t="shared" si="53"/>
        <v>1349.9999999999989</v>
      </c>
      <c r="O85" s="256">
        <f t="shared" si="54"/>
        <v>224.9999999999998</v>
      </c>
      <c r="P85" s="100">
        <f t="shared" si="55"/>
        <v>0</v>
      </c>
      <c r="Q85" s="139">
        <f t="shared" si="56"/>
        <v>-25.000000000000199</v>
      </c>
      <c r="R85" s="261">
        <f t="shared" si="57"/>
        <v>0.89999999999999925</v>
      </c>
      <c r="S85" s="620"/>
      <c r="T85" s="96">
        <v>0.55555555555555547</v>
      </c>
      <c r="U85" s="96">
        <v>0.60763888888888884</v>
      </c>
      <c r="V85" s="65">
        <v>7</v>
      </c>
      <c r="W85" s="88">
        <f t="shared" si="58"/>
        <v>75.000000000000057</v>
      </c>
      <c r="X85" s="99"/>
      <c r="Y85" s="99"/>
      <c r="Z85" s="100"/>
      <c r="AA85" s="100"/>
      <c r="AB85" s="601"/>
      <c r="AC85" s="601"/>
      <c r="AD85" s="101"/>
      <c r="AE85" s="101"/>
      <c r="AF85" s="92">
        <f t="shared" si="59"/>
        <v>-150.00000000000114</v>
      </c>
      <c r="AG85" s="94">
        <f t="shared" si="60"/>
        <v>0.89999999999999925</v>
      </c>
      <c r="AH85" s="620"/>
    </row>
    <row r="86" spans="1:34" ht="19.149999999999999" customHeight="1">
      <c r="A86" s="631"/>
      <c r="B86" s="167" t="s">
        <v>390</v>
      </c>
      <c r="C86" s="152"/>
      <c r="D86" s="262" t="s">
        <v>165</v>
      </c>
      <c r="E86" s="84"/>
      <c r="F86" s="199">
        <v>58.17</v>
      </c>
      <c r="G86" s="86">
        <v>1142</v>
      </c>
      <c r="H86" s="135">
        <f t="shared" si="52"/>
        <v>66430.14</v>
      </c>
      <c r="I86" s="65"/>
      <c r="J86" s="138">
        <v>19</v>
      </c>
      <c r="K86" s="104">
        <v>1385</v>
      </c>
      <c r="L86" s="137">
        <v>72.89473684210526</v>
      </c>
      <c r="M86" s="189">
        <v>19</v>
      </c>
      <c r="N86" s="104">
        <f t="shared" si="53"/>
        <v>1070.6250000000014</v>
      </c>
      <c r="O86" s="256">
        <f t="shared" si="54"/>
        <v>56.348684210526386</v>
      </c>
      <c r="P86" s="100">
        <f t="shared" si="55"/>
        <v>0</v>
      </c>
      <c r="Q86" s="139">
        <f t="shared" si="56"/>
        <v>-16.546052631578874</v>
      </c>
      <c r="R86" s="261">
        <f t="shared" si="57"/>
        <v>0.77301444043321399</v>
      </c>
      <c r="S86" s="620"/>
      <c r="T86" s="96">
        <v>0.70833333333333337</v>
      </c>
      <c r="U86" s="96">
        <v>0.75277777777777777</v>
      </c>
      <c r="V86" s="65">
        <v>5</v>
      </c>
      <c r="W86" s="88">
        <f t="shared" si="58"/>
        <v>63.999999999999929</v>
      </c>
      <c r="X86" s="99"/>
      <c r="Y86" s="99"/>
      <c r="Z86" s="100"/>
      <c r="AA86" s="100"/>
      <c r="AB86" s="601"/>
      <c r="AC86" s="601"/>
      <c r="AD86" s="101"/>
      <c r="AE86" s="101"/>
      <c r="AF86" s="92">
        <f t="shared" si="59"/>
        <v>-314.37499999999864</v>
      </c>
      <c r="AG86" s="94">
        <f t="shared" si="60"/>
        <v>0.77301444043321399</v>
      </c>
      <c r="AH86" s="620"/>
    </row>
    <row r="87" spans="1:34" ht="19.149999999999999" customHeight="1">
      <c r="A87" s="631"/>
      <c r="B87" s="167" t="s">
        <v>390</v>
      </c>
      <c r="C87" s="152"/>
      <c r="D87" s="262" t="s">
        <v>166</v>
      </c>
      <c r="E87" s="84"/>
      <c r="F87" s="199">
        <v>53.68</v>
      </c>
      <c r="G87" s="86">
        <v>1221</v>
      </c>
      <c r="H87" s="135">
        <f t="shared" si="52"/>
        <v>65543.28</v>
      </c>
      <c r="I87" s="65"/>
      <c r="J87" s="138">
        <v>20</v>
      </c>
      <c r="K87" s="104">
        <v>1380</v>
      </c>
      <c r="L87" s="137">
        <v>69</v>
      </c>
      <c r="M87" s="189">
        <v>19</v>
      </c>
      <c r="N87" s="104">
        <f t="shared" si="53"/>
        <v>1077.3529411764691</v>
      </c>
      <c r="O87" s="256">
        <f t="shared" si="54"/>
        <v>56.702786377708904</v>
      </c>
      <c r="P87" s="100">
        <f t="shared" si="55"/>
        <v>-1</v>
      </c>
      <c r="Q87" s="139">
        <f t="shared" si="56"/>
        <v>-12.297213622291096</v>
      </c>
      <c r="R87" s="261">
        <f t="shared" si="57"/>
        <v>0.82177951272041894</v>
      </c>
      <c r="S87" s="620"/>
      <c r="T87" s="96">
        <v>0.76875000000000004</v>
      </c>
      <c r="U87" s="96">
        <v>0.81597222222222232</v>
      </c>
      <c r="V87" s="65">
        <v>23</v>
      </c>
      <c r="W87" s="88">
        <f t="shared" si="58"/>
        <v>68.000000000000085</v>
      </c>
      <c r="X87" s="99">
        <v>0.75624999999999998</v>
      </c>
      <c r="Y87" s="99">
        <v>0.76597222222222217</v>
      </c>
      <c r="Z87" s="100"/>
      <c r="AA87" s="100"/>
      <c r="AB87" s="601"/>
      <c r="AC87" s="601"/>
      <c r="AD87" s="101"/>
      <c r="AE87" s="101"/>
      <c r="AF87" s="92">
        <f t="shared" si="59"/>
        <v>-302.64705882353087</v>
      </c>
      <c r="AG87" s="94">
        <f t="shared" si="60"/>
        <v>0.78069053708439795</v>
      </c>
      <c r="AH87" s="620"/>
    </row>
    <row r="88" spans="1:34" ht="19.149999999999999" customHeight="1">
      <c r="A88" s="631"/>
      <c r="B88" s="167">
        <v>0</v>
      </c>
      <c r="C88" s="147"/>
      <c r="D88" s="262"/>
      <c r="E88" s="84"/>
      <c r="F88" s="199" t="s">
        <v>391</v>
      </c>
      <c r="G88" s="104"/>
      <c r="H88" s="135">
        <f t="shared" si="52"/>
        <v>0</v>
      </c>
      <c r="I88" s="65"/>
      <c r="J88" s="138"/>
      <c r="K88" s="104"/>
      <c r="L88" s="137"/>
      <c r="M88" s="189"/>
      <c r="N88" s="104"/>
      <c r="O88" s="256"/>
      <c r="P88" s="100"/>
      <c r="Q88" s="139"/>
      <c r="R88" s="261"/>
      <c r="S88" s="620"/>
      <c r="T88" s="96"/>
      <c r="U88" s="96"/>
      <c r="V88" s="65"/>
      <c r="W88" s="88"/>
      <c r="X88" s="99"/>
      <c r="Y88" s="99"/>
      <c r="Z88" s="100"/>
      <c r="AA88" s="100"/>
      <c r="AB88" s="601"/>
      <c r="AC88" s="601"/>
      <c r="AD88" s="101"/>
      <c r="AE88" s="101"/>
      <c r="AF88" s="92">
        <f t="shared" si="59"/>
        <v>0</v>
      </c>
      <c r="AG88" s="94" t="e">
        <f t="shared" si="60"/>
        <v>#DIV/0!</v>
      </c>
      <c r="AH88" s="620"/>
    </row>
    <row r="89" spans="1:34" ht="19.149999999999999" customHeight="1">
      <c r="A89" s="631"/>
      <c r="B89" s="167">
        <v>0</v>
      </c>
      <c r="C89" s="147"/>
      <c r="D89" s="83"/>
      <c r="E89" s="84"/>
      <c r="F89" s="199" t="s">
        <v>391</v>
      </c>
      <c r="G89" s="173"/>
      <c r="H89" s="135">
        <f t="shared" si="52"/>
        <v>0</v>
      </c>
      <c r="I89" s="65"/>
      <c r="J89" s="138"/>
      <c r="K89" s="104"/>
      <c r="L89" s="137"/>
      <c r="M89" s="189"/>
      <c r="N89" s="104"/>
      <c r="O89" s="256"/>
      <c r="P89" s="100"/>
      <c r="Q89" s="139"/>
      <c r="R89" s="261"/>
      <c r="S89" s="620"/>
      <c r="T89" s="96"/>
      <c r="U89" s="96"/>
      <c r="V89" s="65"/>
      <c r="W89" s="88"/>
      <c r="X89" s="99"/>
      <c r="Y89" s="99"/>
      <c r="Z89" s="100"/>
      <c r="AA89" s="100"/>
      <c r="AB89" s="601"/>
      <c r="AC89" s="601"/>
      <c r="AD89" s="101"/>
      <c r="AE89" s="101"/>
      <c r="AF89" s="92">
        <f t="shared" si="59"/>
        <v>0</v>
      </c>
      <c r="AG89" s="94" t="e">
        <f t="shared" si="60"/>
        <v>#DIV/0!</v>
      </c>
      <c r="AH89" s="620"/>
    </row>
    <row r="90" spans="1:34" ht="19.149999999999999" customHeight="1">
      <c r="A90" s="631"/>
      <c r="B90" s="167">
        <v>0</v>
      </c>
      <c r="C90" s="147"/>
      <c r="D90" s="83"/>
      <c r="E90" s="84"/>
      <c r="F90" s="199" t="s">
        <v>391</v>
      </c>
      <c r="G90" s="188"/>
      <c r="H90" s="135">
        <f t="shared" si="52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0"/>
      <c r="T90" s="96"/>
      <c r="U90" s="96"/>
      <c r="V90" s="65"/>
      <c r="W90" s="88"/>
      <c r="X90" s="264"/>
      <c r="Y90" s="264"/>
      <c r="Z90" s="100"/>
      <c r="AA90" s="100"/>
      <c r="AB90" s="601"/>
      <c r="AC90" s="601"/>
      <c r="AD90" s="101"/>
      <c r="AE90" s="101"/>
      <c r="AF90" s="92">
        <f t="shared" si="59"/>
        <v>0</v>
      </c>
      <c r="AG90" s="94" t="e">
        <f t="shared" si="60"/>
        <v>#DIV/0!</v>
      </c>
      <c r="AH90" s="620"/>
    </row>
    <row r="91" spans="1:34" ht="19.149999999999999" customHeight="1">
      <c r="A91" s="631"/>
      <c r="B91" s="167">
        <v>0</v>
      </c>
      <c r="C91" s="147"/>
      <c r="D91" s="83"/>
      <c r="E91" s="84"/>
      <c r="F91" s="199" t="s">
        <v>391</v>
      </c>
      <c r="G91" s="86"/>
      <c r="H91" s="135">
        <f t="shared" si="52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3"/>
      <c r="T91" s="96"/>
      <c r="U91" s="96"/>
      <c r="V91" s="65"/>
      <c r="W91" s="88"/>
      <c r="X91" s="174"/>
      <c r="Y91" s="174"/>
      <c r="Z91" s="100"/>
      <c r="AA91" s="100"/>
      <c r="AB91" s="601"/>
      <c r="AC91" s="601"/>
      <c r="AD91" s="101"/>
      <c r="AE91" s="101"/>
      <c r="AF91" s="92">
        <f t="shared" si="59"/>
        <v>0</v>
      </c>
      <c r="AG91" s="94" t="e">
        <f t="shared" si="60"/>
        <v>#DIV/0!</v>
      </c>
      <c r="AH91" s="623"/>
    </row>
    <row r="92" spans="1:34" ht="19.149999999999999" customHeight="1">
      <c r="A92" s="631"/>
      <c r="B92" s="167">
        <v>0</v>
      </c>
      <c r="C92" s="147"/>
      <c r="D92" s="83"/>
      <c r="E92" s="84"/>
      <c r="F92" s="199" t="s">
        <v>391</v>
      </c>
      <c r="G92" s="86"/>
      <c r="H92" s="135">
        <f t="shared" si="52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1"/>
      <c r="S92" s="623"/>
      <c r="T92" s="96"/>
      <c r="U92" s="96"/>
      <c r="V92" s="65"/>
      <c r="W92" s="88"/>
      <c r="X92" s="253"/>
      <c r="Y92" s="253"/>
      <c r="Z92" s="185"/>
      <c r="AA92" s="185"/>
      <c r="AB92" s="601"/>
      <c r="AC92" s="601"/>
      <c r="AD92" s="101"/>
      <c r="AE92" s="101"/>
      <c r="AF92" s="92">
        <f t="shared" si="59"/>
        <v>0</v>
      </c>
      <c r="AG92" s="94" t="e">
        <f t="shared" si="60"/>
        <v>#DIV/0!</v>
      </c>
      <c r="AH92" s="623"/>
    </row>
    <row r="93" spans="1:34" ht="19.149999999999999" customHeight="1">
      <c r="A93" s="631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2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0"/>
      <c r="S93" s="629"/>
      <c r="T93" s="111"/>
      <c r="U93" s="111"/>
      <c r="V93" s="109"/>
      <c r="W93" s="88">
        <f t="shared" si="58"/>
        <v>0</v>
      </c>
      <c r="X93" s="275"/>
      <c r="Y93" s="275"/>
      <c r="Z93" s="185"/>
      <c r="AA93" s="185"/>
      <c r="AB93" s="601"/>
      <c r="AC93" s="601"/>
      <c r="AD93" s="101"/>
      <c r="AE93" s="101"/>
      <c r="AF93" s="92">
        <f t="shared" si="59"/>
        <v>0</v>
      </c>
      <c r="AG93" s="94" t="e">
        <f t="shared" si="60"/>
        <v>#DIV/0!</v>
      </c>
      <c r="AH93" s="623"/>
    </row>
    <row r="94" spans="1:34" ht="19.149999999999999" customHeight="1">
      <c r="A94" s="631"/>
      <c r="B94" s="109">
        <v>0</v>
      </c>
      <c r="C94" s="272"/>
      <c r="D94" s="83"/>
      <c r="E94" s="84"/>
      <c r="F94" s="199" t="s">
        <v>391</v>
      </c>
      <c r="G94" s="86"/>
      <c r="H94" s="135">
        <f t="shared" si="52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0"/>
      <c r="S94" s="629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01"/>
      <c r="AC94" s="601"/>
      <c r="AD94" s="101"/>
      <c r="AE94" s="101"/>
      <c r="AF94" s="92">
        <f t="shared" si="59"/>
        <v>0</v>
      </c>
      <c r="AG94" s="94" t="e">
        <f t="shared" si="60"/>
        <v>#DIV/0!</v>
      </c>
      <c r="AH94" s="623"/>
    </row>
    <row r="95" spans="1:34" ht="19.149999999999999" customHeight="1">
      <c r="A95" s="631"/>
      <c r="B95" s="278">
        <v>0</v>
      </c>
      <c r="C95" s="156" t="s">
        <v>269</v>
      </c>
      <c r="D95" s="602" t="s">
        <v>256</v>
      </c>
      <c r="E95" s="602"/>
      <c r="F95" s="119"/>
      <c r="G95" s="120"/>
      <c r="H95" s="279"/>
      <c r="I95" s="160"/>
      <c r="J95" s="280">
        <v>16.399999999999999</v>
      </c>
      <c r="K95" s="280">
        <v>1390</v>
      </c>
      <c r="L95" s="281">
        <v>107.40233918128656</v>
      </c>
      <c r="M95" s="280">
        <f t="shared" ref="M95:O95" si="61">AVERAGE(M83:M94)</f>
        <v>16</v>
      </c>
      <c r="N95" s="280">
        <f t="shared" si="61"/>
        <v>1162.4786071032186</v>
      </c>
      <c r="O95" s="281">
        <f t="shared" si="61"/>
        <v>93.326017388087251</v>
      </c>
      <c r="P95" s="282">
        <f>M95-J95</f>
        <v>-0.39999999999999858</v>
      </c>
      <c r="Q95" s="283">
        <f t="shared" ref="Q95:Q101" si="62">O95-L95</f>
        <v>-14.076321793199313</v>
      </c>
      <c r="R95" s="284">
        <f>O95/L95</f>
        <v>0.86893840580660342</v>
      </c>
      <c r="S95" s="623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01"/>
      <c r="AC95" s="601"/>
      <c r="AD95" s="164">
        <f>SUM(AD83:AD94)</f>
        <v>0</v>
      </c>
      <c r="AE95" s="164">
        <f>SUM(AE83:AE94)</f>
        <v>0</v>
      </c>
      <c r="AF95" s="113">
        <f t="shared" si="59"/>
        <v>-227.52139289678144</v>
      </c>
      <c r="AG95" s="114">
        <f t="shared" si="60"/>
        <v>0.8363155446785745</v>
      </c>
      <c r="AH95" s="623"/>
    </row>
    <row r="96" spans="1:34" ht="19.149999999999999" customHeight="1">
      <c r="A96" s="628" t="s">
        <v>270</v>
      </c>
      <c r="B96" s="65" t="s">
        <v>388</v>
      </c>
      <c r="C96" s="152"/>
      <c r="D96" s="83" t="s">
        <v>168</v>
      </c>
      <c r="E96" s="84"/>
      <c r="F96" s="85">
        <v>36.92</v>
      </c>
      <c r="G96" s="86">
        <v>456</v>
      </c>
      <c r="H96" s="87">
        <f t="shared" ref="H96:H106" si="63">F96*G96</f>
        <v>16835.52</v>
      </c>
      <c r="I96" s="65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1" si="64">G96/W96*60</f>
        <v>1140.0000000000005</v>
      </c>
      <c r="O96" s="90">
        <f t="shared" ref="O96:O101" si="65">N96/M96</f>
        <v>228.00000000000009</v>
      </c>
      <c r="P96" s="92">
        <f t="shared" ref="P96:P101" si="66">M96-J96</f>
        <v>-1</v>
      </c>
      <c r="Q96" s="93">
        <f t="shared" si="62"/>
        <v>-21.999999999999915</v>
      </c>
      <c r="R96" s="94">
        <f t="shared" ref="R96:R101" si="67">O96/L96</f>
        <v>0.91200000000000037</v>
      </c>
      <c r="S96" s="620">
        <f>R108</f>
        <v>0.85505940793028468</v>
      </c>
      <c r="T96" s="142">
        <v>0.29166666666666669</v>
      </c>
      <c r="U96" s="142">
        <v>0.30833333333333335</v>
      </c>
      <c r="V96" s="101">
        <v>5</v>
      </c>
      <c r="W96" s="143">
        <f t="shared" ref="W96:W122" si="68">(U96-T96)*24*60</f>
        <v>23.999999999999993</v>
      </c>
      <c r="X96" s="151"/>
      <c r="Y96" s="151"/>
      <c r="Z96" s="100"/>
      <c r="AA96" s="100"/>
      <c r="AB96" s="601"/>
      <c r="AC96" s="601"/>
      <c r="AD96" s="101"/>
      <c r="AE96" s="101"/>
      <c r="AF96" s="100">
        <f t="shared" si="59"/>
        <v>-359.99999999999955</v>
      </c>
      <c r="AG96" s="140">
        <f t="shared" si="60"/>
        <v>0.76000000000000034</v>
      </c>
      <c r="AH96" s="605">
        <f>AG108</f>
        <v>0.95878607952133466</v>
      </c>
    </row>
    <row r="97" spans="1:34" s="294" customFormat="1" ht="19.149999999999999" customHeight="1">
      <c r="A97" s="628"/>
      <c r="B97" s="65" t="s">
        <v>389</v>
      </c>
      <c r="C97" s="285"/>
      <c r="D97" s="286" t="s">
        <v>169</v>
      </c>
      <c r="E97" s="103"/>
      <c r="F97" s="287">
        <v>24.73</v>
      </c>
      <c r="G97" s="288">
        <v>2414</v>
      </c>
      <c r="H97" s="289">
        <f t="shared" si="63"/>
        <v>59698.22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4"/>
        <v>2099.130434782609</v>
      </c>
      <c r="O97" s="90">
        <f t="shared" si="65"/>
        <v>419.82608695652181</v>
      </c>
      <c r="P97" s="92">
        <f t="shared" si="66"/>
        <v>1</v>
      </c>
      <c r="Q97" s="93">
        <f t="shared" si="62"/>
        <v>-80.173913043478194</v>
      </c>
      <c r="R97" s="94">
        <f t="shared" si="67"/>
        <v>0.83965217391304359</v>
      </c>
      <c r="S97" s="620"/>
      <c r="T97" s="290">
        <v>0.31319444444444444</v>
      </c>
      <c r="U97" s="290">
        <v>0.3611111111111111</v>
      </c>
      <c r="V97" s="291">
        <v>7</v>
      </c>
      <c r="W97" s="143">
        <f t="shared" si="68"/>
        <v>69</v>
      </c>
      <c r="X97" s="99"/>
      <c r="Y97" s="99"/>
      <c r="Z97" s="100"/>
      <c r="AA97" s="100"/>
      <c r="AB97" s="601"/>
      <c r="AC97" s="601"/>
      <c r="AD97" s="291"/>
      <c r="AE97" s="291"/>
      <c r="AF97" s="292">
        <f t="shared" si="59"/>
        <v>99.130434782608972</v>
      </c>
      <c r="AG97" s="293">
        <f t="shared" si="60"/>
        <v>1.0495652173913046</v>
      </c>
      <c r="AH97" s="605"/>
    </row>
    <row r="98" spans="1:34" s="298" customFormat="1" ht="19.149999999999999" customHeight="1">
      <c r="A98" s="628"/>
      <c r="B98" s="65" t="s">
        <v>389</v>
      </c>
      <c r="C98" s="102"/>
      <c r="D98" s="83" t="s">
        <v>170</v>
      </c>
      <c r="E98" s="133"/>
      <c r="F98" s="287">
        <v>24.73</v>
      </c>
      <c r="G98" s="104">
        <v>2040</v>
      </c>
      <c r="H98" s="289">
        <f t="shared" si="63"/>
        <v>50449.200000000004</v>
      </c>
      <c r="I98" s="101"/>
      <c r="J98" s="89">
        <v>4</v>
      </c>
      <c r="K98" s="86">
        <v>2000</v>
      </c>
      <c r="L98" s="90">
        <v>500</v>
      </c>
      <c r="M98" s="138">
        <v>5</v>
      </c>
      <c r="N98" s="86">
        <f t="shared" si="64"/>
        <v>2110.3448275862056</v>
      </c>
      <c r="O98" s="90">
        <f t="shared" si="65"/>
        <v>422.06896551724111</v>
      </c>
      <c r="P98" s="92">
        <f t="shared" si="66"/>
        <v>1</v>
      </c>
      <c r="Q98" s="93">
        <f t="shared" si="62"/>
        <v>-77.931034482758889</v>
      </c>
      <c r="R98" s="94">
        <f t="shared" si="67"/>
        <v>0.8441379310344822</v>
      </c>
      <c r="S98" s="620"/>
      <c r="T98" s="142">
        <v>0.37638888888888888</v>
      </c>
      <c r="U98" s="142">
        <v>0.41666666666666669</v>
      </c>
      <c r="V98" s="101">
        <v>22</v>
      </c>
      <c r="W98" s="143">
        <f t="shared" si="68"/>
        <v>58.000000000000036</v>
      </c>
      <c r="X98" s="295">
        <v>0.36458333333333331</v>
      </c>
      <c r="Y98" s="295">
        <v>0.37361111111111112</v>
      </c>
      <c r="Z98" s="296"/>
      <c r="AA98" s="296"/>
      <c r="AB98" s="601"/>
      <c r="AC98" s="601"/>
      <c r="AD98" s="101"/>
      <c r="AE98" s="101"/>
      <c r="AF98" s="297">
        <f t="shared" si="59"/>
        <v>110.34482758620561</v>
      </c>
      <c r="AG98" s="94">
        <f t="shared" si="60"/>
        <v>1.0551724137931029</v>
      </c>
      <c r="AH98" s="605"/>
    </row>
    <row r="99" spans="1:34" ht="19.149999999999999" customHeight="1">
      <c r="A99" s="628"/>
      <c r="B99" s="65" t="s">
        <v>389</v>
      </c>
      <c r="C99" s="131"/>
      <c r="D99" s="132" t="s">
        <v>172</v>
      </c>
      <c r="E99" s="133"/>
      <c r="F99" s="287">
        <v>22.27</v>
      </c>
      <c r="G99" s="104">
        <v>954</v>
      </c>
      <c r="H99" s="289">
        <f t="shared" si="63"/>
        <v>21245.579999999998</v>
      </c>
      <c r="I99" s="101"/>
      <c r="J99" s="89">
        <v>4</v>
      </c>
      <c r="K99" s="86">
        <v>2000</v>
      </c>
      <c r="L99" s="90">
        <v>500</v>
      </c>
      <c r="M99" s="91">
        <v>5</v>
      </c>
      <c r="N99" s="86">
        <f t="shared" si="64"/>
        <v>2120.0000000000009</v>
      </c>
      <c r="O99" s="90">
        <f t="shared" si="65"/>
        <v>424.00000000000017</v>
      </c>
      <c r="P99" s="92">
        <f t="shared" si="66"/>
        <v>1</v>
      </c>
      <c r="Q99" s="93">
        <f t="shared" si="62"/>
        <v>-75.999999999999829</v>
      </c>
      <c r="R99" s="94">
        <f t="shared" si="67"/>
        <v>0.84800000000000031</v>
      </c>
      <c r="S99" s="620"/>
      <c r="T99" s="142">
        <v>0.42152777777777778</v>
      </c>
      <c r="U99" s="142">
        <v>0.44027777777777777</v>
      </c>
      <c r="V99" s="101">
        <v>7</v>
      </c>
      <c r="W99" s="143">
        <f t="shared" si="68"/>
        <v>26.999999999999986</v>
      </c>
      <c r="X99" s="253"/>
      <c r="Y99" s="253"/>
      <c r="Z99" s="185"/>
      <c r="AA99" s="185"/>
      <c r="AB99" s="601"/>
      <c r="AC99" s="601"/>
      <c r="AD99" s="101"/>
      <c r="AE99" s="101"/>
      <c r="AF99" s="92">
        <f t="shared" si="59"/>
        <v>120.00000000000091</v>
      </c>
      <c r="AG99" s="186">
        <f t="shared" si="60"/>
        <v>1.0600000000000005</v>
      </c>
      <c r="AH99" s="605"/>
    </row>
    <row r="100" spans="1:34" s="298" customFormat="1" ht="19.149999999999999" customHeight="1">
      <c r="A100" s="628"/>
      <c r="B100" s="65" t="s">
        <v>390</v>
      </c>
      <c r="C100" s="102"/>
      <c r="D100" s="83" t="s">
        <v>174</v>
      </c>
      <c r="E100" s="133"/>
      <c r="F100" s="287">
        <v>53.68</v>
      </c>
      <c r="G100" s="104">
        <v>943</v>
      </c>
      <c r="H100" s="289">
        <f t="shared" si="63"/>
        <v>50620.24</v>
      </c>
      <c r="I100" s="101"/>
      <c r="J100" s="89">
        <v>16</v>
      </c>
      <c r="K100" s="86">
        <v>1500</v>
      </c>
      <c r="L100" s="90">
        <v>93.75</v>
      </c>
      <c r="M100" s="138">
        <v>16</v>
      </c>
      <c r="N100" s="86">
        <f t="shared" si="64"/>
        <v>1315.8139534883719</v>
      </c>
      <c r="O100" s="90">
        <f t="shared" si="65"/>
        <v>82.238372093023244</v>
      </c>
      <c r="P100" s="92">
        <f t="shared" si="66"/>
        <v>0</v>
      </c>
      <c r="Q100" s="93">
        <f t="shared" si="62"/>
        <v>-11.511627906976756</v>
      </c>
      <c r="R100" s="94">
        <f t="shared" si="67"/>
        <v>0.87720930232558125</v>
      </c>
      <c r="S100" s="620"/>
      <c r="T100" s="290">
        <v>0.48124999999999996</v>
      </c>
      <c r="U100" s="290">
        <v>0.51111111111111107</v>
      </c>
      <c r="V100" s="291">
        <v>6</v>
      </c>
      <c r="W100" s="143">
        <f t="shared" si="68"/>
        <v>43.000000000000007</v>
      </c>
      <c r="X100" s="299"/>
      <c r="Y100" s="299"/>
      <c r="Z100" s="296"/>
      <c r="AA100" s="296"/>
      <c r="AB100" s="601"/>
      <c r="AC100" s="601"/>
      <c r="AD100" s="101"/>
      <c r="AE100" s="101"/>
      <c r="AF100" s="297">
        <f t="shared" si="59"/>
        <v>-184.18604651162809</v>
      </c>
      <c r="AG100" s="94">
        <f t="shared" si="60"/>
        <v>0.87720930232558125</v>
      </c>
      <c r="AH100" s="605"/>
    </row>
    <row r="101" spans="1:34" s="298" customFormat="1" ht="19.149999999999999" customHeight="1">
      <c r="A101" s="628"/>
      <c r="B101" s="65" t="s">
        <v>390</v>
      </c>
      <c r="C101" s="102"/>
      <c r="D101" s="132" t="s">
        <v>175</v>
      </c>
      <c r="E101" s="133"/>
      <c r="F101" s="287">
        <v>57.734999999999999</v>
      </c>
      <c r="G101" s="104">
        <v>1882</v>
      </c>
      <c r="H101" s="289">
        <f t="shared" si="63"/>
        <v>108657.27</v>
      </c>
      <c r="I101" s="101"/>
      <c r="J101" s="89">
        <v>16</v>
      </c>
      <c r="K101" s="86">
        <v>1565</v>
      </c>
      <c r="L101" s="90">
        <v>97.8125</v>
      </c>
      <c r="M101" s="138">
        <v>16</v>
      </c>
      <c r="N101" s="86">
        <f t="shared" si="64"/>
        <v>1344.2857142857138</v>
      </c>
      <c r="O101" s="90">
        <f t="shared" si="65"/>
        <v>84.01785714285711</v>
      </c>
      <c r="P101" s="92">
        <f t="shared" si="66"/>
        <v>0</v>
      </c>
      <c r="Q101" s="93">
        <f t="shared" si="62"/>
        <v>-13.79464285714289</v>
      </c>
      <c r="R101" s="94">
        <f t="shared" si="67"/>
        <v>0.85896850753080756</v>
      </c>
      <c r="S101" s="620"/>
      <c r="T101" s="290">
        <v>0.51666666666666661</v>
      </c>
      <c r="U101" s="142">
        <v>0.57499999999999996</v>
      </c>
      <c r="V101" s="291">
        <v>8</v>
      </c>
      <c r="W101" s="143">
        <f t="shared" si="68"/>
        <v>84.000000000000028</v>
      </c>
      <c r="X101" s="300"/>
      <c r="Y101" s="300"/>
      <c r="Z101" s="296"/>
      <c r="AA101" s="296"/>
      <c r="AB101" s="601"/>
      <c r="AC101" s="601"/>
      <c r="AD101" s="101"/>
      <c r="AE101" s="101"/>
      <c r="AF101" s="92">
        <f t="shared" si="59"/>
        <v>-220.71428571428623</v>
      </c>
      <c r="AG101" s="186">
        <f t="shared" si="60"/>
        <v>0.85896850753080756</v>
      </c>
      <c r="AH101" s="605"/>
    </row>
    <row r="102" spans="1:34" s="298" customFormat="1" ht="19.149999999999999" customHeight="1">
      <c r="A102" s="628"/>
      <c r="B102" s="65">
        <v>0</v>
      </c>
      <c r="C102" s="248"/>
      <c r="D102" s="249"/>
      <c r="E102" s="250"/>
      <c r="F102" s="287" t="s">
        <v>391</v>
      </c>
      <c r="G102" s="104"/>
      <c r="H102" s="289">
        <f t="shared" si="63"/>
        <v>0</v>
      </c>
      <c r="I102" s="65"/>
      <c r="J102" s="89"/>
      <c r="K102" s="86"/>
      <c r="L102" s="90"/>
      <c r="M102" s="138"/>
      <c r="N102" s="86"/>
      <c r="O102" s="90"/>
      <c r="P102" s="92"/>
      <c r="Q102" s="93"/>
      <c r="R102" s="94"/>
      <c r="S102" s="620"/>
      <c r="T102" s="290"/>
      <c r="U102" s="290"/>
      <c r="V102" s="291"/>
      <c r="W102" s="143"/>
      <c r="X102" s="300"/>
      <c r="Y102" s="300"/>
      <c r="Z102" s="296"/>
      <c r="AA102" s="296"/>
      <c r="AB102" s="601"/>
      <c r="AC102" s="601"/>
      <c r="AD102" s="101"/>
      <c r="AE102" s="101"/>
      <c r="AF102" s="297">
        <f t="shared" si="59"/>
        <v>0</v>
      </c>
      <c r="AG102" s="94" t="e">
        <f t="shared" si="60"/>
        <v>#DIV/0!</v>
      </c>
      <c r="AH102" s="605"/>
    </row>
    <row r="103" spans="1:34" s="298" customFormat="1" ht="19.149999999999999" customHeight="1">
      <c r="A103" s="628"/>
      <c r="B103" s="65">
        <v>0</v>
      </c>
      <c r="C103" s="301"/>
      <c r="D103" s="132"/>
      <c r="E103" s="133"/>
      <c r="F103" s="287" t="s">
        <v>391</v>
      </c>
      <c r="G103" s="104"/>
      <c r="H103" s="289">
        <f t="shared" si="63"/>
        <v>0</v>
      </c>
      <c r="I103" s="302"/>
      <c r="J103" s="89"/>
      <c r="K103" s="86"/>
      <c r="L103" s="90"/>
      <c r="M103" s="138"/>
      <c r="N103" s="86"/>
      <c r="O103" s="90"/>
      <c r="P103" s="92"/>
      <c r="Q103" s="93"/>
      <c r="R103" s="94"/>
      <c r="S103" s="620"/>
      <c r="T103" s="290"/>
      <c r="U103" s="290"/>
      <c r="V103" s="291"/>
      <c r="W103" s="143"/>
      <c r="X103" s="300"/>
      <c r="Y103" s="300"/>
      <c r="Z103" s="296"/>
      <c r="AA103" s="296"/>
      <c r="AB103" s="601"/>
      <c r="AC103" s="601"/>
      <c r="AD103" s="101"/>
      <c r="AE103" s="101"/>
      <c r="AF103" s="92">
        <f t="shared" si="59"/>
        <v>0</v>
      </c>
      <c r="AG103" s="186" t="e">
        <f t="shared" si="60"/>
        <v>#DIV/0!</v>
      </c>
      <c r="AH103" s="605"/>
    </row>
    <row r="104" spans="1:34" s="298" customFormat="1" ht="19.149999999999999" customHeight="1">
      <c r="A104" s="628"/>
      <c r="B104" s="65">
        <v>0</v>
      </c>
      <c r="C104" s="303"/>
      <c r="D104" s="132"/>
      <c r="E104" s="133"/>
      <c r="F104" s="287" t="s">
        <v>391</v>
      </c>
      <c r="G104" s="288"/>
      <c r="H104" s="289">
        <f t="shared" si="63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4"/>
      <c r="S104" s="623"/>
      <c r="T104" s="290"/>
      <c r="U104" s="290"/>
      <c r="V104" s="291"/>
      <c r="W104" s="143"/>
      <c r="X104" s="300"/>
      <c r="Y104" s="300"/>
      <c r="Z104" s="296"/>
      <c r="AA104" s="296"/>
      <c r="AB104" s="601"/>
      <c r="AC104" s="601"/>
      <c r="AD104" s="101"/>
      <c r="AE104" s="101"/>
      <c r="AF104" s="297">
        <f t="shared" si="59"/>
        <v>0</v>
      </c>
      <c r="AG104" s="94" t="e">
        <f t="shared" si="60"/>
        <v>#DIV/0!</v>
      </c>
      <c r="AH104" s="605"/>
    </row>
    <row r="105" spans="1:34" s="298" customFormat="1" ht="19.149999999999999" customHeight="1">
      <c r="A105" s="628"/>
      <c r="B105" s="65">
        <v>0</v>
      </c>
      <c r="C105" s="303"/>
      <c r="D105" s="132"/>
      <c r="E105" s="133"/>
      <c r="F105" s="287" t="s">
        <v>391</v>
      </c>
      <c r="G105" s="288"/>
      <c r="H105" s="289">
        <f t="shared" si="63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4"/>
      <c r="S105" s="623"/>
      <c r="T105" s="290"/>
      <c r="U105" s="290"/>
      <c r="V105" s="291"/>
      <c r="W105" s="143">
        <f t="shared" si="68"/>
        <v>0</v>
      </c>
      <c r="X105" s="300"/>
      <c r="Y105" s="300"/>
      <c r="Z105" s="296"/>
      <c r="AA105" s="296"/>
      <c r="AB105" s="601"/>
      <c r="AC105" s="601"/>
      <c r="AD105" s="101"/>
      <c r="AE105" s="101"/>
      <c r="AF105" s="296"/>
      <c r="AG105" s="140"/>
      <c r="AH105" s="605"/>
    </row>
    <row r="106" spans="1:34" s="298" customFormat="1" ht="19.149999999999999" customHeight="1">
      <c r="A106" s="628"/>
      <c r="B106" s="65">
        <v>0</v>
      </c>
      <c r="C106" s="303"/>
      <c r="D106" s="132"/>
      <c r="E106" s="133"/>
      <c r="F106" s="85" t="s">
        <v>391</v>
      </c>
      <c r="G106" s="288"/>
      <c r="H106" s="289">
        <f t="shared" si="63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0"/>
      <c r="S106" s="629"/>
      <c r="T106" s="290"/>
      <c r="U106" s="290"/>
      <c r="V106" s="291"/>
      <c r="W106" s="143">
        <f t="shared" si="68"/>
        <v>0</v>
      </c>
      <c r="X106" s="300"/>
      <c r="Y106" s="300"/>
      <c r="Z106" s="296"/>
      <c r="AA106" s="296"/>
      <c r="AB106" s="601"/>
      <c r="AC106" s="601"/>
      <c r="AD106" s="101"/>
      <c r="AE106" s="101"/>
      <c r="AF106" s="296"/>
      <c r="AG106" s="140"/>
      <c r="AH106" s="605"/>
    </row>
    <row r="107" spans="1:34" s="298" customFormat="1" ht="19.149999999999999" customHeight="1">
      <c r="A107" s="628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0"/>
      <c r="S107" s="629"/>
      <c r="T107" s="290"/>
      <c r="U107" s="290"/>
      <c r="V107" s="291"/>
      <c r="W107" s="143">
        <f t="shared" si="68"/>
        <v>0</v>
      </c>
      <c r="X107" s="300"/>
      <c r="Y107" s="300"/>
      <c r="Z107" s="296"/>
      <c r="AA107" s="296"/>
      <c r="AB107" s="601"/>
      <c r="AC107" s="601"/>
      <c r="AD107" s="101"/>
      <c r="AE107" s="101"/>
      <c r="AF107" s="296"/>
      <c r="AG107" s="140"/>
      <c r="AH107" s="605"/>
    </row>
    <row r="108" spans="1:34" ht="19.149999999999999" customHeight="1">
      <c r="A108" s="628"/>
      <c r="B108" s="167">
        <v>0</v>
      </c>
      <c r="C108" s="156" t="s">
        <v>271</v>
      </c>
      <c r="D108" s="602" t="s">
        <v>256</v>
      </c>
      <c r="E108" s="602"/>
      <c r="F108" s="307"/>
      <c r="G108" s="158"/>
      <c r="H108" s="159"/>
      <c r="I108" s="160"/>
      <c r="J108" s="158">
        <v>8.3333333333333339</v>
      </c>
      <c r="K108" s="158">
        <v>1760.8333333333333</v>
      </c>
      <c r="L108" s="161">
        <v>323.59375</v>
      </c>
      <c r="M108" s="158">
        <f t="shared" ref="M108:O108" si="69">AVERAGE(M96:M107)</f>
        <v>8.6666666666666661</v>
      </c>
      <c r="N108" s="158">
        <f t="shared" si="69"/>
        <v>1688.26248835715</v>
      </c>
      <c r="O108" s="161">
        <f t="shared" si="69"/>
        <v>276.69188028494057</v>
      </c>
      <c r="P108" s="100">
        <f t="shared" ref="P108:P115" si="70">M108-J108</f>
        <v>0.33333333333333215</v>
      </c>
      <c r="Q108" s="139">
        <f t="shared" ref="Q108:Q115" si="71">O108-L108</f>
        <v>-46.901869715059433</v>
      </c>
      <c r="R108" s="162">
        <f t="shared" ref="R108:R115" si="72">O108/L108</f>
        <v>0.85505940793028468</v>
      </c>
      <c r="S108" s="623"/>
      <c r="T108" s="142"/>
      <c r="U108" s="142"/>
      <c r="V108" s="104"/>
      <c r="W108" s="143">
        <f t="shared" si="68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01"/>
      <c r="AC108" s="601"/>
      <c r="AD108" s="164">
        <f>SUM(AD96:AD107)</f>
        <v>0</v>
      </c>
      <c r="AE108" s="164">
        <f>SUM(AE96:AE107)</f>
        <v>0</v>
      </c>
      <c r="AF108" s="100">
        <f t="shared" si="59"/>
        <v>-72.570844976183253</v>
      </c>
      <c r="AG108" s="140">
        <f t="shared" si="60"/>
        <v>0.95878607952133466</v>
      </c>
      <c r="AH108" s="605"/>
    </row>
    <row r="109" spans="1:34" ht="19.149999999999999" customHeight="1">
      <c r="A109" s="624" t="s">
        <v>272</v>
      </c>
      <c r="B109" s="65" t="s">
        <v>390</v>
      </c>
      <c r="C109" s="147"/>
      <c r="D109" s="249" t="s">
        <v>177</v>
      </c>
      <c r="E109" s="84"/>
      <c r="F109" s="85">
        <v>56.43</v>
      </c>
      <c r="G109" s="86">
        <v>989</v>
      </c>
      <c r="H109" s="87">
        <f t="shared" ref="H109:H118" si="73">F109*G109</f>
        <v>55809.27</v>
      </c>
      <c r="I109" s="65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5" si="74">G109/W109*60</f>
        <v>1412.8571428571424</v>
      </c>
      <c r="O109" s="90">
        <f t="shared" ref="O109:O115" si="75">N109/M109</f>
        <v>78.492063492063465</v>
      </c>
      <c r="P109" s="92">
        <f t="shared" si="70"/>
        <v>0</v>
      </c>
      <c r="Q109" s="93">
        <f t="shared" si="71"/>
        <v>-4.8412698412698632</v>
      </c>
      <c r="R109" s="94">
        <f t="shared" si="72"/>
        <v>0.94190476190476169</v>
      </c>
      <c r="S109" s="627">
        <f>R121</f>
        <v>0.86122965060161272</v>
      </c>
      <c r="T109" s="308">
        <v>0.5</v>
      </c>
      <c r="U109" s="308">
        <v>0.52916666666666667</v>
      </c>
      <c r="V109" s="309">
        <v>5</v>
      </c>
      <c r="W109" s="88">
        <f t="shared" si="68"/>
        <v>42.000000000000014</v>
      </c>
      <c r="X109" s="99"/>
      <c r="Y109" s="99"/>
      <c r="Z109" s="100"/>
      <c r="AA109" s="100"/>
      <c r="AB109" s="601"/>
      <c r="AC109" s="601"/>
      <c r="AD109" s="101"/>
      <c r="AE109" s="101"/>
      <c r="AF109" s="92">
        <f t="shared" si="59"/>
        <v>-87.142857142857565</v>
      </c>
      <c r="AG109" s="186">
        <f t="shared" si="60"/>
        <v>0.94190476190476158</v>
      </c>
      <c r="AH109" s="605">
        <f>AG121</f>
        <v>0.85639144164986991</v>
      </c>
    </row>
    <row r="110" spans="1:34" ht="19.149999999999999" customHeight="1">
      <c r="A110" s="625"/>
      <c r="B110" s="65" t="s">
        <v>390</v>
      </c>
      <c r="C110" s="248"/>
      <c r="D110" s="83" t="s">
        <v>178</v>
      </c>
      <c r="E110" s="250"/>
      <c r="F110" s="85">
        <v>54.09</v>
      </c>
      <c r="G110" s="247">
        <v>1059</v>
      </c>
      <c r="H110" s="87">
        <f t="shared" si="73"/>
        <v>57281.310000000005</v>
      </c>
      <c r="I110" s="65"/>
      <c r="J110" s="89">
        <v>20</v>
      </c>
      <c r="K110" s="86">
        <v>1500</v>
      </c>
      <c r="L110" s="90">
        <v>75</v>
      </c>
      <c r="M110" s="91">
        <v>20</v>
      </c>
      <c r="N110" s="86">
        <f t="shared" si="74"/>
        <v>1296.7346938775513</v>
      </c>
      <c r="O110" s="90">
        <f t="shared" si="75"/>
        <v>64.83673469387756</v>
      </c>
      <c r="P110" s="92">
        <f t="shared" si="70"/>
        <v>0</v>
      </c>
      <c r="Q110" s="93">
        <f t="shared" si="71"/>
        <v>-10.16326530612244</v>
      </c>
      <c r="R110" s="94">
        <f t="shared" si="72"/>
        <v>0.8644897959183675</v>
      </c>
      <c r="S110" s="616"/>
      <c r="T110" s="308">
        <v>0.53402777777777777</v>
      </c>
      <c r="U110" s="308">
        <v>0.56805555555555554</v>
      </c>
      <c r="V110" s="309">
        <v>7</v>
      </c>
      <c r="W110" s="88">
        <f t="shared" si="68"/>
        <v>48.999999999999986</v>
      </c>
      <c r="X110" s="264"/>
      <c r="Y110" s="264"/>
      <c r="Z110" s="100"/>
      <c r="AA110" s="100"/>
      <c r="AB110" s="601"/>
      <c r="AC110" s="601"/>
      <c r="AD110" s="101"/>
      <c r="AE110" s="101"/>
      <c r="AF110" s="165">
        <f t="shared" si="59"/>
        <v>-203.26530612244869</v>
      </c>
      <c r="AG110" s="186">
        <f t="shared" si="60"/>
        <v>0.8644897959183675</v>
      </c>
      <c r="AH110" s="605"/>
    </row>
    <row r="111" spans="1:34" ht="19.149999999999999" customHeight="1">
      <c r="A111" s="625"/>
      <c r="B111" s="65" t="s">
        <v>390</v>
      </c>
      <c r="C111" s="248"/>
      <c r="D111" s="83" t="s">
        <v>179</v>
      </c>
      <c r="E111" s="250"/>
      <c r="F111" s="85">
        <v>51.75</v>
      </c>
      <c r="G111" s="104">
        <v>974.25</v>
      </c>
      <c r="H111" s="87">
        <f t="shared" si="73"/>
        <v>50417.4375</v>
      </c>
      <c r="I111" s="65"/>
      <c r="J111" s="89">
        <v>21</v>
      </c>
      <c r="K111" s="86">
        <v>1500</v>
      </c>
      <c r="L111" s="90">
        <v>71.428571428571431</v>
      </c>
      <c r="M111" s="310">
        <v>20</v>
      </c>
      <c r="N111" s="86">
        <f t="shared" si="74"/>
        <v>1169.1000000000004</v>
      </c>
      <c r="O111" s="90">
        <f t="shared" si="75"/>
        <v>58.45500000000002</v>
      </c>
      <c r="P111" s="92">
        <f t="shared" si="70"/>
        <v>-1</v>
      </c>
      <c r="Q111" s="93">
        <f t="shared" si="71"/>
        <v>-12.973571428571411</v>
      </c>
      <c r="R111" s="94">
        <f t="shared" si="72"/>
        <v>0.81837000000000026</v>
      </c>
      <c r="S111" s="616"/>
      <c r="T111" s="308">
        <v>0.58402777777777781</v>
      </c>
      <c r="U111" s="308">
        <v>0.61875000000000002</v>
      </c>
      <c r="V111" s="309">
        <v>23</v>
      </c>
      <c r="W111" s="88">
        <f t="shared" si="68"/>
        <v>49.999999999999986</v>
      </c>
      <c r="X111" s="99">
        <v>0.57152777777777775</v>
      </c>
      <c r="Y111" s="99">
        <v>0.58124999999999993</v>
      </c>
      <c r="Z111" s="100"/>
      <c r="AA111" s="100"/>
      <c r="AB111" s="601"/>
      <c r="AC111" s="601"/>
      <c r="AD111" s="101"/>
      <c r="AE111" s="101"/>
      <c r="AF111" s="92">
        <f t="shared" si="59"/>
        <v>-330.89999999999964</v>
      </c>
      <c r="AG111" s="186">
        <f t="shared" si="60"/>
        <v>0.7794000000000002</v>
      </c>
      <c r="AH111" s="605"/>
    </row>
    <row r="112" spans="1:34" ht="19.149999999999999" customHeight="1">
      <c r="A112" s="625"/>
      <c r="B112" s="65" t="s">
        <v>390</v>
      </c>
      <c r="C112" s="248"/>
      <c r="D112" s="249" t="s">
        <v>180</v>
      </c>
      <c r="E112" s="250"/>
      <c r="F112" s="85">
        <v>54.29</v>
      </c>
      <c r="G112" s="104">
        <v>1144</v>
      </c>
      <c r="H112" s="87">
        <f t="shared" si="73"/>
        <v>62107.76</v>
      </c>
      <c r="I112" s="101"/>
      <c r="J112" s="89">
        <v>16</v>
      </c>
      <c r="K112" s="86">
        <v>1440</v>
      </c>
      <c r="L112" s="90">
        <v>90</v>
      </c>
      <c r="M112" s="310">
        <v>16</v>
      </c>
      <c r="N112" s="86">
        <f t="shared" si="74"/>
        <v>1271.1111111111118</v>
      </c>
      <c r="O112" s="90">
        <f t="shared" si="75"/>
        <v>79.444444444444485</v>
      </c>
      <c r="P112" s="92">
        <f t="shared" si="70"/>
        <v>0</v>
      </c>
      <c r="Q112" s="93">
        <f t="shared" si="71"/>
        <v>-10.555555555555515</v>
      </c>
      <c r="R112" s="94">
        <f t="shared" si="72"/>
        <v>0.88271604938271653</v>
      </c>
      <c r="S112" s="616"/>
      <c r="T112" s="308">
        <v>0.70833333333333337</v>
      </c>
      <c r="U112" s="308">
        <v>0.74583333333333335</v>
      </c>
      <c r="V112" s="309">
        <v>5</v>
      </c>
      <c r="W112" s="88">
        <f t="shared" si="68"/>
        <v>53.999999999999972</v>
      </c>
      <c r="X112" s="99"/>
      <c r="Y112" s="99"/>
      <c r="Z112" s="100"/>
      <c r="AA112" s="100"/>
      <c r="AB112" s="601"/>
      <c r="AC112" s="601"/>
      <c r="AD112" s="101"/>
      <c r="AE112" s="101"/>
      <c r="AF112" s="92">
        <f t="shared" si="59"/>
        <v>-168.88888888888823</v>
      </c>
      <c r="AG112" s="186">
        <f t="shared" si="60"/>
        <v>0.88271604938271653</v>
      </c>
      <c r="AH112" s="605"/>
    </row>
    <row r="113" spans="1:34" s="298" customFormat="1" ht="19.149999999999999" customHeight="1">
      <c r="A113" s="625"/>
      <c r="B113" s="65" t="s">
        <v>390</v>
      </c>
      <c r="C113" s="248"/>
      <c r="D113" s="249" t="s">
        <v>181</v>
      </c>
      <c r="E113" s="250"/>
      <c r="F113" s="85">
        <v>55.32</v>
      </c>
      <c r="G113" s="104">
        <v>527</v>
      </c>
      <c r="H113" s="87">
        <f t="shared" si="73"/>
        <v>29153.64</v>
      </c>
      <c r="I113" s="101"/>
      <c r="J113" s="89">
        <v>15</v>
      </c>
      <c r="K113" s="86">
        <v>1440</v>
      </c>
      <c r="L113" s="90">
        <v>96</v>
      </c>
      <c r="M113" s="310">
        <v>15</v>
      </c>
      <c r="N113" s="86">
        <f t="shared" si="74"/>
        <v>1090.3448275862047</v>
      </c>
      <c r="O113" s="90">
        <f t="shared" si="75"/>
        <v>72.689655172413651</v>
      </c>
      <c r="P113" s="92">
        <f t="shared" si="70"/>
        <v>0</v>
      </c>
      <c r="Q113" s="93">
        <f t="shared" si="71"/>
        <v>-23.310344827586349</v>
      </c>
      <c r="R113" s="94">
        <f t="shared" si="72"/>
        <v>0.75718390804597557</v>
      </c>
      <c r="S113" s="616"/>
      <c r="T113" s="308">
        <v>0.75</v>
      </c>
      <c r="U113" s="308">
        <v>0.77013888888888893</v>
      </c>
      <c r="V113" s="309">
        <v>6</v>
      </c>
      <c r="W113" s="88">
        <f t="shared" si="68"/>
        <v>29.000000000000057</v>
      </c>
      <c r="X113" s="295"/>
      <c r="Y113" s="295"/>
      <c r="Z113" s="296"/>
      <c r="AA113" s="296"/>
      <c r="AB113" s="601"/>
      <c r="AC113" s="601"/>
      <c r="AD113" s="301"/>
      <c r="AE113" s="301"/>
      <c r="AF113" s="165">
        <f t="shared" si="59"/>
        <v>-349.6551724137953</v>
      </c>
      <c r="AG113" s="186">
        <f t="shared" si="60"/>
        <v>0.75718390804597546</v>
      </c>
      <c r="AH113" s="605"/>
    </row>
    <row r="114" spans="1:34" s="298" customFormat="1" ht="19.149999999999999" customHeight="1">
      <c r="A114" s="625"/>
      <c r="B114" s="65" t="s">
        <v>390</v>
      </c>
      <c r="C114" s="248"/>
      <c r="D114" s="249" t="s">
        <v>182</v>
      </c>
      <c r="E114" s="250"/>
      <c r="F114" s="85">
        <v>55.56</v>
      </c>
      <c r="G114" s="104">
        <v>810</v>
      </c>
      <c r="H114" s="87">
        <f t="shared" si="73"/>
        <v>45003.6</v>
      </c>
      <c r="I114" s="101"/>
      <c r="J114" s="89">
        <v>16</v>
      </c>
      <c r="K114" s="86">
        <v>1440</v>
      </c>
      <c r="L114" s="90">
        <v>90</v>
      </c>
      <c r="M114" s="310">
        <v>16</v>
      </c>
      <c r="N114" s="86">
        <f t="shared" si="74"/>
        <v>1278.9473684210516</v>
      </c>
      <c r="O114" s="90">
        <f t="shared" si="75"/>
        <v>79.934210526315724</v>
      </c>
      <c r="P114" s="92">
        <f t="shared" si="70"/>
        <v>0</v>
      </c>
      <c r="Q114" s="93">
        <f t="shared" si="71"/>
        <v>-10.065789473684276</v>
      </c>
      <c r="R114" s="94">
        <f t="shared" si="72"/>
        <v>0.88815789473684137</v>
      </c>
      <c r="S114" s="616"/>
      <c r="T114" s="308">
        <v>0.77500000000000002</v>
      </c>
      <c r="U114" s="308">
        <v>0.80138888888888893</v>
      </c>
      <c r="V114" s="309">
        <v>7</v>
      </c>
      <c r="W114" s="88">
        <f t="shared" si="68"/>
        <v>38.000000000000028</v>
      </c>
      <c r="X114" s="295"/>
      <c r="Y114" s="295"/>
      <c r="Z114" s="296"/>
      <c r="AA114" s="296"/>
      <c r="AB114" s="601"/>
      <c r="AC114" s="601"/>
      <c r="AD114" s="301"/>
      <c r="AE114" s="301"/>
      <c r="AF114" s="92">
        <f t="shared" si="59"/>
        <v>-161.05263157894842</v>
      </c>
      <c r="AG114" s="186">
        <f t="shared" si="60"/>
        <v>0.88815789473684137</v>
      </c>
      <c r="AH114" s="605"/>
    </row>
    <row r="115" spans="1:34" s="298" customFormat="1" ht="19.149999999999999" customHeight="1">
      <c r="A115" s="625"/>
      <c r="B115" s="65" t="s">
        <v>390</v>
      </c>
      <c r="C115" s="248"/>
      <c r="D115" s="249" t="s">
        <v>183</v>
      </c>
      <c r="E115" s="250"/>
      <c r="F115" s="85">
        <v>57.73</v>
      </c>
      <c r="G115" s="247">
        <v>831</v>
      </c>
      <c r="H115" s="87">
        <f t="shared" si="73"/>
        <v>47973.63</v>
      </c>
      <c r="I115" s="101"/>
      <c r="J115" s="89">
        <v>16</v>
      </c>
      <c r="K115" s="86">
        <v>1380</v>
      </c>
      <c r="L115" s="90">
        <v>86.25</v>
      </c>
      <c r="M115" s="91">
        <v>16</v>
      </c>
      <c r="N115" s="86">
        <f t="shared" si="74"/>
        <v>1216.0975609756094</v>
      </c>
      <c r="O115" s="90">
        <f t="shared" si="75"/>
        <v>76.00609756097559</v>
      </c>
      <c r="P115" s="92">
        <f t="shared" si="70"/>
        <v>0</v>
      </c>
      <c r="Q115" s="93">
        <f t="shared" si="71"/>
        <v>-10.24390243902441</v>
      </c>
      <c r="R115" s="94">
        <f t="shared" si="72"/>
        <v>0.88123011664899231</v>
      </c>
      <c r="S115" s="616"/>
      <c r="T115" s="308">
        <v>0.80555555555555558</v>
      </c>
      <c r="U115" s="308">
        <v>0.83402777777777781</v>
      </c>
      <c r="V115" s="309">
        <v>6</v>
      </c>
      <c r="W115" s="88">
        <f t="shared" si="68"/>
        <v>41.000000000000014</v>
      </c>
      <c r="X115" s="295"/>
      <c r="Y115" s="295"/>
      <c r="Z115" s="296"/>
      <c r="AA115" s="296"/>
      <c r="AB115" s="601"/>
      <c r="AC115" s="601"/>
      <c r="AD115" s="301"/>
      <c r="AE115" s="301"/>
      <c r="AF115" s="92">
        <f t="shared" si="59"/>
        <v>-163.90243902439056</v>
      </c>
      <c r="AG115" s="186">
        <f t="shared" si="60"/>
        <v>0.88123011664899231</v>
      </c>
      <c r="AH115" s="605"/>
    </row>
    <row r="116" spans="1:34" s="298" customFormat="1" ht="19.149999999999999" customHeight="1">
      <c r="A116" s="625"/>
      <c r="B116" s="65">
        <v>0</v>
      </c>
      <c r="C116" s="102"/>
      <c r="D116" s="132"/>
      <c r="E116" s="133"/>
      <c r="F116" s="85"/>
      <c r="G116" s="104"/>
      <c r="H116" s="87">
        <f t="shared" si="73"/>
        <v>0</v>
      </c>
      <c r="I116" s="101"/>
      <c r="J116" s="89"/>
      <c r="K116" s="86"/>
      <c r="L116" s="90"/>
      <c r="M116" s="189"/>
      <c r="N116" s="86"/>
      <c r="O116" s="90"/>
      <c r="P116" s="92"/>
      <c r="Q116" s="93"/>
      <c r="R116" s="94"/>
      <c r="S116" s="616"/>
      <c r="T116" s="308"/>
      <c r="U116" s="308"/>
      <c r="V116" s="309"/>
      <c r="W116" s="88"/>
      <c r="X116" s="295"/>
      <c r="Y116" s="295"/>
      <c r="Z116" s="296"/>
      <c r="AA116" s="296"/>
      <c r="AB116" s="601"/>
      <c r="AC116" s="601"/>
      <c r="AD116" s="301"/>
      <c r="AE116" s="301"/>
      <c r="AF116" s="165">
        <f t="shared" si="59"/>
        <v>0</v>
      </c>
      <c r="AG116" s="186" t="e">
        <f t="shared" si="60"/>
        <v>#DIV/0!</v>
      </c>
      <c r="AH116" s="605"/>
    </row>
    <row r="117" spans="1:34" s="298" customFormat="1" ht="19.149999999999999" customHeight="1">
      <c r="A117" s="625"/>
      <c r="B117" s="65">
        <v>0</v>
      </c>
      <c r="C117" s="102"/>
      <c r="D117" s="249"/>
      <c r="E117" s="133"/>
      <c r="F117" s="85" t="s">
        <v>391</v>
      </c>
      <c r="G117" s="104"/>
      <c r="H117" s="87">
        <f t="shared" si="73"/>
        <v>0</v>
      </c>
      <c r="I117" s="101"/>
      <c r="J117" s="89"/>
      <c r="K117" s="86"/>
      <c r="L117" s="137"/>
      <c r="M117" s="189"/>
      <c r="N117" s="104"/>
      <c r="O117" s="137"/>
      <c r="P117" s="100"/>
      <c r="Q117" s="139"/>
      <c r="R117" s="140"/>
      <c r="S117" s="616"/>
      <c r="T117" s="308"/>
      <c r="U117" s="308"/>
      <c r="V117" s="309"/>
      <c r="W117" s="88">
        <f t="shared" si="68"/>
        <v>0</v>
      </c>
      <c r="X117" s="295"/>
      <c r="Y117" s="295"/>
      <c r="Z117" s="296"/>
      <c r="AA117" s="296"/>
      <c r="AB117" s="601"/>
      <c r="AC117" s="601"/>
      <c r="AD117" s="301"/>
      <c r="AE117" s="301"/>
      <c r="AF117" s="92">
        <f t="shared" si="59"/>
        <v>0</v>
      </c>
      <c r="AG117" s="186" t="e">
        <f t="shared" si="60"/>
        <v>#DIV/0!</v>
      </c>
      <c r="AH117" s="605"/>
    </row>
    <row r="118" spans="1:34" s="298" customFormat="1" ht="19.149999999999999" customHeight="1">
      <c r="A118" s="625"/>
      <c r="B118" s="65">
        <v>0</v>
      </c>
      <c r="C118" s="233"/>
      <c r="D118" s="249"/>
      <c r="E118" s="84"/>
      <c r="F118" s="199" t="s">
        <v>391</v>
      </c>
      <c r="G118" s="86"/>
      <c r="H118" s="87">
        <f t="shared" si="73"/>
        <v>0</v>
      </c>
      <c r="I118" s="101"/>
      <c r="J118" s="89"/>
      <c r="K118" s="86"/>
      <c r="L118" s="90"/>
      <c r="M118" s="189"/>
      <c r="N118" s="86"/>
      <c r="O118" s="90"/>
      <c r="P118" s="92"/>
      <c r="Q118" s="93"/>
      <c r="R118" s="94"/>
      <c r="S118" s="616"/>
      <c r="T118" s="308"/>
      <c r="U118" s="308"/>
      <c r="V118" s="309"/>
      <c r="W118" s="88">
        <f t="shared" si="68"/>
        <v>0</v>
      </c>
      <c r="X118" s="295"/>
      <c r="Y118" s="295"/>
      <c r="Z118" s="296"/>
      <c r="AA118" s="296"/>
      <c r="AB118" s="601"/>
      <c r="AC118" s="601"/>
      <c r="AD118" s="301"/>
      <c r="AE118" s="301"/>
      <c r="AF118" s="297"/>
      <c r="AG118" s="186"/>
      <c r="AH118" s="605"/>
    </row>
    <row r="119" spans="1:34" s="298" customFormat="1" ht="19.149999999999999" customHeight="1">
      <c r="A119" s="625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101"/>
      <c r="J119" s="251"/>
      <c r="K119" s="313"/>
      <c r="L119" s="90"/>
      <c r="M119" s="189"/>
      <c r="N119" s="252"/>
      <c r="O119" s="305"/>
      <c r="P119" s="235"/>
      <c r="Q119" s="93"/>
      <c r="R119" s="94"/>
      <c r="S119" s="616"/>
      <c r="T119" s="308"/>
      <c r="U119" s="308"/>
      <c r="V119" s="309"/>
      <c r="W119" s="88">
        <f t="shared" si="68"/>
        <v>0</v>
      </c>
      <c r="X119" s="295"/>
      <c r="Y119" s="295"/>
      <c r="Z119" s="296"/>
      <c r="AA119" s="296"/>
      <c r="AB119" s="601"/>
      <c r="AC119" s="601"/>
      <c r="AD119" s="301"/>
      <c r="AE119" s="301"/>
      <c r="AF119" s="297"/>
      <c r="AG119" s="186"/>
      <c r="AH119" s="605"/>
    </row>
    <row r="120" spans="1:34" s="298" customFormat="1" ht="19.149999999999999" customHeight="1">
      <c r="A120" s="625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101"/>
      <c r="J120" s="251"/>
      <c r="K120" s="313"/>
      <c r="L120" s="90"/>
      <c r="M120" s="189"/>
      <c r="N120" s="252"/>
      <c r="O120" s="305"/>
      <c r="P120" s="235"/>
      <c r="Q120" s="93"/>
      <c r="R120" s="94"/>
      <c r="S120" s="616"/>
      <c r="T120" s="308"/>
      <c r="U120" s="308"/>
      <c r="V120" s="309"/>
      <c r="W120" s="88">
        <f t="shared" si="68"/>
        <v>0</v>
      </c>
      <c r="X120" s="295"/>
      <c r="Y120" s="295"/>
      <c r="Z120" s="296"/>
      <c r="AA120" s="296"/>
      <c r="AB120" s="601"/>
      <c r="AC120" s="601"/>
      <c r="AD120" s="301"/>
      <c r="AE120" s="301"/>
      <c r="AF120" s="297"/>
      <c r="AG120" s="186"/>
      <c r="AH120" s="605"/>
    </row>
    <row r="121" spans="1:34" ht="19.149999999999999" customHeight="1">
      <c r="A121" s="626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17.428571428571427</v>
      </c>
      <c r="K121" s="280">
        <v>1457.1428571428571</v>
      </c>
      <c r="L121" s="281">
        <v>84.573129251700692</v>
      </c>
      <c r="M121" s="280">
        <f t="shared" ref="M121:O121" si="76">AVERAGE(M109:M120)</f>
        <v>17.285714285714285</v>
      </c>
      <c r="N121" s="280">
        <f t="shared" si="76"/>
        <v>1247.8846721183818</v>
      </c>
      <c r="O121" s="281">
        <f t="shared" si="76"/>
        <v>72.836886555727219</v>
      </c>
      <c r="P121" s="92">
        <f t="shared" ref="P121:P131" si="77">M121-J121</f>
        <v>-0.14285714285714235</v>
      </c>
      <c r="Q121" s="93">
        <f t="shared" ref="Q121:Q131" si="78">O121-L121</f>
        <v>-11.736242695973473</v>
      </c>
      <c r="R121" s="245">
        <f t="shared" ref="R121:R131" si="79">O121/L121</f>
        <v>0.86122965060161272</v>
      </c>
      <c r="S121" s="622"/>
      <c r="T121" s="96"/>
      <c r="U121" s="96"/>
      <c r="V121" s="86"/>
      <c r="W121" s="88">
        <f t="shared" si="68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01"/>
      <c r="AC121" s="601"/>
      <c r="AD121" s="164">
        <f>SUM(AD109:AD120)</f>
        <v>0</v>
      </c>
      <c r="AE121" s="164">
        <f>SUM(AE109:AE120)</f>
        <v>0</v>
      </c>
      <c r="AF121" s="92">
        <f>N121-K121</f>
        <v>-209.25818502447532</v>
      </c>
      <c r="AG121" s="186">
        <f>N121/K121</f>
        <v>0.85639144164986991</v>
      </c>
      <c r="AH121" s="605"/>
    </row>
    <row r="122" spans="1:34" ht="19.149999999999999" customHeight="1">
      <c r="A122" s="619" t="s">
        <v>274</v>
      </c>
      <c r="B122" s="192" t="s">
        <v>386</v>
      </c>
      <c r="C122" s="233"/>
      <c r="D122" s="249" t="s">
        <v>185</v>
      </c>
      <c r="E122" s="84"/>
      <c r="F122" s="85">
        <v>65.400000000000006</v>
      </c>
      <c r="G122" s="86">
        <v>270</v>
      </c>
      <c r="H122" s="87">
        <f t="shared" ref="H122:H132" si="80">F122*G122</f>
        <v>17658</v>
      </c>
      <c r="I122" s="65"/>
      <c r="J122" s="89">
        <v>18</v>
      </c>
      <c r="K122" s="86">
        <v>1440</v>
      </c>
      <c r="L122" s="90">
        <v>80</v>
      </c>
      <c r="M122" s="91">
        <v>19</v>
      </c>
      <c r="N122" s="247">
        <f t="shared" ref="N122:N131" si="81">G122/W122*60</f>
        <v>1080.0000000000039</v>
      </c>
      <c r="O122" s="319">
        <f t="shared" ref="O122:O131" si="82">N122/M122</f>
        <v>56.842105263158096</v>
      </c>
      <c r="P122" s="165">
        <f t="shared" si="77"/>
        <v>1</v>
      </c>
      <c r="Q122" s="255">
        <f t="shared" si="78"/>
        <v>-23.157894736841904</v>
      </c>
      <c r="R122" s="166">
        <f t="shared" si="79"/>
        <v>0.71052631578947623</v>
      </c>
      <c r="S122" s="620">
        <f>R134</f>
        <v>0.81036418507049834</v>
      </c>
      <c r="T122" s="96">
        <v>0.5</v>
      </c>
      <c r="U122" s="96">
        <v>0.51041666666666663</v>
      </c>
      <c r="V122" s="309">
        <v>5</v>
      </c>
      <c r="W122" s="88">
        <f t="shared" si="68"/>
        <v>14.999999999999947</v>
      </c>
      <c r="X122" s="99"/>
      <c r="Y122" s="99"/>
      <c r="Z122" s="100"/>
      <c r="AA122" s="100"/>
      <c r="AB122" s="601"/>
      <c r="AC122" s="601"/>
      <c r="AD122" s="101"/>
      <c r="AE122" s="101"/>
      <c r="AF122" s="92">
        <f t="shared" si="59"/>
        <v>-359.99999999999613</v>
      </c>
      <c r="AG122" s="94">
        <f t="shared" si="60"/>
        <v>0.75000000000000266</v>
      </c>
      <c r="AH122" s="622">
        <f>AG134</f>
        <v>0.81745401005204033</v>
      </c>
    </row>
    <row r="123" spans="1:34" ht="19.149999999999999" customHeight="1">
      <c r="A123" s="619"/>
      <c r="B123" s="192" t="s">
        <v>386</v>
      </c>
      <c r="C123" s="152"/>
      <c r="D123" s="83" t="s">
        <v>186</v>
      </c>
      <c r="E123" s="250"/>
      <c r="F123" s="85">
        <v>59.52</v>
      </c>
      <c r="G123" s="86">
        <v>2299</v>
      </c>
      <c r="H123" s="87">
        <f t="shared" si="80"/>
        <v>136836.48000000001</v>
      </c>
      <c r="I123" s="101"/>
      <c r="J123" s="138">
        <v>21</v>
      </c>
      <c r="K123" s="104">
        <v>1385</v>
      </c>
      <c r="L123" s="137">
        <v>65.952380952380949</v>
      </c>
      <c r="M123" s="189">
        <v>20</v>
      </c>
      <c r="N123" s="104">
        <f t="shared" si="81"/>
        <v>1242.7027027027036</v>
      </c>
      <c r="O123" s="137">
        <f t="shared" si="82"/>
        <v>62.135135135135179</v>
      </c>
      <c r="P123" s="100">
        <f t="shared" si="77"/>
        <v>-1</v>
      </c>
      <c r="Q123" s="139">
        <f t="shared" si="78"/>
        <v>-3.8172458172457695</v>
      </c>
      <c r="R123" s="140">
        <f t="shared" si="79"/>
        <v>0.94212118255439625</v>
      </c>
      <c r="S123" s="620"/>
      <c r="T123" s="96">
        <v>0.51597222222222217</v>
      </c>
      <c r="U123" s="96">
        <v>0.59305555555555545</v>
      </c>
      <c r="V123" s="309">
        <v>8</v>
      </c>
      <c r="W123" s="88">
        <f>(U123-T123)*24*60</f>
        <v>110.99999999999993</v>
      </c>
      <c r="X123" s="99"/>
      <c r="Y123" s="99"/>
      <c r="Z123" s="100"/>
      <c r="AA123" s="100"/>
      <c r="AB123" s="601"/>
      <c r="AC123" s="601"/>
      <c r="AD123" s="101"/>
      <c r="AE123" s="101"/>
      <c r="AF123" s="92">
        <f t="shared" si="59"/>
        <v>-142.29729729729638</v>
      </c>
      <c r="AG123" s="94">
        <f t="shared" si="60"/>
        <v>0.89725826909942497</v>
      </c>
      <c r="AH123" s="620"/>
    </row>
    <row r="124" spans="1:34" ht="19.149999999999999" customHeight="1">
      <c r="A124" s="619"/>
      <c r="B124" s="192" t="s">
        <v>386</v>
      </c>
      <c r="C124" s="248"/>
      <c r="D124" s="249" t="s">
        <v>187</v>
      </c>
      <c r="E124" s="250"/>
      <c r="F124" s="85">
        <v>58.67</v>
      </c>
      <c r="G124" s="247">
        <v>1487.25</v>
      </c>
      <c r="H124" s="87">
        <f t="shared" si="80"/>
        <v>87256.957500000004</v>
      </c>
      <c r="I124" s="320"/>
      <c r="J124" s="138">
        <v>19</v>
      </c>
      <c r="K124" s="104">
        <v>1440</v>
      </c>
      <c r="L124" s="137">
        <v>75.78947368421052</v>
      </c>
      <c r="M124" s="91">
        <v>20</v>
      </c>
      <c r="N124" s="247">
        <f t="shared" si="81"/>
        <v>1274.7857142857129</v>
      </c>
      <c r="O124" s="319">
        <f t="shared" si="82"/>
        <v>63.739285714285643</v>
      </c>
      <c r="P124" s="165">
        <f t="shared" si="77"/>
        <v>1</v>
      </c>
      <c r="Q124" s="255">
        <f t="shared" si="78"/>
        <v>-12.050187969924878</v>
      </c>
      <c r="R124" s="166">
        <f t="shared" si="79"/>
        <v>0.8410044642857134</v>
      </c>
      <c r="S124" s="621"/>
      <c r="T124" s="96">
        <v>0.60902777777777772</v>
      </c>
      <c r="U124" s="96">
        <v>0.65763888888888888</v>
      </c>
      <c r="V124" s="309">
        <v>23</v>
      </c>
      <c r="W124" s="322">
        <f>(U124-T124)*24*60</f>
        <v>70.000000000000071</v>
      </c>
      <c r="X124" s="264">
        <v>0.59652777777777777</v>
      </c>
      <c r="Y124" s="264">
        <v>0.60625000000000007</v>
      </c>
      <c r="Z124" s="100"/>
      <c r="AA124" s="100"/>
      <c r="AB124" s="601"/>
      <c r="AC124" s="601"/>
      <c r="AD124" s="101"/>
      <c r="AE124" s="101"/>
      <c r="AF124" s="165">
        <f t="shared" si="59"/>
        <v>-165.21428571428714</v>
      </c>
      <c r="AG124" s="166">
        <f t="shared" si="60"/>
        <v>0.88526785714285616</v>
      </c>
      <c r="AH124" s="620"/>
    </row>
    <row r="125" spans="1:34" ht="19.149999999999999" customHeight="1">
      <c r="A125" s="619"/>
      <c r="B125" s="192" t="s">
        <v>390</v>
      </c>
      <c r="C125" s="152"/>
      <c r="D125" s="83" t="s">
        <v>188</v>
      </c>
      <c r="E125" s="84"/>
      <c r="F125" s="85">
        <v>56.79</v>
      </c>
      <c r="G125" s="86">
        <v>1201</v>
      </c>
      <c r="H125" s="87">
        <f t="shared" si="80"/>
        <v>68204.789999999994</v>
      </c>
      <c r="I125" s="65"/>
      <c r="J125" s="138">
        <v>18</v>
      </c>
      <c r="K125" s="104">
        <v>1636</v>
      </c>
      <c r="L125" s="137">
        <v>90.888888888888886</v>
      </c>
      <c r="M125" s="91">
        <v>18</v>
      </c>
      <c r="N125" s="104">
        <f t="shared" si="81"/>
        <v>1310.1818181818189</v>
      </c>
      <c r="O125" s="137">
        <f t="shared" si="82"/>
        <v>72.787878787878824</v>
      </c>
      <c r="P125" s="100">
        <f t="shared" si="77"/>
        <v>0</v>
      </c>
      <c r="Q125" s="139">
        <f t="shared" si="78"/>
        <v>-18.101010101010061</v>
      </c>
      <c r="R125" s="140">
        <f t="shared" si="79"/>
        <v>0.80084463214047608</v>
      </c>
      <c r="S125" s="621"/>
      <c r="T125" s="96">
        <v>0.70833333333333337</v>
      </c>
      <c r="U125" s="96">
        <v>0.74652777777777779</v>
      </c>
      <c r="V125" s="309">
        <v>5</v>
      </c>
      <c r="W125" s="322">
        <f t="shared" ref="W125:W133" si="83">(U125-T125)*24*60</f>
        <v>54.999999999999964</v>
      </c>
      <c r="X125" s="112"/>
      <c r="Y125" s="112"/>
      <c r="Z125" s="100"/>
      <c r="AA125" s="100"/>
      <c r="AB125" s="601"/>
      <c r="AC125" s="601"/>
      <c r="AD125" s="101"/>
      <c r="AE125" s="101"/>
      <c r="AF125" s="92">
        <f t="shared" si="59"/>
        <v>-325.81818181818107</v>
      </c>
      <c r="AG125" s="94">
        <f t="shared" si="60"/>
        <v>0.80084463214047608</v>
      </c>
      <c r="AH125" s="623"/>
    </row>
    <row r="126" spans="1:34" ht="19.149999999999999" customHeight="1">
      <c r="A126" s="619"/>
      <c r="B126" s="192" t="s">
        <v>390</v>
      </c>
      <c r="C126" s="101"/>
      <c r="D126" s="83" t="s">
        <v>189</v>
      </c>
      <c r="E126" s="250"/>
      <c r="F126" s="85">
        <v>56.87</v>
      </c>
      <c r="G126" s="104">
        <v>907</v>
      </c>
      <c r="H126" s="87">
        <f t="shared" si="80"/>
        <v>51581.09</v>
      </c>
      <c r="I126" s="101"/>
      <c r="J126" s="138">
        <v>18</v>
      </c>
      <c r="K126" s="104">
        <v>1636</v>
      </c>
      <c r="L126" s="137">
        <v>90.888888888888886</v>
      </c>
      <c r="M126" s="189">
        <v>18</v>
      </c>
      <c r="N126" s="104">
        <f t="shared" si="81"/>
        <v>1265.5813953488371</v>
      </c>
      <c r="O126" s="137">
        <f t="shared" si="82"/>
        <v>70.310077519379831</v>
      </c>
      <c r="P126" s="100">
        <f t="shared" si="77"/>
        <v>0</v>
      </c>
      <c r="Q126" s="139">
        <f t="shared" si="78"/>
        <v>-20.578811369509054</v>
      </c>
      <c r="R126" s="140">
        <f t="shared" si="79"/>
        <v>0.77358275999317661</v>
      </c>
      <c r="S126" s="621"/>
      <c r="T126" s="96">
        <v>0.75138888888888888</v>
      </c>
      <c r="U126" s="96">
        <v>0.78125</v>
      </c>
      <c r="V126" s="309">
        <v>7</v>
      </c>
      <c r="W126" s="322">
        <f t="shared" si="83"/>
        <v>43.000000000000007</v>
      </c>
      <c r="X126" s="112"/>
      <c r="Y126" s="112"/>
      <c r="Z126" s="100"/>
      <c r="AA126" s="100"/>
      <c r="AB126" s="601"/>
      <c r="AC126" s="601"/>
      <c r="AD126" s="101"/>
      <c r="AE126" s="101"/>
      <c r="AF126" s="165">
        <f t="shared" si="59"/>
        <v>-370.41860465116292</v>
      </c>
      <c r="AG126" s="166">
        <f t="shared" si="60"/>
        <v>0.77358275999317672</v>
      </c>
      <c r="AH126" s="623"/>
    </row>
    <row r="127" spans="1:34" ht="19.149999999999999" customHeight="1">
      <c r="A127" s="619"/>
      <c r="B127" s="192" t="s">
        <v>390</v>
      </c>
      <c r="C127" s="303"/>
      <c r="D127" s="132" t="s">
        <v>190</v>
      </c>
      <c r="E127" s="133"/>
      <c r="F127" s="85">
        <v>54.09</v>
      </c>
      <c r="G127" s="288">
        <v>1506</v>
      </c>
      <c r="H127" s="87">
        <f t="shared" si="80"/>
        <v>81459.540000000008</v>
      </c>
      <c r="I127" s="301"/>
      <c r="J127" s="138">
        <v>16</v>
      </c>
      <c r="K127" s="104">
        <v>1565</v>
      </c>
      <c r="L127" s="137">
        <v>97.8125</v>
      </c>
      <c r="M127" s="91">
        <v>17</v>
      </c>
      <c r="N127" s="247">
        <f t="shared" si="81"/>
        <v>1254.9999999999991</v>
      </c>
      <c r="O127" s="319">
        <f t="shared" si="82"/>
        <v>73.823529411764653</v>
      </c>
      <c r="P127" s="165">
        <f t="shared" si="77"/>
        <v>1</v>
      </c>
      <c r="Q127" s="255">
        <f t="shared" si="78"/>
        <v>-23.988970588235347</v>
      </c>
      <c r="R127" s="166">
        <f t="shared" si="79"/>
        <v>0.75474534861868015</v>
      </c>
      <c r="S127" s="621"/>
      <c r="T127" s="96">
        <v>0.78541666666666665</v>
      </c>
      <c r="U127" s="96">
        <v>0.8354166666666667</v>
      </c>
      <c r="V127" s="65">
        <v>6</v>
      </c>
      <c r="W127" s="322">
        <f t="shared" si="83"/>
        <v>72.000000000000057</v>
      </c>
      <c r="X127" s="112"/>
      <c r="Y127" s="112"/>
      <c r="Z127" s="100"/>
      <c r="AA127" s="100"/>
      <c r="AB127" s="601"/>
      <c r="AC127" s="601"/>
      <c r="AD127" s="101"/>
      <c r="AE127" s="101"/>
      <c r="AF127" s="165">
        <f t="shared" si="59"/>
        <v>-310.00000000000091</v>
      </c>
      <c r="AG127" s="166">
        <f t="shared" si="60"/>
        <v>0.80191693290734767</v>
      </c>
      <c r="AH127" s="623"/>
    </row>
    <row r="128" spans="1:34" ht="19.149999999999999" customHeight="1">
      <c r="A128" s="619"/>
      <c r="B128" s="192" t="s">
        <v>390</v>
      </c>
      <c r="C128" s="226"/>
      <c r="D128" s="106" t="s">
        <v>191</v>
      </c>
      <c r="E128" s="133"/>
      <c r="F128" s="85">
        <v>50.67</v>
      </c>
      <c r="G128" s="104">
        <v>537</v>
      </c>
      <c r="H128" s="87">
        <f t="shared" si="80"/>
        <v>27209.79</v>
      </c>
      <c r="I128" s="101"/>
      <c r="J128" s="138">
        <v>18</v>
      </c>
      <c r="K128" s="104">
        <v>1440</v>
      </c>
      <c r="L128" s="137">
        <v>80</v>
      </c>
      <c r="M128" s="138">
        <v>18</v>
      </c>
      <c r="N128" s="104">
        <f t="shared" si="81"/>
        <v>1111.0344827586187</v>
      </c>
      <c r="O128" s="137">
        <f t="shared" si="82"/>
        <v>61.72413793103437</v>
      </c>
      <c r="P128" s="100">
        <f t="shared" si="77"/>
        <v>0</v>
      </c>
      <c r="Q128" s="139">
        <f t="shared" si="78"/>
        <v>-18.27586206896563</v>
      </c>
      <c r="R128" s="140">
        <f t="shared" si="79"/>
        <v>0.77155172413792961</v>
      </c>
      <c r="S128" s="621"/>
      <c r="T128" s="96">
        <v>0.85069444444444442</v>
      </c>
      <c r="U128" s="96">
        <v>0.87083333333333335</v>
      </c>
      <c r="V128" s="65">
        <v>22</v>
      </c>
      <c r="W128" s="322">
        <f t="shared" si="83"/>
        <v>29.000000000000057</v>
      </c>
      <c r="X128" s="112">
        <v>0.83888888888888891</v>
      </c>
      <c r="Y128" s="112">
        <v>0.84791666666666676</v>
      </c>
      <c r="Z128" s="100"/>
      <c r="AA128" s="100"/>
      <c r="AB128" s="601"/>
      <c r="AC128" s="601"/>
      <c r="AD128" s="101"/>
      <c r="AE128" s="101"/>
      <c r="AF128" s="165">
        <f t="shared" si="59"/>
        <v>-328.96551724138135</v>
      </c>
      <c r="AG128" s="166">
        <f t="shared" si="60"/>
        <v>0.77155172413792961</v>
      </c>
      <c r="AH128" s="623"/>
    </row>
    <row r="129" spans="1:34" ht="19.149999999999999" customHeight="1">
      <c r="A129" s="619"/>
      <c r="B129" s="192" t="s">
        <v>390</v>
      </c>
      <c r="C129" s="226"/>
      <c r="D129" s="106" t="s">
        <v>192</v>
      </c>
      <c r="E129" s="107"/>
      <c r="F129" s="85">
        <v>47.6</v>
      </c>
      <c r="G129" s="104">
        <v>1317</v>
      </c>
      <c r="H129" s="87">
        <f t="shared" si="80"/>
        <v>62689.200000000004</v>
      </c>
      <c r="I129" s="101"/>
      <c r="J129" s="138">
        <v>19</v>
      </c>
      <c r="K129" s="104">
        <v>1440</v>
      </c>
      <c r="L129" s="137">
        <v>75.78947368421052</v>
      </c>
      <c r="M129" s="189">
        <v>18</v>
      </c>
      <c r="N129" s="104">
        <f t="shared" si="81"/>
        <v>1295.4098360655751</v>
      </c>
      <c r="O129" s="137">
        <f t="shared" si="82"/>
        <v>71.967213114754173</v>
      </c>
      <c r="P129" s="100">
        <f t="shared" si="77"/>
        <v>-1</v>
      </c>
      <c r="Q129" s="139">
        <f t="shared" si="78"/>
        <v>-3.822260569456347</v>
      </c>
      <c r="R129" s="140">
        <f t="shared" si="79"/>
        <v>0.9495673952641176</v>
      </c>
      <c r="S129" s="621"/>
      <c r="T129" s="96">
        <v>0.87638888888888888</v>
      </c>
      <c r="U129" s="96">
        <v>0.91874999999999996</v>
      </c>
      <c r="V129" s="65">
        <v>8</v>
      </c>
      <c r="W129" s="322">
        <f t="shared" si="83"/>
        <v>60.999999999999943</v>
      </c>
      <c r="X129" s="112"/>
      <c r="Y129" s="112"/>
      <c r="Z129" s="100"/>
      <c r="AA129" s="100"/>
      <c r="AB129" s="601"/>
      <c r="AC129" s="601"/>
      <c r="AD129" s="101"/>
      <c r="AE129" s="101"/>
      <c r="AF129" s="165"/>
      <c r="AG129" s="166"/>
      <c r="AH129" s="623"/>
    </row>
    <row r="130" spans="1:34" ht="19.149999999999999" customHeight="1">
      <c r="A130" s="619"/>
      <c r="B130" s="278" t="s">
        <v>390</v>
      </c>
      <c r="C130" s="226"/>
      <c r="D130" s="106" t="s">
        <v>193</v>
      </c>
      <c r="E130" s="107"/>
      <c r="F130" s="85">
        <v>57.3</v>
      </c>
      <c r="G130" s="104">
        <v>974</v>
      </c>
      <c r="H130" s="87">
        <f t="shared" si="80"/>
        <v>55810.2</v>
      </c>
      <c r="I130" s="101"/>
      <c r="J130" s="138">
        <v>17</v>
      </c>
      <c r="K130" s="104">
        <v>1385</v>
      </c>
      <c r="L130" s="137">
        <v>81.470588235294116</v>
      </c>
      <c r="M130" s="189">
        <v>18</v>
      </c>
      <c r="N130" s="104">
        <f t="shared" si="81"/>
        <v>1145.8823529411768</v>
      </c>
      <c r="O130" s="137">
        <f t="shared" si="82"/>
        <v>63.660130718954264</v>
      </c>
      <c r="P130" s="100">
        <f t="shared" si="77"/>
        <v>1</v>
      </c>
      <c r="Q130" s="139">
        <f t="shared" si="78"/>
        <v>-17.810457516339852</v>
      </c>
      <c r="R130" s="140">
        <f t="shared" si="79"/>
        <v>0.78138788608102705</v>
      </c>
      <c r="S130" s="621"/>
      <c r="T130" s="96">
        <v>0.92361111111111105</v>
      </c>
      <c r="U130" s="96">
        <v>0.9590277777777777</v>
      </c>
      <c r="V130" s="65">
        <v>7</v>
      </c>
      <c r="W130" s="322">
        <f t="shared" si="83"/>
        <v>50.999999999999979</v>
      </c>
      <c r="X130" s="112"/>
      <c r="Y130" s="112"/>
      <c r="Z130" s="100"/>
      <c r="AA130" s="100"/>
      <c r="AB130" s="601"/>
      <c r="AC130" s="601"/>
      <c r="AD130" s="101"/>
      <c r="AE130" s="101"/>
      <c r="AF130" s="113"/>
      <c r="AG130" s="114"/>
      <c r="AH130" s="623"/>
    </row>
    <row r="131" spans="1:34" ht="19.149999999999999" customHeight="1">
      <c r="A131" s="619"/>
      <c r="B131" s="278" t="s">
        <v>390</v>
      </c>
      <c r="C131" s="226"/>
      <c r="D131" s="106" t="s">
        <v>194</v>
      </c>
      <c r="E131" s="133"/>
      <c r="F131" s="85">
        <v>50.67</v>
      </c>
      <c r="G131" s="288">
        <v>813</v>
      </c>
      <c r="H131" s="87">
        <f t="shared" si="80"/>
        <v>41194.71</v>
      </c>
      <c r="I131" s="301"/>
      <c r="J131" s="138">
        <v>19</v>
      </c>
      <c r="K131" s="104">
        <v>1636</v>
      </c>
      <c r="L131" s="137">
        <v>86.10526315789474</v>
      </c>
      <c r="M131" s="138">
        <v>18</v>
      </c>
      <c r="N131" s="247">
        <f t="shared" si="81"/>
        <v>1283.6842105263147</v>
      </c>
      <c r="O131" s="319">
        <f t="shared" si="82"/>
        <v>71.315789473684148</v>
      </c>
      <c r="P131" s="165">
        <f t="shared" si="77"/>
        <v>-1</v>
      </c>
      <c r="Q131" s="255">
        <f t="shared" si="78"/>
        <v>-14.789473684210591</v>
      </c>
      <c r="R131" s="166">
        <f t="shared" si="79"/>
        <v>0.82823960880195524</v>
      </c>
      <c r="S131" s="621"/>
      <c r="T131" s="96">
        <v>0.96319444444444435</v>
      </c>
      <c r="U131" s="96">
        <v>0.98958333333333326</v>
      </c>
      <c r="V131" s="65">
        <v>6</v>
      </c>
      <c r="W131" s="322">
        <f t="shared" si="83"/>
        <v>38.000000000000028</v>
      </c>
      <c r="X131" s="112"/>
      <c r="Y131" s="112"/>
      <c r="Z131" s="100"/>
      <c r="AA131" s="100"/>
      <c r="AB131" s="601"/>
      <c r="AC131" s="601"/>
      <c r="AD131" s="101"/>
      <c r="AE131" s="101"/>
      <c r="AF131" s="113"/>
      <c r="AG131" s="114"/>
      <c r="AH131" s="623"/>
    </row>
    <row r="132" spans="1:34" ht="19.149999999999999" customHeight="1">
      <c r="A132" s="619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0"/>
        <v>0</v>
      </c>
      <c r="I132" s="101"/>
      <c r="J132" s="138"/>
      <c r="K132" s="104"/>
      <c r="L132" s="137"/>
      <c r="M132" s="189"/>
      <c r="N132" s="104"/>
      <c r="O132" s="137"/>
      <c r="P132" s="100"/>
      <c r="Q132" s="139"/>
      <c r="R132" s="140"/>
      <c r="S132" s="621"/>
      <c r="T132" s="96"/>
      <c r="U132" s="96"/>
      <c r="V132" s="65"/>
      <c r="W132" s="322">
        <f t="shared" si="83"/>
        <v>0</v>
      </c>
      <c r="X132" s="112"/>
      <c r="Y132" s="112"/>
      <c r="Z132" s="100"/>
      <c r="AA132" s="100"/>
      <c r="AB132" s="601"/>
      <c r="AC132" s="601"/>
      <c r="AD132" s="101"/>
      <c r="AE132" s="101"/>
      <c r="AF132" s="113"/>
      <c r="AG132" s="114"/>
      <c r="AH132" s="623"/>
    </row>
    <row r="133" spans="1:34" ht="19.149999999999999" customHeight="1">
      <c r="A133" s="619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101"/>
      <c r="J133" s="138"/>
      <c r="K133" s="104"/>
      <c r="L133" s="137"/>
      <c r="M133" s="189"/>
      <c r="N133" s="104"/>
      <c r="O133" s="137"/>
      <c r="P133" s="100"/>
      <c r="Q133" s="139"/>
      <c r="R133" s="140"/>
      <c r="S133" s="621"/>
      <c r="T133" s="96"/>
      <c r="U133" s="96"/>
      <c r="V133" s="65"/>
      <c r="W133" s="322">
        <f t="shared" si="83"/>
        <v>0</v>
      </c>
      <c r="X133" s="112"/>
      <c r="Y133" s="112"/>
      <c r="Z133" s="100"/>
      <c r="AA133" s="100"/>
      <c r="AB133" s="601"/>
      <c r="AC133" s="601"/>
      <c r="AD133" s="101"/>
      <c r="AE133" s="101"/>
      <c r="AF133" s="113"/>
      <c r="AG133" s="114"/>
      <c r="AH133" s="623"/>
    </row>
    <row r="134" spans="1:34" ht="19.149999999999999" customHeight="1">
      <c r="A134" s="619"/>
      <c r="B134" s="240">
        <v>0</v>
      </c>
      <c r="C134" s="156" t="s">
        <v>287</v>
      </c>
      <c r="D134" s="602" t="s">
        <v>256</v>
      </c>
      <c r="E134" s="602"/>
      <c r="F134" s="258"/>
      <c r="G134" s="158"/>
      <c r="H134" s="159"/>
      <c r="I134" s="325"/>
      <c r="J134" s="326">
        <v>18.3</v>
      </c>
      <c r="K134" s="326">
        <v>1500.3</v>
      </c>
      <c r="L134" s="327">
        <v>82.46974574917688</v>
      </c>
      <c r="M134" s="326">
        <f t="shared" ref="M134:O134" si="84">AVERAGE(M122:M133)</f>
        <v>18.399999999999999</v>
      </c>
      <c r="N134" s="326">
        <f t="shared" si="84"/>
        <v>1226.426251281076</v>
      </c>
      <c r="O134" s="327">
        <f t="shared" si="84"/>
        <v>66.830528307002922</v>
      </c>
      <c r="P134" s="97">
        <f t="shared" ref="P134:P141" si="85">M134-J134</f>
        <v>9.9999999999997868E-2</v>
      </c>
      <c r="Q134" s="205">
        <f t="shared" ref="Q134:Q141" si="86">O134-L134</f>
        <v>-15.639217442173958</v>
      </c>
      <c r="R134" s="328">
        <f t="shared" ref="R134:R141" si="87">O134/L134</f>
        <v>0.81036418507049834</v>
      </c>
      <c r="S134" s="620"/>
      <c r="T134" s="96"/>
      <c r="U134" s="96"/>
      <c r="V134" s="65"/>
      <c r="W134" s="65"/>
      <c r="X134" s="99"/>
      <c r="Y134" s="99"/>
      <c r="Z134" s="163">
        <f>SUM(Z122:Z133)</f>
        <v>0</v>
      </c>
      <c r="AA134" s="163">
        <f>SUM(AA122:AA133)</f>
        <v>0</v>
      </c>
      <c r="AB134" s="601"/>
      <c r="AC134" s="601"/>
      <c r="AD134" s="164">
        <f>SUM(AD122:AD133)</f>
        <v>0</v>
      </c>
      <c r="AE134" s="164">
        <f>SUM(AE122:AE133)</f>
        <v>0</v>
      </c>
      <c r="AF134" s="92">
        <f t="shared" si="59"/>
        <v>-273.87374871892393</v>
      </c>
      <c r="AG134" s="94">
        <f t="shared" si="60"/>
        <v>0.81745401005204033</v>
      </c>
      <c r="AH134" s="623"/>
    </row>
    <row r="135" spans="1:34" ht="19.149999999999999" customHeight="1">
      <c r="A135" s="612" t="s">
        <v>288</v>
      </c>
      <c r="B135" s="65" t="s">
        <v>390</v>
      </c>
      <c r="C135" s="101"/>
      <c r="D135" s="132" t="s">
        <v>196</v>
      </c>
      <c r="E135" s="133"/>
      <c r="F135" s="85">
        <v>50.67</v>
      </c>
      <c r="G135" s="104">
        <v>816</v>
      </c>
      <c r="H135" s="329">
        <f t="shared" ref="H135:H146" si="88">F135*G135</f>
        <v>41346.720000000001</v>
      </c>
      <c r="I135" s="101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89">G135/W135*60</f>
        <v>1288.421052631578</v>
      </c>
      <c r="O135" s="174">
        <f t="shared" ref="O135:O141" si="90">N135/M135</f>
        <v>75.789473684210478</v>
      </c>
      <c r="P135" s="100">
        <f t="shared" si="85"/>
        <v>0</v>
      </c>
      <c r="Q135" s="139">
        <f t="shared" si="86"/>
        <v>-12.44582043343658</v>
      </c>
      <c r="R135" s="140">
        <f t="shared" si="87"/>
        <v>0.85894736842105213</v>
      </c>
      <c r="S135" s="616">
        <f>R147</f>
        <v>0.88387214363173061</v>
      </c>
      <c r="T135" s="330">
        <v>0.70833333333333337</v>
      </c>
      <c r="U135" s="96">
        <v>0.73472222222222228</v>
      </c>
      <c r="V135" s="208">
        <v>5</v>
      </c>
      <c r="W135" s="331">
        <f t="shared" ref="W135:W147" si="91">(U135-T135)*24*60</f>
        <v>38.000000000000028</v>
      </c>
      <c r="X135" s="230"/>
      <c r="Y135" s="230"/>
      <c r="Z135" s="100"/>
      <c r="AA135" s="100"/>
      <c r="AB135" s="601"/>
      <c r="AC135" s="601"/>
      <c r="AD135" s="101"/>
      <c r="AE135" s="101"/>
      <c r="AF135" s="175">
        <f t="shared" si="59"/>
        <v>-211.57894736842195</v>
      </c>
      <c r="AG135" s="180">
        <f t="shared" si="60"/>
        <v>0.85894736842105202</v>
      </c>
      <c r="AH135" s="605">
        <f>AG147</f>
        <v>0.88818722481606449</v>
      </c>
    </row>
    <row r="136" spans="1:34" ht="19.149999999999999" customHeight="1">
      <c r="A136" s="613"/>
      <c r="B136" s="65" t="s">
        <v>390</v>
      </c>
      <c r="C136" s="101"/>
      <c r="D136" s="132" t="s">
        <v>197</v>
      </c>
      <c r="E136" s="332"/>
      <c r="F136" s="85">
        <v>50.98</v>
      </c>
      <c r="G136" s="104">
        <v>1658</v>
      </c>
      <c r="H136" s="135">
        <f t="shared" si="88"/>
        <v>84524.84</v>
      </c>
      <c r="I136" s="101"/>
      <c r="J136" s="89">
        <v>18</v>
      </c>
      <c r="K136" s="104">
        <v>1440</v>
      </c>
      <c r="L136" s="137">
        <v>80</v>
      </c>
      <c r="M136" s="189">
        <v>19</v>
      </c>
      <c r="N136" s="104">
        <f t="shared" si="89"/>
        <v>1326.3999999999992</v>
      </c>
      <c r="O136" s="137">
        <f t="shared" si="90"/>
        <v>69.810526315789431</v>
      </c>
      <c r="P136" s="100">
        <f t="shared" si="85"/>
        <v>1</v>
      </c>
      <c r="Q136" s="139">
        <f t="shared" si="86"/>
        <v>-10.189473684210569</v>
      </c>
      <c r="R136" s="140">
        <f t="shared" si="87"/>
        <v>0.87263157894736787</v>
      </c>
      <c r="S136" s="616"/>
      <c r="T136" s="330">
        <v>0.73888888888888893</v>
      </c>
      <c r="U136" s="96">
        <v>0.7909722222222223</v>
      </c>
      <c r="V136" s="208">
        <v>6</v>
      </c>
      <c r="W136" s="88">
        <f t="shared" si="91"/>
        <v>75.000000000000057</v>
      </c>
      <c r="X136" s="99"/>
      <c r="Y136" s="99"/>
      <c r="Z136" s="100"/>
      <c r="AA136" s="100"/>
      <c r="AB136" s="601"/>
      <c r="AC136" s="601"/>
      <c r="AD136" s="101"/>
      <c r="AE136" s="101"/>
      <c r="AF136" s="92">
        <f t="shared" si="59"/>
        <v>-113.60000000000082</v>
      </c>
      <c r="AG136" s="186">
        <f t="shared" si="60"/>
        <v>0.92111111111111055</v>
      </c>
      <c r="AH136" s="605"/>
    </row>
    <row r="137" spans="1:34" ht="19.149999999999999" customHeight="1">
      <c r="A137" s="613"/>
      <c r="B137" s="65" t="s">
        <v>390</v>
      </c>
      <c r="C137" s="101"/>
      <c r="D137" s="132" t="s">
        <v>198</v>
      </c>
      <c r="E137" s="133"/>
      <c r="F137" s="85">
        <v>54.09</v>
      </c>
      <c r="G137" s="288">
        <v>929</v>
      </c>
      <c r="H137" s="135">
        <f t="shared" si="88"/>
        <v>50249.61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89"/>
        <v>1296.2790697674418</v>
      </c>
      <c r="O137" s="137">
        <f t="shared" si="90"/>
        <v>72.015503875968989</v>
      </c>
      <c r="P137" s="100">
        <f t="shared" si="85"/>
        <v>-1</v>
      </c>
      <c r="Q137" s="139">
        <f t="shared" si="86"/>
        <v>-6.9318645450836414</v>
      </c>
      <c r="R137" s="140">
        <f t="shared" si="87"/>
        <v>0.91219638242894052</v>
      </c>
      <c r="S137" s="616"/>
      <c r="T137" s="96">
        <v>0.79583333333333339</v>
      </c>
      <c r="U137" s="96">
        <v>0.82569444444444451</v>
      </c>
      <c r="V137" s="333">
        <v>7</v>
      </c>
      <c r="W137" s="88">
        <f t="shared" si="91"/>
        <v>43.000000000000007</v>
      </c>
      <c r="X137" s="99"/>
      <c r="Y137" s="99"/>
      <c r="Z137" s="100"/>
      <c r="AA137" s="100"/>
      <c r="AB137" s="601"/>
      <c r="AC137" s="601"/>
      <c r="AD137" s="101"/>
      <c r="AE137" s="101"/>
      <c r="AF137" s="92">
        <f t="shared" si="59"/>
        <v>-203.7209302325582</v>
      </c>
      <c r="AG137" s="186">
        <f t="shared" si="60"/>
        <v>0.86418604651162789</v>
      </c>
      <c r="AH137" s="605"/>
    </row>
    <row r="138" spans="1:34" ht="19.149999999999999" customHeight="1">
      <c r="A138" s="613"/>
      <c r="B138" s="65" t="s">
        <v>390</v>
      </c>
      <c r="C138" s="303"/>
      <c r="D138" s="132" t="s">
        <v>199</v>
      </c>
      <c r="E138" s="133"/>
      <c r="F138" s="85">
        <v>50.92</v>
      </c>
      <c r="G138" s="104">
        <v>1988</v>
      </c>
      <c r="H138" s="135">
        <f t="shared" si="88"/>
        <v>101228.96</v>
      </c>
      <c r="I138" s="101"/>
      <c r="J138" s="138">
        <v>17</v>
      </c>
      <c r="K138" s="104">
        <v>1440</v>
      </c>
      <c r="L138" s="137">
        <v>84.705882352941174</v>
      </c>
      <c r="M138" s="310">
        <v>16</v>
      </c>
      <c r="N138" s="104">
        <f t="shared" si="89"/>
        <v>1355.4545454545455</v>
      </c>
      <c r="O138" s="137">
        <f t="shared" si="90"/>
        <v>84.715909090909093</v>
      </c>
      <c r="P138" s="100">
        <f t="shared" si="85"/>
        <v>-1</v>
      </c>
      <c r="Q138" s="139">
        <f t="shared" si="86"/>
        <v>1.002673796791953E-2</v>
      </c>
      <c r="R138" s="257">
        <f t="shared" si="87"/>
        <v>1.0001183712121213</v>
      </c>
      <c r="S138" s="616"/>
      <c r="T138" s="96">
        <v>0.84166666666666679</v>
      </c>
      <c r="U138" s="96">
        <v>0.9027777777777779</v>
      </c>
      <c r="V138" s="333">
        <v>23</v>
      </c>
      <c r="W138" s="88">
        <f t="shared" si="91"/>
        <v>88</v>
      </c>
      <c r="X138" s="99">
        <v>0.82916666666666661</v>
      </c>
      <c r="Y138" s="99">
        <v>0.83888888888888891</v>
      </c>
      <c r="Z138" s="100"/>
      <c r="AA138" s="100"/>
      <c r="AB138" s="601"/>
      <c r="AC138" s="601"/>
      <c r="AD138" s="101"/>
      <c r="AE138" s="101"/>
      <c r="AF138" s="92">
        <f t="shared" si="59"/>
        <v>-84.545454545454504</v>
      </c>
      <c r="AG138" s="186">
        <f t="shared" si="60"/>
        <v>0.94128787878787878</v>
      </c>
      <c r="AH138" s="605"/>
    </row>
    <row r="139" spans="1:34" ht="19.149999999999999" customHeight="1">
      <c r="A139" s="613"/>
      <c r="B139" s="65" t="s">
        <v>390</v>
      </c>
      <c r="C139" s="147"/>
      <c r="D139" s="83" t="s">
        <v>200</v>
      </c>
      <c r="E139" s="84"/>
      <c r="F139" s="85">
        <v>50.29</v>
      </c>
      <c r="G139" s="104">
        <v>690</v>
      </c>
      <c r="H139" s="135">
        <f t="shared" si="88"/>
        <v>34700.1</v>
      </c>
      <c r="I139" s="101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89"/>
        <v>1254.5454545454529</v>
      </c>
      <c r="O139" s="137">
        <f t="shared" si="90"/>
        <v>69.696969696969603</v>
      </c>
      <c r="P139" s="100">
        <f t="shared" si="85"/>
        <v>0</v>
      </c>
      <c r="Q139" s="139">
        <f t="shared" si="86"/>
        <v>-10.303030303030397</v>
      </c>
      <c r="R139" s="140">
        <f t="shared" si="87"/>
        <v>0.87121212121211999</v>
      </c>
      <c r="S139" s="616"/>
      <c r="T139" s="96">
        <v>0.90833333333333344</v>
      </c>
      <c r="U139" s="96">
        <v>0.93125000000000013</v>
      </c>
      <c r="V139" s="334">
        <v>8</v>
      </c>
      <c r="W139" s="88">
        <f t="shared" si="91"/>
        <v>33.000000000000043</v>
      </c>
      <c r="X139" s="99"/>
      <c r="Y139" s="99"/>
      <c r="Z139" s="100"/>
      <c r="AA139" s="100"/>
      <c r="AB139" s="601"/>
      <c r="AC139" s="601"/>
      <c r="AD139" s="101"/>
      <c r="AE139" s="101"/>
      <c r="AF139" s="92">
        <f t="shared" si="59"/>
        <v>-185.45454545454709</v>
      </c>
      <c r="AG139" s="186">
        <f t="shared" si="60"/>
        <v>0.87121212121212011</v>
      </c>
      <c r="AH139" s="605"/>
    </row>
    <row r="140" spans="1:34" ht="19.149999999999999" customHeight="1">
      <c r="A140" s="614"/>
      <c r="B140" s="65" t="s">
        <v>390</v>
      </c>
      <c r="C140" s="147"/>
      <c r="D140" s="335" t="s">
        <v>201</v>
      </c>
      <c r="E140" s="133"/>
      <c r="F140" s="85">
        <v>50.67</v>
      </c>
      <c r="G140" s="104">
        <v>1017</v>
      </c>
      <c r="H140" s="135">
        <f t="shared" si="88"/>
        <v>51531.39</v>
      </c>
      <c r="I140" s="101"/>
      <c r="J140" s="89">
        <v>17</v>
      </c>
      <c r="K140" s="104">
        <v>1440</v>
      </c>
      <c r="L140" s="137">
        <v>84.705882352941174</v>
      </c>
      <c r="M140" s="310">
        <v>19</v>
      </c>
      <c r="N140" s="104">
        <f t="shared" si="89"/>
        <v>1245.30612244898</v>
      </c>
      <c r="O140" s="137">
        <f t="shared" si="90"/>
        <v>65.542427497314733</v>
      </c>
      <c r="P140" s="100">
        <f t="shared" si="85"/>
        <v>2</v>
      </c>
      <c r="Q140" s="139">
        <f t="shared" si="86"/>
        <v>-19.163454855626441</v>
      </c>
      <c r="R140" s="140">
        <f t="shared" si="87"/>
        <v>0.77376476906552116</v>
      </c>
      <c r="S140" s="617"/>
      <c r="T140" s="111">
        <v>0.93611111111111123</v>
      </c>
      <c r="U140" s="336">
        <v>0.97013888888888899</v>
      </c>
      <c r="V140" s="337">
        <v>7</v>
      </c>
      <c r="W140" s="88">
        <f t="shared" si="91"/>
        <v>48.999999999999986</v>
      </c>
      <c r="X140" s="99"/>
      <c r="Y140" s="99"/>
      <c r="Z140" s="100"/>
      <c r="AA140" s="100"/>
      <c r="AB140" s="601"/>
      <c r="AC140" s="601"/>
      <c r="AD140" s="101"/>
      <c r="AE140" s="101"/>
      <c r="AF140" s="92">
        <f t="shared" si="59"/>
        <v>-194.69387755102002</v>
      </c>
      <c r="AG140" s="186">
        <f t="shared" si="60"/>
        <v>0.86479591836734726</v>
      </c>
      <c r="AH140" s="605"/>
    </row>
    <row r="141" spans="1:34" ht="19.149999999999999" customHeight="1">
      <c r="A141" s="614"/>
      <c r="B141" s="65" t="s">
        <v>390</v>
      </c>
      <c r="C141" s="147"/>
      <c r="D141" s="83" t="s">
        <v>202</v>
      </c>
      <c r="E141" s="338"/>
      <c r="F141" s="85">
        <v>50.49</v>
      </c>
      <c r="G141" s="104">
        <v>1250</v>
      </c>
      <c r="H141" s="135">
        <f t="shared" si="88"/>
        <v>63112.5</v>
      </c>
      <c r="I141" s="101"/>
      <c r="J141" s="89">
        <v>15</v>
      </c>
      <c r="K141" s="86">
        <v>1440</v>
      </c>
      <c r="L141" s="90">
        <v>96</v>
      </c>
      <c r="M141" s="310">
        <v>15</v>
      </c>
      <c r="N141" s="104">
        <f t="shared" si="89"/>
        <v>1293.1034482758596</v>
      </c>
      <c r="O141" s="137">
        <f t="shared" si="90"/>
        <v>86.206896551723972</v>
      </c>
      <c r="P141" s="100">
        <f t="shared" si="85"/>
        <v>0</v>
      </c>
      <c r="Q141" s="139">
        <f t="shared" si="86"/>
        <v>-9.7931034482760282</v>
      </c>
      <c r="R141" s="257">
        <f t="shared" si="87"/>
        <v>0.89798850574712474</v>
      </c>
      <c r="S141" s="617"/>
      <c r="T141" s="111">
        <v>0.9736111111111112</v>
      </c>
      <c r="U141" s="336">
        <v>1.0138888888888891</v>
      </c>
      <c r="V141" s="102">
        <v>5</v>
      </c>
      <c r="W141" s="88">
        <f t="shared" si="91"/>
        <v>58.000000000000114</v>
      </c>
      <c r="X141" s="99"/>
      <c r="Y141" s="99"/>
      <c r="Z141" s="100"/>
      <c r="AA141" s="100"/>
      <c r="AB141" s="601"/>
      <c r="AC141" s="601"/>
      <c r="AD141" s="101"/>
      <c r="AE141" s="101"/>
      <c r="AF141" s="92">
        <f t="shared" si="59"/>
        <v>-146.89655172414041</v>
      </c>
      <c r="AG141" s="186">
        <f t="shared" si="60"/>
        <v>0.89798850574712474</v>
      </c>
      <c r="AH141" s="605"/>
    </row>
    <row r="142" spans="1:34" ht="19.149999999999999" customHeight="1">
      <c r="A142" s="614"/>
      <c r="B142" s="65">
        <v>0</v>
      </c>
      <c r="C142" s="147"/>
      <c r="D142" s="83"/>
      <c r="E142" s="338"/>
      <c r="F142" s="85" t="s">
        <v>391</v>
      </c>
      <c r="G142" s="104"/>
      <c r="H142" s="135">
        <f t="shared" si="88"/>
        <v>0</v>
      </c>
      <c r="I142" s="101"/>
      <c r="J142" s="138"/>
      <c r="K142" s="104"/>
      <c r="L142" s="137"/>
      <c r="M142" s="310"/>
      <c r="N142" s="104"/>
      <c r="O142" s="137"/>
      <c r="P142" s="100"/>
      <c r="Q142" s="139"/>
      <c r="R142" s="140"/>
      <c r="S142" s="617"/>
      <c r="T142" s="111"/>
      <c r="U142" s="336"/>
      <c r="V142" s="102"/>
      <c r="W142" s="88"/>
      <c r="X142" s="99"/>
      <c r="Y142" s="99"/>
      <c r="Z142" s="100"/>
      <c r="AA142" s="100"/>
      <c r="AB142" s="601"/>
      <c r="AC142" s="601"/>
      <c r="AD142" s="101"/>
      <c r="AE142" s="101"/>
      <c r="AF142" s="92">
        <f t="shared" si="59"/>
        <v>0</v>
      </c>
      <c r="AG142" s="186" t="e">
        <f t="shared" si="60"/>
        <v>#DIV/0!</v>
      </c>
      <c r="AH142" s="605"/>
    </row>
    <row r="143" spans="1:34" ht="19.149999999999999" customHeight="1">
      <c r="A143" s="614"/>
      <c r="B143" s="65">
        <v>0</v>
      </c>
      <c r="C143" s="339"/>
      <c r="D143" s="132"/>
      <c r="E143" s="133"/>
      <c r="F143" s="85" t="s">
        <v>391</v>
      </c>
      <c r="G143" s="104"/>
      <c r="H143" s="135">
        <f t="shared" si="88"/>
        <v>0</v>
      </c>
      <c r="I143" s="101"/>
      <c r="J143" s="89"/>
      <c r="K143" s="86"/>
      <c r="L143" s="90"/>
      <c r="M143" s="310"/>
      <c r="N143" s="104"/>
      <c r="O143" s="137"/>
      <c r="P143" s="100"/>
      <c r="Q143" s="139"/>
      <c r="R143" s="140"/>
      <c r="S143" s="617"/>
      <c r="T143" s="111"/>
      <c r="U143" s="336"/>
      <c r="V143" s="102"/>
      <c r="W143" s="88"/>
      <c r="X143" s="99"/>
      <c r="Y143" s="99"/>
      <c r="Z143" s="100"/>
      <c r="AA143" s="100"/>
      <c r="AB143" s="601"/>
      <c r="AC143" s="601"/>
      <c r="AD143" s="101"/>
      <c r="AE143" s="101"/>
      <c r="AF143" s="92">
        <f t="shared" si="59"/>
        <v>0</v>
      </c>
      <c r="AG143" s="186" t="e">
        <f t="shared" si="60"/>
        <v>#DIV/0!</v>
      </c>
      <c r="AH143" s="605"/>
    </row>
    <row r="144" spans="1:34" ht="19.149999999999999" customHeight="1">
      <c r="A144" s="614"/>
      <c r="B144" s="65">
        <v>0</v>
      </c>
      <c r="C144" s="147"/>
      <c r="D144" s="83"/>
      <c r="E144" s="338"/>
      <c r="F144" s="85" t="s">
        <v>391</v>
      </c>
      <c r="G144" s="104"/>
      <c r="H144" s="135">
        <f t="shared" si="88"/>
        <v>0</v>
      </c>
      <c r="I144" s="101"/>
      <c r="J144" s="89"/>
      <c r="K144" s="104"/>
      <c r="L144" s="137"/>
      <c r="M144" s="189"/>
      <c r="N144" s="104"/>
      <c r="O144" s="137"/>
      <c r="P144" s="100"/>
      <c r="Q144" s="139"/>
      <c r="R144" s="257"/>
      <c r="S144" s="617"/>
      <c r="T144" s="111"/>
      <c r="U144" s="336"/>
      <c r="V144" s="102"/>
      <c r="W144" s="88"/>
      <c r="X144" s="99"/>
      <c r="Y144" s="99"/>
      <c r="Z144" s="100"/>
      <c r="AA144" s="100"/>
      <c r="AB144" s="601"/>
      <c r="AC144" s="601"/>
      <c r="AD144" s="101"/>
      <c r="AE144" s="101"/>
      <c r="AF144" s="92">
        <f t="shared" si="59"/>
        <v>0</v>
      </c>
      <c r="AG144" s="186" t="e">
        <f t="shared" si="60"/>
        <v>#DIV/0!</v>
      </c>
      <c r="AH144" s="605"/>
    </row>
    <row r="145" spans="1:34" ht="19.149999999999999" customHeight="1">
      <c r="A145" s="614"/>
      <c r="B145" s="65">
        <v>0</v>
      </c>
      <c r="C145" s="147"/>
      <c r="D145" s="83"/>
      <c r="E145" s="338"/>
      <c r="F145" s="85" t="s">
        <v>391</v>
      </c>
      <c r="G145" s="104"/>
      <c r="H145" s="135">
        <f t="shared" si="88"/>
        <v>0</v>
      </c>
      <c r="I145" s="101"/>
      <c r="J145" s="138"/>
      <c r="K145" s="104"/>
      <c r="L145" s="137"/>
      <c r="M145" s="189"/>
      <c r="N145" s="104"/>
      <c r="O145" s="137"/>
      <c r="P145" s="100"/>
      <c r="Q145" s="139"/>
      <c r="R145" s="140"/>
      <c r="S145" s="617"/>
      <c r="T145" s="111"/>
      <c r="U145" s="336"/>
      <c r="V145" s="102"/>
      <c r="W145" s="88">
        <f t="shared" si="91"/>
        <v>0</v>
      </c>
      <c r="X145" s="99"/>
      <c r="Y145" s="99"/>
      <c r="Z145" s="100"/>
      <c r="AA145" s="100"/>
      <c r="AB145" s="601"/>
      <c r="AC145" s="601"/>
      <c r="AD145" s="101"/>
      <c r="AE145" s="101"/>
      <c r="AF145" s="92">
        <f t="shared" si="59"/>
        <v>0</v>
      </c>
      <c r="AG145" s="186" t="e">
        <f t="shared" si="60"/>
        <v>#DIV/0!</v>
      </c>
      <c r="AH145" s="605"/>
    </row>
    <row r="146" spans="1:34" ht="19.149999999999999" customHeight="1">
      <c r="A146" s="614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88"/>
        <v>0</v>
      </c>
      <c r="I146" s="101"/>
      <c r="J146" s="138"/>
      <c r="K146" s="104"/>
      <c r="L146" s="137"/>
      <c r="M146" s="189"/>
      <c r="N146" s="104"/>
      <c r="O146" s="137"/>
      <c r="P146" s="100"/>
      <c r="Q146" s="139"/>
      <c r="R146" s="140"/>
      <c r="S146" s="617"/>
      <c r="T146" s="111"/>
      <c r="U146" s="336"/>
      <c r="V146" s="102"/>
      <c r="W146" s="88">
        <f t="shared" si="91"/>
        <v>0</v>
      </c>
      <c r="X146" s="99"/>
      <c r="Y146" s="99"/>
      <c r="Z146" s="100"/>
      <c r="AA146" s="100"/>
      <c r="AB146" s="601"/>
      <c r="AC146" s="601"/>
      <c r="AD146" s="101"/>
      <c r="AE146" s="101"/>
      <c r="AF146" s="100"/>
      <c r="AG146" s="140"/>
      <c r="AH146" s="605"/>
    </row>
    <row r="147" spans="1:34" ht="19.149999999999999" customHeight="1">
      <c r="A147" s="615"/>
      <c r="B147" s="341">
        <v>0</v>
      </c>
      <c r="C147" s="156" t="s">
        <v>278</v>
      </c>
      <c r="D147" s="602" t="s">
        <v>256</v>
      </c>
      <c r="E147" s="602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2">AVERAGE(M135:M146)</f>
        <v>17.428571428571427</v>
      </c>
      <c r="N147" s="326">
        <f t="shared" si="92"/>
        <v>1294.2156704462654</v>
      </c>
      <c r="O147" s="327">
        <f t="shared" si="92"/>
        <v>74.825386673269477</v>
      </c>
      <c r="P147" s="97">
        <f t="shared" ref="P147:P152" si="93">M147-J147</f>
        <v>0.14285714285714235</v>
      </c>
      <c r="Q147" s="205">
        <f t="shared" ref="Q147:Q152" si="94">O147-L147</f>
        <v>-9.8309600759565257</v>
      </c>
      <c r="R147" s="343">
        <f t="shared" ref="R147:R152" si="95">O147/L147</f>
        <v>0.88387214363173061</v>
      </c>
      <c r="S147" s="618"/>
      <c r="T147" s="111"/>
      <c r="U147" s="111"/>
      <c r="V147" s="102"/>
      <c r="W147" s="88">
        <f t="shared" si="91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01"/>
      <c r="AC147" s="601"/>
      <c r="AD147" s="164">
        <f>SUM(AD135:AD146)</f>
        <v>0</v>
      </c>
      <c r="AE147" s="164">
        <f>SUM(AE135:AE146)</f>
        <v>0</v>
      </c>
      <c r="AF147" s="282">
        <f t="shared" si="59"/>
        <v>-162.92718669659166</v>
      </c>
      <c r="AG147" s="344">
        <f t="shared" si="60"/>
        <v>0.88818722481606449</v>
      </c>
      <c r="AH147" s="605"/>
    </row>
    <row r="148" spans="1:34" ht="19.149999999999999" customHeight="1">
      <c r="A148" s="608" t="s">
        <v>279</v>
      </c>
      <c r="B148" s="101" t="s">
        <v>390</v>
      </c>
      <c r="C148" s="182"/>
      <c r="D148" s="246" t="s">
        <v>204</v>
      </c>
      <c r="E148" s="84"/>
      <c r="F148" s="199">
        <v>57.3</v>
      </c>
      <c r="G148" s="104">
        <v>1162</v>
      </c>
      <c r="H148" s="135">
        <f t="shared" ref="H148:H172" si="96">F148*G148</f>
        <v>66582.599999999991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1245.0000000000009</v>
      </c>
      <c r="O148" s="90">
        <f>N148/M148</f>
        <v>69.166666666666714</v>
      </c>
      <c r="P148" s="92">
        <f t="shared" si="93"/>
        <v>-1</v>
      </c>
      <c r="Q148" s="93">
        <f t="shared" si="94"/>
        <v>-6.6228070175438063</v>
      </c>
      <c r="R148" s="94">
        <f t="shared" si="95"/>
        <v>0.91261574074074148</v>
      </c>
      <c r="S148" s="609">
        <f>R160</f>
        <v>0.87215712036792037</v>
      </c>
      <c r="T148" s="330">
        <v>0.70833333333333337</v>
      </c>
      <c r="U148" s="96">
        <v>0.74722222222222223</v>
      </c>
      <c r="V148" s="65">
        <v>5</v>
      </c>
      <c r="W148" s="88">
        <f>(U148-T148)*24*60</f>
        <v>55.999999999999957</v>
      </c>
      <c r="X148" s="99"/>
      <c r="Y148" s="99"/>
      <c r="Z148" s="100"/>
      <c r="AA148" s="100"/>
      <c r="AB148" s="601"/>
      <c r="AC148" s="601"/>
      <c r="AD148" s="101"/>
      <c r="AE148" s="101"/>
      <c r="AF148" s="92">
        <f t="shared" si="59"/>
        <v>-194.99999999999909</v>
      </c>
      <c r="AG148" s="186">
        <f t="shared" si="60"/>
        <v>0.86458333333333393</v>
      </c>
      <c r="AH148" s="605">
        <f>AG160</f>
        <v>0.84467916264866583</v>
      </c>
    </row>
    <row r="149" spans="1:34" ht="19.149999999999999" customHeight="1">
      <c r="A149" s="608"/>
      <c r="B149" s="101" t="s">
        <v>390</v>
      </c>
      <c r="C149" s="301"/>
      <c r="D149" s="335" t="s">
        <v>205</v>
      </c>
      <c r="E149" s="107"/>
      <c r="F149" s="199">
        <v>50.67</v>
      </c>
      <c r="G149" s="104">
        <v>772</v>
      </c>
      <c r="H149" s="135">
        <f t="shared" si="96"/>
        <v>39117.24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1286.6666666666656</v>
      </c>
      <c r="O149" s="90">
        <f>N149/M149</f>
        <v>75.686274509803866</v>
      </c>
      <c r="P149" s="92">
        <f t="shared" si="93"/>
        <v>1</v>
      </c>
      <c r="Q149" s="93">
        <f t="shared" si="94"/>
        <v>-14.313725490196134</v>
      </c>
      <c r="R149" s="94">
        <f t="shared" si="95"/>
        <v>0.84095860566448744</v>
      </c>
      <c r="S149" s="610"/>
      <c r="T149" s="330">
        <v>0.75138888888888888</v>
      </c>
      <c r="U149" s="96">
        <v>0.77638888888888891</v>
      </c>
      <c r="V149" s="65">
        <v>6</v>
      </c>
      <c r="W149" s="88">
        <f t="shared" ref="W149:W159" si="97">(U149-T149)*24*60</f>
        <v>36.000000000000028</v>
      </c>
      <c r="X149" s="99"/>
      <c r="Y149" s="99"/>
      <c r="Z149" s="100"/>
      <c r="AA149" s="100"/>
      <c r="AB149" s="601"/>
      <c r="AC149" s="601"/>
      <c r="AD149" s="101"/>
      <c r="AE149" s="101"/>
      <c r="AF149" s="92">
        <f t="shared" si="59"/>
        <v>-153.33333333333439</v>
      </c>
      <c r="AG149" s="186">
        <f t="shared" si="60"/>
        <v>0.89351851851851782</v>
      </c>
      <c r="AH149" s="611"/>
    </row>
    <row r="150" spans="1:34" ht="19.149999999999999" customHeight="1">
      <c r="A150" s="608"/>
      <c r="B150" s="101" t="s">
        <v>386</v>
      </c>
      <c r="C150" s="301"/>
      <c r="D150" s="249" t="s">
        <v>187</v>
      </c>
      <c r="E150" s="107"/>
      <c r="F150" s="199">
        <v>58.67</v>
      </c>
      <c r="G150" s="104">
        <v>495.75</v>
      </c>
      <c r="H150" s="135">
        <f t="shared" si="96"/>
        <v>29085.6525</v>
      </c>
      <c r="I150" s="345">
        <v>2</v>
      </c>
      <c r="J150" s="138">
        <v>19</v>
      </c>
      <c r="K150" s="104">
        <v>1440</v>
      </c>
      <c r="L150" s="137">
        <v>75.78947368421052</v>
      </c>
      <c r="M150" s="310">
        <v>16</v>
      </c>
      <c r="N150" s="86">
        <f>G150/W150*60</f>
        <v>1239.3749999999961</v>
      </c>
      <c r="O150" s="90">
        <f>N150/M150</f>
        <v>77.460937499999758</v>
      </c>
      <c r="P150" s="92">
        <f t="shared" si="93"/>
        <v>-3</v>
      </c>
      <c r="Q150" s="93">
        <f t="shared" si="94"/>
        <v>1.6714638157892381</v>
      </c>
      <c r="R150" s="94">
        <f t="shared" si="95"/>
        <v>1.0220540364583302</v>
      </c>
      <c r="S150" s="610"/>
      <c r="T150" s="330">
        <v>0.78125</v>
      </c>
      <c r="U150" s="96">
        <v>0.79791666666666672</v>
      </c>
      <c r="V150" s="65">
        <v>7</v>
      </c>
      <c r="W150" s="88">
        <f t="shared" si="97"/>
        <v>24.000000000000075</v>
      </c>
      <c r="X150" s="295"/>
      <c r="Y150" s="295"/>
      <c r="Z150" s="296"/>
      <c r="AA150" s="296"/>
      <c r="AB150" s="601"/>
      <c r="AC150" s="601"/>
      <c r="AD150" s="101"/>
      <c r="AE150" s="101"/>
      <c r="AF150" s="92">
        <f t="shared" si="59"/>
        <v>-200.62500000000387</v>
      </c>
      <c r="AG150" s="186">
        <f t="shared" si="60"/>
        <v>0.86067708333333059</v>
      </c>
      <c r="AH150" s="611"/>
    </row>
    <row r="151" spans="1:34" s="298" customFormat="1" ht="19.149999999999999" customHeight="1">
      <c r="A151" s="608"/>
      <c r="B151" s="101" t="s">
        <v>390</v>
      </c>
      <c r="C151" s="301"/>
      <c r="D151" s="106" t="s">
        <v>179</v>
      </c>
      <c r="E151" s="107"/>
      <c r="F151" s="199">
        <v>51.75</v>
      </c>
      <c r="G151" s="104">
        <v>324.75</v>
      </c>
      <c r="H151" s="135">
        <f t="shared" si="96"/>
        <v>16805.8125</v>
      </c>
      <c r="I151" s="345">
        <v>2</v>
      </c>
      <c r="J151" s="138">
        <v>21</v>
      </c>
      <c r="K151" s="104">
        <v>1500</v>
      </c>
      <c r="L151" s="137">
        <v>71.428571428571431</v>
      </c>
      <c r="M151" s="310">
        <v>20</v>
      </c>
      <c r="N151" s="86">
        <f>G151/W151*60</f>
        <v>1146.1764705882392</v>
      </c>
      <c r="O151" s="90">
        <f>N151/M151</f>
        <v>57.30882352941196</v>
      </c>
      <c r="P151" s="92">
        <f t="shared" si="93"/>
        <v>-1</v>
      </c>
      <c r="Q151" s="93">
        <f t="shared" si="94"/>
        <v>-14.119747899159471</v>
      </c>
      <c r="R151" s="94">
        <f t="shared" si="95"/>
        <v>0.80232352941176743</v>
      </c>
      <c r="S151" s="610"/>
      <c r="T151" s="330">
        <v>0.80208333333333337</v>
      </c>
      <c r="U151" s="96">
        <v>0.81388888888888888</v>
      </c>
      <c r="V151" s="65">
        <v>6</v>
      </c>
      <c r="W151" s="88">
        <f t="shared" si="97"/>
        <v>16.99999999999994</v>
      </c>
      <c r="X151" s="295"/>
      <c r="Y151" s="295"/>
      <c r="Z151" s="296"/>
      <c r="AA151" s="296"/>
      <c r="AB151" s="601"/>
      <c r="AC151" s="601"/>
      <c r="AD151" s="301"/>
      <c r="AE151" s="301"/>
      <c r="AF151" s="92">
        <f t="shared" si="59"/>
        <v>-353.82352941176077</v>
      </c>
      <c r="AG151" s="186">
        <f t="shared" si="60"/>
        <v>0.76411764705882612</v>
      </c>
      <c r="AH151" s="611"/>
    </row>
    <row r="152" spans="1:34" s="298" customFormat="1" ht="19.149999999999999" customHeight="1">
      <c r="A152" s="608"/>
      <c r="B152" s="101" t="s">
        <v>390</v>
      </c>
      <c r="C152" s="301"/>
      <c r="D152" s="335" t="s">
        <v>206</v>
      </c>
      <c r="E152" s="107"/>
      <c r="F152" s="199">
        <v>57.3</v>
      </c>
      <c r="G152" s="104">
        <v>1519</v>
      </c>
      <c r="H152" s="135">
        <f t="shared" si="96"/>
        <v>87038.7</v>
      </c>
      <c r="I152" s="345"/>
      <c r="J152" s="138">
        <v>17</v>
      </c>
      <c r="K152" s="104">
        <v>1500</v>
      </c>
      <c r="L152" s="137">
        <v>88.235294117647058</v>
      </c>
      <c r="M152" s="310">
        <v>18</v>
      </c>
      <c r="N152" s="86">
        <f>G152/W152*60</f>
        <v>1265.8333333333323</v>
      </c>
      <c r="O152" s="90">
        <f>N152/M152</f>
        <v>70.324074074074019</v>
      </c>
      <c r="P152" s="92">
        <f t="shared" si="93"/>
        <v>1</v>
      </c>
      <c r="Q152" s="93">
        <f t="shared" si="94"/>
        <v>-17.911220043573039</v>
      </c>
      <c r="R152" s="94">
        <f t="shared" si="95"/>
        <v>0.79700617283950559</v>
      </c>
      <c r="S152" s="610"/>
      <c r="T152" s="346">
        <v>0.82916666666666661</v>
      </c>
      <c r="U152" s="111">
        <v>0.87916666666666665</v>
      </c>
      <c r="V152" s="109">
        <v>22</v>
      </c>
      <c r="W152" s="88">
        <f t="shared" si="97"/>
        <v>72.000000000000057</v>
      </c>
      <c r="X152" s="299">
        <v>0.81736111111111109</v>
      </c>
      <c r="Y152" s="299">
        <v>0.82638888888888884</v>
      </c>
      <c r="Z152" s="296"/>
      <c r="AA152" s="296"/>
      <c r="AB152" s="601"/>
      <c r="AC152" s="601"/>
      <c r="AD152" s="301"/>
      <c r="AE152" s="301"/>
      <c r="AF152" s="92">
        <f t="shared" si="59"/>
        <v>-234.16666666666765</v>
      </c>
      <c r="AG152" s="186">
        <f t="shared" si="60"/>
        <v>0.84388888888888824</v>
      </c>
      <c r="AH152" s="611"/>
    </row>
    <row r="153" spans="1:34" s="298" customFormat="1" ht="19.149999999999999" customHeight="1">
      <c r="A153" s="608"/>
      <c r="B153" s="101">
        <v>0</v>
      </c>
      <c r="C153" s="301"/>
      <c r="D153" s="335"/>
      <c r="E153" s="107"/>
      <c r="F153" s="199" t="s">
        <v>391</v>
      </c>
      <c r="G153" s="104"/>
      <c r="H153" s="135">
        <f t="shared" si="96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4"/>
      <c r="S153" s="610"/>
      <c r="T153" s="346"/>
      <c r="U153" s="111"/>
      <c r="V153" s="109"/>
      <c r="W153" s="88">
        <f t="shared" si="97"/>
        <v>0</v>
      </c>
      <c r="X153" s="299"/>
      <c r="Y153" s="299"/>
      <c r="Z153" s="296"/>
      <c r="AA153" s="296"/>
      <c r="AB153" s="601"/>
      <c r="AC153" s="601"/>
      <c r="AD153" s="301"/>
      <c r="AE153" s="301"/>
      <c r="AF153" s="92">
        <f t="shared" si="59"/>
        <v>0</v>
      </c>
      <c r="AG153" s="186" t="e">
        <f t="shared" si="60"/>
        <v>#DIV/0!</v>
      </c>
      <c r="AH153" s="611"/>
    </row>
    <row r="154" spans="1:34" s="298" customFormat="1" ht="19.149999999999999" customHeight="1">
      <c r="A154" s="608"/>
      <c r="B154" s="101">
        <v>0</v>
      </c>
      <c r="C154" s="301"/>
      <c r="D154" s="335"/>
      <c r="E154" s="107"/>
      <c r="F154" s="199" t="s">
        <v>391</v>
      </c>
      <c r="G154" s="104"/>
      <c r="H154" s="135">
        <f t="shared" si="96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10"/>
      <c r="T154" s="346"/>
      <c r="U154" s="111"/>
      <c r="V154" s="109"/>
      <c r="W154" s="88">
        <f t="shared" si="97"/>
        <v>0</v>
      </c>
      <c r="X154" s="299"/>
      <c r="Y154" s="299"/>
      <c r="Z154" s="296"/>
      <c r="AA154" s="296"/>
      <c r="AB154" s="601"/>
      <c r="AC154" s="601"/>
      <c r="AD154" s="301"/>
      <c r="AE154" s="301"/>
      <c r="AF154" s="92">
        <f t="shared" si="59"/>
        <v>0</v>
      </c>
      <c r="AG154" s="186" t="e">
        <f t="shared" si="60"/>
        <v>#DIV/0!</v>
      </c>
      <c r="AH154" s="611"/>
    </row>
    <row r="155" spans="1:34" s="298" customFormat="1" ht="19.149999999999999" customHeight="1">
      <c r="A155" s="608"/>
      <c r="B155" s="101">
        <v>0</v>
      </c>
      <c r="C155" s="301"/>
      <c r="D155" s="335"/>
      <c r="E155" s="107"/>
      <c r="F155" s="199" t="s">
        <v>391</v>
      </c>
      <c r="G155" s="104"/>
      <c r="H155" s="135">
        <f t="shared" si="96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10"/>
      <c r="T155" s="346"/>
      <c r="U155" s="111"/>
      <c r="V155" s="109"/>
      <c r="W155" s="88">
        <f t="shared" si="97"/>
        <v>0</v>
      </c>
      <c r="X155" s="299"/>
      <c r="Y155" s="299"/>
      <c r="Z155" s="296"/>
      <c r="AA155" s="296"/>
      <c r="AB155" s="601"/>
      <c r="AC155" s="601"/>
      <c r="AD155" s="301"/>
      <c r="AE155" s="301"/>
      <c r="AF155" s="349"/>
      <c r="AG155" s="191"/>
      <c r="AH155" s="611"/>
    </row>
    <row r="156" spans="1:34" s="298" customFormat="1" ht="19.149999999999999" customHeight="1">
      <c r="A156" s="608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6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10"/>
      <c r="T156" s="346"/>
      <c r="U156" s="111"/>
      <c r="V156" s="109"/>
      <c r="W156" s="350">
        <f t="shared" si="97"/>
        <v>0</v>
      </c>
      <c r="X156" s="299"/>
      <c r="Y156" s="299"/>
      <c r="Z156" s="296"/>
      <c r="AA156" s="296"/>
      <c r="AB156" s="601"/>
      <c r="AC156" s="601"/>
      <c r="AD156" s="301"/>
      <c r="AE156" s="301"/>
      <c r="AF156" s="349"/>
      <c r="AG156" s="191"/>
      <c r="AH156" s="611"/>
    </row>
    <row r="157" spans="1:34" s="298" customFormat="1" ht="19.149999999999999" customHeight="1">
      <c r="A157" s="608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6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10"/>
      <c r="T157" s="346"/>
      <c r="U157" s="111"/>
      <c r="V157" s="109"/>
      <c r="W157" s="350">
        <f t="shared" si="97"/>
        <v>0</v>
      </c>
      <c r="X157" s="299"/>
      <c r="Y157" s="299"/>
      <c r="Z157" s="296"/>
      <c r="AA157" s="296"/>
      <c r="AB157" s="601"/>
      <c r="AC157" s="601"/>
      <c r="AD157" s="301"/>
      <c r="AE157" s="301"/>
      <c r="AF157" s="349"/>
      <c r="AG157" s="191"/>
      <c r="AH157" s="611"/>
    </row>
    <row r="158" spans="1:34" s="298" customFormat="1" ht="19.149999999999999" customHeight="1">
      <c r="A158" s="608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6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10"/>
      <c r="T158" s="346"/>
      <c r="U158" s="111"/>
      <c r="V158" s="109"/>
      <c r="W158" s="350">
        <f t="shared" si="97"/>
        <v>0</v>
      </c>
      <c r="X158" s="299"/>
      <c r="Y158" s="299"/>
      <c r="Z158" s="296"/>
      <c r="AA158" s="296"/>
      <c r="AB158" s="601"/>
      <c r="AC158" s="601"/>
      <c r="AD158" s="301"/>
      <c r="AE158" s="301"/>
      <c r="AF158" s="349"/>
      <c r="AG158" s="191"/>
      <c r="AH158" s="611"/>
    </row>
    <row r="159" spans="1:34" s="298" customFormat="1" ht="19.149999999999999" customHeight="1">
      <c r="A159" s="608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6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10"/>
      <c r="T159" s="346"/>
      <c r="U159" s="111"/>
      <c r="V159" s="109"/>
      <c r="W159" s="351">
        <f t="shared" si="97"/>
        <v>0</v>
      </c>
      <c r="X159" s="299"/>
      <c r="Y159" s="299"/>
      <c r="Z159" s="296"/>
      <c r="AA159" s="296"/>
      <c r="AB159" s="601"/>
      <c r="AC159" s="601"/>
      <c r="AD159" s="301"/>
      <c r="AE159" s="301"/>
      <c r="AF159" s="349"/>
      <c r="AG159" s="191"/>
      <c r="AH159" s="611"/>
    </row>
    <row r="160" spans="1:34" ht="19.149999999999999" customHeight="1">
      <c r="A160" s="608"/>
      <c r="B160" s="352">
        <v>0</v>
      </c>
      <c r="C160" s="353" t="s">
        <v>280</v>
      </c>
      <c r="D160" s="606" t="s">
        <v>256</v>
      </c>
      <c r="E160" s="607"/>
      <c r="F160" s="119"/>
      <c r="G160" s="280"/>
      <c r="H160" s="279"/>
      <c r="I160" s="122"/>
      <c r="J160" s="354">
        <v>18.399999999999999</v>
      </c>
      <c r="K160" s="354">
        <v>1464</v>
      </c>
      <c r="L160" s="355">
        <v>80.248562582927917</v>
      </c>
      <c r="M160" s="354">
        <f t="shared" ref="M160:O160" si="98">AVERAGE(M148:M159)</f>
        <v>17.8</v>
      </c>
      <c r="N160" s="354">
        <f t="shared" si="98"/>
        <v>1236.6102941176468</v>
      </c>
      <c r="O160" s="355">
        <f t="shared" si="98"/>
        <v>69.989355255991256</v>
      </c>
      <c r="P160" s="113">
        <f t="shared" ref="P160:P165" si="99">M160-J160</f>
        <v>-0.59999999999999787</v>
      </c>
      <c r="Q160" s="124">
        <f t="shared" ref="Q160:Q165" si="100">O160-L160</f>
        <v>-10.259207326936661</v>
      </c>
      <c r="R160" s="356">
        <f>O160/L160</f>
        <v>0.87215712036792037</v>
      </c>
      <c r="S160" s="610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01"/>
      <c r="AC160" s="601"/>
      <c r="AD160" s="129">
        <f>SUM(AD148:AD159)</f>
        <v>0</v>
      </c>
      <c r="AE160" s="129">
        <f>SUM(AE148:AE159)</f>
        <v>0</v>
      </c>
      <c r="AF160" s="113">
        <f t="shared" si="59"/>
        <v>-227.38970588235316</v>
      </c>
      <c r="AG160" s="191">
        <f t="shared" si="60"/>
        <v>0.84467916264866583</v>
      </c>
      <c r="AH160" s="611"/>
    </row>
    <row r="161" spans="1:36" ht="19.149999999999999" customHeight="1">
      <c r="A161" s="604" t="s">
        <v>281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2664</v>
      </c>
      <c r="H161" s="135">
        <f t="shared" ref="H161:H170" si="101">F161*G161</f>
        <v>91188.719999999987</v>
      </c>
      <c r="I161" s="101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2">G161/W161*60</f>
        <v>2219.9999999999991</v>
      </c>
      <c r="O161" s="137">
        <f t="shared" ref="O161:O165" si="103">N161/M161</f>
        <v>184.99999999999991</v>
      </c>
      <c r="P161" s="100">
        <f t="shared" si="99"/>
        <v>0</v>
      </c>
      <c r="Q161" s="139">
        <f t="shared" si="100"/>
        <v>-2.5000000000000853</v>
      </c>
      <c r="R161" s="140">
        <f t="shared" ref="R161:R165" si="104">O161/L161</f>
        <v>0.98666666666666625</v>
      </c>
      <c r="S161" s="605">
        <f>R173</f>
        <v>0.98097948011126468</v>
      </c>
      <c r="T161" s="142">
        <v>0.16666666666666666</v>
      </c>
      <c r="U161" s="142">
        <v>0.21666666666666667</v>
      </c>
      <c r="V161" s="101">
        <v>5</v>
      </c>
      <c r="W161" s="143">
        <f t="shared" ref="W161:W165" si="105">(U161-T161)*24*60</f>
        <v>72.000000000000028</v>
      </c>
      <c r="X161" s="151"/>
      <c r="Y161" s="151"/>
      <c r="Z161" s="100"/>
      <c r="AA161" s="100"/>
      <c r="AB161" s="601"/>
      <c r="AC161" s="601"/>
      <c r="AD161" s="101"/>
      <c r="AE161" s="101"/>
      <c r="AF161" s="100">
        <f t="shared" si="59"/>
        <v>-30.000000000000909</v>
      </c>
      <c r="AG161" s="140">
        <f t="shared" si="60"/>
        <v>0.98666666666666625</v>
      </c>
      <c r="AH161" s="605">
        <f>AG173</f>
        <v>0.98084100571159372</v>
      </c>
    </row>
    <row r="162" spans="1:36" ht="19.149999999999999" customHeight="1">
      <c r="A162" s="604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3989</v>
      </c>
      <c r="H162" s="135">
        <f t="shared" si="101"/>
        <v>136543.47</v>
      </c>
      <c r="I162" s="101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2"/>
        <v>2156.2162162162153</v>
      </c>
      <c r="O162" s="137">
        <f t="shared" si="103"/>
        <v>165.86278586278578</v>
      </c>
      <c r="P162" s="100">
        <f t="shared" si="99"/>
        <v>0</v>
      </c>
      <c r="Q162" s="139">
        <f t="shared" si="100"/>
        <v>-7.2141372141372813</v>
      </c>
      <c r="R162" s="140">
        <f t="shared" si="104"/>
        <v>0.95831831831831793</v>
      </c>
      <c r="S162" s="605"/>
      <c r="T162" s="142">
        <v>0.22083333333333335</v>
      </c>
      <c r="U162" s="142">
        <v>0.29791666666666672</v>
      </c>
      <c r="V162" s="101">
        <v>6</v>
      </c>
      <c r="W162" s="143">
        <f t="shared" si="105"/>
        <v>111.00000000000004</v>
      </c>
      <c r="X162" s="151"/>
      <c r="Y162" s="151"/>
      <c r="Z162" s="100"/>
      <c r="AA162" s="100"/>
      <c r="AB162" s="601"/>
      <c r="AC162" s="601"/>
      <c r="AD162" s="101"/>
      <c r="AE162" s="101"/>
      <c r="AF162" s="100">
        <f t="shared" si="59"/>
        <v>-93.783783783784656</v>
      </c>
      <c r="AG162" s="140">
        <f t="shared" si="60"/>
        <v>0.95831831831831793</v>
      </c>
      <c r="AH162" s="605"/>
    </row>
    <row r="163" spans="1:36" ht="19.149999999999999" customHeight="1">
      <c r="A163" s="604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2972</v>
      </c>
      <c r="H163" s="135">
        <f t="shared" si="101"/>
        <v>101731.56</v>
      </c>
      <c r="I163" s="101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2"/>
        <v>2228.9999999999991</v>
      </c>
      <c r="O163" s="137">
        <f t="shared" si="103"/>
        <v>185.74999999999991</v>
      </c>
      <c r="P163" s="100">
        <f t="shared" si="99"/>
        <v>0</v>
      </c>
      <c r="Q163" s="139">
        <f t="shared" si="100"/>
        <v>-1.7500000000000853</v>
      </c>
      <c r="R163" s="140">
        <f t="shared" si="104"/>
        <v>0.99066666666666625</v>
      </c>
      <c r="S163" s="605"/>
      <c r="T163" s="142">
        <v>0.33958333333333335</v>
      </c>
      <c r="U163" s="142">
        <v>0.39513888888888893</v>
      </c>
      <c r="V163" s="101">
        <v>7</v>
      </c>
      <c r="W163" s="143">
        <f t="shared" si="105"/>
        <v>80.000000000000028</v>
      </c>
      <c r="X163" s="151"/>
      <c r="Y163" s="151"/>
      <c r="Z163" s="100"/>
      <c r="AA163" s="100"/>
      <c r="AB163" s="601"/>
      <c r="AC163" s="601"/>
      <c r="AD163" s="101"/>
      <c r="AE163" s="101"/>
      <c r="AF163" s="100">
        <f t="shared" si="59"/>
        <v>-21.000000000000909</v>
      </c>
      <c r="AG163" s="140">
        <f t="shared" si="60"/>
        <v>0.99066666666666625</v>
      </c>
      <c r="AH163" s="605"/>
    </row>
    <row r="164" spans="1:36" ht="19.149999999999999" customHeight="1">
      <c r="A164" s="604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5753</v>
      </c>
      <c r="H164" s="135">
        <f t="shared" si="101"/>
        <v>206129.99</v>
      </c>
      <c r="I164" s="101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2"/>
        <v>2256.0784313725485</v>
      </c>
      <c r="O164" s="137">
        <f t="shared" si="103"/>
        <v>205.09803921568621</v>
      </c>
      <c r="P164" s="100">
        <f t="shared" si="99"/>
        <v>0</v>
      </c>
      <c r="Q164" s="139">
        <f t="shared" si="100"/>
        <v>0.55258467023168123</v>
      </c>
      <c r="R164" s="140">
        <f t="shared" si="104"/>
        <v>1.002701525054466</v>
      </c>
      <c r="S164" s="605"/>
      <c r="T164" s="142">
        <v>0.41041666666666671</v>
      </c>
      <c r="U164" s="142">
        <v>0.51666666666666672</v>
      </c>
      <c r="V164" s="101">
        <v>22</v>
      </c>
      <c r="W164" s="143">
        <f t="shared" si="105"/>
        <v>153.00000000000003</v>
      </c>
      <c r="X164" s="151">
        <v>0.39861111111111108</v>
      </c>
      <c r="Y164" s="151">
        <v>0.40763888888888888</v>
      </c>
      <c r="Z164" s="100"/>
      <c r="AA164" s="100"/>
      <c r="AB164" s="601"/>
      <c r="AC164" s="601"/>
      <c r="AD164" s="101"/>
      <c r="AE164" s="101">
        <v>1</v>
      </c>
      <c r="AF164" s="100">
        <f t="shared" si="59"/>
        <v>6.0784313725484935</v>
      </c>
      <c r="AG164" s="140">
        <f t="shared" si="60"/>
        <v>1.002701525054466</v>
      </c>
      <c r="AH164" s="605"/>
    </row>
    <row r="165" spans="1:36" ht="19.149999999999999" customHeight="1">
      <c r="A165" s="604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5215.6000000000004</v>
      </c>
      <c r="H165" s="135">
        <f t="shared" si="101"/>
        <v>189899.99599999998</v>
      </c>
      <c r="I165" s="101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2"/>
        <v>2173.1666666666674</v>
      </c>
      <c r="O165" s="137">
        <f t="shared" si="103"/>
        <v>217.31666666666675</v>
      </c>
      <c r="P165" s="100">
        <f t="shared" si="99"/>
        <v>0</v>
      </c>
      <c r="Q165" s="139">
        <f t="shared" si="100"/>
        <v>-7.6833333333332519</v>
      </c>
      <c r="R165" s="140">
        <f t="shared" si="104"/>
        <v>0.96585185185185218</v>
      </c>
      <c r="S165" s="605"/>
      <c r="T165" s="142">
        <v>0.53125</v>
      </c>
      <c r="U165" s="142">
        <v>0.63124999999999998</v>
      </c>
      <c r="V165" s="101">
        <v>21</v>
      </c>
      <c r="W165" s="143">
        <f t="shared" si="105"/>
        <v>143.99999999999997</v>
      </c>
      <c r="X165" s="151">
        <v>0.52013888888888882</v>
      </c>
      <c r="Y165" s="151">
        <v>0.52847222222222223</v>
      </c>
      <c r="Z165" s="100"/>
      <c r="AA165" s="100"/>
      <c r="AB165" s="601"/>
      <c r="AC165" s="601"/>
      <c r="AD165" s="101"/>
      <c r="AE165" s="101"/>
      <c r="AF165" s="100">
        <f t="shared" si="59"/>
        <v>-76.833333333332575</v>
      </c>
      <c r="AG165" s="140">
        <f t="shared" si="60"/>
        <v>0.96585185185185218</v>
      </c>
      <c r="AH165" s="605"/>
    </row>
    <row r="166" spans="1:36" ht="19.149999999999999" customHeight="1">
      <c r="A166" s="604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1"/>
        <v>0</v>
      </c>
      <c r="I166" s="101"/>
      <c r="J166" s="138"/>
      <c r="K166" s="104"/>
      <c r="L166" s="137"/>
      <c r="M166" s="138"/>
      <c r="N166" s="104"/>
      <c r="O166" s="137"/>
      <c r="P166" s="100"/>
      <c r="Q166" s="139"/>
      <c r="R166" s="140"/>
      <c r="S166" s="605"/>
      <c r="T166" s="142"/>
      <c r="U166" s="142"/>
      <c r="V166" s="101"/>
      <c r="W166" s="143"/>
      <c r="X166" s="151"/>
      <c r="Y166" s="151"/>
      <c r="Z166" s="100"/>
      <c r="AA166" s="100"/>
      <c r="AB166" s="601"/>
      <c r="AC166" s="601"/>
      <c r="AD166" s="101"/>
      <c r="AE166" s="101"/>
      <c r="AF166" s="100">
        <f t="shared" si="59"/>
        <v>0</v>
      </c>
      <c r="AG166" s="140" t="e">
        <f t="shared" si="60"/>
        <v>#DIV/0!</v>
      </c>
      <c r="AH166" s="605"/>
    </row>
    <row r="167" spans="1:36" ht="19.149999999999999" customHeight="1">
      <c r="A167" s="604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1"/>
        <v>0</v>
      </c>
      <c r="I167" s="101"/>
      <c r="J167" s="138"/>
      <c r="K167" s="104"/>
      <c r="L167" s="137"/>
      <c r="M167" s="138"/>
      <c r="N167" s="104"/>
      <c r="O167" s="137"/>
      <c r="P167" s="100"/>
      <c r="Q167" s="139"/>
      <c r="R167" s="140"/>
      <c r="S167" s="605"/>
      <c r="T167" s="142"/>
      <c r="U167" s="142"/>
      <c r="V167" s="101"/>
      <c r="W167" s="143"/>
      <c r="X167" s="151"/>
      <c r="Y167" s="151"/>
      <c r="Z167" s="100"/>
      <c r="AA167" s="100"/>
      <c r="AB167" s="601"/>
      <c r="AC167" s="601"/>
      <c r="AD167" s="101"/>
      <c r="AE167" s="101"/>
      <c r="AF167" s="100">
        <f t="shared" si="59"/>
        <v>0</v>
      </c>
      <c r="AG167" s="140" t="e">
        <f t="shared" si="60"/>
        <v>#DIV/0!</v>
      </c>
      <c r="AH167" s="605"/>
    </row>
    <row r="168" spans="1:36" ht="19.149999999999999" customHeight="1">
      <c r="A168" s="604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1"/>
        <v>0</v>
      </c>
      <c r="I168" s="101"/>
      <c r="J168" s="138"/>
      <c r="K168" s="104"/>
      <c r="L168" s="137"/>
      <c r="M168" s="138"/>
      <c r="N168" s="104"/>
      <c r="O168" s="137"/>
      <c r="P168" s="100"/>
      <c r="Q168" s="139"/>
      <c r="R168" s="140"/>
      <c r="S168" s="605"/>
      <c r="T168" s="142"/>
      <c r="U168" s="142"/>
      <c r="V168" s="101"/>
      <c r="W168" s="143"/>
      <c r="X168" s="151"/>
      <c r="Y168" s="151"/>
      <c r="Z168" s="100"/>
      <c r="AA168" s="100"/>
      <c r="AB168" s="601"/>
      <c r="AC168" s="601"/>
      <c r="AD168" s="101"/>
      <c r="AE168" s="101"/>
      <c r="AF168" s="100">
        <f t="shared" si="59"/>
        <v>0</v>
      </c>
      <c r="AG168" s="140" t="e">
        <f t="shared" si="60"/>
        <v>#DIV/0!</v>
      </c>
      <c r="AH168" s="605"/>
    </row>
    <row r="169" spans="1:36" ht="19.149999999999999" customHeight="1">
      <c r="A169" s="604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1"/>
        <v>0</v>
      </c>
      <c r="I169" s="101"/>
      <c r="J169" s="138"/>
      <c r="K169" s="104"/>
      <c r="L169" s="137"/>
      <c r="M169" s="138"/>
      <c r="N169" s="104"/>
      <c r="O169" s="137"/>
      <c r="P169" s="100"/>
      <c r="Q169" s="139"/>
      <c r="R169" s="140"/>
      <c r="S169" s="605"/>
      <c r="T169" s="142"/>
      <c r="U169" s="142"/>
      <c r="V169" s="101" t="s">
        <v>49</v>
      </c>
      <c r="W169" s="143">
        <f>(U169-T169)*24*60</f>
        <v>0</v>
      </c>
      <c r="X169" s="151"/>
      <c r="Y169" s="151"/>
      <c r="Z169" s="100"/>
      <c r="AA169" s="100"/>
      <c r="AB169" s="601"/>
      <c r="AC169" s="601"/>
      <c r="AD169" s="101"/>
      <c r="AE169" s="101"/>
      <c r="AF169" s="100">
        <f t="shared" si="59"/>
        <v>0</v>
      </c>
      <c r="AG169" s="140" t="e">
        <f t="shared" si="60"/>
        <v>#DIV/0!</v>
      </c>
      <c r="AH169" s="605"/>
    </row>
    <row r="170" spans="1:36" ht="19.149999999999999" customHeight="1">
      <c r="A170" s="604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1"/>
        <v>0</v>
      </c>
      <c r="I170" s="101"/>
      <c r="J170" s="138"/>
      <c r="K170" s="104"/>
      <c r="L170" s="137"/>
      <c r="M170" s="138"/>
      <c r="N170" s="104"/>
      <c r="O170" s="137"/>
      <c r="P170" s="100"/>
      <c r="Q170" s="139"/>
      <c r="R170" s="140"/>
      <c r="S170" s="605"/>
      <c r="T170" s="142"/>
      <c r="U170" s="142"/>
      <c r="V170" s="101"/>
      <c r="W170" s="143">
        <f>(U170-T170)*24*60</f>
        <v>0</v>
      </c>
      <c r="X170" s="151"/>
      <c r="Y170" s="151"/>
      <c r="Z170" s="100"/>
      <c r="AA170" s="100"/>
      <c r="AB170" s="601"/>
      <c r="AC170" s="601"/>
      <c r="AD170" s="101"/>
      <c r="AE170" s="101"/>
      <c r="AF170" s="100">
        <f t="shared" si="59"/>
        <v>0</v>
      </c>
      <c r="AG170" s="140" t="e">
        <f t="shared" si="60"/>
        <v>#DIV/0!</v>
      </c>
      <c r="AH170" s="605"/>
    </row>
    <row r="171" spans="1:36" ht="19.149999999999999" customHeight="1">
      <c r="A171" s="604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6"/>
        <v>0</v>
      </c>
      <c r="I171" s="101"/>
      <c r="J171" s="138"/>
      <c r="K171" s="104"/>
      <c r="L171" s="137"/>
      <c r="M171" s="138"/>
      <c r="N171" s="104"/>
      <c r="O171" s="137"/>
      <c r="P171" s="100"/>
      <c r="Q171" s="139"/>
      <c r="R171" s="140"/>
      <c r="S171" s="605"/>
      <c r="T171" s="142"/>
      <c r="U171" s="142"/>
      <c r="V171" s="101"/>
      <c r="W171" s="143">
        <f>(U171-T171)*24*60</f>
        <v>0</v>
      </c>
      <c r="X171" s="151"/>
      <c r="Y171" s="151"/>
      <c r="Z171" s="100"/>
      <c r="AA171" s="100"/>
      <c r="AB171" s="601"/>
      <c r="AC171" s="601"/>
      <c r="AD171" s="101"/>
      <c r="AE171" s="101"/>
      <c r="AF171" s="100"/>
      <c r="AG171" s="140"/>
      <c r="AH171" s="605"/>
    </row>
    <row r="172" spans="1:36" ht="19.149999999999999" customHeight="1">
      <c r="A172" s="604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6"/>
        <v>0</v>
      </c>
      <c r="I172" s="101"/>
      <c r="J172" s="138"/>
      <c r="K172" s="104"/>
      <c r="L172" s="137"/>
      <c r="M172" s="138"/>
      <c r="N172" s="104"/>
      <c r="O172" s="137"/>
      <c r="P172" s="100"/>
      <c r="Q172" s="139"/>
      <c r="R172" s="140"/>
      <c r="S172" s="605"/>
      <c r="T172" s="142"/>
      <c r="U172" s="142"/>
      <c r="V172" s="101"/>
      <c r="W172" s="143">
        <f>(U172-T172)*24*60</f>
        <v>0</v>
      </c>
      <c r="X172" s="151"/>
      <c r="Y172" s="151"/>
      <c r="Z172" s="100"/>
      <c r="AA172" s="100"/>
      <c r="AB172" s="601"/>
      <c r="AC172" s="601"/>
      <c r="AD172" s="101"/>
      <c r="AE172" s="101"/>
      <c r="AF172" s="100"/>
      <c r="AG172" s="140"/>
      <c r="AH172" s="605"/>
    </row>
    <row r="173" spans="1:36" ht="19.149999999999999" customHeight="1">
      <c r="A173" s="604"/>
      <c r="B173" s="182">
        <v>0</v>
      </c>
      <c r="C173" s="156" t="s">
        <v>282</v>
      </c>
      <c r="D173" s="602" t="s">
        <v>256</v>
      </c>
      <c r="E173" s="602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6">AVERAGE(M161:M172)</f>
        <v>11.6</v>
      </c>
      <c r="N173" s="158">
        <f t="shared" si="106"/>
        <v>2206.8922628510859</v>
      </c>
      <c r="O173" s="161">
        <f t="shared" si="106"/>
        <v>191.80549834902769</v>
      </c>
      <c r="P173" s="100">
        <f>M173-J173</f>
        <v>0</v>
      </c>
      <c r="Q173" s="139">
        <f>O173-L173</f>
        <v>-3.7189771754478329</v>
      </c>
      <c r="R173" s="162">
        <f>O173/L173</f>
        <v>0.98097948011126468</v>
      </c>
      <c r="S173" s="605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03"/>
      <c r="AC173" s="603"/>
      <c r="AD173" s="164">
        <f>SUM(AD161:AD172)</f>
        <v>0</v>
      </c>
      <c r="AE173" s="164">
        <f>SUM(AE161:AE172)</f>
        <v>1</v>
      </c>
      <c r="AF173" s="100">
        <f t="shared" si="59"/>
        <v>-43.107737148914111</v>
      </c>
      <c r="AG173" s="140">
        <f t="shared" si="60"/>
        <v>0.98084100571159372</v>
      </c>
      <c r="AH173" s="605"/>
    </row>
    <row r="174" spans="1:36" ht="19.149999999999999" customHeight="1">
      <c r="AJ174" s="361" t="s">
        <v>212</v>
      </c>
    </row>
    <row r="175" spans="1:36" ht="19.149999999999999" customHeight="1">
      <c r="AJ175" s="361" t="s">
        <v>214</v>
      </c>
    </row>
    <row r="176" spans="1:36" ht="19.149999999999999" customHeight="1">
      <c r="AJ176" s="361" t="s">
        <v>283</v>
      </c>
    </row>
    <row r="177" spans="23:36" ht="19.149999999999999" customHeight="1">
      <c r="W177" s="71"/>
      <c r="AJ177" s="361" t="s">
        <v>216</v>
      </c>
    </row>
    <row r="178" spans="23:36" ht="19.149999999999999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284</v>
      </c>
    </row>
    <row r="186" spans="23:36">
      <c r="W186" s="71"/>
      <c r="AJ186" s="361" t="s">
        <v>285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4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14051" priority="3391" operator="lessThan">
      <formula>0</formula>
    </cfRule>
  </conditionalFormatting>
  <conditionalFormatting sqref="AH57 AH70 S43 S123 S95 AH95 S5:S9 AH5:AH9 S134 AH17:AH18 S17:S18 S32 S82 AH82 S57:S70">
    <cfRule type="cellIs" dxfId="14050" priority="3390" operator="lessThan">
      <formula>0.8</formula>
    </cfRule>
  </conditionalFormatting>
  <conditionalFormatting sqref="R147 R173 R30 R121 R95 R43 R134 R82 R154:R159 R17:R18 R57:R70">
    <cfRule type="cellIs" dxfId="14049" priority="3388" operator="lessThan">
      <formula>0.8</formula>
    </cfRule>
    <cfRule type="cellIs" dxfId="14048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14047" priority="3386" operator="greaterThan">
      <formula>1</formula>
    </cfRule>
    <cfRule type="cellIs" dxfId="14046" priority="3387" operator="lessThan">
      <formula>0.8</formula>
    </cfRule>
  </conditionalFormatting>
  <conditionalFormatting sqref="P147 P30 P121 P95 P43 P134 P82 P154:P159 P17:P18 P57:P70">
    <cfRule type="cellIs" dxfId="14045" priority="3385" operator="greaterThan">
      <formula>0</formula>
    </cfRule>
  </conditionalFormatting>
  <conditionalFormatting sqref="S161">
    <cfRule type="cellIs" dxfId="14044" priority="3384" operator="lessThan">
      <formula>0.8</formula>
    </cfRule>
  </conditionalFormatting>
  <conditionalFormatting sqref="Q161:Q166">
    <cfRule type="cellIs" dxfId="14043" priority="3383" operator="lessThan">
      <formula>0</formula>
    </cfRule>
  </conditionalFormatting>
  <conditionalFormatting sqref="R161:R166">
    <cfRule type="cellIs" dxfId="14042" priority="3381" operator="lessThan">
      <formula>0.8</formula>
    </cfRule>
    <cfRule type="cellIs" dxfId="14041" priority="3382" operator="greaterThan">
      <formula>1</formula>
    </cfRule>
  </conditionalFormatting>
  <conditionalFormatting sqref="R161:R166">
    <cfRule type="cellIs" dxfId="14040" priority="3379" operator="greaterThan">
      <formula>1</formula>
    </cfRule>
    <cfRule type="cellIs" dxfId="14039" priority="3380" operator="lessThan">
      <formula>0.8</formula>
    </cfRule>
  </conditionalFormatting>
  <conditionalFormatting sqref="P161:P166">
    <cfRule type="cellIs" dxfId="14038" priority="3378" operator="greaterThan">
      <formula>0</formula>
    </cfRule>
  </conditionalFormatting>
  <conditionalFormatting sqref="Q169:Q172 AF161:AF172">
    <cfRule type="cellIs" dxfId="14037" priority="3377" operator="lessThan">
      <formula>0</formula>
    </cfRule>
  </conditionalFormatting>
  <conditionalFormatting sqref="R169:R172">
    <cfRule type="cellIs" dxfId="14036" priority="3375" operator="lessThan">
      <formula>0.8</formula>
    </cfRule>
    <cfRule type="cellIs" dxfId="14035" priority="3376" operator="greaterThan">
      <formula>1</formula>
    </cfRule>
  </conditionalFormatting>
  <conditionalFormatting sqref="R169:R172 AG161:AG172">
    <cfRule type="cellIs" dxfId="14034" priority="3373" operator="greaterThan">
      <formula>1</formula>
    </cfRule>
    <cfRule type="cellIs" dxfId="14033" priority="3374" operator="lessThan">
      <formula>0.8</formula>
    </cfRule>
  </conditionalFormatting>
  <conditionalFormatting sqref="P169:P172">
    <cfRule type="cellIs" dxfId="14032" priority="3372" operator="greaterThan">
      <formula>0</formula>
    </cfRule>
  </conditionalFormatting>
  <conditionalFormatting sqref="AF145">
    <cfRule type="cellIs" dxfId="14031" priority="3371" operator="lessThan">
      <formula>0</formula>
    </cfRule>
  </conditionalFormatting>
  <conditionalFormatting sqref="AG145">
    <cfRule type="cellIs" dxfId="14030" priority="3369" operator="greaterThan">
      <formula>1</formula>
    </cfRule>
    <cfRule type="cellIs" dxfId="14029" priority="3370" operator="lessThan">
      <formula>0.8</formula>
    </cfRule>
  </conditionalFormatting>
  <conditionalFormatting sqref="AF44:AF52">
    <cfRule type="cellIs" dxfId="14028" priority="3368" operator="lessThan">
      <formula>0</formula>
    </cfRule>
  </conditionalFormatting>
  <conditionalFormatting sqref="AG44:AG52">
    <cfRule type="cellIs" dxfId="14027" priority="3366" operator="greaterThan">
      <formula>1</formula>
    </cfRule>
    <cfRule type="cellIs" dxfId="14026" priority="3367" operator="lessThan">
      <formula>0.8</formula>
    </cfRule>
  </conditionalFormatting>
  <conditionalFormatting sqref="AF83:AF94">
    <cfRule type="cellIs" dxfId="14025" priority="3365" operator="lessThan">
      <formula>0</formula>
    </cfRule>
  </conditionalFormatting>
  <conditionalFormatting sqref="AH83">
    <cfRule type="cellIs" dxfId="14024" priority="3364" operator="lessThan">
      <formula>0.8</formula>
    </cfRule>
  </conditionalFormatting>
  <conditionalFormatting sqref="AG83:AG94">
    <cfRule type="cellIs" dxfId="14023" priority="3362" operator="greaterThan">
      <formula>1</formula>
    </cfRule>
    <cfRule type="cellIs" dxfId="14022" priority="3363" operator="lessThan">
      <formula>0.8</formula>
    </cfRule>
  </conditionalFormatting>
  <conditionalFormatting sqref="S83">
    <cfRule type="cellIs" dxfId="14021" priority="3361" operator="lessThan">
      <formula>0.8</formula>
    </cfRule>
  </conditionalFormatting>
  <conditionalFormatting sqref="AH84">
    <cfRule type="cellIs" dxfId="14020" priority="3360" operator="lessThan">
      <formula>0.8</formula>
    </cfRule>
  </conditionalFormatting>
  <conditionalFormatting sqref="S84">
    <cfRule type="cellIs" dxfId="14019" priority="3359" operator="lessThan">
      <formula>0.8</formula>
    </cfRule>
  </conditionalFormatting>
  <conditionalFormatting sqref="S90">
    <cfRule type="cellIs" dxfId="14018" priority="3358" operator="lessThan">
      <formula>0.8</formula>
    </cfRule>
  </conditionalFormatting>
  <conditionalFormatting sqref="AH90">
    <cfRule type="cellIs" dxfId="14017" priority="3357" operator="lessThan">
      <formula>0.8</formula>
    </cfRule>
  </conditionalFormatting>
  <conditionalFormatting sqref="AF122">
    <cfRule type="cellIs" dxfId="14016" priority="3356" operator="lessThan">
      <formula>0</formula>
    </cfRule>
  </conditionalFormatting>
  <conditionalFormatting sqref="S122">
    <cfRule type="cellIs" dxfId="14015" priority="3355" operator="lessThan">
      <formula>0.8</formula>
    </cfRule>
  </conditionalFormatting>
  <conditionalFormatting sqref="AG122">
    <cfRule type="cellIs" dxfId="14014" priority="3353" operator="greaterThan">
      <formula>1</formula>
    </cfRule>
    <cfRule type="cellIs" dxfId="14013" priority="3354" operator="lessThan">
      <formula>0.8</formula>
    </cfRule>
  </conditionalFormatting>
  <conditionalFormatting sqref="P162:P168">
    <cfRule type="cellIs" dxfId="14012" priority="3347" operator="greaterThan">
      <formula>0</formula>
    </cfRule>
  </conditionalFormatting>
  <conditionalFormatting sqref="R162:R168">
    <cfRule type="cellIs" dxfId="14011" priority="3350" operator="lessThan">
      <formula>0.8</formula>
    </cfRule>
    <cfRule type="cellIs" dxfId="14010" priority="3351" operator="greaterThan">
      <formula>1</formula>
    </cfRule>
  </conditionalFormatting>
  <conditionalFormatting sqref="R162:R168">
    <cfRule type="cellIs" dxfId="14009" priority="3348" operator="greaterThan">
      <formula>1</formula>
    </cfRule>
    <cfRule type="cellIs" dxfId="14008" priority="3349" operator="lessThan">
      <formula>0.8</formula>
    </cfRule>
  </conditionalFormatting>
  <conditionalFormatting sqref="Q162:Q168">
    <cfRule type="cellIs" dxfId="14007" priority="3352" operator="lessThan">
      <formula>0</formula>
    </cfRule>
  </conditionalFormatting>
  <conditionalFormatting sqref="P132:P133">
    <cfRule type="cellIs" dxfId="14006" priority="3340" operator="greaterThan">
      <formula>0</formula>
    </cfRule>
  </conditionalFormatting>
  <conditionalFormatting sqref="AF124 Q132:Q133 AF126:AF133">
    <cfRule type="cellIs" dxfId="14005" priority="3346" operator="lessThan">
      <formula>0</formula>
    </cfRule>
  </conditionalFormatting>
  <conditionalFormatting sqref="S124:S133">
    <cfRule type="cellIs" dxfId="14004" priority="3345" operator="lessThan">
      <formula>0.8</formula>
    </cfRule>
  </conditionalFormatting>
  <conditionalFormatting sqref="R132:R133">
    <cfRule type="cellIs" dxfId="14003" priority="3343" operator="lessThan">
      <formula>0.8</formula>
    </cfRule>
    <cfRule type="cellIs" dxfId="14002" priority="3344" operator="greaterThan">
      <formula>1</formula>
    </cfRule>
  </conditionalFormatting>
  <conditionalFormatting sqref="AG124 R132:R133 AG126:AG133">
    <cfRule type="cellIs" dxfId="14001" priority="3341" operator="greaterThan">
      <formula>1</formula>
    </cfRule>
    <cfRule type="cellIs" dxfId="14000" priority="3342" operator="lessThan">
      <formula>0.8</formula>
    </cfRule>
  </conditionalFormatting>
  <conditionalFormatting sqref="AF112 AF115">
    <cfRule type="cellIs" dxfId="13999" priority="3339" operator="lessThan">
      <formula>0</formula>
    </cfRule>
  </conditionalFormatting>
  <conditionalFormatting sqref="AG112 AG115">
    <cfRule type="cellIs" dxfId="13998" priority="3337" operator="greaterThan">
      <formula>1</formula>
    </cfRule>
    <cfRule type="cellIs" dxfId="13997" priority="3338" operator="lessThan">
      <formula>0.8</formula>
    </cfRule>
  </conditionalFormatting>
  <conditionalFormatting sqref="AF111 AF114 AF117">
    <cfRule type="cellIs" dxfId="13996" priority="3336" operator="lessThan">
      <formula>0</formula>
    </cfRule>
  </conditionalFormatting>
  <conditionalFormatting sqref="AH109">
    <cfRule type="cellIs" dxfId="13995" priority="3335" operator="lessThan">
      <formula>0.8</formula>
    </cfRule>
  </conditionalFormatting>
  <conditionalFormatting sqref="AG111 AG114 AG117">
    <cfRule type="cellIs" dxfId="13994" priority="3333" operator="greaterThan">
      <formula>1</formula>
    </cfRule>
    <cfRule type="cellIs" dxfId="13993" priority="3334" operator="lessThan">
      <formula>0.8</formula>
    </cfRule>
  </conditionalFormatting>
  <conditionalFormatting sqref="R160 AG160">
    <cfRule type="cellIs" dxfId="13992" priority="3328" operator="greaterThan">
      <formula>1</formula>
    </cfRule>
    <cfRule type="cellIs" dxfId="13991" priority="3329" operator="lessThan">
      <formula>0.8</formula>
    </cfRule>
  </conditionalFormatting>
  <conditionalFormatting sqref="R160">
    <cfRule type="cellIs" dxfId="13990" priority="3330" operator="lessThan">
      <formula>0.8</formula>
    </cfRule>
    <cfRule type="cellIs" dxfId="13989" priority="3331" operator="greaterThan">
      <formula>1</formula>
    </cfRule>
  </conditionalFormatting>
  <conditionalFormatting sqref="P160">
    <cfRule type="cellIs" dxfId="13988" priority="3327" operator="greaterThan">
      <formula>0</formula>
    </cfRule>
  </conditionalFormatting>
  <conditionalFormatting sqref="AH148">
    <cfRule type="cellIs" dxfId="13987" priority="3326" operator="lessThan">
      <formula>0.8</formula>
    </cfRule>
  </conditionalFormatting>
  <conditionalFormatting sqref="Q160 AF160">
    <cfRule type="cellIs" dxfId="13986" priority="3332" operator="lessThan">
      <formula>0</formula>
    </cfRule>
  </conditionalFormatting>
  <conditionalFormatting sqref="AF148:AF154">
    <cfRule type="cellIs" dxfId="13985" priority="3325" operator="lessThan">
      <formula>0</formula>
    </cfRule>
  </conditionalFormatting>
  <conditionalFormatting sqref="S148">
    <cfRule type="cellIs" dxfId="13984" priority="3324" operator="lessThan">
      <formula>0.8</formula>
    </cfRule>
  </conditionalFormatting>
  <conditionalFormatting sqref="AG148:AG154">
    <cfRule type="cellIs" dxfId="13983" priority="3322" operator="greaterThan">
      <formula>1</formula>
    </cfRule>
    <cfRule type="cellIs" dxfId="13982" priority="3323" operator="lessThan">
      <formula>0.8</formula>
    </cfRule>
  </conditionalFormatting>
  <conditionalFormatting sqref="S86">
    <cfRule type="cellIs" dxfId="13981" priority="3321" operator="lessThan">
      <formula>0.8</formula>
    </cfRule>
  </conditionalFormatting>
  <conditionalFormatting sqref="S88 AH88">
    <cfRule type="cellIs" dxfId="13980" priority="3316" operator="lessThan">
      <formula>0.8</formula>
    </cfRule>
  </conditionalFormatting>
  <conditionalFormatting sqref="AH86">
    <cfRule type="cellIs" dxfId="13979" priority="3320" operator="lessThan">
      <formula>0.8</formula>
    </cfRule>
  </conditionalFormatting>
  <conditionalFormatting sqref="S87">
    <cfRule type="cellIs" dxfId="13978" priority="3319" operator="lessThan">
      <formula>0.8</formula>
    </cfRule>
  </conditionalFormatting>
  <conditionalFormatting sqref="AH87">
    <cfRule type="cellIs" dxfId="13977" priority="3318" operator="lessThan">
      <formula>0.8</formula>
    </cfRule>
  </conditionalFormatting>
  <conditionalFormatting sqref="S89 AH89">
    <cfRule type="cellIs" dxfId="13976" priority="3317" operator="lessThan">
      <formula>0.8</formula>
    </cfRule>
  </conditionalFormatting>
  <conditionalFormatting sqref="AF31">
    <cfRule type="cellIs" dxfId="13975" priority="3315" operator="lessThan">
      <formula>0</formula>
    </cfRule>
  </conditionalFormatting>
  <conditionalFormatting sqref="AH31 S31">
    <cfRule type="cellIs" dxfId="13974" priority="3314" operator="lessThan">
      <formula>0.8</formula>
    </cfRule>
  </conditionalFormatting>
  <conditionalFormatting sqref="AG31">
    <cfRule type="cellIs" dxfId="13973" priority="3312" operator="greaterThan">
      <formula>1</formula>
    </cfRule>
    <cfRule type="cellIs" dxfId="13972" priority="3313" operator="lessThan">
      <formula>0.8</formula>
    </cfRule>
  </conditionalFormatting>
  <conditionalFormatting sqref="AF135">
    <cfRule type="cellIs" dxfId="13971" priority="3311" operator="lessThan">
      <formula>0</formula>
    </cfRule>
  </conditionalFormatting>
  <conditionalFormatting sqref="AH135 S135">
    <cfRule type="cellIs" dxfId="13970" priority="3310" operator="lessThan">
      <formula>0.8</formula>
    </cfRule>
  </conditionalFormatting>
  <conditionalFormatting sqref="AG135">
    <cfRule type="cellIs" dxfId="13969" priority="3308" operator="greaterThan">
      <formula>1</formula>
    </cfRule>
    <cfRule type="cellIs" dxfId="13968" priority="3309" operator="lessThan">
      <formula>0.8</formula>
    </cfRule>
  </conditionalFormatting>
  <conditionalFormatting sqref="AF110 AF113 AF116">
    <cfRule type="cellIs" dxfId="13967" priority="3307" operator="lessThan">
      <formula>0</formula>
    </cfRule>
  </conditionalFormatting>
  <conditionalFormatting sqref="AG110 AG113 AG116">
    <cfRule type="cellIs" dxfId="13966" priority="3305" operator="greaterThan">
      <formula>1</formula>
    </cfRule>
    <cfRule type="cellIs" dxfId="13965" priority="3306" operator="lessThan">
      <formula>0.8</formula>
    </cfRule>
  </conditionalFormatting>
  <conditionalFormatting sqref="AF108 Q108">
    <cfRule type="cellIs" dxfId="13964" priority="3304" operator="lessThan">
      <formula>0</formula>
    </cfRule>
  </conditionalFormatting>
  <conditionalFormatting sqref="R108">
    <cfRule type="cellIs" dxfId="13963" priority="3302" operator="lessThan">
      <formula>0.8</formula>
    </cfRule>
    <cfRule type="cellIs" dxfId="13962" priority="3303" operator="greaterThan">
      <formula>1</formula>
    </cfRule>
  </conditionalFormatting>
  <conditionalFormatting sqref="AG108 R108">
    <cfRule type="cellIs" dxfId="13961" priority="3300" operator="greaterThan">
      <formula>1</formula>
    </cfRule>
    <cfRule type="cellIs" dxfId="13960" priority="3301" operator="lessThan">
      <formula>0.8</formula>
    </cfRule>
  </conditionalFormatting>
  <conditionalFormatting sqref="P108">
    <cfRule type="cellIs" dxfId="13959" priority="3299" operator="greaterThan">
      <formula>0</formula>
    </cfRule>
  </conditionalFormatting>
  <conditionalFormatting sqref="AH97">
    <cfRule type="cellIs" dxfId="13958" priority="3294" operator="lessThan">
      <formula>0.8</formula>
    </cfRule>
  </conditionalFormatting>
  <conditionalFormatting sqref="AG96">
    <cfRule type="cellIs" dxfId="13957" priority="3296" operator="greaterThan">
      <formula>1</formula>
    </cfRule>
    <cfRule type="cellIs" dxfId="13956" priority="3297" operator="lessThan">
      <formula>0.8</formula>
    </cfRule>
  </conditionalFormatting>
  <conditionalFormatting sqref="AF96">
    <cfRule type="cellIs" dxfId="13955" priority="3298" operator="lessThan">
      <formula>0</formula>
    </cfRule>
  </conditionalFormatting>
  <conditionalFormatting sqref="AG97">
    <cfRule type="cellIs" dxfId="13954" priority="3292" operator="greaterThan">
      <formula>1</formula>
    </cfRule>
    <cfRule type="cellIs" dxfId="13953" priority="3293" operator="lessThan">
      <formula>0.8</formula>
    </cfRule>
  </conditionalFormatting>
  <conditionalFormatting sqref="AF97">
    <cfRule type="cellIs" dxfId="13952" priority="3295" operator="lessThan">
      <formula>0</formula>
    </cfRule>
  </conditionalFormatting>
  <conditionalFormatting sqref="AF71 AF73 AF75 AF77 AF79">
    <cfRule type="cellIs" dxfId="13951" priority="3289" operator="lessThan">
      <formula>0</formula>
    </cfRule>
  </conditionalFormatting>
  <conditionalFormatting sqref="S71 AH71">
    <cfRule type="cellIs" dxfId="13950" priority="3288" operator="lessThan">
      <formula>0.8</formula>
    </cfRule>
  </conditionalFormatting>
  <conditionalFormatting sqref="AG71 AG73 AG75 AG77 AG79">
    <cfRule type="cellIs" dxfId="13949" priority="3286" operator="greaterThan">
      <formula>1</formula>
    </cfRule>
    <cfRule type="cellIs" dxfId="13948" priority="3287" operator="lessThan">
      <formula>0.8</formula>
    </cfRule>
  </conditionalFormatting>
  <conditionalFormatting sqref="AF72 AF74 AF76 AF78 AF80">
    <cfRule type="cellIs" dxfId="13947" priority="3285" operator="lessThan">
      <formula>0</formula>
    </cfRule>
  </conditionalFormatting>
  <conditionalFormatting sqref="S72 AH72">
    <cfRule type="cellIs" dxfId="13946" priority="3284" operator="lessThan">
      <formula>0.8</formula>
    </cfRule>
  </conditionalFormatting>
  <conditionalFormatting sqref="S11">
    <cfRule type="cellIs" dxfId="13945" priority="3291" operator="lessThan">
      <formula>0.8</formula>
    </cfRule>
  </conditionalFormatting>
  <conditionalFormatting sqref="S10">
    <cfRule type="cellIs" dxfId="13944" priority="3290" operator="lessThan">
      <formula>0.8</formula>
    </cfRule>
  </conditionalFormatting>
  <conditionalFormatting sqref="AG72 AG74 AG76 AG78 AG80">
    <cfRule type="cellIs" dxfId="13943" priority="3282" operator="greaterThan">
      <formula>1</formula>
    </cfRule>
    <cfRule type="cellIs" dxfId="13942" priority="3283" operator="lessThan">
      <formula>0.8</formula>
    </cfRule>
  </conditionalFormatting>
  <conditionalFormatting sqref="AF13:AF16 Q15:Q16">
    <cfRule type="cellIs" dxfId="13941" priority="3281" operator="lessThan">
      <formula>0</formula>
    </cfRule>
  </conditionalFormatting>
  <conditionalFormatting sqref="R15:R16">
    <cfRule type="cellIs" dxfId="13940" priority="3279" operator="lessThan">
      <formula>0.8</formula>
    </cfRule>
    <cfRule type="cellIs" dxfId="13939" priority="3280" operator="greaterThan">
      <formula>1</formula>
    </cfRule>
  </conditionalFormatting>
  <conditionalFormatting sqref="AG12:AG16 R15:R16">
    <cfRule type="cellIs" dxfId="13938" priority="3277" operator="greaterThan">
      <formula>1</formula>
    </cfRule>
    <cfRule type="cellIs" dxfId="13937" priority="3278" operator="lessThan">
      <formula>0.8</formula>
    </cfRule>
  </conditionalFormatting>
  <conditionalFormatting sqref="P15:P16">
    <cfRule type="cellIs" dxfId="13936" priority="3276" operator="greaterThan">
      <formula>0</formula>
    </cfRule>
  </conditionalFormatting>
  <conditionalFormatting sqref="AF98 AF100 AF102 AF104">
    <cfRule type="cellIs" dxfId="13935" priority="3275" operator="lessThan">
      <formula>0</formula>
    </cfRule>
  </conditionalFormatting>
  <conditionalFormatting sqref="AH98">
    <cfRule type="cellIs" dxfId="13934" priority="3274" operator="lessThan">
      <formula>0.8</formula>
    </cfRule>
  </conditionalFormatting>
  <conditionalFormatting sqref="AG98 AG100 AG102 AG104">
    <cfRule type="cellIs" dxfId="13933" priority="3272" operator="greaterThan">
      <formula>1</formula>
    </cfRule>
    <cfRule type="cellIs" dxfId="13932" priority="3273" operator="lessThan">
      <formula>0.8</formula>
    </cfRule>
  </conditionalFormatting>
  <conditionalFormatting sqref="AF20 AF22 AF24 AF26 AF28">
    <cfRule type="cellIs" dxfId="13931" priority="3271" operator="lessThan">
      <formula>0</formula>
    </cfRule>
  </conditionalFormatting>
  <conditionalFormatting sqref="AG20 AG22 AG24 AG26 AG28">
    <cfRule type="cellIs" dxfId="13930" priority="3269" operator="greaterThan">
      <formula>1</formula>
    </cfRule>
    <cfRule type="cellIs" dxfId="13929" priority="3270" operator="lessThan">
      <formula>0.8</formula>
    </cfRule>
  </conditionalFormatting>
  <conditionalFormatting sqref="AF33">
    <cfRule type="cellIs" dxfId="13928" priority="3268" operator="lessThan">
      <formula>0</formula>
    </cfRule>
  </conditionalFormatting>
  <conditionalFormatting sqref="AG33">
    <cfRule type="cellIs" dxfId="13927" priority="3266" operator="greaterThan">
      <formula>1</formula>
    </cfRule>
    <cfRule type="cellIs" dxfId="13926" priority="3267" operator="lessThan">
      <formula>0.8</formula>
    </cfRule>
  </conditionalFormatting>
  <conditionalFormatting sqref="P41:P42">
    <cfRule type="cellIs" dxfId="13925" priority="3260" operator="greaterThan">
      <formula>0</formula>
    </cfRule>
  </conditionalFormatting>
  <conditionalFormatting sqref="Q41:Q42 AF34:AF42">
    <cfRule type="cellIs" dxfId="13924" priority="3265" operator="lessThan">
      <formula>0</formula>
    </cfRule>
  </conditionalFormatting>
  <conditionalFormatting sqref="R41:R42">
    <cfRule type="cellIs" dxfId="13923" priority="3263" operator="lessThan">
      <formula>0.8</formula>
    </cfRule>
    <cfRule type="cellIs" dxfId="13922" priority="3264" operator="greaterThan">
      <formula>1</formula>
    </cfRule>
  </conditionalFormatting>
  <conditionalFormatting sqref="R41:R42 AG34:AG42">
    <cfRule type="cellIs" dxfId="13921" priority="3261" operator="greaterThan">
      <formula>1</formula>
    </cfRule>
    <cfRule type="cellIs" dxfId="13920" priority="3262" operator="lessThan">
      <formula>0.8</formula>
    </cfRule>
  </conditionalFormatting>
  <conditionalFormatting sqref="AF137:AF144">
    <cfRule type="cellIs" dxfId="13919" priority="3259" operator="lessThan">
      <formula>0</formula>
    </cfRule>
  </conditionalFormatting>
  <conditionalFormatting sqref="AH137 S137">
    <cfRule type="cellIs" dxfId="13918" priority="3258" operator="lessThan">
      <formula>0.8</formula>
    </cfRule>
  </conditionalFormatting>
  <conditionalFormatting sqref="AG137:AG144">
    <cfRule type="cellIs" dxfId="13917" priority="3256" operator="greaterThan">
      <formula>1</formula>
    </cfRule>
    <cfRule type="cellIs" dxfId="13916" priority="3257" operator="lessThan">
      <formula>0.8</formula>
    </cfRule>
  </conditionalFormatting>
  <conditionalFormatting sqref="AF53:AF55">
    <cfRule type="cellIs" dxfId="13915" priority="3255" operator="lessThan">
      <formula>0</formula>
    </cfRule>
  </conditionalFormatting>
  <conditionalFormatting sqref="AG53:AG55">
    <cfRule type="cellIs" dxfId="13914" priority="3253" operator="greaterThan">
      <formula>1</formula>
    </cfRule>
    <cfRule type="cellIs" dxfId="13913" priority="3254" operator="lessThan">
      <formula>0.8</formula>
    </cfRule>
  </conditionalFormatting>
  <conditionalFormatting sqref="AF56 Q56">
    <cfRule type="cellIs" dxfId="13912" priority="3252" operator="lessThan">
      <formula>0</formula>
    </cfRule>
  </conditionalFormatting>
  <conditionalFormatting sqref="R56">
    <cfRule type="cellIs" dxfId="13911" priority="3250" operator="lessThan">
      <formula>0.8</formula>
    </cfRule>
    <cfRule type="cellIs" dxfId="13910" priority="3251" operator="greaterThan">
      <formula>1</formula>
    </cfRule>
  </conditionalFormatting>
  <conditionalFormatting sqref="AG56 R56">
    <cfRule type="cellIs" dxfId="13909" priority="3248" operator="greaterThan">
      <formula>1</formula>
    </cfRule>
    <cfRule type="cellIs" dxfId="13908" priority="3249" operator="lessThan">
      <formula>0.8</formula>
    </cfRule>
  </conditionalFormatting>
  <conditionalFormatting sqref="P56">
    <cfRule type="cellIs" dxfId="13907" priority="3247" operator="greaterThan">
      <formula>0</formula>
    </cfRule>
  </conditionalFormatting>
  <conditionalFormatting sqref="P52:P55">
    <cfRule type="cellIs" dxfId="13906" priority="3241" operator="greaterThan">
      <formula>0</formula>
    </cfRule>
  </conditionalFormatting>
  <conditionalFormatting sqref="Q52:Q55">
    <cfRule type="cellIs" dxfId="13905" priority="3246" operator="lessThan">
      <formula>0</formula>
    </cfRule>
  </conditionalFormatting>
  <conditionalFormatting sqref="R52:R55">
    <cfRule type="cellIs" dxfId="13904" priority="3244" operator="lessThan">
      <formula>0.8</formula>
    </cfRule>
    <cfRule type="cellIs" dxfId="13903" priority="3245" operator="greaterThan">
      <formula>1</formula>
    </cfRule>
  </conditionalFormatting>
  <conditionalFormatting sqref="R52:R55">
    <cfRule type="cellIs" dxfId="13902" priority="3242" operator="greaterThan">
      <formula>1</formula>
    </cfRule>
    <cfRule type="cellIs" dxfId="13901" priority="3243" operator="lessThan">
      <formula>0.8</formula>
    </cfRule>
  </conditionalFormatting>
  <conditionalFormatting sqref="P80:P81">
    <cfRule type="cellIs" dxfId="13900" priority="3235" operator="greaterThan">
      <formula>0</formula>
    </cfRule>
  </conditionalFormatting>
  <conditionalFormatting sqref="AF81 Q80:Q81">
    <cfRule type="cellIs" dxfId="13899" priority="3240" operator="lessThan">
      <formula>0</formula>
    </cfRule>
  </conditionalFormatting>
  <conditionalFormatting sqref="R80:R81">
    <cfRule type="cellIs" dxfId="13898" priority="3238" operator="lessThan">
      <formula>0.8</formula>
    </cfRule>
    <cfRule type="cellIs" dxfId="13897" priority="3239" operator="greaterThan">
      <formula>1</formula>
    </cfRule>
  </conditionalFormatting>
  <conditionalFormatting sqref="AG81 R80:R81">
    <cfRule type="cellIs" dxfId="13896" priority="3236" operator="greaterThan">
      <formula>1</formula>
    </cfRule>
    <cfRule type="cellIs" dxfId="13895" priority="3237" operator="lessThan">
      <formula>0.8</formula>
    </cfRule>
  </conditionalFormatting>
  <conditionalFormatting sqref="AH85">
    <cfRule type="cellIs" dxfId="13894" priority="3234" operator="lessThan">
      <formula>0.8</formula>
    </cfRule>
  </conditionalFormatting>
  <conditionalFormatting sqref="S85">
    <cfRule type="cellIs" dxfId="13893" priority="3233" operator="lessThan">
      <formula>0.8</formula>
    </cfRule>
  </conditionalFormatting>
  <conditionalFormatting sqref="AF99 AF101 AF103">
    <cfRule type="cellIs" dxfId="13892" priority="3232" operator="lessThan">
      <formula>0</formula>
    </cfRule>
  </conditionalFormatting>
  <conditionalFormatting sqref="AG99 AG101 AG103">
    <cfRule type="cellIs" dxfId="13891" priority="3230" operator="greaterThan">
      <formula>1</formula>
    </cfRule>
    <cfRule type="cellIs" dxfId="13890" priority="3231" operator="lessThan">
      <formula>0.8</formula>
    </cfRule>
  </conditionalFormatting>
  <conditionalFormatting sqref="AF105:AF107">
    <cfRule type="cellIs" dxfId="13889" priority="3229" operator="lessThan">
      <formula>0</formula>
    </cfRule>
  </conditionalFormatting>
  <conditionalFormatting sqref="AH100:AH107">
    <cfRule type="cellIs" dxfId="13888" priority="3228" operator="lessThan">
      <formula>0.8</formula>
    </cfRule>
  </conditionalFormatting>
  <conditionalFormatting sqref="AG105:AG107">
    <cfRule type="cellIs" dxfId="13887" priority="3226" operator="greaterThan">
      <formula>1</formula>
    </cfRule>
    <cfRule type="cellIs" dxfId="13886" priority="3227" operator="lessThan">
      <formula>0.8</formula>
    </cfRule>
  </conditionalFormatting>
  <conditionalFormatting sqref="P106:P107">
    <cfRule type="cellIs" dxfId="13885" priority="3220" operator="greaterThan">
      <formula>0</formula>
    </cfRule>
  </conditionalFormatting>
  <conditionalFormatting sqref="Q106:Q107">
    <cfRule type="cellIs" dxfId="13884" priority="3225" operator="lessThan">
      <formula>0</formula>
    </cfRule>
  </conditionalFormatting>
  <conditionalFormatting sqref="R106:R107">
    <cfRule type="cellIs" dxfId="13883" priority="3223" operator="lessThan">
      <formula>0.8</formula>
    </cfRule>
    <cfRule type="cellIs" dxfId="13882" priority="3224" operator="greaterThan">
      <formula>1</formula>
    </cfRule>
  </conditionalFormatting>
  <conditionalFormatting sqref="R106:R107">
    <cfRule type="cellIs" dxfId="13881" priority="3221" operator="greaterThan">
      <formula>1</formula>
    </cfRule>
    <cfRule type="cellIs" dxfId="13880" priority="3222" operator="lessThan">
      <formula>0.8</formula>
    </cfRule>
  </conditionalFormatting>
  <conditionalFormatting sqref="AF109">
    <cfRule type="cellIs" dxfId="13879" priority="3219" operator="lessThan">
      <formula>0</formula>
    </cfRule>
  </conditionalFormatting>
  <conditionalFormatting sqref="S109">
    <cfRule type="cellIs" dxfId="13878" priority="3218" operator="lessThan">
      <formula>0.8</formula>
    </cfRule>
  </conditionalFormatting>
  <conditionalFormatting sqref="AG109">
    <cfRule type="cellIs" dxfId="13877" priority="3216" operator="greaterThan">
      <formula>1</formula>
    </cfRule>
    <cfRule type="cellIs" dxfId="13876" priority="3217" operator="lessThan">
      <formula>0.8</formula>
    </cfRule>
  </conditionalFormatting>
  <conditionalFormatting sqref="S150">
    <cfRule type="cellIs" dxfId="13875" priority="3215" operator="lessThan">
      <formula>0.8</formula>
    </cfRule>
  </conditionalFormatting>
  <conditionalFormatting sqref="AH150">
    <cfRule type="cellIs" dxfId="13874" priority="3214" operator="lessThan">
      <formula>0.8</formula>
    </cfRule>
  </conditionalFormatting>
  <conditionalFormatting sqref="S149">
    <cfRule type="cellIs" dxfId="13873" priority="3213" operator="lessThan">
      <formula>0.8</formula>
    </cfRule>
  </conditionalFormatting>
  <conditionalFormatting sqref="Q26:Q29">
    <cfRule type="cellIs" dxfId="13872" priority="3212" operator="lessThan">
      <formula>0</formula>
    </cfRule>
  </conditionalFormatting>
  <conditionalFormatting sqref="S21:S29 AH21:AH29">
    <cfRule type="cellIs" dxfId="13871" priority="3211" operator="lessThan">
      <formula>0.8</formula>
    </cfRule>
  </conditionalFormatting>
  <conditionalFormatting sqref="R26:R29">
    <cfRule type="cellIs" dxfId="13870" priority="3209" operator="lessThan">
      <formula>0.8</formula>
    </cfRule>
    <cfRule type="cellIs" dxfId="13869" priority="3210" operator="greaterThan">
      <formula>1</formula>
    </cfRule>
  </conditionalFormatting>
  <conditionalFormatting sqref="R26:R29">
    <cfRule type="cellIs" dxfId="13868" priority="3207" operator="greaterThan">
      <formula>1</formula>
    </cfRule>
    <cfRule type="cellIs" dxfId="13867" priority="3208" operator="lessThan">
      <formula>0.8</formula>
    </cfRule>
  </conditionalFormatting>
  <conditionalFormatting sqref="P26:P29">
    <cfRule type="cellIs" dxfId="13866" priority="3206" operator="greaterThan">
      <formula>0</formula>
    </cfRule>
  </conditionalFormatting>
  <conditionalFormatting sqref="AH91 S91">
    <cfRule type="cellIs" dxfId="13865" priority="3205" operator="lessThan">
      <formula>0.8</formula>
    </cfRule>
  </conditionalFormatting>
  <conditionalFormatting sqref="P92:P94">
    <cfRule type="cellIs" dxfId="13864" priority="3199" operator="greaterThan">
      <formula>0</formula>
    </cfRule>
  </conditionalFormatting>
  <conditionalFormatting sqref="Q92:Q94">
    <cfRule type="cellIs" dxfId="13863" priority="3204" operator="lessThan">
      <formula>0</formula>
    </cfRule>
  </conditionalFormatting>
  <conditionalFormatting sqref="R92:R94">
    <cfRule type="cellIs" dxfId="13862" priority="3202" operator="lessThan">
      <formula>0.8</formula>
    </cfRule>
    <cfRule type="cellIs" dxfId="13861" priority="3203" operator="greaterThan">
      <formula>1</formula>
    </cfRule>
  </conditionalFormatting>
  <conditionalFormatting sqref="R92:R94">
    <cfRule type="cellIs" dxfId="13860" priority="3200" operator="greaterThan">
      <formula>1</formula>
    </cfRule>
    <cfRule type="cellIs" dxfId="13859" priority="3201" operator="lessThan">
      <formula>0.8</formula>
    </cfRule>
  </conditionalFormatting>
  <conditionalFormatting sqref="AF146 Q145:Q146">
    <cfRule type="cellIs" dxfId="13858" priority="3198" operator="lessThan">
      <formula>0</formula>
    </cfRule>
  </conditionalFormatting>
  <conditionalFormatting sqref="AH139:AH146 S139:S146">
    <cfRule type="cellIs" dxfId="13857" priority="3197" operator="lessThan">
      <formula>0.8</formula>
    </cfRule>
  </conditionalFormatting>
  <conditionalFormatting sqref="R145:R146">
    <cfRule type="cellIs" dxfId="13856" priority="3195" operator="lessThan">
      <formula>0.8</formula>
    </cfRule>
    <cfRule type="cellIs" dxfId="13855" priority="3196" operator="greaterThan">
      <formula>1</formula>
    </cfRule>
  </conditionalFormatting>
  <conditionalFormatting sqref="AG146 R145:R146">
    <cfRule type="cellIs" dxfId="13854" priority="3193" operator="greaterThan">
      <formula>1</formula>
    </cfRule>
    <cfRule type="cellIs" dxfId="13853" priority="3194" operator="lessThan">
      <formula>0.8</formula>
    </cfRule>
  </conditionalFormatting>
  <conditionalFormatting sqref="P145:P146">
    <cfRule type="cellIs" dxfId="13852" priority="3192" operator="greaterThan">
      <formula>0</formula>
    </cfRule>
  </conditionalFormatting>
  <conditionalFormatting sqref="Q119:Q120">
    <cfRule type="cellIs" dxfId="13851" priority="3191" operator="lessThan">
      <formula>0</formula>
    </cfRule>
  </conditionalFormatting>
  <conditionalFormatting sqref="R119:R120">
    <cfRule type="cellIs" dxfId="13850" priority="3189" operator="lessThan">
      <formula>0.8</formula>
    </cfRule>
    <cfRule type="cellIs" dxfId="13849" priority="3190" operator="greaterThan">
      <formula>1</formula>
    </cfRule>
  </conditionalFormatting>
  <conditionalFormatting sqref="R119:R120">
    <cfRule type="cellIs" dxfId="13848" priority="3187" operator="greaterThan">
      <formula>1</formula>
    </cfRule>
    <cfRule type="cellIs" dxfId="13847" priority="3188" operator="lessThan">
      <formula>0.8</formula>
    </cfRule>
  </conditionalFormatting>
  <conditionalFormatting sqref="P119:P120">
    <cfRule type="cellIs" dxfId="13846" priority="3186" operator="greaterThan">
      <formula>0</formula>
    </cfRule>
  </conditionalFormatting>
  <conditionalFormatting sqref="AF118:AF120">
    <cfRule type="cellIs" dxfId="13845" priority="3185" operator="lessThan">
      <formula>0</formula>
    </cfRule>
  </conditionalFormatting>
  <conditionalFormatting sqref="AG118:AG120">
    <cfRule type="cellIs" dxfId="13844" priority="3183" operator="greaterThan">
      <formula>1</formula>
    </cfRule>
    <cfRule type="cellIs" dxfId="13843" priority="3184" operator="lessThan">
      <formula>0.8</formula>
    </cfRule>
  </conditionalFormatting>
  <conditionalFormatting sqref="S44:S56">
    <cfRule type="cellIs" dxfId="13842" priority="3182" operator="lessThan">
      <formula>0.8</formula>
    </cfRule>
  </conditionalFormatting>
  <conditionalFormatting sqref="S108">
    <cfRule type="cellIs" dxfId="13841" priority="3181" operator="lessThan">
      <formula>0.8</formula>
    </cfRule>
  </conditionalFormatting>
  <conditionalFormatting sqref="S96">
    <cfRule type="cellIs" dxfId="13840" priority="3180" operator="lessThan">
      <formula>0.8</formula>
    </cfRule>
  </conditionalFormatting>
  <conditionalFormatting sqref="S97">
    <cfRule type="cellIs" dxfId="13839" priority="3179" operator="lessThan">
      <formula>0.8</formula>
    </cfRule>
  </conditionalFormatting>
  <conditionalFormatting sqref="S103">
    <cfRule type="cellIs" dxfId="13838" priority="3178" operator="lessThan">
      <formula>0.8</formula>
    </cfRule>
  </conditionalFormatting>
  <conditionalFormatting sqref="S99">
    <cfRule type="cellIs" dxfId="13837" priority="3177" operator="lessThan">
      <formula>0.8</formula>
    </cfRule>
  </conditionalFormatting>
  <conditionalFormatting sqref="S101">
    <cfRule type="cellIs" dxfId="13836" priority="3174" operator="lessThan">
      <formula>0.8</formula>
    </cfRule>
  </conditionalFormatting>
  <conditionalFormatting sqref="S100">
    <cfRule type="cellIs" dxfId="13835" priority="3176" operator="lessThan">
      <formula>0.8</formula>
    </cfRule>
  </conditionalFormatting>
  <conditionalFormatting sqref="S102">
    <cfRule type="cellIs" dxfId="13834" priority="3175" operator="lessThan">
      <formula>0.8</formula>
    </cfRule>
  </conditionalFormatting>
  <conditionalFormatting sqref="S98">
    <cfRule type="cellIs" dxfId="13833" priority="3173" operator="lessThan">
      <formula>0.8</formula>
    </cfRule>
  </conditionalFormatting>
  <conditionalFormatting sqref="S104">
    <cfRule type="cellIs" dxfId="13832" priority="3172" operator="lessThan">
      <formula>0.8</formula>
    </cfRule>
  </conditionalFormatting>
  <conditionalFormatting sqref="P118">
    <cfRule type="cellIs" dxfId="13831" priority="3166" operator="greaterThan">
      <formula>0</formula>
    </cfRule>
  </conditionalFormatting>
  <conditionalFormatting sqref="Q118">
    <cfRule type="cellIs" dxfId="13830" priority="3171" operator="lessThan">
      <formula>0</formula>
    </cfRule>
  </conditionalFormatting>
  <conditionalFormatting sqref="R118">
    <cfRule type="cellIs" dxfId="13829" priority="3169" operator="lessThan">
      <formula>0.8</formula>
    </cfRule>
    <cfRule type="cellIs" dxfId="13828" priority="3170" operator="greaterThan">
      <formula>1</formula>
    </cfRule>
  </conditionalFormatting>
  <conditionalFormatting sqref="R118">
    <cfRule type="cellIs" dxfId="13827" priority="3167" operator="greaterThan">
      <formula>1</formula>
    </cfRule>
    <cfRule type="cellIs" dxfId="13826" priority="3168" operator="lessThan">
      <formula>0.8</formula>
    </cfRule>
  </conditionalFormatting>
  <conditionalFormatting sqref="Q162:Q166">
    <cfRule type="cellIs" dxfId="13825" priority="3165" operator="lessThan">
      <formula>0</formula>
    </cfRule>
  </conditionalFormatting>
  <conditionalFormatting sqref="R162:R166">
    <cfRule type="cellIs" dxfId="13824" priority="3163" operator="lessThan">
      <formula>0.8</formula>
    </cfRule>
    <cfRule type="cellIs" dxfId="13823" priority="3164" operator="greaterThan">
      <formula>1</formula>
    </cfRule>
  </conditionalFormatting>
  <conditionalFormatting sqref="R162:R166">
    <cfRule type="cellIs" dxfId="13822" priority="3161" operator="greaterThan">
      <formula>1</formula>
    </cfRule>
    <cfRule type="cellIs" dxfId="13821" priority="3162" operator="lessThan">
      <formula>0.8</formula>
    </cfRule>
  </conditionalFormatting>
  <conditionalFormatting sqref="P162:P166">
    <cfRule type="cellIs" dxfId="13820" priority="3160" operator="greaterThan">
      <formula>0</formula>
    </cfRule>
  </conditionalFormatting>
  <conditionalFormatting sqref="P167:P168">
    <cfRule type="cellIs" dxfId="13819" priority="3154" operator="greaterThan">
      <formula>0</formula>
    </cfRule>
  </conditionalFormatting>
  <conditionalFormatting sqref="R167:R168">
    <cfRule type="cellIs" dxfId="13818" priority="3157" operator="lessThan">
      <formula>0.8</formula>
    </cfRule>
    <cfRule type="cellIs" dxfId="13817" priority="3158" operator="greaterThan">
      <formula>1</formula>
    </cfRule>
  </conditionalFormatting>
  <conditionalFormatting sqref="R167:R168">
    <cfRule type="cellIs" dxfId="13816" priority="3155" operator="greaterThan">
      <formula>1</formula>
    </cfRule>
    <cfRule type="cellIs" dxfId="13815" priority="3156" operator="lessThan">
      <formula>0.8</formula>
    </cfRule>
  </conditionalFormatting>
  <conditionalFormatting sqref="Q167:Q168">
    <cfRule type="cellIs" dxfId="13814" priority="3159" operator="lessThan">
      <formula>0</formula>
    </cfRule>
  </conditionalFormatting>
  <conditionalFormatting sqref="Q117">
    <cfRule type="cellIs" dxfId="13813" priority="3153" operator="lessThan">
      <formula>0</formula>
    </cfRule>
  </conditionalFormatting>
  <conditionalFormatting sqref="R117">
    <cfRule type="cellIs" dxfId="13812" priority="3151" operator="lessThan">
      <formula>0.8</formula>
    </cfRule>
    <cfRule type="cellIs" dxfId="13811" priority="3152" operator="greaterThan">
      <formula>1</formula>
    </cfRule>
  </conditionalFormatting>
  <conditionalFormatting sqref="R117">
    <cfRule type="cellIs" dxfId="13810" priority="3149" operator="greaterThan">
      <formula>1</formula>
    </cfRule>
    <cfRule type="cellIs" dxfId="13809" priority="3150" operator="lessThan">
      <formula>0.8</formula>
    </cfRule>
  </conditionalFormatting>
  <conditionalFormatting sqref="P117">
    <cfRule type="cellIs" dxfId="13808" priority="3148" operator="greaterThan">
      <formula>0</formula>
    </cfRule>
  </conditionalFormatting>
  <conditionalFormatting sqref="Q117">
    <cfRule type="cellIs" dxfId="13807" priority="3147" operator="lessThan">
      <formula>0</formula>
    </cfRule>
  </conditionalFormatting>
  <conditionalFormatting sqref="R117">
    <cfRule type="cellIs" dxfId="13806" priority="3145" operator="lessThan">
      <formula>0.8</formula>
    </cfRule>
    <cfRule type="cellIs" dxfId="13805" priority="3146" operator="greaterThan">
      <formula>1</formula>
    </cfRule>
  </conditionalFormatting>
  <conditionalFormatting sqref="R117">
    <cfRule type="cellIs" dxfId="13804" priority="3143" operator="greaterThan">
      <formula>1</formula>
    </cfRule>
    <cfRule type="cellIs" dxfId="13803" priority="3144" operator="lessThan">
      <formula>0.8</formula>
    </cfRule>
  </conditionalFormatting>
  <conditionalFormatting sqref="P117">
    <cfRule type="cellIs" dxfId="13802" priority="3142" operator="greaterThan">
      <formula>0</formula>
    </cfRule>
  </conditionalFormatting>
  <conditionalFormatting sqref="P117">
    <cfRule type="cellIs" dxfId="13801" priority="3136" operator="greaterThan">
      <formula>0</formula>
    </cfRule>
  </conditionalFormatting>
  <conditionalFormatting sqref="Q117">
    <cfRule type="cellIs" dxfId="13800" priority="3141" operator="lessThan">
      <formula>0</formula>
    </cfRule>
  </conditionalFormatting>
  <conditionalFormatting sqref="R117">
    <cfRule type="cellIs" dxfId="13799" priority="3139" operator="lessThan">
      <formula>0.8</formula>
    </cfRule>
    <cfRule type="cellIs" dxfId="13798" priority="3140" operator="greaterThan">
      <formula>1</formula>
    </cfRule>
  </conditionalFormatting>
  <conditionalFormatting sqref="R117">
    <cfRule type="cellIs" dxfId="13797" priority="3137" operator="greaterThan">
      <formula>1</formula>
    </cfRule>
    <cfRule type="cellIs" dxfId="13796" priority="3138" operator="lessThan">
      <formula>0.8</formula>
    </cfRule>
  </conditionalFormatting>
  <conditionalFormatting sqref="P117">
    <cfRule type="cellIs" dxfId="13795" priority="3130" operator="greaterThan">
      <formula>0</formula>
    </cfRule>
  </conditionalFormatting>
  <conditionalFormatting sqref="Q117">
    <cfRule type="cellIs" dxfId="13794" priority="3135" operator="lessThan">
      <formula>0</formula>
    </cfRule>
  </conditionalFormatting>
  <conditionalFormatting sqref="R117">
    <cfRule type="cellIs" dxfId="13793" priority="3133" operator="lessThan">
      <formula>0.8</formula>
    </cfRule>
    <cfRule type="cellIs" dxfId="13792" priority="3134" operator="greaterThan">
      <formula>1</formula>
    </cfRule>
  </conditionalFormatting>
  <conditionalFormatting sqref="R117">
    <cfRule type="cellIs" dxfId="13791" priority="3131" operator="greaterThan">
      <formula>1</formula>
    </cfRule>
    <cfRule type="cellIs" dxfId="13790" priority="3132" operator="lessThan">
      <formula>0.8</formula>
    </cfRule>
  </conditionalFormatting>
  <conditionalFormatting sqref="P117">
    <cfRule type="cellIs" dxfId="13789" priority="3124" operator="greaterThan">
      <formula>0</formula>
    </cfRule>
  </conditionalFormatting>
  <conditionalFormatting sqref="Q117">
    <cfRule type="cellIs" dxfId="13788" priority="3129" operator="lessThan">
      <formula>0</formula>
    </cfRule>
  </conditionalFormatting>
  <conditionalFormatting sqref="R117">
    <cfRule type="cellIs" dxfId="13787" priority="3127" operator="lessThan">
      <formula>0.8</formula>
    </cfRule>
    <cfRule type="cellIs" dxfId="13786" priority="3128" operator="greaterThan">
      <formula>1</formula>
    </cfRule>
  </conditionalFormatting>
  <conditionalFormatting sqref="R117">
    <cfRule type="cellIs" dxfId="13785" priority="3125" operator="greaterThan">
      <formula>1</formula>
    </cfRule>
    <cfRule type="cellIs" dxfId="13784" priority="3126" operator="lessThan">
      <formula>0.8</formula>
    </cfRule>
  </conditionalFormatting>
  <conditionalFormatting sqref="Q117">
    <cfRule type="cellIs" dxfId="13783" priority="3123" operator="lessThan">
      <formula>0</formula>
    </cfRule>
  </conditionalFormatting>
  <conditionalFormatting sqref="R117">
    <cfRule type="cellIs" dxfId="13782" priority="3121" operator="lessThan">
      <formula>0.8</formula>
    </cfRule>
    <cfRule type="cellIs" dxfId="13781" priority="3122" operator="greaterThan">
      <formula>1</formula>
    </cfRule>
  </conditionalFormatting>
  <conditionalFormatting sqref="R117">
    <cfRule type="cellIs" dxfId="13780" priority="3119" operator="greaterThan">
      <formula>1</formula>
    </cfRule>
    <cfRule type="cellIs" dxfId="13779" priority="3120" operator="lessThan">
      <formula>0.8</formula>
    </cfRule>
  </conditionalFormatting>
  <conditionalFormatting sqref="P117">
    <cfRule type="cellIs" dxfId="13778" priority="3118" operator="greaterThan">
      <formula>0</formula>
    </cfRule>
  </conditionalFormatting>
  <conditionalFormatting sqref="P117">
    <cfRule type="cellIs" dxfId="13777" priority="3112" operator="greaterThan">
      <formula>0</formula>
    </cfRule>
  </conditionalFormatting>
  <conditionalFormatting sqref="Q117">
    <cfRule type="cellIs" dxfId="13776" priority="3117" operator="lessThan">
      <formula>0</formula>
    </cfRule>
  </conditionalFormatting>
  <conditionalFormatting sqref="R117">
    <cfRule type="cellIs" dxfId="13775" priority="3115" operator="lessThan">
      <formula>0.8</formula>
    </cfRule>
    <cfRule type="cellIs" dxfId="13774" priority="3116" operator="greaterThan">
      <formula>1</formula>
    </cfRule>
  </conditionalFormatting>
  <conditionalFormatting sqref="R117">
    <cfRule type="cellIs" dxfId="13773" priority="3113" operator="greaterThan">
      <formula>1</formula>
    </cfRule>
    <cfRule type="cellIs" dxfId="13772" priority="3114" operator="lessThan">
      <formula>0.8</formula>
    </cfRule>
  </conditionalFormatting>
  <conditionalFormatting sqref="P117">
    <cfRule type="cellIs" dxfId="13771" priority="3106" operator="greaterThan">
      <formula>0</formula>
    </cfRule>
  </conditionalFormatting>
  <conditionalFormatting sqref="Q117">
    <cfRule type="cellIs" dxfId="13770" priority="3111" operator="lessThan">
      <formula>0</formula>
    </cfRule>
  </conditionalFormatting>
  <conditionalFormatting sqref="R117">
    <cfRule type="cellIs" dxfId="13769" priority="3109" operator="lessThan">
      <formula>0.8</formula>
    </cfRule>
    <cfRule type="cellIs" dxfId="13768" priority="3110" operator="greaterThan">
      <formula>1</formula>
    </cfRule>
  </conditionalFormatting>
  <conditionalFormatting sqref="R117">
    <cfRule type="cellIs" dxfId="13767" priority="3107" operator="greaterThan">
      <formula>1</formula>
    </cfRule>
    <cfRule type="cellIs" dxfId="13766" priority="3108" operator="lessThan">
      <formula>0.8</formula>
    </cfRule>
  </conditionalFormatting>
  <conditionalFormatting sqref="Q117">
    <cfRule type="cellIs" dxfId="13765" priority="3105" operator="lessThan">
      <formula>0</formula>
    </cfRule>
  </conditionalFormatting>
  <conditionalFormatting sqref="R117">
    <cfRule type="cellIs" dxfId="13764" priority="3103" operator="lessThan">
      <formula>0.8</formula>
    </cfRule>
    <cfRule type="cellIs" dxfId="13763" priority="3104" operator="greaterThan">
      <formula>1</formula>
    </cfRule>
  </conditionalFormatting>
  <conditionalFormatting sqref="R117">
    <cfRule type="cellIs" dxfId="13762" priority="3101" operator="greaterThan">
      <formula>1</formula>
    </cfRule>
    <cfRule type="cellIs" dxfId="13761" priority="3102" operator="lessThan">
      <formula>0.8</formula>
    </cfRule>
  </conditionalFormatting>
  <conditionalFormatting sqref="P117">
    <cfRule type="cellIs" dxfId="13760" priority="3100" operator="greaterThan">
      <formula>0</formula>
    </cfRule>
  </conditionalFormatting>
  <conditionalFormatting sqref="P117">
    <cfRule type="cellIs" dxfId="13759" priority="3094" operator="greaterThan">
      <formula>0</formula>
    </cfRule>
  </conditionalFormatting>
  <conditionalFormatting sqref="Q117">
    <cfRule type="cellIs" dxfId="13758" priority="3099" operator="lessThan">
      <formula>0</formula>
    </cfRule>
  </conditionalFormatting>
  <conditionalFormatting sqref="R117">
    <cfRule type="cellIs" dxfId="13757" priority="3097" operator="lessThan">
      <formula>0.8</formula>
    </cfRule>
    <cfRule type="cellIs" dxfId="13756" priority="3098" operator="greaterThan">
      <formula>1</formula>
    </cfRule>
  </conditionalFormatting>
  <conditionalFormatting sqref="R117">
    <cfRule type="cellIs" dxfId="13755" priority="3095" operator="greaterThan">
      <formula>1</formula>
    </cfRule>
    <cfRule type="cellIs" dxfId="13754" priority="3096" operator="lessThan">
      <formula>0.8</formula>
    </cfRule>
  </conditionalFormatting>
  <conditionalFormatting sqref="Q117">
    <cfRule type="cellIs" dxfId="13753" priority="3093" operator="lessThan">
      <formula>0</formula>
    </cfRule>
  </conditionalFormatting>
  <conditionalFormatting sqref="R117">
    <cfRule type="cellIs" dxfId="13752" priority="3091" operator="lessThan">
      <formula>0.8</formula>
    </cfRule>
    <cfRule type="cellIs" dxfId="13751" priority="3092" operator="greaterThan">
      <formula>1</formula>
    </cfRule>
  </conditionalFormatting>
  <conditionalFormatting sqref="R117">
    <cfRule type="cellIs" dxfId="13750" priority="3089" operator="greaterThan">
      <formula>1</formula>
    </cfRule>
    <cfRule type="cellIs" dxfId="13749" priority="3090" operator="lessThan">
      <formula>0.8</formula>
    </cfRule>
  </conditionalFormatting>
  <conditionalFormatting sqref="P117">
    <cfRule type="cellIs" dxfId="13748" priority="3088" operator="greaterThan">
      <formula>0</formula>
    </cfRule>
  </conditionalFormatting>
  <conditionalFormatting sqref="Q117">
    <cfRule type="cellIs" dxfId="13747" priority="3087" operator="lessThan">
      <formula>0</formula>
    </cfRule>
  </conditionalFormatting>
  <conditionalFormatting sqref="R117">
    <cfRule type="cellIs" dxfId="13746" priority="3085" operator="lessThan">
      <formula>0.8</formula>
    </cfRule>
    <cfRule type="cellIs" dxfId="13745" priority="3086" operator="greaterThan">
      <formula>1</formula>
    </cfRule>
  </conditionalFormatting>
  <conditionalFormatting sqref="R117">
    <cfRule type="cellIs" dxfId="13744" priority="3083" operator="greaterThan">
      <formula>1</formula>
    </cfRule>
    <cfRule type="cellIs" dxfId="13743" priority="3084" operator="lessThan">
      <formula>0.8</formula>
    </cfRule>
  </conditionalFormatting>
  <conditionalFormatting sqref="P117">
    <cfRule type="cellIs" dxfId="13742" priority="3082" operator="greaterThan">
      <formula>0</formula>
    </cfRule>
  </conditionalFormatting>
  <conditionalFormatting sqref="Q83">
    <cfRule type="cellIs" dxfId="13741" priority="3081" operator="lessThan">
      <formula>0</formula>
    </cfRule>
  </conditionalFormatting>
  <conditionalFormatting sqref="R83">
    <cfRule type="cellIs" dxfId="13740" priority="3079" operator="lessThan">
      <formula>0.8</formula>
    </cfRule>
    <cfRule type="cellIs" dxfId="13739" priority="3080" operator="greaterThan">
      <formula>1</formula>
    </cfRule>
  </conditionalFormatting>
  <conditionalFormatting sqref="R83">
    <cfRule type="cellIs" dxfId="13738" priority="3077" operator="greaterThan">
      <formula>1</formula>
    </cfRule>
    <cfRule type="cellIs" dxfId="13737" priority="3078" operator="lessThan">
      <formula>0.8</formula>
    </cfRule>
  </conditionalFormatting>
  <conditionalFormatting sqref="P83">
    <cfRule type="cellIs" dxfId="13736" priority="3076" operator="greaterThan">
      <formula>0</formula>
    </cfRule>
  </conditionalFormatting>
  <conditionalFormatting sqref="Q83">
    <cfRule type="cellIs" dxfId="13735" priority="3075" operator="lessThan">
      <formula>0</formula>
    </cfRule>
  </conditionalFormatting>
  <conditionalFormatting sqref="R83">
    <cfRule type="cellIs" dxfId="13734" priority="3073" operator="lessThan">
      <formula>0.8</formula>
    </cfRule>
    <cfRule type="cellIs" dxfId="13733" priority="3074" operator="greaterThan">
      <formula>1</formula>
    </cfRule>
  </conditionalFormatting>
  <conditionalFormatting sqref="R83">
    <cfRule type="cellIs" dxfId="13732" priority="3071" operator="greaterThan">
      <formula>1</formula>
    </cfRule>
    <cfRule type="cellIs" dxfId="13731" priority="3072" operator="lessThan">
      <formula>0.8</formula>
    </cfRule>
  </conditionalFormatting>
  <conditionalFormatting sqref="P83">
    <cfRule type="cellIs" dxfId="13730" priority="3070" operator="greaterThan">
      <formula>0</formula>
    </cfRule>
  </conditionalFormatting>
  <conditionalFormatting sqref="Q83">
    <cfRule type="cellIs" dxfId="13729" priority="3069" operator="lessThan">
      <formula>0</formula>
    </cfRule>
  </conditionalFormatting>
  <conditionalFormatting sqref="R83">
    <cfRule type="cellIs" dxfId="13728" priority="3067" operator="lessThan">
      <formula>0.8</formula>
    </cfRule>
    <cfRule type="cellIs" dxfId="13727" priority="3068" operator="greaterThan">
      <formula>1</formula>
    </cfRule>
  </conditionalFormatting>
  <conditionalFormatting sqref="R83">
    <cfRule type="cellIs" dxfId="13726" priority="3065" operator="greaterThan">
      <formula>1</formula>
    </cfRule>
    <cfRule type="cellIs" dxfId="13725" priority="3066" operator="lessThan">
      <formula>0.8</formula>
    </cfRule>
  </conditionalFormatting>
  <conditionalFormatting sqref="P83">
    <cfRule type="cellIs" dxfId="13724" priority="3064" operator="greaterThan">
      <formula>0</formula>
    </cfRule>
  </conditionalFormatting>
  <conditionalFormatting sqref="Q83">
    <cfRule type="cellIs" dxfId="13723" priority="3063" operator="lessThan">
      <formula>0</formula>
    </cfRule>
  </conditionalFormatting>
  <conditionalFormatting sqref="R83">
    <cfRule type="cellIs" dxfId="13722" priority="3061" operator="lessThan">
      <formula>0.8</formula>
    </cfRule>
    <cfRule type="cellIs" dxfId="13721" priority="3062" operator="greaterThan">
      <formula>1</formula>
    </cfRule>
  </conditionalFormatting>
  <conditionalFormatting sqref="R83">
    <cfRule type="cellIs" dxfId="13720" priority="3059" operator="greaterThan">
      <formula>1</formula>
    </cfRule>
    <cfRule type="cellIs" dxfId="13719" priority="3060" operator="lessThan">
      <formula>0.8</formula>
    </cfRule>
  </conditionalFormatting>
  <conditionalFormatting sqref="P83">
    <cfRule type="cellIs" dxfId="13718" priority="3058" operator="greaterThan">
      <formula>0</formula>
    </cfRule>
  </conditionalFormatting>
  <conditionalFormatting sqref="P83">
    <cfRule type="cellIs" dxfId="13717" priority="3052" operator="greaterThan">
      <formula>0</formula>
    </cfRule>
  </conditionalFormatting>
  <conditionalFormatting sqref="Q83">
    <cfRule type="cellIs" dxfId="13716" priority="3057" operator="lessThan">
      <formula>0</formula>
    </cfRule>
  </conditionalFormatting>
  <conditionalFormatting sqref="R83">
    <cfRule type="cellIs" dxfId="13715" priority="3055" operator="lessThan">
      <formula>0.8</formula>
    </cfRule>
    <cfRule type="cellIs" dxfId="13714" priority="3056" operator="greaterThan">
      <formula>1</formula>
    </cfRule>
  </conditionalFormatting>
  <conditionalFormatting sqref="R83">
    <cfRule type="cellIs" dxfId="13713" priority="3053" operator="greaterThan">
      <formula>1</formula>
    </cfRule>
    <cfRule type="cellIs" dxfId="13712" priority="3054" operator="lessThan">
      <formula>0.8</formula>
    </cfRule>
  </conditionalFormatting>
  <conditionalFormatting sqref="P83">
    <cfRule type="cellIs" dxfId="13711" priority="3046" operator="greaterThan">
      <formula>0</formula>
    </cfRule>
  </conditionalFormatting>
  <conditionalFormatting sqref="Q83">
    <cfRule type="cellIs" dxfId="13710" priority="3051" operator="lessThan">
      <formula>0</formula>
    </cfRule>
  </conditionalFormatting>
  <conditionalFormatting sqref="R83">
    <cfRule type="cellIs" dxfId="13709" priority="3049" operator="lessThan">
      <formula>0.8</formula>
    </cfRule>
    <cfRule type="cellIs" dxfId="13708" priority="3050" operator="greaterThan">
      <formula>1</formula>
    </cfRule>
  </conditionalFormatting>
  <conditionalFormatting sqref="R83">
    <cfRule type="cellIs" dxfId="13707" priority="3047" operator="greaterThan">
      <formula>1</formula>
    </cfRule>
    <cfRule type="cellIs" dxfId="13706" priority="3048" operator="lessThan">
      <formula>0.8</formula>
    </cfRule>
  </conditionalFormatting>
  <conditionalFormatting sqref="R83">
    <cfRule type="cellIs" dxfId="13705" priority="3043" operator="lessThan">
      <formula>0.8</formula>
    </cfRule>
    <cfRule type="cellIs" dxfId="13704" priority="3044" operator="greaterThan">
      <formula>1</formula>
    </cfRule>
  </conditionalFormatting>
  <conditionalFormatting sqref="R83">
    <cfRule type="cellIs" dxfId="13703" priority="3041" operator="greaterThan">
      <formula>1</formula>
    </cfRule>
    <cfRule type="cellIs" dxfId="13702" priority="3042" operator="lessThan">
      <formula>0.8</formula>
    </cfRule>
  </conditionalFormatting>
  <conditionalFormatting sqref="P83">
    <cfRule type="cellIs" dxfId="13701" priority="3040" operator="greaterThan">
      <formula>0</formula>
    </cfRule>
  </conditionalFormatting>
  <conditionalFormatting sqref="Q83">
    <cfRule type="cellIs" dxfId="13700" priority="3045" operator="lessThan">
      <formula>0</formula>
    </cfRule>
  </conditionalFormatting>
  <conditionalFormatting sqref="Q83">
    <cfRule type="cellIs" dxfId="13699" priority="3039" operator="lessThan">
      <formula>0</formula>
    </cfRule>
  </conditionalFormatting>
  <conditionalFormatting sqref="R83">
    <cfRule type="cellIs" dxfId="13698" priority="3037" operator="lessThan">
      <formula>0.8</formula>
    </cfRule>
    <cfRule type="cellIs" dxfId="13697" priority="3038" operator="greaterThan">
      <formula>1</formula>
    </cfRule>
  </conditionalFormatting>
  <conditionalFormatting sqref="R83">
    <cfRule type="cellIs" dxfId="13696" priority="3035" operator="greaterThan">
      <formula>1</formula>
    </cfRule>
    <cfRule type="cellIs" dxfId="13695" priority="3036" operator="lessThan">
      <formula>0.8</formula>
    </cfRule>
  </conditionalFormatting>
  <conditionalFormatting sqref="P83">
    <cfRule type="cellIs" dxfId="13694" priority="3034" operator="greaterThan">
      <formula>0</formula>
    </cfRule>
  </conditionalFormatting>
  <conditionalFormatting sqref="P83">
    <cfRule type="cellIs" dxfId="13693" priority="3028" operator="greaterThan">
      <formula>0</formula>
    </cfRule>
  </conditionalFormatting>
  <conditionalFormatting sqref="Q83">
    <cfRule type="cellIs" dxfId="13692" priority="3033" operator="lessThan">
      <formula>0</formula>
    </cfRule>
  </conditionalFormatting>
  <conditionalFormatting sqref="R83">
    <cfRule type="cellIs" dxfId="13691" priority="3031" operator="lessThan">
      <formula>0.8</formula>
    </cfRule>
    <cfRule type="cellIs" dxfId="13690" priority="3032" operator="greaterThan">
      <formula>1</formula>
    </cfRule>
  </conditionalFormatting>
  <conditionalFormatting sqref="R83">
    <cfRule type="cellIs" dxfId="13689" priority="3029" operator="greaterThan">
      <formula>1</formula>
    </cfRule>
    <cfRule type="cellIs" dxfId="13688" priority="3030" operator="lessThan">
      <formula>0.8</formula>
    </cfRule>
  </conditionalFormatting>
  <conditionalFormatting sqref="P83">
    <cfRule type="cellIs" dxfId="13687" priority="3022" operator="greaterThan">
      <formula>0</formula>
    </cfRule>
  </conditionalFormatting>
  <conditionalFormatting sqref="Q83">
    <cfRule type="cellIs" dxfId="13686" priority="3027" operator="lessThan">
      <formula>0</formula>
    </cfRule>
  </conditionalFormatting>
  <conditionalFormatting sqref="R83">
    <cfRule type="cellIs" dxfId="13685" priority="3025" operator="lessThan">
      <formula>0.8</formula>
    </cfRule>
    <cfRule type="cellIs" dxfId="13684" priority="3026" operator="greaterThan">
      <formula>1</formula>
    </cfRule>
  </conditionalFormatting>
  <conditionalFormatting sqref="R83">
    <cfRule type="cellIs" dxfId="13683" priority="3023" operator="greaterThan">
      <formula>1</formula>
    </cfRule>
    <cfRule type="cellIs" dxfId="13682" priority="3024" operator="lessThan">
      <formula>0.8</formula>
    </cfRule>
  </conditionalFormatting>
  <conditionalFormatting sqref="R83">
    <cfRule type="cellIs" dxfId="13681" priority="3019" operator="lessThan">
      <formula>0.8</formula>
    </cfRule>
    <cfRule type="cellIs" dxfId="13680" priority="3020" operator="greaterThan">
      <formula>1</formula>
    </cfRule>
  </conditionalFormatting>
  <conditionalFormatting sqref="R83">
    <cfRule type="cellIs" dxfId="13679" priority="3017" operator="greaterThan">
      <formula>1</formula>
    </cfRule>
    <cfRule type="cellIs" dxfId="13678" priority="3018" operator="lessThan">
      <formula>0.8</formula>
    </cfRule>
  </conditionalFormatting>
  <conditionalFormatting sqref="P83">
    <cfRule type="cellIs" dxfId="13677" priority="3016" operator="greaterThan">
      <formula>0</formula>
    </cfRule>
  </conditionalFormatting>
  <conditionalFormatting sqref="Q83">
    <cfRule type="cellIs" dxfId="13676" priority="3021" operator="lessThan">
      <formula>0</formula>
    </cfRule>
  </conditionalFormatting>
  <conditionalFormatting sqref="P83">
    <cfRule type="cellIs" dxfId="13675" priority="3010" operator="greaterThan">
      <formula>0</formula>
    </cfRule>
  </conditionalFormatting>
  <conditionalFormatting sqref="Q83">
    <cfRule type="cellIs" dxfId="13674" priority="3015" operator="lessThan">
      <formula>0</formula>
    </cfRule>
  </conditionalFormatting>
  <conditionalFormatting sqref="R83">
    <cfRule type="cellIs" dxfId="13673" priority="3013" operator="lessThan">
      <formula>0.8</formula>
    </cfRule>
    <cfRule type="cellIs" dxfId="13672" priority="3014" operator="greaterThan">
      <formula>1</formula>
    </cfRule>
  </conditionalFormatting>
  <conditionalFormatting sqref="R83">
    <cfRule type="cellIs" dxfId="13671" priority="3011" operator="greaterThan">
      <formula>1</formula>
    </cfRule>
    <cfRule type="cellIs" dxfId="13670" priority="3012" operator="lessThan">
      <formula>0.8</formula>
    </cfRule>
  </conditionalFormatting>
  <conditionalFormatting sqref="R83">
    <cfRule type="cellIs" dxfId="13669" priority="3007" operator="lessThan">
      <formula>0.8</formula>
    </cfRule>
    <cfRule type="cellIs" dxfId="13668" priority="3008" operator="greaterThan">
      <formula>1</formula>
    </cfRule>
  </conditionalFormatting>
  <conditionalFormatting sqref="R83">
    <cfRule type="cellIs" dxfId="13667" priority="3005" operator="greaterThan">
      <formula>1</formula>
    </cfRule>
    <cfRule type="cellIs" dxfId="13666" priority="3006" operator="lessThan">
      <formula>0.8</formula>
    </cfRule>
  </conditionalFormatting>
  <conditionalFormatting sqref="P83">
    <cfRule type="cellIs" dxfId="13665" priority="3004" operator="greaterThan">
      <formula>0</formula>
    </cfRule>
  </conditionalFormatting>
  <conditionalFormatting sqref="Q83">
    <cfRule type="cellIs" dxfId="13664" priority="3009" operator="lessThan">
      <formula>0</formula>
    </cfRule>
  </conditionalFormatting>
  <conditionalFormatting sqref="R83">
    <cfRule type="cellIs" dxfId="13663" priority="3001" operator="lessThan">
      <formula>0.8</formula>
    </cfRule>
    <cfRule type="cellIs" dxfId="13662" priority="3002" operator="greaterThan">
      <formula>1</formula>
    </cfRule>
  </conditionalFormatting>
  <conditionalFormatting sqref="R83">
    <cfRule type="cellIs" dxfId="13661" priority="2999" operator="greaterThan">
      <formula>1</formula>
    </cfRule>
    <cfRule type="cellIs" dxfId="13660" priority="3000" operator="lessThan">
      <formula>0.8</formula>
    </cfRule>
  </conditionalFormatting>
  <conditionalFormatting sqref="P83">
    <cfRule type="cellIs" dxfId="13659" priority="2998" operator="greaterThan">
      <formula>0</formula>
    </cfRule>
  </conditionalFormatting>
  <conditionalFormatting sqref="Q83">
    <cfRule type="cellIs" dxfId="13658" priority="3003" operator="lessThan">
      <formula>0</formula>
    </cfRule>
  </conditionalFormatting>
  <conditionalFormatting sqref="Q83">
    <cfRule type="cellIs" dxfId="13657" priority="2997" operator="lessThan">
      <formula>0</formula>
    </cfRule>
  </conditionalFormatting>
  <conditionalFormatting sqref="R83">
    <cfRule type="cellIs" dxfId="13656" priority="2995" operator="lessThan">
      <formula>0.8</formula>
    </cfRule>
    <cfRule type="cellIs" dxfId="13655" priority="2996" operator="greaterThan">
      <formula>1</formula>
    </cfRule>
  </conditionalFormatting>
  <conditionalFormatting sqref="R83">
    <cfRule type="cellIs" dxfId="13654" priority="2993" operator="greaterThan">
      <formula>1</formula>
    </cfRule>
    <cfRule type="cellIs" dxfId="13653" priority="2994" operator="lessThan">
      <formula>0.8</formula>
    </cfRule>
  </conditionalFormatting>
  <conditionalFormatting sqref="P83">
    <cfRule type="cellIs" dxfId="13652" priority="2992" operator="greaterThan">
      <formula>0</formula>
    </cfRule>
  </conditionalFormatting>
  <conditionalFormatting sqref="Q83">
    <cfRule type="cellIs" dxfId="13651" priority="2986" operator="lessThan">
      <formula>0</formula>
    </cfRule>
  </conditionalFormatting>
  <conditionalFormatting sqref="R83">
    <cfRule type="cellIs" dxfId="13650" priority="2990" operator="lessThan">
      <formula>0.8</formula>
    </cfRule>
    <cfRule type="cellIs" dxfId="13649" priority="2991" operator="greaterThan">
      <formula>1</formula>
    </cfRule>
  </conditionalFormatting>
  <conditionalFormatting sqref="R83">
    <cfRule type="cellIs" dxfId="13648" priority="2988" operator="greaterThan">
      <formula>1</formula>
    </cfRule>
    <cfRule type="cellIs" dxfId="13647" priority="2989" operator="lessThan">
      <formula>0.8</formula>
    </cfRule>
  </conditionalFormatting>
  <conditionalFormatting sqref="P83">
    <cfRule type="cellIs" dxfId="13646" priority="2987" operator="greaterThan">
      <formula>0</formula>
    </cfRule>
  </conditionalFormatting>
  <conditionalFormatting sqref="Q83">
    <cfRule type="cellIs" dxfId="13645" priority="2985" operator="lessThan">
      <formula>0</formula>
    </cfRule>
  </conditionalFormatting>
  <conditionalFormatting sqref="R83">
    <cfRule type="cellIs" dxfId="13644" priority="2983" operator="lessThan">
      <formula>0.8</formula>
    </cfRule>
    <cfRule type="cellIs" dxfId="13643" priority="2984" operator="greaterThan">
      <formula>1</formula>
    </cfRule>
  </conditionalFormatting>
  <conditionalFormatting sqref="R83">
    <cfRule type="cellIs" dxfId="13642" priority="2981" operator="greaterThan">
      <formula>1</formula>
    </cfRule>
    <cfRule type="cellIs" dxfId="13641" priority="2982" operator="lessThan">
      <formula>0.8</formula>
    </cfRule>
  </conditionalFormatting>
  <conditionalFormatting sqref="P83">
    <cfRule type="cellIs" dxfId="13640" priority="2980" operator="greaterThan">
      <formula>0</formula>
    </cfRule>
  </conditionalFormatting>
  <conditionalFormatting sqref="Q83">
    <cfRule type="cellIs" dxfId="13639" priority="2979" operator="lessThan">
      <formula>0</formula>
    </cfRule>
  </conditionalFormatting>
  <conditionalFormatting sqref="R83">
    <cfRule type="cellIs" dxfId="13638" priority="2977" operator="lessThan">
      <formula>0.8</formula>
    </cfRule>
    <cfRule type="cellIs" dxfId="13637" priority="2978" operator="greaterThan">
      <formula>1</formula>
    </cfRule>
  </conditionalFormatting>
  <conditionalFormatting sqref="R83">
    <cfRule type="cellIs" dxfId="13636" priority="2975" operator="greaterThan">
      <formula>1</formula>
    </cfRule>
    <cfRule type="cellIs" dxfId="13635" priority="2976" operator="lessThan">
      <formula>0.8</formula>
    </cfRule>
  </conditionalFormatting>
  <conditionalFormatting sqref="P83">
    <cfRule type="cellIs" dxfId="13634" priority="2974" operator="greaterThan">
      <formula>0</formula>
    </cfRule>
  </conditionalFormatting>
  <conditionalFormatting sqref="Q83">
    <cfRule type="cellIs" dxfId="13633" priority="2973" operator="lessThan">
      <formula>0</formula>
    </cfRule>
  </conditionalFormatting>
  <conditionalFormatting sqref="R83">
    <cfRule type="cellIs" dxfId="13632" priority="2971" operator="lessThan">
      <formula>0.8</formula>
    </cfRule>
    <cfRule type="cellIs" dxfId="13631" priority="2972" operator="greaterThan">
      <formula>1</formula>
    </cfRule>
  </conditionalFormatting>
  <conditionalFormatting sqref="R83">
    <cfRule type="cellIs" dxfId="13630" priority="2969" operator="greaterThan">
      <formula>1</formula>
    </cfRule>
    <cfRule type="cellIs" dxfId="13629" priority="2970" operator="lessThan">
      <formula>0.8</formula>
    </cfRule>
  </conditionalFormatting>
  <conditionalFormatting sqref="P83">
    <cfRule type="cellIs" dxfId="13628" priority="2968" operator="greaterThan">
      <formula>0</formula>
    </cfRule>
  </conditionalFormatting>
  <conditionalFormatting sqref="Q83">
    <cfRule type="cellIs" dxfId="13627" priority="2967" operator="lessThan">
      <formula>0</formula>
    </cfRule>
  </conditionalFormatting>
  <conditionalFormatting sqref="R83">
    <cfRule type="cellIs" dxfId="13626" priority="2965" operator="lessThan">
      <formula>0.8</formula>
    </cfRule>
    <cfRule type="cellIs" dxfId="13625" priority="2966" operator="greaterThan">
      <formula>1</formula>
    </cfRule>
  </conditionalFormatting>
  <conditionalFormatting sqref="R83">
    <cfRule type="cellIs" dxfId="13624" priority="2963" operator="greaterThan">
      <formula>1</formula>
    </cfRule>
    <cfRule type="cellIs" dxfId="13623" priority="2964" operator="lessThan">
      <formula>0.8</formula>
    </cfRule>
  </conditionalFormatting>
  <conditionalFormatting sqref="P83">
    <cfRule type="cellIs" dxfId="13622" priority="2962" operator="greaterThan">
      <formula>0</formula>
    </cfRule>
  </conditionalFormatting>
  <conditionalFormatting sqref="Q83">
    <cfRule type="cellIs" dxfId="13621" priority="2961" operator="lessThan">
      <formula>0</formula>
    </cfRule>
  </conditionalFormatting>
  <conditionalFormatting sqref="R83">
    <cfRule type="cellIs" dxfId="13620" priority="2959" operator="lessThan">
      <formula>0.8</formula>
    </cfRule>
    <cfRule type="cellIs" dxfId="13619" priority="2960" operator="greaterThan">
      <formula>1</formula>
    </cfRule>
  </conditionalFormatting>
  <conditionalFormatting sqref="R83">
    <cfRule type="cellIs" dxfId="13618" priority="2957" operator="greaterThan">
      <formula>1</formula>
    </cfRule>
    <cfRule type="cellIs" dxfId="13617" priority="2958" operator="lessThan">
      <formula>0.8</formula>
    </cfRule>
  </conditionalFormatting>
  <conditionalFormatting sqref="P83">
    <cfRule type="cellIs" dxfId="13616" priority="2956" operator="greaterThan">
      <formula>0</formula>
    </cfRule>
  </conditionalFormatting>
  <conditionalFormatting sqref="P83">
    <cfRule type="cellIs" dxfId="13615" priority="2950" operator="greaterThan">
      <formula>0</formula>
    </cfRule>
  </conditionalFormatting>
  <conditionalFormatting sqref="Q83">
    <cfRule type="cellIs" dxfId="13614" priority="2955" operator="lessThan">
      <formula>0</formula>
    </cfRule>
  </conditionalFormatting>
  <conditionalFormatting sqref="R83">
    <cfRule type="cellIs" dxfId="13613" priority="2953" operator="lessThan">
      <formula>0.8</formula>
    </cfRule>
    <cfRule type="cellIs" dxfId="13612" priority="2954" operator="greaterThan">
      <formula>1</formula>
    </cfRule>
  </conditionalFormatting>
  <conditionalFormatting sqref="R83">
    <cfRule type="cellIs" dxfId="13611" priority="2951" operator="greaterThan">
      <formula>1</formula>
    </cfRule>
    <cfRule type="cellIs" dxfId="13610" priority="2952" operator="lessThan">
      <formula>0.8</formula>
    </cfRule>
  </conditionalFormatting>
  <conditionalFormatting sqref="P83">
    <cfRule type="cellIs" dxfId="13609" priority="2944" operator="greaterThan">
      <formula>0</formula>
    </cfRule>
  </conditionalFormatting>
  <conditionalFormatting sqref="Q83">
    <cfRule type="cellIs" dxfId="13608" priority="2949" operator="lessThan">
      <formula>0</formula>
    </cfRule>
  </conditionalFormatting>
  <conditionalFormatting sqref="R83">
    <cfRule type="cellIs" dxfId="13607" priority="2947" operator="lessThan">
      <formula>0.8</formula>
    </cfRule>
    <cfRule type="cellIs" dxfId="13606" priority="2948" operator="greaterThan">
      <formula>1</formula>
    </cfRule>
  </conditionalFormatting>
  <conditionalFormatting sqref="R83">
    <cfRule type="cellIs" dxfId="13605" priority="2945" operator="greaterThan">
      <formula>1</formula>
    </cfRule>
    <cfRule type="cellIs" dxfId="13604" priority="2946" operator="lessThan">
      <formula>0.8</formula>
    </cfRule>
  </conditionalFormatting>
  <conditionalFormatting sqref="R83">
    <cfRule type="cellIs" dxfId="13603" priority="2941" operator="lessThan">
      <formula>0.8</formula>
    </cfRule>
    <cfRule type="cellIs" dxfId="13602" priority="2942" operator="greaterThan">
      <formula>1</formula>
    </cfRule>
  </conditionalFormatting>
  <conditionalFormatting sqref="R83">
    <cfRule type="cellIs" dxfId="13601" priority="2939" operator="greaterThan">
      <formula>1</formula>
    </cfRule>
    <cfRule type="cellIs" dxfId="13600" priority="2940" operator="lessThan">
      <formula>0.8</formula>
    </cfRule>
  </conditionalFormatting>
  <conditionalFormatting sqref="P83">
    <cfRule type="cellIs" dxfId="13599" priority="2938" operator="greaterThan">
      <formula>0</formula>
    </cfRule>
  </conditionalFormatting>
  <conditionalFormatting sqref="Q83">
    <cfRule type="cellIs" dxfId="13598" priority="2943" operator="lessThan">
      <formula>0</formula>
    </cfRule>
  </conditionalFormatting>
  <conditionalFormatting sqref="Q83">
    <cfRule type="cellIs" dxfId="13597" priority="2937" operator="lessThan">
      <formula>0</formula>
    </cfRule>
  </conditionalFormatting>
  <conditionalFormatting sqref="R83">
    <cfRule type="cellIs" dxfId="13596" priority="2935" operator="lessThan">
      <formula>0.8</formula>
    </cfRule>
    <cfRule type="cellIs" dxfId="13595" priority="2936" operator="greaterThan">
      <formula>1</formula>
    </cfRule>
  </conditionalFormatting>
  <conditionalFormatting sqref="R83">
    <cfRule type="cellIs" dxfId="13594" priority="2933" operator="greaterThan">
      <formula>1</formula>
    </cfRule>
    <cfRule type="cellIs" dxfId="13593" priority="2934" operator="lessThan">
      <formula>0.8</formula>
    </cfRule>
  </conditionalFormatting>
  <conditionalFormatting sqref="P83">
    <cfRule type="cellIs" dxfId="13592" priority="2932" operator="greaterThan">
      <formula>0</formula>
    </cfRule>
  </conditionalFormatting>
  <conditionalFormatting sqref="Q83">
    <cfRule type="cellIs" dxfId="13591" priority="2931" operator="lessThan">
      <formula>0</formula>
    </cfRule>
  </conditionalFormatting>
  <conditionalFormatting sqref="R83">
    <cfRule type="cellIs" dxfId="13590" priority="2929" operator="lessThan">
      <formula>0.8</formula>
    </cfRule>
    <cfRule type="cellIs" dxfId="13589" priority="2930" operator="greaterThan">
      <formula>1</formula>
    </cfRule>
  </conditionalFormatting>
  <conditionalFormatting sqref="R83">
    <cfRule type="cellIs" dxfId="13588" priority="2927" operator="greaterThan">
      <formula>1</formula>
    </cfRule>
    <cfRule type="cellIs" dxfId="13587" priority="2928" operator="lessThan">
      <formula>0.8</formula>
    </cfRule>
  </conditionalFormatting>
  <conditionalFormatting sqref="P83">
    <cfRule type="cellIs" dxfId="13586" priority="2926" operator="greaterThan">
      <formula>0</formula>
    </cfRule>
  </conditionalFormatting>
  <conditionalFormatting sqref="Q83">
    <cfRule type="cellIs" dxfId="13585" priority="2925" operator="lessThan">
      <formula>0</formula>
    </cfRule>
  </conditionalFormatting>
  <conditionalFormatting sqref="R83">
    <cfRule type="cellIs" dxfId="13584" priority="2923" operator="lessThan">
      <formula>0.8</formula>
    </cfRule>
    <cfRule type="cellIs" dxfId="13583" priority="2924" operator="greaterThan">
      <formula>1</formula>
    </cfRule>
  </conditionalFormatting>
  <conditionalFormatting sqref="R83">
    <cfRule type="cellIs" dxfId="13582" priority="2921" operator="greaterThan">
      <formula>1</formula>
    </cfRule>
    <cfRule type="cellIs" dxfId="13581" priority="2922" operator="lessThan">
      <formula>0.8</formula>
    </cfRule>
  </conditionalFormatting>
  <conditionalFormatting sqref="P83">
    <cfRule type="cellIs" dxfId="13580" priority="2920" operator="greaterThan">
      <formula>0</formula>
    </cfRule>
  </conditionalFormatting>
  <conditionalFormatting sqref="Q83">
    <cfRule type="cellIs" dxfId="13579" priority="2919" operator="lessThan">
      <formula>0</formula>
    </cfRule>
  </conditionalFormatting>
  <conditionalFormatting sqref="R83">
    <cfRule type="cellIs" dxfId="13578" priority="2917" operator="lessThan">
      <formula>0.8</formula>
    </cfRule>
    <cfRule type="cellIs" dxfId="13577" priority="2918" operator="greaterThan">
      <formula>1</formula>
    </cfRule>
  </conditionalFormatting>
  <conditionalFormatting sqref="R83">
    <cfRule type="cellIs" dxfId="13576" priority="2915" operator="greaterThan">
      <formula>1</formula>
    </cfRule>
    <cfRule type="cellIs" dxfId="13575" priority="2916" operator="lessThan">
      <formula>0.8</formula>
    </cfRule>
  </conditionalFormatting>
  <conditionalFormatting sqref="P83">
    <cfRule type="cellIs" dxfId="13574" priority="2914" operator="greaterThan">
      <formula>0</formula>
    </cfRule>
  </conditionalFormatting>
  <conditionalFormatting sqref="P83">
    <cfRule type="cellIs" dxfId="13573" priority="2908" operator="greaterThan">
      <formula>0</formula>
    </cfRule>
  </conditionalFormatting>
  <conditionalFormatting sqref="Q83">
    <cfRule type="cellIs" dxfId="13572" priority="2913" operator="lessThan">
      <formula>0</formula>
    </cfRule>
  </conditionalFormatting>
  <conditionalFormatting sqref="R83">
    <cfRule type="cellIs" dxfId="13571" priority="2911" operator="lessThan">
      <formula>0.8</formula>
    </cfRule>
    <cfRule type="cellIs" dxfId="13570" priority="2912" operator="greaterThan">
      <formula>1</formula>
    </cfRule>
  </conditionalFormatting>
  <conditionalFormatting sqref="R83">
    <cfRule type="cellIs" dxfId="13569" priority="2909" operator="greaterThan">
      <formula>1</formula>
    </cfRule>
    <cfRule type="cellIs" dxfId="13568" priority="2910" operator="lessThan">
      <formula>0.8</formula>
    </cfRule>
  </conditionalFormatting>
  <conditionalFormatting sqref="P83">
    <cfRule type="cellIs" dxfId="13567" priority="2902" operator="greaterThan">
      <formula>0</formula>
    </cfRule>
  </conditionalFormatting>
  <conditionalFormatting sqref="Q83">
    <cfRule type="cellIs" dxfId="13566" priority="2907" operator="lessThan">
      <formula>0</formula>
    </cfRule>
  </conditionalFormatting>
  <conditionalFormatting sqref="R83">
    <cfRule type="cellIs" dxfId="13565" priority="2905" operator="lessThan">
      <formula>0.8</formula>
    </cfRule>
    <cfRule type="cellIs" dxfId="13564" priority="2906" operator="greaterThan">
      <formula>1</formula>
    </cfRule>
  </conditionalFormatting>
  <conditionalFormatting sqref="R83">
    <cfRule type="cellIs" dxfId="13563" priority="2903" operator="greaterThan">
      <formula>1</formula>
    </cfRule>
    <cfRule type="cellIs" dxfId="13562" priority="2904" operator="lessThan">
      <formula>0.8</formula>
    </cfRule>
  </conditionalFormatting>
  <conditionalFormatting sqref="R83">
    <cfRule type="cellIs" dxfId="13561" priority="2899" operator="lessThan">
      <formula>0.8</formula>
    </cfRule>
    <cfRule type="cellIs" dxfId="13560" priority="2900" operator="greaterThan">
      <formula>1</formula>
    </cfRule>
  </conditionalFormatting>
  <conditionalFormatting sqref="R83">
    <cfRule type="cellIs" dxfId="13559" priority="2897" operator="greaterThan">
      <formula>1</formula>
    </cfRule>
    <cfRule type="cellIs" dxfId="13558" priority="2898" operator="lessThan">
      <formula>0.8</formula>
    </cfRule>
  </conditionalFormatting>
  <conditionalFormatting sqref="P83">
    <cfRule type="cellIs" dxfId="13557" priority="2896" operator="greaterThan">
      <formula>0</formula>
    </cfRule>
  </conditionalFormatting>
  <conditionalFormatting sqref="Q83">
    <cfRule type="cellIs" dxfId="13556" priority="2901" operator="lessThan">
      <formula>0</formula>
    </cfRule>
  </conditionalFormatting>
  <conditionalFormatting sqref="Q83">
    <cfRule type="cellIs" dxfId="13555" priority="2895" operator="lessThan">
      <formula>0</formula>
    </cfRule>
  </conditionalFormatting>
  <conditionalFormatting sqref="R83">
    <cfRule type="cellIs" dxfId="13554" priority="2893" operator="lessThan">
      <formula>0.8</formula>
    </cfRule>
    <cfRule type="cellIs" dxfId="13553" priority="2894" operator="greaterThan">
      <formula>1</formula>
    </cfRule>
  </conditionalFormatting>
  <conditionalFormatting sqref="R83">
    <cfRule type="cellIs" dxfId="13552" priority="2891" operator="greaterThan">
      <formula>1</formula>
    </cfRule>
    <cfRule type="cellIs" dxfId="13551" priority="2892" operator="lessThan">
      <formula>0.8</formula>
    </cfRule>
  </conditionalFormatting>
  <conditionalFormatting sqref="P83">
    <cfRule type="cellIs" dxfId="13550" priority="2890" operator="greaterThan">
      <formula>0</formula>
    </cfRule>
  </conditionalFormatting>
  <conditionalFormatting sqref="P83">
    <cfRule type="cellIs" dxfId="13549" priority="2884" operator="greaterThan">
      <formula>0</formula>
    </cfRule>
  </conditionalFormatting>
  <conditionalFormatting sqref="Q83">
    <cfRule type="cellIs" dxfId="13548" priority="2889" operator="lessThan">
      <formula>0</formula>
    </cfRule>
  </conditionalFormatting>
  <conditionalFormatting sqref="R83">
    <cfRule type="cellIs" dxfId="13547" priority="2887" operator="lessThan">
      <formula>0.8</formula>
    </cfRule>
    <cfRule type="cellIs" dxfId="13546" priority="2888" operator="greaterThan">
      <formula>1</formula>
    </cfRule>
  </conditionalFormatting>
  <conditionalFormatting sqref="R83">
    <cfRule type="cellIs" dxfId="13545" priority="2885" operator="greaterThan">
      <formula>1</formula>
    </cfRule>
    <cfRule type="cellIs" dxfId="13544" priority="2886" operator="lessThan">
      <formula>0.8</formula>
    </cfRule>
  </conditionalFormatting>
  <conditionalFormatting sqref="P83">
    <cfRule type="cellIs" dxfId="13543" priority="2878" operator="greaterThan">
      <formula>0</formula>
    </cfRule>
  </conditionalFormatting>
  <conditionalFormatting sqref="Q83">
    <cfRule type="cellIs" dxfId="13542" priority="2883" operator="lessThan">
      <formula>0</formula>
    </cfRule>
  </conditionalFormatting>
  <conditionalFormatting sqref="R83">
    <cfRule type="cellIs" dxfId="13541" priority="2881" operator="lessThan">
      <formula>0.8</formula>
    </cfRule>
    <cfRule type="cellIs" dxfId="13540" priority="2882" operator="greaterThan">
      <formula>1</formula>
    </cfRule>
  </conditionalFormatting>
  <conditionalFormatting sqref="R83">
    <cfRule type="cellIs" dxfId="13539" priority="2879" operator="greaterThan">
      <formula>1</formula>
    </cfRule>
    <cfRule type="cellIs" dxfId="13538" priority="2880" operator="lessThan">
      <formula>0.8</formula>
    </cfRule>
  </conditionalFormatting>
  <conditionalFormatting sqref="R83">
    <cfRule type="cellIs" dxfId="13537" priority="2875" operator="lessThan">
      <formula>0.8</formula>
    </cfRule>
    <cfRule type="cellIs" dxfId="13536" priority="2876" operator="greaterThan">
      <formula>1</formula>
    </cfRule>
  </conditionalFormatting>
  <conditionalFormatting sqref="R83">
    <cfRule type="cellIs" dxfId="13535" priority="2873" operator="greaterThan">
      <formula>1</formula>
    </cfRule>
    <cfRule type="cellIs" dxfId="13534" priority="2874" operator="lessThan">
      <formula>0.8</formula>
    </cfRule>
  </conditionalFormatting>
  <conditionalFormatting sqref="P83">
    <cfRule type="cellIs" dxfId="13533" priority="2872" operator="greaterThan">
      <formula>0</formula>
    </cfRule>
  </conditionalFormatting>
  <conditionalFormatting sqref="Q83">
    <cfRule type="cellIs" dxfId="13532" priority="2877" operator="lessThan">
      <formula>0</formula>
    </cfRule>
  </conditionalFormatting>
  <conditionalFormatting sqref="P83">
    <cfRule type="cellIs" dxfId="13531" priority="2866" operator="greaterThan">
      <formula>0</formula>
    </cfRule>
  </conditionalFormatting>
  <conditionalFormatting sqref="Q83">
    <cfRule type="cellIs" dxfId="13530" priority="2871" operator="lessThan">
      <formula>0</formula>
    </cfRule>
  </conditionalFormatting>
  <conditionalFormatting sqref="R83">
    <cfRule type="cellIs" dxfId="13529" priority="2869" operator="lessThan">
      <formula>0.8</formula>
    </cfRule>
    <cfRule type="cellIs" dxfId="13528" priority="2870" operator="greaterThan">
      <formula>1</formula>
    </cfRule>
  </conditionalFormatting>
  <conditionalFormatting sqref="R83">
    <cfRule type="cellIs" dxfId="13527" priority="2867" operator="greaterThan">
      <formula>1</formula>
    </cfRule>
    <cfRule type="cellIs" dxfId="13526" priority="2868" operator="lessThan">
      <formula>0.8</formula>
    </cfRule>
  </conditionalFormatting>
  <conditionalFormatting sqref="R83">
    <cfRule type="cellIs" dxfId="13525" priority="2863" operator="lessThan">
      <formula>0.8</formula>
    </cfRule>
    <cfRule type="cellIs" dxfId="13524" priority="2864" operator="greaterThan">
      <formula>1</formula>
    </cfRule>
  </conditionalFormatting>
  <conditionalFormatting sqref="R83">
    <cfRule type="cellIs" dxfId="13523" priority="2861" operator="greaterThan">
      <formula>1</formula>
    </cfRule>
    <cfRule type="cellIs" dxfId="13522" priority="2862" operator="lessThan">
      <formula>0.8</formula>
    </cfRule>
  </conditionalFormatting>
  <conditionalFormatting sqref="P83">
    <cfRule type="cellIs" dxfId="13521" priority="2860" operator="greaterThan">
      <formula>0</formula>
    </cfRule>
  </conditionalFormatting>
  <conditionalFormatting sqref="Q83">
    <cfRule type="cellIs" dxfId="13520" priority="2865" operator="lessThan">
      <formula>0</formula>
    </cfRule>
  </conditionalFormatting>
  <conditionalFormatting sqref="R83">
    <cfRule type="cellIs" dxfId="13519" priority="2857" operator="lessThan">
      <formula>0.8</formula>
    </cfRule>
    <cfRule type="cellIs" dxfId="13518" priority="2858" operator="greaterThan">
      <formula>1</formula>
    </cfRule>
  </conditionalFormatting>
  <conditionalFormatting sqref="R83">
    <cfRule type="cellIs" dxfId="13517" priority="2855" operator="greaterThan">
      <formula>1</formula>
    </cfRule>
    <cfRule type="cellIs" dxfId="13516" priority="2856" operator="lessThan">
      <formula>0.8</formula>
    </cfRule>
  </conditionalFormatting>
  <conditionalFormatting sqref="P83">
    <cfRule type="cellIs" dxfId="13515" priority="2854" operator="greaterThan">
      <formula>0</formula>
    </cfRule>
  </conditionalFormatting>
  <conditionalFormatting sqref="Q83">
    <cfRule type="cellIs" dxfId="13514" priority="2859" operator="lessThan">
      <formula>0</formula>
    </cfRule>
  </conditionalFormatting>
  <conditionalFormatting sqref="Q83">
    <cfRule type="cellIs" dxfId="13513" priority="2853" operator="lessThan">
      <formula>0</formula>
    </cfRule>
  </conditionalFormatting>
  <conditionalFormatting sqref="R83">
    <cfRule type="cellIs" dxfId="13512" priority="2851" operator="lessThan">
      <formula>0.8</formula>
    </cfRule>
    <cfRule type="cellIs" dxfId="13511" priority="2852" operator="greaterThan">
      <formula>1</formula>
    </cfRule>
  </conditionalFormatting>
  <conditionalFormatting sqref="R83">
    <cfRule type="cellIs" dxfId="13510" priority="2849" operator="greaterThan">
      <formula>1</formula>
    </cfRule>
    <cfRule type="cellIs" dxfId="13509" priority="2850" operator="lessThan">
      <formula>0.8</formula>
    </cfRule>
  </conditionalFormatting>
  <conditionalFormatting sqref="P83">
    <cfRule type="cellIs" dxfId="13508" priority="2848" operator="greaterThan">
      <formula>0</formula>
    </cfRule>
  </conditionalFormatting>
  <conditionalFormatting sqref="Q83">
    <cfRule type="cellIs" dxfId="13507" priority="2842" operator="lessThan">
      <formula>0</formula>
    </cfRule>
  </conditionalFormatting>
  <conditionalFormatting sqref="R83">
    <cfRule type="cellIs" dxfId="13506" priority="2846" operator="lessThan">
      <formula>0.8</formula>
    </cfRule>
    <cfRule type="cellIs" dxfId="13505" priority="2847" operator="greaterThan">
      <formula>1</formula>
    </cfRule>
  </conditionalFormatting>
  <conditionalFormatting sqref="R83">
    <cfRule type="cellIs" dxfId="13504" priority="2844" operator="greaterThan">
      <formula>1</formula>
    </cfRule>
    <cfRule type="cellIs" dxfId="13503" priority="2845" operator="lessThan">
      <formula>0.8</formula>
    </cfRule>
  </conditionalFormatting>
  <conditionalFormatting sqref="P83">
    <cfRule type="cellIs" dxfId="13502" priority="2843" operator="greaterThan">
      <formula>0</formula>
    </cfRule>
  </conditionalFormatting>
  <conditionalFormatting sqref="Q83">
    <cfRule type="cellIs" dxfId="13501" priority="2841" operator="lessThan">
      <formula>0</formula>
    </cfRule>
  </conditionalFormatting>
  <conditionalFormatting sqref="R83">
    <cfRule type="cellIs" dxfId="13500" priority="2839" operator="lessThan">
      <formula>0.8</formula>
    </cfRule>
    <cfRule type="cellIs" dxfId="13499" priority="2840" operator="greaterThan">
      <formula>1</formula>
    </cfRule>
  </conditionalFormatting>
  <conditionalFormatting sqref="R83">
    <cfRule type="cellIs" dxfId="13498" priority="2837" operator="greaterThan">
      <formula>1</formula>
    </cfRule>
    <cfRule type="cellIs" dxfId="13497" priority="2838" operator="lessThan">
      <formula>0.8</formula>
    </cfRule>
  </conditionalFormatting>
  <conditionalFormatting sqref="P83">
    <cfRule type="cellIs" dxfId="13496" priority="2836" operator="greaterThan">
      <formula>0</formula>
    </cfRule>
  </conditionalFormatting>
  <conditionalFormatting sqref="Q83">
    <cfRule type="cellIs" dxfId="13495" priority="2835" operator="lessThan">
      <formula>0</formula>
    </cfRule>
  </conditionalFormatting>
  <conditionalFormatting sqref="R83">
    <cfRule type="cellIs" dxfId="13494" priority="2833" operator="lessThan">
      <formula>0.8</formula>
    </cfRule>
    <cfRule type="cellIs" dxfId="13493" priority="2834" operator="greaterThan">
      <formula>1</formula>
    </cfRule>
  </conditionalFormatting>
  <conditionalFormatting sqref="R83">
    <cfRule type="cellIs" dxfId="13492" priority="2831" operator="greaterThan">
      <formula>1</formula>
    </cfRule>
    <cfRule type="cellIs" dxfId="13491" priority="2832" operator="lessThan">
      <formula>0.8</formula>
    </cfRule>
  </conditionalFormatting>
  <conditionalFormatting sqref="P83">
    <cfRule type="cellIs" dxfId="13490" priority="2830" operator="greaterThan">
      <formula>0</formula>
    </cfRule>
  </conditionalFormatting>
  <conditionalFormatting sqref="Q83">
    <cfRule type="cellIs" dxfId="13489" priority="2829" operator="lessThan">
      <formula>0</formula>
    </cfRule>
  </conditionalFormatting>
  <conditionalFormatting sqref="R83">
    <cfRule type="cellIs" dxfId="13488" priority="2827" operator="lessThan">
      <formula>0.8</formula>
    </cfRule>
    <cfRule type="cellIs" dxfId="13487" priority="2828" operator="greaterThan">
      <formula>1</formula>
    </cfRule>
  </conditionalFormatting>
  <conditionalFormatting sqref="R83">
    <cfRule type="cellIs" dxfId="13486" priority="2825" operator="greaterThan">
      <formula>1</formula>
    </cfRule>
    <cfRule type="cellIs" dxfId="13485" priority="2826" operator="lessThan">
      <formula>0.8</formula>
    </cfRule>
  </conditionalFormatting>
  <conditionalFormatting sqref="P83">
    <cfRule type="cellIs" dxfId="13484" priority="2824" operator="greaterThan">
      <formula>0</formula>
    </cfRule>
  </conditionalFormatting>
  <conditionalFormatting sqref="Q83">
    <cfRule type="cellIs" dxfId="13483" priority="2823" operator="lessThan">
      <formula>0</formula>
    </cfRule>
  </conditionalFormatting>
  <conditionalFormatting sqref="R83">
    <cfRule type="cellIs" dxfId="13482" priority="2821" operator="lessThan">
      <formula>0.8</formula>
    </cfRule>
    <cfRule type="cellIs" dxfId="13481" priority="2822" operator="greaterThan">
      <formula>1</formula>
    </cfRule>
  </conditionalFormatting>
  <conditionalFormatting sqref="R83">
    <cfRule type="cellIs" dxfId="13480" priority="2819" operator="greaterThan">
      <formula>1</formula>
    </cfRule>
    <cfRule type="cellIs" dxfId="13479" priority="2820" operator="lessThan">
      <formula>0.8</formula>
    </cfRule>
  </conditionalFormatting>
  <conditionalFormatting sqref="P83">
    <cfRule type="cellIs" dxfId="13478" priority="2818" operator="greaterThan">
      <formula>0</formula>
    </cfRule>
  </conditionalFormatting>
  <conditionalFormatting sqref="Q83">
    <cfRule type="cellIs" dxfId="13477" priority="2817" operator="lessThan">
      <formula>0</formula>
    </cfRule>
  </conditionalFormatting>
  <conditionalFormatting sqref="R83">
    <cfRule type="cellIs" dxfId="13476" priority="2815" operator="lessThan">
      <formula>0.8</formula>
    </cfRule>
    <cfRule type="cellIs" dxfId="13475" priority="2816" operator="greaterThan">
      <formula>1</formula>
    </cfRule>
  </conditionalFormatting>
  <conditionalFormatting sqref="R83">
    <cfRule type="cellIs" dxfId="13474" priority="2813" operator="greaterThan">
      <formula>1</formula>
    </cfRule>
    <cfRule type="cellIs" dxfId="13473" priority="2814" operator="lessThan">
      <formula>0.8</formula>
    </cfRule>
  </conditionalFormatting>
  <conditionalFormatting sqref="P83">
    <cfRule type="cellIs" dxfId="13472" priority="2812" operator="greaterThan">
      <formula>0</formula>
    </cfRule>
  </conditionalFormatting>
  <conditionalFormatting sqref="P83">
    <cfRule type="cellIs" dxfId="13471" priority="2806" operator="greaterThan">
      <formula>0</formula>
    </cfRule>
  </conditionalFormatting>
  <conditionalFormatting sqref="Q83">
    <cfRule type="cellIs" dxfId="13470" priority="2811" operator="lessThan">
      <formula>0</formula>
    </cfRule>
  </conditionalFormatting>
  <conditionalFormatting sqref="R83">
    <cfRule type="cellIs" dxfId="13469" priority="2809" operator="lessThan">
      <formula>0.8</formula>
    </cfRule>
    <cfRule type="cellIs" dxfId="13468" priority="2810" operator="greaterThan">
      <formula>1</formula>
    </cfRule>
  </conditionalFormatting>
  <conditionalFormatting sqref="R83">
    <cfRule type="cellIs" dxfId="13467" priority="2807" operator="greaterThan">
      <formula>1</formula>
    </cfRule>
    <cfRule type="cellIs" dxfId="13466" priority="2808" operator="lessThan">
      <formula>0.8</formula>
    </cfRule>
  </conditionalFormatting>
  <conditionalFormatting sqref="P83">
    <cfRule type="cellIs" dxfId="13465" priority="2800" operator="greaterThan">
      <formula>0</formula>
    </cfRule>
  </conditionalFormatting>
  <conditionalFormatting sqref="Q83">
    <cfRule type="cellIs" dxfId="13464" priority="2805" operator="lessThan">
      <formula>0</formula>
    </cfRule>
  </conditionalFormatting>
  <conditionalFormatting sqref="R83">
    <cfRule type="cellIs" dxfId="13463" priority="2803" operator="lessThan">
      <formula>0.8</formula>
    </cfRule>
    <cfRule type="cellIs" dxfId="13462" priority="2804" operator="greaterThan">
      <formula>1</formula>
    </cfRule>
  </conditionalFormatting>
  <conditionalFormatting sqref="R83">
    <cfRule type="cellIs" dxfId="13461" priority="2801" operator="greaterThan">
      <formula>1</formula>
    </cfRule>
    <cfRule type="cellIs" dxfId="13460" priority="2802" operator="lessThan">
      <formula>0.8</formula>
    </cfRule>
  </conditionalFormatting>
  <conditionalFormatting sqref="R83">
    <cfRule type="cellIs" dxfId="13459" priority="2797" operator="lessThan">
      <formula>0.8</formula>
    </cfRule>
    <cfRule type="cellIs" dxfId="13458" priority="2798" operator="greaterThan">
      <formula>1</formula>
    </cfRule>
  </conditionalFormatting>
  <conditionalFormatting sqref="R83">
    <cfRule type="cellIs" dxfId="13457" priority="2795" operator="greaterThan">
      <formula>1</formula>
    </cfRule>
    <cfRule type="cellIs" dxfId="13456" priority="2796" operator="lessThan">
      <formula>0.8</formula>
    </cfRule>
  </conditionalFormatting>
  <conditionalFormatting sqref="P83">
    <cfRule type="cellIs" dxfId="13455" priority="2794" operator="greaterThan">
      <formula>0</formula>
    </cfRule>
  </conditionalFormatting>
  <conditionalFormatting sqref="Q83">
    <cfRule type="cellIs" dxfId="13454" priority="2799" operator="lessThan">
      <formula>0</formula>
    </cfRule>
  </conditionalFormatting>
  <conditionalFormatting sqref="Q83">
    <cfRule type="cellIs" dxfId="13453" priority="2788" operator="lessThan">
      <formula>0</formula>
    </cfRule>
  </conditionalFormatting>
  <conditionalFormatting sqref="P83">
    <cfRule type="cellIs" dxfId="13452" priority="2789" operator="greaterThan">
      <formula>0</formula>
    </cfRule>
  </conditionalFormatting>
  <conditionalFormatting sqref="R83">
    <cfRule type="cellIs" dxfId="13451" priority="2792" operator="lessThan">
      <formula>0.8</formula>
    </cfRule>
    <cfRule type="cellIs" dxfId="13450" priority="2793" operator="greaterThan">
      <formula>1</formula>
    </cfRule>
  </conditionalFormatting>
  <conditionalFormatting sqref="R83">
    <cfRule type="cellIs" dxfId="13449" priority="2790" operator="greaterThan">
      <formula>1</formula>
    </cfRule>
    <cfRule type="cellIs" dxfId="13448" priority="2791" operator="lessThan">
      <formula>0.8</formula>
    </cfRule>
  </conditionalFormatting>
  <conditionalFormatting sqref="Q83">
    <cfRule type="cellIs" dxfId="13447" priority="2782" operator="lessThan">
      <formula>0</formula>
    </cfRule>
  </conditionalFormatting>
  <conditionalFormatting sqref="R83">
    <cfRule type="cellIs" dxfId="13446" priority="2786" operator="lessThan">
      <formula>0.8</formula>
    </cfRule>
    <cfRule type="cellIs" dxfId="13445" priority="2787" operator="greaterThan">
      <formula>1</formula>
    </cfRule>
  </conditionalFormatting>
  <conditionalFormatting sqref="R83">
    <cfRule type="cellIs" dxfId="13444" priority="2784" operator="greaterThan">
      <formula>1</formula>
    </cfRule>
    <cfRule type="cellIs" dxfId="13443" priority="2785" operator="lessThan">
      <formula>0.8</formula>
    </cfRule>
  </conditionalFormatting>
  <conditionalFormatting sqref="P83">
    <cfRule type="cellIs" dxfId="13442" priority="2783" operator="greaterThan">
      <formula>0</formula>
    </cfRule>
  </conditionalFormatting>
  <conditionalFormatting sqref="Q83">
    <cfRule type="cellIs" dxfId="13441" priority="2781" operator="lessThan">
      <formula>0</formula>
    </cfRule>
  </conditionalFormatting>
  <conditionalFormatting sqref="R83">
    <cfRule type="cellIs" dxfId="13440" priority="2779" operator="lessThan">
      <formula>0.8</formula>
    </cfRule>
    <cfRule type="cellIs" dxfId="13439" priority="2780" operator="greaterThan">
      <formula>1</formula>
    </cfRule>
  </conditionalFormatting>
  <conditionalFormatting sqref="R83">
    <cfRule type="cellIs" dxfId="13438" priority="2777" operator="greaterThan">
      <formula>1</formula>
    </cfRule>
    <cfRule type="cellIs" dxfId="13437" priority="2778" operator="lessThan">
      <formula>0.8</formula>
    </cfRule>
  </conditionalFormatting>
  <conditionalFormatting sqref="P83">
    <cfRule type="cellIs" dxfId="13436" priority="2776" operator="greaterThan">
      <formula>0</formula>
    </cfRule>
  </conditionalFormatting>
  <conditionalFormatting sqref="Q83">
    <cfRule type="cellIs" dxfId="13435" priority="2775" operator="lessThan">
      <formula>0</formula>
    </cfRule>
  </conditionalFormatting>
  <conditionalFormatting sqref="R83">
    <cfRule type="cellIs" dxfId="13434" priority="2773" operator="lessThan">
      <formula>0.8</formula>
    </cfRule>
    <cfRule type="cellIs" dxfId="13433" priority="2774" operator="greaterThan">
      <formula>1</formula>
    </cfRule>
  </conditionalFormatting>
  <conditionalFormatting sqref="R83">
    <cfRule type="cellIs" dxfId="13432" priority="2771" operator="greaterThan">
      <formula>1</formula>
    </cfRule>
    <cfRule type="cellIs" dxfId="13431" priority="2772" operator="lessThan">
      <formula>0.8</formula>
    </cfRule>
  </conditionalFormatting>
  <conditionalFormatting sqref="P83">
    <cfRule type="cellIs" dxfId="13430" priority="2770" operator="greaterThan">
      <formula>0</formula>
    </cfRule>
  </conditionalFormatting>
  <conditionalFormatting sqref="Q83">
    <cfRule type="cellIs" dxfId="13429" priority="2769" operator="lessThan">
      <formula>0</formula>
    </cfRule>
  </conditionalFormatting>
  <conditionalFormatting sqref="R83">
    <cfRule type="cellIs" dxfId="13428" priority="2767" operator="lessThan">
      <formula>0.8</formula>
    </cfRule>
    <cfRule type="cellIs" dxfId="13427" priority="2768" operator="greaterThan">
      <formula>1</formula>
    </cfRule>
  </conditionalFormatting>
  <conditionalFormatting sqref="R83">
    <cfRule type="cellIs" dxfId="13426" priority="2765" operator="greaterThan">
      <formula>1</formula>
    </cfRule>
    <cfRule type="cellIs" dxfId="13425" priority="2766" operator="lessThan">
      <formula>0.8</formula>
    </cfRule>
  </conditionalFormatting>
  <conditionalFormatting sqref="P83">
    <cfRule type="cellIs" dxfId="13424" priority="2764" operator="greaterThan">
      <formula>0</formula>
    </cfRule>
  </conditionalFormatting>
  <conditionalFormatting sqref="Q83">
    <cfRule type="cellIs" dxfId="13423" priority="2763" operator="lessThan">
      <formula>0</formula>
    </cfRule>
  </conditionalFormatting>
  <conditionalFormatting sqref="R83">
    <cfRule type="cellIs" dxfId="13422" priority="2761" operator="lessThan">
      <formula>0.8</formula>
    </cfRule>
    <cfRule type="cellIs" dxfId="13421" priority="2762" operator="greaterThan">
      <formula>1</formula>
    </cfRule>
  </conditionalFormatting>
  <conditionalFormatting sqref="R83">
    <cfRule type="cellIs" dxfId="13420" priority="2759" operator="greaterThan">
      <formula>1</formula>
    </cfRule>
    <cfRule type="cellIs" dxfId="13419" priority="2760" operator="lessThan">
      <formula>0.8</formula>
    </cfRule>
  </conditionalFormatting>
  <conditionalFormatting sqref="P83">
    <cfRule type="cellIs" dxfId="13418" priority="2758" operator="greaterThan">
      <formula>0</formula>
    </cfRule>
  </conditionalFormatting>
  <conditionalFormatting sqref="Q83">
    <cfRule type="cellIs" dxfId="13417" priority="2757" operator="lessThan">
      <formula>0</formula>
    </cfRule>
  </conditionalFormatting>
  <conditionalFormatting sqref="R83">
    <cfRule type="cellIs" dxfId="13416" priority="2755" operator="lessThan">
      <formula>0.8</formula>
    </cfRule>
    <cfRule type="cellIs" dxfId="13415" priority="2756" operator="greaterThan">
      <formula>1</formula>
    </cfRule>
  </conditionalFormatting>
  <conditionalFormatting sqref="R83">
    <cfRule type="cellIs" dxfId="13414" priority="2753" operator="greaterThan">
      <formula>1</formula>
    </cfRule>
    <cfRule type="cellIs" dxfId="13413" priority="2754" operator="lessThan">
      <formula>0.8</formula>
    </cfRule>
  </conditionalFormatting>
  <conditionalFormatting sqref="P83">
    <cfRule type="cellIs" dxfId="13412" priority="2752" operator="greaterThan">
      <formula>0</formula>
    </cfRule>
  </conditionalFormatting>
  <conditionalFormatting sqref="Q83">
    <cfRule type="cellIs" dxfId="13411" priority="2751" operator="lessThan">
      <formula>0</formula>
    </cfRule>
  </conditionalFormatting>
  <conditionalFormatting sqref="R83">
    <cfRule type="cellIs" dxfId="13410" priority="2749" operator="lessThan">
      <formula>0.8</formula>
    </cfRule>
    <cfRule type="cellIs" dxfId="13409" priority="2750" operator="greaterThan">
      <formula>1</formula>
    </cfRule>
  </conditionalFormatting>
  <conditionalFormatting sqref="R83">
    <cfRule type="cellIs" dxfId="13408" priority="2747" operator="greaterThan">
      <formula>1</formula>
    </cfRule>
    <cfRule type="cellIs" dxfId="13407" priority="2748" operator="lessThan">
      <formula>0.8</formula>
    </cfRule>
  </conditionalFormatting>
  <conditionalFormatting sqref="P83">
    <cfRule type="cellIs" dxfId="13406" priority="2746" operator="greaterThan">
      <formula>0</formula>
    </cfRule>
  </conditionalFormatting>
  <conditionalFormatting sqref="Q83">
    <cfRule type="cellIs" dxfId="13405" priority="2745" operator="lessThan">
      <formula>0</formula>
    </cfRule>
  </conditionalFormatting>
  <conditionalFormatting sqref="R83">
    <cfRule type="cellIs" dxfId="13404" priority="2743" operator="lessThan">
      <formula>0.8</formula>
    </cfRule>
    <cfRule type="cellIs" dxfId="13403" priority="2744" operator="greaterThan">
      <formula>1</formula>
    </cfRule>
  </conditionalFormatting>
  <conditionalFormatting sqref="R83">
    <cfRule type="cellIs" dxfId="13402" priority="2741" operator="greaterThan">
      <formula>1</formula>
    </cfRule>
    <cfRule type="cellIs" dxfId="13401" priority="2742" operator="lessThan">
      <formula>0.8</formula>
    </cfRule>
  </conditionalFormatting>
  <conditionalFormatting sqref="P83">
    <cfRule type="cellIs" dxfId="13400" priority="2740" operator="greaterThan">
      <formula>0</formula>
    </cfRule>
  </conditionalFormatting>
  <conditionalFormatting sqref="P83">
    <cfRule type="cellIs" dxfId="13399" priority="2734" operator="greaterThan">
      <formula>0</formula>
    </cfRule>
  </conditionalFormatting>
  <conditionalFormatting sqref="Q83">
    <cfRule type="cellIs" dxfId="13398" priority="2739" operator="lessThan">
      <formula>0</formula>
    </cfRule>
  </conditionalFormatting>
  <conditionalFormatting sqref="R83">
    <cfRule type="cellIs" dxfId="13397" priority="2737" operator="lessThan">
      <formula>0.8</formula>
    </cfRule>
    <cfRule type="cellIs" dxfId="13396" priority="2738" operator="greaterThan">
      <formula>1</formula>
    </cfRule>
  </conditionalFormatting>
  <conditionalFormatting sqref="R83">
    <cfRule type="cellIs" dxfId="13395" priority="2735" operator="greaterThan">
      <formula>1</formula>
    </cfRule>
    <cfRule type="cellIs" dxfId="13394" priority="2736" operator="lessThan">
      <formula>0.8</formula>
    </cfRule>
  </conditionalFormatting>
  <conditionalFormatting sqref="P83">
    <cfRule type="cellIs" dxfId="13393" priority="2728" operator="greaterThan">
      <formula>0</formula>
    </cfRule>
  </conditionalFormatting>
  <conditionalFormatting sqref="Q83">
    <cfRule type="cellIs" dxfId="13392" priority="2733" operator="lessThan">
      <formula>0</formula>
    </cfRule>
  </conditionalFormatting>
  <conditionalFormatting sqref="R83">
    <cfRule type="cellIs" dxfId="13391" priority="2731" operator="lessThan">
      <formula>0.8</formula>
    </cfRule>
    <cfRule type="cellIs" dxfId="13390" priority="2732" operator="greaterThan">
      <formula>1</formula>
    </cfRule>
  </conditionalFormatting>
  <conditionalFormatting sqref="R83">
    <cfRule type="cellIs" dxfId="13389" priority="2729" operator="greaterThan">
      <formula>1</formula>
    </cfRule>
    <cfRule type="cellIs" dxfId="13388" priority="2730" operator="lessThan">
      <formula>0.8</formula>
    </cfRule>
  </conditionalFormatting>
  <conditionalFormatting sqref="R83">
    <cfRule type="cellIs" dxfId="13387" priority="2725" operator="lessThan">
      <formula>0.8</formula>
    </cfRule>
    <cfRule type="cellIs" dxfId="13386" priority="2726" operator="greaterThan">
      <formula>1</formula>
    </cfRule>
  </conditionalFormatting>
  <conditionalFormatting sqref="R83">
    <cfRule type="cellIs" dxfId="13385" priority="2723" operator="greaterThan">
      <formula>1</formula>
    </cfRule>
    <cfRule type="cellIs" dxfId="13384" priority="2724" operator="lessThan">
      <formula>0.8</formula>
    </cfRule>
  </conditionalFormatting>
  <conditionalFormatting sqref="P83">
    <cfRule type="cellIs" dxfId="13383" priority="2722" operator="greaterThan">
      <formula>0</formula>
    </cfRule>
  </conditionalFormatting>
  <conditionalFormatting sqref="Q83">
    <cfRule type="cellIs" dxfId="13382" priority="2727" operator="lessThan">
      <formula>0</formula>
    </cfRule>
  </conditionalFormatting>
  <conditionalFormatting sqref="Q83">
    <cfRule type="cellIs" dxfId="13381" priority="2721" operator="lessThan">
      <formula>0</formula>
    </cfRule>
  </conditionalFormatting>
  <conditionalFormatting sqref="R83">
    <cfRule type="cellIs" dxfId="13380" priority="2719" operator="lessThan">
      <formula>0.8</formula>
    </cfRule>
    <cfRule type="cellIs" dxfId="13379" priority="2720" operator="greaterThan">
      <formula>1</formula>
    </cfRule>
  </conditionalFormatting>
  <conditionalFormatting sqref="R83">
    <cfRule type="cellIs" dxfId="13378" priority="2717" operator="greaterThan">
      <formula>1</formula>
    </cfRule>
    <cfRule type="cellIs" dxfId="13377" priority="2718" operator="lessThan">
      <formula>0.8</formula>
    </cfRule>
  </conditionalFormatting>
  <conditionalFormatting sqref="P83">
    <cfRule type="cellIs" dxfId="13376" priority="2716" operator="greaterThan">
      <formula>0</formula>
    </cfRule>
  </conditionalFormatting>
  <conditionalFormatting sqref="P83">
    <cfRule type="cellIs" dxfId="13375" priority="2710" operator="greaterThan">
      <formula>0</formula>
    </cfRule>
  </conditionalFormatting>
  <conditionalFormatting sqref="Q83">
    <cfRule type="cellIs" dxfId="13374" priority="2715" operator="lessThan">
      <formula>0</formula>
    </cfRule>
  </conditionalFormatting>
  <conditionalFormatting sqref="R83">
    <cfRule type="cellIs" dxfId="13373" priority="2713" operator="lessThan">
      <formula>0.8</formula>
    </cfRule>
    <cfRule type="cellIs" dxfId="13372" priority="2714" operator="greaterThan">
      <formula>1</formula>
    </cfRule>
  </conditionalFormatting>
  <conditionalFormatting sqref="R83">
    <cfRule type="cellIs" dxfId="13371" priority="2711" operator="greaterThan">
      <formula>1</formula>
    </cfRule>
    <cfRule type="cellIs" dxfId="13370" priority="2712" operator="lessThan">
      <formula>0.8</formula>
    </cfRule>
  </conditionalFormatting>
  <conditionalFormatting sqref="P83">
    <cfRule type="cellIs" dxfId="13369" priority="2704" operator="greaterThan">
      <formula>0</formula>
    </cfRule>
  </conditionalFormatting>
  <conditionalFormatting sqref="Q83">
    <cfRule type="cellIs" dxfId="13368" priority="2709" operator="lessThan">
      <formula>0</formula>
    </cfRule>
  </conditionalFormatting>
  <conditionalFormatting sqref="R83">
    <cfRule type="cellIs" dxfId="13367" priority="2707" operator="lessThan">
      <formula>0.8</formula>
    </cfRule>
    <cfRule type="cellIs" dxfId="13366" priority="2708" operator="greaterThan">
      <formula>1</formula>
    </cfRule>
  </conditionalFormatting>
  <conditionalFormatting sqref="R83">
    <cfRule type="cellIs" dxfId="13365" priority="2705" operator="greaterThan">
      <formula>1</formula>
    </cfRule>
    <cfRule type="cellIs" dxfId="13364" priority="2706" operator="lessThan">
      <formula>0.8</formula>
    </cfRule>
  </conditionalFormatting>
  <conditionalFormatting sqref="R83">
    <cfRule type="cellIs" dxfId="13363" priority="2701" operator="lessThan">
      <formula>0.8</formula>
    </cfRule>
    <cfRule type="cellIs" dxfId="13362" priority="2702" operator="greaterThan">
      <formula>1</formula>
    </cfRule>
  </conditionalFormatting>
  <conditionalFormatting sqref="R83">
    <cfRule type="cellIs" dxfId="13361" priority="2699" operator="greaterThan">
      <formula>1</formula>
    </cfRule>
    <cfRule type="cellIs" dxfId="13360" priority="2700" operator="lessThan">
      <formula>0.8</formula>
    </cfRule>
  </conditionalFormatting>
  <conditionalFormatting sqref="P83">
    <cfRule type="cellIs" dxfId="13359" priority="2698" operator="greaterThan">
      <formula>0</formula>
    </cfRule>
  </conditionalFormatting>
  <conditionalFormatting sqref="Q83">
    <cfRule type="cellIs" dxfId="13358" priority="2703" operator="lessThan">
      <formula>0</formula>
    </cfRule>
  </conditionalFormatting>
  <conditionalFormatting sqref="P83">
    <cfRule type="cellIs" dxfId="13357" priority="2692" operator="greaterThan">
      <formula>0</formula>
    </cfRule>
  </conditionalFormatting>
  <conditionalFormatting sqref="Q83">
    <cfRule type="cellIs" dxfId="13356" priority="2697" operator="lessThan">
      <formula>0</formula>
    </cfRule>
  </conditionalFormatting>
  <conditionalFormatting sqref="R83">
    <cfRule type="cellIs" dxfId="13355" priority="2695" operator="lessThan">
      <formula>0.8</formula>
    </cfRule>
    <cfRule type="cellIs" dxfId="13354" priority="2696" operator="greaterThan">
      <formula>1</formula>
    </cfRule>
  </conditionalFormatting>
  <conditionalFormatting sqref="R83">
    <cfRule type="cellIs" dxfId="13353" priority="2693" operator="greaterThan">
      <formula>1</formula>
    </cfRule>
    <cfRule type="cellIs" dxfId="13352" priority="2694" operator="lessThan">
      <formula>0.8</formula>
    </cfRule>
  </conditionalFormatting>
  <conditionalFormatting sqref="R83">
    <cfRule type="cellIs" dxfId="13351" priority="2689" operator="lessThan">
      <formula>0.8</formula>
    </cfRule>
    <cfRule type="cellIs" dxfId="13350" priority="2690" operator="greaterThan">
      <formula>1</formula>
    </cfRule>
  </conditionalFormatting>
  <conditionalFormatting sqref="R83">
    <cfRule type="cellIs" dxfId="13349" priority="2687" operator="greaterThan">
      <formula>1</formula>
    </cfRule>
    <cfRule type="cellIs" dxfId="13348" priority="2688" operator="lessThan">
      <formula>0.8</formula>
    </cfRule>
  </conditionalFormatting>
  <conditionalFormatting sqref="P83">
    <cfRule type="cellIs" dxfId="13347" priority="2686" operator="greaterThan">
      <formula>0</formula>
    </cfRule>
  </conditionalFormatting>
  <conditionalFormatting sqref="Q83">
    <cfRule type="cellIs" dxfId="13346" priority="2691" operator="lessThan">
      <formula>0</formula>
    </cfRule>
  </conditionalFormatting>
  <conditionalFormatting sqref="R83">
    <cfRule type="cellIs" dxfId="13345" priority="2683" operator="lessThan">
      <formula>0.8</formula>
    </cfRule>
    <cfRule type="cellIs" dxfId="13344" priority="2684" operator="greaterThan">
      <formula>1</formula>
    </cfRule>
  </conditionalFormatting>
  <conditionalFormatting sqref="R83">
    <cfRule type="cellIs" dxfId="13343" priority="2681" operator="greaterThan">
      <formula>1</formula>
    </cfRule>
    <cfRule type="cellIs" dxfId="13342" priority="2682" operator="lessThan">
      <formula>0.8</formula>
    </cfRule>
  </conditionalFormatting>
  <conditionalFormatting sqref="P83">
    <cfRule type="cellIs" dxfId="13341" priority="2680" operator="greaterThan">
      <formula>0</formula>
    </cfRule>
  </conditionalFormatting>
  <conditionalFormatting sqref="Q83">
    <cfRule type="cellIs" dxfId="13340" priority="2685" operator="lessThan">
      <formula>0</formula>
    </cfRule>
  </conditionalFormatting>
  <conditionalFormatting sqref="Q83">
    <cfRule type="cellIs" dxfId="13339" priority="2679" operator="lessThan">
      <formula>0</formula>
    </cfRule>
  </conditionalFormatting>
  <conditionalFormatting sqref="R83">
    <cfRule type="cellIs" dxfId="13338" priority="2677" operator="lessThan">
      <formula>0.8</formula>
    </cfRule>
    <cfRule type="cellIs" dxfId="13337" priority="2678" operator="greaterThan">
      <formula>1</formula>
    </cfRule>
  </conditionalFormatting>
  <conditionalFormatting sqref="R83">
    <cfRule type="cellIs" dxfId="13336" priority="2675" operator="greaterThan">
      <formula>1</formula>
    </cfRule>
    <cfRule type="cellIs" dxfId="13335" priority="2676" operator="lessThan">
      <formula>0.8</formula>
    </cfRule>
  </conditionalFormatting>
  <conditionalFormatting sqref="P83">
    <cfRule type="cellIs" dxfId="13334" priority="2674" operator="greaterThan">
      <formula>0</formula>
    </cfRule>
  </conditionalFormatting>
  <conditionalFormatting sqref="Q83">
    <cfRule type="cellIs" dxfId="13333" priority="2668" operator="lessThan">
      <formula>0</formula>
    </cfRule>
  </conditionalFormatting>
  <conditionalFormatting sqref="R83">
    <cfRule type="cellIs" dxfId="13332" priority="2672" operator="lessThan">
      <formula>0.8</formula>
    </cfRule>
    <cfRule type="cellIs" dxfId="13331" priority="2673" operator="greaterThan">
      <formula>1</formula>
    </cfRule>
  </conditionalFormatting>
  <conditionalFormatting sqref="R83">
    <cfRule type="cellIs" dxfId="13330" priority="2670" operator="greaterThan">
      <formula>1</formula>
    </cfRule>
    <cfRule type="cellIs" dxfId="13329" priority="2671" operator="lessThan">
      <formula>0.8</formula>
    </cfRule>
  </conditionalFormatting>
  <conditionalFormatting sqref="P83">
    <cfRule type="cellIs" dxfId="13328" priority="2669" operator="greaterThan">
      <formula>0</formula>
    </cfRule>
  </conditionalFormatting>
  <conditionalFormatting sqref="Q83">
    <cfRule type="cellIs" dxfId="13327" priority="2667" operator="lessThan">
      <formula>0</formula>
    </cfRule>
  </conditionalFormatting>
  <conditionalFormatting sqref="R83">
    <cfRule type="cellIs" dxfId="13326" priority="2665" operator="lessThan">
      <formula>0.8</formula>
    </cfRule>
    <cfRule type="cellIs" dxfId="13325" priority="2666" operator="greaterThan">
      <formula>1</formula>
    </cfRule>
  </conditionalFormatting>
  <conditionalFormatting sqref="R83">
    <cfRule type="cellIs" dxfId="13324" priority="2663" operator="greaterThan">
      <formula>1</formula>
    </cfRule>
    <cfRule type="cellIs" dxfId="13323" priority="2664" operator="lessThan">
      <formula>0.8</formula>
    </cfRule>
  </conditionalFormatting>
  <conditionalFormatting sqref="P83">
    <cfRule type="cellIs" dxfId="13322" priority="2662" operator="greaterThan">
      <formula>0</formula>
    </cfRule>
  </conditionalFormatting>
  <conditionalFormatting sqref="Q83">
    <cfRule type="cellIs" dxfId="13321" priority="2661" operator="lessThan">
      <formula>0</formula>
    </cfRule>
  </conditionalFormatting>
  <conditionalFormatting sqref="R83">
    <cfRule type="cellIs" dxfId="13320" priority="2659" operator="lessThan">
      <formula>0.8</formula>
    </cfRule>
    <cfRule type="cellIs" dxfId="13319" priority="2660" operator="greaterThan">
      <formula>1</formula>
    </cfRule>
  </conditionalFormatting>
  <conditionalFormatting sqref="R83">
    <cfRule type="cellIs" dxfId="13318" priority="2657" operator="greaterThan">
      <formula>1</formula>
    </cfRule>
    <cfRule type="cellIs" dxfId="13317" priority="2658" operator="lessThan">
      <formula>0.8</formula>
    </cfRule>
  </conditionalFormatting>
  <conditionalFormatting sqref="P83">
    <cfRule type="cellIs" dxfId="13316" priority="2656" operator="greaterThan">
      <formula>0</formula>
    </cfRule>
  </conditionalFormatting>
  <conditionalFormatting sqref="Q83">
    <cfRule type="cellIs" dxfId="13315" priority="2655" operator="lessThan">
      <formula>0</formula>
    </cfRule>
  </conditionalFormatting>
  <conditionalFormatting sqref="R83">
    <cfRule type="cellIs" dxfId="13314" priority="2653" operator="lessThan">
      <formula>0.8</formula>
    </cfRule>
    <cfRule type="cellIs" dxfId="13313" priority="2654" operator="greaterThan">
      <formula>1</formula>
    </cfRule>
  </conditionalFormatting>
  <conditionalFormatting sqref="R83">
    <cfRule type="cellIs" dxfId="13312" priority="2651" operator="greaterThan">
      <formula>1</formula>
    </cfRule>
    <cfRule type="cellIs" dxfId="13311" priority="2652" operator="lessThan">
      <formula>0.8</formula>
    </cfRule>
  </conditionalFormatting>
  <conditionalFormatting sqref="P83">
    <cfRule type="cellIs" dxfId="13310" priority="2650" operator="greaterThan">
      <formula>0</formula>
    </cfRule>
  </conditionalFormatting>
  <conditionalFormatting sqref="Q83">
    <cfRule type="cellIs" dxfId="13309" priority="2649" operator="lessThan">
      <formula>0</formula>
    </cfRule>
  </conditionalFormatting>
  <conditionalFormatting sqref="R83">
    <cfRule type="cellIs" dxfId="13308" priority="2647" operator="lessThan">
      <formula>0.8</formula>
    </cfRule>
    <cfRule type="cellIs" dxfId="13307" priority="2648" operator="greaterThan">
      <formula>1</formula>
    </cfRule>
  </conditionalFormatting>
  <conditionalFormatting sqref="R83">
    <cfRule type="cellIs" dxfId="13306" priority="2645" operator="greaterThan">
      <formula>1</formula>
    </cfRule>
    <cfRule type="cellIs" dxfId="13305" priority="2646" operator="lessThan">
      <formula>0.8</formula>
    </cfRule>
  </conditionalFormatting>
  <conditionalFormatting sqref="P83">
    <cfRule type="cellIs" dxfId="13304" priority="2644" operator="greaterThan">
      <formula>0</formula>
    </cfRule>
  </conditionalFormatting>
  <conditionalFormatting sqref="Q83">
    <cfRule type="cellIs" dxfId="13303" priority="2643" operator="lessThan">
      <formula>0</formula>
    </cfRule>
  </conditionalFormatting>
  <conditionalFormatting sqref="R83">
    <cfRule type="cellIs" dxfId="13302" priority="2641" operator="lessThan">
      <formula>0.8</formula>
    </cfRule>
    <cfRule type="cellIs" dxfId="13301" priority="2642" operator="greaterThan">
      <formula>1</formula>
    </cfRule>
  </conditionalFormatting>
  <conditionalFormatting sqref="R83">
    <cfRule type="cellIs" dxfId="13300" priority="2639" operator="greaterThan">
      <formula>1</formula>
    </cfRule>
    <cfRule type="cellIs" dxfId="13299" priority="2640" operator="lessThan">
      <formula>0.8</formula>
    </cfRule>
  </conditionalFormatting>
  <conditionalFormatting sqref="P83">
    <cfRule type="cellIs" dxfId="13298" priority="2638" operator="greaterThan">
      <formula>0</formula>
    </cfRule>
  </conditionalFormatting>
  <conditionalFormatting sqref="P83">
    <cfRule type="cellIs" dxfId="13297" priority="2632" operator="greaterThan">
      <formula>0</formula>
    </cfRule>
  </conditionalFormatting>
  <conditionalFormatting sqref="Q83">
    <cfRule type="cellIs" dxfId="13296" priority="2637" operator="lessThan">
      <formula>0</formula>
    </cfRule>
  </conditionalFormatting>
  <conditionalFormatting sqref="R83">
    <cfRule type="cellIs" dxfId="13295" priority="2635" operator="lessThan">
      <formula>0.8</formula>
    </cfRule>
    <cfRule type="cellIs" dxfId="13294" priority="2636" operator="greaterThan">
      <formula>1</formula>
    </cfRule>
  </conditionalFormatting>
  <conditionalFormatting sqref="R83">
    <cfRule type="cellIs" dxfId="13293" priority="2633" operator="greaterThan">
      <formula>1</formula>
    </cfRule>
    <cfRule type="cellIs" dxfId="13292" priority="2634" operator="lessThan">
      <formula>0.8</formula>
    </cfRule>
  </conditionalFormatting>
  <conditionalFormatting sqref="P83">
    <cfRule type="cellIs" dxfId="13291" priority="2626" operator="greaterThan">
      <formula>0</formula>
    </cfRule>
  </conditionalFormatting>
  <conditionalFormatting sqref="Q83">
    <cfRule type="cellIs" dxfId="13290" priority="2631" operator="lessThan">
      <formula>0</formula>
    </cfRule>
  </conditionalFormatting>
  <conditionalFormatting sqref="R83">
    <cfRule type="cellIs" dxfId="13289" priority="2629" operator="lessThan">
      <formula>0.8</formula>
    </cfRule>
    <cfRule type="cellIs" dxfId="13288" priority="2630" operator="greaterThan">
      <formula>1</formula>
    </cfRule>
  </conditionalFormatting>
  <conditionalFormatting sqref="R83">
    <cfRule type="cellIs" dxfId="13287" priority="2627" operator="greaterThan">
      <formula>1</formula>
    </cfRule>
    <cfRule type="cellIs" dxfId="13286" priority="2628" operator="lessThan">
      <formula>0.8</formula>
    </cfRule>
  </conditionalFormatting>
  <conditionalFormatting sqref="R83">
    <cfRule type="cellIs" dxfId="13285" priority="2623" operator="lessThan">
      <formula>0.8</formula>
    </cfRule>
    <cfRule type="cellIs" dxfId="13284" priority="2624" operator="greaterThan">
      <formula>1</formula>
    </cfRule>
  </conditionalFormatting>
  <conditionalFormatting sqref="R83">
    <cfRule type="cellIs" dxfId="13283" priority="2621" operator="greaterThan">
      <formula>1</formula>
    </cfRule>
    <cfRule type="cellIs" dxfId="13282" priority="2622" operator="lessThan">
      <formula>0.8</formula>
    </cfRule>
  </conditionalFormatting>
  <conditionalFormatting sqref="P83">
    <cfRule type="cellIs" dxfId="13281" priority="2620" operator="greaterThan">
      <formula>0</formula>
    </cfRule>
  </conditionalFormatting>
  <conditionalFormatting sqref="Q83">
    <cfRule type="cellIs" dxfId="13280" priority="2625" operator="lessThan">
      <formula>0</formula>
    </cfRule>
  </conditionalFormatting>
  <conditionalFormatting sqref="P123 P125:P126 P128:P130">
    <cfRule type="cellIs" dxfId="13279" priority="2614" operator="greaterThan">
      <formula>0</formula>
    </cfRule>
  </conditionalFormatting>
  <conditionalFormatting sqref="Q123 Q125:Q126 Q128:Q130">
    <cfRule type="cellIs" dxfId="13278" priority="2619" operator="lessThan">
      <formula>0</formula>
    </cfRule>
  </conditionalFormatting>
  <conditionalFormatting sqref="R123 R125:R126 R128:R130">
    <cfRule type="cellIs" dxfId="13277" priority="2617" operator="lessThan">
      <formula>0.8</formula>
    </cfRule>
    <cfRule type="cellIs" dxfId="13276" priority="2618" operator="greaterThan">
      <formula>1</formula>
    </cfRule>
  </conditionalFormatting>
  <conditionalFormatting sqref="R123 R125:R126 R128:R130">
    <cfRule type="cellIs" dxfId="13275" priority="2615" operator="greaterThan">
      <formula>1</formula>
    </cfRule>
    <cfRule type="cellIs" dxfId="13274" priority="2616" operator="lessThan">
      <formula>0.8</formula>
    </cfRule>
  </conditionalFormatting>
  <conditionalFormatting sqref="Q123 Q125:Q126 Q128:Q130">
    <cfRule type="cellIs" dxfId="13273" priority="2613" operator="lessThan">
      <formula>0</formula>
    </cfRule>
  </conditionalFormatting>
  <conditionalFormatting sqref="R123 R125:R126 R128:R130">
    <cfRule type="cellIs" dxfId="13272" priority="2611" operator="lessThan">
      <formula>0.8</formula>
    </cfRule>
    <cfRule type="cellIs" dxfId="13271" priority="2612" operator="greaterThan">
      <formula>1</formula>
    </cfRule>
  </conditionalFormatting>
  <conditionalFormatting sqref="R123 R125:R126 R128:R130">
    <cfRule type="cellIs" dxfId="13270" priority="2609" operator="greaterThan">
      <formula>1</formula>
    </cfRule>
    <cfRule type="cellIs" dxfId="13269" priority="2610" operator="lessThan">
      <formula>0.8</formula>
    </cfRule>
  </conditionalFormatting>
  <conditionalFormatting sqref="P123 P125:P126 P128:P130">
    <cfRule type="cellIs" dxfId="13268" priority="2608" operator="greaterThan">
      <formula>0</formula>
    </cfRule>
  </conditionalFormatting>
  <conditionalFormatting sqref="Q31">
    <cfRule type="cellIs" dxfId="13267" priority="2607" operator="lessThan">
      <formula>0</formula>
    </cfRule>
  </conditionalFormatting>
  <conditionalFormatting sqref="R31">
    <cfRule type="cellIs" dxfId="13266" priority="2605" operator="lessThan">
      <formula>0.8</formula>
    </cfRule>
    <cfRule type="cellIs" dxfId="13265" priority="2606" operator="greaterThan">
      <formula>1</formula>
    </cfRule>
  </conditionalFormatting>
  <conditionalFormatting sqref="R31">
    <cfRule type="cellIs" dxfId="13264" priority="2603" operator="greaterThan">
      <formula>1</formula>
    </cfRule>
    <cfRule type="cellIs" dxfId="13263" priority="2604" operator="lessThan">
      <formula>0.8</formula>
    </cfRule>
  </conditionalFormatting>
  <conditionalFormatting sqref="P31">
    <cfRule type="cellIs" dxfId="13262" priority="2602" operator="greaterThan">
      <formula>0</formula>
    </cfRule>
  </conditionalFormatting>
  <conditionalFormatting sqref="Q31">
    <cfRule type="cellIs" dxfId="13261" priority="2601" operator="lessThan">
      <formula>0</formula>
    </cfRule>
  </conditionalFormatting>
  <conditionalFormatting sqref="R31">
    <cfRule type="cellIs" dxfId="13260" priority="2599" operator="lessThan">
      <formula>0.8</formula>
    </cfRule>
    <cfRule type="cellIs" dxfId="13259" priority="2600" operator="greaterThan">
      <formula>1</formula>
    </cfRule>
  </conditionalFormatting>
  <conditionalFormatting sqref="R31">
    <cfRule type="cellIs" dxfId="13258" priority="2597" operator="greaterThan">
      <formula>1</formula>
    </cfRule>
    <cfRule type="cellIs" dxfId="13257" priority="2598" operator="lessThan">
      <formula>0.8</formula>
    </cfRule>
  </conditionalFormatting>
  <conditionalFormatting sqref="P31">
    <cfRule type="cellIs" dxfId="13256" priority="2596" operator="greaterThan">
      <formula>0</formula>
    </cfRule>
  </conditionalFormatting>
  <conditionalFormatting sqref="Q31">
    <cfRule type="cellIs" dxfId="13255" priority="2595" operator="lessThan">
      <formula>0</formula>
    </cfRule>
  </conditionalFormatting>
  <conditionalFormatting sqref="R31">
    <cfRule type="cellIs" dxfId="13254" priority="2593" operator="lessThan">
      <formula>0.8</formula>
    </cfRule>
    <cfRule type="cellIs" dxfId="13253" priority="2594" operator="greaterThan">
      <formula>1</formula>
    </cfRule>
  </conditionalFormatting>
  <conditionalFormatting sqref="R31">
    <cfRule type="cellIs" dxfId="13252" priority="2591" operator="greaterThan">
      <formula>1</formula>
    </cfRule>
    <cfRule type="cellIs" dxfId="13251" priority="2592" operator="lessThan">
      <formula>0.8</formula>
    </cfRule>
  </conditionalFormatting>
  <conditionalFormatting sqref="P31">
    <cfRule type="cellIs" dxfId="13250" priority="2590" operator="greaterThan">
      <formula>0</formula>
    </cfRule>
  </conditionalFormatting>
  <conditionalFormatting sqref="Q31">
    <cfRule type="cellIs" dxfId="13249" priority="2589" operator="lessThan">
      <formula>0</formula>
    </cfRule>
  </conditionalFormatting>
  <conditionalFormatting sqref="R31">
    <cfRule type="cellIs" dxfId="13248" priority="2587" operator="lessThan">
      <formula>0.8</formula>
    </cfRule>
    <cfRule type="cellIs" dxfId="13247" priority="2588" operator="greaterThan">
      <formula>1</formula>
    </cfRule>
  </conditionalFormatting>
  <conditionalFormatting sqref="R31">
    <cfRule type="cellIs" dxfId="13246" priority="2585" operator="greaterThan">
      <formula>1</formula>
    </cfRule>
    <cfRule type="cellIs" dxfId="13245" priority="2586" operator="lessThan">
      <formula>0.8</formula>
    </cfRule>
  </conditionalFormatting>
  <conditionalFormatting sqref="P31">
    <cfRule type="cellIs" dxfId="13244" priority="2584" operator="greaterThan">
      <formula>0</formula>
    </cfRule>
  </conditionalFormatting>
  <conditionalFormatting sqref="P31">
    <cfRule type="cellIs" dxfId="13243" priority="2578" operator="greaterThan">
      <formula>0</formula>
    </cfRule>
  </conditionalFormatting>
  <conditionalFormatting sqref="Q31">
    <cfRule type="cellIs" dxfId="13242" priority="2583" operator="lessThan">
      <formula>0</formula>
    </cfRule>
  </conditionalFormatting>
  <conditionalFormatting sqref="R31">
    <cfRule type="cellIs" dxfId="13241" priority="2581" operator="lessThan">
      <formula>0.8</formula>
    </cfRule>
    <cfRule type="cellIs" dxfId="13240" priority="2582" operator="greaterThan">
      <formula>1</formula>
    </cfRule>
  </conditionalFormatting>
  <conditionalFormatting sqref="R31">
    <cfRule type="cellIs" dxfId="13239" priority="2579" operator="greaterThan">
      <formula>1</formula>
    </cfRule>
    <cfRule type="cellIs" dxfId="13238" priority="2580" operator="lessThan">
      <formula>0.8</formula>
    </cfRule>
  </conditionalFormatting>
  <conditionalFormatting sqref="P31">
    <cfRule type="cellIs" dxfId="13237" priority="2572" operator="greaterThan">
      <formula>0</formula>
    </cfRule>
  </conditionalFormatting>
  <conditionalFormatting sqref="Q31">
    <cfRule type="cellIs" dxfId="13236" priority="2577" operator="lessThan">
      <formula>0</formula>
    </cfRule>
  </conditionalFormatting>
  <conditionalFormatting sqref="R31">
    <cfRule type="cellIs" dxfId="13235" priority="2575" operator="lessThan">
      <formula>0.8</formula>
    </cfRule>
    <cfRule type="cellIs" dxfId="13234" priority="2576" operator="greaterThan">
      <formula>1</formula>
    </cfRule>
  </conditionalFormatting>
  <conditionalFormatting sqref="R31">
    <cfRule type="cellIs" dxfId="13233" priority="2573" operator="greaterThan">
      <formula>1</formula>
    </cfRule>
    <cfRule type="cellIs" dxfId="13232" priority="2574" operator="lessThan">
      <formula>0.8</formula>
    </cfRule>
  </conditionalFormatting>
  <conditionalFormatting sqref="R31">
    <cfRule type="cellIs" dxfId="13231" priority="2569" operator="lessThan">
      <formula>0.8</formula>
    </cfRule>
    <cfRule type="cellIs" dxfId="13230" priority="2570" operator="greaterThan">
      <formula>1</formula>
    </cfRule>
  </conditionalFormatting>
  <conditionalFormatting sqref="R31">
    <cfRule type="cellIs" dxfId="13229" priority="2567" operator="greaterThan">
      <formula>1</formula>
    </cfRule>
    <cfRule type="cellIs" dxfId="13228" priority="2568" operator="lessThan">
      <formula>0.8</formula>
    </cfRule>
  </conditionalFormatting>
  <conditionalFormatting sqref="P31">
    <cfRule type="cellIs" dxfId="13227" priority="2566" operator="greaterThan">
      <formula>0</formula>
    </cfRule>
  </conditionalFormatting>
  <conditionalFormatting sqref="Q31">
    <cfRule type="cellIs" dxfId="13226" priority="2571" operator="lessThan">
      <formula>0</formula>
    </cfRule>
  </conditionalFormatting>
  <conditionalFormatting sqref="Q31">
    <cfRule type="cellIs" dxfId="13225" priority="2565" operator="lessThan">
      <formula>0</formula>
    </cfRule>
  </conditionalFormatting>
  <conditionalFormatting sqref="R31">
    <cfRule type="cellIs" dxfId="13224" priority="2563" operator="lessThan">
      <formula>0.8</formula>
    </cfRule>
    <cfRule type="cellIs" dxfId="13223" priority="2564" operator="greaterThan">
      <formula>1</formula>
    </cfRule>
  </conditionalFormatting>
  <conditionalFormatting sqref="R31">
    <cfRule type="cellIs" dxfId="13222" priority="2561" operator="greaterThan">
      <formula>1</formula>
    </cfRule>
    <cfRule type="cellIs" dxfId="13221" priority="2562" operator="lessThan">
      <formula>0.8</formula>
    </cfRule>
  </conditionalFormatting>
  <conditionalFormatting sqref="P31">
    <cfRule type="cellIs" dxfId="13220" priority="2560" operator="greaterThan">
      <formula>0</formula>
    </cfRule>
  </conditionalFormatting>
  <conditionalFormatting sqref="P31">
    <cfRule type="cellIs" dxfId="13219" priority="2554" operator="greaterThan">
      <formula>0</formula>
    </cfRule>
  </conditionalFormatting>
  <conditionalFormatting sqref="Q31">
    <cfRule type="cellIs" dxfId="13218" priority="2559" operator="lessThan">
      <formula>0</formula>
    </cfRule>
  </conditionalFormatting>
  <conditionalFormatting sqref="R31">
    <cfRule type="cellIs" dxfId="13217" priority="2557" operator="lessThan">
      <formula>0.8</formula>
    </cfRule>
    <cfRule type="cellIs" dxfId="13216" priority="2558" operator="greaterThan">
      <formula>1</formula>
    </cfRule>
  </conditionalFormatting>
  <conditionalFormatting sqref="R31">
    <cfRule type="cellIs" dxfId="13215" priority="2555" operator="greaterThan">
      <formula>1</formula>
    </cfRule>
    <cfRule type="cellIs" dxfId="13214" priority="2556" operator="lessThan">
      <formula>0.8</formula>
    </cfRule>
  </conditionalFormatting>
  <conditionalFormatting sqref="P31">
    <cfRule type="cellIs" dxfId="13213" priority="2548" operator="greaterThan">
      <formula>0</formula>
    </cfRule>
  </conditionalFormatting>
  <conditionalFormatting sqref="Q31">
    <cfRule type="cellIs" dxfId="13212" priority="2553" operator="lessThan">
      <formula>0</formula>
    </cfRule>
  </conditionalFormatting>
  <conditionalFormatting sqref="R31">
    <cfRule type="cellIs" dxfId="13211" priority="2551" operator="lessThan">
      <formula>0.8</formula>
    </cfRule>
    <cfRule type="cellIs" dxfId="13210" priority="2552" operator="greaterThan">
      <formula>1</formula>
    </cfRule>
  </conditionalFormatting>
  <conditionalFormatting sqref="R31">
    <cfRule type="cellIs" dxfId="13209" priority="2549" operator="greaterThan">
      <formula>1</formula>
    </cfRule>
    <cfRule type="cellIs" dxfId="13208" priority="2550" operator="lessThan">
      <formula>0.8</formula>
    </cfRule>
  </conditionalFormatting>
  <conditionalFormatting sqref="R31">
    <cfRule type="cellIs" dxfId="13207" priority="2545" operator="lessThan">
      <formula>0.8</formula>
    </cfRule>
    <cfRule type="cellIs" dxfId="13206" priority="2546" operator="greaterThan">
      <formula>1</formula>
    </cfRule>
  </conditionalFormatting>
  <conditionalFormatting sqref="R31">
    <cfRule type="cellIs" dxfId="13205" priority="2543" operator="greaterThan">
      <formula>1</formula>
    </cfRule>
    <cfRule type="cellIs" dxfId="13204" priority="2544" operator="lessThan">
      <formula>0.8</formula>
    </cfRule>
  </conditionalFormatting>
  <conditionalFormatting sqref="P31">
    <cfRule type="cellIs" dxfId="13203" priority="2542" operator="greaterThan">
      <formula>0</formula>
    </cfRule>
  </conditionalFormatting>
  <conditionalFormatting sqref="Q31">
    <cfRule type="cellIs" dxfId="13202" priority="2547" operator="lessThan">
      <formula>0</formula>
    </cfRule>
  </conditionalFormatting>
  <conditionalFormatting sqref="P31">
    <cfRule type="cellIs" dxfId="13201" priority="2536" operator="greaterThan">
      <formula>0</formula>
    </cfRule>
  </conditionalFormatting>
  <conditionalFormatting sqref="Q31">
    <cfRule type="cellIs" dxfId="13200" priority="2541" operator="lessThan">
      <formula>0</formula>
    </cfRule>
  </conditionalFormatting>
  <conditionalFormatting sqref="R31">
    <cfRule type="cellIs" dxfId="13199" priority="2539" operator="lessThan">
      <formula>0.8</formula>
    </cfRule>
    <cfRule type="cellIs" dxfId="13198" priority="2540" operator="greaterThan">
      <formula>1</formula>
    </cfRule>
  </conditionalFormatting>
  <conditionalFormatting sqref="R31">
    <cfRule type="cellIs" dxfId="13197" priority="2537" operator="greaterThan">
      <formula>1</formula>
    </cfRule>
    <cfRule type="cellIs" dxfId="13196" priority="2538" operator="lessThan">
      <formula>0.8</formula>
    </cfRule>
  </conditionalFormatting>
  <conditionalFormatting sqref="R31">
    <cfRule type="cellIs" dxfId="13195" priority="2533" operator="lessThan">
      <formula>0.8</formula>
    </cfRule>
    <cfRule type="cellIs" dxfId="13194" priority="2534" operator="greaterThan">
      <formula>1</formula>
    </cfRule>
  </conditionalFormatting>
  <conditionalFormatting sqref="R31">
    <cfRule type="cellIs" dxfId="13193" priority="2531" operator="greaterThan">
      <formula>1</formula>
    </cfRule>
    <cfRule type="cellIs" dxfId="13192" priority="2532" operator="lessThan">
      <formula>0.8</formula>
    </cfRule>
  </conditionalFormatting>
  <conditionalFormatting sqref="P31">
    <cfRule type="cellIs" dxfId="13191" priority="2530" operator="greaterThan">
      <formula>0</formula>
    </cfRule>
  </conditionalFormatting>
  <conditionalFormatting sqref="Q31">
    <cfRule type="cellIs" dxfId="13190" priority="2535" operator="lessThan">
      <formula>0</formula>
    </cfRule>
  </conditionalFormatting>
  <conditionalFormatting sqref="R31">
    <cfRule type="cellIs" dxfId="13189" priority="2527" operator="lessThan">
      <formula>0.8</formula>
    </cfRule>
    <cfRule type="cellIs" dxfId="13188" priority="2528" operator="greaterThan">
      <formula>1</formula>
    </cfRule>
  </conditionalFormatting>
  <conditionalFormatting sqref="R31">
    <cfRule type="cellIs" dxfId="13187" priority="2525" operator="greaterThan">
      <formula>1</formula>
    </cfRule>
    <cfRule type="cellIs" dxfId="13186" priority="2526" operator="lessThan">
      <formula>0.8</formula>
    </cfRule>
  </conditionalFormatting>
  <conditionalFormatting sqref="P31">
    <cfRule type="cellIs" dxfId="13185" priority="2524" operator="greaterThan">
      <formula>0</formula>
    </cfRule>
  </conditionalFormatting>
  <conditionalFormatting sqref="Q31">
    <cfRule type="cellIs" dxfId="13184" priority="2529" operator="lessThan">
      <formula>0</formula>
    </cfRule>
  </conditionalFormatting>
  <conditionalFormatting sqref="Q31">
    <cfRule type="cellIs" dxfId="13183" priority="2523" operator="lessThan">
      <formula>0</formula>
    </cfRule>
  </conditionalFormatting>
  <conditionalFormatting sqref="R31">
    <cfRule type="cellIs" dxfId="13182" priority="2521" operator="lessThan">
      <formula>0.8</formula>
    </cfRule>
    <cfRule type="cellIs" dxfId="13181" priority="2522" operator="greaterThan">
      <formula>1</formula>
    </cfRule>
  </conditionalFormatting>
  <conditionalFormatting sqref="R31">
    <cfRule type="cellIs" dxfId="13180" priority="2519" operator="greaterThan">
      <formula>1</formula>
    </cfRule>
    <cfRule type="cellIs" dxfId="13179" priority="2520" operator="lessThan">
      <formula>0.8</formula>
    </cfRule>
  </conditionalFormatting>
  <conditionalFormatting sqref="P31">
    <cfRule type="cellIs" dxfId="13178" priority="2518" operator="greaterThan">
      <formula>0</formula>
    </cfRule>
  </conditionalFormatting>
  <conditionalFormatting sqref="Q31">
    <cfRule type="cellIs" dxfId="13177" priority="2512" operator="lessThan">
      <formula>0</formula>
    </cfRule>
  </conditionalFormatting>
  <conditionalFormatting sqref="R31">
    <cfRule type="cellIs" dxfId="13176" priority="2516" operator="lessThan">
      <formula>0.8</formula>
    </cfRule>
    <cfRule type="cellIs" dxfId="13175" priority="2517" operator="greaterThan">
      <formula>1</formula>
    </cfRule>
  </conditionalFormatting>
  <conditionalFormatting sqref="R31">
    <cfRule type="cellIs" dxfId="13174" priority="2514" operator="greaterThan">
      <formula>1</formula>
    </cfRule>
    <cfRule type="cellIs" dxfId="13173" priority="2515" operator="lessThan">
      <formula>0.8</formula>
    </cfRule>
  </conditionalFormatting>
  <conditionalFormatting sqref="P31">
    <cfRule type="cellIs" dxfId="13172" priority="2513" operator="greaterThan">
      <formula>0</formula>
    </cfRule>
  </conditionalFormatting>
  <conditionalFormatting sqref="Q31">
    <cfRule type="cellIs" dxfId="13171" priority="2511" operator="lessThan">
      <formula>0</formula>
    </cfRule>
  </conditionalFormatting>
  <conditionalFormatting sqref="R31">
    <cfRule type="cellIs" dxfId="13170" priority="2509" operator="lessThan">
      <formula>0.8</formula>
    </cfRule>
    <cfRule type="cellIs" dxfId="13169" priority="2510" operator="greaterThan">
      <formula>1</formula>
    </cfRule>
  </conditionalFormatting>
  <conditionalFormatting sqref="R31">
    <cfRule type="cellIs" dxfId="13168" priority="2507" operator="greaterThan">
      <formula>1</formula>
    </cfRule>
    <cfRule type="cellIs" dxfId="13167" priority="2508" operator="lessThan">
      <formula>0.8</formula>
    </cfRule>
  </conditionalFormatting>
  <conditionalFormatting sqref="P31">
    <cfRule type="cellIs" dxfId="13166" priority="2506" operator="greaterThan">
      <formula>0</formula>
    </cfRule>
  </conditionalFormatting>
  <conditionalFormatting sqref="Q31">
    <cfRule type="cellIs" dxfId="13165" priority="2505" operator="lessThan">
      <formula>0</formula>
    </cfRule>
  </conditionalFormatting>
  <conditionalFormatting sqref="R31">
    <cfRule type="cellIs" dxfId="13164" priority="2503" operator="lessThan">
      <formula>0.8</formula>
    </cfRule>
    <cfRule type="cellIs" dxfId="13163" priority="2504" operator="greaterThan">
      <formula>1</formula>
    </cfRule>
  </conditionalFormatting>
  <conditionalFormatting sqref="R31">
    <cfRule type="cellIs" dxfId="13162" priority="2501" operator="greaterThan">
      <formula>1</formula>
    </cfRule>
    <cfRule type="cellIs" dxfId="13161" priority="2502" operator="lessThan">
      <formula>0.8</formula>
    </cfRule>
  </conditionalFormatting>
  <conditionalFormatting sqref="P31">
    <cfRule type="cellIs" dxfId="13160" priority="2500" operator="greaterThan">
      <formula>0</formula>
    </cfRule>
  </conditionalFormatting>
  <conditionalFormatting sqref="Q31">
    <cfRule type="cellIs" dxfId="13159" priority="2499" operator="lessThan">
      <formula>0</formula>
    </cfRule>
  </conditionalFormatting>
  <conditionalFormatting sqref="R31">
    <cfRule type="cellIs" dxfId="13158" priority="2497" operator="lessThan">
      <formula>0.8</formula>
    </cfRule>
    <cfRule type="cellIs" dxfId="13157" priority="2498" operator="greaterThan">
      <formula>1</formula>
    </cfRule>
  </conditionalFormatting>
  <conditionalFormatting sqref="R31">
    <cfRule type="cellIs" dxfId="13156" priority="2495" operator="greaterThan">
      <formula>1</formula>
    </cfRule>
    <cfRule type="cellIs" dxfId="13155" priority="2496" operator="lessThan">
      <formula>0.8</formula>
    </cfRule>
  </conditionalFormatting>
  <conditionalFormatting sqref="P31">
    <cfRule type="cellIs" dxfId="13154" priority="2494" operator="greaterThan">
      <formula>0</formula>
    </cfRule>
  </conditionalFormatting>
  <conditionalFormatting sqref="Q31">
    <cfRule type="cellIs" dxfId="13153" priority="2493" operator="lessThan">
      <formula>0</formula>
    </cfRule>
  </conditionalFormatting>
  <conditionalFormatting sqref="R31">
    <cfRule type="cellIs" dxfId="13152" priority="2491" operator="lessThan">
      <formula>0.8</formula>
    </cfRule>
    <cfRule type="cellIs" dxfId="13151" priority="2492" operator="greaterThan">
      <formula>1</formula>
    </cfRule>
  </conditionalFormatting>
  <conditionalFormatting sqref="R31">
    <cfRule type="cellIs" dxfId="13150" priority="2489" operator="greaterThan">
      <formula>1</formula>
    </cfRule>
    <cfRule type="cellIs" dxfId="13149" priority="2490" operator="lessThan">
      <formula>0.8</formula>
    </cfRule>
  </conditionalFormatting>
  <conditionalFormatting sqref="P31">
    <cfRule type="cellIs" dxfId="13148" priority="2488" operator="greaterThan">
      <formula>0</formula>
    </cfRule>
  </conditionalFormatting>
  <conditionalFormatting sqref="Q31">
    <cfRule type="cellIs" dxfId="13147" priority="2487" operator="lessThan">
      <formula>0</formula>
    </cfRule>
  </conditionalFormatting>
  <conditionalFormatting sqref="R31">
    <cfRule type="cellIs" dxfId="13146" priority="2485" operator="lessThan">
      <formula>0.8</formula>
    </cfRule>
    <cfRule type="cellIs" dxfId="13145" priority="2486" operator="greaterThan">
      <formula>1</formula>
    </cfRule>
  </conditionalFormatting>
  <conditionalFormatting sqref="R31">
    <cfRule type="cellIs" dxfId="13144" priority="2483" operator="greaterThan">
      <formula>1</formula>
    </cfRule>
    <cfRule type="cellIs" dxfId="13143" priority="2484" operator="lessThan">
      <formula>0.8</formula>
    </cfRule>
  </conditionalFormatting>
  <conditionalFormatting sqref="P31">
    <cfRule type="cellIs" dxfId="13142" priority="2482" operator="greaterThan">
      <formula>0</formula>
    </cfRule>
  </conditionalFormatting>
  <conditionalFormatting sqref="P31">
    <cfRule type="cellIs" dxfId="13141" priority="2476" operator="greaterThan">
      <formula>0</formula>
    </cfRule>
  </conditionalFormatting>
  <conditionalFormatting sqref="Q31">
    <cfRule type="cellIs" dxfId="13140" priority="2481" operator="lessThan">
      <formula>0</formula>
    </cfRule>
  </conditionalFormatting>
  <conditionalFormatting sqref="R31">
    <cfRule type="cellIs" dxfId="13139" priority="2479" operator="lessThan">
      <formula>0.8</formula>
    </cfRule>
    <cfRule type="cellIs" dxfId="13138" priority="2480" operator="greaterThan">
      <formula>1</formula>
    </cfRule>
  </conditionalFormatting>
  <conditionalFormatting sqref="R31">
    <cfRule type="cellIs" dxfId="13137" priority="2477" operator="greaterThan">
      <formula>1</formula>
    </cfRule>
    <cfRule type="cellIs" dxfId="13136" priority="2478" operator="lessThan">
      <formula>0.8</formula>
    </cfRule>
  </conditionalFormatting>
  <conditionalFormatting sqref="P31">
    <cfRule type="cellIs" dxfId="13135" priority="2470" operator="greaterThan">
      <formula>0</formula>
    </cfRule>
  </conditionalFormatting>
  <conditionalFormatting sqref="Q31">
    <cfRule type="cellIs" dxfId="13134" priority="2475" operator="lessThan">
      <formula>0</formula>
    </cfRule>
  </conditionalFormatting>
  <conditionalFormatting sqref="R31">
    <cfRule type="cellIs" dxfId="13133" priority="2473" operator="lessThan">
      <formula>0.8</formula>
    </cfRule>
    <cfRule type="cellIs" dxfId="13132" priority="2474" operator="greaterThan">
      <formula>1</formula>
    </cfRule>
  </conditionalFormatting>
  <conditionalFormatting sqref="R31">
    <cfRule type="cellIs" dxfId="13131" priority="2471" operator="greaterThan">
      <formula>1</formula>
    </cfRule>
    <cfRule type="cellIs" dxfId="13130" priority="2472" operator="lessThan">
      <formula>0.8</formula>
    </cfRule>
  </conditionalFormatting>
  <conditionalFormatting sqref="R31">
    <cfRule type="cellIs" dxfId="13129" priority="2467" operator="lessThan">
      <formula>0.8</formula>
    </cfRule>
    <cfRule type="cellIs" dxfId="13128" priority="2468" operator="greaterThan">
      <formula>1</formula>
    </cfRule>
  </conditionalFormatting>
  <conditionalFormatting sqref="R31">
    <cfRule type="cellIs" dxfId="13127" priority="2465" operator="greaterThan">
      <formula>1</formula>
    </cfRule>
    <cfRule type="cellIs" dxfId="13126" priority="2466" operator="lessThan">
      <formula>0.8</formula>
    </cfRule>
  </conditionalFormatting>
  <conditionalFormatting sqref="P31">
    <cfRule type="cellIs" dxfId="13125" priority="2464" operator="greaterThan">
      <formula>0</formula>
    </cfRule>
  </conditionalFormatting>
  <conditionalFormatting sqref="Q31">
    <cfRule type="cellIs" dxfId="13124" priority="2469" operator="lessThan">
      <formula>0</formula>
    </cfRule>
  </conditionalFormatting>
  <conditionalFormatting sqref="Q31">
    <cfRule type="cellIs" dxfId="13123" priority="2463" operator="lessThan">
      <formula>0</formula>
    </cfRule>
  </conditionalFormatting>
  <conditionalFormatting sqref="R31">
    <cfRule type="cellIs" dxfId="13122" priority="2461" operator="lessThan">
      <formula>0.8</formula>
    </cfRule>
    <cfRule type="cellIs" dxfId="13121" priority="2462" operator="greaterThan">
      <formula>1</formula>
    </cfRule>
  </conditionalFormatting>
  <conditionalFormatting sqref="R31">
    <cfRule type="cellIs" dxfId="13120" priority="2459" operator="greaterThan">
      <formula>1</formula>
    </cfRule>
    <cfRule type="cellIs" dxfId="13119" priority="2460" operator="lessThan">
      <formula>0.8</formula>
    </cfRule>
  </conditionalFormatting>
  <conditionalFormatting sqref="P31">
    <cfRule type="cellIs" dxfId="13118" priority="2458" operator="greaterThan">
      <formula>0</formula>
    </cfRule>
  </conditionalFormatting>
  <conditionalFormatting sqref="Q31">
    <cfRule type="cellIs" dxfId="13117" priority="2457" operator="lessThan">
      <formula>0</formula>
    </cfRule>
  </conditionalFormatting>
  <conditionalFormatting sqref="R31">
    <cfRule type="cellIs" dxfId="13116" priority="2455" operator="lessThan">
      <formula>0.8</formula>
    </cfRule>
    <cfRule type="cellIs" dxfId="13115" priority="2456" operator="greaterThan">
      <formula>1</formula>
    </cfRule>
  </conditionalFormatting>
  <conditionalFormatting sqref="R31">
    <cfRule type="cellIs" dxfId="13114" priority="2453" operator="greaterThan">
      <formula>1</formula>
    </cfRule>
    <cfRule type="cellIs" dxfId="13113" priority="2454" operator="lessThan">
      <formula>0.8</formula>
    </cfRule>
  </conditionalFormatting>
  <conditionalFormatting sqref="P31">
    <cfRule type="cellIs" dxfId="13112" priority="2452" operator="greaterThan">
      <formula>0</formula>
    </cfRule>
  </conditionalFormatting>
  <conditionalFormatting sqref="Q31">
    <cfRule type="cellIs" dxfId="13111" priority="2451" operator="lessThan">
      <formula>0</formula>
    </cfRule>
  </conditionalFormatting>
  <conditionalFormatting sqref="R31">
    <cfRule type="cellIs" dxfId="13110" priority="2449" operator="lessThan">
      <formula>0.8</formula>
    </cfRule>
    <cfRule type="cellIs" dxfId="13109" priority="2450" operator="greaterThan">
      <formula>1</formula>
    </cfRule>
  </conditionalFormatting>
  <conditionalFormatting sqref="R31">
    <cfRule type="cellIs" dxfId="13108" priority="2447" operator="greaterThan">
      <formula>1</formula>
    </cfRule>
    <cfRule type="cellIs" dxfId="13107" priority="2448" operator="lessThan">
      <formula>0.8</formula>
    </cfRule>
  </conditionalFormatting>
  <conditionalFormatting sqref="P31">
    <cfRule type="cellIs" dxfId="13106" priority="2446" operator="greaterThan">
      <formula>0</formula>
    </cfRule>
  </conditionalFormatting>
  <conditionalFormatting sqref="Q31">
    <cfRule type="cellIs" dxfId="13105" priority="2445" operator="lessThan">
      <formula>0</formula>
    </cfRule>
  </conditionalFormatting>
  <conditionalFormatting sqref="R31">
    <cfRule type="cellIs" dxfId="13104" priority="2443" operator="lessThan">
      <formula>0.8</formula>
    </cfRule>
    <cfRule type="cellIs" dxfId="13103" priority="2444" operator="greaterThan">
      <formula>1</formula>
    </cfRule>
  </conditionalFormatting>
  <conditionalFormatting sqref="R31">
    <cfRule type="cellIs" dxfId="13102" priority="2441" operator="greaterThan">
      <formula>1</formula>
    </cfRule>
    <cfRule type="cellIs" dxfId="13101" priority="2442" operator="lessThan">
      <formula>0.8</formula>
    </cfRule>
  </conditionalFormatting>
  <conditionalFormatting sqref="P31">
    <cfRule type="cellIs" dxfId="13100" priority="2440" operator="greaterThan">
      <formula>0</formula>
    </cfRule>
  </conditionalFormatting>
  <conditionalFormatting sqref="P31">
    <cfRule type="cellIs" dxfId="13099" priority="2434" operator="greaterThan">
      <formula>0</formula>
    </cfRule>
  </conditionalFormatting>
  <conditionalFormatting sqref="Q31">
    <cfRule type="cellIs" dxfId="13098" priority="2439" operator="lessThan">
      <formula>0</formula>
    </cfRule>
  </conditionalFormatting>
  <conditionalFormatting sqref="R31">
    <cfRule type="cellIs" dxfId="13097" priority="2437" operator="lessThan">
      <formula>0.8</formula>
    </cfRule>
    <cfRule type="cellIs" dxfId="13096" priority="2438" operator="greaterThan">
      <formula>1</formula>
    </cfRule>
  </conditionalFormatting>
  <conditionalFormatting sqref="R31">
    <cfRule type="cellIs" dxfId="13095" priority="2435" operator="greaterThan">
      <formula>1</formula>
    </cfRule>
    <cfRule type="cellIs" dxfId="13094" priority="2436" operator="lessThan">
      <formula>0.8</formula>
    </cfRule>
  </conditionalFormatting>
  <conditionalFormatting sqref="P31">
    <cfRule type="cellIs" dxfId="13093" priority="2428" operator="greaterThan">
      <formula>0</formula>
    </cfRule>
  </conditionalFormatting>
  <conditionalFormatting sqref="Q31">
    <cfRule type="cellIs" dxfId="13092" priority="2433" operator="lessThan">
      <formula>0</formula>
    </cfRule>
  </conditionalFormatting>
  <conditionalFormatting sqref="R31">
    <cfRule type="cellIs" dxfId="13091" priority="2431" operator="lessThan">
      <formula>0.8</formula>
    </cfRule>
    <cfRule type="cellIs" dxfId="13090" priority="2432" operator="greaterThan">
      <formula>1</formula>
    </cfRule>
  </conditionalFormatting>
  <conditionalFormatting sqref="R31">
    <cfRule type="cellIs" dxfId="13089" priority="2429" operator="greaterThan">
      <formula>1</formula>
    </cfRule>
    <cfRule type="cellIs" dxfId="13088" priority="2430" operator="lessThan">
      <formula>0.8</formula>
    </cfRule>
  </conditionalFormatting>
  <conditionalFormatting sqref="R31">
    <cfRule type="cellIs" dxfId="13087" priority="2425" operator="lessThan">
      <formula>0.8</formula>
    </cfRule>
    <cfRule type="cellIs" dxfId="13086" priority="2426" operator="greaterThan">
      <formula>1</formula>
    </cfRule>
  </conditionalFormatting>
  <conditionalFormatting sqref="R31">
    <cfRule type="cellIs" dxfId="13085" priority="2423" operator="greaterThan">
      <formula>1</formula>
    </cfRule>
    <cfRule type="cellIs" dxfId="13084" priority="2424" operator="lessThan">
      <formula>0.8</formula>
    </cfRule>
  </conditionalFormatting>
  <conditionalFormatting sqref="P31">
    <cfRule type="cellIs" dxfId="13083" priority="2422" operator="greaterThan">
      <formula>0</formula>
    </cfRule>
  </conditionalFormatting>
  <conditionalFormatting sqref="Q31">
    <cfRule type="cellIs" dxfId="13082" priority="2427" operator="lessThan">
      <formula>0</formula>
    </cfRule>
  </conditionalFormatting>
  <conditionalFormatting sqref="Q31">
    <cfRule type="cellIs" dxfId="13081" priority="2421" operator="lessThan">
      <formula>0</formula>
    </cfRule>
  </conditionalFormatting>
  <conditionalFormatting sqref="R31">
    <cfRule type="cellIs" dxfId="13080" priority="2419" operator="lessThan">
      <formula>0.8</formula>
    </cfRule>
    <cfRule type="cellIs" dxfId="13079" priority="2420" operator="greaterThan">
      <formula>1</formula>
    </cfRule>
  </conditionalFormatting>
  <conditionalFormatting sqref="R31">
    <cfRule type="cellIs" dxfId="13078" priority="2417" operator="greaterThan">
      <formula>1</formula>
    </cfRule>
    <cfRule type="cellIs" dxfId="13077" priority="2418" operator="lessThan">
      <formula>0.8</formula>
    </cfRule>
  </conditionalFormatting>
  <conditionalFormatting sqref="P31">
    <cfRule type="cellIs" dxfId="13076" priority="2416" operator="greaterThan">
      <formula>0</formula>
    </cfRule>
  </conditionalFormatting>
  <conditionalFormatting sqref="P31">
    <cfRule type="cellIs" dxfId="13075" priority="2410" operator="greaterThan">
      <formula>0</formula>
    </cfRule>
  </conditionalFormatting>
  <conditionalFormatting sqref="Q31">
    <cfRule type="cellIs" dxfId="13074" priority="2415" operator="lessThan">
      <formula>0</formula>
    </cfRule>
  </conditionalFormatting>
  <conditionalFormatting sqref="R31">
    <cfRule type="cellIs" dxfId="13073" priority="2413" operator="lessThan">
      <formula>0.8</formula>
    </cfRule>
    <cfRule type="cellIs" dxfId="13072" priority="2414" operator="greaterThan">
      <formula>1</formula>
    </cfRule>
  </conditionalFormatting>
  <conditionalFormatting sqref="R31">
    <cfRule type="cellIs" dxfId="13071" priority="2411" operator="greaterThan">
      <formula>1</formula>
    </cfRule>
    <cfRule type="cellIs" dxfId="13070" priority="2412" operator="lessThan">
      <formula>0.8</formula>
    </cfRule>
  </conditionalFormatting>
  <conditionalFormatting sqref="P31">
    <cfRule type="cellIs" dxfId="13069" priority="2404" operator="greaterThan">
      <formula>0</formula>
    </cfRule>
  </conditionalFormatting>
  <conditionalFormatting sqref="Q31">
    <cfRule type="cellIs" dxfId="13068" priority="2409" operator="lessThan">
      <formula>0</formula>
    </cfRule>
  </conditionalFormatting>
  <conditionalFormatting sqref="R31">
    <cfRule type="cellIs" dxfId="13067" priority="2407" operator="lessThan">
      <formula>0.8</formula>
    </cfRule>
    <cfRule type="cellIs" dxfId="13066" priority="2408" operator="greaterThan">
      <formula>1</formula>
    </cfRule>
  </conditionalFormatting>
  <conditionalFormatting sqref="R31">
    <cfRule type="cellIs" dxfId="13065" priority="2405" operator="greaterThan">
      <formula>1</formula>
    </cfRule>
    <cfRule type="cellIs" dxfId="13064" priority="2406" operator="lessThan">
      <formula>0.8</formula>
    </cfRule>
  </conditionalFormatting>
  <conditionalFormatting sqref="R31">
    <cfRule type="cellIs" dxfId="13063" priority="2401" operator="lessThan">
      <formula>0.8</formula>
    </cfRule>
    <cfRule type="cellIs" dxfId="13062" priority="2402" operator="greaterThan">
      <formula>1</formula>
    </cfRule>
  </conditionalFormatting>
  <conditionalFormatting sqref="R31">
    <cfRule type="cellIs" dxfId="13061" priority="2399" operator="greaterThan">
      <formula>1</formula>
    </cfRule>
    <cfRule type="cellIs" dxfId="13060" priority="2400" operator="lessThan">
      <formula>0.8</formula>
    </cfRule>
  </conditionalFormatting>
  <conditionalFormatting sqref="P31">
    <cfRule type="cellIs" dxfId="13059" priority="2398" operator="greaterThan">
      <formula>0</formula>
    </cfRule>
  </conditionalFormatting>
  <conditionalFormatting sqref="Q31">
    <cfRule type="cellIs" dxfId="13058" priority="2403" operator="lessThan">
      <formula>0</formula>
    </cfRule>
  </conditionalFormatting>
  <conditionalFormatting sqref="P31">
    <cfRule type="cellIs" dxfId="13057" priority="2392" operator="greaterThan">
      <formula>0</formula>
    </cfRule>
  </conditionalFormatting>
  <conditionalFormatting sqref="Q31">
    <cfRule type="cellIs" dxfId="13056" priority="2397" operator="lessThan">
      <formula>0</formula>
    </cfRule>
  </conditionalFormatting>
  <conditionalFormatting sqref="R31">
    <cfRule type="cellIs" dxfId="13055" priority="2395" operator="lessThan">
      <formula>0.8</formula>
    </cfRule>
    <cfRule type="cellIs" dxfId="13054" priority="2396" operator="greaterThan">
      <formula>1</formula>
    </cfRule>
  </conditionalFormatting>
  <conditionalFormatting sqref="R31">
    <cfRule type="cellIs" dxfId="13053" priority="2393" operator="greaterThan">
      <formula>1</formula>
    </cfRule>
    <cfRule type="cellIs" dxfId="13052" priority="2394" operator="lessThan">
      <formula>0.8</formula>
    </cfRule>
  </conditionalFormatting>
  <conditionalFormatting sqref="R31">
    <cfRule type="cellIs" dxfId="13051" priority="2389" operator="lessThan">
      <formula>0.8</formula>
    </cfRule>
    <cfRule type="cellIs" dxfId="13050" priority="2390" operator="greaterThan">
      <formula>1</formula>
    </cfRule>
  </conditionalFormatting>
  <conditionalFormatting sqref="R31">
    <cfRule type="cellIs" dxfId="13049" priority="2387" operator="greaterThan">
      <formula>1</formula>
    </cfRule>
    <cfRule type="cellIs" dxfId="13048" priority="2388" operator="lessThan">
      <formula>0.8</formula>
    </cfRule>
  </conditionalFormatting>
  <conditionalFormatting sqref="P31">
    <cfRule type="cellIs" dxfId="13047" priority="2386" operator="greaterThan">
      <formula>0</formula>
    </cfRule>
  </conditionalFormatting>
  <conditionalFormatting sqref="Q31">
    <cfRule type="cellIs" dxfId="13046" priority="2391" operator="lessThan">
      <formula>0</formula>
    </cfRule>
  </conditionalFormatting>
  <conditionalFormatting sqref="R31">
    <cfRule type="cellIs" dxfId="13045" priority="2383" operator="lessThan">
      <formula>0.8</formula>
    </cfRule>
    <cfRule type="cellIs" dxfId="13044" priority="2384" operator="greaterThan">
      <formula>1</formula>
    </cfRule>
  </conditionalFormatting>
  <conditionalFormatting sqref="R31">
    <cfRule type="cellIs" dxfId="13043" priority="2381" operator="greaterThan">
      <formula>1</formula>
    </cfRule>
    <cfRule type="cellIs" dxfId="13042" priority="2382" operator="lessThan">
      <formula>0.8</formula>
    </cfRule>
  </conditionalFormatting>
  <conditionalFormatting sqref="P31">
    <cfRule type="cellIs" dxfId="13041" priority="2380" operator="greaterThan">
      <formula>0</formula>
    </cfRule>
  </conditionalFormatting>
  <conditionalFormatting sqref="Q31">
    <cfRule type="cellIs" dxfId="13040" priority="2385" operator="lessThan">
      <formula>0</formula>
    </cfRule>
  </conditionalFormatting>
  <conditionalFormatting sqref="Q31">
    <cfRule type="cellIs" dxfId="13039" priority="2379" operator="lessThan">
      <formula>0</formula>
    </cfRule>
  </conditionalFormatting>
  <conditionalFormatting sqref="R31">
    <cfRule type="cellIs" dxfId="13038" priority="2377" operator="lessThan">
      <formula>0.8</formula>
    </cfRule>
    <cfRule type="cellIs" dxfId="13037" priority="2378" operator="greaterThan">
      <formula>1</formula>
    </cfRule>
  </conditionalFormatting>
  <conditionalFormatting sqref="R31">
    <cfRule type="cellIs" dxfId="13036" priority="2375" operator="greaterThan">
      <formula>1</formula>
    </cfRule>
    <cfRule type="cellIs" dxfId="13035" priority="2376" operator="lessThan">
      <formula>0.8</formula>
    </cfRule>
  </conditionalFormatting>
  <conditionalFormatting sqref="P31">
    <cfRule type="cellIs" dxfId="13034" priority="2374" operator="greaterThan">
      <formula>0</formula>
    </cfRule>
  </conditionalFormatting>
  <conditionalFormatting sqref="Q31">
    <cfRule type="cellIs" dxfId="13033" priority="2368" operator="lessThan">
      <formula>0</formula>
    </cfRule>
  </conditionalFormatting>
  <conditionalFormatting sqref="R31">
    <cfRule type="cellIs" dxfId="13032" priority="2372" operator="lessThan">
      <formula>0.8</formula>
    </cfRule>
    <cfRule type="cellIs" dxfId="13031" priority="2373" operator="greaterThan">
      <formula>1</formula>
    </cfRule>
  </conditionalFormatting>
  <conditionalFormatting sqref="R31">
    <cfRule type="cellIs" dxfId="13030" priority="2370" operator="greaterThan">
      <formula>1</formula>
    </cfRule>
    <cfRule type="cellIs" dxfId="13029" priority="2371" operator="lessThan">
      <formula>0.8</formula>
    </cfRule>
  </conditionalFormatting>
  <conditionalFormatting sqref="P31">
    <cfRule type="cellIs" dxfId="13028" priority="2369" operator="greaterThan">
      <formula>0</formula>
    </cfRule>
  </conditionalFormatting>
  <conditionalFormatting sqref="Q31">
    <cfRule type="cellIs" dxfId="13027" priority="2367" operator="lessThan">
      <formula>0</formula>
    </cfRule>
  </conditionalFormatting>
  <conditionalFormatting sqref="R31">
    <cfRule type="cellIs" dxfId="13026" priority="2365" operator="lessThan">
      <formula>0.8</formula>
    </cfRule>
    <cfRule type="cellIs" dxfId="13025" priority="2366" operator="greaterThan">
      <formula>1</formula>
    </cfRule>
  </conditionalFormatting>
  <conditionalFormatting sqref="R31">
    <cfRule type="cellIs" dxfId="13024" priority="2363" operator="greaterThan">
      <formula>1</formula>
    </cfRule>
    <cfRule type="cellIs" dxfId="13023" priority="2364" operator="lessThan">
      <formula>0.8</formula>
    </cfRule>
  </conditionalFormatting>
  <conditionalFormatting sqref="P31">
    <cfRule type="cellIs" dxfId="13022" priority="2362" operator="greaterThan">
      <formula>0</formula>
    </cfRule>
  </conditionalFormatting>
  <conditionalFormatting sqref="Q31">
    <cfRule type="cellIs" dxfId="13021" priority="2361" operator="lessThan">
      <formula>0</formula>
    </cfRule>
  </conditionalFormatting>
  <conditionalFormatting sqref="R31">
    <cfRule type="cellIs" dxfId="13020" priority="2359" operator="lessThan">
      <formula>0.8</formula>
    </cfRule>
    <cfRule type="cellIs" dxfId="13019" priority="2360" operator="greaterThan">
      <formula>1</formula>
    </cfRule>
  </conditionalFormatting>
  <conditionalFormatting sqref="R31">
    <cfRule type="cellIs" dxfId="13018" priority="2357" operator="greaterThan">
      <formula>1</formula>
    </cfRule>
    <cfRule type="cellIs" dxfId="13017" priority="2358" operator="lessThan">
      <formula>0.8</formula>
    </cfRule>
  </conditionalFormatting>
  <conditionalFormatting sqref="P31">
    <cfRule type="cellIs" dxfId="13016" priority="2356" operator="greaterThan">
      <formula>0</formula>
    </cfRule>
  </conditionalFormatting>
  <conditionalFormatting sqref="Q31">
    <cfRule type="cellIs" dxfId="13015" priority="2355" operator="lessThan">
      <formula>0</formula>
    </cfRule>
  </conditionalFormatting>
  <conditionalFormatting sqref="R31">
    <cfRule type="cellIs" dxfId="13014" priority="2353" operator="lessThan">
      <formula>0.8</formula>
    </cfRule>
    <cfRule type="cellIs" dxfId="13013" priority="2354" operator="greaterThan">
      <formula>1</formula>
    </cfRule>
  </conditionalFormatting>
  <conditionalFormatting sqref="R31">
    <cfRule type="cellIs" dxfId="13012" priority="2351" operator="greaterThan">
      <formula>1</formula>
    </cfRule>
    <cfRule type="cellIs" dxfId="13011" priority="2352" operator="lessThan">
      <formula>0.8</formula>
    </cfRule>
  </conditionalFormatting>
  <conditionalFormatting sqref="P31">
    <cfRule type="cellIs" dxfId="13010" priority="2350" operator="greaterThan">
      <formula>0</formula>
    </cfRule>
  </conditionalFormatting>
  <conditionalFormatting sqref="Q31">
    <cfRule type="cellIs" dxfId="13009" priority="2349" operator="lessThan">
      <formula>0</formula>
    </cfRule>
  </conditionalFormatting>
  <conditionalFormatting sqref="R31">
    <cfRule type="cellIs" dxfId="13008" priority="2347" operator="lessThan">
      <formula>0.8</formula>
    </cfRule>
    <cfRule type="cellIs" dxfId="13007" priority="2348" operator="greaterThan">
      <formula>1</formula>
    </cfRule>
  </conditionalFormatting>
  <conditionalFormatting sqref="R31">
    <cfRule type="cellIs" dxfId="13006" priority="2345" operator="greaterThan">
      <formula>1</formula>
    </cfRule>
    <cfRule type="cellIs" dxfId="13005" priority="2346" operator="lessThan">
      <formula>0.8</formula>
    </cfRule>
  </conditionalFormatting>
  <conditionalFormatting sqref="P31">
    <cfRule type="cellIs" dxfId="13004" priority="2344" operator="greaterThan">
      <formula>0</formula>
    </cfRule>
  </conditionalFormatting>
  <conditionalFormatting sqref="Q31">
    <cfRule type="cellIs" dxfId="13003" priority="2343" operator="lessThan">
      <formula>0</formula>
    </cfRule>
  </conditionalFormatting>
  <conditionalFormatting sqref="R31">
    <cfRule type="cellIs" dxfId="13002" priority="2341" operator="lessThan">
      <formula>0.8</formula>
    </cfRule>
    <cfRule type="cellIs" dxfId="13001" priority="2342" operator="greaterThan">
      <formula>1</formula>
    </cfRule>
  </conditionalFormatting>
  <conditionalFormatting sqref="R31">
    <cfRule type="cellIs" dxfId="13000" priority="2339" operator="greaterThan">
      <formula>1</formula>
    </cfRule>
    <cfRule type="cellIs" dxfId="12999" priority="2340" operator="lessThan">
      <formula>0.8</formula>
    </cfRule>
  </conditionalFormatting>
  <conditionalFormatting sqref="P31">
    <cfRule type="cellIs" dxfId="12998" priority="2338" operator="greaterThan">
      <formula>0</formula>
    </cfRule>
  </conditionalFormatting>
  <conditionalFormatting sqref="P31">
    <cfRule type="cellIs" dxfId="12997" priority="2332" operator="greaterThan">
      <formula>0</formula>
    </cfRule>
  </conditionalFormatting>
  <conditionalFormatting sqref="Q31">
    <cfRule type="cellIs" dxfId="12996" priority="2337" operator="lessThan">
      <formula>0</formula>
    </cfRule>
  </conditionalFormatting>
  <conditionalFormatting sqref="R31">
    <cfRule type="cellIs" dxfId="12995" priority="2335" operator="lessThan">
      <formula>0.8</formula>
    </cfRule>
    <cfRule type="cellIs" dxfId="12994" priority="2336" operator="greaterThan">
      <formula>1</formula>
    </cfRule>
  </conditionalFormatting>
  <conditionalFormatting sqref="R31">
    <cfRule type="cellIs" dxfId="12993" priority="2333" operator="greaterThan">
      <formula>1</formula>
    </cfRule>
    <cfRule type="cellIs" dxfId="12992" priority="2334" operator="lessThan">
      <formula>0.8</formula>
    </cfRule>
  </conditionalFormatting>
  <conditionalFormatting sqref="P31">
    <cfRule type="cellIs" dxfId="12991" priority="2326" operator="greaterThan">
      <formula>0</formula>
    </cfRule>
  </conditionalFormatting>
  <conditionalFormatting sqref="Q31">
    <cfRule type="cellIs" dxfId="12990" priority="2331" operator="lessThan">
      <formula>0</formula>
    </cfRule>
  </conditionalFormatting>
  <conditionalFormatting sqref="R31">
    <cfRule type="cellIs" dxfId="12989" priority="2329" operator="lessThan">
      <formula>0.8</formula>
    </cfRule>
    <cfRule type="cellIs" dxfId="12988" priority="2330" operator="greaterThan">
      <formula>1</formula>
    </cfRule>
  </conditionalFormatting>
  <conditionalFormatting sqref="R31">
    <cfRule type="cellIs" dxfId="12987" priority="2327" operator="greaterThan">
      <formula>1</formula>
    </cfRule>
    <cfRule type="cellIs" dxfId="12986" priority="2328" operator="lessThan">
      <formula>0.8</formula>
    </cfRule>
  </conditionalFormatting>
  <conditionalFormatting sqref="R31">
    <cfRule type="cellIs" dxfId="12985" priority="2323" operator="lessThan">
      <formula>0.8</formula>
    </cfRule>
    <cfRule type="cellIs" dxfId="12984" priority="2324" operator="greaterThan">
      <formula>1</formula>
    </cfRule>
  </conditionalFormatting>
  <conditionalFormatting sqref="R31">
    <cfRule type="cellIs" dxfId="12983" priority="2321" operator="greaterThan">
      <formula>1</formula>
    </cfRule>
    <cfRule type="cellIs" dxfId="12982" priority="2322" operator="lessThan">
      <formula>0.8</formula>
    </cfRule>
  </conditionalFormatting>
  <conditionalFormatting sqref="P31">
    <cfRule type="cellIs" dxfId="12981" priority="2320" operator="greaterThan">
      <formula>0</formula>
    </cfRule>
  </conditionalFormatting>
  <conditionalFormatting sqref="Q31">
    <cfRule type="cellIs" dxfId="12980" priority="2325" operator="lessThan">
      <formula>0</formula>
    </cfRule>
  </conditionalFormatting>
  <conditionalFormatting sqref="P79">
    <cfRule type="cellIs" dxfId="12979" priority="2314" operator="greaterThan">
      <formula>0</formula>
    </cfRule>
  </conditionalFormatting>
  <conditionalFormatting sqref="Q79">
    <cfRule type="cellIs" dxfId="12978" priority="2319" operator="lessThan">
      <formula>0</formula>
    </cfRule>
  </conditionalFormatting>
  <conditionalFormatting sqref="R79">
    <cfRule type="cellIs" dxfId="12977" priority="2317" operator="lessThan">
      <formula>0.8</formula>
    </cfRule>
    <cfRule type="cellIs" dxfId="12976" priority="2318" operator="greaterThan">
      <formula>1</formula>
    </cfRule>
  </conditionalFormatting>
  <conditionalFormatting sqref="R79">
    <cfRule type="cellIs" dxfId="12975" priority="2315" operator="greaterThan">
      <formula>1</formula>
    </cfRule>
    <cfRule type="cellIs" dxfId="12974" priority="2316" operator="lessThan">
      <formula>0.8</formula>
    </cfRule>
  </conditionalFormatting>
  <conditionalFormatting sqref="Q79">
    <cfRule type="cellIs" dxfId="12973" priority="2313" operator="lessThan">
      <formula>0</formula>
    </cfRule>
  </conditionalFormatting>
  <conditionalFormatting sqref="R79">
    <cfRule type="cellIs" dxfId="12972" priority="2311" operator="lessThan">
      <formula>0.8</formula>
    </cfRule>
    <cfRule type="cellIs" dxfId="12971" priority="2312" operator="greaterThan">
      <formula>1</formula>
    </cfRule>
  </conditionalFormatting>
  <conditionalFormatting sqref="R79">
    <cfRule type="cellIs" dxfId="12970" priority="2309" operator="greaterThan">
      <formula>1</formula>
    </cfRule>
    <cfRule type="cellIs" dxfId="12969" priority="2310" operator="lessThan">
      <formula>0.8</formula>
    </cfRule>
  </conditionalFormatting>
  <conditionalFormatting sqref="P79">
    <cfRule type="cellIs" dxfId="12968" priority="2308" operator="greaterThan">
      <formula>0</formula>
    </cfRule>
  </conditionalFormatting>
  <conditionalFormatting sqref="P79">
    <cfRule type="cellIs" dxfId="12967" priority="2302" operator="greaterThan">
      <formula>0</formula>
    </cfRule>
  </conditionalFormatting>
  <conditionalFormatting sqref="Q79">
    <cfRule type="cellIs" dxfId="12966" priority="2307" operator="lessThan">
      <formula>0</formula>
    </cfRule>
  </conditionalFormatting>
  <conditionalFormatting sqref="R79">
    <cfRule type="cellIs" dxfId="12965" priority="2305" operator="lessThan">
      <formula>0.8</formula>
    </cfRule>
    <cfRule type="cellIs" dxfId="12964" priority="2306" operator="greaterThan">
      <formula>1</formula>
    </cfRule>
  </conditionalFormatting>
  <conditionalFormatting sqref="R79">
    <cfRule type="cellIs" dxfId="12963" priority="2303" operator="greaterThan">
      <formula>1</formula>
    </cfRule>
    <cfRule type="cellIs" dxfId="12962" priority="2304" operator="lessThan">
      <formula>0.8</formula>
    </cfRule>
  </conditionalFormatting>
  <conditionalFormatting sqref="Q79">
    <cfRule type="cellIs" dxfId="12961" priority="2296" operator="lessThan">
      <formula>0</formula>
    </cfRule>
  </conditionalFormatting>
  <conditionalFormatting sqref="P79">
    <cfRule type="cellIs" dxfId="12960" priority="2297" operator="greaterThan">
      <formula>0</formula>
    </cfRule>
  </conditionalFormatting>
  <conditionalFormatting sqref="R79">
    <cfRule type="cellIs" dxfId="12959" priority="2300" operator="lessThan">
      <formula>0.8</formula>
    </cfRule>
    <cfRule type="cellIs" dxfId="12958" priority="2301" operator="greaterThan">
      <formula>1</formula>
    </cfRule>
  </conditionalFormatting>
  <conditionalFormatting sqref="R79">
    <cfRule type="cellIs" dxfId="12957" priority="2298" operator="greaterThan">
      <formula>1</formula>
    </cfRule>
    <cfRule type="cellIs" dxfId="12956" priority="2299" operator="lessThan">
      <formula>0.8</formula>
    </cfRule>
  </conditionalFormatting>
  <conditionalFormatting sqref="Q79">
    <cfRule type="cellIs" dxfId="12955" priority="2290" operator="lessThan">
      <formula>0</formula>
    </cfRule>
  </conditionalFormatting>
  <conditionalFormatting sqref="R79">
    <cfRule type="cellIs" dxfId="12954" priority="2294" operator="lessThan">
      <formula>0.8</formula>
    </cfRule>
    <cfRule type="cellIs" dxfId="12953" priority="2295" operator="greaterThan">
      <formula>1</formula>
    </cfRule>
  </conditionalFormatting>
  <conditionalFormatting sqref="R79">
    <cfRule type="cellIs" dxfId="12952" priority="2292" operator="greaterThan">
      <formula>1</formula>
    </cfRule>
    <cfRule type="cellIs" dxfId="12951" priority="2293" operator="lessThan">
      <formula>0.8</formula>
    </cfRule>
  </conditionalFormatting>
  <conditionalFormatting sqref="P79">
    <cfRule type="cellIs" dxfId="12950" priority="2291" operator="greaterThan">
      <formula>0</formula>
    </cfRule>
  </conditionalFormatting>
  <conditionalFormatting sqref="Q79">
    <cfRule type="cellIs" dxfId="12949" priority="2289" operator="lessThan">
      <formula>0</formula>
    </cfRule>
  </conditionalFormatting>
  <conditionalFormatting sqref="R79">
    <cfRule type="cellIs" dxfId="12948" priority="2287" operator="lessThan">
      <formula>0.8</formula>
    </cfRule>
    <cfRule type="cellIs" dxfId="12947" priority="2288" operator="greaterThan">
      <formula>1</formula>
    </cfRule>
  </conditionalFormatting>
  <conditionalFormatting sqref="R79">
    <cfRule type="cellIs" dxfId="12946" priority="2285" operator="greaterThan">
      <formula>1</formula>
    </cfRule>
    <cfRule type="cellIs" dxfId="12945" priority="2286" operator="lessThan">
      <formula>0.8</formula>
    </cfRule>
  </conditionalFormatting>
  <conditionalFormatting sqref="P79">
    <cfRule type="cellIs" dxfId="12944" priority="2284" operator="greaterThan">
      <formula>0</formula>
    </cfRule>
  </conditionalFormatting>
  <conditionalFormatting sqref="Q79">
    <cfRule type="cellIs" dxfId="12943" priority="2283" operator="lessThan">
      <formula>0</formula>
    </cfRule>
  </conditionalFormatting>
  <conditionalFormatting sqref="R79">
    <cfRule type="cellIs" dxfId="12942" priority="2281" operator="lessThan">
      <formula>0.8</formula>
    </cfRule>
    <cfRule type="cellIs" dxfId="12941" priority="2282" operator="greaterThan">
      <formula>1</formula>
    </cfRule>
  </conditionalFormatting>
  <conditionalFormatting sqref="R79">
    <cfRule type="cellIs" dxfId="12940" priority="2279" operator="greaterThan">
      <formula>1</formula>
    </cfRule>
    <cfRule type="cellIs" dxfId="12939" priority="2280" operator="lessThan">
      <formula>0.8</formula>
    </cfRule>
  </conditionalFormatting>
  <conditionalFormatting sqref="P79">
    <cfRule type="cellIs" dxfId="12938" priority="2278" operator="greaterThan">
      <formula>0</formula>
    </cfRule>
  </conditionalFormatting>
  <conditionalFormatting sqref="P79">
    <cfRule type="cellIs" dxfId="12937" priority="2272" operator="greaterThan">
      <formula>0</formula>
    </cfRule>
  </conditionalFormatting>
  <conditionalFormatting sqref="Q79">
    <cfRule type="cellIs" dxfId="12936" priority="2277" operator="lessThan">
      <formula>0</formula>
    </cfRule>
  </conditionalFormatting>
  <conditionalFormatting sqref="R79">
    <cfRule type="cellIs" dxfId="12935" priority="2275" operator="lessThan">
      <formula>0.8</formula>
    </cfRule>
    <cfRule type="cellIs" dxfId="12934" priority="2276" operator="greaterThan">
      <formula>1</formula>
    </cfRule>
  </conditionalFormatting>
  <conditionalFormatting sqref="R79">
    <cfRule type="cellIs" dxfId="12933" priority="2273" operator="greaterThan">
      <formula>1</formula>
    </cfRule>
    <cfRule type="cellIs" dxfId="12932" priority="2274" operator="lessThan">
      <formula>0.8</formula>
    </cfRule>
  </conditionalFormatting>
  <conditionalFormatting sqref="P71:P78">
    <cfRule type="cellIs" dxfId="12931" priority="2266" operator="greaterThan">
      <formula>0</formula>
    </cfRule>
  </conditionalFormatting>
  <conditionalFormatting sqref="Q71:Q78">
    <cfRule type="cellIs" dxfId="12930" priority="2271" operator="lessThan">
      <formula>0</formula>
    </cfRule>
  </conditionalFormatting>
  <conditionalFormatting sqref="R71:R78">
    <cfRule type="cellIs" dxfId="12929" priority="2269" operator="lessThan">
      <formula>0.8</formula>
    </cfRule>
    <cfRule type="cellIs" dxfId="12928" priority="2270" operator="greaterThan">
      <formula>1</formula>
    </cfRule>
  </conditionalFormatting>
  <conditionalFormatting sqref="R71:R78">
    <cfRule type="cellIs" dxfId="12927" priority="2267" operator="greaterThan">
      <formula>1</formula>
    </cfRule>
    <cfRule type="cellIs" dxfId="12926" priority="2268" operator="lessThan">
      <formula>0.8</formula>
    </cfRule>
  </conditionalFormatting>
  <conditionalFormatting sqref="Q148:Q153">
    <cfRule type="cellIs" dxfId="12925" priority="2265" operator="lessThan">
      <formula>0</formula>
    </cfRule>
  </conditionalFormatting>
  <conditionalFormatting sqref="R148:R153">
    <cfRule type="cellIs" dxfId="12924" priority="2263" operator="lessThan">
      <formula>0.8</formula>
    </cfRule>
    <cfRule type="cellIs" dxfId="12923" priority="2264" operator="greaterThan">
      <formula>1</formula>
    </cfRule>
  </conditionalFormatting>
  <conditionalFormatting sqref="R148:R153">
    <cfRule type="cellIs" dxfId="12922" priority="2261" operator="greaterThan">
      <formula>1</formula>
    </cfRule>
    <cfRule type="cellIs" dxfId="12921" priority="2262" operator="lessThan">
      <formula>0.8</formula>
    </cfRule>
  </conditionalFormatting>
  <conditionalFormatting sqref="P148:P153">
    <cfRule type="cellIs" dxfId="12920" priority="2260" operator="greaterThan">
      <formula>0</formula>
    </cfRule>
  </conditionalFormatting>
  <conditionalFormatting sqref="Q148:Q153">
    <cfRule type="cellIs" dxfId="12919" priority="2259" operator="lessThan">
      <formula>0</formula>
    </cfRule>
  </conditionalFormatting>
  <conditionalFormatting sqref="R148:R153">
    <cfRule type="cellIs" dxfId="12918" priority="2257" operator="lessThan">
      <formula>0.8</formula>
    </cfRule>
    <cfRule type="cellIs" dxfId="12917" priority="2258" operator="greaterThan">
      <formula>1</formula>
    </cfRule>
  </conditionalFormatting>
  <conditionalFormatting sqref="R148:R153">
    <cfRule type="cellIs" dxfId="12916" priority="2255" operator="greaterThan">
      <formula>1</formula>
    </cfRule>
    <cfRule type="cellIs" dxfId="12915" priority="2256" operator="lessThan">
      <formula>0.8</formula>
    </cfRule>
  </conditionalFormatting>
  <conditionalFormatting sqref="P148:P153">
    <cfRule type="cellIs" dxfId="12914" priority="2254" operator="greaterThan">
      <formula>0</formula>
    </cfRule>
  </conditionalFormatting>
  <conditionalFormatting sqref="Q148:Q153">
    <cfRule type="cellIs" dxfId="12913" priority="2253" operator="lessThan">
      <formula>0</formula>
    </cfRule>
  </conditionalFormatting>
  <conditionalFormatting sqref="R148:R153">
    <cfRule type="cellIs" dxfId="12912" priority="2251" operator="lessThan">
      <formula>0.8</formula>
    </cfRule>
    <cfRule type="cellIs" dxfId="12911" priority="2252" operator="greaterThan">
      <formula>1</formula>
    </cfRule>
  </conditionalFormatting>
  <conditionalFormatting sqref="R148:R153">
    <cfRule type="cellIs" dxfId="12910" priority="2249" operator="greaterThan">
      <formula>1</formula>
    </cfRule>
    <cfRule type="cellIs" dxfId="12909" priority="2250" operator="lessThan">
      <formula>0.8</formula>
    </cfRule>
  </conditionalFormatting>
  <conditionalFormatting sqref="P148:P153">
    <cfRule type="cellIs" dxfId="12908" priority="2248" operator="greaterThan">
      <formula>0</formula>
    </cfRule>
  </conditionalFormatting>
  <conditionalFormatting sqref="Q148:Q153">
    <cfRule type="cellIs" dxfId="12907" priority="2247" operator="lessThan">
      <formula>0</formula>
    </cfRule>
  </conditionalFormatting>
  <conditionalFormatting sqref="R148:R153">
    <cfRule type="cellIs" dxfId="12906" priority="2245" operator="lessThan">
      <formula>0.8</formula>
    </cfRule>
    <cfRule type="cellIs" dxfId="12905" priority="2246" operator="greaterThan">
      <formula>1</formula>
    </cfRule>
  </conditionalFormatting>
  <conditionalFormatting sqref="R148:R153">
    <cfRule type="cellIs" dxfId="12904" priority="2243" operator="greaterThan">
      <formula>1</formula>
    </cfRule>
    <cfRule type="cellIs" dxfId="12903" priority="2244" operator="lessThan">
      <formula>0.8</formula>
    </cfRule>
  </conditionalFormatting>
  <conditionalFormatting sqref="P148:P153">
    <cfRule type="cellIs" dxfId="12902" priority="2242" operator="greaterThan">
      <formula>0</formula>
    </cfRule>
  </conditionalFormatting>
  <conditionalFormatting sqref="P148:P153">
    <cfRule type="cellIs" dxfId="12901" priority="2236" operator="greaterThan">
      <formula>0</formula>
    </cfRule>
  </conditionalFormatting>
  <conditionalFormatting sqref="Q148:Q153">
    <cfRule type="cellIs" dxfId="12900" priority="2241" operator="lessThan">
      <formula>0</formula>
    </cfRule>
  </conditionalFormatting>
  <conditionalFormatting sqref="R148:R153">
    <cfRule type="cellIs" dxfId="12899" priority="2239" operator="lessThan">
      <formula>0.8</formula>
    </cfRule>
    <cfRule type="cellIs" dxfId="12898" priority="2240" operator="greaterThan">
      <formula>1</formula>
    </cfRule>
  </conditionalFormatting>
  <conditionalFormatting sqref="R148:R153">
    <cfRule type="cellIs" dxfId="12897" priority="2237" operator="greaterThan">
      <formula>1</formula>
    </cfRule>
    <cfRule type="cellIs" dxfId="12896" priority="2238" operator="lessThan">
      <formula>0.8</formula>
    </cfRule>
  </conditionalFormatting>
  <conditionalFormatting sqref="P148:P153">
    <cfRule type="cellIs" dxfId="12895" priority="2230" operator="greaterThan">
      <formula>0</formula>
    </cfRule>
  </conditionalFormatting>
  <conditionalFormatting sqref="Q148:Q153">
    <cfRule type="cellIs" dxfId="12894" priority="2235" operator="lessThan">
      <formula>0</formula>
    </cfRule>
  </conditionalFormatting>
  <conditionalFormatting sqref="R148:R153">
    <cfRule type="cellIs" dxfId="12893" priority="2233" operator="lessThan">
      <formula>0.8</formula>
    </cfRule>
    <cfRule type="cellIs" dxfId="12892" priority="2234" operator="greaterThan">
      <formula>1</formula>
    </cfRule>
  </conditionalFormatting>
  <conditionalFormatting sqref="R148:R153">
    <cfRule type="cellIs" dxfId="12891" priority="2231" operator="greaterThan">
      <formula>1</formula>
    </cfRule>
    <cfRule type="cellIs" dxfId="12890" priority="2232" operator="lessThan">
      <formula>0.8</formula>
    </cfRule>
  </conditionalFormatting>
  <conditionalFormatting sqref="R148:R153">
    <cfRule type="cellIs" dxfId="12889" priority="2227" operator="lessThan">
      <formula>0.8</formula>
    </cfRule>
    <cfRule type="cellIs" dxfId="12888" priority="2228" operator="greaterThan">
      <formula>1</formula>
    </cfRule>
  </conditionalFormatting>
  <conditionalFormatting sqref="R148:R153">
    <cfRule type="cellIs" dxfId="12887" priority="2225" operator="greaterThan">
      <formula>1</formula>
    </cfRule>
    <cfRule type="cellIs" dxfId="12886" priority="2226" operator="lessThan">
      <formula>0.8</formula>
    </cfRule>
  </conditionalFormatting>
  <conditionalFormatting sqref="P148:P153">
    <cfRule type="cellIs" dxfId="12885" priority="2224" operator="greaterThan">
      <formula>0</formula>
    </cfRule>
  </conditionalFormatting>
  <conditionalFormatting sqref="Q148:Q153">
    <cfRule type="cellIs" dxfId="12884" priority="2229" operator="lessThan">
      <formula>0</formula>
    </cfRule>
  </conditionalFormatting>
  <conditionalFormatting sqref="Q148:Q153">
    <cfRule type="cellIs" dxfId="12883" priority="2223" operator="lessThan">
      <formula>0</formula>
    </cfRule>
  </conditionalFormatting>
  <conditionalFormatting sqref="R148:R153">
    <cfRule type="cellIs" dxfId="12882" priority="2221" operator="lessThan">
      <formula>0.8</formula>
    </cfRule>
    <cfRule type="cellIs" dxfId="12881" priority="2222" operator="greaterThan">
      <formula>1</formula>
    </cfRule>
  </conditionalFormatting>
  <conditionalFormatting sqref="R148:R153">
    <cfRule type="cellIs" dxfId="12880" priority="2219" operator="greaterThan">
      <formula>1</formula>
    </cfRule>
    <cfRule type="cellIs" dxfId="12879" priority="2220" operator="lessThan">
      <formula>0.8</formula>
    </cfRule>
  </conditionalFormatting>
  <conditionalFormatting sqref="P148:P153">
    <cfRule type="cellIs" dxfId="12878" priority="2218" operator="greaterThan">
      <formula>0</formula>
    </cfRule>
  </conditionalFormatting>
  <conditionalFormatting sqref="P148:P153">
    <cfRule type="cellIs" dxfId="12877" priority="2212" operator="greaterThan">
      <formula>0</formula>
    </cfRule>
  </conditionalFormatting>
  <conditionalFormatting sqref="Q148:Q153">
    <cfRule type="cellIs" dxfId="12876" priority="2217" operator="lessThan">
      <formula>0</formula>
    </cfRule>
  </conditionalFormatting>
  <conditionalFormatting sqref="R148:R153">
    <cfRule type="cellIs" dxfId="12875" priority="2215" operator="lessThan">
      <formula>0.8</formula>
    </cfRule>
    <cfRule type="cellIs" dxfId="12874" priority="2216" operator="greaterThan">
      <formula>1</formula>
    </cfRule>
  </conditionalFormatting>
  <conditionalFormatting sqref="R148:R153">
    <cfRule type="cellIs" dxfId="12873" priority="2213" operator="greaterThan">
      <formula>1</formula>
    </cfRule>
    <cfRule type="cellIs" dxfId="12872" priority="2214" operator="lessThan">
      <formula>0.8</formula>
    </cfRule>
  </conditionalFormatting>
  <conditionalFormatting sqref="P148:P153">
    <cfRule type="cellIs" dxfId="12871" priority="2206" operator="greaterThan">
      <formula>0</formula>
    </cfRule>
  </conditionalFormatting>
  <conditionalFormatting sqref="Q148:Q153">
    <cfRule type="cellIs" dxfId="12870" priority="2211" operator="lessThan">
      <formula>0</formula>
    </cfRule>
  </conditionalFormatting>
  <conditionalFormatting sqref="R148:R153">
    <cfRule type="cellIs" dxfId="12869" priority="2209" operator="lessThan">
      <formula>0.8</formula>
    </cfRule>
    <cfRule type="cellIs" dxfId="12868" priority="2210" operator="greaterThan">
      <formula>1</formula>
    </cfRule>
  </conditionalFormatting>
  <conditionalFormatting sqref="R148:R153">
    <cfRule type="cellIs" dxfId="12867" priority="2207" operator="greaterThan">
      <formula>1</formula>
    </cfRule>
    <cfRule type="cellIs" dxfId="12866" priority="2208" operator="lessThan">
      <formula>0.8</formula>
    </cfRule>
  </conditionalFormatting>
  <conditionalFormatting sqref="R148:R153">
    <cfRule type="cellIs" dxfId="12865" priority="2203" operator="lessThan">
      <formula>0.8</formula>
    </cfRule>
    <cfRule type="cellIs" dxfId="12864" priority="2204" operator="greaterThan">
      <formula>1</formula>
    </cfRule>
  </conditionalFormatting>
  <conditionalFormatting sqref="R148:R153">
    <cfRule type="cellIs" dxfId="12863" priority="2201" operator="greaterThan">
      <formula>1</formula>
    </cfRule>
    <cfRule type="cellIs" dxfId="12862" priority="2202" operator="lessThan">
      <formula>0.8</formula>
    </cfRule>
  </conditionalFormatting>
  <conditionalFormatting sqref="P148:P153">
    <cfRule type="cellIs" dxfId="12861" priority="2200" operator="greaterThan">
      <formula>0</formula>
    </cfRule>
  </conditionalFormatting>
  <conditionalFormatting sqref="Q148:Q153">
    <cfRule type="cellIs" dxfId="12860" priority="2205" operator="lessThan">
      <formula>0</formula>
    </cfRule>
  </conditionalFormatting>
  <conditionalFormatting sqref="P148:P153">
    <cfRule type="cellIs" dxfId="12859" priority="2194" operator="greaterThan">
      <formula>0</formula>
    </cfRule>
  </conditionalFormatting>
  <conditionalFormatting sqref="Q148:Q153">
    <cfRule type="cellIs" dxfId="12858" priority="2199" operator="lessThan">
      <formula>0</formula>
    </cfRule>
  </conditionalFormatting>
  <conditionalFormatting sqref="R148:R153">
    <cfRule type="cellIs" dxfId="12857" priority="2197" operator="lessThan">
      <formula>0.8</formula>
    </cfRule>
    <cfRule type="cellIs" dxfId="12856" priority="2198" operator="greaterThan">
      <formula>1</formula>
    </cfRule>
  </conditionalFormatting>
  <conditionalFormatting sqref="R148:R153">
    <cfRule type="cellIs" dxfId="12855" priority="2195" operator="greaterThan">
      <formula>1</formula>
    </cfRule>
    <cfRule type="cellIs" dxfId="12854" priority="2196" operator="lessThan">
      <formula>0.8</formula>
    </cfRule>
  </conditionalFormatting>
  <conditionalFormatting sqref="R148:R153">
    <cfRule type="cellIs" dxfId="12853" priority="2191" operator="lessThan">
      <formula>0.8</formula>
    </cfRule>
    <cfRule type="cellIs" dxfId="12852" priority="2192" operator="greaterThan">
      <formula>1</formula>
    </cfRule>
  </conditionalFormatting>
  <conditionalFormatting sqref="R148:R153">
    <cfRule type="cellIs" dxfId="12851" priority="2189" operator="greaterThan">
      <formula>1</formula>
    </cfRule>
    <cfRule type="cellIs" dxfId="12850" priority="2190" operator="lessThan">
      <formula>0.8</formula>
    </cfRule>
  </conditionalFormatting>
  <conditionalFormatting sqref="P148:P153">
    <cfRule type="cellIs" dxfId="12849" priority="2188" operator="greaterThan">
      <formula>0</formula>
    </cfRule>
  </conditionalFormatting>
  <conditionalFormatting sqref="Q148:Q153">
    <cfRule type="cellIs" dxfId="12848" priority="2193" operator="lessThan">
      <formula>0</formula>
    </cfRule>
  </conditionalFormatting>
  <conditionalFormatting sqref="R148:R153">
    <cfRule type="cellIs" dxfId="12847" priority="2185" operator="lessThan">
      <formula>0.8</formula>
    </cfRule>
    <cfRule type="cellIs" dxfId="12846" priority="2186" operator="greaterThan">
      <formula>1</formula>
    </cfRule>
  </conditionalFormatting>
  <conditionalFormatting sqref="R148:R153">
    <cfRule type="cellIs" dxfId="12845" priority="2183" operator="greaterThan">
      <formula>1</formula>
    </cfRule>
    <cfRule type="cellIs" dxfId="12844" priority="2184" operator="lessThan">
      <formula>0.8</formula>
    </cfRule>
  </conditionalFormatting>
  <conditionalFormatting sqref="P148:P153">
    <cfRule type="cellIs" dxfId="12843" priority="2182" operator="greaterThan">
      <formula>0</formula>
    </cfRule>
  </conditionalFormatting>
  <conditionalFormatting sqref="Q148:Q153">
    <cfRule type="cellIs" dxfId="12842" priority="2187" operator="lessThan">
      <formula>0</formula>
    </cfRule>
  </conditionalFormatting>
  <conditionalFormatting sqref="Q148:Q153">
    <cfRule type="cellIs" dxfId="12841" priority="2181" operator="lessThan">
      <formula>0</formula>
    </cfRule>
  </conditionalFormatting>
  <conditionalFormatting sqref="R148:R153">
    <cfRule type="cellIs" dxfId="12840" priority="2179" operator="lessThan">
      <formula>0.8</formula>
    </cfRule>
    <cfRule type="cellIs" dxfId="12839" priority="2180" operator="greaterThan">
      <formula>1</formula>
    </cfRule>
  </conditionalFormatting>
  <conditionalFormatting sqref="R148:R153">
    <cfRule type="cellIs" dxfId="12838" priority="2177" operator="greaterThan">
      <formula>1</formula>
    </cfRule>
    <cfRule type="cellIs" dxfId="12837" priority="2178" operator="lessThan">
      <formula>0.8</formula>
    </cfRule>
  </conditionalFormatting>
  <conditionalFormatting sqref="P148:P153">
    <cfRule type="cellIs" dxfId="12836" priority="2176" operator="greaterThan">
      <formula>0</formula>
    </cfRule>
  </conditionalFormatting>
  <conditionalFormatting sqref="Q148:Q153">
    <cfRule type="cellIs" dxfId="12835" priority="2170" operator="lessThan">
      <formula>0</formula>
    </cfRule>
  </conditionalFormatting>
  <conditionalFormatting sqref="R148:R153">
    <cfRule type="cellIs" dxfId="12834" priority="2174" operator="lessThan">
      <formula>0.8</formula>
    </cfRule>
    <cfRule type="cellIs" dxfId="12833" priority="2175" operator="greaterThan">
      <formula>1</formula>
    </cfRule>
  </conditionalFormatting>
  <conditionalFormatting sqref="R148:R153">
    <cfRule type="cellIs" dxfId="12832" priority="2172" operator="greaterThan">
      <formula>1</formula>
    </cfRule>
    <cfRule type="cellIs" dxfId="12831" priority="2173" operator="lessThan">
      <formula>0.8</formula>
    </cfRule>
  </conditionalFormatting>
  <conditionalFormatting sqref="P148:P153">
    <cfRule type="cellIs" dxfId="12830" priority="2171" operator="greaterThan">
      <formula>0</formula>
    </cfRule>
  </conditionalFormatting>
  <conditionalFormatting sqref="Q148:Q153">
    <cfRule type="cellIs" dxfId="12829" priority="2169" operator="lessThan">
      <formula>0</formula>
    </cfRule>
  </conditionalFormatting>
  <conditionalFormatting sqref="R148:R153">
    <cfRule type="cellIs" dxfId="12828" priority="2167" operator="lessThan">
      <formula>0.8</formula>
    </cfRule>
    <cfRule type="cellIs" dxfId="12827" priority="2168" operator="greaterThan">
      <formula>1</formula>
    </cfRule>
  </conditionalFormatting>
  <conditionalFormatting sqref="R148:R153">
    <cfRule type="cellIs" dxfId="12826" priority="2165" operator="greaterThan">
      <formula>1</formula>
    </cfRule>
    <cfRule type="cellIs" dxfId="12825" priority="2166" operator="lessThan">
      <formula>0.8</formula>
    </cfRule>
  </conditionalFormatting>
  <conditionalFormatting sqref="P148:P153">
    <cfRule type="cellIs" dxfId="12824" priority="2164" operator="greaterThan">
      <formula>0</formula>
    </cfRule>
  </conditionalFormatting>
  <conditionalFormatting sqref="Q148:Q153">
    <cfRule type="cellIs" dxfId="12823" priority="2163" operator="lessThan">
      <formula>0</formula>
    </cfRule>
  </conditionalFormatting>
  <conditionalFormatting sqref="R148:R153">
    <cfRule type="cellIs" dxfId="12822" priority="2161" operator="lessThan">
      <formula>0.8</formula>
    </cfRule>
    <cfRule type="cellIs" dxfId="12821" priority="2162" operator="greaterThan">
      <formula>1</formula>
    </cfRule>
  </conditionalFormatting>
  <conditionalFormatting sqref="R148:R153">
    <cfRule type="cellIs" dxfId="12820" priority="2159" operator="greaterThan">
      <formula>1</formula>
    </cfRule>
    <cfRule type="cellIs" dxfId="12819" priority="2160" operator="lessThan">
      <formula>0.8</formula>
    </cfRule>
  </conditionalFormatting>
  <conditionalFormatting sqref="P148:P153">
    <cfRule type="cellIs" dxfId="12818" priority="2158" operator="greaterThan">
      <formula>0</formula>
    </cfRule>
  </conditionalFormatting>
  <conditionalFormatting sqref="Q148:Q153">
    <cfRule type="cellIs" dxfId="12817" priority="2157" operator="lessThan">
      <formula>0</formula>
    </cfRule>
  </conditionalFormatting>
  <conditionalFormatting sqref="R148:R153">
    <cfRule type="cellIs" dxfId="12816" priority="2155" operator="lessThan">
      <formula>0.8</formula>
    </cfRule>
    <cfRule type="cellIs" dxfId="12815" priority="2156" operator="greaterThan">
      <formula>1</formula>
    </cfRule>
  </conditionalFormatting>
  <conditionalFormatting sqref="R148:R153">
    <cfRule type="cellIs" dxfId="12814" priority="2153" operator="greaterThan">
      <formula>1</formula>
    </cfRule>
    <cfRule type="cellIs" dxfId="12813" priority="2154" operator="lessThan">
      <formula>0.8</formula>
    </cfRule>
  </conditionalFormatting>
  <conditionalFormatting sqref="P148:P153">
    <cfRule type="cellIs" dxfId="12812" priority="2152" operator="greaterThan">
      <formula>0</formula>
    </cfRule>
  </conditionalFormatting>
  <conditionalFormatting sqref="Q148:Q153">
    <cfRule type="cellIs" dxfId="12811" priority="2151" operator="lessThan">
      <formula>0</formula>
    </cfRule>
  </conditionalFormatting>
  <conditionalFormatting sqref="R148:R153">
    <cfRule type="cellIs" dxfId="12810" priority="2149" operator="lessThan">
      <formula>0.8</formula>
    </cfRule>
    <cfRule type="cellIs" dxfId="12809" priority="2150" operator="greaterThan">
      <formula>1</formula>
    </cfRule>
  </conditionalFormatting>
  <conditionalFormatting sqref="R148:R153">
    <cfRule type="cellIs" dxfId="12808" priority="2147" operator="greaterThan">
      <formula>1</formula>
    </cfRule>
    <cfRule type="cellIs" dxfId="12807" priority="2148" operator="lessThan">
      <formula>0.8</formula>
    </cfRule>
  </conditionalFormatting>
  <conditionalFormatting sqref="P148:P153">
    <cfRule type="cellIs" dxfId="12806" priority="2146" operator="greaterThan">
      <formula>0</formula>
    </cfRule>
  </conditionalFormatting>
  <conditionalFormatting sqref="Q148:Q153">
    <cfRule type="cellIs" dxfId="12805" priority="2145" operator="lessThan">
      <formula>0</formula>
    </cfRule>
  </conditionalFormatting>
  <conditionalFormatting sqref="R148:R153">
    <cfRule type="cellIs" dxfId="12804" priority="2143" operator="lessThan">
      <formula>0.8</formula>
    </cfRule>
    <cfRule type="cellIs" dxfId="12803" priority="2144" operator="greaterThan">
      <formula>1</formula>
    </cfRule>
  </conditionalFormatting>
  <conditionalFormatting sqref="R148:R153">
    <cfRule type="cellIs" dxfId="12802" priority="2141" operator="greaterThan">
      <formula>1</formula>
    </cfRule>
    <cfRule type="cellIs" dxfId="12801" priority="2142" operator="lessThan">
      <formula>0.8</formula>
    </cfRule>
  </conditionalFormatting>
  <conditionalFormatting sqref="P148:P153">
    <cfRule type="cellIs" dxfId="12800" priority="2140" operator="greaterThan">
      <formula>0</formula>
    </cfRule>
  </conditionalFormatting>
  <conditionalFormatting sqref="P148:P153">
    <cfRule type="cellIs" dxfId="12799" priority="2134" operator="greaterThan">
      <formula>0</formula>
    </cfRule>
  </conditionalFormatting>
  <conditionalFormatting sqref="Q148:Q153">
    <cfRule type="cellIs" dxfId="12798" priority="2139" operator="lessThan">
      <formula>0</formula>
    </cfRule>
  </conditionalFormatting>
  <conditionalFormatting sqref="R148:R153">
    <cfRule type="cellIs" dxfId="12797" priority="2137" operator="lessThan">
      <formula>0.8</formula>
    </cfRule>
    <cfRule type="cellIs" dxfId="12796" priority="2138" operator="greaterThan">
      <formula>1</formula>
    </cfRule>
  </conditionalFormatting>
  <conditionalFormatting sqref="R148:R153">
    <cfRule type="cellIs" dxfId="12795" priority="2135" operator="greaterThan">
      <formula>1</formula>
    </cfRule>
    <cfRule type="cellIs" dxfId="12794" priority="2136" operator="lessThan">
      <formula>0.8</formula>
    </cfRule>
  </conditionalFormatting>
  <conditionalFormatting sqref="P148:P153">
    <cfRule type="cellIs" dxfId="12793" priority="2128" operator="greaterThan">
      <formula>0</formula>
    </cfRule>
  </conditionalFormatting>
  <conditionalFormatting sqref="Q148:Q153">
    <cfRule type="cellIs" dxfId="12792" priority="2133" operator="lessThan">
      <formula>0</formula>
    </cfRule>
  </conditionalFormatting>
  <conditionalFormatting sqref="R148:R153">
    <cfRule type="cellIs" dxfId="12791" priority="2131" operator="lessThan">
      <formula>0.8</formula>
    </cfRule>
    <cfRule type="cellIs" dxfId="12790" priority="2132" operator="greaterThan">
      <formula>1</formula>
    </cfRule>
  </conditionalFormatting>
  <conditionalFormatting sqref="R148:R153">
    <cfRule type="cellIs" dxfId="12789" priority="2129" operator="greaterThan">
      <formula>1</formula>
    </cfRule>
    <cfRule type="cellIs" dxfId="12788" priority="2130" operator="lessThan">
      <formula>0.8</formula>
    </cfRule>
  </conditionalFormatting>
  <conditionalFormatting sqref="R148:R153">
    <cfRule type="cellIs" dxfId="12787" priority="2125" operator="lessThan">
      <formula>0.8</formula>
    </cfRule>
    <cfRule type="cellIs" dxfId="12786" priority="2126" operator="greaterThan">
      <formula>1</formula>
    </cfRule>
  </conditionalFormatting>
  <conditionalFormatting sqref="R148:R153">
    <cfRule type="cellIs" dxfId="12785" priority="2123" operator="greaterThan">
      <formula>1</formula>
    </cfRule>
    <cfRule type="cellIs" dxfId="12784" priority="2124" operator="lessThan">
      <formula>0.8</formula>
    </cfRule>
  </conditionalFormatting>
  <conditionalFormatting sqref="P148:P153">
    <cfRule type="cellIs" dxfId="12783" priority="2122" operator="greaterThan">
      <formula>0</formula>
    </cfRule>
  </conditionalFormatting>
  <conditionalFormatting sqref="Q148:Q153">
    <cfRule type="cellIs" dxfId="12782" priority="2127" operator="lessThan">
      <formula>0</formula>
    </cfRule>
  </conditionalFormatting>
  <conditionalFormatting sqref="Q148:Q153">
    <cfRule type="cellIs" dxfId="12781" priority="2116" operator="lessThan">
      <formula>0</formula>
    </cfRule>
  </conditionalFormatting>
  <conditionalFormatting sqref="P148:P153">
    <cfRule type="cellIs" dxfId="12780" priority="2117" operator="greaterThan">
      <formula>0</formula>
    </cfRule>
  </conditionalFormatting>
  <conditionalFormatting sqref="R148:R153">
    <cfRule type="cellIs" dxfId="12779" priority="2120" operator="lessThan">
      <formula>0.8</formula>
    </cfRule>
    <cfRule type="cellIs" dxfId="12778" priority="2121" operator="greaterThan">
      <formula>1</formula>
    </cfRule>
  </conditionalFormatting>
  <conditionalFormatting sqref="R148:R153">
    <cfRule type="cellIs" dxfId="12777" priority="2118" operator="greaterThan">
      <formula>1</formula>
    </cfRule>
    <cfRule type="cellIs" dxfId="12776" priority="2119" operator="lessThan">
      <formula>0.8</formula>
    </cfRule>
  </conditionalFormatting>
  <conditionalFormatting sqref="Q148:Q153">
    <cfRule type="cellIs" dxfId="12775" priority="2110" operator="lessThan">
      <formula>0</formula>
    </cfRule>
  </conditionalFormatting>
  <conditionalFormatting sqref="R148:R153">
    <cfRule type="cellIs" dxfId="12774" priority="2114" operator="lessThan">
      <formula>0.8</formula>
    </cfRule>
    <cfRule type="cellIs" dxfId="12773" priority="2115" operator="greaterThan">
      <formula>1</formula>
    </cfRule>
  </conditionalFormatting>
  <conditionalFormatting sqref="R148:R153">
    <cfRule type="cellIs" dxfId="12772" priority="2112" operator="greaterThan">
      <formula>1</formula>
    </cfRule>
    <cfRule type="cellIs" dxfId="12771" priority="2113" operator="lessThan">
      <formula>0.8</formula>
    </cfRule>
  </conditionalFormatting>
  <conditionalFormatting sqref="P148:P153">
    <cfRule type="cellIs" dxfId="12770" priority="2111" operator="greaterThan">
      <formula>0</formula>
    </cfRule>
  </conditionalFormatting>
  <conditionalFormatting sqref="Q148:Q153">
    <cfRule type="cellIs" dxfId="12769" priority="2109" operator="lessThan">
      <formula>0</formula>
    </cfRule>
  </conditionalFormatting>
  <conditionalFormatting sqref="R148:R153">
    <cfRule type="cellIs" dxfId="12768" priority="2107" operator="lessThan">
      <formula>0.8</formula>
    </cfRule>
    <cfRule type="cellIs" dxfId="12767" priority="2108" operator="greaterThan">
      <formula>1</formula>
    </cfRule>
  </conditionalFormatting>
  <conditionalFormatting sqref="R148:R153">
    <cfRule type="cellIs" dxfId="12766" priority="2105" operator="greaterThan">
      <formula>1</formula>
    </cfRule>
    <cfRule type="cellIs" dxfId="12765" priority="2106" operator="lessThan">
      <formula>0.8</formula>
    </cfRule>
  </conditionalFormatting>
  <conditionalFormatting sqref="P148:P153">
    <cfRule type="cellIs" dxfId="12764" priority="2104" operator="greaterThan">
      <formula>0</formula>
    </cfRule>
  </conditionalFormatting>
  <conditionalFormatting sqref="Q148:Q153">
    <cfRule type="cellIs" dxfId="12763" priority="2103" operator="lessThan">
      <formula>0</formula>
    </cfRule>
  </conditionalFormatting>
  <conditionalFormatting sqref="R148:R153">
    <cfRule type="cellIs" dxfId="12762" priority="2101" operator="lessThan">
      <formula>0.8</formula>
    </cfRule>
    <cfRule type="cellIs" dxfId="12761" priority="2102" operator="greaterThan">
      <formula>1</formula>
    </cfRule>
  </conditionalFormatting>
  <conditionalFormatting sqref="R148:R153">
    <cfRule type="cellIs" dxfId="12760" priority="2099" operator="greaterThan">
      <formula>1</formula>
    </cfRule>
    <cfRule type="cellIs" dxfId="12759" priority="2100" operator="lessThan">
      <formula>0.8</formula>
    </cfRule>
  </conditionalFormatting>
  <conditionalFormatting sqref="P148:P153">
    <cfRule type="cellIs" dxfId="12758" priority="2098" operator="greaterThan">
      <formula>0</formula>
    </cfRule>
  </conditionalFormatting>
  <conditionalFormatting sqref="Q148:Q153">
    <cfRule type="cellIs" dxfId="12757" priority="2097" operator="lessThan">
      <formula>0</formula>
    </cfRule>
  </conditionalFormatting>
  <conditionalFormatting sqref="R148:R153">
    <cfRule type="cellIs" dxfId="12756" priority="2095" operator="lessThan">
      <formula>0.8</formula>
    </cfRule>
    <cfRule type="cellIs" dxfId="12755" priority="2096" operator="greaterThan">
      <formula>1</formula>
    </cfRule>
  </conditionalFormatting>
  <conditionalFormatting sqref="R148:R153">
    <cfRule type="cellIs" dxfId="12754" priority="2093" operator="greaterThan">
      <formula>1</formula>
    </cfRule>
    <cfRule type="cellIs" dxfId="12753" priority="2094" operator="lessThan">
      <formula>0.8</formula>
    </cfRule>
  </conditionalFormatting>
  <conditionalFormatting sqref="P148:P153">
    <cfRule type="cellIs" dxfId="12752" priority="2092" operator="greaterThan">
      <formula>0</formula>
    </cfRule>
  </conditionalFormatting>
  <conditionalFormatting sqref="Q148:Q153">
    <cfRule type="cellIs" dxfId="12751" priority="2091" operator="lessThan">
      <formula>0</formula>
    </cfRule>
  </conditionalFormatting>
  <conditionalFormatting sqref="R148:R153">
    <cfRule type="cellIs" dxfId="12750" priority="2089" operator="lessThan">
      <formula>0.8</formula>
    </cfRule>
    <cfRule type="cellIs" dxfId="12749" priority="2090" operator="greaterThan">
      <formula>1</formula>
    </cfRule>
  </conditionalFormatting>
  <conditionalFormatting sqref="R148:R153">
    <cfRule type="cellIs" dxfId="12748" priority="2087" operator="greaterThan">
      <formula>1</formula>
    </cfRule>
    <cfRule type="cellIs" dxfId="12747" priority="2088" operator="lessThan">
      <formula>0.8</formula>
    </cfRule>
  </conditionalFormatting>
  <conditionalFormatting sqref="P148:P153">
    <cfRule type="cellIs" dxfId="12746" priority="2086" operator="greaterThan">
      <formula>0</formula>
    </cfRule>
  </conditionalFormatting>
  <conditionalFormatting sqref="Q124 Q127 Q131">
    <cfRule type="cellIs" dxfId="12745" priority="2080" operator="lessThan">
      <formula>0</formula>
    </cfRule>
  </conditionalFormatting>
  <conditionalFormatting sqref="P124 P127 P131">
    <cfRule type="cellIs" dxfId="12744" priority="2081" operator="greaterThan">
      <formula>0</formula>
    </cfRule>
  </conditionalFormatting>
  <conditionalFormatting sqref="R124 R127 R131">
    <cfRule type="cellIs" dxfId="12743" priority="2084" operator="lessThan">
      <formula>0.8</formula>
    </cfRule>
    <cfRule type="cellIs" dxfId="12742" priority="2085" operator="greaterThan">
      <formula>1</formula>
    </cfRule>
  </conditionalFormatting>
  <conditionalFormatting sqref="R124 R127 R131">
    <cfRule type="cellIs" dxfId="12741" priority="2082" operator="greaterThan">
      <formula>1</formula>
    </cfRule>
    <cfRule type="cellIs" dxfId="12740" priority="2083" operator="lessThan">
      <formula>0.8</formula>
    </cfRule>
  </conditionalFormatting>
  <conditionalFormatting sqref="Q124 Q127 Q131">
    <cfRule type="cellIs" dxfId="12739" priority="2074" operator="lessThan">
      <formula>0</formula>
    </cfRule>
  </conditionalFormatting>
  <conditionalFormatting sqref="R124 R127 R131">
    <cfRule type="cellIs" dxfId="12738" priority="2078" operator="lessThan">
      <formula>0.8</formula>
    </cfRule>
    <cfRule type="cellIs" dxfId="12737" priority="2079" operator="greaterThan">
      <formula>1</formula>
    </cfRule>
  </conditionalFormatting>
  <conditionalFormatting sqref="R124 R127 R131">
    <cfRule type="cellIs" dxfId="12736" priority="2076" operator="greaterThan">
      <formula>1</formula>
    </cfRule>
    <cfRule type="cellIs" dxfId="12735" priority="2077" operator="lessThan">
      <formula>0.8</formula>
    </cfRule>
  </conditionalFormatting>
  <conditionalFormatting sqref="P124 P127 P131">
    <cfRule type="cellIs" dxfId="12734" priority="2075" operator="greaterThan">
      <formula>0</formula>
    </cfRule>
  </conditionalFormatting>
  <conditionalFormatting sqref="Q124 Q127 Q131">
    <cfRule type="cellIs" dxfId="12733" priority="2073" operator="lessThan">
      <formula>0</formula>
    </cfRule>
  </conditionalFormatting>
  <conditionalFormatting sqref="R124 R127 R131">
    <cfRule type="cellIs" dxfId="12732" priority="2071" operator="lessThan">
      <formula>0.8</formula>
    </cfRule>
    <cfRule type="cellIs" dxfId="12731" priority="2072" operator="greaterThan">
      <formula>1</formula>
    </cfRule>
  </conditionalFormatting>
  <conditionalFormatting sqref="R124 R127 R131">
    <cfRule type="cellIs" dxfId="12730" priority="2069" operator="greaterThan">
      <formula>1</formula>
    </cfRule>
    <cfRule type="cellIs" dxfId="12729" priority="2070" operator="lessThan">
      <formula>0.8</formula>
    </cfRule>
  </conditionalFormatting>
  <conditionalFormatting sqref="P124 P127 P131">
    <cfRule type="cellIs" dxfId="12728" priority="2068" operator="greaterThan">
      <formula>0</formula>
    </cfRule>
  </conditionalFormatting>
  <conditionalFormatting sqref="Q124 Q127 Q131">
    <cfRule type="cellIs" dxfId="12727" priority="2067" operator="lessThan">
      <formula>0</formula>
    </cfRule>
  </conditionalFormatting>
  <conditionalFormatting sqref="R124 R127 R131">
    <cfRule type="cellIs" dxfId="12726" priority="2065" operator="lessThan">
      <formula>0.8</formula>
    </cfRule>
    <cfRule type="cellIs" dxfId="12725" priority="2066" operator="greaterThan">
      <formula>1</formula>
    </cfRule>
  </conditionalFormatting>
  <conditionalFormatting sqref="R124 R127 R131">
    <cfRule type="cellIs" dxfId="12724" priority="2063" operator="greaterThan">
      <formula>1</formula>
    </cfRule>
    <cfRule type="cellIs" dxfId="12723" priority="2064" operator="lessThan">
      <formula>0.8</formula>
    </cfRule>
  </conditionalFormatting>
  <conditionalFormatting sqref="P124 P127 P131">
    <cfRule type="cellIs" dxfId="12722" priority="2062" operator="greaterThan">
      <formula>0</formula>
    </cfRule>
  </conditionalFormatting>
  <conditionalFormatting sqref="Q124 Q127 Q131">
    <cfRule type="cellIs" dxfId="12721" priority="2061" operator="lessThan">
      <formula>0</formula>
    </cfRule>
  </conditionalFormatting>
  <conditionalFormatting sqref="R124 R127 R131">
    <cfRule type="cellIs" dxfId="12720" priority="2059" operator="lessThan">
      <formula>0.8</formula>
    </cfRule>
    <cfRule type="cellIs" dxfId="12719" priority="2060" operator="greaterThan">
      <formula>1</formula>
    </cfRule>
  </conditionalFormatting>
  <conditionalFormatting sqref="R124 R127 R131">
    <cfRule type="cellIs" dxfId="12718" priority="2057" operator="greaterThan">
      <formula>1</formula>
    </cfRule>
    <cfRule type="cellIs" dxfId="12717" priority="2058" operator="lessThan">
      <formula>0.8</formula>
    </cfRule>
  </conditionalFormatting>
  <conditionalFormatting sqref="P124 P127 P131">
    <cfRule type="cellIs" dxfId="12716" priority="2056" operator="greaterThan">
      <formula>0</formula>
    </cfRule>
  </conditionalFormatting>
  <conditionalFormatting sqref="Q124 Q127 Q131">
    <cfRule type="cellIs" dxfId="12715" priority="2055" operator="lessThan">
      <formula>0</formula>
    </cfRule>
  </conditionalFormatting>
  <conditionalFormatting sqref="R124 R127 R131">
    <cfRule type="cellIs" dxfId="12714" priority="2053" operator="lessThan">
      <formula>0.8</formula>
    </cfRule>
    <cfRule type="cellIs" dxfId="12713" priority="2054" operator="greaterThan">
      <formula>1</formula>
    </cfRule>
  </conditionalFormatting>
  <conditionalFormatting sqref="R124 R127 R131">
    <cfRule type="cellIs" dxfId="12712" priority="2051" operator="greaterThan">
      <formula>1</formula>
    </cfRule>
    <cfRule type="cellIs" dxfId="12711" priority="2052" operator="lessThan">
      <formula>0.8</formula>
    </cfRule>
  </conditionalFormatting>
  <conditionalFormatting sqref="P124 P127 P131">
    <cfRule type="cellIs" dxfId="12710" priority="2050" operator="greaterThan">
      <formula>0</formula>
    </cfRule>
  </conditionalFormatting>
  <conditionalFormatting sqref="Q124 Q127 Q131">
    <cfRule type="cellIs" dxfId="12709" priority="2049" operator="lessThan">
      <formula>0</formula>
    </cfRule>
  </conditionalFormatting>
  <conditionalFormatting sqref="R124 R127 R131">
    <cfRule type="cellIs" dxfId="12708" priority="2047" operator="lessThan">
      <formula>0.8</formula>
    </cfRule>
    <cfRule type="cellIs" dxfId="12707" priority="2048" operator="greaterThan">
      <formula>1</formula>
    </cfRule>
  </conditionalFormatting>
  <conditionalFormatting sqref="R124 R127 R131">
    <cfRule type="cellIs" dxfId="12706" priority="2045" operator="greaterThan">
      <formula>1</formula>
    </cfRule>
    <cfRule type="cellIs" dxfId="12705" priority="2046" operator="lessThan">
      <formula>0.8</formula>
    </cfRule>
  </conditionalFormatting>
  <conditionalFormatting sqref="P124 P127 P131">
    <cfRule type="cellIs" dxfId="12704" priority="2044" operator="greaterThan">
      <formula>0</formula>
    </cfRule>
  </conditionalFormatting>
  <conditionalFormatting sqref="Q124 Q127 Q131">
    <cfRule type="cellIs" dxfId="12703" priority="2043" operator="lessThan">
      <formula>0</formula>
    </cfRule>
  </conditionalFormatting>
  <conditionalFormatting sqref="R124 R127 R131">
    <cfRule type="cellIs" dxfId="12702" priority="2041" operator="lessThan">
      <formula>0.8</formula>
    </cfRule>
    <cfRule type="cellIs" dxfId="12701" priority="2042" operator="greaterThan">
      <formula>1</formula>
    </cfRule>
  </conditionalFormatting>
  <conditionalFormatting sqref="R124 R127 R131">
    <cfRule type="cellIs" dxfId="12700" priority="2039" operator="greaterThan">
      <formula>1</formula>
    </cfRule>
    <cfRule type="cellIs" dxfId="12699" priority="2040" operator="lessThan">
      <formula>0.8</formula>
    </cfRule>
  </conditionalFormatting>
  <conditionalFormatting sqref="P124 P127 P131">
    <cfRule type="cellIs" dxfId="12698" priority="2038" operator="greaterThan">
      <formula>0</formula>
    </cfRule>
  </conditionalFormatting>
  <conditionalFormatting sqref="Q124 Q127 Q131">
    <cfRule type="cellIs" dxfId="12697" priority="2037" operator="lessThan">
      <formula>0</formula>
    </cfRule>
  </conditionalFormatting>
  <conditionalFormatting sqref="R124 R127 R131">
    <cfRule type="cellIs" dxfId="12696" priority="2035" operator="lessThan">
      <formula>0.8</formula>
    </cfRule>
    <cfRule type="cellIs" dxfId="12695" priority="2036" operator="greaterThan">
      <formula>1</formula>
    </cfRule>
  </conditionalFormatting>
  <conditionalFormatting sqref="R124 R127 R131">
    <cfRule type="cellIs" dxfId="12694" priority="2033" operator="greaterThan">
      <formula>1</formula>
    </cfRule>
    <cfRule type="cellIs" dxfId="12693" priority="2034" operator="lessThan">
      <formula>0.8</formula>
    </cfRule>
  </conditionalFormatting>
  <conditionalFormatting sqref="P124 P127 P131">
    <cfRule type="cellIs" dxfId="12692" priority="2032" operator="greaterThan">
      <formula>0</formula>
    </cfRule>
  </conditionalFormatting>
  <conditionalFormatting sqref="P124 P127 P131">
    <cfRule type="cellIs" dxfId="12691" priority="2026" operator="greaterThan">
      <formula>0</formula>
    </cfRule>
  </conditionalFormatting>
  <conditionalFormatting sqref="Q124 Q127 Q131">
    <cfRule type="cellIs" dxfId="12690" priority="2031" operator="lessThan">
      <formula>0</formula>
    </cfRule>
  </conditionalFormatting>
  <conditionalFormatting sqref="R124 R127 R131">
    <cfRule type="cellIs" dxfId="12689" priority="2029" operator="lessThan">
      <formula>0.8</formula>
    </cfRule>
    <cfRule type="cellIs" dxfId="12688" priority="2030" operator="greaterThan">
      <formula>1</formula>
    </cfRule>
  </conditionalFormatting>
  <conditionalFormatting sqref="R124 R127 R131">
    <cfRule type="cellIs" dxfId="12687" priority="2027" operator="greaterThan">
      <formula>1</formula>
    </cfRule>
    <cfRule type="cellIs" dxfId="12686" priority="2028" operator="lessThan">
      <formula>0.8</formula>
    </cfRule>
  </conditionalFormatting>
  <conditionalFormatting sqref="P124 P127 P131">
    <cfRule type="cellIs" dxfId="12685" priority="2020" operator="greaterThan">
      <formula>0</formula>
    </cfRule>
  </conditionalFormatting>
  <conditionalFormatting sqref="Q124 Q127 Q131">
    <cfRule type="cellIs" dxfId="12684" priority="2025" operator="lessThan">
      <formula>0</formula>
    </cfRule>
  </conditionalFormatting>
  <conditionalFormatting sqref="R124 R127 R131">
    <cfRule type="cellIs" dxfId="12683" priority="2023" operator="lessThan">
      <formula>0.8</formula>
    </cfRule>
    <cfRule type="cellIs" dxfId="12682" priority="2024" operator="greaterThan">
      <formula>1</formula>
    </cfRule>
  </conditionalFormatting>
  <conditionalFormatting sqref="R124 R127 R131">
    <cfRule type="cellIs" dxfId="12681" priority="2021" operator="greaterThan">
      <formula>1</formula>
    </cfRule>
    <cfRule type="cellIs" dxfId="12680" priority="2022" operator="lessThan">
      <formula>0.8</formula>
    </cfRule>
  </conditionalFormatting>
  <conditionalFormatting sqref="R124 R127 R131">
    <cfRule type="cellIs" dxfId="12679" priority="2017" operator="lessThan">
      <formula>0.8</formula>
    </cfRule>
    <cfRule type="cellIs" dxfId="12678" priority="2018" operator="greaterThan">
      <formula>1</formula>
    </cfRule>
  </conditionalFormatting>
  <conditionalFormatting sqref="R124 R127 R131">
    <cfRule type="cellIs" dxfId="12677" priority="2015" operator="greaterThan">
      <formula>1</formula>
    </cfRule>
    <cfRule type="cellIs" dxfId="12676" priority="2016" operator="lessThan">
      <formula>0.8</formula>
    </cfRule>
  </conditionalFormatting>
  <conditionalFormatting sqref="P124 P127 P131">
    <cfRule type="cellIs" dxfId="12675" priority="2014" operator="greaterThan">
      <formula>0</formula>
    </cfRule>
  </conditionalFormatting>
  <conditionalFormatting sqref="Q124 Q127 Q131">
    <cfRule type="cellIs" dxfId="12674" priority="2019" operator="lessThan">
      <formula>0</formula>
    </cfRule>
  </conditionalFormatting>
  <conditionalFormatting sqref="Q124 Q127 Q131">
    <cfRule type="cellIs" dxfId="12673" priority="2013" operator="lessThan">
      <formula>0</formula>
    </cfRule>
  </conditionalFormatting>
  <conditionalFormatting sqref="R124 R127 R131">
    <cfRule type="cellIs" dxfId="12672" priority="2011" operator="lessThan">
      <formula>0.8</formula>
    </cfRule>
    <cfRule type="cellIs" dxfId="12671" priority="2012" operator="greaterThan">
      <formula>1</formula>
    </cfRule>
  </conditionalFormatting>
  <conditionalFormatting sqref="R124 R127 R131">
    <cfRule type="cellIs" dxfId="12670" priority="2009" operator="greaterThan">
      <formula>1</formula>
    </cfRule>
    <cfRule type="cellIs" dxfId="12669" priority="2010" operator="lessThan">
      <formula>0.8</formula>
    </cfRule>
  </conditionalFormatting>
  <conditionalFormatting sqref="P124 P127 P131">
    <cfRule type="cellIs" dxfId="12668" priority="2008" operator="greaterThan">
      <formula>0</formula>
    </cfRule>
  </conditionalFormatting>
  <conditionalFormatting sqref="P124 P127 P131">
    <cfRule type="cellIs" dxfId="12667" priority="2002" operator="greaterThan">
      <formula>0</formula>
    </cfRule>
  </conditionalFormatting>
  <conditionalFormatting sqref="Q124 Q127 Q131">
    <cfRule type="cellIs" dxfId="12666" priority="2007" operator="lessThan">
      <formula>0</formula>
    </cfRule>
  </conditionalFormatting>
  <conditionalFormatting sqref="R124 R127 R131">
    <cfRule type="cellIs" dxfId="12665" priority="2005" operator="lessThan">
      <formula>0.8</formula>
    </cfRule>
    <cfRule type="cellIs" dxfId="12664" priority="2006" operator="greaterThan">
      <formula>1</formula>
    </cfRule>
  </conditionalFormatting>
  <conditionalFormatting sqref="R124 R127 R131">
    <cfRule type="cellIs" dxfId="12663" priority="2003" operator="greaterThan">
      <formula>1</formula>
    </cfRule>
    <cfRule type="cellIs" dxfId="12662" priority="2004" operator="lessThan">
      <formula>0.8</formula>
    </cfRule>
  </conditionalFormatting>
  <conditionalFormatting sqref="P124 P127 P131">
    <cfRule type="cellIs" dxfId="12661" priority="1996" operator="greaterThan">
      <formula>0</formula>
    </cfRule>
  </conditionalFormatting>
  <conditionalFormatting sqref="Q124 Q127 Q131">
    <cfRule type="cellIs" dxfId="12660" priority="2001" operator="lessThan">
      <formula>0</formula>
    </cfRule>
  </conditionalFormatting>
  <conditionalFormatting sqref="R124 R127 R131">
    <cfRule type="cellIs" dxfId="12659" priority="1999" operator="lessThan">
      <formula>0.8</formula>
    </cfRule>
    <cfRule type="cellIs" dxfId="12658" priority="2000" operator="greaterThan">
      <formula>1</formula>
    </cfRule>
  </conditionalFormatting>
  <conditionalFormatting sqref="R124 R127 R131">
    <cfRule type="cellIs" dxfId="12657" priority="1997" operator="greaterThan">
      <formula>1</formula>
    </cfRule>
    <cfRule type="cellIs" dxfId="12656" priority="1998" operator="lessThan">
      <formula>0.8</formula>
    </cfRule>
  </conditionalFormatting>
  <conditionalFormatting sqref="R124 R127 R131">
    <cfRule type="cellIs" dxfId="12655" priority="1993" operator="lessThan">
      <formula>0.8</formula>
    </cfRule>
    <cfRule type="cellIs" dxfId="12654" priority="1994" operator="greaterThan">
      <formula>1</formula>
    </cfRule>
  </conditionalFormatting>
  <conditionalFormatting sqref="R124 R127 R131">
    <cfRule type="cellIs" dxfId="12653" priority="1991" operator="greaterThan">
      <formula>1</formula>
    </cfRule>
    <cfRule type="cellIs" dxfId="12652" priority="1992" operator="lessThan">
      <formula>0.8</formula>
    </cfRule>
  </conditionalFormatting>
  <conditionalFormatting sqref="P124 P127 P131">
    <cfRule type="cellIs" dxfId="12651" priority="1990" operator="greaterThan">
      <formula>0</formula>
    </cfRule>
  </conditionalFormatting>
  <conditionalFormatting sqref="Q124 Q127 Q131">
    <cfRule type="cellIs" dxfId="12650" priority="1995" operator="lessThan">
      <formula>0</formula>
    </cfRule>
  </conditionalFormatting>
  <conditionalFormatting sqref="P124 P127 P131">
    <cfRule type="cellIs" dxfId="12649" priority="1984" operator="greaterThan">
      <formula>0</formula>
    </cfRule>
  </conditionalFormatting>
  <conditionalFormatting sqref="Q124 Q127 Q131">
    <cfRule type="cellIs" dxfId="12648" priority="1989" operator="lessThan">
      <formula>0</formula>
    </cfRule>
  </conditionalFormatting>
  <conditionalFormatting sqref="R124 R127 R131">
    <cfRule type="cellIs" dxfId="12647" priority="1987" operator="lessThan">
      <formula>0.8</formula>
    </cfRule>
    <cfRule type="cellIs" dxfId="12646" priority="1988" operator="greaterThan">
      <formula>1</formula>
    </cfRule>
  </conditionalFormatting>
  <conditionalFormatting sqref="R124 R127 R131">
    <cfRule type="cellIs" dxfId="12645" priority="1985" operator="greaterThan">
      <formula>1</formula>
    </cfRule>
    <cfRule type="cellIs" dxfId="12644" priority="1986" operator="lessThan">
      <formula>0.8</formula>
    </cfRule>
  </conditionalFormatting>
  <conditionalFormatting sqref="R124 R127 R131">
    <cfRule type="cellIs" dxfId="12643" priority="1981" operator="lessThan">
      <formula>0.8</formula>
    </cfRule>
    <cfRule type="cellIs" dxfId="12642" priority="1982" operator="greaterThan">
      <formula>1</formula>
    </cfRule>
  </conditionalFormatting>
  <conditionalFormatting sqref="R124 R127 R131">
    <cfRule type="cellIs" dxfId="12641" priority="1979" operator="greaterThan">
      <formula>1</formula>
    </cfRule>
    <cfRule type="cellIs" dxfId="12640" priority="1980" operator="lessThan">
      <formula>0.8</formula>
    </cfRule>
  </conditionalFormatting>
  <conditionalFormatting sqref="P124 P127 P131">
    <cfRule type="cellIs" dxfId="12639" priority="1978" operator="greaterThan">
      <formula>0</formula>
    </cfRule>
  </conditionalFormatting>
  <conditionalFormatting sqref="Q124 Q127 Q131">
    <cfRule type="cellIs" dxfId="12638" priority="1983" operator="lessThan">
      <formula>0</formula>
    </cfRule>
  </conditionalFormatting>
  <conditionalFormatting sqref="R124 R127 R131">
    <cfRule type="cellIs" dxfId="12637" priority="1975" operator="lessThan">
      <formula>0.8</formula>
    </cfRule>
    <cfRule type="cellIs" dxfId="12636" priority="1976" operator="greaterThan">
      <formula>1</formula>
    </cfRule>
  </conditionalFormatting>
  <conditionalFormatting sqref="R124 R127 R131">
    <cfRule type="cellIs" dxfId="12635" priority="1973" operator="greaterThan">
      <formula>1</formula>
    </cfRule>
    <cfRule type="cellIs" dxfId="12634" priority="1974" operator="lessThan">
      <formula>0.8</formula>
    </cfRule>
  </conditionalFormatting>
  <conditionalFormatting sqref="P124 P127 P131">
    <cfRule type="cellIs" dxfId="12633" priority="1972" operator="greaterThan">
      <formula>0</formula>
    </cfRule>
  </conditionalFormatting>
  <conditionalFormatting sqref="Q124 Q127 Q131">
    <cfRule type="cellIs" dxfId="12632" priority="1977" operator="lessThan">
      <formula>0</formula>
    </cfRule>
  </conditionalFormatting>
  <conditionalFormatting sqref="Q124 Q127 Q131">
    <cfRule type="cellIs" dxfId="12631" priority="1971" operator="lessThan">
      <formula>0</formula>
    </cfRule>
  </conditionalFormatting>
  <conditionalFormatting sqref="R124 R127 R131">
    <cfRule type="cellIs" dxfId="12630" priority="1969" operator="lessThan">
      <formula>0.8</formula>
    </cfRule>
    <cfRule type="cellIs" dxfId="12629" priority="1970" operator="greaterThan">
      <formula>1</formula>
    </cfRule>
  </conditionalFormatting>
  <conditionalFormatting sqref="R124 R127 R131">
    <cfRule type="cellIs" dxfId="12628" priority="1967" operator="greaterThan">
      <formula>1</formula>
    </cfRule>
    <cfRule type="cellIs" dxfId="12627" priority="1968" operator="lessThan">
      <formula>0.8</formula>
    </cfRule>
  </conditionalFormatting>
  <conditionalFormatting sqref="P124 P127 P131">
    <cfRule type="cellIs" dxfId="12626" priority="1966" operator="greaterThan">
      <formula>0</formula>
    </cfRule>
  </conditionalFormatting>
  <conditionalFormatting sqref="Q124 Q127 Q131">
    <cfRule type="cellIs" dxfId="12625" priority="1960" operator="lessThan">
      <formula>0</formula>
    </cfRule>
  </conditionalFormatting>
  <conditionalFormatting sqref="R124 R127 R131">
    <cfRule type="cellIs" dxfId="12624" priority="1964" operator="lessThan">
      <formula>0.8</formula>
    </cfRule>
    <cfRule type="cellIs" dxfId="12623" priority="1965" operator="greaterThan">
      <formula>1</formula>
    </cfRule>
  </conditionalFormatting>
  <conditionalFormatting sqref="R124 R127 R131">
    <cfRule type="cellIs" dxfId="12622" priority="1962" operator="greaterThan">
      <formula>1</formula>
    </cfRule>
    <cfRule type="cellIs" dxfId="12621" priority="1963" operator="lessThan">
      <formula>0.8</formula>
    </cfRule>
  </conditionalFormatting>
  <conditionalFormatting sqref="P124 P127 P131">
    <cfRule type="cellIs" dxfId="12620" priority="1961" operator="greaterThan">
      <formula>0</formula>
    </cfRule>
  </conditionalFormatting>
  <conditionalFormatting sqref="Q124 Q127 Q131">
    <cfRule type="cellIs" dxfId="12619" priority="1959" operator="lessThan">
      <formula>0</formula>
    </cfRule>
  </conditionalFormatting>
  <conditionalFormatting sqref="R124 R127 R131">
    <cfRule type="cellIs" dxfId="12618" priority="1957" operator="lessThan">
      <formula>0.8</formula>
    </cfRule>
    <cfRule type="cellIs" dxfId="12617" priority="1958" operator="greaterThan">
      <formula>1</formula>
    </cfRule>
  </conditionalFormatting>
  <conditionalFormatting sqref="R124 R127 R131">
    <cfRule type="cellIs" dxfId="12616" priority="1955" operator="greaterThan">
      <formula>1</formula>
    </cfRule>
    <cfRule type="cellIs" dxfId="12615" priority="1956" operator="lessThan">
      <formula>0.8</formula>
    </cfRule>
  </conditionalFormatting>
  <conditionalFormatting sqref="P124 P127 P131">
    <cfRule type="cellIs" dxfId="12614" priority="1954" operator="greaterThan">
      <formula>0</formula>
    </cfRule>
  </conditionalFormatting>
  <conditionalFormatting sqref="Q124 Q127 Q131">
    <cfRule type="cellIs" dxfId="12613" priority="1953" operator="lessThan">
      <formula>0</formula>
    </cfRule>
  </conditionalFormatting>
  <conditionalFormatting sqref="R124 R127 R131">
    <cfRule type="cellIs" dxfId="12612" priority="1951" operator="lessThan">
      <formula>0.8</formula>
    </cfRule>
    <cfRule type="cellIs" dxfId="12611" priority="1952" operator="greaterThan">
      <formula>1</formula>
    </cfRule>
  </conditionalFormatting>
  <conditionalFormatting sqref="R124 R127 R131">
    <cfRule type="cellIs" dxfId="12610" priority="1949" operator="greaterThan">
      <formula>1</formula>
    </cfRule>
    <cfRule type="cellIs" dxfId="12609" priority="1950" operator="lessThan">
      <formula>0.8</formula>
    </cfRule>
  </conditionalFormatting>
  <conditionalFormatting sqref="P124 P127 P131">
    <cfRule type="cellIs" dxfId="12608" priority="1948" operator="greaterThan">
      <formula>0</formula>
    </cfRule>
  </conditionalFormatting>
  <conditionalFormatting sqref="Q124 Q127 Q131">
    <cfRule type="cellIs" dxfId="12607" priority="1947" operator="lessThan">
      <formula>0</formula>
    </cfRule>
  </conditionalFormatting>
  <conditionalFormatting sqref="R124 R127 R131">
    <cfRule type="cellIs" dxfId="12606" priority="1945" operator="lessThan">
      <formula>0.8</formula>
    </cfRule>
    <cfRule type="cellIs" dxfId="12605" priority="1946" operator="greaterThan">
      <formula>1</formula>
    </cfRule>
  </conditionalFormatting>
  <conditionalFormatting sqref="R124 R127 R131">
    <cfRule type="cellIs" dxfId="12604" priority="1943" operator="greaterThan">
      <formula>1</formula>
    </cfRule>
    <cfRule type="cellIs" dxfId="12603" priority="1944" operator="lessThan">
      <formula>0.8</formula>
    </cfRule>
  </conditionalFormatting>
  <conditionalFormatting sqref="P124 P127 P131">
    <cfRule type="cellIs" dxfId="12602" priority="1942" operator="greaterThan">
      <formula>0</formula>
    </cfRule>
  </conditionalFormatting>
  <conditionalFormatting sqref="Q124 Q127 Q131">
    <cfRule type="cellIs" dxfId="12601" priority="1941" operator="lessThan">
      <formula>0</formula>
    </cfRule>
  </conditionalFormatting>
  <conditionalFormatting sqref="R124 R127 R131">
    <cfRule type="cellIs" dxfId="12600" priority="1939" operator="lessThan">
      <formula>0.8</formula>
    </cfRule>
    <cfRule type="cellIs" dxfId="12599" priority="1940" operator="greaterThan">
      <formula>1</formula>
    </cfRule>
  </conditionalFormatting>
  <conditionalFormatting sqref="R124 R127 R131">
    <cfRule type="cellIs" dxfId="12598" priority="1937" operator="greaterThan">
      <formula>1</formula>
    </cfRule>
    <cfRule type="cellIs" dxfId="12597" priority="1938" operator="lessThan">
      <formula>0.8</formula>
    </cfRule>
  </conditionalFormatting>
  <conditionalFormatting sqref="P124 P127 P131">
    <cfRule type="cellIs" dxfId="12596" priority="1936" operator="greaterThan">
      <formula>0</formula>
    </cfRule>
  </conditionalFormatting>
  <conditionalFormatting sqref="Q124 Q127 Q131">
    <cfRule type="cellIs" dxfId="12595" priority="1935" operator="lessThan">
      <formula>0</formula>
    </cfRule>
  </conditionalFormatting>
  <conditionalFormatting sqref="R124 R127 R131">
    <cfRule type="cellIs" dxfId="12594" priority="1933" operator="lessThan">
      <formula>0.8</formula>
    </cfRule>
    <cfRule type="cellIs" dxfId="12593" priority="1934" operator="greaterThan">
      <formula>1</formula>
    </cfRule>
  </conditionalFormatting>
  <conditionalFormatting sqref="R124 R127 R131">
    <cfRule type="cellIs" dxfId="12592" priority="1931" operator="greaterThan">
      <formula>1</formula>
    </cfRule>
    <cfRule type="cellIs" dxfId="12591" priority="1932" operator="lessThan">
      <formula>0.8</formula>
    </cfRule>
  </conditionalFormatting>
  <conditionalFormatting sqref="P124 P127 P131">
    <cfRule type="cellIs" dxfId="12590" priority="1930" operator="greaterThan">
      <formula>0</formula>
    </cfRule>
  </conditionalFormatting>
  <conditionalFormatting sqref="P124 P127 P131">
    <cfRule type="cellIs" dxfId="12589" priority="1924" operator="greaterThan">
      <formula>0</formula>
    </cfRule>
  </conditionalFormatting>
  <conditionalFormatting sqref="Q124 Q127 Q131">
    <cfRule type="cellIs" dxfId="12588" priority="1929" operator="lessThan">
      <formula>0</formula>
    </cfRule>
  </conditionalFormatting>
  <conditionalFormatting sqref="R124 R127 R131">
    <cfRule type="cellIs" dxfId="12587" priority="1927" operator="lessThan">
      <formula>0.8</formula>
    </cfRule>
    <cfRule type="cellIs" dxfId="12586" priority="1928" operator="greaterThan">
      <formula>1</formula>
    </cfRule>
  </conditionalFormatting>
  <conditionalFormatting sqref="R124 R127 R131">
    <cfRule type="cellIs" dxfId="12585" priority="1925" operator="greaterThan">
      <formula>1</formula>
    </cfRule>
    <cfRule type="cellIs" dxfId="12584" priority="1926" operator="lessThan">
      <formula>0.8</formula>
    </cfRule>
  </conditionalFormatting>
  <conditionalFormatting sqref="P124 P127 P131">
    <cfRule type="cellIs" dxfId="12583" priority="1918" operator="greaterThan">
      <formula>0</formula>
    </cfRule>
  </conditionalFormatting>
  <conditionalFormatting sqref="Q124 Q127 Q131">
    <cfRule type="cellIs" dxfId="12582" priority="1923" operator="lessThan">
      <formula>0</formula>
    </cfRule>
  </conditionalFormatting>
  <conditionalFormatting sqref="R124 R127 R131">
    <cfRule type="cellIs" dxfId="12581" priority="1921" operator="lessThan">
      <formula>0.8</formula>
    </cfRule>
    <cfRule type="cellIs" dxfId="12580" priority="1922" operator="greaterThan">
      <formula>1</formula>
    </cfRule>
  </conditionalFormatting>
  <conditionalFormatting sqref="R124 R127 R131">
    <cfRule type="cellIs" dxfId="12579" priority="1919" operator="greaterThan">
      <formula>1</formula>
    </cfRule>
    <cfRule type="cellIs" dxfId="12578" priority="1920" operator="lessThan">
      <formula>0.8</formula>
    </cfRule>
  </conditionalFormatting>
  <conditionalFormatting sqref="R124 R127 R131">
    <cfRule type="cellIs" dxfId="12577" priority="1915" operator="lessThan">
      <formula>0.8</formula>
    </cfRule>
    <cfRule type="cellIs" dxfId="12576" priority="1916" operator="greaterThan">
      <formula>1</formula>
    </cfRule>
  </conditionalFormatting>
  <conditionalFormatting sqref="R124 R127 R131">
    <cfRule type="cellIs" dxfId="12575" priority="1913" operator="greaterThan">
      <formula>1</formula>
    </cfRule>
    <cfRule type="cellIs" dxfId="12574" priority="1914" operator="lessThan">
      <formula>0.8</formula>
    </cfRule>
  </conditionalFormatting>
  <conditionalFormatting sqref="P124 P127 P131">
    <cfRule type="cellIs" dxfId="12573" priority="1912" operator="greaterThan">
      <formula>0</formula>
    </cfRule>
  </conditionalFormatting>
  <conditionalFormatting sqref="Q124 Q127 Q131">
    <cfRule type="cellIs" dxfId="12572" priority="1917" operator="lessThan">
      <formula>0</formula>
    </cfRule>
  </conditionalFormatting>
  <conditionalFormatting sqref="Q5:Q14">
    <cfRule type="cellIs" dxfId="12571" priority="1911" operator="lessThan">
      <formula>0</formula>
    </cfRule>
  </conditionalFormatting>
  <conditionalFormatting sqref="R5:R14">
    <cfRule type="cellIs" dxfId="12570" priority="1909" operator="lessThan">
      <formula>0.8</formula>
    </cfRule>
    <cfRule type="cellIs" dxfId="12569" priority="1910" operator="greaterThan">
      <formula>1</formula>
    </cfRule>
  </conditionalFormatting>
  <conditionalFormatting sqref="R5:R14">
    <cfRule type="cellIs" dxfId="12568" priority="1907" operator="greaterThan">
      <formula>1</formula>
    </cfRule>
    <cfRule type="cellIs" dxfId="12567" priority="1908" operator="lessThan">
      <formula>0.8</formula>
    </cfRule>
  </conditionalFormatting>
  <conditionalFormatting sqref="P5:P14">
    <cfRule type="cellIs" dxfId="12566" priority="1906" operator="greaterThan">
      <formula>0</formula>
    </cfRule>
  </conditionalFormatting>
  <conditionalFormatting sqref="Q83">
    <cfRule type="cellIs" dxfId="12565" priority="1905" operator="lessThan">
      <formula>0</formula>
    </cfRule>
  </conditionalFormatting>
  <conditionalFormatting sqref="R83">
    <cfRule type="cellIs" dxfId="12564" priority="1903" operator="lessThan">
      <formula>0.8</formula>
    </cfRule>
    <cfRule type="cellIs" dxfId="12563" priority="1904" operator="greaterThan">
      <formula>1</formula>
    </cfRule>
  </conditionalFormatting>
  <conditionalFormatting sqref="R83">
    <cfRule type="cellIs" dxfId="12562" priority="1901" operator="greaterThan">
      <formula>1</formula>
    </cfRule>
    <cfRule type="cellIs" dxfId="12561" priority="1902" operator="lessThan">
      <formula>0.8</formula>
    </cfRule>
  </conditionalFormatting>
  <conditionalFormatting sqref="P83">
    <cfRule type="cellIs" dxfId="12560" priority="1900" operator="greaterThan">
      <formula>0</formula>
    </cfRule>
  </conditionalFormatting>
  <conditionalFormatting sqref="Q83">
    <cfRule type="cellIs" dxfId="12559" priority="1899" operator="lessThan">
      <formula>0</formula>
    </cfRule>
  </conditionalFormatting>
  <conditionalFormatting sqref="R83">
    <cfRule type="cellIs" dxfId="12558" priority="1897" operator="lessThan">
      <formula>0.8</formula>
    </cfRule>
    <cfRule type="cellIs" dxfId="12557" priority="1898" operator="greaterThan">
      <formula>1</formula>
    </cfRule>
  </conditionalFormatting>
  <conditionalFormatting sqref="R83">
    <cfRule type="cellIs" dxfId="12556" priority="1895" operator="greaterThan">
      <formula>1</formula>
    </cfRule>
    <cfRule type="cellIs" dxfId="12555" priority="1896" operator="lessThan">
      <formula>0.8</formula>
    </cfRule>
  </conditionalFormatting>
  <conditionalFormatting sqref="P83">
    <cfRule type="cellIs" dxfId="12554" priority="1894" operator="greaterThan">
      <formula>0</formula>
    </cfRule>
  </conditionalFormatting>
  <conditionalFormatting sqref="Q83">
    <cfRule type="cellIs" dxfId="12553" priority="1893" operator="lessThan">
      <formula>0</formula>
    </cfRule>
  </conditionalFormatting>
  <conditionalFormatting sqref="R83">
    <cfRule type="cellIs" dxfId="12552" priority="1891" operator="lessThan">
      <formula>0.8</formula>
    </cfRule>
    <cfRule type="cellIs" dxfId="12551" priority="1892" operator="greaterThan">
      <formula>1</formula>
    </cfRule>
  </conditionalFormatting>
  <conditionalFormatting sqref="R83">
    <cfRule type="cellIs" dxfId="12550" priority="1889" operator="greaterThan">
      <formula>1</formula>
    </cfRule>
    <cfRule type="cellIs" dxfId="12549" priority="1890" operator="lessThan">
      <formula>0.8</formula>
    </cfRule>
  </conditionalFormatting>
  <conditionalFormatting sqref="P83">
    <cfRule type="cellIs" dxfId="12548" priority="1888" operator="greaterThan">
      <formula>0</formula>
    </cfRule>
  </conditionalFormatting>
  <conditionalFormatting sqref="Q83">
    <cfRule type="cellIs" dxfId="12547" priority="1887" operator="lessThan">
      <formula>0</formula>
    </cfRule>
  </conditionalFormatting>
  <conditionalFormatting sqref="R83">
    <cfRule type="cellIs" dxfId="12546" priority="1885" operator="lessThan">
      <formula>0.8</formula>
    </cfRule>
    <cfRule type="cellIs" dxfId="12545" priority="1886" operator="greaterThan">
      <formula>1</formula>
    </cfRule>
  </conditionalFormatting>
  <conditionalFormatting sqref="R83">
    <cfRule type="cellIs" dxfId="12544" priority="1883" operator="greaterThan">
      <formula>1</formula>
    </cfRule>
    <cfRule type="cellIs" dxfId="12543" priority="1884" operator="lessThan">
      <formula>0.8</formula>
    </cfRule>
  </conditionalFormatting>
  <conditionalFormatting sqref="P83">
    <cfRule type="cellIs" dxfId="12542" priority="1882" operator="greaterThan">
      <formula>0</formula>
    </cfRule>
  </conditionalFormatting>
  <conditionalFormatting sqref="P83">
    <cfRule type="cellIs" dxfId="12541" priority="1876" operator="greaterThan">
      <formula>0</formula>
    </cfRule>
  </conditionalFormatting>
  <conditionalFormatting sqref="Q83">
    <cfRule type="cellIs" dxfId="12540" priority="1881" operator="lessThan">
      <formula>0</formula>
    </cfRule>
  </conditionalFormatting>
  <conditionalFormatting sqref="R83">
    <cfRule type="cellIs" dxfId="12539" priority="1879" operator="lessThan">
      <formula>0.8</formula>
    </cfRule>
    <cfRule type="cellIs" dxfId="12538" priority="1880" operator="greaterThan">
      <formula>1</formula>
    </cfRule>
  </conditionalFormatting>
  <conditionalFormatting sqref="R83">
    <cfRule type="cellIs" dxfId="12537" priority="1877" operator="greaterThan">
      <formula>1</formula>
    </cfRule>
    <cfRule type="cellIs" dxfId="12536" priority="1878" operator="lessThan">
      <formula>0.8</formula>
    </cfRule>
  </conditionalFormatting>
  <conditionalFormatting sqref="P83">
    <cfRule type="cellIs" dxfId="12535" priority="1870" operator="greaterThan">
      <formula>0</formula>
    </cfRule>
  </conditionalFormatting>
  <conditionalFormatting sqref="Q83">
    <cfRule type="cellIs" dxfId="12534" priority="1875" operator="lessThan">
      <formula>0</formula>
    </cfRule>
  </conditionalFormatting>
  <conditionalFormatting sqref="R83">
    <cfRule type="cellIs" dxfId="12533" priority="1873" operator="lessThan">
      <formula>0.8</formula>
    </cfRule>
    <cfRule type="cellIs" dxfId="12532" priority="1874" operator="greaterThan">
      <formula>1</formula>
    </cfRule>
  </conditionalFormatting>
  <conditionalFormatting sqref="R83">
    <cfRule type="cellIs" dxfId="12531" priority="1871" operator="greaterThan">
      <formula>1</formula>
    </cfRule>
    <cfRule type="cellIs" dxfId="12530" priority="1872" operator="lessThan">
      <formula>0.8</formula>
    </cfRule>
  </conditionalFormatting>
  <conditionalFormatting sqref="R83">
    <cfRule type="cellIs" dxfId="12529" priority="1867" operator="lessThan">
      <formula>0.8</formula>
    </cfRule>
    <cfRule type="cellIs" dxfId="12528" priority="1868" operator="greaterThan">
      <formula>1</formula>
    </cfRule>
  </conditionalFormatting>
  <conditionalFormatting sqref="R83">
    <cfRule type="cellIs" dxfId="12527" priority="1865" operator="greaterThan">
      <formula>1</formula>
    </cfRule>
    <cfRule type="cellIs" dxfId="12526" priority="1866" operator="lessThan">
      <formula>0.8</formula>
    </cfRule>
  </conditionalFormatting>
  <conditionalFormatting sqref="P83">
    <cfRule type="cellIs" dxfId="12525" priority="1864" operator="greaterThan">
      <formula>0</formula>
    </cfRule>
  </conditionalFormatting>
  <conditionalFormatting sqref="Q83">
    <cfRule type="cellIs" dxfId="12524" priority="1869" operator="lessThan">
      <formula>0</formula>
    </cfRule>
  </conditionalFormatting>
  <conditionalFormatting sqref="Q83">
    <cfRule type="cellIs" dxfId="12523" priority="1863" operator="lessThan">
      <formula>0</formula>
    </cfRule>
  </conditionalFormatting>
  <conditionalFormatting sqref="R83">
    <cfRule type="cellIs" dxfId="12522" priority="1861" operator="lessThan">
      <formula>0.8</formula>
    </cfRule>
    <cfRule type="cellIs" dxfId="12521" priority="1862" operator="greaterThan">
      <formula>1</formula>
    </cfRule>
  </conditionalFormatting>
  <conditionalFormatting sqref="R83">
    <cfRule type="cellIs" dxfId="12520" priority="1859" operator="greaterThan">
      <formula>1</formula>
    </cfRule>
    <cfRule type="cellIs" dxfId="12519" priority="1860" operator="lessThan">
      <formula>0.8</formula>
    </cfRule>
  </conditionalFormatting>
  <conditionalFormatting sqref="P83">
    <cfRule type="cellIs" dxfId="12518" priority="1858" operator="greaterThan">
      <formula>0</formula>
    </cfRule>
  </conditionalFormatting>
  <conditionalFormatting sqref="P83">
    <cfRule type="cellIs" dxfId="12517" priority="1852" operator="greaterThan">
      <formula>0</formula>
    </cfRule>
  </conditionalFormatting>
  <conditionalFormatting sqref="Q83">
    <cfRule type="cellIs" dxfId="12516" priority="1857" operator="lessThan">
      <formula>0</formula>
    </cfRule>
  </conditionalFormatting>
  <conditionalFormatting sqref="R83">
    <cfRule type="cellIs" dxfId="12515" priority="1855" operator="lessThan">
      <formula>0.8</formula>
    </cfRule>
    <cfRule type="cellIs" dxfId="12514" priority="1856" operator="greaterThan">
      <formula>1</formula>
    </cfRule>
  </conditionalFormatting>
  <conditionalFormatting sqref="R83">
    <cfRule type="cellIs" dxfId="12513" priority="1853" operator="greaterThan">
      <formula>1</formula>
    </cfRule>
    <cfRule type="cellIs" dxfId="12512" priority="1854" operator="lessThan">
      <formula>0.8</formula>
    </cfRule>
  </conditionalFormatting>
  <conditionalFormatting sqref="P83">
    <cfRule type="cellIs" dxfId="12511" priority="1846" operator="greaterThan">
      <formula>0</formula>
    </cfRule>
  </conditionalFormatting>
  <conditionalFormatting sqref="Q83">
    <cfRule type="cellIs" dxfId="12510" priority="1851" operator="lessThan">
      <formula>0</formula>
    </cfRule>
  </conditionalFormatting>
  <conditionalFormatting sqref="R83">
    <cfRule type="cellIs" dxfId="12509" priority="1849" operator="lessThan">
      <formula>0.8</formula>
    </cfRule>
    <cfRule type="cellIs" dxfId="12508" priority="1850" operator="greaterThan">
      <formula>1</formula>
    </cfRule>
  </conditionalFormatting>
  <conditionalFormatting sqref="R83">
    <cfRule type="cellIs" dxfId="12507" priority="1847" operator="greaterThan">
      <formula>1</formula>
    </cfRule>
    <cfRule type="cellIs" dxfId="12506" priority="1848" operator="lessThan">
      <formula>0.8</formula>
    </cfRule>
  </conditionalFormatting>
  <conditionalFormatting sqref="R83">
    <cfRule type="cellIs" dxfId="12505" priority="1843" operator="lessThan">
      <formula>0.8</formula>
    </cfRule>
    <cfRule type="cellIs" dxfId="12504" priority="1844" operator="greaterThan">
      <formula>1</formula>
    </cfRule>
  </conditionalFormatting>
  <conditionalFormatting sqref="R83">
    <cfRule type="cellIs" dxfId="12503" priority="1841" operator="greaterThan">
      <formula>1</formula>
    </cfRule>
    <cfRule type="cellIs" dxfId="12502" priority="1842" operator="lessThan">
      <formula>0.8</formula>
    </cfRule>
  </conditionalFormatting>
  <conditionalFormatting sqref="P83">
    <cfRule type="cellIs" dxfId="12501" priority="1840" operator="greaterThan">
      <formula>0</formula>
    </cfRule>
  </conditionalFormatting>
  <conditionalFormatting sqref="Q83">
    <cfRule type="cellIs" dxfId="12500" priority="1845" operator="lessThan">
      <formula>0</formula>
    </cfRule>
  </conditionalFormatting>
  <conditionalFormatting sqref="P83">
    <cfRule type="cellIs" dxfId="12499" priority="1834" operator="greaterThan">
      <formula>0</formula>
    </cfRule>
  </conditionalFormatting>
  <conditionalFormatting sqref="Q83">
    <cfRule type="cellIs" dxfId="12498" priority="1839" operator="lessThan">
      <formula>0</formula>
    </cfRule>
  </conditionalFormatting>
  <conditionalFormatting sqref="R83">
    <cfRule type="cellIs" dxfId="12497" priority="1837" operator="lessThan">
      <formula>0.8</formula>
    </cfRule>
    <cfRule type="cellIs" dxfId="12496" priority="1838" operator="greaterThan">
      <formula>1</formula>
    </cfRule>
  </conditionalFormatting>
  <conditionalFormatting sqref="R83">
    <cfRule type="cellIs" dxfId="12495" priority="1835" operator="greaterThan">
      <formula>1</formula>
    </cfRule>
    <cfRule type="cellIs" dxfId="12494" priority="1836" operator="lessThan">
      <formula>0.8</formula>
    </cfRule>
  </conditionalFormatting>
  <conditionalFormatting sqref="R83">
    <cfRule type="cellIs" dxfId="12493" priority="1831" operator="lessThan">
      <formula>0.8</formula>
    </cfRule>
    <cfRule type="cellIs" dxfId="12492" priority="1832" operator="greaterThan">
      <formula>1</formula>
    </cfRule>
  </conditionalFormatting>
  <conditionalFormatting sqref="R83">
    <cfRule type="cellIs" dxfId="12491" priority="1829" operator="greaterThan">
      <formula>1</formula>
    </cfRule>
    <cfRule type="cellIs" dxfId="12490" priority="1830" operator="lessThan">
      <formula>0.8</formula>
    </cfRule>
  </conditionalFormatting>
  <conditionalFormatting sqref="P83">
    <cfRule type="cellIs" dxfId="12489" priority="1828" operator="greaterThan">
      <formula>0</formula>
    </cfRule>
  </conditionalFormatting>
  <conditionalFormatting sqref="Q83">
    <cfRule type="cellIs" dxfId="12488" priority="1833" operator="lessThan">
      <formula>0</formula>
    </cfRule>
  </conditionalFormatting>
  <conditionalFormatting sqref="R83">
    <cfRule type="cellIs" dxfId="12487" priority="1825" operator="lessThan">
      <formula>0.8</formula>
    </cfRule>
    <cfRule type="cellIs" dxfId="12486" priority="1826" operator="greaterThan">
      <formula>1</formula>
    </cfRule>
  </conditionalFormatting>
  <conditionalFormatting sqref="R83">
    <cfRule type="cellIs" dxfId="12485" priority="1823" operator="greaterThan">
      <formula>1</formula>
    </cfRule>
    <cfRule type="cellIs" dxfId="12484" priority="1824" operator="lessThan">
      <formula>0.8</formula>
    </cfRule>
  </conditionalFormatting>
  <conditionalFormatting sqref="P83">
    <cfRule type="cellIs" dxfId="12483" priority="1822" operator="greaterThan">
      <formula>0</formula>
    </cfRule>
  </conditionalFormatting>
  <conditionalFormatting sqref="Q83">
    <cfRule type="cellIs" dxfId="12482" priority="1827" operator="lessThan">
      <formula>0</formula>
    </cfRule>
  </conditionalFormatting>
  <conditionalFormatting sqref="Q83">
    <cfRule type="cellIs" dxfId="12481" priority="1821" operator="lessThan">
      <formula>0</formula>
    </cfRule>
  </conditionalFormatting>
  <conditionalFormatting sqref="R83">
    <cfRule type="cellIs" dxfId="12480" priority="1819" operator="lessThan">
      <formula>0.8</formula>
    </cfRule>
    <cfRule type="cellIs" dxfId="12479" priority="1820" operator="greaterThan">
      <formula>1</formula>
    </cfRule>
  </conditionalFormatting>
  <conditionalFormatting sqref="R83">
    <cfRule type="cellIs" dxfId="12478" priority="1817" operator="greaterThan">
      <formula>1</formula>
    </cfRule>
    <cfRule type="cellIs" dxfId="12477" priority="1818" operator="lessThan">
      <formula>0.8</formula>
    </cfRule>
  </conditionalFormatting>
  <conditionalFormatting sqref="P83">
    <cfRule type="cellIs" dxfId="12476" priority="1816" operator="greaterThan">
      <formula>0</formula>
    </cfRule>
  </conditionalFormatting>
  <conditionalFormatting sqref="Q83">
    <cfRule type="cellIs" dxfId="12475" priority="1810" operator="lessThan">
      <formula>0</formula>
    </cfRule>
  </conditionalFormatting>
  <conditionalFormatting sqref="R83">
    <cfRule type="cellIs" dxfId="12474" priority="1814" operator="lessThan">
      <formula>0.8</formula>
    </cfRule>
    <cfRule type="cellIs" dxfId="12473" priority="1815" operator="greaterThan">
      <formula>1</formula>
    </cfRule>
  </conditionalFormatting>
  <conditionalFormatting sqref="R83">
    <cfRule type="cellIs" dxfId="12472" priority="1812" operator="greaterThan">
      <formula>1</formula>
    </cfRule>
    <cfRule type="cellIs" dxfId="12471" priority="1813" operator="lessThan">
      <formula>0.8</formula>
    </cfRule>
  </conditionalFormatting>
  <conditionalFormatting sqref="P83">
    <cfRule type="cellIs" dxfId="12470" priority="1811" operator="greaterThan">
      <formula>0</formula>
    </cfRule>
  </conditionalFormatting>
  <conditionalFormatting sqref="Q83">
    <cfRule type="cellIs" dxfId="12469" priority="1809" operator="lessThan">
      <formula>0</formula>
    </cfRule>
  </conditionalFormatting>
  <conditionalFormatting sqref="R83">
    <cfRule type="cellIs" dxfId="12468" priority="1807" operator="lessThan">
      <formula>0.8</formula>
    </cfRule>
    <cfRule type="cellIs" dxfId="12467" priority="1808" operator="greaterThan">
      <formula>1</formula>
    </cfRule>
  </conditionalFormatting>
  <conditionalFormatting sqref="R83">
    <cfRule type="cellIs" dxfId="12466" priority="1805" operator="greaterThan">
      <formula>1</formula>
    </cfRule>
    <cfRule type="cellIs" dxfId="12465" priority="1806" operator="lessThan">
      <formula>0.8</formula>
    </cfRule>
  </conditionalFormatting>
  <conditionalFormatting sqref="P83">
    <cfRule type="cellIs" dxfId="12464" priority="1804" operator="greaterThan">
      <formula>0</formula>
    </cfRule>
  </conditionalFormatting>
  <conditionalFormatting sqref="Q83">
    <cfRule type="cellIs" dxfId="12463" priority="1803" operator="lessThan">
      <formula>0</formula>
    </cfRule>
  </conditionalFormatting>
  <conditionalFormatting sqref="R83">
    <cfRule type="cellIs" dxfId="12462" priority="1801" operator="lessThan">
      <formula>0.8</formula>
    </cfRule>
    <cfRule type="cellIs" dxfId="12461" priority="1802" operator="greaterThan">
      <formula>1</formula>
    </cfRule>
  </conditionalFormatting>
  <conditionalFormatting sqref="R83">
    <cfRule type="cellIs" dxfId="12460" priority="1799" operator="greaterThan">
      <formula>1</formula>
    </cfRule>
    <cfRule type="cellIs" dxfId="12459" priority="1800" operator="lessThan">
      <formula>0.8</formula>
    </cfRule>
  </conditionalFormatting>
  <conditionalFormatting sqref="P83">
    <cfRule type="cellIs" dxfId="12458" priority="1798" operator="greaterThan">
      <formula>0</formula>
    </cfRule>
  </conditionalFormatting>
  <conditionalFormatting sqref="Q83">
    <cfRule type="cellIs" dxfId="12457" priority="1797" operator="lessThan">
      <formula>0</formula>
    </cfRule>
  </conditionalFormatting>
  <conditionalFormatting sqref="R83">
    <cfRule type="cellIs" dxfId="12456" priority="1795" operator="lessThan">
      <formula>0.8</formula>
    </cfRule>
    <cfRule type="cellIs" dxfId="12455" priority="1796" operator="greaterThan">
      <formula>1</formula>
    </cfRule>
  </conditionalFormatting>
  <conditionalFormatting sqref="R83">
    <cfRule type="cellIs" dxfId="12454" priority="1793" operator="greaterThan">
      <formula>1</formula>
    </cfRule>
    <cfRule type="cellIs" dxfId="12453" priority="1794" operator="lessThan">
      <formula>0.8</formula>
    </cfRule>
  </conditionalFormatting>
  <conditionalFormatting sqref="P83">
    <cfRule type="cellIs" dxfId="12452" priority="1792" operator="greaterThan">
      <formula>0</formula>
    </cfRule>
  </conditionalFormatting>
  <conditionalFormatting sqref="Q83">
    <cfRule type="cellIs" dxfId="12451" priority="1791" operator="lessThan">
      <formula>0</formula>
    </cfRule>
  </conditionalFormatting>
  <conditionalFormatting sqref="R83">
    <cfRule type="cellIs" dxfId="12450" priority="1789" operator="lessThan">
      <formula>0.8</formula>
    </cfRule>
    <cfRule type="cellIs" dxfId="12449" priority="1790" operator="greaterThan">
      <formula>1</formula>
    </cfRule>
  </conditionalFormatting>
  <conditionalFormatting sqref="R83">
    <cfRule type="cellIs" dxfId="12448" priority="1787" operator="greaterThan">
      <formula>1</formula>
    </cfRule>
    <cfRule type="cellIs" dxfId="12447" priority="1788" operator="lessThan">
      <formula>0.8</formula>
    </cfRule>
  </conditionalFormatting>
  <conditionalFormatting sqref="P83">
    <cfRule type="cellIs" dxfId="12446" priority="1786" operator="greaterThan">
      <formula>0</formula>
    </cfRule>
  </conditionalFormatting>
  <conditionalFormatting sqref="Q83">
    <cfRule type="cellIs" dxfId="12445" priority="1785" operator="lessThan">
      <formula>0</formula>
    </cfRule>
  </conditionalFormatting>
  <conditionalFormatting sqref="R83">
    <cfRule type="cellIs" dxfId="12444" priority="1783" operator="lessThan">
      <formula>0.8</formula>
    </cfRule>
    <cfRule type="cellIs" dxfId="12443" priority="1784" operator="greaterThan">
      <formula>1</formula>
    </cfRule>
  </conditionalFormatting>
  <conditionalFormatting sqref="R83">
    <cfRule type="cellIs" dxfId="12442" priority="1781" operator="greaterThan">
      <formula>1</formula>
    </cfRule>
    <cfRule type="cellIs" dxfId="12441" priority="1782" operator="lessThan">
      <formula>0.8</formula>
    </cfRule>
  </conditionalFormatting>
  <conditionalFormatting sqref="P83">
    <cfRule type="cellIs" dxfId="12440" priority="1780" operator="greaterThan">
      <formula>0</formula>
    </cfRule>
  </conditionalFormatting>
  <conditionalFormatting sqref="P83">
    <cfRule type="cellIs" dxfId="12439" priority="1774" operator="greaterThan">
      <formula>0</formula>
    </cfRule>
  </conditionalFormatting>
  <conditionalFormatting sqref="Q83">
    <cfRule type="cellIs" dxfId="12438" priority="1779" operator="lessThan">
      <formula>0</formula>
    </cfRule>
  </conditionalFormatting>
  <conditionalFormatting sqref="R83">
    <cfRule type="cellIs" dxfId="12437" priority="1777" operator="lessThan">
      <formula>0.8</formula>
    </cfRule>
    <cfRule type="cellIs" dxfId="12436" priority="1778" operator="greaterThan">
      <formula>1</formula>
    </cfRule>
  </conditionalFormatting>
  <conditionalFormatting sqref="R83">
    <cfRule type="cellIs" dxfId="12435" priority="1775" operator="greaterThan">
      <formula>1</formula>
    </cfRule>
    <cfRule type="cellIs" dxfId="12434" priority="1776" operator="lessThan">
      <formula>0.8</formula>
    </cfRule>
  </conditionalFormatting>
  <conditionalFormatting sqref="P83">
    <cfRule type="cellIs" dxfId="12433" priority="1768" operator="greaterThan">
      <formula>0</formula>
    </cfRule>
  </conditionalFormatting>
  <conditionalFormatting sqref="Q83">
    <cfRule type="cellIs" dxfId="12432" priority="1773" operator="lessThan">
      <formula>0</formula>
    </cfRule>
  </conditionalFormatting>
  <conditionalFormatting sqref="R83">
    <cfRule type="cellIs" dxfId="12431" priority="1771" operator="lessThan">
      <formula>0.8</formula>
    </cfRule>
    <cfRule type="cellIs" dxfId="12430" priority="1772" operator="greaterThan">
      <formula>1</formula>
    </cfRule>
  </conditionalFormatting>
  <conditionalFormatting sqref="R83">
    <cfRule type="cellIs" dxfId="12429" priority="1769" operator="greaterThan">
      <formula>1</formula>
    </cfRule>
    <cfRule type="cellIs" dxfId="12428" priority="1770" operator="lessThan">
      <formula>0.8</formula>
    </cfRule>
  </conditionalFormatting>
  <conditionalFormatting sqref="R83">
    <cfRule type="cellIs" dxfId="12427" priority="1765" operator="lessThan">
      <formula>0.8</formula>
    </cfRule>
    <cfRule type="cellIs" dxfId="12426" priority="1766" operator="greaterThan">
      <formula>1</formula>
    </cfRule>
  </conditionalFormatting>
  <conditionalFormatting sqref="R83">
    <cfRule type="cellIs" dxfId="12425" priority="1763" operator="greaterThan">
      <formula>1</formula>
    </cfRule>
    <cfRule type="cellIs" dxfId="12424" priority="1764" operator="lessThan">
      <formula>0.8</formula>
    </cfRule>
  </conditionalFormatting>
  <conditionalFormatting sqref="P83">
    <cfRule type="cellIs" dxfId="12423" priority="1762" operator="greaterThan">
      <formula>0</formula>
    </cfRule>
  </conditionalFormatting>
  <conditionalFormatting sqref="Q83">
    <cfRule type="cellIs" dxfId="12422" priority="1767" operator="lessThan">
      <formula>0</formula>
    </cfRule>
  </conditionalFormatting>
  <conditionalFormatting sqref="Q83">
    <cfRule type="cellIs" dxfId="12421" priority="1756" operator="lessThan">
      <formula>0</formula>
    </cfRule>
  </conditionalFormatting>
  <conditionalFormatting sqref="P83">
    <cfRule type="cellIs" dxfId="12420" priority="1757" operator="greaterThan">
      <formula>0</formula>
    </cfRule>
  </conditionalFormatting>
  <conditionalFormatting sqref="R83">
    <cfRule type="cellIs" dxfId="12419" priority="1760" operator="lessThan">
      <formula>0.8</formula>
    </cfRule>
    <cfRule type="cellIs" dxfId="12418" priority="1761" operator="greaterThan">
      <formula>1</formula>
    </cfRule>
  </conditionalFormatting>
  <conditionalFormatting sqref="R83">
    <cfRule type="cellIs" dxfId="12417" priority="1758" operator="greaterThan">
      <formula>1</formula>
    </cfRule>
    <cfRule type="cellIs" dxfId="12416" priority="1759" operator="lessThan">
      <formula>0.8</formula>
    </cfRule>
  </conditionalFormatting>
  <conditionalFormatting sqref="Q83">
    <cfRule type="cellIs" dxfId="12415" priority="1750" operator="lessThan">
      <formula>0</formula>
    </cfRule>
  </conditionalFormatting>
  <conditionalFormatting sqref="R83">
    <cfRule type="cellIs" dxfId="12414" priority="1754" operator="lessThan">
      <formula>0.8</formula>
    </cfRule>
    <cfRule type="cellIs" dxfId="12413" priority="1755" operator="greaterThan">
      <formula>1</formula>
    </cfRule>
  </conditionalFormatting>
  <conditionalFormatting sqref="R83">
    <cfRule type="cellIs" dxfId="12412" priority="1752" operator="greaterThan">
      <formula>1</formula>
    </cfRule>
    <cfRule type="cellIs" dxfId="12411" priority="1753" operator="lessThan">
      <formula>0.8</formula>
    </cfRule>
  </conditionalFormatting>
  <conditionalFormatting sqref="P83">
    <cfRule type="cellIs" dxfId="12410" priority="1751" operator="greaterThan">
      <formula>0</formula>
    </cfRule>
  </conditionalFormatting>
  <conditionalFormatting sqref="Q83">
    <cfRule type="cellIs" dxfId="12409" priority="1749" operator="lessThan">
      <formula>0</formula>
    </cfRule>
  </conditionalFormatting>
  <conditionalFormatting sqref="R83">
    <cfRule type="cellIs" dxfId="12408" priority="1747" operator="lessThan">
      <formula>0.8</formula>
    </cfRule>
    <cfRule type="cellIs" dxfId="12407" priority="1748" operator="greaterThan">
      <formula>1</formula>
    </cfRule>
  </conditionalFormatting>
  <conditionalFormatting sqref="R83">
    <cfRule type="cellIs" dxfId="12406" priority="1745" operator="greaterThan">
      <formula>1</formula>
    </cfRule>
    <cfRule type="cellIs" dxfId="12405" priority="1746" operator="lessThan">
      <formula>0.8</formula>
    </cfRule>
  </conditionalFormatting>
  <conditionalFormatting sqref="P83">
    <cfRule type="cellIs" dxfId="12404" priority="1744" operator="greaterThan">
      <formula>0</formula>
    </cfRule>
  </conditionalFormatting>
  <conditionalFormatting sqref="Q83">
    <cfRule type="cellIs" dxfId="12403" priority="1743" operator="lessThan">
      <formula>0</formula>
    </cfRule>
  </conditionalFormatting>
  <conditionalFormatting sqref="R83">
    <cfRule type="cellIs" dxfId="12402" priority="1741" operator="lessThan">
      <formula>0.8</formula>
    </cfRule>
    <cfRule type="cellIs" dxfId="12401" priority="1742" operator="greaterThan">
      <formula>1</formula>
    </cfRule>
  </conditionalFormatting>
  <conditionalFormatting sqref="R83">
    <cfRule type="cellIs" dxfId="12400" priority="1739" operator="greaterThan">
      <formula>1</formula>
    </cfRule>
    <cfRule type="cellIs" dxfId="12399" priority="1740" operator="lessThan">
      <formula>0.8</formula>
    </cfRule>
  </conditionalFormatting>
  <conditionalFormatting sqref="P83">
    <cfRule type="cellIs" dxfId="12398" priority="1738" operator="greaterThan">
      <formula>0</formula>
    </cfRule>
  </conditionalFormatting>
  <conditionalFormatting sqref="Q83">
    <cfRule type="cellIs" dxfId="12397" priority="1737" operator="lessThan">
      <formula>0</formula>
    </cfRule>
  </conditionalFormatting>
  <conditionalFormatting sqref="R83">
    <cfRule type="cellIs" dxfId="12396" priority="1735" operator="lessThan">
      <formula>0.8</formula>
    </cfRule>
    <cfRule type="cellIs" dxfId="12395" priority="1736" operator="greaterThan">
      <formula>1</formula>
    </cfRule>
  </conditionalFormatting>
  <conditionalFormatting sqref="R83">
    <cfRule type="cellIs" dxfId="12394" priority="1733" operator="greaterThan">
      <formula>1</formula>
    </cfRule>
    <cfRule type="cellIs" dxfId="12393" priority="1734" operator="lessThan">
      <formula>0.8</formula>
    </cfRule>
  </conditionalFormatting>
  <conditionalFormatting sqref="P83">
    <cfRule type="cellIs" dxfId="12392" priority="1732" operator="greaterThan">
      <formula>0</formula>
    </cfRule>
  </conditionalFormatting>
  <conditionalFormatting sqref="Q32:Q39">
    <cfRule type="cellIs" dxfId="12391" priority="1726" operator="lessThan">
      <formula>0</formula>
    </cfRule>
  </conditionalFormatting>
  <conditionalFormatting sqref="P32:P39">
    <cfRule type="cellIs" dxfId="12390" priority="1727" operator="greaterThan">
      <formula>0</formula>
    </cfRule>
  </conditionalFormatting>
  <conditionalFormatting sqref="R32:R39">
    <cfRule type="cellIs" dxfId="12389" priority="1730" operator="lessThan">
      <formula>0.8</formula>
    </cfRule>
    <cfRule type="cellIs" dxfId="12388" priority="1731" operator="greaterThan">
      <formula>1</formula>
    </cfRule>
  </conditionalFormatting>
  <conditionalFormatting sqref="R32:R39">
    <cfRule type="cellIs" dxfId="12387" priority="1728" operator="greaterThan">
      <formula>1</formula>
    </cfRule>
    <cfRule type="cellIs" dxfId="12386" priority="1729" operator="lessThan">
      <formula>0.8</formula>
    </cfRule>
  </conditionalFormatting>
  <conditionalFormatting sqref="Q32:Q39">
    <cfRule type="cellIs" dxfId="12385" priority="1720" operator="lessThan">
      <formula>0</formula>
    </cfRule>
  </conditionalFormatting>
  <conditionalFormatting sqref="R32:R39">
    <cfRule type="cellIs" dxfId="12384" priority="1724" operator="lessThan">
      <formula>0.8</formula>
    </cfRule>
    <cfRule type="cellIs" dxfId="12383" priority="1725" operator="greaterThan">
      <formula>1</formula>
    </cfRule>
  </conditionalFormatting>
  <conditionalFormatting sqref="R32:R39">
    <cfRule type="cellIs" dxfId="12382" priority="1722" operator="greaterThan">
      <formula>1</formula>
    </cfRule>
    <cfRule type="cellIs" dxfId="12381" priority="1723" operator="lessThan">
      <formula>0.8</formula>
    </cfRule>
  </conditionalFormatting>
  <conditionalFormatting sqref="P32:P39">
    <cfRule type="cellIs" dxfId="12380" priority="1721" operator="greaterThan">
      <formula>0</formula>
    </cfRule>
  </conditionalFormatting>
  <conditionalFormatting sqref="Q32:Q39">
    <cfRule type="cellIs" dxfId="12379" priority="1719" operator="lessThan">
      <formula>0</formula>
    </cfRule>
  </conditionalFormatting>
  <conditionalFormatting sqref="R32:R39">
    <cfRule type="cellIs" dxfId="12378" priority="1717" operator="lessThan">
      <formula>0.8</formula>
    </cfRule>
    <cfRule type="cellIs" dxfId="12377" priority="1718" operator="greaterThan">
      <formula>1</formula>
    </cfRule>
  </conditionalFormatting>
  <conditionalFormatting sqref="R32:R39">
    <cfRule type="cellIs" dxfId="12376" priority="1715" operator="greaterThan">
      <formula>1</formula>
    </cfRule>
    <cfRule type="cellIs" dxfId="12375" priority="1716" operator="lessThan">
      <formula>0.8</formula>
    </cfRule>
  </conditionalFormatting>
  <conditionalFormatting sqref="P32:P39">
    <cfRule type="cellIs" dxfId="12374" priority="1714" operator="greaterThan">
      <formula>0</formula>
    </cfRule>
  </conditionalFormatting>
  <conditionalFormatting sqref="Q32:Q39">
    <cfRule type="cellIs" dxfId="12373" priority="1713" operator="lessThan">
      <formula>0</formula>
    </cfRule>
  </conditionalFormatting>
  <conditionalFormatting sqref="R32:R39">
    <cfRule type="cellIs" dxfId="12372" priority="1711" operator="lessThan">
      <formula>0.8</formula>
    </cfRule>
    <cfRule type="cellIs" dxfId="12371" priority="1712" operator="greaterThan">
      <formula>1</formula>
    </cfRule>
  </conditionalFormatting>
  <conditionalFormatting sqref="R32:R39">
    <cfRule type="cellIs" dxfId="12370" priority="1709" operator="greaterThan">
      <formula>1</formula>
    </cfRule>
    <cfRule type="cellIs" dxfId="12369" priority="1710" operator="lessThan">
      <formula>0.8</formula>
    </cfRule>
  </conditionalFormatting>
  <conditionalFormatting sqref="P32:P39">
    <cfRule type="cellIs" dxfId="12368" priority="1708" operator="greaterThan">
      <formula>0</formula>
    </cfRule>
  </conditionalFormatting>
  <conditionalFormatting sqref="Q32:Q39">
    <cfRule type="cellIs" dxfId="12367" priority="1702" operator="lessThan">
      <formula>0</formula>
    </cfRule>
  </conditionalFormatting>
  <conditionalFormatting sqref="R32:R39">
    <cfRule type="cellIs" dxfId="12366" priority="1706" operator="lessThan">
      <formula>0.8</formula>
    </cfRule>
    <cfRule type="cellIs" dxfId="12365" priority="1707" operator="greaterThan">
      <formula>1</formula>
    </cfRule>
  </conditionalFormatting>
  <conditionalFormatting sqref="R32:R39">
    <cfRule type="cellIs" dxfId="12364" priority="1704" operator="greaterThan">
      <formula>1</formula>
    </cfRule>
    <cfRule type="cellIs" dxfId="12363" priority="1705" operator="lessThan">
      <formula>0.8</formula>
    </cfRule>
  </conditionalFormatting>
  <conditionalFormatting sqref="P32:P39">
    <cfRule type="cellIs" dxfId="12362" priority="1703" operator="greaterThan">
      <formula>0</formula>
    </cfRule>
  </conditionalFormatting>
  <conditionalFormatting sqref="Q32:Q39">
    <cfRule type="cellIs" dxfId="12361" priority="1701" operator="lessThan">
      <formula>0</formula>
    </cfRule>
  </conditionalFormatting>
  <conditionalFormatting sqref="R32:R39">
    <cfRule type="cellIs" dxfId="12360" priority="1699" operator="lessThan">
      <formula>0.8</formula>
    </cfRule>
    <cfRule type="cellIs" dxfId="12359" priority="1700" operator="greaterThan">
      <formula>1</formula>
    </cfRule>
  </conditionalFormatting>
  <conditionalFormatting sqref="R32:R39">
    <cfRule type="cellIs" dxfId="12358" priority="1697" operator="greaterThan">
      <formula>1</formula>
    </cfRule>
    <cfRule type="cellIs" dxfId="12357" priority="1698" operator="lessThan">
      <formula>0.8</formula>
    </cfRule>
  </conditionalFormatting>
  <conditionalFormatting sqref="P32:P39">
    <cfRule type="cellIs" dxfId="12356" priority="1696" operator="greaterThan">
      <formula>0</formula>
    </cfRule>
  </conditionalFormatting>
  <conditionalFormatting sqref="Q32:Q39">
    <cfRule type="cellIs" dxfId="12355" priority="1695" operator="lessThan">
      <formula>0</formula>
    </cfRule>
  </conditionalFormatting>
  <conditionalFormatting sqref="R32:R39">
    <cfRule type="cellIs" dxfId="12354" priority="1693" operator="lessThan">
      <formula>0.8</formula>
    </cfRule>
    <cfRule type="cellIs" dxfId="12353" priority="1694" operator="greaterThan">
      <formula>1</formula>
    </cfRule>
  </conditionalFormatting>
  <conditionalFormatting sqref="R32:R39">
    <cfRule type="cellIs" dxfId="12352" priority="1691" operator="greaterThan">
      <formula>1</formula>
    </cfRule>
    <cfRule type="cellIs" dxfId="12351" priority="1692" operator="lessThan">
      <formula>0.8</formula>
    </cfRule>
  </conditionalFormatting>
  <conditionalFormatting sqref="P32:P39">
    <cfRule type="cellIs" dxfId="12350" priority="1690" operator="greaterThan">
      <formula>0</formula>
    </cfRule>
  </conditionalFormatting>
  <conditionalFormatting sqref="Q32:Q39">
    <cfRule type="cellIs" dxfId="12349" priority="1689" operator="lessThan">
      <formula>0</formula>
    </cfRule>
  </conditionalFormatting>
  <conditionalFormatting sqref="R32:R39">
    <cfRule type="cellIs" dxfId="12348" priority="1687" operator="lessThan">
      <formula>0.8</formula>
    </cfRule>
    <cfRule type="cellIs" dxfId="12347" priority="1688" operator="greaterThan">
      <formula>1</formula>
    </cfRule>
  </conditionalFormatting>
  <conditionalFormatting sqref="R32:R39">
    <cfRule type="cellIs" dxfId="12346" priority="1685" operator="greaterThan">
      <formula>1</formula>
    </cfRule>
    <cfRule type="cellIs" dxfId="12345" priority="1686" operator="lessThan">
      <formula>0.8</formula>
    </cfRule>
  </conditionalFormatting>
  <conditionalFormatting sqref="P32:P39">
    <cfRule type="cellIs" dxfId="12344" priority="1684" operator="greaterThan">
      <formula>0</formula>
    </cfRule>
  </conditionalFormatting>
  <conditionalFormatting sqref="Q32:Q39">
    <cfRule type="cellIs" dxfId="12343" priority="1683" operator="lessThan">
      <formula>0</formula>
    </cfRule>
  </conditionalFormatting>
  <conditionalFormatting sqref="R32:R39">
    <cfRule type="cellIs" dxfId="12342" priority="1681" operator="lessThan">
      <formula>0.8</formula>
    </cfRule>
    <cfRule type="cellIs" dxfId="12341" priority="1682" operator="greaterThan">
      <formula>1</formula>
    </cfRule>
  </conditionalFormatting>
  <conditionalFormatting sqref="R32:R39">
    <cfRule type="cellIs" dxfId="12340" priority="1679" operator="greaterThan">
      <formula>1</formula>
    </cfRule>
    <cfRule type="cellIs" dxfId="12339" priority="1680" operator="lessThan">
      <formula>0.8</formula>
    </cfRule>
  </conditionalFormatting>
  <conditionalFormatting sqref="P32:P39">
    <cfRule type="cellIs" dxfId="12338" priority="1678" operator="greaterThan">
      <formula>0</formula>
    </cfRule>
  </conditionalFormatting>
  <conditionalFormatting sqref="Q32:Q39">
    <cfRule type="cellIs" dxfId="12337" priority="1677" operator="lessThan">
      <formula>0</formula>
    </cfRule>
  </conditionalFormatting>
  <conditionalFormatting sqref="R32:R39">
    <cfRule type="cellIs" dxfId="12336" priority="1675" operator="lessThan">
      <formula>0.8</formula>
    </cfRule>
    <cfRule type="cellIs" dxfId="12335" priority="1676" operator="greaterThan">
      <formula>1</formula>
    </cfRule>
  </conditionalFormatting>
  <conditionalFormatting sqref="R32:R39">
    <cfRule type="cellIs" dxfId="12334" priority="1673" operator="greaterThan">
      <formula>1</formula>
    </cfRule>
    <cfRule type="cellIs" dxfId="12333" priority="1674" operator="lessThan">
      <formula>0.8</formula>
    </cfRule>
  </conditionalFormatting>
  <conditionalFormatting sqref="P32:P39">
    <cfRule type="cellIs" dxfId="12332" priority="1672" operator="greaterThan">
      <formula>0</formula>
    </cfRule>
  </conditionalFormatting>
  <conditionalFormatting sqref="P32:P39">
    <cfRule type="cellIs" dxfId="12331" priority="1666" operator="greaterThan">
      <formula>0</formula>
    </cfRule>
  </conditionalFormatting>
  <conditionalFormatting sqref="Q32:Q39">
    <cfRule type="cellIs" dxfId="12330" priority="1671" operator="lessThan">
      <formula>0</formula>
    </cfRule>
  </conditionalFormatting>
  <conditionalFormatting sqref="R32:R39">
    <cfRule type="cellIs" dxfId="12329" priority="1669" operator="lessThan">
      <formula>0.8</formula>
    </cfRule>
    <cfRule type="cellIs" dxfId="12328" priority="1670" operator="greaterThan">
      <formula>1</formula>
    </cfRule>
  </conditionalFormatting>
  <conditionalFormatting sqref="R32:R39">
    <cfRule type="cellIs" dxfId="12327" priority="1667" operator="greaterThan">
      <formula>1</formula>
    </cfRule>
    <cfRule type="cellIs" dxfId="12326" priority="1668" operator="lessThan">
      <formula>0.8</formula>
    </cfRule>
  </conditionalFormatting>
  <conditionalFormatting sqref="P32:P39">
    <cfRule type="cellIs" dxfId="12325" priority="1660" operator="greaterThan">
      <formula>0</formula>
    </cfRule>
  </conditionalFormatting>
  <conditionalFormatting sqref="Q32:Q39">
    <cfRule type="cellIs" dxfId="12324" priority="1665" operator="lessThan">
      <formula>0</formula>
    </cfRule>
  </conditionalFormatting>
  <conditionalFormatting sqref="R32:R39">
    <cfRule type="cellIs" dxfId="12323" priority="1663" operator="lessThan">
      <formula>0.8</formula>
    </cfRule>
    <cfRule type="cellIs" dxfId="12322" priority="1664" operator="greaterThan">
      <formula>1</formula>
    </cfRule>
  </conditionalFormatting>
  <conditionalFormatting sqref="R32:R39">
    <cfRule type="cellIs" dxfId="12321" priority="1661" operator="greaterThan">
      <formula>1</formula>
    </cfRule>
    <cfRule type="cellIs" dxfId="12320" priority="1662" operator="lessThan">
      <formula>0.8</formula>
    </cfRule>
  </conditionalFormatting>
  <conditionalFormatting sqref="R32:R39">
    <cfRule type="cellIs" dxfId="12319" priority="1657" operator="lessThan">
      <formula>0.8</formula>
    </cfRule>
    <cfRule type="cellIs" dxfId="12318" priority="1658" operator="greaterThan">
      <formula>1</formula>
    </cfRule>
  </conditionalFormatting>
  <conditionalFormatting sqref="R32:R39">
    <cfRule type="cellIs" dxfId="12317" priority="1655" operator="greaterThan">
      <formula>1</formula>
    </cfRule>
    <cfRule type="cellIs" dxfId="12316" priority="1656" operator="lessThan">
      <formula>0.8</formula>
    </cfRule>
  </conditionalFormatting>
  <conditionalFormatting sqref="P32:P39">
    <cfRule type="cellIs" dxfId="12315" priority="1654" operator="greaterThan">
      <formula>0</formula>
    </cfRule>
  </conditionalFormatting>
  <conditionalFormatting sqref="Q32:Q39">
    <cfRule type="cellIs" dxfId="12314" priority="1659" operator="lessThan">
      <formula>0</formula>
    </cfRule>
  </conditionalFormatting>
  <conditionalFormatting sqref="Q32:Q39">
    <cfRule type="cellIs" dxfId="12313" priority="1648" operator="lessThan">
      <formula>0</formula>
    </cfRule>
  </conditionalFormatting>
  <conditionalFormatting sqref="P32:P39">
    <cfRule type="cellIs" dxfId="12312" priority="1649" operator="greaterThan">
      <formula>0</formula>
    </cfRule>
  </conditionalFormatting>
  <conditionalFormatting sqref="R32:R39">
    <cfRule type="cellIs" dxfId="12311" priority="1652" operator="lessThan">
      <formula>0.8</formula>
    </cfRule>
    <cfRule type="cellIs" dxfId="12310" priority="1653" operator="greaterThan">
      <formula>1</formula>
    </cfRule>
  </conditionalFormatting>
  <conditionalFormatting sqref="R32:R39">
    <cfRule type="cellIs" dxfId="12309" priority="1650" operator="greaterThan">
      <formula>1</formula>
    </cfRule>
    <cfRule type="cellIs" dxfId="12308" priority="1651" operator="lessThan">
      <formula>0.8</formula>
    </cfRule>
  </conditionalFormatting>
  <conditionalFormatting sqref="Q32:Q39">
    <cfRule type="cellIs" dxfId="12307" priority="1642" operator="lessThan">
      <formula>0</formula>
    </cfRule>
  </conditionalFormatting>
  <conditionalFormatting sqref="R32:R39">
    <cfRule type="cellIs" dxfId="12306" priority="1646" operator="lessThan">
      <formula>0.8</formula>
    </cfRule>
    <cfRule type="cellIs" dxfId="12305" priority="1647" operator="greaterThan">
      <formula>1</formula>
    </cfRule>
  </conditionalFormatting>
  <conditionalFormatting sqref="R32:R39">
    <cfRule type="cellIs" dxfId="12304" priority="1644" operator="greaterThan">
      <formula>1</formula>
    </cfRule>
    <cfRule type="cellIs" dxfId="12303" priority="1645" operator="lessThan">
      <formula>0.8</formula>
    </cfRule>
  </conditionalFormatting>
  <conditionalFormatting sqref="P32:P39">
    <cfRule type="cellIs" dxfId="12302" priority="1643" operator="greaterThan">
      <formula>0</formula>
    </cfRule>
  </conditionalFormatting>
  <conditionalFormatting sqref="Q32:Q39">
    <cfRule type="cellIs" dxfId="12301" priority="1641" operator="lessThan">
      <formula>0</formula>
    </cfRule>
  </conditionalFormatting>
  <conditionalFormatting sqref="R32:R39">
    <cfRule type="cellIs" dxfId="12300" priority="1639" operator="lessThan">
      <formula>0.8</formula>
    </cfRule>
    <cfRule type="cellIs" dxfId="12299" priority="1640" operator="greaterThan">
      <formula>1</formula>
    </cfRule>
  </conditionalFormatting>
  <conditionalFormatting sqref="R32:R39">
    <cfRule type="cellIs" dxfId="12298" priority="1637" operator="greaterThan">
      <formula>1</formula>
    </cfRule>
    <cfRule type="cellIs" dxfId="12297" priority="1638" operator="lessThan">
      <formula>0.8</formula>
    </cfRule>
  </conditionalFormatting>
  <conditionalFormatting sqref="P32:P39">
    <cfRule type="cellIs" dxfId="12296" priority="1636" operator="greaterThan">
      <formula>0</formula>
    </cfRule>
  </conditionalFormatting>
  <conditionalFormatting sqref="Q32:Q39">
    <cfRule type="cellIs" dxfId="12295" priority="1635" operator="lessThan">
      <formula>0</formula>
    </cfRule>
  </conditionalFormatting>
  <conditionalFormatting sqref="R32:R39">
    <cfRule type="cellIs" dxfId="12294" priority="1633" operator="lessThan">
      <formula>0.8</formula>
    </cfRule>
    <cfRule type="cellIs" dxfId="12293" priority="1634" operator="greaterThan">
      <formula>1</formula>
    </cfRule>
  </conditionalFormatting>
  <conditionalFormatting sqref="R32:R39">
    <cfRule type="cellIs" dxfId="12292" priority="1631" operator="greaterThan">
      <formula>1</formula>
    </cfRule>
    <cfRule type="cellIs" dxfId="12291" priority="1632" operator="lessThan">
      <formula>0.8</formula>
    </cfRule>
  </conditionalFormatting>
  <conditionalFormatting sqref="P32:P39">
    <cfRule type="cellIs" dxfId="12290" priority="1630" operator="greaterThan">
      <formula>0</formula>
    </cfRule>
  </conditionalFormatting>
  <conditionalFormatting sqref="Q32:Q39">
    <cfRule type="cellIs" dxfId="12289" priority="1624" operator="lessThan">
      <formula>0</formula>
    </cfRule>
  </conditionalFormatting>
  <conditionalFormatting sqref="P32:P39">
    <cfRule type="cellIs" dxfId="12288" priority="1625" operator="greaterThan">
      <formula>0</formula>
    </cfRule>
  </conditionalFormatting>
  <conditionalFormatting sqref="R32:R39">
    <cfRule type="cellIs" dxfId="12287" priority="1628" operator="lessThan">
      <formula>0.8</formula>
    </cfRule>
    <cfRule type="cellIs" dxfId="12286" priority="1629" operator="greaterThan">
      <formula>1</formula>
    </cfRule>
  </conditionalFormatting>
  <conditionalFormatting sqref="R32:R39">
    <cfRule type="cellIs" dxfId="12285" priority="1626" operator="greaterThan">
      <formula>1</formula>
    </cfRule>
    <cfRule type="cellIs" dxfId="12284" priority="1627" operator="lessThan">
      <formula>0.8</formula>
    </cfRule>
  </conditionalFormatting>
  <conditionalFormatting sqref="Q32:Q39">
    <cfRule type="cellIs" dxfId="12283" priority="1618" operator="lessThan">
      <formula>0</formula>
    </cfRule>
  </conditionalFormatting>
  <conditionalFormatting sqref="R32:R39">
    <cfRule type="cellIs" dxfId="12282" priority="1622" operator="lessThan">
      <formula>0.8</formula>
    </cfRule>
    <cfRule type="cellIs" dxfId="12281" priority="1623" operator="greaterThan">
      <formula>1</formula>
    </cfRule>
  </conditionalFormatting>
  <conditionalFormatting sqref="R32:R39">
    <cfRule type="cellIs" dxfId="12280" priority="1620" operator="greaterThan">
      <formula>1</formula>
    </cfRule>
    <cfRule type="cellIs" dxfId="12279" priority="1621" operator="lessThan">
      <formula>0.8</formula>
    </cfRule>
  </conditionalFormatting>
  <conditionalFormatting sqref="P32:P39">
    <cfRule type="cellIs" dxfId="12278" priority="1619" operator="greaterThan">
      <formula>0</formula>
    </cfRule>
  </conditionalFormatting>
  <conditionalFormatting sqref="Q32:Q39">
    <cfRule type="cellIs" dxfId="12277" priority="1617" operator="lessThan">
      <formula>0</formula>
    </cfRule>
  </conditionalFormatting>
  <conditionalFormatting sqref="R32:R39">
    <cfRule type="cellIs" dxfId="12276" priority="1615" operator="lessThan">
      <formula>0.8</formula>
    </cfRule>
    <cfRule type="cellIs" dxfId="12275" priority="1616" operator="greaterThan">
      <formula>1</formula>
    </cfRule>
  </conditionalFormatting>
  <conditionalFormatting sqref="R32:R39">
    <cfRule type="cellIs" dxfId="12274" priority="1613" operator="greaterThan">
      <formula>1</formula>
    </cfRule>
    <cfRule type="cellIs" dxfId="12273" priority="1614" operator="lessThan">
      <formula>0.8</formula>
    </cfRule>
  </conditionalFormatting>
  <conditionalFormatting sqref="P32:P39">
    <cfRule type="cellIs" dxfId="12272" priority="1612" operator="greaterThan">
      <formula>0</formula>
    </cfRule>
  </conditionalFormatting>
  <conditionalFormatting sqref="Q32:Q39">
    <cfRule type="cellIs" dxfId="12271" priority="1611" operator="lessThan">
      <formula>0</formula>
    </cfRule>
  </conditionalFormatting>
  <conditionalFormatting sqref="R32:R39">
    <cfRule type="cellIs" dxfId="12270" priority="1609" operator="lessThan">
      <formula>0.8</formula>
    </cfRule>
    <cfRule type="cellIs" dxfId="12269" priority="1610" operator="greaterThan">
      <formula>1</formula>
    </cfRule>
  </conditionalFormatting>
  <conditionalFormatting sqref="R32:R39">
    <cfRule type="cellIs" dxfId="12268" priority="1607" operator="greaterThan">
      <formula>1</formula>
    </cfRule>
    <cfRule type="cellIs" dxfId="12267" priority="1608" operator="lessThan">
      <formula>0.8</formula>
    </cfRule>
  </conditionalFormatting>
  <conditionalFormatting sqref="P32:P39">
    <cfRule type="cellIs" dxfId="12266" priority="1606" operator="greaterThan">
      <formula>0</formula>
    </cfRule>
  </conditionalFormatting>
  <conditionalFormatting sqref="Q19:Q24">
    <cfRule type="cellIs" dxfId="12265" priority="1605" operator="lessThan">
      <formula>0</formula>
    </cfRule>
  </conditionalFormatting>
  <conditionalFormatting sqref="R19:R24">
    <cfRule type="cellIs" dxfId="12264" priority="1603" operator="lessThan">
      <formula>0.8</formula>
    </cfRule>
    <cfRule type="cellIs" dxfId="12263" priority="1604" operator="greaterThan">
      <formula>1</formula>
    </cfRule>
  </conditionalFormatting>
  <conditionalFormatting sqref="R19:R24">
    <cfRule type="cellIs" dxfId="12262" priority="1601" operator="greaterThan">
      <formula>1</formula>
    </cfRule>
    <cfRule type="cellIs" dxfId="12261" priority="1602" operator="lessThan">
      <formula>0.8</formula>
    </cfRule>
  </conditionalFormatting>
  <conditionalFormatting sqref="P19:P24">
    <cfRule type="cellIs" dxfId="12260" priority="1600" operator="greaterThan">
      <formula>0</formula>
    </cfRule>
  </conditionalFormatting>
  <conditionalFormatting sqref="R19:R24">
    <cfRule type="cellIs" dxfId="12259" priority="1597" operator="lessThan">
      <formula>0.8</formula>
    </cfRule>
    <cfRule type="cellIs" dxfId="12258" priority="1598" operator="greaterThan">
      <formula>1</formula>
    </cfRule>
  </conditionalFormatting>
  <conditionalFormatting sqref="R19:R24">
    <cfRule type="cellIs" dxfId="12257" priority="1595" operator="greaterThan">
      <formula>1</formula>
    </cfRule>
    <cfRule type="cellIs" dxfId="12256" priority="1596" operator="lessThan">
      <formula>0.8</formula>
    </cfRule>
  </conditionalFormatting>
  <conditionalFormatting sqref="P19:P24">
    <cfRule type="cellIs" dxfId="12255" priority="1594" operator="greaterThan">
      <formula>0</formula>
    </cfRule>
  </conditionalFormatting>
  <conditionalFormatting sqref="Q19:Q24">
    <cfRule type="cellIs" dxfId="12254" priority="1599" operator="lessThan">
      <formula>0</formula>
    </cfRule>
  </conditionalFormatting>
  <conditionalFormatting sqref="R19:R24">
    <cfRule type="cellIs" dxfId="12253" priority="1591" operator="lessThan">
      <formula>0.8</formula>
    </cfRule>
    <cfRule type="cellIs" dxfId="12252" priority="1592" operator="greaterThan">
      <formula>1</formula>
    </cfRule>
  </conditionalFormatting>
  <conditionalFormatting sqref="R19:R24">
    <cfRule type="cellIs" dxfId="12251" priority="1589" operator="greaterThan">
      <formula>1</formula>
    </cfRule>
    <cfRule type="cellIs" dxfId="12250" priority="1590" operator="lessThan">
      <formula>0.8</formula>
    </cfRule>
  </conditionalFormatting>
  <conditionalFormatting sqref="P19:P24">
    <cfRule type="cellIs" dxfId="12249" priority="1588" operator="greaterThan">
      <formula>0</formula>
    </cfRule>
  </conditionalFormatting>
  <conditionalFormatting sqref="Q19:Q24">
    <cfRule type="cellIs" dxfId="12248" priority="1593" operator="lessThan">
      <formula>0</formula>
    </cfRule>
  </conditionalFormatting>
  <conditionalFormatting sqref="Q19:Q24">
    <cfRule type="cellIs" dxfId="12247" priority="1587" operator="lessThan">
      <formula>0</formula>
    </cfRule>
  </conditionalFormatting>
  <conditionalFormatting sqref="R19:R24">
    <cfRule type="cellIs" dxfId="12246" priority="1585" operator="lessThan">
      <formula>0.8</formula>
    </cfRule>
    <cfRule type="cellIs" dxfId="12245" priority="1586" operator="greaterThan">
      <formula>1</formula>
    </cfRule>
  </conditionalFormatting>
  <conditionalFormatting sqref="R19:R24">
    <cfRule type="cellIs" dxfId="12244" priority="1583" operator="greaterThan">
      <formula>1</formula>
    </cfRule>
    <cfRule type="cellIs" dxfId="12243" priority="1584" operator="lessThan">
      <formula>0.8</formula>
    </cfRule>
  </conditionalFormatting>
  <conditionalFormatting sqref="P19:P24">
    <cfRule type="cellIs" dxfId="12242" priority="1582" operator="greaterThan">
      <formula>0</formula>
    </cfRule>
  </conditionalFormatting>
  <conditionalFormatting sqref="Q135:Q136 Q139 Q142">
    <cfRule type="cellIs" dxfId="12241" priority="1581" operator="lessThan">
      <formula>0</formula>
    </cfRule>
  </conditionalFormatting>
  <conditionalFormatting sqref="R135:R136 R139 R142">
    <cfRule type="cellIs" dxfId="12240" priority="1579" operator="lessThan">
      <formula>0.8</formula>
    </cfRule>
    <cfRule type="cellIs" dxfId="12239" priority="1580" operator="greaterThan">
      <formula>1</formula>
    </cfRule>
  </conditionalFormatting>
  <conditionalFormatting sqref="R135:R136 R139 R142">
    <cfRule type="cellIs" dxfId="12238" priority="1577" operator="greaterThan">
      <formula>1</formula>
    </cfRule>
    <cfRule type="cellIs" dxfId="12237" priority="1578" operator="lessThan">
      <formula>0.8</formula>
    </cfRule>
  </conditionalFormatting>
  <conditionalFormatting sqref="P135:P136 P139 P142">
    <cfRule type="cellIs" dxfId="12236" priority="1576" operator="greaterThan">
      <formula>0</formula>
    </cfRule>
  </conditionalFormatting>
  <conditionalFormatting sqref="P135:P136 P139 P142">
    <cfRule type="cellIs" dxfId="12235" priority="1570" operator="greaterThan">
      <formula>0</formula>
    </cfRule>
  </conditionalFormatting>
  <conditionalFormatting sqref="Q135:Q136 Q139 Q142">
    <cfRule type="cellIs" dxfId="12234" priority="1575" operator="lessThan">
      <formula>0</formula>
    </cfRule>
  </conditionalFormatting>
  <conditionalFormatting sqref="R135:R136 R139 R142">
    <cfRule type="cellIs" dxfId="12233" priority="1573" operator="lessThan">
      <formula>0.8</formula>
    </cfRule>
    <cfRule type="cellIs" dxfId="12232" priority="1574" operator="greaterThan">
      <formula>1</formula>
    </cfRule>
  </conditionalFormatting>
  <conditionalFormatting sqref="R135:R136 R139 R142">
    <cfRule type="cellIs" dxfId="12231" priority="1571" operator="greaterThan">
      <formula>1</formula>
    </cfRule>
    <cfRule type="cellIs" dxfId="12230" priority="1572" operator="lessThan">
      <formula>0.8</formula>
    </cfRule>
  </conditionalFormatting>
  <conditionalFormatting sqref="Q25">
    <cfRule type="cellIs" dxfId="12229" priority="1569" operator="lessThan">
      <formula>0</formula>
    </cfRule>
  </conditionalFormatting>
  <conditionalFormatting sqref="R25">
    <cfRule type="cellIs" dxfId="12228" priority="1567" operator="lessThan">
      <formula>0.8</formula>
    </cfRule>
    <cfRule type="cellIs" dxfId="12227" priority="1568" operator="greaterThan">
      <formula>1</formula>
    </cfRule>
  </conditionalFormatting>
  <conditionalFormatting sqref="R25">
    <cfRule type="cellIs" dxfId="12226" priority="1565" operator="greaterThan">
      <formula>1</formula>
    </cfRule>
    <cfRule type="cellIs" dxfId="12225" priority="1566" operator="lessThan">
      <formula>0.8</formula>
    </cfRule>
  </conditionalFormatting>
  <conditionalFormatting sqref="P25">
    <cfRule type="cellIs" dxfId="12224" priority="1564" operator="greaterThan">
      <formula>0</formula>
    </cfRule>
  </conditionalFormatting>
  <conditionalFormatting sqref="R25">
    <cfRule type="cellIs" dxfId="12223" priority="1561" operator="lessThan">
      <formula>0.8</formula>
    </cfRule>
    <cfRule type="cellIs" dxfId="12222" priority="1562" operator="greaterThan">
      <formula>1</formula>
    </cfRule>
  </conditionalFormatting>
  <conditionalFormatting sqref="R25">
    <cfRule type="cellIs" dxfId="12221" priority="1559" operator="greaterThan">
      <formula>1</formula>
    </cfRule>
    <cfRule type="cellIs" dxfId="12220" priority="1560" operator="lessThan">
      <formula>0.8</formula>
    </cfRule>
  </conditionalFormatting>
  <conditionalFormatting sqref="P25">
    <cfRule type="cellIs" dxfId="12219" priority="1558" operator="greaterThan">
      <formula>0</formula>
    </cfRule>
  </conditionalFormatting>
  <conditionalFormatting sqref="Q25">
    <cfRule type="cellIs" dxfId="12218" priority="1563" operator="lessThan">
      <formula>0</formula>
    </cfRule>
  </conditionalFormatting>
  <conditionalFormatting sqref="R25">
    <cfRule type="cellIs" dxfId="12217" priority="1555" operator="lessThan">
      <formula>0.8</formula>
    </cfRule>
    <cfRule type="cellIs" dxfId="12216" priority="1556" operator="greaterThan">
      <formula>1</formula>
    </cfRule>
  </conditionalFormatting>
  <conditionalFormatting sqref="R25">
    <cfRule type="cellIs" dxfId="12215" priority="1553" operator="greaterThan">
      <formula>1</formula>
    </cfRule>
    <cfRule type="cellIs" dxfId="12214" priority="1554" operator="lessThan">
      <formula>0.8</formula>
    </cfRule>
  </conditionalFormatting>
  <conditionalFormatting sqref="P25">
    <cfRule type="cellIs" dxfId="12213" priority="1552" operator="greaterThan">
      <formula>0</formula>
    </cfRule>
  </conditionalFormatting>
  <conditionalFormatting sqref="Q25">
    <cfRule type="cellIs" dxfId="12212" priority="1557" operator="lessThan">
      <formula>0</formula>
    </cfRule>
  </conditionalFormatting>
  <conditionalFormatting sqref="Q25">
    <cfRule type="cellIs" dxfId="12211" priority="1551" operator="lessThan">
      <formula>0</formula>
    </cfRule>
  </conditionalFormatting>
  <conditionalFormatting sqref="R25">
    <cfRule type="cellIs" dxfId="12210" priority="1549" operator="lessThan">
      <formula>0.8</formula>
    </cfRule>
    <cfRule type="cellIs" dxfId="12209" priority="1550" operator="greaterThan">
      <formula>1</formula>
    </cfRule>
  </conditionalFormatting>
  <conditionalFormatting sqref="R25">
    <cfRule type="cellIs" dxfId="12208" priority="1547" operator="greaterThan">
      <formula>1</formula>
    </cfRule>
    <cfRule type="cellIs" dxfId="12207" priority="1548" operator="lessThan">
      <formula>0.8</formula>
    </cfRule>
  </conditionalFormatting>
  <conditionalFormatting sqref="P25">
    <cfRule type="cellIs" dxfId="12206" priority="1546" operator="greaterThan">
      <formula>0</formula>
    </cfRule>
  </conditionalFormatting>
  <conditionalFormatting sqref="Q25">
    <cfRule type="cellIs" dxfId="12205" priority="1545" operator="lessThan">
      <formula>0</formula>
    </cfRule>
  </conditionalFormatting>
  <conditionalFormatting sqref="R25">
    <cfRule type="cellIs" dxfId="12204" priority="1543" operator="lessThan">
      <formula>0.8</formula>
    </cfRule>
    <cfRule type="cellIs" dxfId="12203" priority="1544" operator="greaterThan">
      <formula>1</formula>
    </cfRule>
  </conditionalFormatting>
  <conditionalFormatting sqref="R25">
    <cfRule type="cellIs" dxfId="12202" priority="1541" operator="greaterThan">
      <formula>1</formula>
    </cfRule>
    <cfRule type="cellIs" dxfId="12201" priority="1542" operator="lessThan">
      <formula>0.8</formula>
    </cfRule>
  </conditionalFormatting>
  <conditionalFormatting sqref="P25">
    <cfRule type="cellIs" dxfId="12200" priority="1540" operator="greaterThan">
      <formula>0</formula>
    </cfRule>
  </conditionalFormatting>
  <conditionalFormatting sqref="P19:P24">
    <cfRule type="cellIs" dxfId="12199" priority="1534" operator="greaterThan">
      <formula>0</formula>
    </cfRule>
  </conditionalFormatting>
  <conditionalFormatting sqref="Q19:Q24">
    <cfRule type="cellIs" dxfId="12198" priority="1539" operator="lessThan">
      <formula>0</formula>
    </cfRule>
  </conditionalFormatting>
  <conditionalFormatting sqref="R19:R24">
    <cfRule type="cellIs" dxfId="12197" priority="1537" operator="lessThan">
      <formula>0.8</formula>
    </cfRule>
    <cfRule type="cellIs" dxfId="12196" priority="1538" operator="greaterThan">
      <formula>1</formula>
    </cfRule>
  </conditionalFormatting>
  <conditionalFormatting sqref="R19:R24">
    <cfRule type="cellIs" dxfId="12195" priority="1535" operator="greaterThan">
      <formula>1</formula>
    </cfRule>
    <cfRule type="cellIs" dxfId="12194" priority="1536" operator="lessThan">
      <formula>0.8</formula>
    </cfRule>
  </conditionalFormatting>
  <conditionalFormatting sqref="Q19:Q24">
    <cfRule type="cellIs" dxfId="12193" priority="1533" operator="lessThan">
      <formula>0</formula>
    </cfRule>
  </conditionalFormatting>
  <conditionalFormatting sqref="R19:R24">
    <cfRule type="cellIs" dxfId="12192" priority="1531" operator="lessThan">
      <formula>0.8</formula>
    </cfRule>
    <cfRule type="cellIs" dxfId="12191" priority="1532" operator="greaterThan">
      <formula>1</formula>
    </cfRule>
  </conditionalFormatting>
  <conditionalFormatting sqref="R19:R24">
    <cfRule type="cellIs" dxfId="12190" priority="1529" operator="greaterThan">
      <formula>1</formula>
    </cfRule>
    <cfRule type="cellIs" dxfId="12189" priority="1530" operator="lessThan">
      <formula>0.8</formula>
    </cfRule>
  </conditionalFormatting>
  <conditionalFormatting sqref="P19:P24">
    <cfRule type="cellIs" dxfId="12188" priority="1528" operator="greaterThan">
      <formula>0</formula>
    </cfRule>
  </conditionalFormatting>
  <conditionalFormatting sqref="Q19:Q24">
    <cfRule type="cellIs" dxfId="12187" priority="1527" operator="lessThan">
      <formula>0</formula>
    </cfRule>
  </conditionalFormatting>
  <conditionalFormatting sqref="R19:R24">
    <cfRule type="cellIs" dxfId="12186" priority="1525" operator="lessThan">
      <formula>0.8</formula>
    </cfRule>
    <cfRule type="cellIs" dxfId="12185" priority="1526" operator="greaterThan">
      <formula>1</formula>
    </cfRule>
  </conditionalFormatting>
  <conditionalFormatting sqref="R19:R24">
    <cfRule type="cellIs" dxfId="12184" priority="1523" operator="greaterThan">
      <formula>1</formula>
    </cfRule>
    <cfRule type="cellIs" dxfId="12183" priority="1524" operator="lessThan">
      <formula>0.8</formula>
    </cfRule>
  </conditionalFormatting>
  <conditionalFormatting sqref="P19:P24">
    <cfRule type="cellIs" dxfId="12182" priority="1522" operator="greaterThan">
      <formula>0</formula>
    </cfRule>
  </conditionalFormatting>
  <conditionalFormatting sqref="Q19:Q24">
    <cfRule type="cellIs" dxfId="12181" priority="1521" operator="lessThan">
      <formula>0</formula>
    </cfRule>
  </conditionalFormatting>
  <conditionalFormatting sqref="R19:R24">
    <cfRule type="cellIs" dxfId="12180" priority="1519" operator="lessThan">
      <formula>0.8</formula>
    </cfRule>
    <cfRule type="cellIs" dxfId="12179" priority="1520" operator="greaterThan">
      <formula>1</formula>
    </cfRule>
  </conditionalFormatting>
  <conditionalFormatting sqref="R19:R24">
    <cfRule type="cellIs" dxfId="12178" priority="1517" operator="greaterThan">
      <formula>1</formula>
    </cfRule>
    <cfRule type="cellIs" dxfId="12177" priority="1518" operator="lessThan">
      <formula>0.8</formula>
    </cfRule>
  </conditionalFormatting>
  <conditionalFormatting sqref="P19:P24">
    <cfRule type="cellIs" dxfId="12176" priority="1516" operator="greaterThan">
      <formula>0</formula>
    </cfRule>
  </conditionalFormatting>
  <conditionalFormatting sqref="R19:R24">
    <cfRule type="cellIs" dxfId="12175" priority="1513" operator="lessThan">
      <formula>0.8</formula>
    </cfRule>
    <cfRule type="cellIs" dxfId="12174" priority="1514" operator="greaterThan">
      <formula>1</formula>
    </cfRule>
  </conditionalFormatting>
  <conditionalFormatting sqref="R19:R24">
    <cfRule type="cellIs" dxfId="12173" priority="1511" operator="greaterThan">
      <formula>1</formula>
    </cfRule>
    <cfRule type="cellIs" dxfId="12172" priority="1512" operator="lessThan">
      <formula>0.8</formula>
    </cfRule>
  </conditionalFormatting>
  <conditionalFormatting sqref="P19:P24">
    <cfRule type="cellIs" dxfId="12171" priority="1510" operator="greaterThan">
      <formula>0</formula>
    </cfRule>
  </conditionalFormatting>
  <conditionalFormatting sqref="Q19:Q24">
    <cfRule type="cellIs" dxfId="12170" priority="1515" operator="lessThan">
      <formula>0</formula>
    </cfRule>
  </conditionalFormatting>
  <conditionalFormatting sqref="Q19:Q24">
    <cfRule type="cellIs" dxfId="12169" priority="1509" operator="lessThan">
      <formula>0</formula>
    </cfRule>
  </conditionalFormatting>
  <conditionalFormatting sqref="R19:R24">
    <cfRule type="cellIs" dxfId="12168" priority="1507" operator="lessThan">
      <formula>0.8</formula>
    </cfRule>
    <cfRule type="cellIs" dxfId="12167" priority="1508" operator="greaterThan">
      <formula>1</formula>
    </cfRule>
  </conditionalFormatting>
  <conditionalFormatting sqref="R19:R24">
    <cfRule type="cellIs" dxfId="12166" priority="1505" operator="greaterThan">
      <formula>1</formula>
    </cfRule>
    <cfRule type="cellIs" dxfId="12165" priority="1506" operator="lessThan">
      <formula>0.8</formula>
    </cfRule>
  </conditionalFormatting>
  <conditionalFormatting sqref="P19:P24">
    <cfRule type="cellIs" dxfId="12164" priority="1504" operator="greaterThan">
      <formula>0</formula>
    </cfRule>
  </conditionalFormatting>
  <conditionalFormatting sqref="P19:P24">
    <cfRule type="cellIs" dxfId="12163" priority="1498" operator="greaterThan">
      <formula>0</formula>
    </cfRule>
  </conditionalFormatting>
  <conditionalFormatting sqref="Q19:Q24">
    <cfRule type="cellIs" dxfId="12162" priority="1503" operator="lessThan">
      <formula>0</formula>
    </cfRule>
  </conditionalFormatting>
  <conditionalFormatting sqref="R19:R24">
    <cfRule type="cellIs" dxfId="12161" priority="1501" operator="lessThan">
      <formula>0.8</formula>
    </cfRule>
    <cfRule type="cellIs" dxfId="12160" priority="1502" operator="greaterThan">
      <formula>1</formula>
    </cfRule>
  </conditionalFormatting>
  <conditionalFormatting sqref="R19:R24">
    <cfRule type="cellIs" dxfId="12159" priority="1499" operator="greaterThan">
      <formula>1</formula>
    </cfRule>
    <cfRule type="cellIs" dxfId="12158" priority="1500" operator="lessThan">
      <formula>0.8</formula>
    </cfRule>
  </conditionalFormatting>
  <conditionalFormatting sqref="P19:P24">
    <cfRule type="cellIs" dxfId="12157" priority="1492" operator="greaterThan">
      <formula>0</formula>
    </cfRule>
  </conditionalFormatting>
  <conditionalFormatting sqref="Q19:Q24">
    <cfRule type="cellIs" dxfId="12156" priority="1497" operator="lessThan">
      <formula>0</formula>
    </cfRule>
  </conditionalFormatting>
  <conditionalFormatting sqref="R19:R24">
    <cfRule type="cellIs" dxfId="12155" priority="1495" operator="lessThan">
      <formula>0.8</formula>
    </cfRule>
    <cfRule type="cellIs" dxfId="12154" priority="1496" operator="greaterThan">
      <formula>1</formula>
    </cfRule>
  </conditionalFormatting>
  <conditionalFormatting sqref="R19:R24">
    <cfRule type="cellIs" dxfId="12153" priority="1493" operator="greaterThan">
      <formula>1</formula>
    </cfRule>
    <cfRule type="cellIs" dxfId="12152" priority="1494" operator="lessThan">
      <formula>0.8</formula>
    </cfRule>
  </conditionalFormatting>
  <conditionalFormatting sqref="Q19:Q24">
    <cfRule type="cellIs" dxfId="12151" priority="1491" operator="lessThan">
      <formula>0</formula>
    </cfRule>
  </conditionalFormatting>
  <conditionalFormatting sqref="R19:R24">
    <cfRule type="cellIs" dxfId="12150" priority="1489" operator="lessThan">
      <formula>0.8</formula>
    </cfRule>
    <cfRule type="cellIs" dxfId="12149" priority="1490" operator="greaterThan">
      <formula>1</formula>
    </cfRule>
  </conditionalFormatting>
  <conditionalFormatting sqref="R19:R24">
    <cfRule type="cellIs" dxfId="12148" priority="1487" operator="greaterThan">
      <formula>1</formula>
    </cfRule>
    <cfRule type="cellIs" dxfId="12147" priority="1488" operator="lessThan">
      <formula>0.8</formula>
    </cfRule>
  </conditionalFormatting>
  <conditionalFormatting sqref="P19:P24">
    <cfRule type="cellIs" dxfId="12146" priority="1486" operator="greaterThan">
      <formula>0</formula>
    </cfRule>
  </conditionalFormatting>
  <conditionalFormatting sqref="Q19:Q24">
    <cfRule type="cellIs" dxfId="12145" priority="1485" operator="lessThan">
      <formula>0</formula>
    </cfRule>
  </conditionalFormatting>
  <conditionalFormatting sqref="R19:R24">
    <cfRule type="cellIs" dxfId="12144" priority="1483" operator="lessThan">
      <formula>0.8</formula>
    </cfRule>
    <cfRule type="cellIs" dxfId="12143" priority="1484" operator="greaterThan">
      <formula>1</formula>
    </cfRule>
  </conditionalFormatting>
  <conditionalFormatting sqref="R19:R24">
    <cfRule type="cellIs" dxfId="12142" priority="1481" operator="greaterThan">
      <formula>1</formula>
    </cfRule>
    <cfRule type="cellIs" dxfId="12141" priority="1482" operator="lessThan">
      <formula>0.8</formula>
    </cfRule>
  </conditionalFormatting>
  <conditionalFormatting sqref="P19:P24">
    <cfRule type="cellIs" dxfId="12140" priority="1480" operator="greaterThan">
      <formula>0</formula>
    </cfRule>
  </conditionalFormatting>
  <conditionalFormatting sqref="P19:P24">
    <cfRule type="cellIs" dxfId="12139" priority="1474" operator="greaterThan">
      <formula>0</formula>
    </cfRule>
  </conditionalFormatting>
  <conditionalFormatting sqref="Q19:Q24">
    <cfRule type="cellIs" dxfId="12138" priority="1479" operator="lessThan">
      <formula>0</formula>
    </cfRule>
  </conditionalFormatting>
  <conditionalFormatting sqref="R19:R24">
    <cfRule type="cellIs" dxfId="12137" priority="1477" operator="lessThan">
      <formula>0.8</formula>
    </cfRule>
    <cfRule type="cellIs" dxfId="12136" priority="1478" operator="greaterThan">
      <formula>1</formula>
    </cfRule>
  </conditionalFormatting>
  <conditionalFormatting sqref="R19:R24">
    <cfRule type="cellIs" dxfId="12135" priority="1475" operator="greaterThan">
      <formula>1</formula>
    </cfRule>
    <cfRule type="cellIs" dxfId="12134" priority="1476" operator="lessThan">
      <formula>0.8</formula>
    </cfRule>
  </conditionalFormatting>
  <conditionalFormatting sqref="Q19:Q24">
    <cfRule type="cellIs" dxfId="12133" priority="1473" operator="lessThan">
      <formula>0</formula>
    </cfRule>
  </conditionalFormatting>
  <conditionalFormatting sqref="R19:R24">
    <cfRule type="cellIs" dxfId="12132" priority="1471" operator="lessThan">
      <formula>0.8</formula>
    </cfRule>
    <cfRule type="cellIs" dxfId="12131" priority="1472" operator="greaterThan">
      <formula>1</formula>
    </cfRule>
  </conditionalFormatting>
  <conditionalFormatting sqref="R19:R24">
    <cfRule type="cellIs" dxfId="12130" priority="1469" operator="greaterThan">
      <formula>1</formula>
    </cfRule>
    <cfRule type="cellIs" dxfId="12129" priority="1470" operator="lessThan">
      <formula>0.8</formula>
    </cfRule>
  </conditionalFormatting>
  <conditionalFormatting sqref="P19:P24">
    <cfRule type="cellIs" dxfId="12128" priority="1468" operator="greaterThan">
      <formula>0</formula>
    </cfRule>
  </conditionalFormatting>
  <conditionalFormatting sqref="Q19:Q24">
    <cfRule type="cellIs" dxfId="12127" priority="1467" operator="lessThan">
      <formula>0</formula>
    </cfRule>
  </conditionalFormatting>
  <conditionalFormatting sqref="R19:R24">
    <cfRule type="cellIs" dxfId="12126" priority="1465" operator="lessThan">
      <formula>0.8</formula>
    </cfRule>
    <cfRule type="cellIs" dxfId="12125" priority="1466" operator="greaterThan">
      <formula>1</formula>
    </cfRule>
  </conditionalFormatting>
  <conditionalFormatting sqref="R19:R24">
    <cfRule type="cellIs" dxfId="12124" priority="1463" operator="greaterThan">
      <formula>1</formula>
    </cfRule>
    <cfRule type="cellIs" dxfId="12123" priority="1464" operator="lessThan">
      <formula>0.8</formula>
    </cfRule>
  </conditionalFormatting>
  <conditionalFormatting sqref="P19:P24">
    <cfRule type="cellIs" dxfId="12122" priority="1462" operator="greaterThan">
      <formula>0</formula>
    </cfRule>
  </conditionalFormatting>
  <conditionalFormatting sqref="Q19:Q24">
    <cfRule type="cellIs" dxfId="12121" priority="1461" operator="lessThan">
      <formula>0</formula>
    </cfRule>
  </conditionalFormatting>
  <conditionalFormatting sqref="R19:R24">
    <cfRule type="cellIs" dxfId="12120" priority="1459" operator="lessThan">
      <formula>0.8</formula>
    </cfRule>
    <cfRule type="cellIs" dxfId="12119" priority="1460" operator="greaterThan">
      <formula>1</formula>
    </cfRule>
  </conditionalFormatting>
  <conditionalFormatting sqref="R19:R24">
    <cfRule type="cellIs" dxfId="12118" priority="1457" operator="greaterThan">
      <formula>1</formula>
    </cfRule>
    <cfRule type="cellIs" dxfId="12117" priority="1458" operator="lessThan">
      <formula>0.8</formula>
    </cfRule>
  </conditionalFormatting>
  <conditionalFormatting sqref="P19:P24">
    <cfRule type="cellIs" dxfId="12116" priority="1456" operator="greaterThan">
      <formula>0</formula>
    </cfRule>
  </conditionalFormatting>
  <conditionalFormatting sqref="R19:R24">
    <cfRule type="cellIs" dxfId="12115" priority="1453" operator="lessThan">
      <formula>0.8</formula>
    </cfRule>
    <cfRule type="cellIs" dxfId="12114" priority="1454" operator="greaterThan">
      <formula>1</formula>
    </cfRule>
  </conditionalFormatting>
  <conditionalFormatting sqref="R19:R24">
    <cfRule type="cellIs" dxfId="12113" priority="1451" operator="greaterThan">
      <formula>1</formula>
    </cfRule>
    <cfRule type="cellIs" dxfId="12112" priority="1452" operator="lessThan">
      <formula>0.8</formula>
    </cfRule>
  </conditionalFormatting>
  <conditionalFormatting sqref="P19:P24">
    <cfRule type="cellIs" dxfId="12111" priority="1450" operator="greaterThan">
      <formula>0</formula>
    </cfRule>
  </conditionalFormatting>
  <conditionalFormatting sqref="Q19:Q24">
    <cfRule type="cellIs" dxfId="12110" priority="1455" operator="lessThan">
      <formula>0</formula>
    </cfRule>
  </conditionalFormatting>
  <conditionalFormatting sqref="Q40">
    <cfRule type="cellIs" dxfId="12109" priority="1449" operator="lessThan">
      <formula>0</formula>
    </cfRule>
  </conditionalFormatting>
  <conditionalFormatting sqref="R40">
    <cfRule type="cellIs" dxfId="12108" priority="1447" operator="lessThan">
      <formula>0.8</formula>
    </cfRule>
    <cfRule type="cellIs" dxfId="12107" priority="1448" operator="greaterThan">
      <formula>1</formula>
    </cfRule>
  </conditionalFormatting>
  <conditionalFormatting sqref="R40">
    <cfRule type="cellIs" dxfId="12106" priority="1445" operator="greaterThan">
      <formula>1</formula>
    </cfRule>
    <cfRule type="cellIs" dxfId="12105" priority="1446" operator="lessThan">
      <formula>0.8</formula>
    </cfRule>
  </conditionalFormatting>
  <conditionalFormatting sqref="P40">
    <cfRule type="cellIs" dxfId="12104" priority="1444" operator="greaterThan">
      <formula>0</formula>
    </cfRule>
  </conditionalFormatting>
  <conditionalFormatting sqref="P40">
    <cfRule type="cellIs" dxfId="12103" priority="1438" operator="greaterThan">
      <formula>0</formula>
    </cfRule>
  </conditionalFormatting>
  <conditionalFormatting sqref="Q40">
    <cfRule type="cellIs" dxfId="12102" priority="1443" operator="lessThan">
      <formula>0</formula>
    </cfRule>
  </conditionalFormatting>
  <conditionalFormatting sqref="R40">
    <cfRule type="cellIs" dxfId="12101" priority="1441" operator="lessThan">
      <formula>0.8</formula>
    </cfRule>
    <cfRule type="cellIs" dxfId="12100" priority="1442" operator="greaterThan">
      <formula>1</formula>
    </cfRule>
  </conditionalFormatting>
  <conditionalFormatting sqref="R40">
    <cfRule type="cellIs" dxfId="12099" priority="1439" operator="greaterThan">
      <formula>1</formula>
    </cfRule>
    <cfRule type="cellIs" dxfId="12098" priority="1440" operator="lessThan">
      <formula>0.8</formula>
    </cfRule>
  </conditionalFormatting>
  <conditionalFormatting sqref="P40">
    <cfRule type="cellIs" dxfId="12097" priority="1432" operator="greaterThan">
      <formula>0</formula>
    </cfRule>
  </conditionalFormatting>
  <conditionalFormatting sqref="Q40">
    <cfRule type="cellIs" dxfId="12096" priority="1437" operator="lessThan">
      <formula>0</formula>
    </cfRule>
  </conditionalFormatting>
  <conditionalFormatting sqref="R40">
    <cfRule type="cellIs" dxfId="12095" priority="1435" operator="lessThan">
      <formula>0.8</formula>
    </cfRule>
    <cfRule type="cellIs" dxfId="12094" priority="1436" operator="greaterThan">
      <formula>1</formula>
    </cfRule>
  </conditionalFormatting>
  <conditionalFormatting sqref="R40">
    <cfRule type="cellIs" dxfId="12093" priority="1433" operator="greaterThan">
      <formula>1</formula>
    </cfRule>
    <cfRule type="cellIs" dxfId="12092" priority="1434" operator="lessThan">
      <formula>0.8</formula>
    </cfRule>
  </conditionalFormatting>
  <conditionalFormatting sqref="Q40">
    <cfRule type="cellIs" dxfId="12091" priority="1431" operator="lessThan">
      <formula>0</formula>
    </cfRule>
  </conditionalFormatting>
  <conditionalFormatting sqref="R40">
    <cfRule type="cellIs" dxfId="12090" priority="1429" operator="lessThan">
      <formula>0.8</formula>
    </cfRule>
    <cfRule type="cellIs" dxfId="12089" priority="1430" operator="greaterThan">
      <formula>1</formula>
    </cfRule>
  </conditionalFormatting>
  <conditionalFormatting sqref="R40">
    <cfRule type="cellIs" dxfId="12088" priority="1427" operator="greaterThan">
      <formula>1</formula>
    </cfRule>
    <cfRule type="cellIs" dxfId="12087" priority="1428" operator="lessThan">
      <formula>0.8</formula>
    </cfRule>
  </conditionalFormatting>
  <conditionalFormatting sqref="P40">
    <cfRule type="cellIs" dxfId="12086" priority="1426" operator="greaterThan">
      <formula>0</formula>
    </cfRule>
  </conditionalFormatting>
  <conditionalFormatting sqref="P40">
    <cfRule type="cellIs" dxfId="12085" priority="1420" operator="greaterThan">
      <formula>0</formula>
    </cfRule>
  </conditionalFormatting>
  <conditionalFormatting sqref="Q40">
    <cfRule type="cellIs" dxfId="12084" priority="1425" operator="lessThan">
      <formula>0</formula>
    </cfRule>
  </conditionalFormatting>
  <conditionalFormatting sqref="R40">
    <cfRule type="cellIs" dxfId="12083" priority="1423" operator="lessThan">
      <formula>0.8</formula>
    </cfRule>
    <cfRule type="cellIs" dxfId="12082" priority="1424" operator="greaterThan">
      <formula>1</formula>
    </cfRule>
  </conditionalFormatting>
  <conditionalFormatting sqref="R40">
    <cfRule type="cellIs" dxfId="12081" priority="1421" operator="greaterThan">
      <formula>1</formula>
    </cfRule>
    <cfRule type="cellIs" dxfId="12080" priority="1422" operator="lessThan">
      <formula>0.8</formula>
    </cfRule>
  </conditionalFormatting>
  <conditionalFormatting sqref="P40">
    <cfRule type="cellIs" dxfId="12079" priority="1414" operator="greaterThan">
      <formula>0</formula>
    </cfRule>
  </conditionalFormatting>
  <conditionalFormatting sqref="Q40">
    <cfRule type="cellIs" dxfId="12078" priority="1419" operator="lessThan">
      <formula>0</formula>
    </cfRule>
  </conditionalFormatting>
  <conditionalFormatting sqref="R40">
    <cfRule type="cellIs" dxfId="12077" priority="1417" operator="lessThan">
      <formula>0.8</formula>
    </cfRule>
    <cfRule type="cellIs" dxfId="12076" priority="1418" operator="greaterThan">
      <formula>1</formula>
    </cfRule>
  </conditionalFormatting>
  <conditionalFormatting sqref="R40">
    <cfRule type="cellIs" dxfId="12075" priority="1415" operator="greaterThan">
      <formula>1</formula>
    </cfRule>
    <cfRule type="cellIs" dxfId="12074" priority="1416" operator="lessThan">
      <formula>0.8</formula>
    </cfRule>
  </conditionalFormatting>
  <conditionalFormatting sqref="P40">
    <cfRule type="cellIs" dxfId="12073" priority="1408" operator="greaterThan">
      <formula>0</formula>
    </cfRule>
  </conditionalFormatting>
  <conditionalFormatting sqref="Q40">
    <cfRule type="cellIs" dxfId="12072" priority="1413" operator="lessThan">
      <formula>0</formula>
    </cfRule>
  </conditionalFormatting>
  <conditionalFormatting sqref="R40">
    <cfRule type="cellIs" dxfId="12071" priority="1411" operator="lessThan">
      <formula>0.8</formula>
    </cfRule>
    <cfRule type="cellIs" dxfId="12070" priority="1412" operator="greaterThan">
      <formula>1</formula>
    </cfRule>
  </conditionalFormatting>
  <conditionalFormatting sqref="R40">
    <cfRule type="cellIs" dxfId="12069" priority="1409" operator="greaterThan">
      <formula>1</formula>
    </cfRule>
    <cfRule type="cellIs" dxfId="12068" priority="1410" operator="lessThan">
      <formula>0.8</formula>
    </cfRule>
  </conditionalFormatting>
  <conditionalFormatting sqref="Q40">
    <cfRule type="cellIs" dxfId="12067" priority="1402" operator="lessThan">
      <formula>0</formula>
    </cfRule>
  </conditionalFormatting>
  <conditionalFormatting sqref="P40">
    <cfRule type="cellIs" dxfId="12066" priority="1403" operator="greaterThan">
      <formula>0</formula>
    </cfRule>
  </conditionalFormatting>
  <conditionalFormatting sqref="R40">
    <cfRule type="cellIs" dxfId="12065" priority="1406" operator="lessThan">
      <formula>0.8</formula>
    </cfRule>
    <cfRule type="cellIs" dxfId="12064" priority="1407" operator="greaterThan">
      <formula>1</formula>
    </cfRule>
  </conditionalFormatting>
  <conditionalFormatting sqref="R40">
    <cfRule type="cellIs" dxfId="12063" priority="1404" operator="greaterThan">
      <formula>1</formula>
    </cfRule>
    <cfRule type="cellIs" dxfId="12062" priority="1405" operator="lessThan">
      <formula>0.8</formula>
    </cfRule>
  </conditionalFormatting>
  <conditionalFormatting sqref="Q40">
    <cfRule type="cellIs" dxfId="12061" priority="1396" operator="lessThan">
      <formula>0</formula>
    </cfRule>
  </conditionalFormatting>
  <conditionalFormatting sqref="R40">
    <cfRule type="cellIs" dxfId="12060" priority="1400" operator="lessThan">
      <formula>0.8</formula>
    </cfRule>
    <cfRule type="cellIs" dxfId="12059" priority="1401" operator="greaterThan">
      <formula>1</formula>
    </cfRule>
  </conditionalFormatting>
  <conditionalFormatting sqref="R40">
    <cfRule type="cellIs" dxfId="12058" priority="1398" operator="greaterThan">
      <formula>1</formula>
    </cfRule>
    <cfRule type="cellIs" dxfId="12057" priority="1399" operator="lessThan">
      <formula>0.8</formula>
    </cfRule>
  </conditionalFormatting>
  <conditionalFormatting sqref="P40">
    <cfRule type="cellIs" dxfId="12056" priority="1397" operator="greaterThan">
      <formula>0</formula>
    </cfRule>
  </conditionalFormatting>
  <conditionalFormatting sqref="Q40">
    <cfRule type="cellIs" dxfId="12055" priority="1395" operator="lessThan">
      <formula>0</formula>
    </cfRule>
  </conditionalFormatting>
  <conditionalFormatting sqref="R40">
    <cfRule type="cellIs" dxfId="12054" priority="1393" operator="lessThan">
      <formula>0.8</formula>
    </cfRule>
    <cfRule type="cellIs" dxfId="12053" priority="1394" operator="greaterThan">
      <formula>1</formula>
    </cfRule>
  </conditionalFormatting>
  <conditionalFormatting sqref="R40">
    <cfRule type="cellIs" dxfId="12052" priority="1391" operator="greaterThan">
      <formula>1</formula>
    </cfRule>
    <cfRule type="cellIs" dxfId="12051" priority="1392" operator="lessThan">
      <formula>0.8</formula>
    </cfRule>
  </conditionalFormatting>
  <conditionalFormatting sqref="P40">
    <cfRule type="cellIs" dxfId="12050" priority="1390" operator="greaterThan">
      <formula>0</formula>
    </cfRule>
  </conditionalFormatting>
  <conditionalFormatting sqref="Q40">
    <cfRule type="cellIs" dxfId="12049" priority="1389" operator="lessThan">
      <formula>0</formula>
    </cfRule>
  </conditionalFormatting>
  <conditionalFormatting sqref="R40">
    <cfRule type="cellIs" dxfId="12048" priority="1387" operator="lessThan">
      <formula>0.8</formula>
    </cfRule>
    <cfRule type="cellIs" dxfId="12047" priority="1388" operator="greaterThan">
      <formula>1</formula>
    </cfRule>
  </conditionalFormatting>
  <conditionalFormatting sqref="R40">
    <cfRule type="cellIs" dxfId="12046" priority="1385" operator="greaterThan">
      <formula>1</formula>
    </cfRule>
    <cfRule type="cellIs" dxfId="12045" priority="1386" operator="lessThan">
      <formula>0.8</formula>
    </cfRule>
  </conditionalFormatting>
  <conditionalFormatting sqref="P40">
    <cfRule type="cellIs" dxfId="12044" priority="1384" operator="greaterThan">
      <formula>0</formula>
    </cfRule>
  </conditionalFormatting>
  <conditionalFormatting sqref="Q32:Q39">
    <cfRule type="cellIs" dxfId="12043" priority="1383" operator="lessThan">
      <formula>0</formula>
    </cfRule>
  </conditionalFormatting>
  <conditionalFormatting sqref="R32:R39">
    <cfRule type="cellIs" dxfId="12042" priority="1381" operator="lessThan">
      <formula>0.8</formula>
    </cfRule>
    <cfRule type="cellIs" dxfId="12041" priority="1382" operator="greaterThan">
      <formula>1</formula>
    </cfRule>
  </conditionalFormatting>
  <conditionalFormatting sqref="R32:R39">
    <cfRule type="cellIs" dxfId="12040" priority="1379" operator="greaterThan">
      <formula>1</formula>
    </cfRule>
    <cfRule type="cellIs" dxfId="12039" priority="1380" operator="lessThan">
      <formula>0.8</formula>
    </cfRule>
  </conditionalFormatting>
  <conditionalFormatting sqref="P32:P39">
    <cfRule type="cellIs" dxfId="12038" priority="1378" operator="greaterThan">
      <formula>0</formula>
    </cfRule>
  </conditionalFormatting>
  <conditionalFormatting sqref="Q32:Q39">
    <cfRule type="cellIs" dxfId="12037" priority="1377" operator="lessThan">
      <formula>0</formula>
    </cfRule>
  </conditionalFormatting>
  <conditionalFormatting sqref="R32:R39">
    <cfRule type="cellIs" dxfId="12036" priority="1375" operator="lessThan">
      <formula>0.8</formula>
    </cfRule>
    <cfRule type="cellIs" dxfId="12035" priority="1376" operator="greaterThan">
      <formula>1</formula>
    </cfRule>
  </conditionalFormatting>
  <conditionalFormatting sqref="R32:R39">
    <cfRule type="cellIs" dxfId="12034" priority="1373" operator="greaterThan">
      <formula>1</formula>
    </cfRule>
    <cfRule type="cellIs" dxfId="12033" priority="1374" operator="lessThan">
      <formula>0.8</formula>
    </cfRule>
  </conditionalFormatting>
  <conditionalFormatting sqref="P32:P39">
    <cfRule type="cellIs" dxfId="12032" priority="1372" operator="greaterThan">
      <formula>0</formula>
    </cfRule>
  </conditionalFormatting>
  <conditionalFormatting sqref="Q32:Q39">
    <cfRule type="cellIs" dxfId="12031" priority="1371" operator="lessThan">
      <formula>0</formula>
    </cfRule>
  </conditionalFormatting>
  <conditionalFormatting sqref="R32:R39">
    <cfRule type="cellIs" dxfId="12030" priority="1369" operator="lessThan">
      <formula>0.8</formula>
    </cfRule>
    <cfRule type="cellIs" dxfId="12029" priority="1370" operator="greaterThan">
      <formula>1</formula>
    </cfRule>
  </conditionalFormatting>
  <conditionalFormatting sqref="R32:R39">
    <cfRule type="cellIs" dxfId="12028" priority="1367" operator="greaterThan">
      <formula>1</formula>
    </cfRule>
    <cfRule type="cellIs" dxfId="12027" priority="1368" operator="lessThan">
      <formula>0.8</formula>
    </cfRule>
  </conditionalFormatting>
  <conditionalFormatting sqref="P32:P39">
    <cfRule type="cellIs" dxfId="12026" priority="1366" operator="greaterThan">
      <formula>0</formula>
    </cfRule>
  </conditionalFormatting>
  <conditionalFormatting sqref="Q32:Q39">
    <cfRule type="cellIs" dxfId="12025" priority="1365" operator="lessThan">
      <formula>0</formula>
    </cfRule>
  </conditionalFormatting>
  <conditionalFormatting sqref="R32:R39">
    <cfRule type="cellIs" dxfId="12024" priority="1363" operator="lessThan">
      <formula>0.8</formula>
    </cfRule>
    <cfRule type="cellIs" dxfId="12023" priority="1364" operator="greaterThan">
      <formula>1</formula>
    </cfRule>
  </conditionalFormatting>
  <conditionalFormatting sqref="R32:R39">
    <cfRule type="cellIs" dxfId="12022" priority="1361" operator="greaterThan">
      <formula>1</formula>
    </cfRule>
    <cfRule type="cellIs" dxfId="12021" priority="1362" operator="lessThan">
      <formula>0.8</formula>
    </cfRule>
  </conditionalFormatting>
  <conditionalFormatting sqref="P32:P39">
    <cfRule type="cellIs" dxfId="12020" priority="1360" operator="greaterThan">
      <formula>0</formula>
    </cfRule>
  </conditionalFormatting>
  <conditionalFormatting sqref="P32:P39">
    <cfRule type="cellIs" dxfId="12019" priority="1354" operator="greaterThan">
      <formula>0</formula>
    </cfRule>
  </conditionalFormatting>
  <conditionalFormatting sqref="Q32:Q39">
    <cfRule type="cellIs" dxfId="12018" priority="1359" operator="lessThan">
      <formula>0</formula>
    </cfRule>
  </conditionalFormatting>
  <conditionalFormatting sqref="R32:R39">
    <cfRule type="cellIs" dxfId="12017" priority="1357" operator="lessThan">
      <formula>0.8</formula>
    </cfRule>
    <cfRule type="cellIs" dxfId="12016" priority="1358" operator="greaterThan">
      <formula>1</formula>
    </cfRule>
  </conditionalFormatting>
  <conditionalFormatting sqref="R32:R39">
    <cfRule type="cellIs" dxfId="12015" priority="1355" operator="greaterThan">
      <formula>1</formula>
    </cfRule>
    <cfRule type="cellIs" dxfId="12014" priority="1356" operator="lessThan">
      <formula>0.8</formula>
    </cfRule>
  </conditionalFormatting>
  <conditionalFormatting sqref="P32:P39">
    <cfRule type="cellIs" dxfId="12013" priority="1348" operator="greaterThan">
      <formula>0</formula>
    </cfRule>
  </conditionalFormatting>
  <conditionalFormatting sqref="Q32:Q39">
    <cfRule type="cellIs" dxfId="12012" priority="1353" operator="lessThan">
      <formula>0</formula>
    </cfRule>
  </conditionalFormatting>
  <conditionalFormatting sqref="R32:R39">
    <cfRule type="cellIs" dxfId="12011" priority="1351" operator="lessThan">
      <formula>0.8</formula>
    </cfRule>
    <cfRule type="cellIs" dxfId="12010" priority="1352" operator="greaterThan">
      <formula>1</formula>
    </cfRule>
  </conditionalFormatting>
  <conditionalFormatting sqref="R32:R39">
    <cfRule type="cellIs" dxfId="12009" priority="1349" operator="greaterThan">
      <formula>1</formula>
    </cfRule>
    <cfRule type="cellIs" dxfId="12008" priority="1350" operator="lessThan">
      <formula>0.8</formula>
    </cfRule>
  </conditionalFormatting>
  <conditionalFormatting sqref="R32:R39">
    <cfRule type="cellIs" dxfId="12007" priority="1345" operator="lessThan">
      <formula>0.8</formula>
    </cfRule>
    <cfRule type="cellIs" dxfId="12006" priority="1346" operator="greaterThan">
      <formula>1</formula>
    </cfRule>
  </conditionalFormatting>
  <conditionalFormatting sqref="R32:R39">
    <cfRule type="cellIs" dxfId="12005" priority="1343" operator="greaterThan">
      <formula>1</formula>
    </cfRule>
    <cfRule type="cellIs" dxfId="12004" priority="1344" operator="lessThan">
      <formula>0.8</formula>
    </cfRule>
  </conditionalFormatting>
  <conditionalFormatting sqref="P32:P39">
    <cfRule type="cellIs" dxfId="12003" priority="1342" operator="greaterThan">
      <formula>0</formula>
    </cfRule>
  </conditionalFormatting>
  <conditionalFormatting sqref="Q32:Q39">
    <cfRule type="cellIs" dxfId="12002" priority="1347" operator="lessThan">
      <formula>0</formula>
    </cfRule>
  </conditionalFormatting>
  <conditionalFormatting sqref="Q32:Q39">
    <cfRule type="cellIs" dxfId="12001" priority="1341" operator="lessThan">
      <formula>0</formula>
    </cfRule>
  </conditionalFormatting>
  <conditionalFormatting sqref="R32:R39">
    <cfRule type="cellIs" dxfId="12000" priority="1339" operator="lessThan">
      <formula>0.8</formula>
    </cfRule>
    <cfRule type="cellIs" dxfId="11999" priority="1340" operator="greaterThan">
      <formula>1</formula>
    </cfRule>
  </conditionalFormatting>
  <conditionalFormatting sqref="R32:R39">
    <cfRule type="cellIs" dxfId="11998" priority="1337" operator="greaterThan">
      <formula>1</formula>
    </cfRule>
    <cfRule type="cellIs" dxfId="11997" priority="1338" operator="lessThan">
      <formula>0.8</formula>
    </cfRule>
  </conditionalFormatting>
  <conditionalFormatting sqref="P32:P39">
    <cfRule type="cellIs" dxfId="11996" priority="1336" operator="greaterThan">
      <formula>0</formula>
    </cfRule>
  </conditionalFormatting>
  <conditionalFormatting sqref="P32:P39">
    <cfRule type="cellIs" dxfId="11995" priority="1330" operator="greaterThan">
      <formula>0</formula>
    </cfRule>
  </conditionalFormatting>
  <conditionalFormatting sqref="Q32:Q39">
    <cfRule type="cellIs" dxfId="11994" priority="1335" operator="lessThan">
      <formula>0</formula>
    </cfRule>
  </conditionalFormatting>
  <conditionalFormatting sqref="R32:R39">
    <cfRule type="cellIs" dxfId="11993" priority="1333" operator="lessThan">
      <formula>0.8</formula>
    </cfRule>
    <cfRule type="cellIs" dxfId="11992" priority="1334" operator="greaterThan">
      <formula>1</formula>
    </cfRule>
  </conditionalFormatting>
  <conditionalFormatting sqref="R32:R39">
    <cfRule type="cellIs" dxfId="11991" priority="1331" operator="greaterThan">
      <formula>1</formula>
    </cfRule>
    <cfRule type="cellIs" dxfId="11990" priority="1332" operator="lessThan">
      <formula>0.8</formula>
    </cfRule>
  </conditionalFormatting>
  <conditionalFormatting sqref="P32:P39">
    <cfRule type="cellIs" dxfId="11989" priority="1324" operator="greaterThan">
      <formula>0</formula>
    </cfRule>
  </conditionalFormatting>
  <conditionalFormatting sqref="Q32:Q39">
    <cfRule type="cellIs" dxfId="11988" priority="1329" operator="lessThan">
      <formula>0</formula>
    </cfRule>
  </conditionalFormatting>
  <conditionalFormatting sqref="R32:R39">
    <cfRule type="cellIs" dxfId="11987" priority="1327" operator="lessThan">
      <formula>0.8</formula>
    </cfRule>
    <cfRule type="cellIs" dxfId="11986" priority="1328" operator="greaterThan">
      <formula>1</formula>
    </cfRule>
  </conditionalFormatting>
  <conditionalFormatting sqref="R32:R39">
    <cfRule type="cellIs" dxfId="11985" priority="1325" operator="greaterThan">
      <formula>1</formula>
    </cfRule>
    <cfRule type="cellIs" dxfId="11984" priority="1326" operator="lessThan">
      <formula>0.8</formula>
    </cfRule>
  </conditionalFormatting>
  <conditionalFormatting sqref="R32:R39">
    <cfRule type="cellIs" dxfId="11983" priority="1321" operator="lessThan">
      <formula>0.8</formula>
    </cfRule>
    <cfRule type="cellIs" dxfId="11982" priority="1322" operator="greaterThan">
      <formula>1</formula>
    </cfRule>
  </conditionalFormatting>
  <conditionalFormatting sqref="R32:R39">
    <cfRule type="cellIs" dxfId="11981" priority="1319" operator="greaterThan">
      <formula>1</formula>
    </cfRule>
    <cfRule type="cellIs" dxfId="11980" priority="1320" operator="lessThan">
      <formula>0.8</formula>
    </cfRule>
  </conditionalFormatting>
  <conditionalFormatting sqref="P32:P39">
    <cfRule type="cellIs" dxfId="11979" priority="1318" operator="greaterThan">
      <formula>0</formula>
    </cfRule>
  </conditionalFormatting>
  <conditionalFormatting sqref="Q32:Q39">
    <cfRule type="cellIs" dxfId="11978" priority="1323" operator="lessThan">
      <formula>0</formula>
    </cfRule>
  </conditionalFormatting>
  <conditionalFormatting sqref="P32:P39">
    <cfRule type="cellIs" dxfId="11977" priority="1312" operator="greaterThan">
      <formula>0</formula>
    </cfRule>
  </conditionalFormatting>
  <conditionalFormatting sqref="Q32:Q39">
    <cfRule type="cellIs" dxfId="11976" priority="1317" operator="lessThan">
      <formula>0</formula>
    </cfRule>
  </conditionalFormatting>
  <conditionalFormatting sqref="R32:R39">
    <cfRule type="cellIs" dxfId="11975" priority="1315" operator="lessThan">
      <formula>0.8</formula>
    </cfRule>
    <cfRule type="cellIs" dxfId="11974" priority="1316" operator="greaterThan">
      <formula>1</formula>
    </cfRule>
  </conditionalFormatting>
  <conditionalFormatting sqref="R32:R39">
    <cfRule type="cellIs" dxfId="11973" priority="1313" operator="greaterThan">
      <formula>1</formula>
    </cfRule>
    <cfRule type="cellIs" dxfId="11972" priority="1314" operator="lessThan">
      <formula>0.8</formula>
    </cfRule>
  </conditionalFormatting>
  <conditionalFormatting sqref="R32:R39">
    <cfRule type="cellIs" dxfId="11971" priority="1309" operator="lessThan">
      <formula>0.8</formula>
    </cfRule>
    <cfRule type="cellIs" dxfId="11970" priority="1310" operator="greaterThan">
      <formula>1</formula>
    </cfRule>
  </conditionalFormatting>
  <conditionalFormatting sqref="R32:R39">
    <cfRule type="cellIs" dxfId="11969" priority="1307" operator="greaterThan">
      <formula>1</formula>
    </cfRule>
    <cfRule type="cellIs" dxfId="11968" priority="1308" operator="lessThan">
      <formula>0.8</formula>
    </cfRule>
  </conditionalFormatting>
  <conditionalFormatting sqref="P32:P39">
    <cfRule type="cellIs" dxfId="11967" priority="1306" operator="greaterThan">
      <formula>0</formula>
    </cfRule>
  </conditionalFormatting>
  <conditionalFormatting sqref="Q32:Q39">
    <cfRule type="cellIs" dxfId="11966" priority="1311" operator="lessThan">
      <formula>0</formula>
    </cfRule>
  </conditionalFormatting>
  <conditionalFormatting sqref="R32:R39">
    <cfRule type="cellIs" dxfId="11965" priority="1303" operator="lessThan">
      <formula>0.8</formula>
    </cfRule>
    <cfRule type="cellIs" dxfId="11964" priority="1304" operator="greaterThan">
      <formula>1</formula>
    </cfRule>
  </conditionalFormatting>
  <conditionalFormatting sqref="R32:R39">
    <cfRule type="cellIs" dxfId="11963" priority="1301" operator="greaterThan">
      <formula>1</formula>
    </cfRule>
    <cfRule type="cellIs" dxfId="11962" priority="1302" operator="lessThan">
      <formula>0.8</formula>
    </cfRule>
  </conditionalFormatting>
  <conditionalFormatting sqref="P32:P39">
    <cfRule type="cellIs" dxfId="11961" priority="1300" operator="greaterThan">
      <formula>0</formula>
    </cfRule>
  </conditionalFormatting>
  <conditionalFormatting sqref="Q32:Q39">
    <cfRule type="cellIs" dxfId="11960" priority="1305" operator="lessThan">
      <formula>0</formula>
    </cfRule>
  </conditionalFormatting>
  <conditionalFormatting sqref="Q32:Q39">
    <cfRule type="cellIs" dxfId="11959" priority="1299" operator="lessThan">
      <formula>0</formula>
    </cfRule>
  </conditionalFormatting>
  <conditionalFormatting sqref="R32:R39">
    <cfRule type="cellIs" dxfId="11958" priority="1297" operator="lessThan">
      <formula>0.8</formula>
    </cfRule>
    <cfRule type="cellIs" dxfId="11957" priority="1298" operator="greaterThan">
      <formula>1</formula>
    </cfRule>
  </conditionalFormatting>
  <conditionalFormatting sqref="R32:R39">
    <cfRule type="cellIs" dxfId="11956" priority="1295" operator="greaterThan">
      <formula>1</formula>
    </cfRule>
    <cfRule type="cellIs" dxfId="11955" priority="1296" operator="lessThan">
      <formula>0.8</formula>
    </cfRule>
  </conditionalFormatting>
  <conditionalFormatting sqref="P32:P39">
    <cfRule type="cellIs" dxfId="11954" priority="1294" operator="greaterThan">
      <formula>0</formula>
    </cfRule>
  </conditionalFormatting>
  <conditionalFormatting sqref="Q32:Q39">
    <cfRule type="cellIs" dxfId="11953" priority="1288" operator="lessThan">
      <formula>0</formula>
    </cfRule>
  </conditionalFormatting>
  <conditionalFormatting sqref="R32:R39">
    <cfRule type="cellIs" dxfId="11952" priority="1292" operator="lessThan">
      <formula>0.8</formula>
    </cfRule>
    <cfRule type="cellIs" dxfId="11951" priority="1293" operator="greaterThan">
      <formula>1</formula>
    </cfRule>
  </conditionalFormatting>
  <conditionalFormatting sqref="R32:R39">
    <cfRule type="cellIs" dxfId="11950" priority="1290" operator="greaterThan">
      <formula>1</formula>
    </cfRule>
    <cfRule type="cellIs" dxfId="11949" priority="1291" operator="lessThan">
      <formula>0.8</formula>
    </cfRule>
  </conditionalFormatting>
  <conditionalFormatting sqref="P32:P39">
    <cfRule type="cellIs" dxfId="11948" priority="1289" operator="greaterThan">
      <formula>0</formula>
    </cfRule>
  </conditionalFormatting>
  <conditionalFormatting sqref="Q32:Q39">
    <cfRule type="cellIs" dxfId="11947" priority="1287" operator="lessThan">
      <formula>0</formula>
    </cfRule>
  </conditionalFormatting>
  <conditionalFormatting sqref="R32:R39">
    <cfRule type="cellIs" dxfId="11946" priority="1285" operator="lessThan">
      <formula>0.8</formula>
    </cfRule>
    <cfRule type="cellIs" dxfId="11945" priority="1286" operator="greaterThan">
      <formula>1</formula>
    </cfRule>
  </conditionalFormatting>
  <conditionalFormatting sqref="R32:R39">
    <cfRule type="cellIs" dxfId="11944" priority="1283" operator="greaterThan">
      <formula>1</formula>
    </cfRule>
    <cfRule type="cellIs" dxfId="11943" priority="1284" operator="lessThan">
      <formula>0.8</formula>
    </cfRule>
  </conditionalFormatting>
  <conditionalFormatting sqref="P32:P39">
    <cfRule type="cellIs" dxfId="11942" priority="1282" operator="greaterThan">
      <formula>0</formula>
    </cfRule>
  </conditionalFormatting>
  <conditionalFormatting sqref="Q32:Q39">
    <cfRule type="cellIs" dxfId="11941" priority="1281" operator="lessThan">
      <formula>0</formula>
    </cfRule>
  </conditionalFormatting>
  <conditionalFormatting sqref="R32:R39">
    <cfRule type="cellIs" dxfId="11940" priority="1279" operator="lessThan">
      <formula>0.8</formula>
    </cfRule>
    <cfRule type="cellIs" dxfId="11939" priority="1280" operator="greaterThan">
      <formula>1</formula>
    </cfRule>
  </conditionalFormatting>
  <conditionalFormatting sqref="R32:R39">
    <cfRule type="cellIs" dxfId="11938" priority="1277" operator="greaterThan">
      <formula>1</formula>
    </cfRule>
    <cfRule type="cellIs" dxfId="11937" priority="1278" operator="lessThan">
      <formula>0.8</formula>
    </cfRule>
  </conditionalFormatting>
  <conditionalFormatting sqref="P32:P39">
    <cfRule type="cellIs" dxfId="11936" priority="1276" operator="greaterThan">
      <formula>0</formula>
    </cfRule>
  </conditionalFormatting>
  <conditionalFormatting sqref="Q32:Q39">
    <cfRule type="cellIs" dxfId="11935" priority="1275" operator="lessThan">
      <formula>0</formula>
    </cfRule>
  </conditionalFormatting>
  <conditionalFormatting sqref="R32:R39">
    <cfRule type="cellIs" dxfId="11934" priority="1273" operator="lessThan">
      <formula>0.8</formula>
    </cfRule>
    <cfRule type="cellIs" dxfId="11933" priority="1274" operator="greaterThan">
      <formula>1</formula>
    </cfRule>
  </conditionalFormatting>
  <conditionalFormatting sqref="R32:R39">
    <cfRule type="cellIs" dxfId="11932" priority="1271" operator="greaterThan">
      <formula>1</formula>
    </cfRule>
    <cfRule type="cellIs" dxfId="11931" priority="1272" operator="lessThan">
      <formula>0.8</formula>
    </cfRule>
  </conditionalFormatting>
  <conditionalFormatting sqref="P32:P39">
    <cfRule type="cellIs" dxfId="11930" priority="1270" operator="greaterThan">
      <formula>0</formula>
    </cfRule>
  </conditionalFormatting>
  <conditionalFormatting sqref="Q32:Q39">
    <cfRule type="cellIs" dxfId="11929" priority="1269" operator="lessThan">
      <formula>0</formula>
    </cfRule>
  </conditionalFormatting>
  <conditionalFormatting sqref="R32:R39">
    <cfRule type="cellIs" dxfId="11928" priority="1267" operator="lessThan">
      <formula>0.8</formula>
    </cfRule>
    <cfRule type="cellIs" dxfId="11927" priority="1268" operator="greaterThan">
      <formula>1</formula>
    </cfRule>
  </conditionalFormatting>
  <conditionalFormatting sqref="R32:R39">
    <cfRule type="cellIs" dxfId="11926" priority="1265" operator="greaterThan">
      <formula>1</formula>
    </cfRule>
    <cfRule type="cellIs" dxfId="11925" priority="1266" operator="lessThan">
      <formula>0.8</formula>
    </cfRule>
  </conditionalFormatting>
  <conditionalFormatting sqref="P32:P39">
    <cfRule type="cellIs" dxfId="11924" priority="1264" operator="greaterThan">
      <formula>0</formula>
    </cfRule>
  </conditionalFormatting>
  <conditionalFormatting sqref="Q32:Q39">
    <cfRule type="cellIs" dxfId="11923" priority="1263" operator="lessThan">
      <formula>0</formula>
    </cfRule>
  </conditionalFormatting>
  <conditionalFormatting sqref="R32:R39">
    <cfRule type="cellIs" dxfId="11922" priority="1261" operator="lessThan">
      <formula>0.8</formula>
    </cfRule>
    <cfRule type="cellIs" dxfId="11921" priority="1262" operator="greaterThan">
      <formula>1</formula>
    </cfRule>
  </conditionalFormatting>
  <conditionalFormatting sqref="R32:R39">
    <cfRule type="cellIs" dxfId="11920" priority="1259" operator="greaterThan">
      <formula>1</formula>
    </cfRule>
    <cfRule type="cellIs" dxfId="11919" priority="1260" operator="lessThan">
      <formula>0.8</formula>
    </cfRule>
  </conditionalFormatting>
  <conditionalFormatting sqref="P32:P39">
    <cfRule type="cellIs" dxfId="11918" priority="1258" operator="greaterThan">
      <formula>0</formula>
    </cfRule>
  </conditionalFormatting>
  <conditionalFormatting sqref="P32:P39">
    <cfRule type="cellIs" dxfId="11917" priority="1252" operator="greaterThan">
      <formula>0</formula>
    </cfRule>
  </conditionalFormatting>
  <conditionalFormatting sqref="Q32:Q39">
    <cfRule type="cellIs" dxfId="11916" priority="1257" operator="lessThan">
      <formula>0</formula>
    </cfRule>
  </conditionalFormatting>
  <conditionalFormatting sqref="R32:R39">
    <cfRule type="cellIs" dxfId="11915" priority="1255" operator="lessThan">
      <formula>0.8</formula>
    </cfRule>
    <cfRule type="cellIs" dxfId="11914" priority="1256" operator="greaterThan">
      <formula>1</formula>
    </cfRule>
  </conditionalFormatting>
  <conditionalFormatting sqref="R32:R39">
    <cfRule type="cellIs" dxfId="11913" priority="1253" operator="greaterThan">
      <formula>1</formula>
    </cfRule>
    <cfRule type="cellIs" dxfId="11912" priority="1254" operator="lessThan">
      <formula>0.8</formula>
    </cfRule>
  </conditionalFormatting>
  <conditionalFormatting sqref="P32:P39">
    <cfRule type="cellIs" dxfId="11911" priority="1246" operator="greaterThan">
      <formula>0</formula>
    </cfRule>
  </conditionalFormatting>
  <conditionalFormatting sqref="Q32:Q39">
    <cfRule type="cellIs" dxfId="11910" priority="1251" operator="lessThan">
      <formula>0</formula>
    </cfRule>
  </conditionalFormatting>
  <conditionalFormatting sqref="R32:R39">
    <cfRule type="cellIs" dxfId="11909" priority="1249" operator="lessThan">
      <formula>0.8</formula>
    </cfRule>
    <cfRule type="cellIs" dxfId="11908" priority="1250" operator="greaterThan">
      <formula>1</formula>
    </cfRule>
  </conditionalFormatting>
  <conditionalFormatting sqref="R32:R39">
    <cfRule type="cellIs" dxfId="11907" priority="1247" operator="greaterThan">
      <formula>1</formula>
    </cfRule>
    <cfRule type="cellIs" dxfId="11906" priority="1248" operator="lessThan">
      <formula>0.8</formula>
    </cfRule>
  </conditionalFormatting>
  <conditionalFormatting sqref="R32:R39">
    <cfRule type="cellIs" dxfId="11905" priority="1243" operator="lessThan">
      <formula>0.8</formula>
    </cfRule>
    <cfRule type="cellIs" dxfId="11904" priority="1244" operator="greaterThan">
      <formula>1</formula>
    </cfRule>
  </conditionalFormatting>
  <conditionalFormatting sqref="R32:R39">
    <cfRule type="cellIs" dxfId="11903" priority="1241" operator="greaterThan">
      <formula>1</formula>
    </cfRule>
    <cfRule type="cellIs" dxfId="11902" priority="1242" operator="lessThan">
      <formula>0.8</formula>
    </cfRule>
  </conditionalFormatting>
  <conditionalFormatting sqref="P32:P39">
    <cfRule type="cellIs" dxfId="11901" priority="1240" operator="greaterThan">
      <formula>0</formula>
    </cfRule>
  </conditionalFormatting>
  <conditionalFormatting sqref="Q32:Q39">
    <cfRule type="cellIs" dxfId="11900" priority="1245" operator="lessThan">
      <formula>0</formula>
    </cfRule>
  </conditionalFormatting>
  <conditionalFormatting sqref="Q32:Q39">
    <cfRule type="cellIs" dxfId="11899" priority="1234" operator="lessThan">
      <formula>0</formula>
    </cfRule>
  </conditionalFormatting>
  <conditionalFormatting sqref="P32:P39">
    <cfRule type="cellIs" dxfId="11898" priority="1235" operator="greaterThan">
      <formula>0</formula>
    </cfRule>
  </conditionalFormatting>
  <conditionalFormatting sqref="R32:R39">
    <cfRule type="cellIs" dxfId="11897" priority="1238" operator="lessThan">
      <formula>0.8</formula>
    </cfRule>
    <cfRule type="cellIs" dxfId="11896" priority="1239" operator="greaterThan">
      <formula>1</formula>
    </cfRule>
  </conditionalFormatting>
  <conditionalFormatting sqref="R32:R39">
    <cfRule type="cellIs" dxfId="11895" priority="1236" operator="greaterThan">
      <formula>1</formula>
    </cfRule>
    <cfRule type="cellIs" dxfId="11894" priority="1237" operator="lessThan">
      <formula>0.8</formula>
    </cfRule>
  </conditionalFormatting>
  <conditionalFormatting sqref="Q32:Q39">
    <cfRule type="cellIs" dxfId="11893" priority="1228" operator="lessThan">
      <formula>0</formula>
    </cfRule>
  </conditionalFormatting>
  <conditionalFormatting sqref="R32:R39">
    <cfRule type="cellIs" dxfId="11892" priority="1232" operator="lessThan">
      <formula>0.8</formula>
    </cfRule>
    <cfRule type="cellIs" dxfId="11891" priority="1233" operator="greaterThan">
      <formula>1</formula>
    </cfRule>
  </conditionalFormatting>
  <conditionalFormatting sqref="R32:R39">
    <cfRule type="cellIs" dxfId="11890" priority="1230" operator="greaterThan">
      <formula>1</formula>
    </cfRule>
    <cfRule type="cellIs" dxfId="11889" priority="1231" operator="lessThan">
      <formula>0.8</formula>
    </cfRule>
  </conditionalFormatting>
  <conditionalFormatting sqref="P32:P39">
    <cfRule type="cellIs" dxfId="11888" priority="1229" operator="greaterThan">
      <formula>0</formula>
    </cfRule>
  </conditionalFormatting>
  <conditionalFormatting sqref="Q32:Q39">
    <cfRule type="cellIs" dxfId="11887" priority="1227" operator="lessThan">
      <formula>0</formula>
    </cfRule>
  </conditionalFormatting>
  <conditionalFormatting sqref="R32:R39">
    <cfRule type="cellIs" dxfId="11886" priority="1225" operator="lessThan">
      <formula>0.8</formula>
    </cfRule>
    <cfRule type="cellIs" dxfId="11885" priority="1226" operator="greaterThan">
      <formula>1</formula>
    </cfRule>
  </conditionalFormatting>
  <conditionalFormatting sqref="R32:R39">
    <cfRule type="cellIs" dxfId="11884" priority="1223" operator="greaterThan">
      <formula>1</formula>
    </cfRule>
    <cfRule type="cellIs" dxfId="11883" priority="1224" operator="lessThan">
      <formula>0.8</formula>
    </cfRule>
  </conditionalFormatting>
  <conditionalFormatting sqref="P32:P39">
    <cfRule type="cellIs" dxfId="11882" priority="1222" operator="greaterThan">
      <formula>0</formula>
    </cfRule>
  </conditionalFormatting>
  <conditionalFormatting sqref="Q32:Q39">
    <cfRule type="cellIs" dxfId="11881" priority="1221" operator="lessThan">
      <formula>0</formula>
    </cfRule>
  </conditionalFormatting>
  <conditionalFormatting sqref="R32:R39">
    <cfRule type="cellIs" dxfId="11880" priority="1219" operator="lessThan">
      <formula>0.8</formula>
    </cfRule>
    <cfRule type="cellIs" dxfId="11879" priority="1220" operator="greaterThan">
      <formula>1</formula>
    </cfRule>
  </conditionalFormatting>
  <conditionalFormatting sqref="R32:R39">
    <cfRule type="cellIs" dxfId="11878" priority="1217" operator="greaterThan">
      <formula>1</formula>
    </cfRule>
    <cfRule type="cellIs" dxfId="11877" priority="1218" operator="lessThan">
      <formula>0.8</formula>
    </cfRule>
  </conditionalFormatting>
  <conditionalFormatting sqref="P32:P39">
    <cfRule type="cellIs" dxfId="11876" priority="1216" operator="greaterThan">
      <formula>0</formula>
    </cfRule>
  </conditionalFormatting>
  <conditionalFormatting sqref="Q32:Q39">
    <cfRule type="cellIs" dxfId="11875" priority="1215" operator="lessThan">
      <formula>0</formula>
    </cfRule>
  </conditionalFormatting>
  <conditionalFormatting sqref="R32:R39">
    <cfRule type="cellIs" dxfId="11874" priority="1213" operator="lessThan">
      <formula>0.8</formula>
    </cfRule>
    <cfRule type="cellIs" dxfId="11873" priority="1214" operator="greaterThan">
      <formula>1</formula>
    </cfRule>
  </conditionalFormatting>
  <conditionalFormatting sqref="R32:R39">
    <cfRule type="cellIs" dxfId="11872" priority="1211" operator="greaterThan">
      <formula>1</formula>
    </cfRule>
    <cfRule type="cellIs" dxfId="11871" priority="1212" operator="lessThan">
      <formula>0.8</formula>
    </cfRule>
  </conditionalFormatting>
  <conditionalFormatting sqref="P32:P39">
    <cfRule type="cellIs" dxfId="11870" priority="1210" operator="greaterThan">
      <formula>0</formula>
    </cfRule>
  </conditionalFormatting>
  <conditionalFormatting sqref="Q32:Q39">
    <cfRule type="cellIs" dxfId="11869" priority="1209" operator="lessThan">
      <formula>0</formula>
    </cfRule>
  </conditionalFormatting>
  <conditionalFormatting sqref="R32:R39">
    <cfRule type="cellIs" dxfId="11868" priority="1207" operator="lessThan">
      <formula>0.8</formula>
    </cfRule>
    <cfRule type="cellIs" dxfId="11867" priority="1208" operator="greaterThan">
      <formula>1</formula>
    </cfRule>
  </conditionalFormatting>
  <conditionalFormatting sqref="R32:R39">
    <cfRule type="cellIs" dxfId="11866" priority="1205" operator="greaterThan">
      <formula>1</formula>
    </cfRule>
    <cfRule type="cellIs" dxfId="11865" priority="1206" operator="lessThan">
      <formula>0.8</formula>
    </cfRule>
  </conditionalFormatting>
  <conditionalFormatting sqref="P32:P39">
    <cfRule type="cellIs" dxfId="11864" priority="1204" operator="greaterThan">
      <formula>0</formula>
    </cfRule>
  </conditionalFormatting>
  <conditionalFormatting sqref="Q105">
    <cfRule type="cellIs" dxfId="11863" priority="1203" operator="lessThan">
      <formula>0</formula>
    </cfRule>
  </conditionalFormatting>
  <conditionalFormatting sqref="P105">
    <cfRule type="cellIs" dxfId="11862" priority="1202" operator="greaterThan">
      <formula>0</formula>
    </cfRule>
  </conditionalFormatting>
  <conditionalFormatting sqref="P105">
    <cfRule type="cellIs" dxfId="11861" priority="1200" operator="greaterThan">
      <formula>0</formula>
    </cfRule>
  </conditionalFormatting>
  <conditionalFormatting sqref="Q105">
    <cfRule type="cellIs" dxfId="11860" priority="1201" operator="lessThan">
      <formula>0</formula>
    </cfRule>
  </conditionalFormatting>
  <conditionalFormatting sqref="Q105">
    <cfRule type="cellIs" dxfId="11859" priority="1199" operator="lessThan">
      <formula>0</formula>
    </cfRule>
  </conditionalFormatting>
  <conditionalFormatting sqref="P105">
    <cfRule type="cellIs" dxfId="11858" priority="1198" operator="greaterThan">
      <formula>0</formula>
    </cfRule>
  </conditionalFormatting>
  <conditionalFormatting sqref="Q96:Q104">
    <cfRule type="cellIs" dxfId="11857" priority="1192" operator="lessThan">
      <formula>0</formula>
    </cfRule>
  </conditionalFormatting>
  <conditionalFormatting sqref="P96:P104">
    <cfRule type="cellIs" dxfId="11856" priority="1193" operator="greaterThan">
      <formula>0</formula>
    </cfRule>
  </conditionalFormatting>
  <conditionalFormatting sqref="R96:R105">
    <cfRule type="cellIs" dxfId="11855" priority="1196" operator="lessThan">
      <formula>0.8</formula>
    </cfRule>
    <cfRule type="cellIs" dxfId="11854" priority="1197" operator="greaterThan">
      <formula>1</formula>
    </cfRule>
  </conditionalFormatting>
  <conditionalFormatting sqref="R96:R105">
    <cfRule type="cellIs" dxfId="11853" priority="1194" operator="greaterThan">
      <formula>1</formula>
    </cfRule>
    <cfRule type="cellIs" dxfId="11852" priority="1195" operator="lessThan">
      <formula>0.8</formula>
    </cfRule>
  </conditionalFormatting>
  <conditionalFormatting sqref="Q96:Q104">
    <cfRule type="cellIs" dxfId="11851" priority="1186" operator="lessThan">
      <formula>0</formula>
    </cfRule>
  </conditionalFormatting>
  <conditionalFormatting sqref="R96:R105">
    <cfRule type="cellIs" dxfId="11850" priority="1190" operator="lessThan">
      <formula>0.8</formula>
    </cfRule>
    <cfRule type="cellIs" dxfId="11849" priority="1191" operator="greaterThan">
      <formula>1</formula>
    </cfRule>
  </conditionalFormatting>
  <conditionalFormatting sqref="R96:R105">
    <cfRule type="cellIs" dxfId="11848" priority="1188" operator="greaterThan">
      <formula>1</formula>
    </cfRule>
    <cfRule type="cellIs" dxfId="11847" priority="1189" operator="lessThan">
      <formula>0.8</formula>
    </cfRule>
  </conditionalFormatting>
  <conditionalFormatting sqref="P96:P104">
    <cfRule type="cellIs" dxfId="11846" priority="1187" operator="greaterThan">
      <formula>0</formula>
    </cfRule>
  </conditionalFormatting>
  <conditionalFormatting sqref="Q96:Q104">
    <cfRule type="cellIs" dxfId="11845" priority="1185" operator="lessThan">
      <formula>0</formula>
    </cfRule>
  </conditionalFormatting>
  <conditionalFormatting sqref="R96:R105">
    <cfRule type="cellIs" dxfId="11844" priority="1183" operator="lessThan">
      <formula>0.8</formula>
    </cfRule>
    <cfRule type="cellIs" dxfId="11843" priority="1184" operator="greaterThan">
      <formula>1</formula>
    </cfRule>
  </conditionalFormatting>
  <conditionalFormatting sqref="R96:R105">
    <cfRule type="cellIs" dxfId="11842" priority="1181" operator="greaterThan">
      <formula>1</formula>
    </cfRule>
    <cfRule type="cellIs" dxfId="11841" priority="1182" operator="lessThan">
      <formula>0.8</formula>
    </cfRule>
  </conditionalFormatting>
  <conditionalFormatting sqref="P96:P104">
    <cfRule type="cellIs" dxfId="11840" priority="1180" operator="greaterThan">
      <formula>0</formula>
    </cfRule>
  </conditionalFormatting>
  <conditionalFormatting sqref="Q96:Q104">
    <cfRule type="cellIs" dxfId="11839" priority="1179" operator="lessThan">
      <formula>0</formula>
    </cfRule>
  </conditionalFormatting>
  <conditionalFormatting sqref="R96:R105">
    <cfRule type="cellIs" dxfId="11838" priority="1177" operator="lessThan">
      <formula>0.8</formula>
    </cfRule>
    <cfRule type="cellIs" dxfId="11837" priority="1178" operator="greaterThan">
      <formula>1</formula>
    </cfRule>
  </conditionalFormatting>
  <conditionalFormatting sqref="R96:R105">
    <cfRule type="cellIs" dxfId="11836" priority="1175" operator="greaterThan">
      <formula>1</formula>
    </cfRule>
    <cfRule type="cellIs" dxfId="11835" priority="1176" operator="lessThan">
      <formula>0.8</formula>
    </cfRule>
  </conditionalFormatting>
  <conditionalFormatting sqref="P96:P104">
    <cfRule type="cellIs" dxfId="11834" priority="1174" operator="greaterThan">
      <formula>0</formula>
    </cfRule>
  </conditionalFormatting>
  <conditionalFormatting sqref="Q96:Q104">
    <cfRule type="cellIs" dxfId="11833" priority="1168" operator="lessThan">
      <formula>0</formula>
    </cfRule>
  </conditionalFormatting>
  <conditionalFormatting sqref="R96:R105">
    <cfRule type="cellIs" dxfId="11832" priority="1172" operator="lessThan">
      <formula>0.8</formula>
    </cfRule>
    <cfRule type="cellIs" dxfId="11831" priority="1173" operator="greaterThan">
      <formula>1</formula>
    </cfRule>
  </conditionalFormatting>
  <conditionalFormatting sqref="R96:R105">
    <cfRule type="cellIs" dxfId="11830" priority="1170" operator="greaterThan">
      <formula>1</formula>
    </cfRule>
    <cfRule type="cellIs" dxfId="11829" priority="1171" operator="lessThan">
      <formula>0.8</formula>
    </cfRule>
  </conditionalFormatting>
  <conditionalFormatting sqref="P96:P104">
    <cfRule type="cellIs" dxfId="11828" priority="1169" operator="greaterThan">
      <formula>0</formula>
    </cfRule>
  </conditionalFormatting>
  <conditionalFormatting sqref="Q96:Q104">
    <cfRule type="cellIs" dxfId="11827" priority="1167" operator="lessThan">
      <formula>0</formula>
    </cfRule>
  </conditionalFormatting>
  <conditionalFormatting sqref="R96:R105">
    <cfRule type="cellIs" dxfId="11826" priority="1165" operator="lessThan">
      <formula>0.8</formula>
    </cfRule>
    <cfRule type="cellIs" dxfId="11825" priority="1166" operator="greaterThan">
      <formula>1</formula>
    </cfRule>
  </conditionalFormatting>
  <conditionalFormatting sqref="R96:R105">
    <cfRule type="cellIs" dxfId="11824" priority="1163" operator="greaterThan">
      <formula>1</formula>
    </cfRule>
    <cfRule type="cellIs" dxfId="11823" priority="1164" operator="lessThan">
      <formula>0.8</formula>
    </cfRule>
  </conditionalFormatting>
  <conditionalFormatting sqref="P96:P104">
    <cfRule type="cellIs" dxfId="11822" priority="1162" operator="greaterThan">
      <formula>0</formula>
    </cfRule>
  </conditionalFormatting>
  <conditionalFormatting sqref="Q96:Q104">
    <cfRule type="cellIs" dxfId="11821" priority="1161" operator="lessThan">
      <formula>0</formula>
    </cfRule>
  </conditionalFormatting>
  <conditionalFormatting sqref="R96:R105">
    <cfRule type="cellIs" dxfId="11820" priority="1159" operator="lessThan">
      <formula>0.8</formula>
    </cfRule>
    <cfRule type="cellIs" dxfId="11819" priority="1160" operator="greaterThan">
      <formula>1</formula>
    </cfRule>
  </conditionalFormatting>
  <conditionalFormatting sqref="R96:R105">
    <cfRule type="cellIs" dxfId="11818" priority="1157" operator="greaterThan">
      <formula>1</formula>
    </cfRule>
    <cfRule type="cellIs" dxfId="11817" priority="1158" operator="lessThan">
      <formula>0.8</formula>
    </cfRule>
  </conditionalFormatting>
  <conditionalFormatting sqref="P96:P104">
    <cfRule type="cellIs" dxfId="11816" priority="1156" operator="greaterThan">
      <formula>0</formula>
    </cfRule>
  </conditionalFormatting>
  <conditionalFormatting sqref="Q96:Q104">
    <cfRule type="cellIs" dxfId="11815" priority="1155" operator="lessThan">
      <formula>0</formula>
    </cfRule>
  </conditionalFormatting>
  <conditionalFormatting sqref="R96:R105">
    <cfRule type="cellIs" dxfId="11814" priority="1153" operator="lessThan">
      <formula>0.8</formula>
    </cfRule>
    <cfRule type="cellIs" dxfId="11813" priority="1154" operator="greaterThan">
      <formula>1</formula>
    </cfRule>
  </conditionalFormatting>
  <conditionalFormatting sqref="R96:R105">
    <cfRule type="cellIs" dxfId="11812" priority="1151" operator="greaterThan">
      <formula>1</formula>
    </cfRule>
    <cfRule type="cellIs" dxfId="11811" priority="1152" operator="lessThan">
      <formula>0.8</formula>
    </cfRule>
  </conditionalFormatting>
  <conditionalFormatting sqref="P96:P104">
    <cfRule type="cellIs" dxfId="11810" priority="1150" operator="greaterThan">
      <formula>0</formula>
    </cfRule>
  </conditionalFormatting>
  <conditionalFormatting sqref="Q96:Q104">
    <cfRule type="cellIs" dxfId="11809" priority="1149" operator="lessThan">
      <formula>0</formula>
    </cfRule>
  </conditionalFormatting>
  <conditionalFormatting sqref="R96:R105">
    <cfRule type="cellIs" dxfId="11808" priority="1147" operator="lessThan">
      <formula>0.8</formula>
    </cfRule>
    <cfRule type="cellIs" dxfId="11807" priority="1148" operator="greaterThan">
      <formula>1</formula>
    </cfRule>
  </conditionalFormatting>
  <conditionalFormatting sqref="R96:R105">
    <cfRule type="cellIs" dxfId="11806" priority="1145" operator="greaterThan">
      <formula>1</formula>
    </cfRule>
    <cfRule type="cellIs" dxfId="11805" priority="1146" operator="lessThan">
      <formula>0.8</formula>
    </cfRule>
  </conditionalFormatting>
  <conditionalFormatting sqref="P96:P104">
    <cfRule type="cellIs" dxfId="11804" priority="1144" operator="greaterThan">
      <formula>0</formula>
    </cfRule>
  </conditionalFormatting>
  <conditionalFormatting sqref="Q96:Q104">
    <cfRule type="cellIs" dxfId="11803" priority="1143" operator="lessThan">
      <formula>0</formula>
    </cfRule>
  </conditionalFormatting>
  <conditionalFormatting sqref="R96:R105">
    <cfRule type="cellIs" dxfId="11802" priority="1141" operator="lessThan">
      <formula>0.8</formula>
    </cfRule>
    <cfRule type="cellIs" dxfId="11801" priority="1142" operator="greaterThan">
      <formula>1</formula>
    </cfRule>
  </conditionalFormatting>
  <conditionalFormatting sqref="R96:R105">
    <cfRule type="cellIs" dxfId="11800" priority="1139" operator="greaterThan">
      <formula>1</formula>
    </cfRule>
    <cfRule type="cellIs" dxfId="11799" priority="1140" operator="lessThan">
      <formula>0.8</formula>
    </cfRule>
  </conditionalFormatting>
  <conditionalFormatting sqref="P96:P104">
    <cfRule type="cellIs" dxfId="11798" priority="1138" operator="greaterThan">
      <formula>0</formula>
    </cfRule>
  </conditionalFormatting>
  <conditionalFormatting sqref="P96:P104">
    <cfRule type="cellIs" dxfId="11797" priority="1132" operator="greaterThan">
      <formula>0</formula>
    </cfRule>
  </conditionalFormatting>
  <conditionalFormatting sqref="Q96:Q104">
    <cfRule type="cellIs" dxfId="11796" priority="1137" operator="lessThan">
      <formula>0</formula>
    </cfRule>
  </conditionalFormatting>
  <conditionalFormatting sqref="R96:R105">
    <cfRule type="cellIs" dxfId="11795" priority="1135" operator="lessThan">
      <formula>0.8</formula>
    </cfRule>
    <cfRule type="cellIs" dxfId="11794" priority="1136" operator="greaterThan">
      <formula>1</formula>
    </cfRule>
  </conditionalFormatting>
  <conditionalFormatting sqref="R96:R105">
    <cfRule type="cellIs" dxfId="11793" priority="1133" operator="greaterThan">
      <formula>1</formula>
    </cfRule>
    <cfRule type="cellIs" dxfId="11792" priority="1134" operator="lessThan">
      <formula>0.8</formula>
    </cfRule>
  </conditionalFormatting>
  <conditionalFormatting sqref="P96:P104">
    <cfRule type="cellIs" dxfId="11791" priority="1126" operator="greaterThan">
      <formula>0</formula>
    </cfRule>
  </conditionalFormatting>
  <conditionalFormatting sqref="Q96:Q104">
    <cfRule type="cellIs" dxfId="11790" priority="1131" operator="lessThan">
      <formula>0</formula>
    </cfRule>
  </conditionalFormatting>
  <conditionalFormatting sqref="R96:R105">
    <cfRule type="cellIs" dxfId="11789" priority="1129" operator="lessThan">
      <formula>0.8</formula>
    </cfRule>
    <cfRule type="cellIs" dxfId="11788" priority="1130" operator="greaterThan">
      <formula>1</formula>
    </cfRule>
  </conditionalFormatting>
  <conditionalFormatting sqref="R96:R105">
    <cfRule type="cellIs" dxfId="11787" priority="1127" operator="greaterThan">
      <formula>1</formula>
    </cfRule>
    <cfRule type="cellIs" dxfId="11786" priority="1128" operator="lessThan">
      <formula>0.8</formula>
    </cfRule>
  </conditionalFormatting>
  <conditionalFormatting sqref="R96:R105">
    <cfRule type="cellIs" dxfId="11785" priority="1123" operator="lessThan">
      <formula>0.8</formula>
    </cfRule>
    <cfRule type="cellIs" dxfId="11784" priority="1124" operator="greaterThan">
      <formula>1</formula>
    </cfRule>
  </conditionalFormatting>
  <conditionalFormatting sqref="R96:R105">
    <cfRule type="cellIs" dxfId="11783" priority="1121" operator="greaterThan">
      <formula>1</formula>
    </cfRule>
    <cfRule type="cellIs" dxfId="11782" priority="1122" operator="lessThan">
      <formula>0.8</formula>
    </cfRule>
  </conditionalFormatting>
  <conditionalFormatting sqref="P96:P104">
    <cfRule type="cellIs" dxfId="11781" priority="1120" operator="greaterThan">
      <formula>0</formula>
    </cfRule>
  </conditionalFormatting>
  <conditionalFormatting sqref="Q96:Q104">
    <cfRule type="cellIs" dxfId="11780" priority="1125" operator="lessThan">
      <formula>0</formula>
    </cfRule>
  </conditionalFormatting>
  <conditionalFormatting sqref="Q96:Q104">
    <cfRule type="cellIs" dxfId="11779" priority="1114" operator="lessThan">
      <formula>0</formula>
    </cfRule>
  </conditionalFormatting>
  <conditionalFormatting sqref="P96:P104">
    <cfRule type="cellIs" dxfId="11778" priority="1115" operator="greaterThan">
      <formula>0</formula>
    </cfRule>
  </conditionalFormatting>
  <conditionalFormatting sqref="R96:R105">
    <cfRule type="cellIs" dxfId="11777" priority="1118" operator="lessThan">
      <formula>0.8</formula>
    </cfRule>
    <cfRule type="cellIs" dxfId="11776" priority="1119" operator="greaterThan">
      <formula>1</formula>
    </cfRule>
  </conditionalFormatting>
  <conditionalFormatting sqref="R96:R105">
    <cfRule type="cellIs" dxfId="11775" priority="1116" operator="greaterThan">
      <formula>1</formula>
    </cfRule>
    <cfRule type="cellIs" dxfId="11774" priority="1117" operator="lessThan">
      <formula>0.8</formula>
    </cfRule>
  </conditionalFormatting>
  <conditionalFormatting sqref="Q96:Q104">
    <cfRule type="cellIs" dxfId="11773" priority="1108" operator="lessThan">
      <formula>0</formula>
    </cfRule>
  </conditionalFormatting>
  <conditionalFormatting sqref="R96:R105">
    <cfRule type="cellIs" dxfId="11772" priority="1112" operator="lessThan">
      <formula>0.8</formula>
    </cfRule>
    <cfRule type="cellIs" dxfId="11771" priority="1113" operator="greaterThan">
      <formula>1</formula>
    </cfRule>
  </conditionalFormatting>
  <conditionalFormatting sqref="R96:R105">
    <cfRule type="cellIs" dxfId="11770" priority="1110" operator="greaterThan">
      <formula>1</formula>
    </cfRule>
    <cfRule type="cellIs" dxfId="11769" priority="1111" operator="lessThan">
      <formula>0.8</formula>
    </cfRule>
  </conditionalFormatting>
  <conditionalFormatting sqref="P96:P104">
    <cfRule type="cellIs" dxfId="11768" priority="1109" operator="greaterThan">
      <formula>0</formula>
    </cfRule>
  </conditionalFormatting>
  <conditionalFormatting sqref="Q96:Q104">
    <cfRule type="cellIs" dxfId="11767" priority="1107" operator="lessThan">
      <formula>0</formula>
    </cfRule>
  </conditionalFormatting>
  <conditionalFormatting sqref="R96:R105">
    <cfRule type="cellIs" dxfId="11766" priority="1105" operator="lessThan">
      <formula>0.8</formula>
    </cfRule>
    <cfRule type="cellIs" dxfId="11765" priority="1106" operator="greaterThan">
      <formula>1</formula>
    </cfRule>
  </conditionalFormatting>
  <conditionalFormatting sqref="R96:R105">
    <cfRule type="cellIs" dxfId="11764" priority="1103" operator="greaterThan">
      <formula>1</formula>
    </cfRule>
    <cfRule type="cellIs" dxfId="11763" priority="1104" operator="lessThan">
      <formula>0.8</formula>
    </cfRule>
  </conditionalFormatting>
  <conditionalFormatting sqref="P96:P104">
    <cfRule type="cellIs" dxfId="11762" priority="1102" operator="greaterThan">
      <formula>0</formula>
    </cfRule>
  </conditionalFormatting>
  <conditionalFormatting sqref="Q96:Q104">
    <cfRule type="cellIs" dxfId="11761" priority="1101" operator="lessThan">
      <formula>0</formula>
    </cfRule>
  </conditionalFormatting>
  <conditionalFormatting sqref="R96:R105">
    <cfRule type="cellIs" dxfId="11760" priority="1099" operator="lessThan">
      <formula>0.8</formula>
    </cfRule>
    <cfRule type="cellIs" dxfId="11759" priority="1100" operator="greaterThan">
      <formula>1</formula>
    </cfRule>
  </conditionalFormatting>
  <conditionalFormatting sqref="R96:R105">
    <cfRule type="cellIs" dxfId="11758" priority="1097" operator="greaterThan">
      <formula>1</formula>
    </cfRule>
    <cfRule type="cellIs" dxfId="11757" priority="1098" operator="lessThan">
      <formula>0.8</formula>
    </cfRule>
  </conditionalFormatting>
  <conditionalFormatting sqref="P96:P104">
    <cfRule type="cellIs" dxfId="11756" priority="1096" operator="greaterThan">
      <formula>0</formula>
    </cfRule>
  </conditionalFormatting>
  <conditionalFormatting sqref="Q96:Q104">
    <cfRule type="cellIs" dxfId="11755" priority="1090" operator="lessThan">
      <formula>0</formula>
    </cfRule>
  </conditionalFormatting>
  <conditionalFormatting sqref="P96:P104">
    <cfRule type="cellIs" dxfId="11754" priority="1091" operator="greaterThan">
      <formula>0</formula>
    </cfRule>
  </conditionalFormatting>
  <conditionalFormatting sqref="R96:R105">
    <cfRule type="cellIs" dxfId="11753" priority="1094" operator="lessThan">
      <formula>0.8</formula>
    </cfRule>
    <cfRule type="cellIs" dxfId="11752" priority="1095" operator="greaterThan">
      <formula>1</formula>
    </cfRule>
  </conditionalFormatting>
  <conditionalFormatting sqref="R96:R105">
    <cfRule type="cellIs" dxfId="11751" priority="1092" operator="greaterThan">
      <formula>1</formula>
    </cfRule>
    <cfRule type="cellIs" dxfId="11750" priority="1093" operator="lessThan">
      <formula>0.8</formula>
    </cfRule>
  </conditionalFormatting>
  <conditionalFormatting sqref="Q96:Q104">
    <cfRule type="cellIs" dxfId="11749" priority="1084" operator="lessThan">
      <formula>0</formula>
    </cfRule>
  </conditionalFormatting>
  <conditionalFormatting sqref="R96:R105">
    <cfRule type="cellIs" dxfId="11748" priority="1088" operator="lessThan">
      <formula>0.8</formula>
    </cfRule>
    <cfRule type="cellIs" dxfId="11747" priority="1089" operator="greaterThan">
      <formula>1</formula>
    </cfRule>
  </conditionalFormatting>
  <conditionalFormatting sqref="R96:R105">
    <cfRule type="cellIs" dxfId="11746" priority="1086" operator="greaterThan">
      <formula>1</formula>
    </cfRule>
    <cfRule type="cellIs" dxfId="11745" priority="1087" operator="lessThan">
      <formula>0.8</formula>
    </cfRule>
  </conditionalFormatting>
  <conditionalFormatting sqref="P96:P104">
    <cfRule type="cellIs" dxfId="11744" priority="1085" operator="greaterThan">
      <formula>0</formula>
    </cfRule>
  </conditionalFormatting>
  <conditionalFormatting sqref="Q96:Q104">
    <cfRule type="cellIs" dxfId="11743" priority="1083" operator="lessThan">
      <formula>0</formula>
    </cfRule>
  </conditionalFormatting>
  <conditionalFormatting sqref="R96:R105">
    <cfRule type="cellIs" dxfId="11742" priority="1081" operator="lessThan">
      <formula>0.8</formula>
    </cfRule>
    <cfRule type="cellIs" dxfId="11741" priority="1082" operator="greaterThan">
      <formula>1</formula>
    </cfRule>
  </conditionalFormatting>
  <conditionalFormatting sqref="R96:R105">
    <cfRule type="cellIs" dxfId="11740" priority="1079" operator="greaterThan">
      <formula>1</formula>
    </cfRule>
    <cfRule type="cellIs" dxfId="11739" priority="1080" operator="lessThan">
      <formula>0.8</formula>
    </cfRule>
  </conditionalFormatting>
  <conditionalFormatting sqref="P96:P104">
    <cfRule type="cellIs" dxfId="11738" priority="1078" operator="greaterThan">
      <formula>0</formula>
    </cfRule>
  </conditionalFormatting>
  <conditionalFormatting sqref="Q96:Q104">
    <cfRule type="cellIs" dxfId="11737" priority="1077" operator="lessThan">
      <formula>0</formula>
    </cfRule>
  </conditionalFormatting>
  <conditionalFormatting sqref="R96:R105">
    <cfRule type="cellIs" dxfId="11736" priority="1075" operator="lessThan">
      <formula>0.8</formula>
    </cfRule>
    <cfRule type="cellIs" dxfId="11735" priority="1076" operator="greaterThan">
      <formula>1</formula>
    </cfRule>
  </conditionalFormatting>
  <conditionalFormatting sqref="R96:R105">
    <cfRule type="cellIs" dxfId="11734" priority="1073" operator="greaterThan">
      <formula>1</formula>
    </cfRule>
    <cfRule type="cellIs" dxfId="11733" priority="1074" operator="lessThan">
      <formula>0.8</formula>
    </cfRule>
  </conditionalFormatting>
  <conditionalFormatting sqref="P96:P104">
    <cfRule type="cellIs" dxfId="11732" priority="1072" operator="greaterThan">
      <formula>0</formula>
    </cfRule>
  </conditionalFormatting>
  <conditionalFormatting sqref="P124 P127 P131">
    <cfRule type="cellIs" dxfId="11731" priority="1066" operator="greaterThan">
      <formula>0</formula>
    </cfRule>
  </conditionalFormatting>
  <conditionalFormatting sqref="Q124 Q127 Q131">
    <cfRule type="cellIs" dxfId="11730" priority="1071" operator="lessThan">
      <formula>0</formula>
    </cfRule>
  </conditionalFormatting>
  <conditionalFormatting sqref="R124 R127 R131">
    <cfRule type="cellIs" dxfId="11729" priority="1069" operator="lessThan">
      <formula>0.8</formula>
    </cfRule>
    <cfRule type="cellIs" dxfId="11728" priority="1070" operator="greaterThan">
      <formula>1</formula>
    </cfRule>
  </conditionalFormatting>
  <conditionalFormatting sqref="R124 R127 R131">
    <cfRule type="cellIs" dxfId="11727" priority="1067" operator="greaterThan">
      <formula>1</formula>
    </cfRule>
    <cfRule type="cellIs" dxfId="11726" priority="1068" operator="lessThan">
      <formula>0.8</formula>
    </cfRule>
  </conditionalFormatting>
  <conditionalFormatting sqref="Q124 Q127 Q131">
    <cfRule type="cellIs" dxfId="11725" priority="1065" operator="lessThan">
      <formula>0</formula>
    </cfRule>
  </conditionalFormatting>
  <conditionalFormatting sqref="R124 R127 R131">
    <cfRule type="cellIs" dxfId="11724" priority="1063" operator="lessThan">
      <formula>0.8</formula>
    </cfRule>
    <cfRule type="cellIs" dxfId="11723" priority="1064" operator="greaterThan">
      <formula>1</formula>
    </cfRule>
  </conditionalFormatting>
  <conditionalFormatting sqref="R124 R127 R131">
    <cfRule type="cellIs" dxfId="11722" priority="1061" operator="greaterThan">
      <formula>1</formula>
    </cfRule>
    <cfRule type="cellIs" dxfId="11721" priority="1062" operator="lessThan">
      <formula>0.8</formula>
    </cfRule>
  </conditionalFormatting>
  <conditionalFormatting sqref="P124 P127 P131">
    <cfRule type="cellIs" dxfId="11720" priority="1060" operator="greaterThan">
      <formula>0</formula>
    </cfRule>
  </conditionalFormatting>
  <conditionalFormatting sqref="Q123 Q125:Q126 Q128:Q130">
    <cfRule type="cellIs" dxfId="11719" priority="1059" operator="lessThan">
      <formula>0</formula>
    </cfRule>
  </conditionalFormatting>
  <conditionalFormatting sqref="R123 R125:R126 R128:R130">
    <cfRule type="cellIs" dxfId="11718" priority="1057" operator="lessThan">
      <formula>0.8</formula>
    </cfRule>
    <cfRule type="cellIs" dxfId="11717" priority="1058" operator="greaterThan">
      <formula>1</formula>
    </cfRule>
  </conditionalFormatting>
  <conditionalFormatting sqref="R123 R125:R126 R128:R130">
    <cfRule type="cellIs" dxfId="11716" priority="1055" operator="greaterThan">
      <formula>1</formula>
    </cfRule>
    <cfRule type="cellIs" dxfId="11715" priority="1056" operator="lessThan">
      <formula>0.8</formula>
    </cfRule>
  </conditionalFormatting>
  <conditionalFormatting sqref="P123 P125:P126 P128:P130">
    <cfRule type="cellIs" dxfId="11714" priority="1054" operator="greaterThan">
      <formula>0</formula>
    </cfRule>
  </conditionalFormatting>
  <conditionalFormatting sqref="P123 P125:P126 P128:P130">
    <cfRule type="cellIs" dxfId="11713" priority="1048" operator="greaterThan">
      <formula>0</formula>
    </cfRule>
  </conditionalFormatting>
  <conditionalFormatting sqref="Q123 Q125:Q126 Q128:Q130">
    <cfRule type="cellIs" dxfId="11712" priority="1053" operator="lessThan">
      <formula>0</formula>
    </cfRule>
  </conditionalFormatting>
  <conditionalFormatting sqref="R123 R125:R126 R128:R130">
    <cfRule type="cellIs" dxfId="11711" priority="1051" operator="lessThan">
      <formula>0.8</formula>
    </cfRule>
    <cfRule type="cellIs" dxfId="11710" priority="1052" operator="greaterThan">
      <formula>1</formula>
    </cfRule>
  </conditionalFormatting>
  <conditionalFormatting sqref="R123 R125:R126 R128:R130">
    <cfRule type="cellIs" dxfId="11709" priority="1049" operator="greaterThan">
      <formula>1</formula>
    </cfRule>
    <cfRule type="cellIs" dxfId="11708" priority="1050" operator="lessThan">
      <formula>0.8</formula>
    </cfRule>
  </conditionalFormatting>
  <conditionalFormatting sqref="P122">
    <cfRule type="cellIs" dxfId="11707" priority="1042" operator="greaterThan">
      <formula>0</formula>
    </cfRule>
  </conditionalFormatting>
  <conditionalFormatting sqref="Q122">
    <cfRule type="cellIs" dxfId="11706" priority="1047" operator="lessThan">
      <formula>0</formula>
    </cfRule>
  </conditionalFormatting>
  <conditionalFormatting sqref="R122">
    <cfRule type="cellIs" dxfId="11705" priority="1045" operator="lessThan">
      <formula>0.8</formula>
    </cfRule>
    <cfRule type="cellIs" dxfId="11704" priority="1046" operator="greaterThan">
      <formula>1</formula>
    </cfRule>
  </conditionalFormatting>
  <conditionalFormatting sqref="R122">
    <cfRule type="cellIs" dxfId="11703" priority="1043" operator="greaterThan">
      <formula>1</formula>
    </cfRule>
    <cfRule type="cellIs" dxfId="11702" priority="1044" operator="lessThan">
      <formula>0.8</formula>
    </cfRule>
  </conditionalFormatting>
  <conditionalFormatting sqref="Q109:Q116">
    <cfRule type="cellIs" dxfId="11701" priority="1041" operator="lessThan">
      <formula>0</formula>
    </cfRule>
  </conditionalFormatting>
  <conditionalFormatting sqref="R109:R116">
    <cfRule type="cellIs" dxfId="11700" priority="1039" operator="lessThan">
      <formula>0.8</formula>
    </cfRule>
    <cfRule type="cellIs" dxfId="11699" priority="1040" operator="greaterThan">
      <formula>1</formula>
    </cfRule>
  </conditionalFormatting>
  <conditionalFormatting sqref="R109:R116">
    <cfRule type="cellIs" dxfId="11698" priority="1037" operator="greaterThan">
      <formula>1</formula>
    </cfRule>
    <cfRule type="cellIs" dxfId="11697" priority="1038" operator="lessThan">
      <formula>0.8</formula>
    </cfRule>
  </conditionalFormatting>
  <conditionalFormatting sqref="P109:P116">
    <cfRule type="cellIs" dxfId="11696" priority="1036" operator="greaterThan">
      <formula>0</formula>
    </cfRule>
  </conditionalFormatting>
  <conditionalFormatting sqref="P137 P140 P143">
    <cfRule type="cellIs" dxfId="11695" priority="1035" operator="greaterThan">
      <formula>0</formula>
    </cfRule>
  </conditionalFormatting>
  <conditionalFormatting sqref="Q137 Q140 Q143">
    <cfRule type="cellIs" dxfId="11694" priority="1034" operator="lessThan">
      <formula>0</formula>
    </cfRule>
  </conditionalFormatting>
  <conditionalFormatting sqref="R137 R140 R143">
    <cfRule type="cellIs" dxfId="11693" priority="1032" operator="lessThan">
      <formula>0.8</formula>
    </cfRule>
    <cfRule type="cellIs" dxfId="11692" priority="1033" operator="greaterThan">
      <formula>1</formula>
    </cfRule>
  </conditionalFormatting>
  <conditionalFormatting sqref="R137 R140 R143">
    <cfRule type="cellIs" dxfId="11691" priority="1030" operator="greaterThan">
      <formula>1</formula>
    </cfRule>
    <cfRule type="cellIs" dxfId="11690" priority="1031" operator="lessThan">
      <formula>0.8</formula>
    </cfRule>
  </conditionalFormatting>
  <conditionalFormatting sqref="P137 P140 P143">
    <cfRule type="cellIs" dxfId="11689" priority="1029" operator="greaterThan">
      <formula>0</formula>
    </cfRule>
  </conditionalFormatting>
  <conditionalFormatting sqref="Q137 Q140 Q143">
    <cfRule type="cellIs" dxfId="11688" priority="1028" operator="lessThan">
      <formula>0</formula>
    </cfRule>
  </conditionalFormatting>
  <conditionalFormatting sqref="R137 R140 R143">
    <cfRule type="cellIs" dxfId="11687" priority="1026" operator="lessThan">
      <formula>0.8</formula>
    </cfRule>
    <cfRule type="cellIs" dxfId="11686" priority="1027" operator="greaterThan">
      <formula>1</formula>
    </cfRule>
  </conditionalFormatting>
  <conditionalFormatting sqref="R137 R140 R143">
    <cfRule type="cellIs" dxfId="11685" priority="1024" operator="greaterThan">
      <formula>1</formula>
    </cfRule>
    <cfRule type="cellIs" dxfId="11684" priority="1025" operator="lessThan">
      <formula>0.8</formula>
    </cfRule>
  </conditionalFormatting>
  <conditionalFormatting sqref="P137 P140 P143">
    <cfRule type="cellIs" dxfId="11683" priority="1023" operator="greaterThan">
      <formula>0</formula>
    </cfRule>
  </conditionalFormatting>
  <conditionalFormatting sqref="P137 P140 P143">
    <cfRule type="cellIs" dxfId="11682" priority="1017" operator="greaterThan">
      <formula>0</formula>
    </cfRule>
  </conditionalFormatting>
  <conditionalFormatting sqref="Q137 Q140 Q143">
    <cfRule type="cellIs" dxfId="11681" priority="1022" operator="lessThan">
      <formula>0</formula>
    </cfRule>
  </conditionalFormatting>
  <conditionalFormatting sqref="R137 R140 R143">
    <cfRule type="cellIs" dxfId="11680" priority="1020" operator="lessThan">
      <formula>0.8</formula>
    </cfRule>
    <cfRule type="cellIs" dxfId="11679" priority="1021" operator="greaterThan">
      <formula>1</formula>
    </cfRule>
  </conditionalFormatting>
  <conditionalFormatting sqref="R137 R140 R143">
    <cfRule type="cellIs" dxfId="11678" priority="1018" operator="greaterThan">
      <formula>1</formula>
    </cfRule>
    <cfRule type="cellIs" dxfId="11677" priority="1019" operator="lessThan">
      <formula>0.8</formula>
    </cfRule>
  </conditionalFormatting>
  <conditionalFormatting sqref="Q137 Q140 Q143">
    <cfRule type="cellIs" dxfId="11676" priority="1016" operator="lessThan">
      <formula>0</formula>
    </cfRule>
  </conditionalFormatting>
  <conditionalFormatting sqref="R137 R140 R143">
    <cfRule type="cellIs" dxfId="11675" priority="1014" operator="lessThan">
      <formula>0.8</formula>
    </cfRule>
    <cfRule type="cellIs" dxfId="11674" priority="1015" operator="greaterThan">
      <formula>1</formula>
    </cfRule>
  </conditionalFormatting>
  <conditionalFormatting sqref="R137 R140 R143">
    <cfRule type="cellIs" dxfId="11673" priority="1012" operator="greaterThan">
      <formula>1</formula>
    </cfRule>
    <cfRule type="cellIs" dxfId="11672" priority="1013" operator="lessThan">
      <formula>0.8</formula>
    </cfRule>
  </conditionalFormatting>
  <conditionalFormatting sqref="P137 P140 P143">
    <cfRule type="cellIs" dxfId="11671" priority="1011" operator="greaterThan">
      <formula>0</formula>
    </cfRule>
  </conditionalFormatting>
  <conditionalFormatting sqref="Q137 Q140 Q143">
    <cfRule type="cellIs" dxfId="11670" priority="1010" operator="lessThan">
      <formula>0</formula>
    </cfRule>
  </conditionalFormatting>
  <conditionalFormatting sqref="R137 R140 R143">
    <cfRule type="cellIs" dxfId="11669" priority="1008" operator="lessThan">
      <formula>0.8</formula>
    </cfRule>
    <cfRule type="cellIs" dxfId="11668" priority="1009" operator="greaterThan">
      <formula>1</formula>
    </cfRule>
  </conditionalFormatting>
  <conditionalFormatting sqref="R137 R140 R143">
    <cfRule type="cellIs" dxfId="11667" priority="1006" operator="greaterThan">
      <formula>1</formula>
    </cfRule>
    <cfRule type="cellIs" dxfId="11666" priority="1007" operator="lessThan">
      <formula>0.8</formula>
    </cfRule>
  </conditionalFormatting>
  <conditionalFormatting sqref="P137 P140 P143">
    <cfRule type="cellIs" dxfId="11665" priority="1005" operator="greaterThan">
      <formula>0</formula>
    </cfRule>
  </conditionalFormatting>
  <conditionalFormatting sqref="P137 P140 P143">
    <cfRule type="cellIs" dxfId="11664" priority="999" operator="greaterThan">
      <formula>0</formula>
    </cfRule>
  </conditionalFormatting>
  <conditionalFormatting sqref="Q137 Q140 Q143">
    <cfRule type="cellIs" dxfId="11663" priority="1004" operator="lessThan">
      <formula>0</formula>
    </cfRule>
  </conditionalFormatting>
  <conditionalFormatting sqref="R137 R140 R143">
    <cfRule type="cellIs" dxfId="11662" priority="1002" operator="lessThan">
      <formula>0.8</formula>
    </cfRule>
    <cfRule type="cellIs" dxfId="11661" priority="1003" operator="greaterThan">
      <formula>1</formula>
    </cfRule>
  </conditionalFormatting>
  <conditionalFormatting sqref="R137 R140 R143">
    <cfRule type="cellIs" dxfId="11660" priority="1000" operator="greaterThan">
      <formula>1</formula>
    </cfRule>
    <cfRule type="cellIs" dxfId="11659" priority="1001" operator="lessThan">
      <formula>0.8</formula>
    </cfRule>
  </conditionalFormatting>
  <conditionalFormatting sqref="Q137 Q140 Q143">
    <cfRule type="cellIs" dxfId="11658" priority="998" operator="lessThan">
      <formula>0</formula>
    </cfRule>
  </conditionalFormatting>
  <conditionalFormatting sqref="R137 R140 R143">
    <cfRule type="cellIs" dxfId="11657" priority="996" operator="lessThan">
      <formula>0.8</formula>
    </cfRule>
    <cfRule type="cellIs" dxfId="11656" priority="997" operator="greaterThan">
      <formula>1</formula>
    </cfRule>
  </conditionalFormatting>
  <conditionalFormatting sqref="R137 R140 R143">
    <cfRule type="cellIs" dxfId="11655" priority="994" operator="greaterThan">
      <formula>1</formula>
    </cfRule>
    <cfRule type="cellIs" dxfId="11654" priority="995" operator="lessThan">
      <formula>0.8</formula>
    </cfRule>
  </conditionalFormatting>
  <conditionalFormatting sqref="P137 P140 P143">
    <cfRule type="cellIs" dxfId="11653" priority="993" operator="greaterThan">
      <formula>0</formula>
    </cfRule>
  </conditionalFormatting>
  <conditionalFormatting sqref="Q137 Q140 Q143">
    <cfRule type="cellIs" dxfId="11652" priority="992" operator="lessThan">
      <formula>0</formula>
    </cfRule>
  </conditionalFormatting>
  <conditionalFormatting sqref="R137 R140 R143">
    <cfRule type="cellIs" dxfId="11651" priority="990" operator="lessThan">
      <formula>0.8</formula>
    </cfRule>
    <cfRule type="cellIs" dxfId="11650" priority="991" operator="greaterThan">
      <formula>1</formula>
    </cfRule>
  </conditionalFormatting>
  <conditionalFormatting sqref="R137 R140 R143">
    <cfRule type="cellIs" dxfId="11649" priority="988" operator="greaterThan">
      <formula>1</formula>
    </cfRule>
    <cfRule type="cellIs" dxfId="11648" priority="989" operator="lessThan">
      <formula>0.8</formula>
    </cfRule>
  </conditionalFormatting>
  <conditionalFormatting sqref="P137 P140 P143">
    <cfRule type="cellIs" dxfId="11647" priority="987" operator="greaterThan">
      <formula>0</formula>
    </cfRule>
  </conditionalFormatting>
  <conditionalFormatting sqref="P137 P140 P143">
    <cfRule type="cellIs" dxfId="11646" priority="981" operator="greaterThan">
      <formula>0</formula>
    </cfRule>
  </conditionalFormatting>
  <conditionalFormatting sqref="Q137 Q140 Q143">
    <cfRule type="cellIs" dxfId="11645" priority="986" operator="lessThan">
      <formula>0</formula>
    </cfRule>
  </conditionalFormatting>
  <conditionalFormatting sqref="R137 R140 R143">
    <cfRule type="cellIs" dxfId="11644" priority="984" operator="lessThan">
      <formula>0.8</formula>
    </cfRule>
    <cfRule type="cellIs" dxfId="11643" priority="985" operator="greaterThan">
      <formula>1</formula>
    </cfRule>
  </conditionalFormatting>
  <conditionalFormatting sqref="R137 R140 R143">
    <cfRule type="cellIs" dxfId="11642" priority="982" operator="greaterThan">
      <formula>1</formula>
    </cfRule>
    <cfRule type="cellIs" dxfId="11641" priority="983" operator="lessThan">
      <formula>0.8</formula>
    </cfRule>
  </conditionalFormatting>
  <conditionalFormatting sqref="Q137 Q140 Q143">
    <cfRule type="cellIs" dxfId="11640" priority="980" operator="lessThan">
      <formula>0</formula>
    </cfRule>
  </conditionalFormatting>
  <conditionalFormatting sqref="R137 R140 R143">
    <cfRule type="cellIs" dxfId="11639" priority="978" operator="lessThan">
      <formula>0.8</formula>
    </cfRule>
    <cfRule type="cellIs" dxfId="11638" priority="979" operator="greaterThan">
      <formula>1</formula>
    </cfRule>
  </conditionalFormatting>
  <conditionalFormatting sqref="R137 R140 R143">
    <cfRule type="cellIs" dxfId="11637" priority="976" operator="greaterThan">
      <formula>1</formula>
    </cfRule>
    <cfRule type="cellIs" dxfId="11636" priority="977" operator="lessThan">
      <formula>0.8</formula>
    </cfRule>
  </conditionalFormatting>
  <conditionalFormatting sqref="P137 P140 P143">
    <cfRule type="cellIs" dxfId="11635" priority="975" operator="greaterThan">
      <formula>0</formula>
    </cfRule>
  </conditionalFormatting>
  <conditionalFormatting sqref="P138 P141 P144">
    <cfRule type="cellIs" dxfId="11634" priority="969" operator="greaterThan">
      <formula>0</formula>
    </cfRule>
  </conditionalFormatting>
  <conditionalFormatting sqref="Q138 Q141 Q144">
    <cfRule type="cellIs" dxfId="11633" priority="974" operator="lessThan">
      <formula>0</formula>
    </cfRule>
  </conditionalFormatting>
  <conditionalFormatting sqref="R138 R141 R144">
    <cfRule type="cellIs" dxfId="11632" priority="972" operator="lessThan">
      <formula>0.8</formula>
    </cfRule>
    <cfRule type="cellIs" dxfId="11631" priority="973" operator="greaterThan">
      <formula>1</formula>
    </cfRule>
  </conditionalFormatting>
  <conditionalFormatting sqref="R138 R141 R144">
    <cfRule type="cellIs" dxfId="11630" priority="970" operator="greaterThan">
      <formula>1</formula>
    </cfRule>
    <cfRule type="cellIs" dxfId="11629" priority="971" operator="lessThan">
      <formula>0.8</formula>
    </cfRule>
  </conditionalFormatting>
  <conditionalFormatting sqref="Q138 Q141 Q144">
    <cfRule type="cellIs" dxfId="11628" priority="968" operator="lessThan">
      <formula>0</formula>
    </cfRule>
  </conditionalFormatting>
  <conditionalFormatting sqref="R138 R141 R144">
    <cfRule type="cellIs" dxfId="11627" priority="966" operator="lessThan">
      <formula>0.8</formula>
    </cfRule>
    <cfRule type="cellIs" dxfId="11626" priority="967" operator="greaterThan">
      <formula>1</formula>
    </cfRule>
  </conditionalFormatting>
  <conditionalFormatting sqref="R138 R141 R144">
    <cfRule type="cellIs" dxfId="11625" priority="964" operator="greaterThan">
      <formula>1</formula>
    </cfRule>
    <cfRule type="cellIs" dxfId="11624" priority="965" operator="lessThan">
      <formula>0.8</formula>
    </cfRule>
  </conditionalFormatting>
  <conditionalFormatting sqref="P138 P141 P144">
    <cfRule type="cellIs" dxfId="11623" priority="963" operator="greaterThan">
      <formula>0</formula>
    </cfRule>
  </conditionalFormatting>
  <conditionalFormatting sqref="Q138 Q141 Q144">
    <cfRule type="cellIs" dxfId="11622" priority="962" operator="lessThan">
      <formula>0</formula>
    </cfRule>
  </conditionalFormatting>
  <conditionalFormatting sqref="R138 R141 R144">
    <cfRule type="cellIs" dxfId="11621" priority="960" operator="lessThan">
      <formula>0.8</formula>
    </cfRule>
    <cfRule type="cellIs" dxfId="11620" priority="961" operator="greaterThan">
      <formula>1</formula>
    </cfRule>
  </conditionalFormatting>
  <conditionalFormatting sqref="R138 R141 R144">
    <cfRule type="cellIs" dxfId="11619" priority="958" operator="greaterThan">
      <formula>1</formula>
    </cfRule>
    <cfRule type="cellIs" dxfId="11618" priority="959" operator="lessThan">
      <formula>0.8</formula>
    </cfRule>
  </conditionalFormatting>
  <conditionalFormatting sqref="P138 P141 P144">
    <cfRule type="cellIs" dxfId="11617" priority="957" operator="greaterThan">
      <formula>0</formula>
    </cfRule>
  </conditionalFormatting>
  <conditionalFormatting sqref="Q138 Q141 Q144">
    <cfRule type="cellIs" dxfId="11616" priority="956" operator="lessThan">
      <formula>0</formula>
    </cfRule>
  </conditionalFormatting>
  <conditionalFormatting sqref="R138 R141 R144">
    <cfRule type="cellIs" dxfId="11615" priority="954" operator="lessThan">
      <formula>0.8</formula>
    </cfRule>
    <cfRule type="cellIs" dxfId="11614" priority="955" operator="greaterThan">
      <formula>1</formula>
    </cfRule>
  </conditionalFormatting>
  <conditionalFormatting sqref="R138 R141 R144">
    <cfRule type="cellIs" dxfId="11613" priority="952" operator="greaterThan">
      <formula>1</formula>
    </cfRule>
    <cfRule type="cellIs" dxfId="11612" priority="953" operator="lessThan">
      <formula>0.8</formula>
    </cfRule>
  </conditionalFormatting>
  <conditionalFormatting sqref="P138 P141 P144">
    <cfRule type="cellIs" dxfId="11611" priority="951" operator="greaterThan">
      <formula>0</formula>
    </cfRule>
  </conditionalFormatting>
  <conditionalFormatting sqref="Q138 Q141 Q144">
    <cfRule type="cellIs" dxfId="11610" priority="950" operator="lessThan">
      <formula>0</formula>
    </cfRule>
  </conditionalFormatting>
  <conditionalFormatting sqref="R138 R141 R144">
    <cfRule type="cellIs" dxfId="11609" priority="948" operator="lessThan">
      <formula>0.8</formula>
    </cfRule>
    <cfRule type="cellIs" dxfId="11608" priority="949" operator="greaterThan">
      <formula>1</formula>
    </cfRule>
  </conditionalFormatting>
  <conditionalFormatting sqref="R138 R141 R144">
    <cfRule type="cellIs" dxfId="11607" priority="946" operator="greaterThan">
      <formula>1</formula>
    </cfRule>
    <cfRule type="cellIs" dxfId="11606" priority="947" operator="lessThan">
      <formula>0.8</formula>
    </cfRule>
  </conditionalFormatting>
  <conditionalFormatting sqref="Q138 Q141 Q144">
    <cfRule type="cellIs" dxfId="11605" priority="945" operator="lessThan">
      <formula>0</formula>
    </cfRule>
  </conditionalFormatting>
  <conditionalFormatting sqref="R138 R141 R144">
    <cfRule type="cellIs" dxfId="11604" priority="943" operator="lessThan">
      <formula>0.8</formula>
    </cfRule>
    <cfRule type="cellIs" dxfId="11603" priority="944" operator="greaterThan">
      <formula>1</formula>
    </cfRule>
  </conditionalFormatting>
  <conditionalFormatting sqref="R138 R141 R144">
    <cfRule type="cellIs" dxfId="11602" priority="941" operator="greaterThan">
      <formula>1</formula>
    </cfRule>
    <cfRule type="cellIs" dxfId="11601" priority="942" operator="lessThan">
      <formula>0.8</formula>
    </cfRule>
  </conditionalFormatting>
  <conditionalFormatting sqref="P138 P141 P144">
    <cfRule type="cellIs" dxfId="11600" priority="940" operator="greaterThan">
      <formula>0</formula>
    </cfRule>
  </conditionalFormatting>
  <conditionalFormatting sqref="P138 P141 P144">
    <cfRule type="cellIs" dxfId="11599" priority="934" operator="greaterThan">
      <formula>0</formula>
    </cfRule>
  </conditionalFormatting>
  <conditionalFormatting sqref="Q138 Q141 Q144">
    <cfRule type="cellIs" dxfId="11598" priority="939" operator="lessThan">
      <formula>0</formula>
    </cfRule>
  </conditionalFormatting>
  <conditionalFormatting sqref="R138 R141 R144">
    <cfRule type="cellIs" dxfId="11597" priority="937" operator="lessThan">
      <formula>0.8</formula>
    </cfRule>
    <cfRule type="cellIs" dxfId="11596" priority="938" operator="greaterThan">
      <formula>1</formula>
    </cfRule>
  </conditionalFormatting>
  <conditionalFormatting sqref="R138 R141 R144">
    <cfRule type="cellIs" dxfId="11595" priority="935" operator="greaterThan">
      <formula>1</formula>
    </cfRule>
    <cfRule type="cellIs" dxfId="11594" priority="936" operator="lessThan">
      <formula>0.8</formula>
    </cfRule>
  </conditionalFormatting>
  <conditionalFormatting sqref="Q138 Q141 Q144">
    <cfRule type="cellIs" dxfId="11593" priority="933" operator="lessThan">
      <formula>0</formula>
    </cfRule>
  </conditionalFormatting>
  <conditionalFormatting sqref="R138 R141 R144">
    <cfRule type="cellIs" dxfId="11592" priority="931" operator="lessThan">
      <formula>0.8</formula>
    </cfRule>
    <cfRule type="cellIs" dxfId="11591" priority="932" operator="greaterThan">
      <formula>1</formula>
    </cfRule>
  </conditionalFormatting>
  <conditionalFormatting sqref="R138 R141 R144">
    <cfRule type="cellIs" dxfId="11590" priority="929" operator="greaterThan">
      <formula>1</formula>
    </cfRule>
    <cfRule type="cellIs" dxfId="11589" priority="930" operator="lessThan">
      <formula>0.8</formula>
    </cfRule>
  </conditionalFormatting>
  <conditionalFormatting sqref="P138 P141 P144">
    <cfRule type="cellIs" dxfId="11588" priority="928" operator="greaterThan">
      <formula>0</formula>
    </cfRule>
  </conditionalFormatting>
  <conditionalFormatting sqref="Q148:Q153">
    <cfRule type="cellIs" dxfId="11587" priority="927" operator="lessThan">
      <formula>0</formula>
    </cfRule>
  </conditionalFormatting>
  <conditionalFormatting sqref="R148:R153">
    <cfRule type="cellIs" dxfId="11586" priority="925" operator="lessThan">
      <formula>0.8</formula>
    </cfRule>
    <cfRule type="cellIs" dxfId="11585" priority="926" operator="greaterThan">
      <formula>1</formula>
    </cfRule>
  </conditionalFormatting>
  <conditionalFormatting sqref="R148:R153">
    <cfRule type="cellIs" dxfId="11584" priority="923" operator="greaterThan">
      <formula>1</formula>
    </cfRule>
    <cfRule type="cellIs" dxfId="11583" priority="924" operator="lessThan">
      <formula>0.8</formula>
    </cfRule>
  </conditionalFormatting>
  <conditionalFormatting sqref="P148:P153">
    <cfRule type="cellIs" dxfId="11582" priority="922" operator="greaterThan">
      <formula>0</formula>
    </cfRule>
  </conditionalFormatting>
  <conditionalFormatting sqref="P148:P153">
    <cfRule type="cellIs" dxfId="11581" priority="916" operator="greaterThan">
      <formula>0</formula>
    </cfRule>
  </conditionalFormatting>
  <conditionalFormatting sqref="Q148:Q153">
    <cfRule type="cellIs" dxfId="11580" priority="921" operator="lessThan">
      <formula>0</formula>
    </cfRule>
  </conditionalFormatting>
  <conditionalFormatting sqref="R148:R153">
    <cfRule type="cellIs" dxfId="11579" priority="919" operator="lessThan">
      <formula>0.8</formula>
    </cfRule>
    <cfRule type="cellIs" dxfId="11578" priority="920" operator="greaterThan">
      <formula>1</formula>
    </cfRule>
  </conditionalFormatting>
  <conditionalFormatting sqref="R148:R153">
    <cfRule type="cellIs" dxfId="11577" priority="917" operator="greaterThan">
      <formula>1</formula>
    </cfRule>
    <cfRule type="cellIs" dxfId="11576" priority="918" operator="lessThan">
      <formula>0.8</formula>
    </cfRule>
  </conditionalFormatting>
  <conditionalFormatting sqref="Q148:Q153">
    <cfRule type="cellIs" dxfId="11575" priority="915" operator="lessThan">
      <formula>0</formula>
    </cfRule>
  </conditionalFormatting>
  <conditionalFormatting sqref="R148:R153">
    <cfRule type="cellIs" dxfId="11574" priority="913" operator="lessThan">
      <formula>0.8</formula>
    </cfRule>
    <cfRule type="cellIs" dxfId="11573" priority="914" operator="greaterThan">
      <formula>1</formula>
    </cfRule>
  </conditionalFormatting>
  <conditionalFormatting sqref="R148:R153">
    <cfRule type="cellIs" dxfId="11572" priority="911" operator="greaterThan">
      <formula>1</formula>
    </cfRule>
    <cfRule type="cellIs" dxfId="11571" priority="912" operator="lessThan">
      <formula>0.8</formula>
    </cfRule>
  </conditionalFormatting>
  <conditionalFormatting sqref="P148:P153">
    <cfRule type="cellIs" dxfId="11570" priority="910" operator="greaterThan">
      <formula>0</formula>
    </cfRule>
  </conditionalFormatting>
  <conditionalFormatting sqref="Q148:Q153">
    <cfRule type="cellIs" dxfId="11569" priority="909" operator="lessThan">
      <formula>0</formula>
    </cfRule>
  </conditionalFormatting>
  <conditionalFormatting sqref="R148:R153">
    <cfRule type="cellIs" dxfId="11568" priority="907" operator="lessThan">
      <formula>0.8</formula>
    </cfRule>
    <cfRule type="cellIs" dxfId="11567" priority="908" operator="greaterThan">
      <formula>1</formula>
    </cfRule>
  </conditionalFormatting>
  <conditionalFormatting sqref="R148:R153">
    <cfRule type="cellIs" dxfId="11566" priority="905" operator="greaterThan">
      <formula>1</formula>
    </cfRule>
    <cfRule type="cellIs" dxfId="11565" priority="906" operator="lessThan">
      <formula>0.8</formula>
    </cfRule>
  </conditionalFormatting>
  <conditionalFormatting sqref="P148:P153">
    <cfRule type="cellIs" dxfId="11564" priority="904" operator="greaterThan">
      <formula>0</formula>
    </cfRule>
  </conditionalFormatting>
  <conditionalFormatting sqref="P148:P153">
    <cfRule type="cellIs" dxfId="11563" priority="898" operator="greaterThan">
      <formula>0</formula>
    </cfRule>
  </conditionalFormatting>
  <conditionalFormatting sqref="Q148:Q153">
    <cfRule type="cellIs" dxfId="11562" priority="903" operator="lessThan">
      <formula>0</formula>
    </cfRule>
  </conditionalFormatting>
  <conditionalFormatting sqref="R148:R153">
    <cfRule type="cellIs" dxfId="11561" priority="901" operator="lessThan">
      <formula>0.8</formula>
    </cfRule>
    <cfRule type="cellIs" dxfId="11560" priority="902" operator="greaterThan">
      <formula>1</formula>
    </cfRule>
  </conditionalFormatting>
  <conditionalFormatting sqref="R148:R153">
    <cfRule type="cellIs" dxfId="11559" priority="899" operator="greaterThan">
      <formula>1</formula>
    </cfRule>
    <cfRule type="cellIs" dxfId="11558" priority="900" operator="lessThan">
      <formula>0.8</formula>
    </cfRule>
  </conditionalFormatting>
  <conditionalFormatting sqref="Q148:Q153">
    <cfRule type="cellIs" dxfId="11557" priority="897" operator="lessThan">
      <formula>0</formula>
    </cfRule>
  </conditionalFormatting>
  <conditionalFormatting sqref="R148:R153">
    <cfRule type="cellIs" dxfId="11556" priority="895" operator="lessThan">
      <formula>0.8</formula>
    </cfRule>
    <cfRule type="cellIs" dxfId="11555" priority="896" operator="greaterThan">
      <formula>1</formula>
    </cfRule>
  </conditionalFormatting>
  <conditionalFormatting sqref="R148:R153">
    <cfRule type="cellIs" dxfId="11554" priority="893" operator="greaterThan">
      <formula>1</formula>
    </cfRule>
    <cfRule type="cellIs" dxfId="11553" priority="894" operator="lessThan">
      <formula>0.8</formula>
    </cfRule>
  </conditionalFormatting>
  <conditionalFormatting sqref="P148:P153">
    <cfRule type="cellIs" dxfId="11552" priority="892" operator="greaterThan">
      <formula>0</formula>
    </cfRule>
  </conditionalFormatting>
  <conditionalFormatting sqref="Q148:Q153">
    <cfRule type="cellIs" dxfId="11551" priority="886" operator="lessThan">
      <formula>0</formula>
    </cfRule>
  </conditionalFormatting>
  <conditionalFormatting sqref="P148:P153">
    <cfRule type="cellIs" dxfId="11550" priority="887" operator="greaterThan">
      <formula>0</formula>
    </cfRule>
  </conditionalFormatting>
  <conditionalFormatting sqref="R148:R153">
    <cfRule type="cellIs" dxfId="11549" priority="890" operator="lessThan">
      <formula>0.8</formula>
    </cfRule>
    <cfRule type="cellIs" dxfId="11548" priority="891" operator="greaterThan">
      <formula>1</formula>
    </cfRule>
  </conditionalFormatting>
  <conditionalFormatting sqref="R148:R153">
    <cfRule type="cellIs" dxfId="11547" priority="888" operator="greaterThan">
      <formula>1</formula>
    </cfRule>
    <cfRule type="cellIs" dxfId="11546" priority="889" operator="lessThan">
      <formula>0.8</formula>
    </cfRule>
  </conditionalFormatting>
  <conditionalFormatting sqref="Q148:Q153">
    <cfRule type="cellIs" dxfId="11545" priority="880" operator="lessThan">
      <formula>0</formula>
    </cfRule>
  </conditionalFormatting>
  <conditionalFormatting sqref="R148:R153">
    <cfRule type="cellIs" dxfId="11544" priority="884" operator="lessThan">
      <formula>0.8</formula>
    </cfRule>
    <cfRule type="cellIs" dxfId="11543" priority="885" operator="greaterThan">
      <formula>1</formula>
    </cfRule>
  </conditionalFormatting>
  <conditionalFormatting sqref="R148:R153">
    <cfRule type="cellIs" dxfId="11542" priority="882" operator="greaterThan">
      <formula>1</formula>
    </cfRule>
    <cfRule type="cellIs" dxfId="11541" priority="883" operator="lessThan">
      <formula>0.8</formula>
    </cfRule>
  </conditionalFormatting>
  <conditionalFormatting sqref="P148:P153">
    <cfRule type="cellIs" dxfId="11540" priority="881" operator="greaterThan">
      <formula>0</formula>
    </cfRule>
  </conditionalFormatting>
  <conditionalFormatting sqref="Q148:Q153">
    <cfRule type="cellIs" dxfId="11539" priority="879" operator="lessThan">
      <formula>0</formula>
    </cfRule>
  </conditionalFormatting>
  <conditionalFormatting sqref="R148:R153">
    <cfRule type="cellIs" dxfId="11538" priority="877" operator="lessThan">
      <formula>0.8</formula>
    </cfRule>
    <cfRule type="cellIs" dxfId="11537" priority="878" operator="greaterThan">
      <formula>1</formula>
    </cfRule>
  </conditionalFormatting>
  <conditionalFormatting sqref="R148:R153">
    <cfRule type="cellIs" dxfId="11536" priority="875" operator="greaterThan">
      <formula>1</formula>
    </cfRule>
    <cfRule type="cellIs" dxfId="11535" priority="876" operator="lessThan">
      <formula>0.8</formula>
    </cfRule>
  </conditionalFormatting>
  <conditionalFormatting sqref="P148:P153">
    <cfRule type="cellIs" dxfId="11534" priority="874" operator="greaterThan">
      <formula>0</formula>
    </cfRule>
  </conditionalFormatting>
  <conditionalFormatting sqref="Q148:Q153">
    <cfRule type="cellIs" dxfId="11533" priority="873" operator="lessThan">
      <formula>0</formula>
    </cfRule>
  </conditionalFormatting>
  <conditionalFormatting sqref="R148:R153">
    <cfRule type="cellIs" dxfId="11532" priority="871" operator="lessThan">
      <formula>0.8</formula>
    </cfRule>
    <cfRule type="cellIs" dxfId="11531" priority="872" operator="greaterThan">
      <formula>1</formula>
    </cfRule>
  </conditionalFormatting>
  <conditionalFormatting sqref="R148:R153">
    <cfRule type="cellIs" dxfId="11530" priority="869" operator="greaterThan">
      <formula>1</formula>
    </cfRule>
    <cfRule type="cellIs" dxfId="11529" priority="870" operator="lessThan">
      <formula>0.8</formula>
    </cfRule>
  </conditionalFormatting>
  <conditionalFormatting sqref="P148:P153">
    <cfRule type="cellIs" dxfId="11528" priority="868" operator="greaterThan">
      <formula>0</formula>
    </cfRule>
  </conditionalFormatting>
  <conditionalFormatting sqref="Q148:Q153">
    <cfRule type="cellIs" dxfId="11527" priority="867" operator="lessThan">
      <formula>0</formula>
    </cfRule>
  </conditionalFormatting>
  <conditionalFormatting sqref="R148:R153">
    <cfRule type="cellIs" dxfId="11526" priority="865" operator="lessThan">
      <formula>0.8</formula>
    </cfRule>
    <cfRule type="cellIs" dxfId="11525" priority="866" operator="greaterThan">
      <formula>1</formula>
    </cfRule>
  </conditionalFormatting>
  <conditionalFormatting sqref="R148:R153">
    <cfRule type="cellIs" dxfId="11524" priority="863" operator="greaterThan">
      <formula>1</formula>
    </cfRule>
    <cfRule type="cellIs" dxfId="11523" priority="864" operator="lessThan">
      <formula>0.8</formula>
    </cfRule>
  </conditionalFormatting>
  <conditionalFormatting sqref="P148:P153">
    <cfRule type="cellIs" dxfId="11522" priority="862" operator="greaterThan">
      <formula>0</formula>
    </cfRule>
  </conditionalFormatting>
  <conditionalFormatting sqref="Q148:Q153">
    <cfRule type="cellIs" dxfId="11521" priority="861" operator="lessThan">
      <formula>0</formula>
    </cfRule>
  </conditionalFormatting>
  <conditionalFormatting sqref="R148:R153">
    <cfRule type="cellIs" dxfId="11520" priority="859" operator="lessThan">
      <formula>0.8</formula>
    </cfRule>
    <cfRule type="cellIs" dxfId="11519" priority="860" operator="greaterThan">
      <formula>1</formula>
    </cfRule>
  </conditionalFormatting>
  <conditionalFormatting sqref="R148:R153">
    <cfRule type="cellIs" dxfId="11518" priority="857" operator="greaterThan">
      <formula>1</formula>
    </cfRule>
    <cfRule type="cellIs" dxfId="11517" priority="858" operator="lessThan">
      <formula>0.8</formula>
    </cfRule>
  </conditionalFormatting>
  <conditionalFormatting sqref="P148:P153">
    <cfRule type="cellIs" dxfId="11516" priority="856" operator="greaterThan">
      <formula>0</formula>
    </cfRule>
  </conditionalFormatting>
  <conditionalFormatting sqref="Q148:Q153">
    <cfRule type="cellIs" dxfId="11515" priority="855" operator="lessThan">
      <formula>0</formula>
    </cfRule>
  </conditionalFormatting>
  <conditionalFormatting sqref="R148:R153">
    <cfRule type="cellIs" dxfId="11514" priority="853" operator="lessThan">
      <formula>0.8</formula>
    </cfRule>
    <cfRule type="cellIs" dxfId="11513" priority="854" operator="greaterThan">
      <formula>1</formula>
    </cfRule>
  </conditionalFormatting>
  <conditionalFormatting sqref="R148:R153">
    <cfRule type="cellIs" dxfId="11512" priority="851" operator="greaterThan">
      <formula>1</formula>
    </cfRule>
    <cfRule type="cellIs" dxfId="11511" priority="852" operator="lessThan">
      <formula>0.8</formula>
    </cfRule>
  </conditionalFormatting>
  <conditionalFormatting sqref="P148:P153">
    <cfRule type="cellIs" dxfId="11510" priority="850" operator="greaterThan">
      <formula>0</formula>
    </cfRule>
  </conditionalFormatting>
  <conditionalFormatting sqref="Q148:Q153">
    <cfRule type="cellIs" dxfId="11509" priority="849" operator="lessThan">
      <formula>0</formula>
    </cfRule>
  </conditionalFormatting>
  <conditionalFormatting sqref="R148:R153">
    <cfRule type="cellIs" dxfId="11508" priority="847" operator="lessThan">
      <formula>0.8</formula>
    </cfRule>
    <cfRule type="cellIs" dxfId="11507" priority="848" operator="greaterThan">
      <formula>1</formula>
    </cfRule>
  </conditionalFormatting>
  <conditionalFormatting sqref="R148:R153">
    <cfRule type="cellIs" dxfId="11506" priority="845" operator="greaterThan">
      <formula>1</formula>
    </cfRule>
    <cfRule type="cellIs" dxfId="11505" priority="846" operator="lessThan">
      <formula>0.8</formula>
    </cfRule>
  </conditionalFormatting>
  <conditionalFormatting sqref="P148:P153">
    <cfRule type="cellIs" dxfId="11504" priority="844" operator="greaterThan">
      <formula>0</formula>
    </cfRule>
  </conditionalFormatting>
  <conditionalFormatting sqref="Q148:Q153">
    <cfRule type="cellIs" dxfId="11503" priority="843" operator="lessThan">
      <formula>0</formula>
    </cfRule>
  </conditionalFormatting>
  <conditionalFormatting sqref="R148:R153">
    <cfRule type="cellIs" dxfId="11502" priority="841" operator="lessThan">
      <formula>0.8</formula>
    </cfRule>
    <cfRule type="cellIs" dxfId="11501" priority="842" operator="greaterThan">
      <formula>1</formula>
    </cfRule>
  </conditionalFormatting>
  <conditionalFormatting sqref="R148:R153">
    <cfRule type="cellIs" dxfId="11500" priority="839" operator="greaterThan">
      <formula>1</formula>
    </cfRule>
    <cfRule type="cellIs" dxfId="11499" priority="840" operator="lessThan">
      <formula>0.8</formula>
    </cfRule>
  </conditionalFormatting>
  <conditionalFormatting sqref="P148:P153">
    <cfRule type="cellIs" dxfId="11498" priority="838" operator="greaterThan">
      <formula>0</formula>
    </cfRule>
  </conditionalFormatting>
  <conditionalFormatting sqref="P148:P153">
    <cfRule type="cellIs" dxfId="11497" priority="832" operator="greaterThan">
      <formula>0</formula>
    </cfRule>
  </conditionalFormatting>
  <conditionalFormatting sqref="Q148:Q153">
    <cfRule type="cellIs" dxfId="11496" priority="837" operator="lessThan">
      <formula>0</formula>
    </cfRule>
  </conditionalFormatting>
  <conditionalFormatting sqref="R148:R153">
    <cfRule type="cellIs" dxfId="11495" priority="835" operator="lessThan">
      <formula>0.8</formula>
    </cfRule>
    <cfRule type="cellIs" dxfId="11494" priority="836" operator="greaterThan">
      <formula>1</formula>
    </cfRule>
  </conditionalFormatting>
  <conditionalFormatting sqref="R148:R153">
    <cfRule type="cellIs" dxfId="11493" priority="833" operator="greaterThan">
      <formula>1</formula>
    </cfRule>
    <cfRule type="cellIs" dxfId="11492" priority="834" operator="lessThan">
      <formula>0.8</formula>
    </cfRule>
  </conditionalFormatting>
  <conditionalFormatting sqref="P148:P153">
    <cfRule type="cellIs" dxfId="11491" priority="826" operator="greaterThan">
      <formula>0</formula>
    </cfRule>
  </conditionalFormatting>
  <conditionalFormatting sqref="Q148:Q153">
    <cfRule type="cellIs" dxfId="11490" priority="831" operator="lessThan">
      <formula>0</formula>
    </cfRule>
  </conditionalFormatting>
  <conditionalFormatting sqref="R148:R153">
    <cfRule type="cellIs" dxfId="11489" priority="829" operator="lessThan">
      <formula>0.8</formula>
    </cfRule>
    <cfRule type="cellIs" dxfId="11488" priority="830" operator="greaterThan">
      <formula>1</formula>
    </cfRule>
  </conditionalFormatting>
  <conditionalFormatting sqref="R148:R153">
    <cfRule type="cellIs" dxfId="11487" priority="827" operator="greaterThan">
      <formula>1</formula>
    </cfRule>
    <cfRule type="cellIs" dxfId="11486" priority="828" operator="lessThan">
      <formula>0.8</formula>
    </cfRule>
  </conditionalFormatting>
  <conditionalFormatting sqref="R148:R153">
    <cfRule type="cellIs" dxfId="11485" priority="823" operator="lessThan">
      <formula>0.8</formula>
    </cfRule>
    <cfRule type="cellIs" dxfId="11484" priority="824" operator="greaterThan">
      <formula>1</formula>
    </cfRule>
  </conditionalFormatting>
  <conditionalFormatting sqref="R148:R153">
    <cfRule type="cellIs" dxfId="11483" priority="821" operator="greaterThan">
      <formula>1</formula>
    </cfRule>
    <cfRule type="cellIs" dxfId="11482" priority="822" operator="lessThan">
      <formula>0.8</formula>
    </cfRule>
  </conditionalFormatting>
  <conditionalFormatting sqref="P148:P153">
    <cfRule type="cellIs" dxfId="11481" priority="820" operator="greaterThan">
      <formula>0</formula>
    </cfRule>
  </conditionalFormatting>
  <conditionalFormatting sqref="Q148:Q153">
    <cfRule type="cellIs" dxfId="11480" priority="825" operator="lessThan">
      <formula>0</formula>
    </cfRule>
  </conditionalFormatting>
  <conditionalFormatting sqref="Q148:Q153">
    <cfRule type="cellIs" dxfId="11479" priority="819" operator="lessThan">
      <formula>0</formula>
    </cfRule>
  </conditionalFormatting>
  <conditionalFormatting sqref="R148:R153">
    <cfRule type="cellIs" dxfId="11478" priority="817" operator="lessThan">
      <formula>0.8</formula>
    </cfRule>
    <cfRule type="cellIs" dxfId="11477" priority="818" operator="greaterThan">
      <formula>1</formula>
    </cfRule>
  </conditionalFormatting>
  <conditionalFormatting sqref="R148:R153">
    <cfRule type="cellIs" dxfId="11476" priority="815" operator="greaterThan">
      <formula>1</formula>
    </cfRule>
    <cfRule type="cellIs" dxfId="11475" priority="816" operator="lessThan">
      <formula>0.8</formula>
    </cfRule>
  </conditionalFormatting>
  <conditionalFormatting sqref="P148:P153">
    <cfRule type="cellIs" dxfId="11474" priority="814" operator="greaterThan">
      <formula>0</formula>
    </cfRule>
  </conditionalFormatting>
  <conditionalFormatting sqref="P148:P153">
    <cfRule type="cellIs" dxfId="11473" priority="808" operator="greaterThan">
      <formula>0</formula>
    </cfRule>
  </conditionalFormatting>
  <conditionalFormatting sqref="Q148:Q153">
    <cfRule type="cellIs" dxfId="11472" priority="813" operator="lessThan">
      <formula>0</formula>
    </cfRule>
  </conditionalFormatting>
  <conditionalFormatting sqref="R148:R153">
    <cfRule type="cellIs" dxfId="11471" priority="811" operator="lessThan">
      <formula>0.8</formula>
    </cfRule>
    <cfRule type="cellIs" dxfId="11470" priority="812" operator="greaterThan">
      <formula>1</formula>
    </cfRule>
  </conditionalFormatting>
  <conditionalFormatting sqref="R148:R153">
    <cfRule type="cellIs" dxfId="11469" priority="809" operator="greaterThan">
      <formula>1</formula>
    </cfRule>
    <cfRule type="cellIs" dxfId="11468" priority="810" operator="lessThan">
      <formula>0.8</formula>
    </cfRule>
  </conditionalFormatting>
  <conditionalFormatting sqref="P148:P153">
    <cfRule type="cellIs" dxfId="11467" priority="802" operator="greaterThan">
      <formula>0</formula>
    </cfRule>
  </conditionalFormatting>
  <conditionalFormatting sqref="Q148:Q153">
    <cfRule type="cellIs" dxfId="11466" priority="807" operator="lessThan">
      <formula>0</formula>
    </cfRule>
  </conditionalFormatting>
  <conditionalFormatting sqref="R148:R153">
    <cfRule type="cellIs" dxfId="11465" priority="805" operator="lessThan">
      <formula>0.8</formula>
    </cfRule>
    <cfRule type="cellIs" dxfId="11464" priority="806" operator="greaterThan">
      <formula>1</formula>
    </cfRule>
  </conditionalFormatting>
  <conditionalFormatting sqref="R148:R153">
    <cfRule type="cellIs" dxfId="11463" priority="803" operator="greaterThan">
      <formula>1</formula>
    </cfRule>
    <cfRule type="cellIs" dxfId="11462" priority="804" operator="lessThan">
      <formula>0.8</formula>
    </cfRule>
  </conditionalFormatting>
  <conditionalFormatting sqref="R148:R153">
    <cfRule type="cellIs" dxfId="11461" priority="799" operator="lessThan">
      <formula>0.8</formula>
    </cfRule>
    <cfRule type="cellIs" dxfId="11460" priority="800" operator="greaterThan">
      <formula>1</formula>
    </cfRule>
  </conditionalFormatting>
  <conditionalFormatting sqref="R148:R153">
    <cfRule type="cellIs" dxfId="11459" priority="797" operator="greaterThan">
      <formula>1</formula>
    </cfRule>
    <cfRule type="cellIs" dxfId="11458" priority="798" operator="lessThan">
      <formula>0.8</formula>
    </cfRule>
  </conditionalFormatting>
  <conditionalFormatting sqref="P148:P153">
    <cfRule type="cellIs" dxfId="11457" priority="796" operator="greaterThan">
      <formula>0</formula>
    </cfRule>
  </conditionalFormatting>
  <conditionalFormatting sqref="Q148:Q153">
    <cfRule type="cellIs" dxfId="11456" priority="801" operator="lessThan">
      <formula>0</formula>
    </cfRule>
  </conditionalFormatting>
  <conditionalFormatting sqref="P148:P153">
    <cfRule type="cellIs" dxfId="11455" priority="790" operator="greaterThan">
      <formula>0</formula>
    </cfRule>
  </conditionalFormatting>
  <conditionalFormatting sqref="Q148:Q153">
    <cfRule type="cellIs" dxfId="11454" priority="795" operator="lessThan">
      <formula>0</formula>
    </cfRule>
  </conditionalFormatting>
  <conditionalFormatting sqref="R148:R153">
    <cfRule type="cellIs" dxfId="11453" priority="793" operator="lessThan">
      <formula>0.8</formula>
    </cfRule>
    <cfRule type="cellIs" dxfId="11452" priority="794" operator="greaterThan">
      <formula>1</formula>
    </cfRule>
  </conditionalFormatting>
  <conditionalFormatting sqref="R148:R153">
    <cfRule type="cellIs" dxfId="11451" priority="791" operator="greaterThan">
      <formula>1</formula>
    </cfRule>
    <cfRule type="cellIs" dxfId="11450" priority="792" operator="lessThan">
      <formula>0.8</formula>
    </cfRule>
  </conditionalFormatting>
  <conditionalFormatting sqref="R148:R153">
    <cfRule type="cellIs" dxfId="11449" priority="787" operator="lessThan">
      <formula>0.8</formula>
    </cfRule>
    <cfRule type="cellIs" dxfId="11448" priority="788" operator="greaterThan">
      <formula>1</formula>
    </cfRule>
  </conditionalFormatting>
  <conditionalFormatting sqref="R148:R153">
    <cfRule type="cellIs" dxfId="11447" priority="785" operator="greaterThan">
      <formula>1</formula>
    </cfRule>
    <cfRule type="cellIs" dxfId="11446" priority="786" operator="lessThan">
      <formula>0.8</formula>
    </cfRule>
  </conditionalFormatting>
  <conditionalFormatting sqref="P148:P153">
    <cfRule type="cellIs" dxfId="11445" priority="784" operator="greaterThan">
      <formula>0</formula>
    </cfRule>
  </conditionalFormatting>
  <conditionalFormatting sqref="Q148:Q153">
    <cfRule type="cellIs" dxfId="11444" priority="789" operator="lessThan">
      <formula>0</formula>
    </cfRule>
  </conditionalFormatting>
  <conditionalFormatting sqref="R148:R153">
    <cfRule type="cellIs" dxfId="11443" priority="781" operator="lessThan">
      <formula>0.8</formula>
    </cfRule>
    <cfRule type="cellIs" dxfId="11442" priority="782" operator="greaterThan">
      <formula>1</formula>
    </cfRule>
  </conditionalFormatting>
  <conditionalFormatting sqref="R148:R153">
    <cfRule type="cellIs" dxfId="11441" priority="779" operator="greaterThan">
      <formula>1</formula>
    </cfRule>
    <cfRule type="cellIs" dxfId="11440" priority="780" operator="lessThan">
      <formula>0.8</formula>
    </cfRule>
  </conditionalFormatting>
  <conditionalFormatting sqref="P148:P153">
    <cfRule type="cellIs" dxfId="11439" priority="778" operator="greaterThan">
      <formula>0</formula>
    </cfRule>
  </conditionalFormatting>
  <conditionalFormatting sqref="Q148:Q153">
    <cfRule type="cellIs" dxfId="11438" priority="783" operator="lessThan">
      <formula>0</formula>
    </cfRule>
  </conditionalFormatting>
  <conditionalFormatting sqref="Q148:Q153">
    <cfRule type="cellIs" dxfId="11437" priority="777" operator="lessThan">
      <formula>0</formula>
    </cfRule>
  </conditionalFormatting>
  <conditionalFormatting sqref="R148:R153">
    <cfRule type="cellIs" dxfId="11436" priority="775" operator="lessThan">
      <formula>0.8</formula>
    </cfRule>
    <cfRule type="cellIs" dxfId="11435" priority="776" operator="greaterThan">
      <formula>1</formula>
    </cfRule>
  </conditionalFormatting>
  <conditionalFormatting sqref="R148:R153">
    <cfRule type="cellIs" dxfId="11434" priority="773" operator="greaterThan">
      <formula>1</formula>
    </cfRule>
    <cfRule type="cellIs" dxfId="11433" priority="774" operator="lessThan">
      <formula>0.8</formula>
    </cfRule>
  </conditionalFormatting>
  <conditionalFormatting sqref="P148:P153">
    <cfRule type="cellIs" dxfId="11432" priority="772" operator="greaterThan">
      <formula>0</formula>
    </cfRule>
  </conditionalFormatting>
  <conditionalFormatting sqref="Q148:Q153">
    <cfRule type="cellIs" dxfId="11431" priority="766" operator="lessThan">
      <formula>0</formula>
    </cfRule>
  </conditionalFormatting>
  <conditionalFormatting sqref="R148:R153">
    <cfRule type="cellIs" dxfId="11430" priority="770" operator="lessThan">
      <formula>0.8</formula>
    </cfRule>
    <cfRule type="cellIs" dxfId="11429" priority="771" operator="greaterThan">
      <formula>1</formula>
    </cfRule>
  </conditionalFormatting>
  <conditionalFormatting sqref="R148:R153">
    <cfRule type="cellIs" dxfId="11428" priority="768" operator="greaterThan">
      <formula>1</formula>
    </cfRule>
    <cfRule type="cellIs" dxfId="11427" priority="769" operator="lessThan">
      <formula>0.8</formula>
    </cfRule>
  </conditionalFormatting>
  <conditionalFormatting sqref="P148:P153">
    <cfRule type="cellIs" dxfId="11426" priority="767" operator="greaterThan">
      <formula>0</formula>
    </cfRule>
  </conditionalFormatting>
  <conditionalFormatting sqref="Q148:Q153">
    <cfRule type="cellIs" dxfId="11425" priority="765" operator="lessThan">
      <formula>0</formula>
    </cfRule>
  </conditionalFormatting>
  <conditionalFormatting sqref="R148:R153">
    <cfRule type="cellIs" dxfId="11424" priority="763" operator="lessThan">
      <formula>0.8</formula>
    </cfRule>
    <cfRule type="cellIs" dxfId="11423" priority="764" operator="greaterThan">
      <formula>1</formula>
    </cfRule>
  </conditionalFormatting>
  <conditionalFormatting sqref="R148:R153">
    <cfRule type="cellIs" dxfId="11422" priority="761" operator="greaterThan">
      <formula>1</formula>
    </cfRule>
    <cfRule type="cellIs" dxfId="11421" priority="762" operator="lessThan">
      <formula>0.8</formula>
    </cfRule>
  </conditionalFormatting>
  <conditionalFormatting sqref="P148:P153">
    <cfRule type="cellIs" dxfId="11420" priority="760" operator="greaterThan">
      <formula>0</formula>
    </cfRule>
  </conditionalFormatting>
  <conditionalFormatting sqref="Q148:Q153">
    <cfRule type="cellIs" dxfId="11419" priority="759" operator="lessThan">
      <formula>0</formula>
    </cfRule>
  </conditionalFormatting>
  <conditionalFormatting sqref="R148:R153">
    <cfRule type="cellIs" dxfId="11418" priority="757" operator="lessThan">
      <formula>0.8</formula>
    </cfRule>
    <cfRule type="cellIs" dxfId="11417" priority="758" operator="greaterThan">
      <formula>1</formula>
    </cfRule>
  </conditionalFormatting>
  <conditionalFormatting sqref="R148:R153">
    <cfRule type="cellIs" dxfId="11416" priority="755" operator="greaterThan">
      <formula>1</formula>
    </cfRule>
    <cfRule type="cellIs" dxfId="11415" priority="756" operator="lessThan">
      <formula>0.8</formula>
    </cfRule>
  </conditionalFormatting>
  <conditionalFormatting sqref="P148:P153">
    <cfRule type="cellIs" dxfId="11414" priority="754" operator="greaterThan">
      <formula>0</formula>
    </cfRule>
  </conditionalFormatting>
  <conditionalFormatting sqref="Q148:Q153">
    <cfRule type="cellIs" dxfId="11413" priority="753" operator="lessThan">
      <formula>0</formula>
    </cfRule>
  </conditionalFormatting>
  <conditionalFormatting sqref="R148:R153">
    <cfRule type="cellIs" dxfId="11412" priority="751" operator="lessThan">
      <formula>0.8</formula>
    </cfRule>
    <cfRule type="cellIs" dxfId="11411" priority="752" operator="greaterThan">
      <formula>1</formula>
    </cfRule>
  </conditionalFormatting>
  <conditionalFormatting sqref="R148:R153">
    <cfRule type="cellIs" dxfId="11410" priority="749" operator="greaterThan">
      <formula>1</formula>
    </cfRule>
    <cfRule type="cellIs" dxfId="11409" priority="750" operator="lessThan">
      <formula>0.8</formula>
    </cfRule>
  </conditionalFormatting>
  <conditionalFormatting sqref="P148:P153">
    <cfRule type="cellIs" dxfId="11408" priority="748" operator="greaterThan">
      <formula>0</formula>
    </cfRule>
  </conditionalFormatting>
  <conditionalFormatting sqref="Q148:Q153">
    <cfRule type="cellIs" dxfId="11407" priority="747" operator="lessThan">
      <formula>0</formula>
    </cfRule>
  </conditionalFormatting>
  <conditionalFormatting sqref="R148:R153">
    <cfRule type="cellIs" dxfId="11406" priority="745" operator="lessThan">
      <formula>0.8</formula>
    </cfRule>
    <cfRule type="cellIs" dxfId="11405" priority="746" operator="greaterThan">
      <formula>1</formula>
    </cfRule>
  </conditionalFormatting>
  <conditionalFormatting sqref="R148:R153">
    <cfRule type="cellIs" dxfId="11404" priority="743" operator="greaterThan">
      <formula>1</formula>
    </cfRule>
    <cfRule type="cellIs" dxfId="11403" priority="744" operator="lessThan">
      <formula>0.8</formula>
    </cfRule>
  </conditionalFormatting>
  <conditionalFormatting sqref="P148:P153">
    <cfRule type="cellIs" dxfId="11402" priority="742" operator="greaterThan">
      <formula>0</formula>
    </cfRule>
  </conditionalFormatting>
  <conditionalFormatting sqref="Q148:Q153">
    <cfRule type="cellIs" dxfId="11401" priority="741" operator="lessThan">
      <formula>0</formula>
    </cfRule>
  </conditionalFormatting>
  <conditionalFormatting sqref="R148:R153">
    <cfRule type="cellIs" dxfId="11400" priority="739" operator="lessThan">
      <formula>0.8</formula>
    </cfRule>
    <cfRule type="cellIs" dxfId="11399" priority="740" operator="greaterThan">
      <formula>1</formula>
    </cfRule>
  </conditionalFormatting>
  <conditionalFormatting sqref="R148:R153">
    <cfRule type="cellIs" dxfId="11398" priority="737" operator="greaterThan">
      <formula>1</formula>
    </cfRule>
    <cfRule type="cellIs" dxfId="11397" priority="738" operator="lessThan">
      <formula>0.8</formula>
    </cfRule>
  </conditionalFormatting>
  <conditionalFormatting sqref="P148:P153">
    <cfRule type="cellIs" dxfId="11396" priority="736" operator="greaterThan">
      <formula>0</formula>
    </cfRule>
  </conditionalFormatting>
  <conditionalFormatting sqref="P148:P153">
    <cfRule type="cellIs" dxfId="11395" priority="730" operator="greaterThan">
      <formula>0</formula>
    </cfRule>
  </conditionalFormatting>
  <conditionalFormatting sqref="Q148:Q153">
    <cfRule type="cellIs" dxfId="11394" priority="735" operator="lessThan">
      <formula>0</formula>
    </cfRule>
  </conditionalFormatting>
  <conditionalFormatting sqref="R148:R153">
    <cfRule type="cellIs" dxfId="11393" priority="733" operator="lessThan">
      <formula>0.8</formula>
    </cfRule>
    <cfRule type="cellIs" dxfId="11392" priority="734" operator="greaterThan">
      <formula>1</formula>
    </cfRule>
  </conditionalFormatting>
  <conditionalFormatting sqref="R148:R153">
    <cfRule type="cellIs" dxfId="11391" priority="731" operator="greaterThan">
      <formula>1</formula>
    </cfRule>
    <cfRule type="cellIs" dxfId="11390" priority="732" operator="lessThan">
      <formula>0.8</formula>
    </cfRule>
  </conditionalFormatting>
  <conditionalFormatting sqref="P148:P153">
    <cfRule type="cellIs" dxfId="11389" priority="724" operator="greaterThan">
      <formula>0</formula>
    </cfRule>
  </conditionalFormatting>
  <conditionalFormatting sqref="Q148:Q153">
    <cfRule type="cellIs" dxfId="11388" priority="729" operator="lessThan">
      <formula>0</formula>
    </cfRule>
  </conditionalFormatting>
  <conditionalFormatting sqref="R148:R153">
    <cfRule type="cellIs" dxfId="11387" priority="727" operator="lessThan">
      <formula>0.8</formula>
    </cfRule>
    <cfRule type="cellIs" dxfId="11386" priority="728" operator="greaterThan">
      <formula>1</formula>
    </cfRule>
  </conditionalFormatting>
  <conditionalFormatting sqref="R148:R153">
    <cfRule type="cellIs" dxfId="11385" priority="725" operator="greaterThan">
      <formula>1</formula>
    </cfRule>
    <cfRule type="cellIs" dxfId="11384" priority="726" operator="lessThan">
      <formula>0.8</formula>
    </cfRule>
  </conditionalFormatting>
  <conditionalFormatting sqref="R148:R153">
    <cfRule type="cellIs" dxfId="11383" priority="721" operator="lessThan">
      <formula>0.8</formula>
    </cfRule>
    <cfRule type="cellIs" dxfId="11382" priority="722" operator="greaterThan">
      <formula>1</formula>
    </cfRule>
  </conditionalFormatting>
  <conditionalFormatting sqref="R148:R153">
    <cfRule type="cellIs" dxfId="11381" priority="719" operator="greaterThan">
      <formula>1</formula>
    </cfRule>
    <cfRule type="cellIs" dxfId="11380" priority="720" operator="lessThan">
      <formula>0.8</formula>
    </cfRule>
  </conditionalFormatting>
  <conditionalFormatting sqref="P148:P153">
    <cfRule type="cellIs" dxfId="11379" priority="718" operator="greaterThan">
      <formula>0</formula>
    </cfRule>
  </conditionalFormatting>
  <conditionalFormatting sqref="Q148:Q153">
    <cfRule type="cellIs" dxfId="11378" priority="723" operator="lessThan">
      <formula>0</formula>
    </cfRule>
  </conditionalFormatting>
  <conditionalFormatting sqref="P44:P51">
    <cfRule type="cellIs" dxfId="11377" priority="712" operator="greaterThan">
      <formula>0</formula>
    </cfRule>
  </conditionalFormatting>
  <conditionalFormatting sqref="Q44:Q51">
    <cfRule type="cellIs" dxfId="11376" priority="717" operator="lessThan">
      <formula>0</formula>
    </cfRule>
  </conditionalFormatting>
  <conditionalFormatting sqref="R44:R51">
    <cfRule type="cellIs" dxfId="11375" priority="715" operator="lessThan">
      <formula>0.8</formula>
    </cfRule>
    <cfRule type="cellIs" dxfId="11374" priority="716" operator="greaterThan">
      <formula>1</formula>
    </cfRule>
  </conditionalFormatting>
  <conditionalFormatting sqref="R44:R51">
    <cfRule type="cellIs" dxfId="11373" priority="713" operator="greaterThan">
      <formula>1</formula>
    </cfRule>
    <cfRule type="cellIs" dxfId="11372" priority="714" operator="lessThan">
      <formula>0.8</formula>
    </cfRule>
  </conditionalFormatting>
  <conditionalFormatting sqref="Q84:Q91">
    <cfRule type="cellIs" dxfId="11371" priority="711" operator="lessThan">
      <formula>0</formula>
    </cfRule>
  </conditionalFormatting>
  <conditionalFormatting sqref="R84:R91">
    <cfRule type="cellIs" dxfId="11370" priority="709" operator="lessThan">
      <formula>0.8</formula>
    </cfRule>
    <cfRule type="cellIs" dxfId="11369" priority="710" operator="greaterThan">
      <formula>1</formula>
    </cfRule>
  </conditionalFormatting>
  <conditionalFormatting sqref="R84:R91">
    <cfRule type="cellIs" dxfId="11368" priority="707" operator="greaterThan">
      <formula>1</formula>
    </cfRule>
    <cfRule type="cellIs" dxfId="11367" priority="708" operator="lessThan">
      <formula>0.8</formula>
    </cfRule>
  </conditionalFormatting>
  <conditionalFormatting sqref="P84:P91">
    <cfRule type="cellIs" dxfId="11366" priority="706" operator="greaterThan">
      <formula>0</formula>
    </cfRule>
  </conditionalFormatting>
  <conditionalFormatting sqref="Q84:Q91">
    <cfRule type="cellIs" dxfId="11365" priority="705" operator="lessThan">
      <formula>0</formula>
    </cfRule>
  </conditionalFormatting>
  <conditionalFormatting sqref="R84:R91">
    <cfRule type="cellIs" dxfId="11364" priority="703" operator="lessThan">
      <formula>0.8</formula>
    </cfRule>
    <cfRule type="cellIs" dxfId="11363" priority="704" operator="greaterThan">
      <formula>1</formula>
    </cfRule>
  </conditionalFormatting>
  <conditionalFormatting sqref="R84:R91">
    <cfRule type="cellIs" dxfId="11362" priority="701" operator="greaterThan">
      <formula>1</formula>
    </cfRule>
    <cfRule type="cellIs" dxfId="11361" priority="702" operator="lessThan">
      <formula>0.8</formula>
    </cfRule>
  </conditionalFormatting>
  <conditionalFormatting sqref="P84:P91">
    <cfRule type="cellIs" dxfId="11360" priority="700" operator="greaterThan">
      <formula>0</formula>
    </cfRule>
  </conditionalFormatting>
  <conditionalFormatting sqref="Q84:Q91">
    <cfRule type="cellIs" dxfId="11359" priority="699" operator="lessThan">
      <formula>0</formula>
    </cfRule>
  </conditionalFormatting>
  <conditionalFormatting sqref="R84:R91">
    <cfRule type="cellIs" dxfId="11358" priority="697" operator="lessThan">
      <formula>0.8</formula>
    </cfRule>
    <cfRule type="cellIs" dxfId="11357" priority="698" operator="greaterThan">
      <formula>1</formula>
    </cfRule>
  </conditionalFormatting>
  <conditionalFormatting sqref="R84:R91">
    <cfRule type="cellIs" dxfId="11356" priority="695" operator="greaterThan">
      <formula>1</formula>
    </cfRule>
    <cfRule type="cellIs" dxfId="11355" priority="696" operator="lessThan">
      <formula>0.8</formula>
    </cfRule>
  </conditionalFormatting>
  <conditionalFormatting sqref="P84:P91">
    <cfRule type="cellIs" dxfId="11354" priority="694" operator="greaterThan">
      <formula>0</formula>
    </cfRule>
  </conditionalFormatting>
  <conditionalFormatting sqref="Q84:Q91">
    <cfRule type="cellIs" dxfId="11353" priority="693" operator="lessThan">
      <formula>0</formula>
    </cfRule>
  </conditionalFormatting>
  <conditionalFormatting sqref="R84:R91">
    <cfRule type="cellIs" dxfId="11352" priority="691" operator="lessThan">
      <formula>0.8</formula>
    </cfRule>
    <cfRule type="cellIs" dxfId="11351" priority="692" operator="greaterThan">
      <formula>1</formula>
    </cfRule>
  </conditionalFormatting>
  <conditionalFormatting sqref="R84:R91">
    <cfRule type="cellIs" dxfId="11350" priority="689" operator="greaterThan">
      <formula>1</formula>
    </cfRule>
    <cfRule type="cellIs" dxfId="11349" priority="690" operator="lessThan">
      <formula>0.8</formula>
    </cfRule>
  </conditionalFormatting>
  <conditionalFormatting sqref="P84:P91">
    <cfRule type="cellIs" dxfId="11348" priority="688" operator="greaterThan">
      <formula>0</formula>
    </cfRule>
  </conditionalFormatting>
  <conditionalFormatting sqref="P84:P91">
    <cfRule type="cellIs" dxfId="11347" priority="682" operator="greaterThan">
      <formula>0</formula>
    </cfRule>
  </conditionalFormatting>
  <conditionalFormatting sqref="Q84:Q91">
    <cfRule type="cellIs" dxfId="11346" priority="687" operator="lessThan">
      <formula>0</formula>
    </cfRule>
  </conditionalFormatting>
  <conditionalFormatting sqref="R84:R91">
    <cfRule type="cellIs" dxfId="11345" priority="685" operator="lessThan">
      <formula>0.8</formula>
    </cfRule>
    <cfRule type="cellIs" dxfId="11344" priority="686" operator="greaterThan">
      <formula>1</formula>
    </cfRule>
  </conditionalFormatting>
  <conditionalFormatting sqref="R84:R91">
    <cfRule type="cellIs" dxfId="11343" priority="683" operator="greaterThan">
      <formula>1</formula>
    </cfRule>
    <cfRule type="cellIs" dxfId="11342" priority="684" operator="lessThan">
      <formula>0.8</formula>
    </cfRule>
  </conditionalFormatting>
  <conditionalFormatting sqref="P84:P91">
    <cfRule type="cellIs" dxfId="11341" priority="676" operator="greaterThan">
      <formula>0</formula>
    </cfRule>
  </conditionalFormatting>
  <conditionalFormatting sqref="Q84:Q91">
    <cfRule type="cellIs" dxfId="11340" priority="681" operator="lessThan">
      <formula>0</formula>
    </cfRule>
  </conditionalFormatting>
  <conditionalFormatting sqref="R84:R91">
    <cfRule type="cellIs" dxfId="11339" priority="679" operator="lessThan">
      <formula>0.8</formula>
    </cfRule>
    <cfRule type="cellIs" dxfId="11338" priority="680" operator="greaterThan">
      <formula>1</formula>
    </cfRule>
  </conditionalFormatting>
  <conditionalFormatting sqref="R84:R91">
    <cfRule type="cellIs" dxfId="11337" priority="677" operator="greaterThan">
      <formula>1</formula>
    </cfRule>
    <cfRule type="cellIs" dxfId="11336" priority="678" operator="lessThan">
      <formula>0.8</formula>
    </cfRule>
  </conditionalFormatting>
  <conditionalFormatting sqref="R84:R91">
    <cfRule type="cellIs" dxfId="11335" priority="673" operator="lessThan">
      <formula>0.8</formula>
    </cfRule>
    <cfRule type="cellIs" dxfId="11334" priority="674" operator="greaterThan">
      <formula>1</formula>
    </cfRule>
  </conditionalFormatting>
  <conditionalFormatting sqref="R84:R91">
    <cfRule type="cellIs" dxfId="11333" priority="671" operator="greaterThan">
      <formula>1</formula>
    </cfRule>
    <cfRule type="cellIs" dxfId="11332" priority="672" operator="lessThan">
      <formula>0.8</formula>
    </cfRule>
  </conditionalFormatting>
  <conditionalFormatting sqref="P84:P91">
    <cfRule type="cellIs" dxfId="11331" priority="670" operator="greaterThan">
      <formula>0</formula>
    </cfRule>
  </conditionalFormatting>
  <conditionalFormatting sqref="Q84:Q91">
    <cfRule type="cellIs" dxfId="11330" priority="675" operator="lessThan">
      <formula>0</formula>
    </cfRule>
  </conditionalFormatting>
  <conditionalFormatting sqref="Q84:Q91">
    <cfRule type="cellIs" dxfId="11329" priority="669" operator="lessThan">
      <formula>0</formula>
    </cfRule>
  </conditionalFormatting>
  <conditionalFormatting sqref="R84:R91">
    <cfRule type="cellIs" dxfId="11328" priority="667" operator="lessThan">
      <formula>0.8</formula>
    </cfRule>
    <cfRule type="cellIs" dxfId="11327" priority="668" operator="greaterThan">
      <formula>1</formula>
    </cfRule>
  </conditionalFormatting>
  <conditionalFormatting sqref="R84:R91">
    <cfRule type="cellIs" dxfId="11326" priority="665" operator="greaterThan">
      <formula>1</formula>
    </cfRule>
    <cfRule type="cellIs" dxfId="11325" priority="666" operator="lessThan">
      <formula>0.8</formula>
    </cfRule>
  </conditionalFormatting>
  <conditionalFormatting sqref="P84:P91">
    <cfRule type="cellIs" dxfId="11324" priority="664" operator="greaterThan">
      <formula>0</formula>
    </cfRule>
  </conditionalFormatting>
  <conditionalFormatting sqref="P84:P91">
    <cfRule type="cellIs" dxfId="11323" priority="658" operator="greaterThan">
      <formula>0</formula>
    </cfRule>
  </conditionalFormatting>
  <conditionalFormatting sqref="Q84:Q91">
    <cfRule type="cellIs" dxfId="11322" priority="663" operator="lessThan">
      <formula>0</formula>
    </cfRule>
  </conditionalFormatting>
  <conditionalFormatting sqref="R84:R91">
    <cfRule type="cellIs" dxfId="11321" priority="661" operator="lessThan">
      <formula>0.8</formula>
    </cfRule>
    <cfRule type="cellIs" dxfId="11320" priority="662" operator="greaterThan">
      <formula>1</formula>
    </cfRule>
  </conditionalFormatting>
  <conditionalFormatting sqref="R84:R91">
    <cfRule type="cellIs" dxfId="11319" priority="659" operator="greaterThan">
      <formula>1</formula>
    </cfRule>
    <cfRule type="cellIs" dxfId="11318" priority="660" operator="lessThan">
      <formula>0.8</formula>
    </cfRule>
  </conditionalFormatting>
  <conditionalFormatting sqref="P84:P91">
    <cfRule type="cellIs" dxfId="11317" priority="652" operator="greaterThan">
      <formula>0</formula>
    </cfRule>
  </conditionalFormatting>
  <conditionalFormatting sqref="Q84:Q91">
    <cfRule type="cellIs" dxfId="11316" priority="657" operator="lessThan">
      <formula>0</formula>
    </cfRule>
  </conditionalFormatting>
  <conditionalFormatting sqref="R84:R91">
    <cfRule type="cellIs" dxfId="11315" priority="655" operator="lessThan">
      <formula>0.8</formula>
    </cfRule>
    <cfRule type="cellIs" dxfId="11314" priority="656" operator="greaterThan">
      <formula>1</formula>
    </cfRule>
  </conditionalFormatting>
  <conditionalFormatting sqref="R84:R91">
    <cfRule type="cellIs" dxfId="11313" priority="653" operator="greaterThan">
      <formula>1</formula>
    </cfRule>
    <cfRule type="cellIs" dxfId="11312" priority="654" operator="lessThan">
      <formula>0.8</formula>
    </cfRule>
  </conditionalFormatting>
  <conditionalFormatting sqref="R84:R91">
    <cfRule type="cellIs" dxfId="11311" priority="649" operator="lessThan">
      <formula>0.8</formula>
    </cfRule>
    <cfRule type="cellIs" dxfId="11310" priority="650" operator="greaterThan">
      <formula>1</formula>
    </cfRule>
  </conditionalFormatting>
  <conditionalFormatting sqref="R84:R91">
    <cfRule type="cellIs" dxfId="11309" priority="647" operator="greaterThan">
      <formula>1</formula>
    </cfRule>
    <cfRule type="cellIs" dxfId="11308" priority="648" operator="lessThan">
      <formula>0.8</formula>
    </cfRule>
  </conditionalFormatting>
  <conditionalFormatting sqref="P84:P91">
    <cfRule type="cellIs" dxfId="11307" priority="646" operator="greaterThan">
      <formula>0</formula>
    </cfRule>
  </conditionalFormatting>
  <conditionalFormatting sqref="Q84:Q91">
    <cfRule type="cellIs" dxfId="11306" priority="651" operator="lessThan">
      <formula>0</formula>
    </cfRule>
  </conditionalFormatting>
  <conditionalFormatting sqref="P84:P91">
    <cfRule type="cellIs" dxfId="11305" priority="640" operator="greaterThan">
      <formula>0</formula>
    </cfRule>
  </conditionalFormatting>
  <conditionalFormatting sqref="Q84:Q91">
    <cfRule type="cellIs" dxfId="11304" priority="645" operator="lessThan">
      <formula>0</formula>
    </cfRule>
  </conditionalFormatting>
  <conditionalFormatting sqref="R84:R91">
    <cfRule type="cellIs" dxfId="11303" priority="643" operator="lessThan">
      <formula>0.8</formula>
    </cfRule>
    <cfRule type="cellIs" dxfId="11302" priority="644" operator="greaterThan">
      <formula>1</formula>
    </cfRule>
  </conditionalFormatting>
  <conditionalFormatting sqref="R84:R91">
    <cfRule type="cellIs" dxfId="11301" priority="641" operator="greaterThan">
      <formula>1</formula>
    </cfRule>
    <cfRule type="cellIs" dxfId="11300" priority="642" operator="lessThan">
      <formula>0.8</formula>
    </cfRule>
  </conditionalFormatting>
  <conditionalFormatting sqref="R84:R91">
    <cfRule type="cellIs" dxfId="11299" priority="637" operator="lessThan">
      <formula>0.8</formula>
    </cfRule>
    <cfRule type="cellIs" dxfId="11298" priority="638" operator="greaterThan">
      <formula>1</formula>
    </cfRule>
  </conditionalFormatting>
  <conditionalFormatting sqref="R84:R91">
    <cfRule type="cellIs" dxfId="11297" priority="635" operator="greaterThan">
      <formula>1</formula>
    </cfRule>
    <cfRule type="cellIs" dxfId="11296" priority="636" operator="lessThan">
      <formula>0.8</formula>
    </cfRule>
  </conditionalFormatting>
  <conditionalFormatting sqref="P84:P91">
    <cfRule type="cellIs" dxfId="11295" priority="634" operator="greaterThan">
      <formula>0</formula>
    </cfRule>
  </conditionalFormatting>
  <conditionalFormatting sqref="Q84:Q91">
    <cfRule type="cellIs" dxfId="11294" priority="639" operator="lessThan">
      <formula>0</formula>
    </cfRule>
  </conditionalFormatting>
  <conditionalFormatting sqref="R84:R91">
    <cfRule type="cellIs" dxfId="11293" priority="631" operator="lessThan">
      <formula>0.8</formula>
    </cfRule>
    <cfRule type="cellIs" dxfId="11292" priority="632" operator="greaterThan">
      <formula>1</formula>
    </cfRule>
  </conditionalFormatting>
  <conditionalFormatting sqref="R84:R91">
    <cfRule type="cellIs" dxfId="11291" priority="629" operator="greaterThan">
      <formula>1</formula>
    </cfRule>
    <cfRule type="cellIs" dxfId="11290" priority="630" operator="lessThan">
      <formula>0.8</formula>
    </cfRule>
  </conditionalFormatting>
  <conditionalFormatting sqref="P84:P91">
    <cfRule type="cellIs" dxfId="11289" priority="628" operator="greaterThan">
      <formula>0</formula>
    </cfRule>
  </conditionalFormatting>
  <conditionalFormatting sqref="Q84:Q91">
    <cfRule type="cellIs" dxfId="11288" priority="633" operator="lessThan">
      <formula>0</formula>
    </cfRule>
  </conditionalFormatting>
  <conditionalFormatting sqref="Q84:Q91">
    <cfRule type="cellIs" dxfId="11287" priority="627" operator="lessThan">
      <formula>0</formula>
    </cfRule>
  </conditionalFormatting>
  <conditionalFormatting sqref="R84:R91">
    <cfRule type="cellIs" dxfId="11286" priority="625" operator="lessThan">
      <formula>0.8</formula>
    </cfRule>
    <cfRule type="cellIs" dxfId="11285" priority="626" operator="greaterThan">
      <formula>1</formula>
    </cfRule>
  </conditionalFormatting>
  <conditionalFormatting sqref="R84:R91">
    <cfRule type="cellIs" dxfId="11284" priority="623" operator="greaterThan">
      <formula>1</formula>
    </cfRule>
    <cfRule type="cellIs" dxfId="11283" priority="624" operator="lessThan">
      <formula>0.8</formula>
    </cfRule>
  </conditionalFormatting>
  <conditionalFormatting sqref="P84:P91">
    <cfRule type="cellIs" dxfId="11282" priority="622" operator="greaterThan">
      <formula>0</formula>
    </cfRule>
  </conditionalFormatting>
  <conditionalFormatting sqref="Q84:Q91">
    <cfRule type="cellIs" dxfId="11281" priority="616" operator="lessThan">
      <formula>0</formula>
    </cfRule>
  </conditionalFormatting>
  <conditionalFormatting sqref="R84:R91">
    <cfRule type="cellIs" dxfId="11280" priority="620" operator="lessThan">
      <formula>0.8</formula>
    </cfRule>
    <cfRule type="cellIs" dxfId="11279" priority="621" operator="greaterThan">
      <formula>1</formula>
    </cfRule>
  </conditionalFormatting>
  <conditionalFormatting sqref="R84:R91">
    <cfRule type="cellIs" dxfId="11278" priority="618" operator="greaterThan">
      <formula>1</formula>
    </cfRule>
    <cfRule type="cellIs" dxfId="11277" priority="619" operator="lessThan">
      <formula>0.8</formula>
    </cfRule>
  </conditionalFormatting>
  <conditionalFormatting sqref="P84:P91">
    <cfRule type="cellIs" dxfId="11276" priority="617" operator="greaterThan">
      <formula>0</formula>
    </cfRule>
  </conditionalFormatting>
  <conditionalFormatting sqref="Q84:Q91">
    <cfRule type="cellIs" dxfId="11275" priority="615" operator="lessThan">
      <formula>0</formula>
    </cfRule>
  </conditionalFormatting>
  <conditionalFormatting sqref="R84:R91">
    <cfRule type="cellIs" dxfId="11274" priority="613" operator="lessThan">
      <formula>0.8</formula>
    </cfRule>
    <cfRule type="cellIs" dxfId="11273" priority="614" operator="greaterThan">
      <formula>1</formula>
    </cfRule>
  </conditionalFormatting>
  <conditionalFormatting sqref="R84:R91">
    <cfRule type="cellIs" dxfId="11272" priority="611" operator="greaterThan">
      <formula>1</formula>
    </cfRule>
    <cfRule type="cellIs" dxfId="11271" priority="612" operator="lessThan">
      <formula>0.8</formula>
    </cfRule>
  </conditionalFormatting>
  <conditionalFormatting sqref="P84:P91">
    <cfRule type="cellIs" dxfId="11270" priority="610" operator="greaterThan">
      <formula>0</formula>
    </cfRule>
  </conditionalFormatting>
  <conditionalFormatting sqref="Q84:Q91">
    <cfRule type="cellIs" dxfId="11269" priority="609" operator="lessThan">
      <formula>0</formula>
    </cfRule>
  </conditionalFormatting>
  <conditionalFormatting sqref="R84:R91">
    <cfRule type="cellIs" dxfId="11268" priority="607" operator="lessThan">
      <formula>0.8</formula>
    </cfRule>
    <cfRule type="cellIs" dxfId="11267" priority="608" operator="greaterThan">
      <formula>1</formula>
    </cfRule>
  </conditionalFormatting>
  <conditionalFormatting sqref="R84:R91">
    <cfRule type="cellIs" dxfId="11266" priority="605" operator="greaterThan">
      <formula>1</formula>
    </cfRule>
    <cfRule type="cellIs" dxfId="11265" priority="606" operator="lessThan">
      <formula>0.8</formula>
    </cfRule>
  </conditionalFormatting>
  <conditionalFormatting sqref="P84:P91">
    <cfRule type="cellIs" dxfId="11264" priority="604" operator="greaterThan">
      <formula>0</formula>
    </cfRule>
  </conditionalFormatting>
  <conditionalFormatting sqref="Q84:Q91">
    <cfRule type="cellIs" dxfId="11263" priority="603" operator="lessThan">
      <formula>0</formula>
    </cfRule>
  </conditionalFormatting>
  <conditionalFormatting sqref="R84:R91">
    <cfRule type="cellIs" dxfId="11262" priority="601" operator="lessThan">
      <formula>0.8</formula>
    </cfRule>
    <cfRule type="cellIs" dxfId="11261" priority="602" operator="greaterThan">
      <formula>1</formula>
    </cfRule>
  </conditionalFormatting>
  <conditionalFormatting sqref="R84:R91">
    <cfRule type="cellIs" dxfId="11260" priority="599" operator="greaterThan">
      <formula>1</formula>
    </cfRule>
    <cfRule type="cellIs" dxfId="11259" priority="600" operator="lessThan">
      <formula>0.8</formula>
    </cfRule>
  </conditionalFormatting>
  <conditionalFormatting sqref="P84:P91">
    <cfRule type="cellIs" dxfId="11258" priority="598" operator="greaterThan">
      <formula>0</formula>
    </cfRule>
  </conditionalFormatting>
  <conditionalFormatting sqref="Q84:Q91">
    <cfRule type="cellIs" dxfId="11257" priority="597" operator="lessThan">
      <formula>0</formula>
    </cfRule>
  </conditionalFormatting>
  <conditionalFormatting sqref="R84:R91">
    <cfRule type="cellIs" dxfId="11256" priority="595" operator="lessThan">
      <formula>0.8</formula>
    </cfRule>
    <cfRule type="cellIs" dxfId="11255" priority="596" operator="greaterThan">
      <formula>1</formula>
    </cfRule>
  </conditionalFormatting>
  <conditionalFormatting sqref="R84:R91">
    <cfRule type="cellIs" dxfId="11254" priority="593" operator="greaterThan">
      <formula>1</formula>
    </cfRule>
    <cfRule type="cellIs" dxfId="11253" priority="594" operator="lessThan">
      <formula>0.8</formula>
    </cfRule>
  </conditionalFormatting>
  <conditionalFormatting sqref="P84:P91">
    <cfRule type="cellIs" dxfId="11252" priority="592" operator="greaterThan">
      <formula>0</formula>
    </cfRule>
  </conditionalFormatting>
  <conditionalFormatting sqref="Q84:Q91">
    <cfRule type="cellIs" dxfId="11251" priority="591" operator="lessThan">
      <formula>0</formula>
    </cfRule>
  </conditionalFormatting>
  <conditionalFormatting sqref="R84:R91">
    <cfRule type="cellIs" dxfId="11250" priority="589" operator="lessThan">
      <formula>0.8</formula>
    </cfRule>
    <cfRule type="cellIs" dxfId="11249" priority="590" operator="greaterThan">
      <formula>1</formula>
    </cfRule>
  </conditionalFormatting>
  <conditionalFormatting sqref="R84:R91">
    <cfRule type="cellIs" dxfId="11248" priority="587" operator="greaterThan">
      <formula>1</formula>
    </cfRule>
    <cfRule type="cellIs" dxfId="11247" priority="588" operator="lessThan">
      <formula>0.8</formula>
    </cfRule>
  </conditionalFormatting>
  <conditionalFormatting sqref="P84:P91">
    <cfRule type="cellIs" dxfId="11246" priority="586" operator="greaterThan">
      <formula>0</formula>
    </cfRule>
  </conditionalFormatting>
  <conditionalFormatting sqref="P84:P91">
    <cfRule type="cellIs" dxfId="11245" priority="580" operator="greaterThan">
      <formula>0</formula>
    </cfRule>
  </conditionalFormatting>
  <conditionalFormatting sqref="Q84:Q91">
    <cfRule type="cellIs" dxfId="11244" priority="585" operator="lessThan">
      <formula>0</formula>
    </cfRule>
  </conditionalFormatting>
  <conditionalFormatting sqref="R84:R91">
    <cfRule type="cellIs" dxfId="11243" priority="583" operator="lessThan">
      <formula>0.8</formula>
    </cfRule>
    <cfRule type="cellIs" dxfId="11242" priority="584" operator="greaterThan">
      <formula>1</formula>
    </cfRule>
  </conditionalFormatting>
  <conditionalFormatting sqref="R84:R91">
    <cfRule type="cellIs" dxfId="11241" priority="581" operator="greaterThan">
      <formula>1</formula>
    </cfRule>
    <cfRule type="cellIs" dxfId="11240" priority="582" operator="lessThan">
      <formula>0.8</formula>
    </cfRule>
  </conditionalFormatting>
  <conditionalFormatting sqref="P84:P91">
    <cfRule type="cellIs" dxfId="11239" priority="574" operator="greaterThan">
      <formula>0</formula>
    </cfRule>
  </conditionalFormatting>
  <conditionalFormatting sqref="Q84:Q91">
    <cfRule type="cellIs" dxfId="11238" priority="579" operator="lessThan">
      <formula>0</formula>
    </cfRule>
  </conditionalFormatting>
  <conditionalFormatting sqref="R84:R91">
    <cfRule type="cellIs" dxfId="11237" priority="577" operator="lessThan">
      <formula>0.8</formula>
    </cfRule>
    <cfRule type="cellIs" dxfId="11236" priority="578" operator="greaterThan">
      <formula>1</formula>
    </cfRule>
  </conditionalFormatting>
  <conditionalFormatting sqref="R84:R91">
    <cfRule type="cellIs" dxfId="11235" priority="575" operator="greaterThan">
      <formula>1</formula>
    </cfRule>
    <cfRule type="cellIs" dxfId="11234" priority="576" operator="lessThan">
      <formula>0.8</formula>
    </cfRule>
  </conditionalFormatting>
  <conditionalFormatting sqref="R84:R91">
    <cfRule type="cellIs" dxfId="11233" priority="571" operator="lessThan">
      <formula>0.8</formula>
    </cfRule>
    <cfRule type="cellIs" dxfId="11232" priority="572" operator="greaterThan">
      <formula>1</formula>
    </cfRule>
  </conditionalFormatting>
  <conditionalFormatting sqref="R84:R91">
    <cfRule type="cellIs" dxfId="11231" priority="569" operator="greaterThan">
      <formula>1</formula>
    </cfRule>
    <cfRule type="cellIs" dxfId="11230" priority="570" operator="lessThan">
      <formula>0.8</formula>
    </cfRule>
  </conditionalFormatting>
  <conditionalFormatting sqref="P84:P91">
    <cfRule type="cellIs" dxfId="11229" priority="568" operator="greaterThan">
      <formula>0</formula>
    </cfRule>
  </conditionalFormatting>
  <conditionalFormatting sqref="Q84:Q91">
    <cfRule type="cellIs" dxfId="11228" priority="573" operator="lessThan">
      <formula>0</formula>
    </cfRule>
  </conditionalFormatting>
  <conditionalFormatting sqref="Q84:Q91">
    <cfRule type="cellIs" dxfId="11227" priority="567" operator="lessThan">
      <formula>0</formula>
    </cfRule>
  </conditionalFormatting>
  <conditionalFormatting sqref="R84:R91">
    <cfRule type="cellIs" dxfId="11226" priority="565" operator="lessThan">
      <formula>0.8</formula>
    </cfRule>
    <cfRule type="cellIs" dxfId="11225" priority="566" operator="greaterThan">
      <formula>1</formula>
    </cfRule>
  </conditionalFormatting>
  <conditionalFormatting sqref="R84:R91">
    <cfRule type="cellIs" dxfId="11224" priority="563" operator="greaterThan">
      <formula>1</formula>
    </cfRule>
    <cfRule type="cellIs" dxfId="11223" priority="564" operator="lessThan">
      <formula>0.8</formula>
    </cfRule>
  </conditionalFormatting>
  <conditionalFormatting sqref="P84:P91">
    <cfRule type="cellIs" dxfId="11222" priority="562" operator="greaterThan">
      <formula>0</formula>
    </cfRule>
  </conditionalFormatting>
  <conditionalFormatting sqref="Q84:Q91">
    <cfRule type="cellIs" dxfId="11221" priority="561" operator="lessThan">
      <formula>0</formula>
    </cfRule>
  </conditionalFormatting>
  <conditionalFormatting sqref="R84:R91">
    <cfRule type="cellIs" dxfId="11220" priority="559" operator="lessThan">
      <formula>0.8</formula>
    </cfRule>
    <cfRule type="cellIs" dxfId="11219" priority="560" operator="greaterThan">
      <formula>1</formula>
    </cfRule>
  </conditionalFormatting>
  <conditionalFormatting sqref="R84:R91">
    <cfRule type="cellIs" dxfId="11218" priority="557" operator="greaterThan">
      <formula>1</formula>
    </cfRule>
    <cfRule type="cellIs" dxfId="11217" priority="558" operator="lessThan">
      <formula>0.8</formula>
    </cfRule>
  </conditionalFormatting>
  <conditionalFormatting sqref="P84:P91">
    <cfRule type="cellIs" dxfId="11216" priority="556" operator="greaterThan">
      <formula>0</formula>
    </cfRule>
  </conditionalFormatting>
  <conditionalFormatting sqref="Q84:Q91">
    <cfRule type="cellIs" dxfId="11215" priority="555" operator="lessThan">
      <formula>0</formula>
    </cfRule>
  </conditionalFormatting>
  <conditionalFormatting sqref="R84:R91">
    <cfRule type="cellIs" dxfId="11214" priority="553" operator="lessThan">
      <formula>0.8</formula>
    </cfRule>
    <cfRule type="cellIs" dxfId="11213" priority="554" operator="greaterThan">
      <formula>1</formula>
    </cfRule>
  </conditionalFormatting>
  <conditionalFormatting sqref="R84:R91">
    <cfRule type="cellIs" dxfId="11212" priority="551" operator="greaterThan">
      <formula>1</formula>
    </cfRule>
    <cfRule type="cellIs" dxfId="11211" priority="552" operator="lessThan">
      <formula>0.8</formula>
    </cfRule>
  </conditionalFormatting>
  <conditionalFormatting sqref="P84:P91">
    <cfRule type="cellIs" dxfId="11210" priority="550" operator="greaterThan">
      <formula>0</formula>
    </cfRule>
  </conditionalFormatting>
  <conditionalFormatting sqref="Q84:Q91">
    <cfRule type="cellIs" dxfId="11209" priority="549" operator="lessThan">
      <formula>0</formula>
    </cfRule>
  </conditionalFormatting>
  <conditionalFormatting sqref="R84:R91">
    <cfRule type="cellIs" dxfId="11208" priority="547" operator="lessThan">
      <formula>0.8</formula>
    </cfRule>
    <cfRule type="cellIs" dxfId="11207" priority="548" operator="greaterThan">
      <formula>1</formula>
    </cfRule>
  </conditionalFormatting>
  <conditionalFormatting sqref="R84:R91">
    <cfRule type="cellIs" dxfId="11206" priority="545" operator="greaterThan">
      <formula>1</formula>
    </cfRule>
    <cfRule type="cellIs" dxfId="11205" priority="546" operator="lessThan">
      <formula>0.8</formula>
    </cfRule>
  </conditionalFormatting>
  <conditionalFormatting sqref="P84:P91">
    <cfRule type="cellIs" dxfId="11204" priority="544" operator="greaterThan">
      <formula>0</formula>
    </cfRule>
  </conditionalFormatting>
  <conditionalFormatting sqref="P84:P91">
    <cfRule type="cellIs" dxfId="11203" priority="538" operator="greaterThan">
      <formula>0</formula>
    </cfRule>
  </conditionalFormatting>
  <conditionalFormatting sqref="Q84:Q91">
    <cfRule type="cellIs" dxfId="11202" priority="543" operator="lessThan">
      <formula>0</formula>
    </cfRule>
  </conditionalFormatting>
  <conditionalFormatting sqref="R84:R91">
    <cfRule type="cellIs" dxfId="11201" priority="541" operator="lessThan">
      <formula>0.8</formula>
    </cfRule>
    <cfRule type="cellIs" dxfId="11200" priority="542" operator="greaterThan">
      <formula>1</formula>
    </cfRule>
  </conditionalFormatting>
  <conditionalFormatting sqref="R84:R91">
    <cfRule type="cellIs" dxfId="11199" priority="539" operator="greaterThan">
      <formula>1</formula>
    </cfRule>
    <cfRule type="cellIs" dxfId="11198" priority="540" operator="lessThan">
      <formula>0.8</formula>
    </cfRule>
  </conditionalFormatting>
  <conditionalFormatting sqref="P84:P91">
    <cfRule type="cellIs" dxfId="11197" priority="532" operator="greaterThan">
      <formula>0</formula>
    </cfRule>
  </conditionalFormatting>
  <conditionalFormatting sqref="Q84:Q91">
    <cfRule type="cellIs" dxfId="11196" priority="537" operator="lessThan">
      <formula>0</formula>
    </cfRule>
  </conditionalFormatting>
  <conditionalFormatting sqref="R84:R91">
    <cfRule type="cellIs" dxfId="11195" priority="535" operator="lessThan">
      <formula>0.8</formula>
    </cfRule>
    <cfRule type="cellIs" dxfId="11194" priority="536" operator="greaterThan">
      <formula>1</formula>
    </cfRule>
  </conditionalFormatting>
  <conditionalFormatting sqref="R84:R91">
    <cfRule type="cellIs" dxfId="11193" priority="533" operator="greaterThan">
      <formula>1</formula>
    </cfRule>
    <cfRule type="cellIs" dxfId="11192" priority="534" operator="lessThan">
      <formula>0.8</formula>
    </cfRule>
  </conditionalFormatting>
  <conditionalFormatting sqref="R84:R91">
    <cfRule type="cellIs" dxfId="11191" priority="529" operator="lessThan">
      <formula>0.8</formula>
    </cfRule>
    <cfRule type="cellIs" dxfId="11190" priority="530" operator="greaterThan">
      <formula>1</formula>
    </cfRule>
  </conditionalFormatting>
  <conditionalFormatting sqref="R84:R91">
    <cfRule type="cellIs" dxfId="11189" priority="527" operator="greaterThan">
      <formula>1</formula>
    </cfRule>
    <cfRule type="cellIs" dxfId="11188" priority="528" operator="lessThan">
      <formula>0.8</formula>
    </cfRule>
  </conditionalFormatting>
  <conditionalFormatting sqref="P84:P91">
    <cfRule type="cellIs" dxfId="11187" priority="526" operator="greaterThan">
      <formula>0</formula>
    </cfRule>
  </conditionalFormatting>
  <conditionalFormatting sqref="Q84:Q91">
    <cfRule type="cellIs" dxfId="11186" priority="531" operator="lessThan">
      <formula>0</formula>
    </cfRule>
  </conditionalFormatting>
  <conditionalFormatting sqref="Q84:Q91">
    <cfRule type="cellIs" dxfId="11185" priority="525" operator="lessThan">
      <formula>0</formula>
    </cfRule>
  </conditionalFormatting>
  <conditionalFormatting sqref="R84:R91">
    <cfRule type="cellIs" dxfId="11184" priority="523" operator="lessThan">
      <formula>0.8</formula>
    </cfRule>
    <cfRule type="cellIs" dxfId="11183" priority="524" operator="greaterThan">
      <formula>1</formula>
    </cfRule>
  </conditionalFormatting>
  <conditionalFormatting sqref="R84:R91">
    <cfRule type="cellIs" dxfId="11182" priority="521" operator="greaterThan">
      <formula>1</formula>
    </cfRule>
    <cfRule type="cellIs" dxfId="11181" priority="522" operator="lessThan">
      <formula>0.8</formula>
    </cfRule>
  </conditionalFormatting>
  <conditionalFormatting sqref="P84:P91">
    <cfRule type="cellIs" dxfId="11180" priority="520" operator="greaterThan">
      <formula>0</formula>
    </cfRule>
  </conditionalFormatting>
  <conditionalFormatting sqref="P84:P91">
    <cfRule type="cellIs" dxfId="11179" priority="514" operator="greaterThan">
      <formula>0</formula>
    </cfRule>
  </conditionalFormatting>
  <conditionalFormatting sqref="Q84:Q91">
    <cfRule type="cellIs" dxfId="11178" priority="519" operator="lessThan">
      <formula>0</formula>
    </cfRule>
  </conditionalFormatting>
  <conditionalFormatting sqref="R84:R91">
    <cfRule type="cellIs" dxfId="11177" priority="517" operator="lessThan">
      <formula>0.8</formula>
    </cfRule>
    <cfRule type="cellIs" dxfId="11176" priority="518" operator="greaterThan">
      <formula>1</formula>
    </cfRule>
  </conditionalFormatting>
  <conditionalFormatting sqref="R84:R91">
    <cfRule type="cellIs" dxfId="11175" priority="515" operator="greaterThan">
      <formula>1</formula>
    </cfRule>
    <cfRule type="cellIs" dxfId="11174" priority="516" operator="lessThan">
      <formula>0.8</formula>
    </cfRule>
  </conditionalFormatting>
  <conditionalFormatting sqref="P84:P91">
    <cfRule type="cellIs" dxfId="11173" priority="508" operator="greaterThan">
      <formula>0</formula>
    </cfRule>
  </conditionalFormatting>
  <conditionalFormatting sqref="Q84:Q91">
    <cfRule type="cellIs" dxfId="11172" priority="513" operator="lessThan">
      <formula>0</formula>
    </cfRule>
  </conditionalFormatting>
  <conditionalFormatting sqref="R84:R91">
    <cfRule type="cellIs" dxfId="11171" priority="511" operator="lessThan">
      <formula>0.8</formula>
    </cfRule>
    <cfRule type="cellIs" dxfId="11170" priority="512" operator="greaterThan">
      <formula>1</formula>
    </cfRule>
  </conditionalFormatting>
  <conditionalFormatting sqref="R84:R91">
    <cfRule type="cellIs" dxfId="11169" priority="509" operator="greaterThan">
      <formula>1</formula>
    </cfRule>
    <cfRule type="cellIs" dxfId="11168" priority="510" operator="lessThan">
      <formula>0.8</formula>
    </cfRule>
  </conditionalFormatting>
  <conditionalFormatting sqref="R84:R91">
    <cfRule type="cellIs" dxfId="11167" priority="505" operator="lessThan">
      <formula>0.8</formula>
    </cfRule>
    <cfRule type="cellIs" dxfId="11166" priority="506" operator="greaterThan">
      <formula>1</formula>
    </cfRule>
  </conditionalFormatting>
  <conditionalFormatting sqref="R84:R91">
    <cfRule type="cellIs" dxfId="11165" priority="503" operator="greaterThan">
      <formula>1</formula>
    </cfRule>
    <cfRule type="cellIs" dxfId="11164" priority="504" operator="lessThan">
      <formula>0.8</formula>
    </cfRule>
  </conditionalFormatting>
  <conditionalFormatting sqref="P84:P91">
    <cfRule type="cellIs" dxfId="11163" priority="502" operator="greaterThan">
      <formula>0</formula>
    </cfRule>
  </conditionalFormatting>
  <conditionalFormatting sqref="Q84:Q91">
    <cfRule type="cellIs" dxfId="11162" priority="507" operator="lessThan">
      <formula>0</formula>
    </cfRule>
  </conditionalFormatting>
  <conditionalFormatting sqref="P84:P91">
    <cfRule type="cellIs" dxfId="11161" priority="496" operator="greaterThan">
      <formula>0</formula>
    </cfRule>
  </conditionalFormatting>
  <conditionalFormatting sqref="Q84:Q91">
    <cfRule type="cellIs" dxfId="11160" priority="501" operator="lessThan">
      <formula>0</formula>
    </cfRule>
  </conditionalFormatting>
  <conditionalFormatting sqref="R84:R91">
    <cfRule type="cellIs" dxfId="11159" priority="499" operator="lessThan">
      <formula>0.8</formula>
    </cfRule>
    <cfRule type="cellIs" dxfId="11158" priority="500" operator="greaterThan">
      <formula>1</formula>
    </cfRule>
  </conditionalFormatting>
  <conditionalFormatting sqref="R84:R91">
    <cfRule type="cellIs" dxfId="11157" priority="497" operator="greaterThan">
      <formula>1</formula>
    </cfRule>
    <cfRule type="cellIs" dxfId="11156" priority="498" operator="lessThan">
      <formula>0.8</formula>
    </cfRule>
  </conditionalFormatting>
  <conditionalFormatting sqref="R84:R91">
    <cfRule type="cellIs" dxfId="11155" priority="493" operator="lessThan">
      <formula>0.8</formula>
    </cfRule>
    <cfRule type="cellIs" dxfId="11154" priority="494" operator="greaterThan">
      <formula>1</formula>
    </cfRule>
  </conditionalFormatting>
  <conditionalFormatting sqref="R84:R91">
    <cfRule type="cellIs" dxfId="11153" priority="491" operator="greaterThan">
      <formula>1</formula>
    </cfRule>
    <cfRule type="cellIs" dxfId="11152" priority="492" operator="lessThan">
      <formula>0.8</formula>
    </cfRule>
  </conditionalFormatting>
  <conditionalFormatting sqref="P84:P91">
    <cfRule type="cellIs" dxfId="11151" priority="490" operator="greaterThan">
      <formula>0</formula>
    </cfRule>
  </conditionalFormatting>
  <conditionalFormatting sqref="Q84:Q91">
    <cfRule type="cellIs" dxfId="11150" priority="495" operator="lessThan">
      <formula>0</formula>
    </cfRule>
  </conditionalFormatting>
  <conditionalFormatting sqref="R84:R91">
    <cfRule type="cellIs" dxfId="11149" priority="487" operator="lessThan">
      <formula>0.8</formula>
    </cfRule>
    <cfRule type="cellIs" dxfId="11148" priority="488" operator="greaterThan">
      <formula>1</formula>
    </cfRule>
  </conditionalFormatting>
  <conditionalFormatting sqref="R84:R91">
    <cfRule type="cellIs" dxfId="11147" priority="485" operator="greaterThan">
      <formula>1</formula>
    </cfRule>
    <cfRule type="cellIs" dxfId="11146" priority="486" operator="lessThan">
      <formula>0.8</formula>
    </cfRule>
  </conditionalFormatting>
  <conditionalFormatting sqref="P84:P91">
    <cfRule type="cellIs" dxfId="11145" priority="484" operator="greaterThan">
      <formula>0</formula>
    </cfRule>
  </conditionalFormatting>
  <conditionalFormatting sqref="Q84:Q91">
    <cfRule type="cellIs" dxfId="11144" priority="489" operator="lessThan">
      <formula>0</formula>
    </cfRule>
  </conditionalFormatting>
  <conditionalFormatting sqref="Q84:Q91">
    <cfRule type="cellIs" dxfId="11143" priority="483" operator="lessThan">
      <formula>0</formula>
    </cfRule>
  </conditionalFormatting>
  <conditionalFormatting sqref="R84:R91">
    <cfRule type="cellIs" dxfId="11142" priority="481" operator="lessThan">
      <formula>0.8</formula>
    </cfRule>
    <cfRule type="cellIs" dxfId="11141" priority="482" operator="greaterThan">
      <formula>1</formula>
    </cfRule>
  </conditionalFormatting>
  <conditionalFormatting sqref="R84:R91">
    <cfRule type="cellIs" dxfId="11140" priority="479" operator="greaterThan">
      <formula>1</formula>
    </cfRule>
    <cfRule type="cellIs" dxfId="11139" priority="480" operator="lessThan">
      <formula>0.8</formula>
    </cfRule>
  </conditionalFormatting>
  <conditionalFormatting sqref="P84:P91">
    <cfRule type="cellIs" dxfId="11138" priority="478" operator="greaterThan">
      <formula>0</formula>
    </cfRule>
  </conditionalFormatting>
  <conditionalFormatting sqref="Q84:Q91">
    <cfRule type="cellIs" dxfId="11137" priority="472" operator="lessThan">
      <formula>0</formula>
    </cfRule>
  </conditionalFormatting>
  <conditionalFormatting sqref="R84:R91">
    <cfRule type="cellIs" dxfId="11136" priority="476" operator="lessThan">
      <formula>0.8</formula>
    </cfRule>
    <cfRule type="cellIs" dxfId="11135" priority="477" operator="greaterThan">
      <formula>1</formula>
    </cfRule>
  </conditionalFormatting>
  <conditionalFormatting sqref="R84:R91">
    <cfRule type="cellIs" dxfId="11134" priority="474" operator="greaterThan">
      <formula>1</formula>
    </cfRule>
    <cfRule type="cellIs" dxfId="11133" priority="475" operator="lessThan">
      <formula>0.8</formula>
    </cfRule>
  </conditionalFormatting>
  <conditionalFormatting sqref="P84:P91">
    <cfRule type="cellIs" dxfId="11132" priority="473" operator="greaterThan">
      <formula>0</formula>
    </cfRule>
  </conditionalFormatting>
  <conditionalFormatting sqref="Q84:Q91">
    <cfRule type="cellIs" dxfId="11131" priority="471" operator="lessThan">
      <formula>0</formula>
    </cfRule>
  </conditionalFormatting>
  <conditionalFormatting sqref="R84:R91">
    <cfRule type="cellIs" dxfId="11130" priority="469" operator="lessThan">
      <formula>0.8</formula>
    </cfRule>
    <cfRule type="cellIs" dxfId="11129" priority="470" operator="greaterThan">
      <formula>1</formula>
    </cfRule>
  </conditionalFormatting>
  <conditionalFormatting sqref="R84:R91">
    <cfRule type="cellIs" dxfId="11128" priority="467" operator="greaterThan">
      <formula>1</formula>
    </cfRule>
    <cfRule type="cellIs" dxfId="11127" priority="468" operator="lessThan">
      <formula>0.8</formula>
    </cfRule>
  </conditionalFormatting>
  <conditionalFormatting sqref="P84:P91">
    <cfRule type="cellIs" dxfId="11126" priority="466" operator="greaterThan">
      <formula>0</formula>
    </cfRule>
  </conditionalFormatting>
  <conditionalFormatting sqref="Q84:Q91">
    <cfRule type="cellIs" dxfId="11125" priority="465" operator="lessThan">
      <formula>0</formula>
    </cfRule>
  </conditionalFormatting>
  <conditionalFormatting sqref="R84:R91">
    <cfRule type="cellIs" dxfId="11124" priority="463" operator="lessThan">
      <formula>0.8</formula>
    </cfRule>
    <cfRule type="cellIs" dxfId="11123" priority="464" operator="greaterThan">
      <formula>1</formula>
    </cfRule>
  </conditionalFormatting>
  <conditionalFormatting sqref="R84:R91">
    <cfRule type="cellIs" dxfId="11122" priority="461" operator="greaterThan">
      <formula>1</formula>
    </cfRule>
    <cfRule type="cellIs" dxfId="11121" priority="462" operator="lessThan">
      <formula>0.8</formula>
    </cfRule>
  </conditionalFormatting>
  <conditionalFormatting sqref="P84:P91">
    <cfRule type="cellIs" dxfId="11120" priority="460" operator="greaterThan">
      <formula>0</formula>
    </cfRule>
  </conditionalFormatting>
  <conditionalFormatting sqref="Q84:Q91">
    <cfRule type="cellIs" dxfId="11119" priority="459" operator="lessThan">
      <formula>0</formula>
    </cfRule>
  </conditionalFormatting>
  <conditionalFormatting sqref="R84:R91">
    <cfRule type="cellIs" dxfId="11118" priority="457" operator="lessThan">
      <formula>0.8</formula>
    </cfRule>
    <cfRule type="cellIs" dxfId="11117" priority="458" operator="greaterThan">
      <formula>1</formula>
    </cfRule>
  </conditionalFormatting>
  <conditionalFormatting sqref="R84:R91">
    <cfRule type="cellIs" dxfId="11116" priority="455" operator="greaterThan">
      <formula>1</formula>
    </cfRule>
    <cfRule type="cellIs" dxfId="11115" priority="456" operator="lessThan">
      <formula>0.8</formula>
    </cfRule>
  </conditionalFormatting>
  <conditionalFormatting sqref="P84:P91">
    <cfRule type="cellIs" dxfId="11114" priority="454" operator="greaterThan">
      <formula>0</formula>
    </cfRule>
  </conditionalFormatting>
  <conditionalFormatting sqref="Q84:Q91">
    <cfRule type="cellIs" dxfId="11113" priority="453" operator="lessThan">
      <formula>0</formula>
    </cfRule>
  </conditionalFormatting>
  <conditionalFormatting sqref="R84:R91">
    <cfRule type="cellIs" dxfId="11112" priority="451" operator="lessThan">
      <formula>0.8</formula>
    </cfRule>
    <cfRule type="cellIs" dxfId="11111" priority="452" operator="greaterThan">
      <formula>1</formula>
    </cfRule>
  </conditionalFormatting>
  <conditionalFormatting sqref="R84:R91">
    <cfRule type="cellIs" dxfId="11110" priority="449" operator="greaterThan">
      <formula>1</formula>
    </cfRule>
    <cfRule type="cellIs" dxfId="11109" priority="450" operator="lessThan">
      <formula>0.8</formula>
    </cfRule>
  </conditionalFormatting>
  <conditionalFormatting sqref="P84:P91">
    <cfRule type="cellIs" dxfId="11108" priority="448" operator="greaterThan">
      <formula>0</formula>
    </cfRule>
  </conditionalFormatting>
  <conditionalFormatting sqref="Q84:Q91">
    <cfRule type="cellIs" dxfId="11107" priority="447" operator="lessThan">
      <formula>0</formula>
    </cfRule>
  </conditionalFormatting>
  <conditionalFormatting sqref="R84:R91">
    <cfRule type="cellIs" dxfId="11106" priority="445" operator="lessThan">
      <formula>0.8</formula>
    </cfRule>
    <cfRule type="cellIs" dxfId="11105" priority="446" operator="greaterThan">
      <formula>1</formula>
    </cfRule>
  </conditionalFormatting>
  <conditionalFormatting sqref="R84:R91">
    <cfRule type="cellIs" dxfId="11104" priority="443" operator="greaterThan">
      <formula>1</formula>
    </cfRule>
    <cfRule type="cellIs" dxfId="11103" priority="444" operator="lessThan">
      <formula>0.8</formula>
    </cfRule>
  </conditionalFormatting>
  <conditionalFormatting sqref="P84:P91">
    <cfRule type="cellIs" dxfId="11102" priority="442" operator="greaterThan">
      <formula>0</formula>
    </cfRule>
  </conditionalFormatting>
  <conditionalFormatting sqref="P84:P91">
    <cfRule type="cellIs" dxfId="11101" priority="436" operator="greaterThan">
      <formula>0</formula>
    </cfRule>
  </conditionalFormatting>
  <conditionalFormatting sqref="Q84:Q91">
    <cfRule type="cellIs" dxfId="11100" priority="441" operator="lessThan">
      <formula>0</formula>
    </cfRule>
  </conditionalFormatting>
  <conditionalFormatting sqref="R84:R91">
    <cfRule type="cellIs" dxfId="11099" priority="439" operator="lessThan">
      <formula>0.8</formula>
    </cfRule>
    <cfRule type="cellIs" dxfId="11098" priority="440" operator="greaterThan">
      <formula>1</formula>
    </cfRule>
  </conditionalFormatting>
  <conditionalFormatting sqref="R84:R91">
    <cfRule type="cellIs" dxfId="11097" priority="437" operator="greaterThan">
      <formula>1</formula>
    </cfRule>
    <cfRule type="cellIs" dxfId="11096" priority="438" operator="lessThan">
      <formula>0.8</formula>
    </cfRule>
  </conditionalFormatting>
  <conditionalFormatting sqref="P84:P91">
    <cfRule type="cellIs" dxfId="11095" priority="430" operator="greaterThan">
      <formula>0</formula>
    </cfRule>
  </conditionalFormatting>
  <conditionalFormatting sqref="Q84:Q91">
    <cfRule type="cellIs" dxfId="11094" priority="435" operator="lessThan">
      <formula>0</formula>
    </cfRule>
  </conditionalFormatting>
  <conditionalFormatting sqref="R84:R91">
    <cfRule type="cellIs" dxfId="11093" priority="433" operator="lessThan">
      <formula>0.8</formula>
    </cfRule>
    <cfRule type="cellIs" dxfId="11092" priority="434" operator="greaterThan">
      <formula>1</formula>
    </cfRule>
  </conditionalFormatting>
  <conditionalFormatting sqref="R84:R91">
    <cfRule type="cellIs" dxfId="11091" priority="431" operator="greaterThan">
      <formula>1</formula>
    </cfRule>
    <cfRule type="cellIs" dxfId="11090" priority="432" operator="lessThan">
      <formula>0.8</formula>
    </cfRule>
  </conditionalFormatting>
  <conditionalFormatting sqref="R84:R91">
    <cfRule type="cellIs" dxfId="11089" priority="427" operator="lessThan">
      <formula>0.8</formula>
    </cfRule>
    <cfRule type="cellIs" dxfId="11088" priority="428" operator="greaterThan">
      <formula>1</formula>
    </cfRule>
  </conditionalFormatting>
  <conditionalFormatting sqref="R84:R91">
    <cfRule type="cellIs" dxfId="11087" priority="425" operator="greaterThan">
      <formula>1</formula>
    </cfRule>
    <cfRule type="cellIs" dxfId="11086" priority="426" operator="lessThan">
      <formula>0.8</formula>
    </cfRule>
  </conditionalFormatting>
  <conditionalFormatting sqref="P84:P91">
    <cfRule type="cellIs" dxfId="11085" priority="424" operator="greaterThan">
      <formula>0</formula>
    </cfRule>
  </conditionalFormatting>
  <conditionalFormatting sqref="Q84:Q91">
    <cfRule type="cellIs" dxfId="11084" priority="429" operator="lessThan">
      <formula>0</formula>
    </cfRule>
  </conditionalFormatting>
  <conditionalFormatting sqref="Q84:Q91">
    <cfRule type="cellIs" dxfId="11083" priority="418" operator="lessThan">
      <formula>0</formula>
    </cfRule>
  </conditionalFormatting>
  <conditionalFormatting sqref="P84:P91">
    <cfRule type="cellIs" dxfId="11082" priority="419" operator="greaterThan">
      <formula>0</formula>
    </cfRule>
  </conditionalFormatting>
  <conditionalFormatting sqref="R84:R91">
    <cfRule type="cellIs" dxfId="11081" priority="422" operator="lessThan">
      <formula>0.8</formula>
    </cfRule>
    <cfRule type="cellIs" dxfId="11080" priority="423" operator="greaterThan">
      <formula>1</formula>
    </cfRule>
  </conditionalFormatting>
  <conditionalFormatting sqref="R84:R91">
    <cfRule type="cellIs" dxfId="11079" priority="420" operator="greaterThan">
      <formula>1</formula>
    </cfRule>
    <cfRule type="cellIs" dxfId="11078" priority="421" operator="lessThan">
      <formula>0.8</formula>
    </cfRule>
  </conditionalFormatting>
  <conditionalFormatting sqref="Q84:Q91">
    <cfRule type="cellIs" dxfId="11077" priority="412" operator="lessThan">
      <formula>0</formula>
    </cfRule>
  </conditionalFormatting>
  <conditionalFormatting sqref="R84:R91">
    <cfRule type="cellIs" dxfId="11076" priority="416" operator="lessThan">
      <formula>0.8</formula>
    </cfRule>
    <cfRule type="cellIs" dxfId="11075" priority="417" operator="greaterThan">
      <formula>1</formula>
    </cfRule>
  </conditionalFormatting>
  <conditionalFormatting sqref="R84:R91">
    <cfRule type="cellIs" dxfId="11074" priority="414" operator="greaterThan">
      <formula>1</formula>
    </cfRule>
    <cfRule type="cellIs" dxfId="11073" priority="415" operator="lessThan">
      <formula>0.8</formula>
    </cfRule>
  </conditionalFormatting>
  <conditionalFormatting sqref="P84:P91">
    <cfRule type="cellIs" dxfId="11072" priority="413" operator="greaterThan">
      <formula>0</formula>
    </cfRule>
  </conditionalFormatting>
  <conditionalFormatting sqref="Q84:Q91">
    <cfRule type="cellIs" dxfId="11071" priority="411" operator="lessThan">
      <formula>0</formula>
    </cfRule>
  </conditionalFormatting>
  <conditionalFormatting sqref="R84:R91">
    <cfRule type="cellIs" dxfId="11070" priority="409" operator="lessThan">
      <formula>0.8</formula>
    </cfRule>
    <cfRule type="cellIs" dxfId="11069" priority="410" operator="greaterThan">
      <formula>1</formula>
    </cfRule>
  </conditionalFormatting>
  <conditionalFormatting sqref="R84:R91">
    <cfRule type="cellIs" dxfId="11068" priority="407" operator="greaterThan">
      <formula>1</formula>
    </cfRule>
    <cfRule type="cellIs" dxfId="11067" priority="408" operator="lessThan">
      <formula>0.8</formula>
    </cfRule>
  </conditionalFormatting>
  <conditionalFormatting sqref="P84:P91">
    <cfRule type="cellIs" dxfId="11066" priority="406" operator="greaterThan">
      <formula>0</formula>
    </cfRule>
  </conditionalFormatting>
  <conditionalFormatting sqref="Q84:Q91">
    <cfRule type="cellIs" dxfId="11065" priority="405" operator="lessThan">
      <formula>0</formula>
    </cfRule>
  </conditionalFormatting>
  <conditionalFormatting sqref="R84:R91">
    <cfRule type="cellIs" dxfId="11064" priority="403" operator="lessThan">
      <formula>0.8</formula>
    </cfRule>
    <cfRule type="cellIs" dxfId="11063" priority="404" operator="greaterThan">
      <formula>1</formula>
    </cfRule>
  </conditionalFormatting>
  <conditionalFormatting sqref="R84:R91">
    <cfRule type="cellIs" dxfId="11062" priority="401" operator="greaterThan">
      <formula>1</formula>
    </cfRule>
    <cfRule type="cellIs" dxfId="11061" priority="402" operator="lessThan">
      <formula>0.8</formula>
    </cfRule>
  </conditionalFormatting>
  <conditionalFormatting sqref="P84:P91">
    <cfRule type="cellIs" dxfId="11060" priority="400" operator="greaterThan">
      <formula>0</formula>
    </cfRule>
  </conditionalFormatting>
  <conditionalFormatting sqref="Q84:Q91">
    <cfRule type="cellIs" dxfId="11059" priority="399" operator="lessThan">
      <formula>0</formula>
    </cfRule>
  </conditionalFormatting>
  <conditionalFormatting sqref="R84:R91">
    <cfRule type="cellIs" dxfId="11058" priority="397" operator="lessThan">
      <formula>0.8</formula>
    </cfRule>
    <cfRule type="cellIs" dxfId="11057" priority="398" operator="greaterThan">
      <formula>1</formula>
    </cfRule>
  </conditionalFormatting>
  <conditionalFormatting sqref="R84:R91">
    <cfRule type="cellIs" dxfId="11056" priority="395" operator="greaterThan">
      <formula>1</formula>
    </cfRule>
    <cfRule type="cellIs" dxfId="11055" priority="396" operator="lessThan">
      <formula>0.8</formula>
    </cfRule>
  </conditionalFormatting>
  <conditionalFormatting sqref="P84:P91">
    <cfRule type="cellIs" dxfId="11054" priority="394" operator="greaterThan">
      <formula>0</formula>
    </cfRule>
  </conditionalFormatting>
  <conditionalFormatting sqref="Q84:Q91">
    <cfRule type="cellIs" dxfId="11053" priority="393" operator="lessThan">
      <formula>0</formula>
    </cfRule>
  </conditionalFormatting>
  <conditionalFormatting sqref="R84:R91">
    <cfRule type="cellIs" dxfId="11052" priority="391" operator="lessThan">
      <formula>0.8</formula>
    </cfRule>
    <cfRule type="cellIs" dxfId="11051" priority="392" operator="greaterThan">
      <formula>1</formula>
    </cfRule>
  </conditionalFormatting>
  <conditionalFormatting sqref="R84:R91">
    <cfRule type="cellIs" dxfId="11050" priority="389" operator="greaterThan">
      <formula>1</formula>
    </cfRule>
    <cfRule type="cellIs" dxfId="11049" priority="390" operator="lessThan">
      <formula>0.8</formula>
    </cfRule>
  </conditionalFormatting>
  <conditionalFormatting sqref="P84:P91">
    <cfRule type="cellIs" dxfId="11048" priority="388" operator="greaterThan">
      <formula>0</formula>
    </cfRule>
  </conditionalFormatting>
  <conditionalFormatting sqref="Q84:Q91">
    <cfRule type="cellIs" dxfId="11047" priority="387" operator="lessThan">
      <formula>0</formula>
    </cfRule>
  </conditionalFormatting>
  <conditionalFormatting sqref="R84:R91">
    <cfRule type="cellIs" dxfId="11046" priority="385" operator="lessThan">
      <formula>0.8</formula>
    </cfRule>
    <cfRule type="cellIs" dxfId="11045" priority="386" operator="greaterThan">
      <formula>1</formula>
    </cfRule>
  </conditionalFormatting>
  <conditionalFormatting sqref="R84:R91">
    <cfRule type="cellIs" dxfId="11044" priority="383" operator="greaterThan">
      <formula>1</formula>
    </cfRule>
    <cfRule type="cellIs" dxfId="11043" priority="384" operator="lessThan">
      <formula>0.8</formula>
    </cfRule>
  </conditionalFormatting>
  <conditionalFormatting sqref="P84:P91">
    <cfRule type="cellIs" dxfId="11042" priority="382" operator="greaterThan">
      <formula>0</formula>
    </cfRule>
  </conditionalFormatting>
  <conditionalFormatting sqref="Q84:Q91">
    <cfRule type="cellIs" dxfId="11041" priority="381" operator="lessThan">
      <formula>0</formula>
    </cfRule>
  </conditionalFormatting>
  <conditionalFormatting sqref="R84:R91">
    <cfRule type="cellIs" dxfId="11040" priority="379" operator="lessThan">
      <formula>0.8</formula>
    </cfRule>
    <cfRule type="cellIs" dxfId="11039" priority="380" operator="greaterThan">
      <formula>1</formula>
    </cfRule>
  </conditionalFormatting>
  <conditionalFormatting sqref="R84:R91">
    <cfRule type="cellIs" dxfId="11038" priority="377" operator="greaterThan">
      <formula>1</formula>
    </cfRule>
    <cfRule type="cellIs" dxfId="11037" priority="378" operator="lessThan">
      <formula>0.8</formula>
    </cfRule>
  </conditionalFormatting>
  <conditionalFormatting sqref="P84:P91">
    <cfRule type="cellIs" dxfId="11036" priority="376" operator="greaterThan">
      <formula>0</formula>
    </cfRule>
  </conditionalFormatting>
  <conditionalFormatting sqref="Q84:Q91">
    <cfRule type="cellIs" dxfId="11035" priority="375" operator="lessThan">
      <formula>0</formula>
    </cfRule>
  </conditionalFormatting>
  <conditionalFormatting sqref="R84:R91">
    <cfRule type="cellIs" dxfId="11034" priority="373" operator="lessThan">
      <formula>0.8</formula>
    </cfRule>
    <cfRule type="cellIs" dxfId="11033" priority="374" operator="greaterThan">
      <formula>1</formula>
    </cfRule>
  </conditionalFormatting>
  <conditionalFormatting sqref="R84:R91">
    <cfRule type="cellIs" dxfId="11032" priority="371" operator="greaterThan">
      <formula>1</formula>
    </cfRule>
    <cfRule type="cellIs" dxfId="11031" priority="372" operator="lessThan">
      <formula>0.8</formula>
    </cfRule>
  </conditionalFormatting>
  <conditionalFormatting sqref="P84:P91">
    <cfRule type="cellIs" dxfId="11030" priority="370" operator="greaterThan">
      <formula>0</formula>
    </cfRule>
  </conditionalFormatting>
  <conditionalFormatting sqref="P84:P91">
    <cfRule type="cellIs" dxfId="11029" priority="364" operator="greaterThan">
      <formula>0</formula>
    </cfRule>
  </conditionalFormatting>
  <conditionalFormatting sqref="Q84:Q91">
    <cfRule type="cellIs" dxfId="11028" priority="369" operator="lessThan">
      <formula>0</formula>
    </cfRule>
  </conditionalFormatting>
  <conditionalFormatting sqref="R84:R91">
    <cfRule type="cellIs" dxfId="11027" priority="367" operator="lessThan">
      <formula>0.8</formula>
    </cfRule>
    <cfRule type="cellIs" dxfId="11026" priority="368" operator="greaterThan">
      <formula>1</formula>
    </cfRule>
  </conditionalFormatting>
  <conditionalFormatting sqref="R84:R91">
    <cfRule type="cellIs" dxfId="11025" priority="365" operator="greaterThan">
      <formula>1</formula>
    </cfRule>
    <cfRule type="cellIs" dxfId="11024" priority="366" operator="lessThan">
      <formula>0.8</formula>
    </cfRule>
  </conditionalFormatting>
  <conditionalFormatting sqref="P84:P91">
    <cfRule type="cellIs" dxfId="11023" priority="358" operator="greaterThan">
      <formula>0</formula>
    </cfRule>
  </conditionalFormatting>
  <conditionalFormatting sqref="Q84:Q91">
    <cfRule type="cellIs" dxfId="11022" priority="363" operator="lessThan">
      <formula>0</formula>
    </cfRule>
  </conditionalFormatting>
  <conditionalFormatting sqref="R84:R91">
    <cfRule type="cellIs" dxfId="11021" priority="361" operator="lessThan">
      <formula>0.8</formula>
    </cfRule>
    <cfRule type="cellIs" dxfId="11020" priority="362" operator="greaterThan">
      <formula>1</formula>
    </cfRule>
  </conditionalFormatting>
  <conditionalFormatting sqref="R84:R91">
    <cfRule type="cellIs" dxfId="11019" priority="359" operator="greaterThan">
      <formula>1</formula>
    </cfRule>
    <cfRule type="cellIs" dxfId="11018" priority="360" operator="lessThan">
      <formula>0.8</formula>
    </cfRule>
  </conditionalFormatting>
  <conditionalFormatting sqref="R84:R91">
    <cfRule type="cellIs" dxfId="11017" priority="355" operator="lessThan">
      <formula>0.8</formula>
    </cfRule>
    <cfRule type="cellIs" dxfId="11016" priority="356" operator="greaterThan">
      <formula>1</formula>
    </cfRule>
  </conditionalFormatting>
  <conditionalFormatting sqref="R84:R91">
    <cfRule type="cellIs" dxfId="11015" priority="353" operator="greaterThan">
      <formula>1</formula>
    </cfRule>
    <cfRule type="cellIs" dxfId="11014" priority="354" operator="lessThan">
      <formula>0.8</formula>
    </cfRule>
  </conditionalFormatting>
  <conditionalFormatting sqref="P84:P91">
    <cfRule type="cellIs" dxfId="11013" priority="352" operator="greaterThan">
      <formula>0</formula>
    </cfRule>
  </conditionalFormatting>
  <conditionalFormatting sqref="Q84:Q91">
    <cfRule type="cellIs" dxfId="11012" priority="357" operator="lessThan">
      <formula>0</formula>
    </cfRule>
  </conditionalFormatting>
  <conditionalFormatting sqref="Q84:Q91">
    <cfRule type="cellIs" dxfId="11011" priority="351" operator="lessThan">
      <formula>0</formula>
    </cfRule>
  </conditionalFormatting>
  <conditionalFormatting sqref="R84:R91">
    <cfRule type="cellIs" dxfId="11010" priority="349" operator="lessThan">
      <formula>0.8</formula>
    </cfRule>
    <cfRule type="cellIs" dxfId="11009" priority="350" operator="greaterThan">
      <formula>1</formula>
    </cfRule>
  </conditionalFormatting>
  <conditionalFormatting sqref="R84:R91">
    <cfRule type="cellIs" dxfId="11008" priority="347" operator="greaterThan">
      <formula>1</formula>
    </cfRule>
    <cfRule type="cellIs" dxfId="11007" priority="348" operator="lessThan">
      <formula>0.8</formula>
    </cfRule>
  </conditionalFormatting>
  <conditionalFormatting sqref="P84:P91">
    <cfRule type="cellIs" dxfId="11006" priority="346" operator="greaterThan">
      <formula>0</formula>
    </cfRule>
  </conditionalFormatting>
  <conditionalFormatting sqref="P84:P91">
    <cfRule type="cellIs" dxfId="11005" priority="340" operator="greaterThan">
      <formula>0</formula>
    </cfRule>
  </conditionalFormatting>
  <conditionalFormatting sqref="Q84:Q91">
    <cfRule type="cellIs" dxfId="11004" priority="345" operator="lessThan">
      <formula>0</formula>
    </cfRule>
  </conditionalFormatting>
  <conditionalFormatting sqref="R84:R91">
    <cfRule type="cellIs" dxfId="11003" priority="343" operator="lessThan">
      <formula>0.8</formula>
    </cfRule>
    <cfRule type="cellIs" dxfId="11002" priority="344" operator="greaterThan">
      <formula>1</formula>
    </cfRule>
  </conditionalFormatting>
  <conditionalFormatting sqref="R84:R91">
    <cfRule type="cellIs" dxfId="11001" priority="341" operator="greaterThan">
      <formula>1</formula>
    </cfRule>
    <cfRule type="cellIs" dxfId="11000" priority="342" operator="lessThan">
      <formula>0.8</formula>
    </cfRule>
  </conditionalFormatting>
  <conditionalFormatting sqref="P84:P91">
    <cfRule type="cellIs" dxfId="10999" priority="334" operator="greaterThan">
      <formula>0</formula>
    </cfRule>
  </conditionalFormatting>
  <conditionalFormatting sqref="Q84:Q91">
    <cfRule type="cellIs" dxfId="10998" priority="339" operator="lessThan">
      <formula>0</formula>
    </cfRule>
  </conditionalFormatting>
  <conditionalFormatting sqref="R84:R91">
    <cfRule type="cellIs" dxfId="10997" priority="337" operator="lessThan">
      <formula>0.8</formula>
    </cfRule>
    <cfRule type="cellIs" dxfId="10996" priority="338" operator="greaterThan">
      <formula>1</formula>
    </cfRule>
  </conditionalFormatting>
  <conditionalFormatting sqref="R84:R91">
    <cfRule type="cellIs" dxfId="10995" priority="335" operator="greaterThan">
      <formula>1</formula>
    </cfRule>
    <cfRule type="cellIs" dxfId="10994" priority="336" operator="lessThan">
      <formula>0.8</formula>
    </cfRule>
  </conditionalFormatting>
  <conditionalFormatting sqref="R84:R91">
    <cfRule type="cellIs" dxfId="10993" priority="331" operator="lessThan">
      <formula>0.8</formula>
    </cfRule>
    <cfRule type="cellIs" dxfId="10992" priority="332" operator="greaterThan">
      <formula>1</formula>
    </cfRule>
  </conditionalFormatting>
  <conditionalFormatting sqref="R84:R91">
    <cfRule type="cellIs" dxfId="10991" priority="329" operator="greaterThan">
      <formula>1</formula>
    </cfRule>
    <cfRule type="cellIs" dxfId="10990" priority="330" operator="lessThan">
      <formula>0.8</formula>
    </cfRule>
  </conditionalFormatting>
  <conditionalFormatting sqref="P84:P91">
    <cfRule type="cellIs" dxfId="10989" priority="328" operator="greaterThan">
      <formula>0</formula>
    </cfRule>
  </conditionalFormatting>
  <conditionalFormatting sqref="Q84:Q91">
    <cfRule type="cellIs" dxfId="10988" priority="333" operator="lessThan">
      <formula>0</formula>
    </cfRule>
  </conditionalFormatting>
  <conditionalFormatting sqref="P84:P91">
    <cfRule type="cellIs" dxfId="10987" priority="322" operator="greaterThan">
      <formula>0</formula>
    </cfRule>
  </conditionalFormatting>
  <conditionalFormatting sqref="Q84:Q91">
    <cfRule type="cellIs" dxfId="10986" priority="327" operator="lessThan">
      <formula>0</formula>
    </cfRule>
  </conditionalFormatting>
  <conditionalFormatting sqref="R84:R91">
    <cfRule type="cellIs" dxfId="10985" priority="325" operator="lessThan">
      <formula>0.8</formula>
    </cfRule>
    <cfRule type="cellIs" dxfId="10984" priority="326" operator="greaterThan">
      <formula>1</formula>
    </cfRule>
  </conditionalFormatting>
  <conditionalFormatting sqref="R84:R91">
    <cfRule type="cellIs" dxfId="10983" priority="323" operator="greaterThan">
      <formula>1</formula>
    </cfRule>
    <cfRule type="cellIs" dxfId="10982" priority="324" operator="lessThan">
      <formula>0.8</formula>
    </cfRule>
  </conditionalFormatting>
  <conditionalFormatting sqref="R84:R91">
    <cfRule type="cellIs" dxfId="10981" priority="319" operator="lessThan">
      <formula>0.8</formula>
    </cfRule>
    <cfRule type="cellIs" dxfId="10980" priority="320" operator="greaterThan">
      <formula>1</formula>
    </cfRule>
  </conditionalFormatting>
  <conditionalFormatting sqref="R84:R91">
    <cfRule type="cellIs" dxfId="10979" priority="317" operator="greaterThan">
      <formula>1</formula>
    </cfRule>
    <cfRule type="cellIs" dxfId="10978" priority="318" operator="lessThan">
      <formula>0.8</formula>
    </cfRule>
  </conditionalFormatting>
  <conditionalFormatting sqref="P84:P91">
    <cfRule type="cellIs" dxfId="10977" priority="316" operator="greaterThan">
      <formula>0</formula>
    </cfRule>
  </conditionalFormatting>
  <conditionalFormatting sqref="Q84:Q91">
    <cfRule type="cellIs" dxfId="10976" priority="321" operator="lessThan">
      <formula>0</formula>
    </cfRule>
  </conditionalFormatting>
  <conditionalFormatting sqref="R84:R91">
    <cfRule type="cellIs" dxfId="10975" priority="313" operator="lessThan">
      <formula>0.8</formula>
    </cfRule>
    <cfRule type="cellIs" dxfId="10974" priority="314" operator="greaterThan">
      <formula>1</formula>
    </cfRule>
  </conditionalFormatting>
  <conditionalFormatting sqref="R84:R91">
    <cfRule type="cellIs" dxfId="10973" priority="311" operator="greaterThan">
      <formula>1</formula>
    </cfRule>
    <cfRule type="cellIs" dxfId="10972" priority="312" operator="lessThan">
      <formula>0.8</formula>
    </cfRule>
  </conditionalFormatting>
  <conditionalFormatting sqref="P84:P91">
    <cfRule type="cellIs" dxfId="10971" priority="310" operator="greaterThan">
      <formula>0</formula>
    </cfRule>
  </conditionalFormatting>
  <conditionalFormatting sqref="Q84:Q91">
    <cfRule type="cellIs" dxfId="10970" priority="315" operator="lessThan">
      <formula>0</formula>
    </cfRule>
  </conditionalFormatting>
  <conditionalFormatting sqref="Q84:Q91">
    <cfRule type="cellIs" dxfId="10969" priority="309" operator="lessThan">
      <formula>0</formula>
    </cfRule>
  </conditionalFormatting>
  <conditionalFormatting sqref="R84:R91">
    <cfRule type="cellIs" dxfId="10968" priority="307" operator="lessThan">
      <formula>0.8</formula>
    </cfRule>
    <cfRule type="cellIs" dxfId="10967" priority="308" operator="greaterThan">
      <formula>1</formula>
    </cfRule>
  </conditionalFormatting>
  <conditionalFormatting sqref="R84:R91">
    <cfRule type="cellIs" dxfId="10966" priority="305" operator="greaterThan">
      <formula>1</formula>
    </cfRule>
    <cfRule type="cellIs" dxfId="10965" priority="306" operator="lessThan">
      <formula>0.8</formula>
    </cfRule>
  </conditionalFormatting>
  <conditionalFormatting sqref="P84:P91">
    <cfRule type="cellIs" dxfId="10964" priority="304" operator="greaterThan">
      <formula>0</formula>
    </cfRule>
  </conditionalFormatting>
  <conditionalFormatting sqref="Q84:Q91">
    <cfRule type="cellIs" dxfId="10963" priority="298" operator="lessThan">
      <formula>0</formula>
    </cfRule>
  </conditionalFormatting>
  <conditionalFormatting sqref="R84:R91">
    <cfRule type="cellIs" dxfId="10962" priority="302" operator="lessThan">
      <formula>0.8</formula>
    </cfRule>
    <cfRule type="cellIs" dxfId="10961" priority="303" operator="greaterThan">
      <formula>1</formula>
    </cfRule>
  </conditionalFormatting>
  <conditionalFormatting sqref="R84:R91">
    <cfRule type="cellIs" dxfId="10960" priority="300" operator="greaterThan">
      <formula>1</formula>
    </cfRule>
    <cfRule type="cellIs" dxfId="10959" priority="301" operator="lessThan">
      <formula>0.8</formula>
    </cfRule>
  </conditionalFormatting>
  <conditionalFormatting sqref="P84:P91">
    <cfRule type="cellIs" dxfId="10958" priority="299" operator="greaterThan">
      <formula>0</formula>
    </cfRule>
  </conditionalFormatting>
  <conditionalFormatting sqref="Q84:Q91">
    <cfRule type="cellIs" dxfId="10957" priority="297" operator="lessThan">
      <formula>0</formula>
    </cfRule>
  </conditionalFormatting>
  <conditionalFormatting sqref="R84:R91">
    <cfRule type="cellIs" dxfId="10956" priority="295" operator="lessThan">
      <formula>0.8</formula>
    </cfRule>
    <cfRule type="cellIs" dxfId="10955" priority="296" operator="greaterThan">
      <formula>1</formula>
    </cfRule>
  </conditionalFormatting>
  <conditionalFormatting sqref="R84:R91">
    <cfRule type="cellIs" dxfId="10954" priority="293" operator="greaterThan">
      <formula>1</formula>
    </cfRule>
    <cfRule type="cellIs" dxfId="10953" priority="294" operator="lessThan">
      <formula>0.8</formula>
    </cfRule>
  </conditionalFormatting>
  <conditionalFormatting sqref="P84:P91">
    <cfRule type="cellIs" dxfId="10952" priority="292" operator="greaterThan">
      <formula>0</formula>
    </cfRule>
  </conditionalFormatting>
  <conditionalFormatting sqref="Q84:Q91">
    <cfRule type="cellIs" dxfId="10951" priority="291" operator="lessThan">
      <formula>0</formula>
    </cfRule>
  </conditionalFormatting>
  <conditionalFormatting sqref="R84:R91">
    <cfRule type="cellIs" dxfId="10950" priority="289" operator="lessThan">
      <formula>0.8</formula>
    </cfRule>
    <cfRule type="cellIs" dxfId="10949" priority="290" operator="greaterThan">
      <formula>1</formula>
    </cfRule>
  </conditionalFormatting>
  <conditionalFormatting sqref="R84:R91">
    <cfRule type="cellIs" dxfId="10948" priority="287" operator="greaterThan">
      <formula>1</formula>
    </cfRule>
    <cfRule type="cellIs" dxfId="10947" priority="288" operator="lessThan">
      <formula>0.8</formula>
    </cfRule>
  </conditionalFormatting>
  <conditionalFormatting sqref="P84:P91">
    <cfRule type="cellIs" dxfId="10946" priority="286" operator="greaterThan">
      <formula>0</formula>
    </cfRule>
  </conditionalFormatting>
  <conditionalFormatting sqref="Q84:Q91">
    <cfRule type="cellIs" dxfId="10945" priority="285" operator="lessThan">
      <formula>0</formula>
    </cfRule>
  </conditionalFormatting>
  <conditionalFormatting sqref="R84:R91">
    <cfRule type="cellIs" dxfId="10944" priority="283" operator="lessThan">
      <formula>0.8</formula>
    </cfRule>
    <cfRule type="cellIs" dxfId="10943" priority="284" operator="greaterThan">
      <formula>1</formula>
    </cfRule>
  </conditionalFormatting>
  <conditionalFormatting sqref="R84:R91">
    <cfRule type="cellIs" dxfId="10942" priority="281" operator="greaterThan">
      <formula>1</formula>
    </cfRule>
    <cfRule type="cellIs" dxfId="10941" priority="282" operator="lessThan">
      <formula>0.8</formula>
    </cfRule>
  </conditionalFormatting>
  <conditionalFormatting sqref="P84:P91">
    <cfRule type="cellIs" dxfId="10940" priority="280" operator="greaterThan">
      <formula>0</formula>
    </cfRule>
  </conditionalFormatting>
  <conditionalFormatting sqref="Q84:Q91">
    <cfRule type="cellIs" dxfId="10939" priority="279" operator="lessThan">
      <formula>0</formula>
    </cfRule>
  </conditionalFormatting>
  <conditionalFormatting sqref="R84:R91">
    <cfRule type="cellIs" dxfId="10938" priority="277" operator="lessThan">
      <formula>0.8</formula>
    </cfRule>
    <cfRule type="cellIs" dxfId="10937" priority="278" operator="greaterThan">
      <formula>1</formula>
    </cfRule>
  </conditionalFormatting>
  <conditionalFormatting sqref="R84:R91">
    <cfRule type="cellIs" dxfId="10936" priority="275" operator="greaterThan">
      <formula>1</formula>
    </cfRule>
    <cfRule type="cellIs" dxfId="10935" priority="276" operator="lessThan">
      <formula>0.8</formula>
    </cfRule>
  </conditionalFormatting>
  <conditionalFormatting sqref="P84:P91">
    <cfRule type="cellIs" dxfId="10934" priority="274" operator="greaterThan">
      <formula>0</formula>
    </cfRule>
  </conditionalFormatting>
  <conditionalFormatting sqref="Q84:Q91">
    <cfRule type="cellIs" dxfId="10933" priority="273" operator="lessThan">
      <formula>0</formula>
    </cfRule>
  </conditionalFormatting>
  <conditionalFormatting sqref="R84:R91">
    <cfRule type="cellIs" dxfId="10932" priority="271" operator="lessThan">
      <formula>0.8</formula>
    </cfRule>
    <cfRule type="cellIs" dxfId="10931" priority="272" operator="greaterThan">
      <formula>1</formula>
    </cfRule>
  </conditionalFormatting>
  <conditionalFormatting sqref="R84:R91">
    <cfRule type="cellIs" dxfId="10930" priority="269" operator="greaterThan">
      <formula>1</formula>
    </cfRule>
    <cfRule type="cellIs" dxfId="10929" priority="270" operator="lessThan">
      <formula>0.8</formula>
    </cfRule>
  </conditionalFormatting>
  <conditionalFormatting sqref="P84:P91">
    <cfRule type="cellIs" dxfId="10928" priority="268" operator="greaterThan">
      <formula>0</formula>
    </cfRule>
  </conditionalFormatting>
  <conditionalFormatting sqref="P84:P91">
    <cfRule type="cellIs" dxfId="10927" priority="262" operator="greaterThan">
      <formula>0</formula>
    </cfRule>
  </conditionalFormatting>
  <conditionalFormatting sqref="Q84:Q91">
    <cfRule type="cellIs" dxfId="10926" priority="267" operator="lessThan">
      <formula>0</formula>
    </cfRule>
  </conditionalFormatting>
  <conditionalFormatting sqref="R84:R91">
    <cfRule type="cellIs" dxfId="10925" priority="265" operator="lessThan">
      <formula>0.8</formula>
    </cfRule>
    <cfRule type="cellIs" dxfId="10924" priority="266" operator="greaterThan">
      <formula>1</formula>
    </cfRule>
  </conditionalFormatting>
  <conditionalFormatting sqref="R84:R91">
    <cfRule type="cellIs" dxfId="10923" priority="263" operator="greaterThan">
      <formula>1</formula>
    </cfRule>
    <cfRule type="cellIs" dxfId="10922" priority="264" operator="lessThan">
      <formula>0.8</formula>
    </cfRule>
  </conditionalFormatting>
  <conditionalFormatting sqref="P84:P91">
    <cfRule type="cellIs" dxfId="10921" priority="256" operator="greaterThan">
      <formula>0</formula>
    </cfRule>
  </conditionalFormatting>
  <conditionalFormatting sqref="Q84:Q91">
    <cfRule type="cellIs" dxfId="10920" priority="261" operator="lessThan">
      <formula>0</formula>
    </cfRule>
  </conditionalFormatting>
  <conditionalFormatting sqref="R84:R91">
    <cfRule type="cellIs" dxfId="10919" priority="259" operator="lessThan">
      <formula>0.8</formula>
    </cfRule>
    <cfRule type="cellIs" dxfId="10918" priority="260" operator="greaterThan">
      <formula>1</formula>
    </cfRule>
  </conditionalFormatting>
  <conditionalFormatting sqref="R84:R91">
    <cfRule type="cellIs" dxfId="10917" priority="257" operator="greaterThan">
      <formula>1</formula>
    </cfRule>
    <cfRule type="cellIs" dxfId="10916" priority="258" operator="lessThan">
      <formula>0.8</formula>
    </cfRule>
  </conditionalFormatting>
  <conditionalFormatting sqref="R84:R91">
    <cfRule type="cellIs" dxfId="10915" priority="253" operator="lessThan">
      <formula>0.8</formula>
    </cfRule>
    <cfRule type="cellIs" dxfId="10914" priority="254" operator="greaterThan">
      <formula>1</formula>
    </cfRule>
  </conditionalFormatting>
  <conditionalFormatting sqref="R84:R91">
    <cfRule type="cellIs" dxfId="10913" priority="251" operator="greaterThan">
      <formula>1</formula>
    </cfRule>
    <cfRule type="cellIs" dxfId="10912" priority="252" operator="lessThan">
      <formula>0.8</formula>
    </cfRule>
  </conditionalFormatting>
  <conditionalFormatting sqref="P84:P91">
    <cfRule type="cellIs" dxfId="10911" priority="250" operator="greaterThan">
      <formula>0</formula>
    </cfRule>
  </conditionalFormatting>
  <conditionalFormatting sqref="Q84:Q91">
    <cfRule type="cellIs" dxfId="10910" priority="255" operator="lessThan">
      <formula>0</formula>
    </cfRule>
  </conditionalFormatting>
  <conditionalFormatting sqref="Q84:Q91">
    <cfRule type="cellIs" dxfId="10909" priority="249" operator="lessThan">
      <formula>0</formula>
    </cfRule>
  </conditionalFormatting>
  <conditionalFormatting sqref="R84:R91">
    <cfRule type="cellIs" dxfId="10908" priority="247" operator="lessThan">
      <formula>0.8</formula>
    </cfRule>
    <cfRule type="cellIs" dxfId="10907" priority="248" operator="greaterThan">
      <formula>1</formula>
    </cfRule>
  </conditionalFormatting>
  <conditionalFormatting sqref="R84:R91">
    <cfRule type="cellIs" dxfId="10906" priority="245" operator="greaterThan">
      <formula>1</formula>
    </cfRule>
    <cfRule type="cellIs" dxfId="10905" priority="246" operator="lessThan">
      <formula>0.8</formula>
    </cfRule>
  </conditionalFormatting>
  <conditionalFormatting sqref="P84:P91">
    <cfRule type="cellIs" dxfId="10904" priority="244" operator="greaterThan">
      <formula>0</formula>
    </cfRule>
  </conditionalFormatting>
  <conditionalFormatting sqref="Q84:Q91">
    <cfRule type="cellIs" dxfId="10903" priority="243" operator="lessThan">
      <formula>0</formula>
    </cfRule>
  </conditionalFormatting>
  <conditionalFormatting sqref="R84:R91">
    <cfRule type="cellIs" dxfId="10902" priority="241" operator="lessThan">
      <formula>0.8</formula>
    </cfRule>
    <cfRule type="cellIs" dxfId="10901" priority="242" operator="greaterThan">
      <formula>1</formula>
    </cfRule>
  </conditionalFormatting>
  <conditionalFormatting sqref="R84:R91">
    <cfRule type="cellIs" dxfId="10900" priority="239" operator="greaterThan">
      <formula>1</formula>
    </cfRule>
    <cfRule type="cellIs" dxfId="10899" priority="240" operator="lessThan">
      <formula>0.8</formula>
    </cfRule>
  </conditionalFormatting>
  <conditionalFormatting sqref="P84:P91">
    <cfRule type="cellIs" dxfId="10898" priority="238" operator="greaterThan">
      <formula>0</formula>
    </cfRule>
  </conditionalFormatting>
  <conditionalFormatting sqref="Q84:Q91">
    <cfRule type="cellIs" dxfId="10897" priority="237" operator="lessThan">
      <formula>0</formula>
    </cfRule>
  </conditionalFormatting>
  <conditionalFormatting sqref="R84:R91">
    <cfRule type="cellIs" dxfId="10896" priority="235" operator="lessThan">
      <formula>0.8</formula>
    </cfRule>
    <cfRule type="cellIs" dxfId="10895" priority="236" operator="greaterThan">
      <formula>1</formula>
    </cfRule>
  </conditionalFormatting>
  <conditionalFormatting sqref="R84:R91">
    <cfRule type="cellIs" dxfId="10894" priority="233" operator="greaterThan">
      <formula>1</formula>
    </cfRule>
    <cfRule type="cellIs" dxfId="10893" priority="234" operator="lessThan">
      <formula>0.8</formula>
    </cfRule>
  </conditionalFormatting>
  <conditionalFormatting sqref="P84:P91">
    <cfRule type="cellIs" dxfId="10892" priority="232" operator="greaterThan">
      <formula>0</formula>
    </cfRule>
  </conditionalFormatting>
  <conditionalFormatting sqref="Q84:Q91">
    <cfRule type="cellIs" dxfId="10891" priority="231" operator="lessThan">
      <formula>0</formula>
    </cfRule>
  </conditionalFormatting>
  <conditionalFormatting sqref="R84:R91">
    <cfRule type="cellIs" dxfId="10890" priority="229" operator="lessThan">
      <formula>0.8</formula>
    </cfRule>
    <cfRule type="cellIs" dxfId="10889" priority="230" operator="greaterThan">
      <formula>1</formula>
    </cfRule>
  </conditionalFormatting>
  <conditionalFormatting sqref="R84:R91">
    <cfRule type="cellIs" dxfId="10888" priority="227" operator="greaterThan">
      <formula>1</formula>
    </cfRule>
    <cfRule type="cellIs" dxfId="10887" priority="228" operator="lessThan">
      <formula>0.8</formula>
    </cfRule>
  </conditionalFormatting>
  <conditionalFormatting sqref="P84:P91">
    <cfRule type="cellIs" dxfId="10886" priority="226" operator="greaterThan">
      <formula>0</formula>
    </cfRule>
  </conditionalFormatting>
  <conditionalFormatting sqref="P84:P91">
    <cfRule type="cellIs" dxfId="10885" priority="220" operator="greaterThan">
      <formula>0</formula>
    </cfRule>
  </conditionalFormatting>
  <conditionalFormatting sqref="Q84:Q91">
    <cfRule type="cellIs" dxfId="10884" priority="225" operator="lessThan">
      <formula>0</formula>
    </cfRule>
  </conditionalFormatting>
  <conditionalFormatting sqref="R84:R91">
    <cfRule type="cellIs" dxfId="10883" priority="223" operator="lessThan">
      <formula>0.8</formula>
    </cfRule>
    <cfRule type="cellIs" dxfId="10882" priority="224" operator="greaterThan">
      <formula>1</formula>
    </cfRule>
  </conditionalFormatting>
  <conditionalFormatting sqref="R84:R91">
    <cfRule type="cellIs" dxfId="10881" priority="221" operator="greaterThan">
      <formula>1</formula>
    </cfRule>
    <cfRule type="cellIs" dxfId="10880" priority="222" operator="lessThan">
      <formula>0.8</formula>
    </cfRule>
  </conditionalFormatting>
  <conditionalFormatting sqref="P84:P91">
    <cfRule type="cellIs" dxfId="10879" priority="214" operator="greaterThan">
      <formula>0</formula>
    </cfRule>
  </conditionalFormatting>
  <conditionalFormatting sqref="Q84:Q91">
    <cfRule type="cellIs" dxfId="10878" priority="219" operator="lessThan">
      <formula>0</formula>
    </cfRule>
  </conditionalFormatting>
  <conditionalFormatting sqref="R84:R91">
    <cfRule type="cellIs" dxfId="10877" priority="217" operator="lessThan">
      <formula>0.8</formula>
    </cfRule>
    <cfRule type="cellIs" dxfId="10876" priority="218" operator="greaterThan">
      <formula>1</formula>
    </cfRule>
  </conditionalFormatting>
  <conditionalFormatting sqref="R84:R91">
    <cfRule type="cellIs" dxfId="10875" priority="215" operator="greaterThan">
      <formula>1</formula>
    </cfRule>
    <cfRule type="cellIs" dxfId="10874" priority="216" operator="lessThan">
      <formula>0.8</formula>
    </cfRule>
  </conditionalFormatting>
  <conditionalFormatting sqref="R84:R91">
    <cfRule type="cellIs" dxfId="10873" priority="211" operator="lessThan">
      <formula>0.8</formula>
    </cfRule>
    <cfRule type="cellIs" dxfId="10872" priority="212" operator="greaterThan">
      <formula>1</formula>
    </cfRule>
  </conditionalFormatting>
  <conditionalFormatting sqref="R84:R91">
    <cfRule type="cellIs" dxfId="10871" priority="209" operator="greaterThan">
      <formula>1</formula>
    </cfRule>
    <cfRule type="cellIs" dxfId="10870" priority="210" operator="lessThan">
      <formula>0.8</formula>
    </cfRule>
  </conditionalFormatting>
  <conditionalFormatting sqref="P84:P91">
    <cfRule type="cellIs" dxfId="10869" priority="208" operator="greaterThan">
      <formula>0</formula>
    </cfRule>
  </conditionalFormatting>
  <conditionalFormatting sqref="Q84:Q91">
    <cfRule type="cellIs" dxfId="10868" priority="213" operator="lessThan">
      <formula>0</formula>
    </cfRule>
  </conditionalFormatting>
  <conditionalFormatting sqref="Q84:Q91">
    <cfRule type="cellIs" dxfId="10867" priority="207" operator="lessThan">
      <formula>0</formula>
    </cfRule>
  </conditionalFormatting>
  <conditionalFormatting sqref="R84:R91">
    <cfRule type="cellIs" dxfId="10866" priority="205" operator="lessThan">
      <formula>0.8</formula>
    </cfRule>
    <cfRule type="cellIs" dxfId="10865" priority="206" operator="greaterThan">
      <formula>1</formula>
    </cfRule>
  </conditionalFormatting>
  <conditionalFormatting sqref="R84:R91">
    <cfRule type="cellIs" dxfId="10864" priority="203" operator="greaterThan">
      <formula>1</formula>
    </cfRule>
    <cfRule type="cellIs" dxfId="10863" priority="204" operator="lessThan">
      <formula>0.8</formula>
    </cfRule>
  </conditionalFormatting>
  <conditionalFormatting sqref="P84:P91">
    <cfRule type="cellIs" dxfId="10862" priority="202" operator="greaterThan">
      <formula>0</formula>
    </cfRule>
  </conditionalFormatting>
  <conditionalFormatting sqref="P84:P91">
    <cfRule type="cellIs" dxfId="10861" priority="196" operator="greaterThan">
      <formula>0</formula>
    </cfRule>
  </conditionalFormatting>
  <conditionalFormatting sqref="Q84:Q91">
    <cfRule type="cellIs" dxfId="10860" priority="201" operator="lessThan">
      <formula>0</formula>
    </cfRule>
  </conditionalFormatting>
  <conditionalFormatting sqref="R84:R91">
    <cfRule type="cellIs" dxfId="10859" priority="199" operator="lessThan">
      <formula>0.8</formula>
    </cfRule>
    <cfRule type="cellIs" dxfId="10858" priority="200" operator="greaterThan">
      <formula>1</formula>
    </cfRule>
  </conditionalFormatting>
  <conditionalFormatting sqref="R84:R91">
    <cfRule type="cellIs" dxfId="10857" priority="197" operator="greaterThan">
      <formula>1</formula>
    </cfRule>
    <cfRule type="cellIs" dxfId="10856" priority="198" operator="lessThan">
      <formula>0.8</formula>
    </cfRule>
  </conditionalFormatting>
  <conditionalFormatting sqref="P84:P91">
    <cfRule type="cellIs" dxfId="10855" priority="190" operator="greaterThan">
      <formula>0</formula>
    </cfRule>
  </conditionalFormatting>
  <conditionalFormatting sqref="Q84:Q91">
    <cfRule type="cellIs" dxfId="10854" priority="195" operator="lessThan">
      <formula>0</formula>
    </cfRule>
  </conditionalFormatting>
  <conditionalFormatting sqref="R84:R91">
    <cfRule type="cellIs" dxfId="10853" priority="193" operator="lessThan">
      <formula>0.8</formula>
    </cfRule>
    <cfRule type="cellIs" dxfId="10852" priority="194" operator="greaterThan">
      <formula>1</formula>
    </cfRule>
  </conditionalFormatting>
  <conditionalFormatting sqref="R84:R91">
    <cfRule type="cellIs" dxfId="10851" priority="191" operator="greaterThan">
      <formula>1</formula>
    </cfRule>
    <cfRule type="cellIs" dxfId="10850" priority="192" operator="lessThan">
      <formula>0.8</formula>
    </cfRule>
  </conditionalFormatting>
  <conditionalFormatting sqref="R84:R91">
    <cfRule type="cellIs" dxfId="10849" priority="187" operator="lessThan">
      <formula>0.8</formula>
    </cfRule>
    <cfRule type="cellIs" dxfId="10848" priority="188" operator="greaterThan">
      <formula>1</formula>
    </cfRule>
  </conditionalFormatting>
  <conditionalFormatting sqref="R84:R91">
    <cfRule type="cellIs" dxfId="10847" priority="185" operator="greaterThan">
      <formula>1</formula>
    </cfRule>
    <cfRule type="cellIs" dxfId="10846" priority="186" operator="lessThan">
      <formula>0.8</formula>
    </cfRule>
  </conditionalFormatting>
  <conditionalFormatting sqref="P84:P91">
    <cfRule type="cellIs" dxfId="10845" priority="184" operator="greaterThan">
      <formula>0</formula>
    </cfRule>
  </conditionalFormatting>
  <conditionalFormatting sqref="Q84:Q91">
    <cfRule type="cellIs" dxfId="10844" priority="189" operator="lessThan">
      <formula>0</formula>
    </cfRule>
  </conditionalFormatting>
  <conditionalFormatting sqref="P84:P91">
    <cfRule type="cellIs" dxfId="10843" priority="178" operator="greaterThan">
      <formula>0</formula>
    </cfRule>
  </conditionalFormatting>
  <conditionalFormatting sqref="Q84:Q91">
    <cfRule type="cellIs" dxfId="10842" priority="183" operator="lessThan">
      <formula>0</formula>
    </cfRule>
  </conditionalFormatting>
  <conditionalFormatting sqref="R84:R91">
    <cfRule type="cellIs" dxfId="10841" priority="181" operator="lessThan">
      <formula>0.8</formula>
    </cfRule>
    <cfRule type="cellIs" dxfId="10840" priority="182" operator="greaterThan">
      <formula>1</formula>
    </cfRule>
  </conditionalFormatting>
  <conditionalFormatting sqref="R84:R91">
    <cfRule type="cellIs" dxfId="10839" priority="179" operator="greaterThan">
      <formula>1</formula>
    </cfRule>
    <cfRule type="cellIs" dxfId="10838" priority="180" operator="lessThan">
      <formula>0.8</formula>
    </cfRule>
  </conditionalFormatting>
  <conditionalFormatting sqref="R84:R91">
    <cfRule type="cellIs" dxfId="10837" priority="175" operator="lessThan">
      <formula>0.8</formula>
    </cfRule>
    <cfRule type="cellIs" dxfId="10836" priority="176" operator="greaterThan">
      <formula>1</formula>
    </cfRule>
  </conditionalFormatting>
  <conditionalFormatting sqref="R84:R91">
    <cfRule type="cellIs" dxfId="10835" priority="173" operator="greaterThan">
      <formula>1</formula>
    </cfRule>
    <cfRule type="cellIs" dxfId="10834" priority="174" operator="lessThan">
      <formula>0.8</formula>
    </cfRule>
  </conditionalFormatting>
  <conditionalFormatting sqref="P84:P91">
    <cfRule type="cellIs" dxfId="10833" priority="172" operator="greaterThan">
      <formula>0</formula>
    </cfRule>
  </conditionalFormatting>
  <conditionalFormatting sqref="Q84:Q91">
    <cfRule type="cellIs" dxfId="10832" priority="177" operator="lessThan">
      <formula>0</formula>
    </cfRule>
  </conditionalFormatting>
  <conditionalFormatting sqref="R84:R91">
    <cfRule type="cellIs" dxfId="10831" priority="169" operator="lessThan">
      <formula>0.8</formula>
    </cfRule>
    <cfRule type="cellIs" dxfId="10830" priority="170" operator="greaterThan">
      <formula>1</formula>
    </cfRule>
  </conditionalFormatting>
  <conditionalFormatting sqref="R84:R91">
    <cfRule type="cellIs" dxfId="10829" priority="167" operator="greaterThan">
      <formula>1</formula>
    </cfRule>
    <cfRule type="cellIs" dxfId="10828" priority="168" operator="lessThan">
      <formula>0.8</formula>
    </cfRule>
  </conditionalFormatting>
  <conditionalFormatting sqref="P84:P91">
    <cfRule type="cellIs" dxfId="10827" priority="166" operator="greaterThan">
      <formula>0</formula>
    </cfRule>
  </conditionalFormatting>
  <conditionalFormatting sqref="Q84:Q91">
    <cfRule type="cellIs" dxfId="10826" priority="171" operator="lessThan">
      <formula>0</formula>
    </cfRule>
  </conditionalFormatting>
  <conditionalFormatting sqref="Q84:Q91">
    <cfRule type="cellIs" dxfId="10825" priority="165" operator="lessThan">
      <formula>0</formula>
    </cfRule>
  </conditionalFormatting>
  <conditionalFormatting sqref="R84:R91">
    <cfRule type="cellIs" dxfId="10824" priority="163" operator="lessThan">
      <formula>0.8</formula>
    </cfRule>
    <cfRule type="cellIs" dxfId="10823" priority="164" operator="greaterThan">
      <formula>1</formula>
    </cfRule>
  </conditionalFormatting>
  <conditionalFormatting sqref="R84:R91">
    <cfRule type="cellIs" dxfId="10822" priority="161" operator="greaterThan">
      <formula>1</formula>
    </cfRule>
    <cfRule type="cellIs" dxfId="10821" priority="162" operator="lessThan">
      <formula>0.8</formula>
    </cfRule>
  </conditionalFormatting>
  <conditionalFormatting sqref="P84:P91">
    <cfRule type="cellIs" dxfId="10820" priority="160" operator="greaterThan">
      <formula>0</formula>
    </cfRule>
  </conditionalFormatting>
  <conditionalFormatting sqref="Q84:Q91">
    <cfRule type="cellIs" dxfId="10819" priority="154" operator="lessThan">
      <formula>0</formula>
    </cfRule>
  </conditionalFormatting>
  <conditionalFormatting sqref="R84:R91">
    <cfRule type="cellIs" dxfId="10818" priority="158" operator="lessThan">
      <formula>0.8</formula>
    </cfRule>
    <cfRule type="cellIs" dxfId="10817" priority="159" operator="greaterThan">
      <formula>1</formula>
    </cfRule>
  </conditionalFormatting>
  <conditionalFormatting sqref="R84:R91">
    <cfRule type="cellIs" dxfId="10816" priority="156" operator="greaterThan">
      <formula>1</formula>
    </cfRule>
    <cfRule type="cellIs" dxfId="10815" priority="157" operator="lessThan">
      <formula>0.8</formula>
    </cfRule>
  </conditionalFormatting>
  <conditionalFormatting sqref="P84:P91">
    <cfRule type="cellIs" dxfId="10814" priority="155" operator="greaterThan">
      <formula>0</formula>
    </cfRule>
  </conditionalFormatting>
  <conditionalFormatting sqref="Q84:Q91">
    <cfRule type="cellIs" dxfId="10813" priority="153" operator="lessThan">
      <formula>0</formula>
    </cfRule>
  </conditionalFormatting>
  <conditionalFormatting sqref="R84:R91">
    <cfRule type="cellIs" dxfId="10812" priority="151" operator="lessThan">
      <formula>0.8</formula>
    </cfRule>
    <cfRule type="cellIs" dxfId="10811" priority="152" operator="greaterThan">
      <formula>1</formula>
    </cfRule>
  </conditionalFormatting>
  <conditionalFormatting sqref="R84:R91">
    <cfRule type="cellIs" dxfId="10810" priority="149" operator="greaterThan">
      <formula>1</formula>
    </cfRule>
    <cfRule type="cellIs" dxfId="10809" priority="150" operator="lessThan">
      <formula>0.8</formula>
    </cfRule>
  </conditionalFormatting>
  <conditionalFormatting sqref="P84:P91">
    <cfRule type="cellIs" dxfId="10808" priority="148" operator="greaterThan">
      <formula>0</formula>
    </cfRule>
  </conditionalFormatting>
  <conditionalFormatting sqref="Q84:Q91">
    <cfRule type="cellIs" dxfId="10807" priority="147" operator="lessThan">
      <formula>0</formula>
    </cfRule>
  </conditionalFormatting>
  <conditionalFormatting sqref="R84:R91">
    <cfRule type="cellIs" dxfId="10806" priority="145" operator="lessThan">
      <formula>0.8</formula>
    </cfRule>
    <cfRule type="cellIs" dxfId="10805" priority="146" operator="greaterThan">
      <formula>1</formula>
    </cfRule>
  </conditionalFormatting>
  <conditionalFormatting sqref="R84:R91">
    <cfRule type="cellIs" dxfId="10804" priority="143" operator="greaterThan">
      <formula>1</formula>
    </cfRule>
    <cfRule type="cellIs" dxfId="10803" priority="144" operator="lessThan">
      <formula>0.8</formula>
    </cfRule>
  </conditionalFormatting>
  <conditionalFormatting sqref="P84:P91">
    <cfRule type="cellIs" dxfId="10802" priority="142" operator="greaterThan">
      <formula>0</formula>
    </cfRule>
  </conditionalFormatting>
  <conditionalFormatting sqref="Q84:Q91">
    <cfRule type="cellIs" dxfId="10801" priority="141" operator="lessThan">
      <formula>0</formula>
    </cfRule>
  </conditionalFormatting>
  <conditionalFormatting sqref="R84:R91">
    <cfRule type="cellIs" dxfId="10800" priority="139" operator="lessThan">
      <formula>0.8</formula>
    </cfRule>
    <cfRule type="cellIs" dxfId="10799" priority="140" operator="greaterThan">
      <formula>1</formula>
    </cfRule>
  </conditionalFormatting>
  <conditionalFormatting sqref="R84:R91">
    <cfRule type="cellIs" dxfId="10798" priority="137" operator="greaterThan">
      <formula>1</formula>
    </cfRule>
    <cfRule type="cellIs" dxfId="10797" priority="138" operator="lessThan">
      <formula>0.8</formula>
    </cfRule>
  </conditionalFormatting>
  <conditionalFormatting sqref="P84:P91">
    <cfRule type="cellIs" dxfId="10796" priority="136" operator="greaterThan">
      <formula>0</formula>
    </cfRule>
  </conditionalFormatting>
  <conditionalFormatting sqref="Q84:Q91">
    <cfRule type="cellIs" dxfId="10795" priority="135" operator="lessThan">
      <formula>0</formula>
    </cfRule>
  </conditionalFormatting>
  <conditionalFormatting sqref="R84:R91">
    <cfRule type="cellIs" dxfId="10794" priority="133" operator="lessThan">
      <formula>0.8</formula>
    </cfRule>
    <cfRule type="cellIs" dxfId="10793" priority="134" operator="greaterThan">
      <formula>1</formula>
    </cfRule>
  </conditionalFormatting>
  <conditionalFormatting sqref="R84:R91">
    <cfRule type="cellIs" dxfId="10792" priority="131" operator="greaterThan">
      <formula>1</formula>
    </cfRule>
    <cfRule type="cellIs" dxfId="10791" priority="132" operator="lessThan">
      <formula>0.8</formula>
    </cfRule>
  </conditionalFormatting>
  <conditionalFormatting sqref="P84:P91">
    <cfRule type="cellIs" dxfId="10790" priority="130" operator="greaterThan">
      <formula>0</formula>
    </cfRule>
  </conditionalFormatting>
  <conditionalFormatting sqref="Q84:Q91">
    <cfRule type="cellIs" dxfId="10789" priority="129" operator="lessThan">
      <formula>0</formula>
    </cfRule>
  </conditionalFormatting>
  <conditionalFormatting sqref="R84:R91">
    <cfRule type="cellIs" dxfId="10788" priority="127" operator="lessThan">
      <formula>0.8</formula>
    </cfRule>
    <cfRule type="cellIs" dxfId="10787" priority="128" operator="greaterThan">
      <formula>1</formula>
    </cfRule>
  </conditionalFormatting>
  <conditionalFormatting sqref="R84:R91">
    <cfRule type="cellIs" dxfId="10786" priority="125" operator="greaterThan">
      <formula>1</formula>
    </cfRule>
    <cfRule type="cellIs" dxfId="10785" priority="126" operator="lessThan">
      <formula>0.8</formula>
    </cfRule>
  </conditionalFormatting>
  <conditionalFormatting sqref="P84:P91">
    <cfRule type="cellIs" dxfId="10784" priority="124" operator="greaterThan">
      <formula>0</formula>
    </cfRule>
  </conditionalFormatting>
  <conditionalFormatting sqref="P84:P91">
    <cfRule type="cellIs" dxfId="10783" priority="118" operator="greaterThan">
      <formula>0</formula>
    </cfRule>
  </conditionalFormatting>
  <conditionalFormatting sqref="Q84:Q91">
    <cfRule type="cellIs" dxfId="10782" priority="123" operator="lessThan">
      <formula>0</formula>
    </cfRule>
  </conditionalFormatting>
  <conditionalFormatting sqref="R84:R91">
    <cfRule type="cellIs" dxfId="10781" priority="121" operator="lessThan">
      <formula>0.8</formula>
    </cfRule>
    <cfRule type="cellIs" dxfId="10780" priority="122" operator="greaterThan">
      <formula>1</formula>
    </cfRule>
  </conditionalFormatting>
  <conditionalFormatting sqref="R84:R91">
    <cfRule type="cellIs" dxfId="10779" priority="119" operator="greaterThan">
      <formula>1</formula>
    </cfRule>
    <cfRule type="cellIs" dxfId="10778" priority="120" operator="lessThan">
      <formula>0.8</formula>
    </cfRule>
  </conditionalFormatting>
  <conditionalFormatting sqref="P84:P91">
    <cfRule type="cellIs" dxfId="10777" priority="112" operator="greaterThan">
      <formula>0</formula>
    </cfRule>
  </conditionalFormatting>
  <conditionalFormatting sqref="Q84:Q91">
    <cfRule type="cellIs" dxfId="10776" priority="117" operator="lessThan">
      <formula>0</formula>
    </cfRule>
  </conditionalFormatting>
  <conditionalFormatting sqref="R84:R91">
    <cfRule type="cellIs" dxfId="10775" priority="115" operator="lessThan">
      <formula>0.8</formula>
    </cfRule>
    <cfRule type="cellIs" dxfId="10774" priority="116" operator="greaterThan">
      <formula>1</formula>
    </cfRule>
  </conditionalFormatting>
  <conditionalFormatting sqref="R84:R91">
    <cfRule type="cellIs" dxfId="10773" priority="113" operator="greaterThan">
      <formula>1</formula>
    </cfRule>
    <cfRule type="cellIs" dxfId="10772" priority="114" operator="lessThan">
      <formula>0.8</formula>
    </cfRule>
  </conditionalFormatting>
  <conditionalFormatting sqref="R84:R91">
    <cfRule type="cellIs" dxfId="10771" priority="109" operator="lessThan">
      <formula>0.8</formula>
    </cfRule>
    <cfRule type="cellIs" dxfId="10770" priority="110" operator="greaterThan">
      <formula>1</formula>
    </cfRule>
  </conditionalFormatting>
  <conditionalFormatting sqref="R84:R91">
    <cfRule type="cellIs" dxfId="10769" priority="107" operator="greaterThan">
      <formula>1</formula>
    </cfRule>
    <cfRule type="cellIs" dxfId="10768" priority="108" operator="lessThan">
      <formula>0.8</formula>
    </cfRule>
  </conditionalFormatting>
  <conditionalFormatting sqref="P84:P91">
    <cfRule type="cellIs" dxfId="10767" priority="106" operator="greaterThan">
      <formula>0</formula>
    </cfRule>
  </conditionalFormatting>
  <conditionalFormatting sqref="Q84:Q91">
    <cfRule type="cellIs" dxfId="10766" priority="111" operator="lessThan">
      <formula>0</formula>
    </cfRule>
  </conditionalFormatting>
  <conditionalFormatting sqref="Q84:Q91">
    <cfRule type="cellIs" dxfId="10765" priority="100" operator="lessThan">
      <formula>0</formula>
    </cfRule>
  </conditionalFormatting>
  <conditionalFormatting sqref="P84:P91">
    <cfRule type="cellIs" dxfId="10764" priority="101" operator="greaterThan">
      <formula>0</formula>
    </cfRule>
  </conditionalFormatting>
  <conditionalFormatting sqref="R84:R91">
    <cfRule type="cellIs" dxfId="10763" priority="104" operator="lessThan">
      <formula>0.8</formula>
    </cfRule>
    <cfRule type="cellIs" dxfId="10762" priority="105" operator="greaterThan">
      <formula>1</formula>
    </cfRule>
  </conditionalFormatting>
  <conditionalFormatting sqref="R84:R91">
    <cfRule type="cellIs" dxfId="10761" priority="102" operator="greaterThan">
      <formula>1</formula>
    </cfRule>
    <cfRule type="cellIs" dxfId="10760" priority="103" operator="lessThan">
      <formula>0.8</formula>
    </cfRule>
  </conditionalFormatting>
  <conditionalFormatting sqref="Q84:Q91">
    <cfRule type="cellIs" dxfId="10759" priority="94" operator="lessThan">
      <formula>0</formula>
    </cfRule>
  </conditionalFormatting>
  <conditionalFormatting sqref="R84:R91">
    <cfRule type="cellIs" dxfId="10758" priority="98" operator="lessThan">
      <formula>0.8</formula>
    </cfRule>
    <cfRule type="cellIs" dxfId="10757" priority="99" operator="greaterThan">
      <formula>1</formula>
    </cfRule>
  </conditionalFormatting>
  <conditionalFormatting sqref="R84:R91">
    <cfRule type="cellIs" dxfId="10756" priority="96" operator="greaterThan">
      <formula>1</formula>
    </cfRule>
    <cfRule type="cellIs" dxfId="10755" priority="97" operator="lessThan">
      <formula>0.8</formula>
    </cfRule>
  </conditionalFormatting>
  <conditionalFormatting sqref="P84:P91">
    <cfRule type="cellIs" dxfId="10754" priority="95" operator="greaterThan">
      <formula>0</formula>
    </cfRule>
  </conditionalFormatting>
  <conditionalFormatting sqref="Q84:Q91">
    <cfRule type="cellIs" dxfId="10753" priority="93" operator="lessThan">
      <formula>0</formula>
    </cfRule>
  </conditionalFormatting>
  <conditionalFormatting sqref="R84:R91">
    <cfRule type="cellIs" dxfId="10752" priority="91" operator="lessThan">
      <formula>0.8</formula>
    </cfRule>
    <cfRule type="cellIs" dxfId="10751" priority="92" operator="greaterThan">
      <formula>1</formula>
    </cfRule>
  </conditionalFormatting>
  <conditionalFormatting sqref="R84:R91">
    <cfRule type="cellIs" dxfId="10750" priority="89" operator="greaterThan">
      <formula>1</formula>
    </cfRule>
    <cfRule type="cellIs" dxfId="10749" priority="90" operator="lessThan">
      <formula>0.8</formula>
    </cfRule>
  </conditionalFormatting>
  <conditionalFormatting sqref="P84:P91">
    <cfRule type="cellIs" dxfId="10748" priority="88" operator="greaterThan">
      <formula>0</formula>
    </cfRule>
  </conditionalFormatting>
  <conditionalFormatting sqref="Q84:Q91">
    <cfRule type="cellIs" dxfId="10747" priority="87" operator="lessThan">
      <formula>0</formula>
    </cfRule>
  </conditionalFormatting>
  <conditionalFormatting sqref="R84:R91">
    <cfRule type="cellIs" dxfId="10746" priority="85" operator="lessThan">
      <formula>0.8</formula>
    </cfRule>
    <cfRule type="cellIs" dxfId="10745" priority="86" operator="greaterThan">
      <formula>1</formula>
    </cfRule>
  </conditionalFormatting>
  <conditionalFormatting sqref="R84:R91">
    <cfRule type="cellIs" dxfId="10744" priority="83" operator="greaterThan">
      <formula>1</formula>
    </cfRule>
    <cfRule type="cellIs" dxfId="10743" priority="84" operator="lessThan">
      <formula>0.8</formula>
    </cfRule>
  </conditionalFormatting>
  <conditionalFormatting sqref="P84:P91">
    <cfRule type="cellIs" dxfId="10742" priority="82" operator="greaterThan">
      <formula>0</formula>
    </cfRule>
  </conditionalFormatting>
  <conditionalFormatting sqref="Q84:Q91">
    <cfRule type="cellIs" dxfId="10741" priority="81" operator="lessThan">
      <formula>0</formula>
    </cfRule>
  </conditionalFormatting>
  <conditionalFormatting sqref="R84:R91">
    <cfRule type="cellIs" dxfId="10740" priority="79" operator="lessThan">
      <formula>0.8</formula>
    </cfRule>
    <cfRule type="cellIs" dxfId="10739" priority="80" operator="greaterThan">
      <formula>1</formula>
    </cfRule>
  </conditionalFormatting>
  <conditionalFormatting sqref="R84:R91">
    <cfRule type="cellIs" dxfId="10738" priority="77" operator="greaterThan">
      <formula>1</formula>
    </cfRule>
    <cfRule type="cellIs" dxfId="10737" priority="78" operator="lessThan">
      <formula>0.8</formula>
    </cfRule>
  </conditionalFormatting>
  <conditionalFormatting sqref="P84:P91">
    <cfRule type="cellIs" dxfId="10736" priority="76" operator="greaterThan">
      <formula>0</formula>
    </cfRule>
  </conditionalFormatting>
  <conditionalFormatting sqref="Q162:Q166">
    <cfRule type="cellIs" dxfId="10735" priority="75" operator="lessThan">
      <formula>0</formula>
    </cfRule>
  </conditionalFormatting>
  <conditionalFormatting sqref="R162:R166">
    <cfRule type="cellIs" dxfId="10734" priority="73" operator="lessThan">
      <formula>0.8</formula>
    </cfRule>
    <cfRule type="cellIs" dxfId="10733" priority="74" operator="greaterThan">
      <formula>1</formula>
    </cfRule>
  </conditionalFormatting>
  <conditionalFormatting sqref="R162:R166">
    <cfRule type="cellIs" dxfId="10732" priority="71" operator="greaterThan">
      <formula>1</formula>
    </cfRule>
    <cfRule type="cellIs" dxfId="10731" priority="72" operator="lessThan">
      <formula>0.8</formula>
    </cfRule>
  </conditionalFormatting>
  <conditionalFormatting sqref="P162:P166">
    <cfRule type="cellIs" dxfId="10730" priority="70" operator="greaterThan">
      <formula>0</formula>
    </cfRule>
  </conditionalFormatting>
  <conditionalFormatting sqref="P167:P168">
    <cfRule type="cellIs" dxfId="10729" priority="64" operator="greaterThan">
      <formula>0</formula>
    </cfRule>
  </conditionalFormatting>
  <conditionalFormatting sqref="R167:R168">
    <cfRule type="cellIs" dxfId="10728" priority="67" operator="lessThan">
      <formula>0.8</formula>
    </cfRule>
    <cfRule type="cellIs" dxfId="10727" priority="68" operator="greaterThan">
      <formula>1</formula>
    </cfRule>
  </conditionalFormatting>
  <conditionalFormatting sqref="R167:R168">
    <cfRule type="cellIs" dxfId="10726" priority="65" operator="greaterThan">
      <formula>1</formula>
    </cfRule>
    <cfRule type="cellIs" dxfId="10725" priority="66" operator="lessThan">
      <formula>0.8</formula>
    </cfRule>
  </conditionalFormatting>
  <conditionalFormatting sqref="Q167:Q168">
    <cfRule type="cellIs" dxfId="10724" priority="69" operator="lessThan">
      <formula>0</formula>
    </cfRule>
  </conditionalFormatting>
  <conditionalFormatting sqref="Q161">
    <cfRule type="cellIs" dxfId="10723" priority="63" operator="lessThan">
      <formula>0</formula>
    </cfRule>
  </conditionalFormatting>
  <conditionalFormatting sqref="R161">
    <cfRule type="cellIs" dxfId="10722" priority="61" operator="lessThan">
      <formula>0.8</formula>
    </cfRule>
    <cfRule type="cellIs" dxfId="10721" priority="62" operator="greaterThan">
      <formula>1</formula>
    </cfRule>
  </conditionalFormatting>
  <conditionalFormatting sqref="R161">
    <cfRule type="cellIs" dxfId="10720" priority="59" operator="greaterThan">
      <formula>1</formula>
    </cfRule>
    <cfRule type="cellIs" dxfId="10719" priority="60" operator="lessThan">
      <formula>0.8</formula>
    </cfRule>
  </conditionalFormatting>
  <conditionalFormatting sqref="P161">
    <cfRule type="cellIs" dxfId="10718" priority="58" operator="greaterThan">
      <formula>0</formula>
    </cfRule>
  </conditionalFormatting>
  <conditionalFormatting sqref="Q162:Q166">
    <cfRule type="cellIs" dxfId="10717" priority="57" operator="lessThan">
      <formula>0</formula>
    </cfRule>
  </conditionalFormatting>
  <conditionalFormatting sqref="R162:R166">
    <cfRule type="cellIs" dxfId="10716" priority="55" operator="lessThan">
      <formula>0.8</formula>
    </cfRule>
    <cfRule type="cellIs" dxfId="10715" priority="56" operator="greaterThan">
      <formula>1</formula>
    </cfRule>
  </conditionalFormatting>
  <conditionalFormatting sqref="R162:R166">
    <cfRule type="cellIs" dxfId="10714" priority="53" operator="greaterThan">
      <formula>1</formula>
    </cfRule>
    <cfRule type="cellIs" dxfId="10713" priority="54" operator="lessThan">
      <formula>0.8</formula>
    </cfRule>
  </conditionalFormatting>
  <conditionalFormatting sqref="P162:P166">
    <cfRule type="cellIs" dxfId="10712" priority="52" operator="greaterThan">
      <formula>0</formula>
    </cfRule>
  </conditionalFormatting>
  <conditionalFormatting sqref="Q162:Q166">
    <cfRule type="cellIs" dxfId="10711" priority="51" operator="lessThan">
      <formula>0</formula>
    </cfRule>
  </conditionalFormatting>
  <conditionalFormatting sqref="R162:R166">
    <cfRule type="cellIs" dxfId="10710" priority="49" operator="lessThan">
      <formula>0.8</formula>
    </cfRule>
    <cfRule type="cellIs" dxfId="10709" priority="50" operator="greaterThan">
      <formula>1</formula>
    </cfRule>
  </conditionalFormatting>
  <conditionalFormatting sqref="R162:R166">
    <cfRule type="cellIs" dxfId="10708" priority="47" operator="greaterThan">
      <formula>1</formula>
    </cfRule>
    <cfRule type="cellIs" dxfId="10707" priority="48" operator="lessThan">
      <formula>0.8</formula>
    </cfRule>
  </conditionalFormatting>
  <conditionalFormatting sqref="P162:P166">
    <cfRule type="cellIs" dxfId="10706" priority="46" operator="greaterThan">
      <formula>0</formula>
    </cfRule>
  </conditionalFormatting>
  <conditionalFormatting sqref="Q167:Q168">
    <cfRule type="cellIs" dxfId="10705" priority="45" operator="lessThan">
      <formula>0</formula>
    </cfRule>
  </conditionalFormatting>
  <conditionalFormatting sqref="R167:R168">
    <cfRule type="cellIs" dxfId="10704" priority="43" operator="lessThan">
      <formula>0.8</formula>
    </cfRule>
    <cfRule type="cellIs" dxfId="10703" priority="44" operator="greaterThan">
      <formula>1</formula>
    </cfRule>
  </conditionalFormatting>
  <conditionalFormatting sqref="R167:R168">
    <cfRule type="cellIs" dxfId="10702" priority="41" operator="greaterThan">
      <formula>1</formula>
    </cfRule>
    <cfRule type="cellIs" dxfId="10701" priority="42" operator="lessThan">
      <formula>0.8</formula>
    </cfRule>
  </conditionalFormatting>
  <conditionalFormatting sqref="P167:P168">
    <cfRule type="cellIs" dxfId="10700" priority="40" operator="greaterThan">
      <formula>0</formula>
    </cfRule>
  </conditionalFormatting>
  <conditionalFormatting sqref="Q161">
    <cfRule type="cellIs" dxfId="10699" priority="39" operator="lessThan">
      <formula>0</formula>
    </cfRule>
  </conditionalFormatting>
  <conditionalFormatting sqref="R161">
    <cfRule type="cellIs" dxfId="10698" priority="37" operator="lessThan">
      <formula>0.8</formula>
    </cfRule>
    <cfRule type="cellIs" dxfId="10697" priority="38" operator="greaterThan">
      <formula>1</formula>
    </cfRule>
  </conditionalFormatting>
  <conditionalFormatting sqref="R161">
    <cfRule type="cellIs" dxfId="10696" priority="35" operator="greaterThan">
      <formula>1</formula>
    </cfRule>
    <cfRule type="cellIs" dxfId="10695" priority="36" operator="lessThan">
      <formula>0.8</formula>
    </cfRule>
  </conditionalFormatting>
  <conditionalFormatting sqref="P161">
    <cfRule type="cellIs" dxfId="10694" priority="34" operator="greaterThan">
      <formula>0</formula>
    </cfRule>
  </conditionalFormatting>
  <conditionalFormatting sqref="Q162:Q166">
    <cfRule type="cellIs" dxfId="10693" priority="33" operator="lessThan">
      <formula>0</formula>
    </cfRule>
  </conditionalFormatting>
  <conditionalFormatting sqref="R162:R166">
    <cfRule type="cellIs" dxfId="10692" priority="31" operator="lessThan">
      <formula>0.8</formula>
    </cfRule>
    <cfRule type="cellIs" dxfId="10691" priority="32" operator="greaterThan">
      <formula>1</formula>
    </cfRule>
  </conditionalFormatting>
  <conditionalFormatting sqref="R162:R166">
    <cfRule type="cellIs" dxfId="10690" priority="29" operator="greaterThan">
      <formula>1</formula>
    </cfRule>
    <cfRule type="cellIs" dxfId="10689" priority="30" operator="lessThan">
      <formula>0.8</formula>
    </cfRule>
  </conditionalFormatting>
  <conditionalFormatting sqref="P162:P166">
    <cfRule type="cellIs" dxfId="10688" priority="28" operator="greaterThan">
      <formula>0</formula>
    </cfRule>
  </conditionalFormatting>
  <conditionalFormatting sqref="Q161">
    <cfRule type="cellIs" dxfId="10687" priority="27" operator="lessThan">
      <formula>0</formula>
    </cfRule>
  </conditionalFormatting>
  <conditionalFormatting sqref="R161">
    <cfRule type="cellIs" dxfId="10686" priority="25" operator="lessThan">
      <formula>0.8</formula>
    </cfRule>
    <cfRule type="cellIs" dxfId="10685" priority="26" operator="greaterThan">
      <formula>1</formula>
    </cfRule>
  </conditionalFormatting>
  <conditionalFormatting sqref="R161">
    <cfRule type="cellIs" dxfId="10684" priority="23" operator="greaterThan">
      <formula>1</formula>
    </cfRule>
    <cfRule type="cellIs" dxfId="10683" priority="24" operator="lessThan">
      <formula>0.8</formula>
    </cfRule>
  </conditionalFormatting>
  <conditionalFormatting sqref="P161">
    <cfRule type="cellIs" dxfId="10682" priority="22" operator="greaterThan">
      <formula>0</formula>
    </cfRule>
  </conditionalFormatting>
  <conditionalFormatting sqref="Q162:Q166">
    <cfRule type="cellIs" dxfId="10681" priority="21" operator="lessThan">
      <formula>0</formula>
    </cfRule>
  </conditionalFormatting>
  <conditionalFormatting sqref="R162:R166">
    <cfRule type="cellIs" dxfId="10680" priority="19" operator="lessThan">
      <formula>0.8</formula>
    </cfRule>
    <cfRule type="cellIs" dxfId="10679" priority="20" operator="greaterThan">
      <formula>1</formula>
    </cfRule>
  </conditionalFormatting>
  <conditionalFormatting sqref="R162:R166">
    <cfRule type="cellIs" dxfId="10678" priority="17" operator="greaterThan">
      <formula>1</formula>
    </cfRule>
    <cfRule type="cellIs" dxfId="10677" priority="18" operator="lessThan">
      <formula>0.8</formula>
    </cfRule>
  </conditionalFormatting>
  <conditionalFormatting sqref="P162:P166">
    <cfRule type="cellIs" dxfId="10676" priority="16" operator="greaterThan">
      <formula>0</formula>
    </cfRule>
  </conditionalFormatting>
  <conditionalFormatting sqref="Q161">
    <cfRule type="cellIs" dxfId="10675" priority="15" operator="lessThan">
      <formula>0</formula>
    </cfRule>
  </conditionalFormatting>
  <conditionalFormatting sqref="R161">
    <cfRule type="cellIs" dxfId="10674" priority="13" operator="lessThan">
      <formula>0.8</formula>
    </cfRule>
    <cfRule type="cellIs" dxfId="10673" priority="14" operator="greaterThan">
      <formula>1</formula>
    </cfRule>
  </conditionalFormatting>
  <conditionalFormatting sqref="R161">
    <cfRule type="cellIs" dxfId="10672" priority="11" operator="greaterThan">
      <formula>1</formula>
    </cfRule>
    <cfRule type="cellIs" dxfId="10671" priority="12" operator="lessThan">
      <formula>0.8</formula>
    </cfRule>
  </conditionalFormatting>
  <conditionalFormatting sqref="P161">
    <cfRule type="cellIs" dxfId="10670" priority="10" operator="greaterThan">
      <formula>0</formula>
    </cfRule>
  </conditionalFormatting>
  <conditionalFormatting sqref="P167:P168">
    <cfRule type="cellIs" dxfId="10669" priority="4" operator="greaterThan">
      <formula>0</formula>
    </cfRule>
  </conditionalFormatting>
  <conditionalFormatting sqref="R167:R168">
    <cfRule type="cellIs" dxfId="10668" priority="7" operator="lessThan">
      <formula>0.8</formula>
    </cfRule>
    <cfRule type="cellIs" dxfId="10667" priority="8" operator="greaterThan">
      <formula>1</formula>
    </cfRule>
  </conditionalFormatting>
  <conditionalFormatting sqref="R167:R168">
    <cfRule type="cellIs" dxfId="10666" priority="5" operator="greaterThan">
      <formula>1</formula>
    </cfRule>
    <cfRule type="cellIs" dxfId="10665" priority="6" operator="lessThan">
      <formula>0.8</formula>
    </cfRule>
  </conditionalFormatting>
  <conditionalFormatting sqref="Q167:Q168">
    <cfRule type="cellIs" dxfId="10664" priority="9" operator="lessThan">
      <formula>0</formula>
    </cfRule>
  </conditionalFormatting>
  <conditionalFormatting sqref="AF30">
    <cfRule type="cellIs" dxfId="10663" priority="3" operator="lessThan">
      <formula>0</formula>
    </cfRule>
  </conditionalFormatting>
  <conditionalFormatting sqref="AG30">
    <cfRule type="cellIs" dxfId="10662" priority="1" operator="greaterThan">
      <formula>1</formula>
    </cfRule>
    <cfRule type="cellIs" dxfId="10661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10" zoomScale="40" zoomScaleNormal="40" workbookViewId="0">
      <selection activeCell="P38" sqref="P38"/>
    </sheetView>
  </sheetViews>
  <sheetFormatPr defaultColWidth="8.125" defaultRowHeight="15.75"/>
  <cols>
    <col min="1" max="1" width="8.125" style="2"/>
    <col min="2" max="2" width="7.125" style="2" customWidth="1"/>
    <col min="3" max="3" width="7.125" style="61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27" t="s">
        <v>0</v>
      </c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9"/>
      <c r="N1" s="1"/>
      <c r="O1" s="1"/>
    </row>
    <row r="2" spans="2:17" ht="27.75" customHeight="1">
      <c r="B2" s="527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9"/>
      <c r="N2" s="1"/>
      <c r="O2" s="1"/>
    </row>
    <row r="3" spans="2:17" ht="46.5" customHeight="1">
      <c r="B3" s="521" t="s">
        <v>1</v>
      </c>
      <c r="C3" s="522"/>
      <c r="D3" s="530" t="s">
        <v>384</v>
      </c>
      <c r="E3" s="531"/>
      <c r="F3" s="521" t="s">
        <v>2</v>
      </c>
      <c r="G3" s="522"/>
      <c r="H3" s="532">
        <v>207756.1</v>
      </c>
      <c r="I3" s="533"/>
      <c r="J3" s="521" t="s">
        <v>3</v>
      </c>
      <c r="K3" s="522"/>
      <c r="L3" s="534">
        <v>6790546.3467329005</v>
      </c>
      <c r="M3" s="535"/>
      <c r="N3" s="3"/>
    </row>
    <row r="4" spans="2:17" ht="24" customHeight="1">
      <c r="B4" s="521" t="s">
        <v>4</v>
      </c>
      <c r="C4" s="522"/>
      <c r="D4" s="513" t="s">
        <v>5</v>
      </c>
      <c r="E4" s="514"/>
      <c r="F4" s="525" t="s">
        <v>6</v>
      </c>
      <c r="G4" s="526"/>
      <c r="H4" s="525" t="s">
        <v>7</v>
      </c>
      <c r="I4" s="526"/>
      <c r="J4" s="525" t="s">
        <v>8</v>
      </c>
      <c r="K4" s="526"/>
      <c r="L4" s="525" t="s">
        <v>9</v>
      </c>
      <c r="M4" s="526"/>
      <c r="N4" s="505" t="s">
        <v>10</v>
      </c>
      <c r="O4" s="506"/>
      <c r="P4" s="506" t="s">
        <v>11</v>
      </c>
      <c r="Q4" s="506"/>
    </row>
    <row r="5" spans="2:17" ht="24" customHeight="1">
      <c r="B5" s="507" t="s">
        <v>12</v>
      </c>
      <c r="C5" s="508"/>
      <c r="D5" s="513" t="s">
        <v>13</v>
      </c>
      <c r="E5" s="514"/>
      <c r="F5" s="513" t="s">
        <v>14</v>
      </c>
      <c r="G5" s="514"/>
      <c r="H5" s="515" t="s">
        <v>15</v>
      </c>
      <c r="I5" s="516"/>
      <c r="J5" s="517" t="s">
        <v>16</v>
      </c>
      <c r="K5" s="518"/>
      <c r="L5" s="519" t="s">
        <v>17</v>
      </c>
      <c r="M5" s="520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509"/>
      <c r="C6" s="510"/>
      <c r="D6" s="521" t="s">
        <v>21</v>
      </c>
      <c r="E6" s="522"/>
      <c r="F6" s="523">
        <f>AVERAGE(D13:O13,P13:Q13,D30:F30,H30,J30:L30)</f>
        <v>359.49771910123803</v>
      </c>
      <c r="G6" s="524"/>
      <c r="H6" s="499">
        <f>AVERAGE(D13:P13,Q13)</f>
        <v>146.74657865185705</v>
      </c>
      <c r="I6" s="500"/>
      <c r="J6" s="499">
        <f>AVERAGE(D30:F30,H30)</f>
        <v>717.5</v>
      </c>
      <c r="K6" s="500"/>
      <c r="L6" s="501">
        <f>AVERAGE(J30:L30)</f>
        <v>875</v>
      </c>
      <c r="M6" s="502"/>
      <c r="N6" s="503">
        <v>0</v>
      </c>
      <c r="O6" s="488">
        <v>0</v>
      </c>
      <c r="P6" s="504">
        <v>4</v>
      </c>
      <c r="Q6" s="488">
        <v>3</v>
      </c>
    </row>
    <row r="7" spans="2:17" s="6" customFormat="1" ht="39.6" customHeight="1">
      <c r="B7" s="509"/>
      <c r="C7" s="510"/>
      <c r="D7" s="489" t="s">
        <v>22</v>
      </c>
      <c r="E7" s="490"/>
      <c r="F7" s="491">
        <f>AVERAGE(D14:O14,P14:Q14,D31:F31,J31:L31,H31)</f>
        <v>321.85998951858892</v>
      </c>
      <c r="G7" s="492"/>
      <c r="H7" s="493">
        <f>AVERAGE(D14:P14,Q14)</f>
        <v>129.43470665749172</v>
      </c>
      <c r="I7" s="494"/>
      <c r="J7" s="493">
        <f>AVERAGE(D31:F31,H31)</f>
        <v>722.20131281207227</v>
      </c>
      <c r="K7" s="494"/>
      <c r="L7" s="495">
        <f>AVERAGE(J31:L31)</f>
        <v>686.05621181239803</v>
      </c>
      <c r="M7" s="496"/>
      <c r="N7" s="503"/>
      <c r="O7" s="488"/>
      <c r="P7" s="504"/>
      <c r="Q7" s="488"/>
    </row>
    <row r="8" spans="2:17" s="6" customFormat="1" ht="39.6" customHeight="1">
      <c r="B8" s="511"/>
      <c r="C8" s="512"/>
      <c r="D8" s="489" t="s">
        <v>23</v>
      </c>
      <c r="E8" s="490"/>
      <c r="F8" s="497">
        <f>AVERAGE(D15:O15,P15:Q15,D32:F32,H32,J32:K32,L32)</f>
        <v>0.88702082243476055</v>
      </c>
      <c r="G8" s="498"/>
      <c r="H8" s="497">
        <f>AVERAGE(D15:O15,P15:Q15)</f>
        <v>0.87988358774193609</v>
      </c>
      <c r="I8" s="498"/>
      <c r="J8" s="497">
        <f>AVERAGE(D32:F32,H32)</f>
        <v>0.98660997719650623</v>
      </c>
      <c r="K8" s="498"/>
      <c r="L8" s="497">
        <f>AVERAGE(J32:L32)</f>
        <v>0.78754237798561511</v>
      </c>
      <c r="M8" s="498"/>
      <c r="N8" s="503"/>
      <c r="O8" s="488"/>
      <c r="P8" s="504"/>
      <c r="Q8" s="48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462" t="s">
        <v>24</v>
      </c>
      <c r="C10" s="484"/>
      <c r="D10" s="485" t="s">
        <v>25</v>
      </c>
      <c r="E10" s="486"/>
      <c r="F10" s="486"/>
      <c r="G10" s="486"/>
      <c r="H10" s="486"/>
      <c r="I10" s="486"/>
      <c r="J10" s="486"/>
      <c r="K10" s="486"/>
      <c r="L10" s="486"/>
      <c r="M10" s="486"/>
      <c r="N10" s="486"/>
      <c r="O10" s="486"/>
      <c r="P10" s="486"/>
      <c r="Q10" s="487"/>
    </row>
    <row r="11" spans="2:17" ht="17.25" customHeight="1">
      <c r="B11" s="470" t="s">
        <v>26</v>
      </c>
      <c r="C11" s="47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50000000000003" customHeight="1">
      <c r="B12" s="472"/>
      <c r="C12" s="473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50000000000003" customHeight="1">
      <c r="B13" s="474" t="s">
        <v>41</v>
      </c>
      <c r="C13" s="14" t="s">
        <v>42</v>
      </c>
      <c r="D13" s="15">
        <v>113.66541353383458</v>
      </c>
      <c r="E13" s="15">
        <v>95.647992530345476</v>
      </c>
      <c r="F13" s="15">
        <v>138.53182636077375</v>
      </c>
      <c r="G13" s="15">
        <v>257.5555555555556</v>
      </c>
      <c r="H13" s="15">
        <v>250</v>
      </c>
      <c r="I13" s="15">
        <v>123.42857142857142</v>
      </c>
      <c r="J13" s="15">
        <v>72.791228070175436</v>
      </c>
      <c r="K13" s="15">
        <v>323.59375</v>
      </c>
      <c r="L13" s="15">
        <v>83.029265873015873</v>
      </c>
      <c r="M13" s="15">
        <v>82.46974574917688</v>
      </c>
      <c r="N13" s="15">
        <v>84.656346749226003</v>
      </c>
      <c r="O13" s="15">
        <v>83.557929750847705</v>
      </c>
      <c r="P13" s="15">
        <v>195.52447552447552</v>
      </c>
      <c r="Q13" s="16">
        <v>150</v>
      </c>
    </row>
    <row r="14" spans="2:17" ht="39.950000000000003" customHeight="1">
      <c r="B14" s="475"/>
      <c r="C14" s="14" t="s">
        <v>43</v>
      </c>
      <c r="D14" s="15">
        <v>102.46430441335806</v>
      </c>
      <c r="E14" s="15">
        <v>79.230604376517604</v>
      </c>
      <c r="F14" s="15">
        <v>128.53629336539313</v>
      </c>
      <c r="G14" s="15">
        <v>222.26126419169097</v>
      </c>
      <c r="H14" s="15">
        <v>208.12949243726862</v>
      </c>
      <c r="I14" s="15">
        <v>107.01789790168107</v>
      </c>
      <c r="J14" s="15">
        <v>60.674730958456891</v>
      </c>
      <c r="K14" s="15">
        <v>277.75525754297394</v>
      </c>
      <c r="L14" s="15">
        <v>71.968688298675389</v>
      </c>
      <c r="M14" s="15">
        <v>67.279296577709104</v>
      </c>
      <c r="N14" s="15">
        <v>74.282117506279263</v>
      </c>
      <c r="O14" s="15">
        <v>74.988170784384536</v>
      </c>
      <c r="P14" s="15">
        <v>194.02931201703251</v>
      </c>
      <c r="Q14" s="16">
        <v>143.46846283346301</v>
      </c>
    </row>
    <row r="15" spans="2:17" ht="39.950000000000003" customHeight="1">
      <c r="B15" s="476"/>
      <c r="C15" s="10" t="s">
        <v>44</v>
      </c>
      <c r="D15" s="17">
        <f t="shared" ref="D15:P15" si="0">D14/D13</f>
        <v>0.90145543158436403</v>
      </c>
      <c r="E15" s="17">
        <f t="shared" si="0"/>
        <v>0.82835616598415007</v>
      </c>
      <c r="F15" s="17">
        <f t="shared" si="0"/>
        <v>0.92784666702256857</v>
      </c>
      <c r="G15" s="17">
        <f t="shared" si="0"/>
        <v>0.86296435622313128</v>
      </c>
      <c r="H15" s="17">
        <f t="shared" si="0"/>
        <v>0.83251796974907455</v>
      </c>
      <c r="I15" s="17">
        <f t="shared" si="0"/>
        <v>0.8670431542960273</v>
      </c>
      <c r="J15" s="17">
        <f t="shared" si="0"/>
        <v>0.83354454330626959</v>
      </c>
      <c r="K15" s="17">
        <f t="shared" si="0"/>
        <v>0.85834555686867853</v>
      </c>
      <c r="L15" s="17">
        <f t="shared" si="0"/>
        <v>0.86678700024571553</v>
      </c>
      <c r="M15" s="17">
        <f t="shared" si="0"/>
        <v>0.81580579601072201</v>
      </c>
      <c r="N15" s="17">
        <f t="shared" si="0"/>
        <v>0.87745479646460656</v>
      </c>
      <c r="O15" s="17">
        <f t="shared" si="0"/>
        <v>0.89743930956623263</v>
      </c>
      <c r="P15" s="17">
        <f t="shared" si="0"/>
        <v>0.9923530621758101</v>
      </c>
      <c r="Q15" s="18">
        <f>Q14/Q13</f>
        <v>0.95645641888975341</v>
      </c>
    </row>
    <row r="16" spans="2:17" ht="22.9" customHeight="1">
      <c r="B16" s="477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9" customHeight="1">
      <c r="B17" s="478"/>
      <c r="C17" s="10" t="s">
        <v>47</v>
      </c>
      <c r="D17" s="19">
        <v>0.62638888888888888</v>
      </c>
      <c r="E17" s="19">
        <v>0.53402777777777766</v>
      </c>
      <c r="F17" s="19">
        <v>0.51458333333333339</v>
      </c>
      <c r="G17" s="19">
        <v>0.48888888888888882</v>
      </c>
      <c r="H17" s="19">
        <v>0.6381944444444444</v>
      </c>
      <c r="I17" s="19">
        <v>0.63958333333333328</v>
      </c>
      <c r="J17" s="19">
        <v>0.79930555555555549</v>
      </c>
      <c r="K17" s="19">
        <v>0.56249999999999989</v>
      </c>
      <c r="L17" s="19">
        <v>0.83125000000000004</v>
      </c>
      <c r="M17" s="19">
        <v>0.96874999999999989</v>
      </c>
      <c r="N17" s="19">
        <v>0.99583333333333335</v>
      </c>
      <c r="O17" s="19">
        <v>0.87569444444444444</v>
      </c>
      <c r="P17" s="19">
        <v>0.62361111111111101</v>
      </c>
      <c r="Q17" s="20">
        <v>0.59027777777777779</v>
      </c>
    </row>
    <row r="18" spans="2:17" ht="22.9" customHeight="1">
      <c r="B18" s="479" t="s">
        <v>48</v>
      </c>
      <c r="C18" s="480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9" customHeight="1">
      <c r="B19" s="481"/>
      <c r="C19" s="482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9" customHeight="1">
      <c r="B20" s="479" t="s">
        <v>50</v>
      </c>
      <c r="C20" s="480"/>
      <c r="D20" s="21">
        <v>1</v>
      </c>
      <c r="E20" s="21" t="s">
        <v>49</v>
      </c>
      <c r="F20" s="21" t="s">
        <v>49</v>
      </c>
      <c r="G20" s="21">
        <v>1</v>
      </c>
      <c r="H20" s="21">
        <v>1</v>
      </c>
      <c r="I20" s="21" t="s">
        <v>49</v>
      </c>
      <c r="J20" s="21">
        <v>1</v>
      </c>
      <c r="K20" s="21" t="s">
        <v>49</v>
      </c>
      <c r="L20" s="21" t="s">
        <v>49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9" customHeight="1">
      <c r="B21" s="481"/>
      <c r="C21" s="482"/>
      <c r="D21" s="21" t="s">
        <v>49</v>
      </c>
      <c r="E21" s="21" t="s">
        <v>49</v>
      </c>
      <c r="F21" s="21" t="s">
        <v>49</v>
      </c>
      <c r="G21" s="21">
        <v>1</v>
      </c>
      <c r="H21" s="21">
        <v>1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>
        <v>1</v>
      </c>
      <c r="P21" s="21" t="s">
        <v>49</v>
      </c>
      <c r="Q21" s="22"/>
    </row>
    <row r="22" spans="2:17" ht="22.9" customHeight="1">
      <c r="B22" s="458" t="s">
        <v>51</v>
      </c>
      <c r="C22" s="459"/>
      <c r="D22" s="23">
        <v>18.428571428571427</v>
      </c>
      <c r="E22" s="23">
        <v>17.857142857142858</v>
      </c>
      <c r="F22" s="23">
        <v>14.833333333333334</v>
      </c>
      <c r="G22" s="23">
        <v>6.333333333333333</v>
      </c>
      <c r="H22" s="23">
        <v>6.75</v>
      </c>
      <c r="I22" s="23">
        <v>13.8</v>
      </c>
      <c r="J22" s="23">
        <v>18.8</v>
      </c>
      <c r="K22" s="23">
        <v>8.6666666666666661</v>
      </c>
      <c r="L22" s="23">
        <v>17.375</v>
      </c>
      <c r="M22" s="23">
        <v>18.3</v>
      </c>
      <c r="N22" s="23">
        <v>17.571428571428573</v>
      </c>
      <c r="O22" s="23">
        <v>17.399999999999999</v>
      </c>
      <c r="P22" s="23">
        <v>11.6</v>
      </c>
      <c r="Q22" s="24">
        <v>10.8</v>
      </c>
    </row>
    <row r="23" spans="2:17" ht="22.9" customHeight="1">
      <c r="B23" s="458" t="s">
        <v>52</v>
      </c>
      <c r="C23" s="459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9" customHeight="1">
      <c r="B24" s="458" t="s">
        <v>58</v>
      </c>
      <c r="C24" s="459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9" customHeight="1" thickBot="1">
      <c r="B25" s="460" t="s">
        <v>59</v>
      </c>
      <c r="C25" s="461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5" thickBot="1">
      <c r="B26" s="483"/>
      <c r="C26" s="483"/>
    </row>
    <row r="27" spans="2:17" ht="30" customHeight="1" thickBot="1">
      <c r="B27" s="462" t="s">
        <v>24</v>
      </c>
      <c r="C27" s="463"/>
      <c r="D27" s="464" t="s">
        <v>64</v>
      </c>
      <c r="E27" s="465"/>
      <c r="F27" s="465"/>
      <c r="G27" s="465"/>
      <c r="H27" s="466"/>
      <c r="I27" s="467" t="s">
        <v>65</v>
      </c>
      <c r="J27" s="468"/>
      <c r="K27" s="468"/>
      <c r="L27" s="468"/>
      <c r="M27" s="469"/>
    </row>
    <row r="28" spans="2:17" ht="17.25" customHeight="1">
      <c r="B28" s="470" t="s">
        <v>26</v>
      </c>
      <c r="C28" s="471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472"/>
      <c r="C29" s="473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50000000000003" customHeight="1">
      <c r="B30" s="474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50000000000003" customHeight="1">
      <c r="B31" s="475"/>
      <c r="C31" s="34" t="s">
        <v>43</v>
      </c>
      <c r="D31" s="15">
        <v>284.41269841269849</v>
      </c>
      <c r="E31" s="15">
        <v>778.91619318181904</v>
      </c>
      <c r="F31" s="15">
        <v>843.50296546546576</v>
      </c>
      <c r="G31" s="15">
        <v>0</v>
      </c>
      <c r="H31" s="41">
        <v>981.97339418830597</v>
      </c>
      <c r="I31" s="42">
        <v>0</v>
      </c>
      <c r="J31" s="15">
        <v>750.15363636363486</v>
      </c>
      <c r="K31" s="15">
        <v>650.70000000000005</v>
      </c>
      <c r="L31" s="15">
        <v>657.31499907355919</v>
      </c>
      <c r="M31" s="16">
        <v>857.75000000000034</v>
      </c>
    </row>
    <row r="32" spans="2:17" ht="39.950000000000003" customHeight="1">
      <c r="B32" s="476"/>
      <c r="C32" s="43" t="s">
        <v>44</v>
      </c>
      <c r="D32" s="17">
        <f t="shared" ref="D32:M32" si="1">D31/D30</f>
        <v>0.88878968253968282</v>
      </c>
      <c r="E32" s="17">
        <f t="shared" si="1"/>
        <v>0.94414084022038669</v>
      </c>
      <c r="F32" s="17">
        <f t="shared" si="1"/>
        <v>1.0224278369278372</v>
      </c>
      <c r="G32" s="17">
        <f t="shared" si="1"/>
        <v>0</v>
      </c>
      <c r="H32" s="44">
        <f t="shared" si="1"/>
        <v>1.0910815490981178</v>
      </c>
      <c r="I32" s="45">
        <f t="shared" si="1"/>
        <v>0</v>
      </c>
      <c r="J32" s="17">
        <f t="shared" si="1"/>
        <v>0.90927713498622409</v>
      </c>
      <c r="K32" s="17">
        <f t="shared" si="1"/>
        <v>0.72300000000000009</v>
      </c>
      <c r="L32" s="17">
        <f t="shared" si="1"/>
        <v>0.73034999897062136</v>
      </c>
      <c r="M32" s="18">
        <f t="shared" si="1"/>
        <v>0.95305555555555599</v>
      </c>
    </row>
    <row r="33" spans="2:13" ht="25.9" customHeight="1">
      <c r="B33" s="477" t="s">
        <v>45</v>
      </c>
      <c r="C33" s="43" t="s">
        <v>46</v>
      </c>
      <c r="D33" s="19">
        <v>0.17361111111111113</v>
      </c>
      <c r="E33" s="19">
        <v>0.17361111111111113</v>
      </c>
      <c r="F33" s="19">
        <v>0.18055555555555555</v>
      </c>
      <c r="G33" s="19">
        <v>0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9" customHeight="1">
      <c r="B34" s="478"/>
      <c r="C34" s="43" t="s">
        <v>47</v>
      </c>
      <c r="D34" s="19">
        <v>0.21944444444444444</v>
      </c>
      <c r="E34" s="19">
        <v>0.35902777777777778</v>
      </c>
      <c r="F34" s="19">
        <v>0.3527777777777778</v>
      </c>
      <c r="G34" s="19">
        <v>0</v>
      </c>
      <c r="H34" s="46">
        <v>0.45069444444444445</v>
      </c>
      <c r="I34" s="47">
        <v>0</v>
      </c>
      <c r="J34" s="19">
        <v>0.98958333333333337</v>
      </c>
      <c r="K34" s="19">
        <v>0.79166666666666663</v>
      </c>
      <c r="L34" s="19">
        <v>0.92708333333333337</v>
      </c>
      <c r="M34" s="20">
        <v>0.76388888888888884</v>
      </c>
    </row>
    <row r="35" spans="2:13" ht="25.9" customHeight="1">
      <c r="B35" s="458" t="s">
        <v>51</v>
      </c>
      <c r="C35" s="459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9" customHeight="1">
      <c r="B36" s="458" t="s">
        <v>52</v>
      </c>
      <c r="C36" s="459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9" customHeight="1">
      <c r="B37" s="458" t="s">
        <v>58</v>
      </c>
      <c r="C37" s="459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9" customHeight="1" thickBot="1">
      <c r="B38" s="460" t="s">
        <v>59</v>
      </c>
      <c r="C38" s="461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4" type="noConversion"/>
  <conditionalFormatting sqref="D32 F32:J32 L32">
    <cfRule type="cellIs" dxfId="10660" priority="6" operator="lessThan">
      <formula>0.8</formula>
    </cfRule>
  </conditionalFormatting>
  <conditionalFormatting sqref="M32">
    <cfRule type="cellIs" dxfId="10659" priority="5" operator="lessThan">
      <formula>0.8</formula>
    </cfRule>
  </conditionalFormatting>
  <conditionalFormatting sqref="K32">
    <cfRule type="cellIs" dxfId="10658" priority="4" operator="lessThan">
      <formula>0.8</formula>
    </cfRule>
  </conditionalFormatting>
  <conditionalFormatting sqref="E32">
    <cfRule type="cellIs" dxfId="10657" priority="3" operator="lessThan">
      <formula>0.8</formula>
    </cfRule>
  </conditionalFormatting>
  <conditionalFormatting sqref="D15:P15">
    <cfRule type="cellIs" dxfId="10656" priority="2" operator="lessThan">
      <formula>0.8</formula>
    </cfRule>
  </conditionalFormatting>
  <conditionalFormatting sqref="Q15">
    <cfRule type="cellIs" dxfId="10655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25" zoomScale="85" zoomScaleNormal="85" workbookViewId="0">
      <selection activeCell="F42" sqref="F42"/>
    </sheetView>
  </sheetViews>
  <sheetFormatPr defaultColWidth="7.875" defaultRowHeight="15.75"/>
  <cols>
    <col min="1" max="1" width="13.625" style="371" customWidth="1"/>
    <col min="2" max="2" width="12.75" style="371" customWidth="1"/>
    <col min="3" max="3" width="12.75" style="457" hidden="1" customWidth="1"/>
    <col min="4" max="5" width="18.375" style="371" customWidth="1"/>
    <col min="6" max="6" width="9.75" style="455" customWidth="1"/>
    <col min="7" max="7" width="21.125" style="371" bestFit="1" customWidth="1"/>
    <col min="8" max="8" width="15.625" style="371" customWidth="1"/>
    <col min="9" max="9" width="12.25" style="371" bestFit="1" customWidth="1"/>
    <col min="10" max="15" width="9.75" style="371" customWidth="1"/>
    <col min="16" max="16" width="9.75" style="456" customWidth="1"/>
    <col min="17" max="18" width="9.75" style="371" customWidth="1"/>
    <col min="19" max="16384" width="7.875" style="371"/>
  </cols>
  <sheetData>
    <row r="1" spans="1:18" ht="26.25" customHeight="1">
      <c r="A1" s="362" t="s">
        <v>360</v>
      </c>
      <c r="B1" s="363"/>
      <c r="C1" s="364"/>
      <c r="D1" s="365" t="s">
        <v>82</v>
      </c>
      <c r="E1" s="366">
        <f>SUM(G5:G124)</f>
        <v>73306</v>
      </c>
      <c r="F1" s="367" t="s">
        <v>3</v>
      </c>
      <c r="G1" s="368">
        <f>SUM(H5:H124)</f>
        <v>1437472.1928551355</v>
      </c>
      <c r="H1" s="369" t="s">
        <v>361</v>
      </c>
      <c r="I1" s="370">
        <f>+J16+J64+J24+J38+J51+J81+J100+J91+J57+J124+J111</f>
        <v>37.550000000000004</v>
      </c>
      <c r="J1" s="584" t="s">
        <v>362</v>
      </c>
      <c r="K1" s="585"/>
      <c r="L1" s="586"/>
      <c r="M1" s="584" t="s">
        <v>87</v>
      </c>
      <c r="N1" s="585"/>
      <c r="O1" s="585"/>
      <c r="P1" s="585"/>
      <c r="Q1" s="585"/>
      <c r="R1" s="586"/>
    </row>
    <row r="2" spans="1:18" ht="26.25" customHeight="1" thickBot="1">
      <c r="A2" s="590" t="s">
        <v>378</v>
      </c>
      <c r="B2" s="591"/>
      <c r="C2" s="372"/>
      <c r="D2" s="373" t="s">
        <v>41</v>
      </c>
      <c r="E2" s="374">
        <f>AVERAGE(L16,L24,L38,L51,L100,L111,L91)</f>
        <v>586.92413647580577</v>
      </c>
      <c r="F2" s="375" t="s">
        <v>94</v>
      </c>
      <c r="G2" s="376">
        <f>G1/E1</f>
        <v>19.609202423473324</v>
      </c>
      <c r="H2" s="377" t="s">
        <v>364</v>
      </c>
      <c r="I2" s="378">
        <f>COUNT(I5:I124)</f>
        <v>0</v>
      </c>
      <c r="J2" s="587"/>
      <c r="K2" s="588"/>
      <c r="L2" s="589"/>
      <c r="M2" s="587"/>
      <c r="N2" s="588"/>
      <c r="O2" s="588"/>
      <c r="P2" s="588"/>
      <c r="Q2" s="588"/>
      <c r="R2" s="589"/>
    </row>
    <row r="3" spans="1:18" ht="23.25" customHeight="1">
      <c r="A3" s="592" t="s">
        <v>96</v>
      </c>
      <c r="B3" s="594" t="s">
        <v>365</v>
      </c>
      <c r="C3" s="379"/>
      <c r="D3" s="595" t="s">
        <v>98</v>
      </c>
      <c r="E3" s="595"/>
      <c r="F3" s="596" t="s">
        <v>99</v>
      </c>
      <c r="G3" s="597" t="s">
        <v>366</v>
      </c>
      <c r="H3" s="598" t="s">
        <v>367</v>
      </c>
      <c r="I3" s="599" t="s">
        <v>102</v>
      </c>
      <c r="J3" s="567" t="s">
        <v>106</v>
      </c>
      <c r="K3" s="577" t="s">
        <v>105</v>
      </c>
      <c r="L3" s="579" t="s">
        <v>41</v>
      </c>
      <c r="M3" s="581" t="s">
        <v>109</v>
      </c>
      <c r="N3" s="581"/>
      <c r="O3" s="567" t="s">
        <v>301</v>
      </c>
      <c r="P3" s="582" t="s">
        <v>111</v>
      </c>
      <c r="Q3" s="567" t="s">
        <v>112</v>
      </c>
      <c r="R3" s="567"/>
    </row>
    <row r="4" spans="1:18" ht="15.75" customHeight="1">
      <c r="A4" s="593"/>
      <c r="B4" s="594"/>
      <c r="C4" s="379"/>
      <c r="D4" s="595"/>
      <c r="E4" s="595"/>
      <c r="F4" s="596"/>
      <c r="G4" s="597"/>
      <c r="H4" s="598"/>
      <c r="I4" s="600"/>
      <c r="J4" s="576"/>
      <c r="K4" s="578"/>
      <c r="L4" s="580"/>
      <c r="M4" s="381" t="s">
        <v>116</v>
      </c>
      <c r="N4" s="381" t="s">
        <v>117</v>
      </c>
      <c r="O4" s="576"/>
      <c r="P4" s="583"/>
      <c r="Q4" s="382" t="s">
        <v>118</v>
      </c>
      <c r="R4" s="382" t="s">
        <v>368</v>
      </c>
    </row>
    <row r="5" spans="1:18">
      <c r="A5" s="568" t="s">
        <v>369</v>
      </c>
      <c r="B5" s="383" t="s">
        <v>389</v>
      </c>
      <c r="C5" s="383"/>
      <c r="D5" s="384" t="s">
        <v>370</v>
      </c>
      <c r="E5" s="384"/>
      <c r="F5" s="385">
        <v>29.965493443754308</v>
      </c>
      <c r="G5" s="379">
        <v>1895</v>
      </c>
      <c r="H5" s="386">
        <f>F5*G5</f>
        <v>56784.610075914417</v>
      </c>
      <c r="I5" s="387"/>
      <c r="J5" s="388">
        <v>13</v>
      </c>
      <c r="K5" s="389">
        <f t="shared" ref="K5:K12" si="0">G5/P5*60</f>
        <v>1263.3333333333335</v>
      </c>
      <c r="L5" s="390">
        <f t="shared" ref="L5:L12" si="1">K5/J5</f>
        <v>97.179487179487197</v>
      </c>
      <c r="M5" s="391">
        <v>0.17361111111111113</v>
      </c>
      <c r="N5" s="391">
        <v>0.23611111111111113</v>
      </c>
      <c r="O5" s="382">
        <v>10</v>
      </c>
      <c r="P5" s="392">
        <f t="shared" ref="P5:P80" si="2">(N5-M5)*24*60</f>
        <v>90</v>
      </c>
      <c r="Q5" s="393"/>
      <c r="R5" s="393"/>
    </row>
    <row r="6" spans="1:18">
      <c r="A6" s="568"/>
      <c r="B6" s="383">
        <v>0</v>
      </c>
      <c r="C6" s="383"/>
      <c r="D6" s="384" t="s">
        <v>371</v>
      </c>
      <c r="E6" s="384"/>
      <c r="F6" s="385" t="s">
        <v>391</v>
      </c>
      <c r="G6" s="379">
        <v>1164</v>
      </c>
      <c r="H6" s="386">
        <f t="shared" ref="H6:H113" si="3">F6*G6</f>
        <v>0</v>
      </c>
      <c r="I6" s="387"/>
      <c r="J6" s="388">
        <v>9</v>
      </c>
      <c r="K6" s="389">
        <f t="shared" si="0"/>
        <v>1552.0000000000016</v>
      </c>
      <c r="L6" s="390">
        <f t="shared" si="1"/>
        <v>172.44444444444463</v>
      </c>
      <c r="M6" s="391">
        <v>0.23958333333333334</v>
      </c>
      <c r="N6" s="391">
        <v>0.27083333333333331</v>
      </c>
      <c r="O6" s="382">
        <v>5</v>
      </c>
      <c r="P6" s="392">
        <f t="shared" si="2"/>
        <v>44.999999999999957</v>
      </c>
      <c r="Q6" s="382"/>
      <c r="R6" s="382"/>
    </row>
    <row r="7" spans="1:18">
      <c r="A7" s="568"/>
      <c r="B7" s="383">
        <v>0</v>
      </c>
      <c r="C7" s="383"/>
      <c r="D7" s="384" t="s">
        <v>372</v>
      </c>
      <c r="E7" s="384"/>
      <c r="F7" s="385" t="s">
        <v>391</v>
      </c>
      <c r="G7" s="379">
        <v>1186</v>
      </c>
      <c r="H7" s="386">
        <f t="shared" si="3"/>
        <v>0</v>
      </c>
      <c r="I7" s="387"/>
      <c r="J7" s="388">
        <v>9</v>
      </c>
      <c r="K7" s="389">
        <f t="shared" si="0"/>
        <v>1581.3333333333333</v>
      </c>
      <c r="L7" s="390">
        <f t="shared" si="1"/>
        <v>175.7037037037037</v>
      </c>
      <c r="M7" s="391">
        <v>0.27430555555555552</v>
      </c>
      <c r="N7" s="391">
        <v>0.30555555555555552</v>
      </c>
      <c r="O7" s="382">
        <v>5</v>
      </c>
      <c r="P7" s="392">
        <f t="shared" si="2"/>
        <v>45</v>
      </c>
      <c r="Q7" s="393"/>
      <c r="R7" s="393"/>
    </row>
    <row r="8" spans="1:18">
      <c r="A8" s="568"/>
      <c r="B8" s="383" t="s">
        <v>392</v>
      </c>
      <c r="C8" s="383"/>
      <c r="D8" s="384" t="s">
        <v>373</v>
      </c>
      <c r="E8" s="384"/>
      <c r="F8" s="385">
        <v>19.7</v>
      </c>
      <c r="G8" s="379">
        <v>171</v>
      </c>
      <c r="H8" s="386">
        <f t="shared" si="3"/>
        <v>3368.7</v>
      </c>
      <c r="I8" s="387"/>
      <c r="J8" s="388">
        <v>12</v>
      </c>
      <c r="K8" s="389">
        <f t="shared" si="0"/>
        <v>1026.0000000000036</v>
      </c>
      <c r="L8" s="390">
        <f t="shared" si="1"/>
        <v>85.500000000000298</v>
      </c>
      <c r="M8" s="391">
        <v>0.30902777777777779</v>
      </c>
      <c r="N8" s="391">
        <v>0.31597222222222221</v>
      </c>
      <c r="O8" s="382">
        <v>5</v>
      </c>
      <c r="P8" s="392">
        <f t="shared" si="2"/>
        <v>9.9999999999999645</v>
      </c>
      <c r="Q8" s="393"/>
      <c r="R8" s="393"/>
    </row>
    <row r="9" spans="1:18">
      <c r="A9" s="568"/>
      <c r="B9" s="383" t="s">
        <v>392</v>
      </c>
      <c r="C9" s="383"/>
      <c r="D9" s="384" t="s">
        <v>308</v>
      </c>
      <c r="E9" s="384"/>
      <c r="F9" s="385">
        <v>27.05</v>
      </c>
      <c r="G9" s="394">
        <v>692</v>
      </c>
      <c r="H9" s="386">
        <f t="shared" si="3"/>
        <v>18718.600000000002</v>
      </c>
      <c r="I9" s="387"/>
      <c r="J9" s="388">
        <v>13</v>
      </c>
      <c r="K9" s="389">
        <f t="shared" si="0"/>
        <v>1384.000000000005</v>
      </c>
      <c r="L9" s="390">
        <f t="shared" si="1"/>
        <v>106.46153846153885</v>
      </c>
      <c r="M9" s="391">
        <v>0.31944444444444448</v>
      </c>
      <c r="N9" s="391">
        <v>0.34027777777777773</v>
      </c>
      <c r="O9" s="382">
        <v>5</v>
      </c>
      <c r="P9" s="392">
        <f t="shared" si="2"/>
        <v>29.999999999999893</v>
      </c>
      <c r="Q9" s="393">
        <v>0.34027777777777773</v>
      </c>
      <c r="R9" s="393">
        <v>0.38194444444444442</v>
      </c>
    </row>
    <row r="10" spans="1:18">
      <c r="A10" s="568"/>
      <c r="B10" s="383" t="s">
        <v>392</v>
      </c>
      <c r="C10" s="383"/>
      <c r="D10" s="384" t="s">
        <v>309</v>
      </c>
      <c r="E10" s="384"/>
      <c r="F10" s="385">
        <v>36.450000000000003</v>
      </c>
      <c r="G10" s="394">
        <v>3000</v>
      </c>
      <c r="H10" s="386">
        <f t="shared" si="3"/>
        <v>109350.00000000001</v>
      </c>
      <c r="I10" s="387"/>
      <c r="J10" s="388">
        <v>10</v>
      </c>
      <c r="K10" s="389">
        <f t="shared" si="0"/>
        <v>1500.0000000000005</v>
      </c>
      <c r="L10" s="390">
        <f t="shared" si="1"/>
        <v>150.00000000000006</v>
      </c>
      <c r="M10" s="391">
        <v>0.38194444444444442</v>
      </c>
      <c r="N10" s="391">
        <v>0.46527777777777773</v>
      </c>
      <c r="O10" s="382">
        <v>5</v>
      </c>
      <c r="P10" s="392">
        <f t="shared" si="2"/>
        <v>119.99999999999997</v>
      </c>
      <c r="Q10" s="393"/>
      <c r="R10" s="393"/>
    </row>
    <row r="11" spans="1:18">
      <c r="A11" s="568"/>
      <c r="B11" s="383" t="s">
        <v>392</v>
      </c>
      <c r="C11" s="383"/>
      <c r="D11" s="384" t="s">
        <v>310</v>
      </c>
      <c r="E11" s="384"/>
      <c r="F11" s="385">
        <v>25.64</v>
      </c>
      <c r="G11" s="394">
        <v>665</v>
      </c>
      <c r="H11" s="386">
        <f t="shared" si="3"/>
        <v>17050.600000000002</v>
      </c>
      <c r="I11" s="387"/>
      <c r="J11" s="388">
        <v>10</v>
      </c>
      <c r="K11" s="389">
        <f t="shared" si="0"/>
        <v>1596.0000000000005</v>
      </c>
      <c r="L11" s="390">
        <f t="shared" si="1"/>
        <v>159.60000000000005</v>
      </c>
      <c r="M11" s="391">
        <v>0.46875</v>
      </c>
      <c r="N11" s="391">
        <v>0.4861111111111111</v>
      </c>
      <c r="O11" s="382">
        <v>5</v>
      </c>
      <c r="P11" s="392">
        <f t="shared" si="2"/>
        <v>24.999999999999993</v>
      </c>
      <c r="Q11" s="393"/>
      <c r="R11" s="393"/>
    </row>
    <row r="12" spans="1:18">
      <c r="A12" s="569"/>
      <c r="B12" s="383" t="s">
        <v>392</v>
      </c>
      <c r="C12" s="383"/>
      <c r="D12" s="384" t="s">
        <v>311</v>
      </c>
      <c r="E12" s="384"/>
      <c r="F12" s="385">
        <v>29.52</v>
      </c>
      <c r="G12" s="394">
        <v>1164</v>
      </c>
      <c r="H12" s="386">
        <f t="shared" si="3"/>
        <v>34361.279999999999</v>
      </c>
      <c r="I12" s="387"/>
      <c r="J12" s="388">
        <v>12</v>
      </c>
      <c r="K12" s="389">
        <f t="shared" si="0"/>
        <v>1746.000000000003</v>
      </c>
      <c r="L12" s="390">
        <f t="shared" si="1"/>
        <v>145.50000000000026</v>
      </c>
      <c r="M12" s="391">
        <v>0.48958333333333331</v>
      </c>
      <c r="N12" s="391">
        <v>0.51736111111111105</v>
      </c>
      <c r="O12" s="382">
        <v>5</v>
      </c>
      <c r="P12" s="392">
        <f t="shared" si="2"/>
        <v>39.999999999999936</v>
      </c>
      <c r="Q12" s="393"/>
      <c r="R12" s="393"/>
    </row>
    <row r="13" spans="1:18">
      <c r="A13" s="569"/>
      <c r="B13" s="383" t="s">
        <v>392</v>
      </c>
      <c r="C13" s="395"/>
      <c r="D13" s="384" t="s">
        <v>312</v>
      </c>
      <c r="E13" s="384"/>
      <c r="F13" s="385">
        <v>29.856999999999999</v>
      </c>
      <c r="G13" s="396">
        <v>1186</v>
      </c>
      <c r="H13" s="386">
        <f t="shared" si="3"/>
        <v>35410.402000000002</v>
      </c>
      <c r="I13" s="387"/>
      <c r="J13" s="388">
        <v>12</v>
      </c>
      <c r="K13" s="389">
        <f>G13/P13*60</f>
        <v>1779.0000000000064</v>
      </c>
      <c r="L13" s="390">
        <f>K13/J13</f>
        <v>148.25000000000054</v>
      </c>
      <c r="M13" s="391">
        <v>0.52083333333333337</v>
      </c>
      <c r="N13" s="391">
        <v>0.54861111111111105</v>
      </c>
      <c r="O13" s="382">
        <v>5</v>
      </c>
      <c r="P13" s="392">
        <f t="shared" si="2"/>
        <v>39.999999999999858</v>
      </c>
      <c r="Q13" s="393"/>
      <c r="R13" s="382"/>
    </row>
    <row r="14" spans="1:18">
      <c r="A14" s="569"/>
      <c r="B14" s="383" t="s">
        <v>389</v>
      </c>
      <c r="C14" s="383"/>
      <c r="D14" s="397" t="s">
        <v>313</v>
      </c>
      <c r="E14" s="398"/>
      <c r="F14" s="385">
        <v>28.57</v>
      </c>
      <c r="G14" s="394">
        <v>1423</v>
      </c>
      <c r="H14" s="386">
        <f t="shared" si="3"/>
        <v>40655.11</v>
      </c>
      <c r="I14" s="387"/>
      <c r="J14" s="388">
        <v>8</v>
      </c>
      <c r="K14" s="389">
        <f>G14/P14*60</f>
        <v>1552.3636363636374</v>
      </c>
      <c r="L14" s="390">
        <f>K14/J14</f>
        <v>194.04545454545467</v>
      </c>
      <c r="M14" s="391">
        <v>0.55208333333333337</v>
      </c>
      <c r="N14" s="391">
        <v>0.59027777777777779</v>
      </c>
      <c r="O14" s="382">
        <v>5</v>
      </c>
      <c r="P14" s="392">
        <f t="shared" si="2"/>
        <v>54.999999999999964</v>
      </c>
      <c r="Q14" s="382"/>
      <c r="R14" s="382"/>
    </row>
    <row r="15" spans="1:18">
      <c r="A15" s="569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70"/>
      <c r="B16" s="383">
        <v>0</v>
      </c>
      <c r="C16" s="400" t="s">
        <v>79</v>
      </c>
      <c r="D16" s="552" t="s">
        <v>75</v>
      </c>
      <c r="E16" s="552"/>
      <c r="F16" s="401"/>
      <c r="G16" s="402"/>
      <c r="H16" s="403"/>
      <c r="I16" s="404"/>
      <c r="J16" s="405">
        <f>AVERAGE(J5:J15)</f>
        <v>10.8</v>
      </c>
      <c r="K16" s="405">
        <f>AVERAGE(K5:K15)</f>
        <v>1498.0030303030323</v>
      </c>
      <c r="L16" s="406">
        <f>AVERAGE(L5:L15)</f>
        <v>143.46846283346301</v>
      </c>
      <c r="M16" s="391"/>
      <c r="N16" s="391"/>
      <c r="O16" s="389"/>
      <c r="P16" s="389"/>
      <c r="Q16" s="390"/>
      <c r="R16" s="390"/>
    </row>
    <row r="17" spans="1:18" ht="15.75" customHeight="1">
      <c r="A17" s="571" t="s">
        <v>314</v>
      </c>
      <c r="B17" s="383" t="s">
        <v>392</v>
      </c>
      <c r="C17" s="395"/>
      <c r="D17" s="574" t="s">
        <v>315</v>
      </c>
      <c r="E17" s="575"/>
      <c r="F17" s="385">
        <v>14.03</v>
      </c>
      <c r="G17" s="379">
        <v>470</v>
      </c>
      <c r="H17" s="407">
        <f t="shared" ref="H17:H23" si="4">F17*G17</f>
        <v>6594.0999999999995</v>
      </c>
      <c r="I17" s="408"/>
      <c r="J17" s="388">
        <v>6</v>
      </c>
      <c r="K17" s="389">
        <f>G17/P17*60</f>
        <v>1566.6666666666688</v>
      </c>
      <c r="L17" s="390">
        <f>K17/J17</f>
        <v>261.11111111111148</v>
      </c>
      <c r="M17" s="391">
        <v>0.17361111111111113</v>
      </c>
      <c r="N17" s="391">
        <v>0.18611111111111112</v>
      </c>
      <c r="O17" s="382">
        <v>10</v>
      </c>
      <c r="P17" s="392">
        <f>(N17-M17)*24*60</f>
        <v>17.999999999999975</v>
      </c>
      <c r="Q17" s="382"/>
      <c r="R17" s="382"/>
    </row>
    <row r="18" spans="1:18" ht="15.75" customHeight="1">
      <c r="A18" s="571"/>
      <c r="B18" s="383" t="s">
        <v>389</v>
      </c>
      <c r="C18" s="395"/>
      <c r="D18" s="562" t="s">
        <v>316</v>
      </c>
      <c r="E18" s="563"/>
      <c r="F18" s="385">
        <v>14.49</v>
      </c>
      <c r="G18" s="396">
        <v>718</v>
      </c>
      <c r="H18" s="386">
        <f t="shared" si="4"/>
        <v>10403.82</v>
      </c>
      <c r="I18" s="387"/>
      <c r="J18" s="388">
        <v>5</v>
      </c>
      <c r="K18" s="389">
        <f>G18/P18*60</f>
        <v>1538.5714285714275</v>
      </c>
      <c r="L18" s="390">
        <f>K18/J18</f>
        <v>307.7142857142855</v>
      </c>
      <c r="M18" s="391">
        <v>0.19999999999999998</v>
      </c>
      <c r="N18" s="391">
        <v>0.21944444444444444</v>
      </c>
      <c r="O18" s="382">
        <v>20</v>
      </c>
      <c r="P18" s="392">
        <f t="shared" ref="P18:P23" si="5">(N18-M18)*24*60</f>
        <v>28.000000000000021</v>
      </c>
      <c r="Q18" s="393"/>
      <c r="R18" s="393"/>
    </row>
    <row r="19" spans="1:18" ht="15.75" customHeight="1">
      <c r="A19" s="571"/>
      <c r="B19" s="383">
        <v>0</v>
      </c>
      <c r="C19" s="395"/>
      <c r="D19" s="562"/>
      <c r="E19" s="563"/>
      <c r="F19" s="385" t="s">
        <v>391</v>
      </c>
      <c r="G19" s="396"/>
      <c r="H19" s="386">
        <f t="shared" si="4"/>
        <v>0</v>
      </c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72"/>
      <c r="B20" s="383">
        <v>0</v>
      </c>
      <c r="C20" s="395"/>
      <c r="D20" s="411"/>
      <c r="E20" s="398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72"/>
      <c r="B21" s="383">
        <v>0</v>
      </c>
      <c r="C21" s="395"/>
      <c r="D21" s="411"/>
      <c r="E21" s="398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72"/>
      <c r="B22" s="383">
        <v>0</v>
      </c>
      <c r="C22" s="395"/>
      <c r="D22" s="411"/>
      <c r="E22" s="398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72"/>
      <c r="B23" s="383">
        <v>0</v>
      </c>
      <c r="C23" s="395"/>
      <c r="D23" s="411"/>
      <c r="E23" s="398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45" customHeight="1">
      <c r="A24" s="573"/>
      <c r="B24" s="383">
        <v>0</v>
      </c>
      <c r="C24" s="12" t="s">
        <v>317</v>
      </c>
      <c r="D24" s="552" t="s">
        <v>75</v>
      </c>
      <c r="E24" s="552"/>
      <c r="F24" s="401"/>
      <c r="G24" s="412"/>
      <c r="H24" s="403"/>
      <c r="I24" s="404"/>
      <c r="J24" s="405">
        <f>AVERAGE(J17:J23)</f>
        <v>5.5</v>
      </c>
      <c r="K24" s="405">
        <f>AVERAGE(K17:K23)</f>
        <v>1552.6190476190482</v>
      </c>
      <c r="L24" s="406">
        <f>AVERAGE(L17:L23)</f>
        <v>284.41269841269849</v>
      </c>
      <c r="M24" s="391"/>
      <c r="N24" s="391"/>
      <c r="O24" s="382"/>
      <c r="P24" s="382"/>
      <c r="Q24" s="382"/>
      <c r="R24" s="382"/>
    </row>
    <row r="25" spans="1:18">
      <c r="A25" s="556" t="s">
        <v>318</v>
      </c>
      <c r="B25" s="383" t="s">
        <v>389</v>
      </c>
      <c r="C25" s="413"/>
      <c r="D25" s="414" t="s">
        <v>319</v>
      </c>
      <c r="E25" s="415"/>
      <c r="F25" s="385">
        <v>22.281818181818181</v>
      </c>
      <c r="G25" s="379">
        <v>590</v>
      </c>
      <c r="H25" s="386">
        <f t="shared" ref="H25:H37" si="6">F25*G25</f>
        <v>13146.272727272726</v>
      </c>
      <c r="I25" s="387"/>
      <c r="J25" s="388">
        <v>4</v>
      </c>
      <c r="K25" s="389">
        <f t="shared" ref="K25:K28" si="7">G25/P25*60</f>
        <v>2950.0000000000105</v>
      </c>
      <c r="L25" s="390">
        <f t="shared" ref="L25:L28" si="8">K25/J25</f>
        <v>737.50000000000261</v>
      </c>
      <c r="M25" s="391">
        <v>0.17361111111111113</v>
      </c>
      <c r="N25" s="391">
        <v>0.18194444444444444</v>
      </c>
      <c r="O25" s="382">
        <v>20</v>
      </c>
      <c r="P25" s="392">
        <f t="shared" ref="P25:P37" si="9">(N25-M25)*24*60</f>
        <v>11.999999999999957</v>
      </c>
      <c r="Q25" s="393"/>
      <c r="R25" s="393"/>
    </row>
    <row r="26" spans="1:18">
      <c r="A26" s="556"/>
      <c r="B26" s="383" t="s">
        <v>389</v>
      </c>
      <c r="C26" s="413"/>
      <c r="D26" s="416" t="s">
        <v>320</v>
      </c>
      <c r="E26" s="414"/>
      <c r="F26" s="385">
        <v>16.66</v>
      </c>
      <c r="G26" s="379">
        <v>2315</v>
      </c>
      <c r="H26" s="386">
        <f t="shared" si="6"/>
        <v>38567.9</v>
      </c>
      <c r="I26" s="387"/>
      <c r="J26" s="388">
        <v>4</v>
      </c>
      <c r="K26" s="389">
        <f t="shared" si="7"/>
        <v>2893.7500000000009</v>
      </c>
      <c r="L26" s="390">
        <f t="shared" si="8"/>
        <v>723.43750000000023</v>
      </c>
      <c r="M26" s="391">
        <v>0.19583333333333333</v>
      </c>
      <c r="N26" s="391">
        <v>0.22916666666666666</v>
      </c>
      <c r="O26" s="382">
        <v>20</v>
      </c>
      <c r="P26" s="392">
        <f t="shared" si="9"/>
        <v>47.999999999999986</v>
      </c>
      <c r="Q26" s="393"/>
      <c r="R26" s="393"/>
    </row>
    <row r="27" spans="1:18">
      <c r="A27" s="556"/>
      <c r="B27" s="383" t="s">
        <v>389</v>
      </c>
      <c r="C27" s="413"/>
      <c r="D27" s="411" t="s">
        <v>321</v>
      </c>
      <c r="E27" s="414"/>
      <c r="F27" s="385">
        <v>18.18</v>
      </c>
      <c r="G27" s="379">
        <v>2584</v>
      </c>
      <c r="H27" s="386">
        <f t="shared" si="6"/>
        <v>46977.120000000003</v>
      </c>
      <c r="I27" s="387"/>
      <c r="J27" s="388">
        <v>4</v>
      </c>
      <c r="K27" s="389">
        <f t="shared" si="7"/>
        <v>2818.9090909090905</v>
      </c>
      <c r="L27" s="390">
        <f t="shared" si="8"/>
        <v>704.72727272727263</v>
      </c>
      <c r="M27" s="391">
        <v>0.24305555555555555</v>
      </c>
      <c r="N27" s="391">
        <v>0.28125</v>
      </c>
      <c r="O27" s="382">
        <v>20</v>
      </c>
      <c r="P27" s="392">
        <f t="shared" si="9"/>
        <v>55.000000000000007</v>
      </c>
      <c r="Q27" s="393">
        <v>0.28125</v>
      </c>
      <c r="R27" s="393">
        <v>0.32291666666666669</v>
      </c>
    </row>
    <row r="28" spans="1:18">
      <c r="A28" s="556"/>
      <c r="B28" s="383" t="s">
        <v>389</v>
      </c>
      <c r="C28" s="395"/>
      <c r="D28" s="416" t="s">
        <v>322</v>
      </c>
      <c r="E28" s="417"/>
      <c r="F28" s="385">
        <v>17.890909090909091</v>
      </c>
      <c r="G28" s="379">
        <v>1520</v>
      </c>
      <c r="H28" s="386">
        <f t="shared" si="6"/>
        <v>27194.181818181816</v>
      </c>
      <c r="I28" s="387"/>
      <c r="J28" s="388">
        <v>3</v>
      </c>
      <c r="K28" s="389">
        <f t="shared" si="7"/>
        <v>2850.0000000000032</v>
      </c>
      <c r="L28" s="390">
        <f t="shared" si="8"/>
        <v>950.00000000000102</v>
      </c>
      <c r="M28" s="391">
        <v>0.33680555555555558</v>
      </c>
      <c r="N28" s="391">
        <v>0.35902777777777778</v>
      </c>
      <c r="O28" s="382">
        <v>20</v>
      </c>
      <c r="P28" s="392">
        <f t="shared" si="9"/>
        <v>31.999999999999964</v>
      </c>
      <c r="Q28" s="393"/>
      <c r="R28" s="393"/>
    </row>
    <row r="29" spans="1:18">
      <c r="A29" s="556"/>
      <c r="B29" s="383">
        <v>0</v>
      </c>
      <c r="C29" s="379"/>
      <c r="D29" s="416"/>
      <c r="E29" s="417"/>
      <c r="F29" s="385" t="s">
        <v>391</v>
      </c>
      <c r="G29" s="379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56"/>
      <c r="B30" s="383">
        <v>0</v>
      </c>
      <c r="C30" s="379"/>
      <c r="D30" s="418"/>
      <c r="E30" s="417"/>
      <c r="F30" s="385" t="s">
        <v>391</v>
      </c>
      <c r="G30" s="379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56"/>
      <c r="B31" s="383">
        <v>0</v>
      </c>
      <c r="C31" s="395"/>
      <c r="D31" s="414"/>
      <c r="E31" s="417"/>
      <c r="F31" s="385" t="s">
        <v>391</v>
      </c>
      <c r="G31" s="379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56"/>
      <c r="B32" s="383">
        <v>0</v>
      </c>
      <c r="C32" s="395"/>
      <c r="D32" s="416"/>
      <c r="E32" s="398"/>
      <c r="F32" s="385" t="s">
        <v>391</v>
      </c>
      <c r="G32" s="379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56"/>
      <c r="B33" s="383">
        <v>0</v>
      </c>
      <c r="C33" s="379"/>
      <c r="D33" s="416"/>
      <c r="E33" s="417"/>
      <c r="F33" s="385" t="s">
        <v>391</v>
      </c>
      <c r="G33" s="379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56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56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56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56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45" customHeight="1">
      <c r="A38" s="557"/>
      <c r="B38" s="383">
        <v>0</v>
      </c>
      <c r="C38" s="12" t="s">
        <v>67</v>
      </c>
      <c r="D38" s="547" t="s">
        <v>323</v>
      </c>
      <c r="E38" s="547"/>
      <c r="F38" s="401"/>
      <c r="G38" s="420"/>
      <c r="H38" s="403"/>
      <c r="I38" s="404"/>
      <c r="J38" s="405">
        <f>AVERAGE(J25:J37)</f>
        <v>3.75</v>
      </c>
      <c r="K38" s="405">
        <f>AVERAGE(K25:K37)</f>
        <v>2878.1647727272762</v>
      </c>
      <c r="L38" s="406">
        <f>AVERAGE(L25:L37)</f>
        <v>778.91619318181904</v>
      </c>
      <c r="M38" s="391"/>
      <c r="N38" s="391"/>
      <c r="O38" s="389"/>
      <c r="P38" s="389"/>
      <c r="Q38" s="390"/>
      <c r="R38" s="390"/>
    </row>
    <row r="39" spans="1:18" ht="16.149999999999999" customHeight="1">
      <c r="A39" s="558" t="s">
        <v>324</v>
      </c>
      <c r="B39" s="383" t="s">
        <v>389</v>
      </c>
      <c r="C39" s="395"/>
      <c r="D39" s="416" t="s">
        <v>325</v>
      </c>
      <c r="E39" s="398"/>
      <c r="F39" s="385">
        <v>21.45</v>
      </c>
      <c r="G39" s="379">
        <v>887</v>
      </c>
      <c r="H39" s="386">
        <f t="shared" ref="H39:H47" si="10">F39*G39</f>
        <v>19026.149999999998</v>
      </c>
      <c r="I39" s="387"/>
      <c r="J39" s="388">
        <v>3</v>
      </c>
      <c r="K39" s="389">
        <f>G39/P39*60</f>
        <v>2956.6666666666706</v>
      </c>
      <c r="L39" s="390">
        <f>K39/J39</f>
        <v>985.55555555555691</v>
      </c>
      <c r="M39" s="391">
        <v>0.18055555555555555</v>
      </c>
      <c r="N39" s="391">
        <v>0.19305555555555554</v>
      </c>
      <c r="O39" s="382">
        <v>20</v>
      </c>
      <c r="P39" s="421">
        <f t="shared" ref="P39:P50" si="11">(N39-M39)*24*60</f>
        <v>17.999999999999975</v>
      </c>
      <c r="Q39" s="393"/>
      <c r="R39" s="393"/>
    </row>
    <row r="40" spans="1:18">
      <c r="A40" s="559"/>
      <c r="B40" s="383" t="s">
        <v>389</v>
      </c>
      <c r="C40" s="395"/>
      <c r="D40" s="411" t="s">
        <v>326</v>
      </c>
      <c r="E40" s="398"/>
      <c r="F40" s="385">
        <v>15.15</v>
      </c>
      <c r="G40" s="379">
        <v>1214</v>
      </c>
      <c r="H40" s="386">
        <f t="shared" si="10"/>
        <v>18392.100000000002</v>
      </c>
      <c r="I40" s="387"/>
      <c r="J40" s="388">
        <v>4</v>
      </c>
      <c r="K40" s="389">
        <f>G40/P40*60</f>
        <v>2913.6000000000008</v>
      </c>
      <c r="L40" s="390">
        <f>K40/J40</f>
        <v>728.4000000000002</v>
      </c>
      <c r="M40" s="391">
        <v>0.20694444444444446</v>
      </c>
      <c r="N40" s="391">
        <v>0.22430555555555556</v>
      </c>
      <c r="O40" s="382">
        <v>20</v>
      </c>
      <c r="P40" s="421">
        <f t="shared" si="11"/>
        <v>24.999999999999993</v>
      </c>
      <c r="Q40" s="393">
        <v>0.22430555555555556</v>
      </c>
      <c r="R40" s="393">
        <v>0.26597222222222222</v>
      </c>
    </row>
    <row r="41" spans="1:18">
      <c r="A41" s="559"/>
      <c r="B41" s="383" t="s">
        <v>389</v>
      </c>
      <c r="C41" s="395"/>
      <c r="D41" s="416" t="s">
        <v>327</v>
      </c>
      <c r="E41" s="398"/>
      <c r="F41" s="385">
        <v>18.53</v>
      </c>
      <c r="G41" s="379">
        <v>2261</v>
      </c>
      <c r="H41" s="386">
        <f t="shared" si="10"/>
        <v>41896.33</v>
      </c>
      <c r="I41" s="387"/>
      <c r="J41" s="388">
        <v>3</v>
      </c>
      <c r="K41" s="389">
        <f t="shared" ref="K41:K42" si="12">G41/P41*60</f>
        <v>2826.2500000000009</v>
      </c>
      <c r="L41" s="390">
        <f t="shared" ref="L41:L42" si="13">K41/J41</f>
        <v>942.0833333333336</v>
      </c>
      <c r="M41" s="391">
        <v>0.27986111111111112</v>
      </c>
      <c r="N41" s="391">
        <v>0.31319444444444444</v>
      </c>
      <c r="O41" s="382">
        <v>20</v>
      </c>
      <c r="P41" s="421">
        <f t="shared" si="11"/>
        <v>47.999999999999986</v>
      </c>
      <c r="Q41" s="393"/>
      <c r="R41" s="393"/>
    </row>
    <row r="42" spans="1:18">
      <c r="A42" s="559"/>
      <c r="B42" s="383" t="s">
        <v>389</v>
      </c>
      <c r="C42" s="395"/>
      <c r="D42" s="411" t="s">
        <v>328</v>
      </c>
      <c r="E42" s="398"/>
      <c r="F42" s="385">
        <v>27.27</v>
      </c>
      <c r="G42" s="379">
        <v>1771</v>
      </c>
      <c r="H42" s="386">
        <f t="shared" si="10"/>
        <v>48295.17</v>
      </c>
      <c r="I42" s="387"/>
      <c r="J42" s="388">
        <v>4</v>
      </c>
      <c r="K42" s="389">
        <f t="shared" si="12"/>
        <v>2871.8918918918898</v>
      </c>
      <c r="L42" s="390">
        <f t="shared" si="13"/>
        <v>717.97297297297246</v>
      </c>
      <c r="M42" s="391">
        <v>0.32708333333333334</v>
      </c>
      <c r="N42" s="391">
        <v>0.3527777777777778</v>
      </c>
      <c r="O42" s="382">
        <v>20</v>
      </c>
      <c r="P42" s="421">
        <f t="shared" si="11"/>
        <v>37.000000000000028</v>
      </c>
      <c r="Q42" s="393"/>
      <c r="R42" s="393"/>
    </row>
    <row r="43" spans="1:18" ht="15.75" customHeight="1">
      <c r="A43" s="559"/>
      <c r="B43" s="383">
        <v>0</v>
      </c>
      <c r="C43" s="395"/>
      <c r="D43" s="418"/>
      <c r="E43" s="398"/>
      <c r="F43" s="385" t="s">
        <v>391</v>
      </c>
      <c r="G43" s="379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59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59"/>
      <c r="B45" s="383">
        <v>0</v>
      </c>
      <c r="C45" s="395"/>
      <c r="D45" s="416"/>
      <c r="E45" s="417"/>
      <c r="F45" s="385" t="s">
        <v>391</v>
      </c>
      <c r="G45" s="379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59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59"/>
      <c r="B47" s="383">
        <v>0</v>
      </c>
      <c r="C47" s="395"/>
      <c r="D47" s="416"/>
      <c r="E47" s="417"/>
      <c r="F47" s="385" t="s">
        <v>391</v>
      </c>
      <c r="G47" s="379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60"/>
      <c r="B48" s="383">
        <v>0</v>
      </c>
      <c r="C48" s="379"/>
      <c r="D48" s="562"/>
      <c r="E48" s="563"/>
      <c r="F48" s="385" t="s">
        <v>391</v>
      </c>
      <c r="G48" s="379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60"/>
      <c r="B49" s="383">
        <v>0</v>
      </c>
      <c r="C49" s="379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60"/>
      <c r="B50" s="383">
        <v>0</v>
      </c>
      <c r="C50" s="379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61"/>
      <c r="B51" s="383">
        <v>0</v>
      </c>
      <c r="C51" s="12" t="s">
        <v>68</v>
      </c>
      <c r="D51" s="552" t="s">
        <v>75</v>
      </c>
      <c r="E51" s="552"/>
      <c r="F51" s="401"/>
      <c r="G51" s="406"/>
      <c r="H51" s="428"/>
      <c r="I51" s="429"/>
      <c r="J51" s="405">
        <f>AVERAGE(J39:J50)</f>
        <v>3.5</v>
      </c>
      <c r="K51" s="405">
        <f>AVERAGE(K39:K50)</f>
        <v>2892.1021396396409</v>
      </c>
      <c r="L51" s="406">
        <f>AVERAGE(L39:L50)</f>
        <v>843.50296546546576</v>
      </c>
      <c r="M51" s="430"/>
      <c r="N51" s="391"/>
      <c r="O51" s="389"/>
      <c r="P51" s="389"/>
      <c r="Q51" s="390"/>
      <c r="R51" s="390"/>
    </row>
    <row r="52" spans="1:18" ht="15.6" customHeight="1">
      <c r="A52" s="564" t="s">
        <v>329</v>
      </c>
      <c r="B52" s="383">
        <v>0</v>
      </c>
      <c r="C52" s="395"/>
      <c r="D52" s="414"/>
      <c r="E52" s="431"/>
      <c r="F52" s="385" t="s">
        <v>391</v>
      </c>
      <c r="G52" s="379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6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65"/>
      <c r="B54" s="383">
        <v>0</v>
      </c>
      <c r="C54" s="395"/>
      <c r="D54" s="414"/>
      <c r="E54" s="398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6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6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6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6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6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6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6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6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6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66"/>
      <c r="B64" s="383">
        <v>0</v>
      </c>
      <c r="C64" s="12" t="s">
        <v>330</v>
      </c>
      <c r="D64" s="552" t="s">
        <v>75</v>
      </c>
      <c r="E64" s="552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49" t="s">
        <v>331</v>
      </c>
      <c r="B65" s="383" t="s">
        <v>389</v>
      </c>
      <c r="C65" s="395"/>
      <c r="D65" s="414" t="s">
        <v>332</v>
      </c>
      <c r="E65" s="431"/>
      <c r="F65" s="385">
        <v>25.03</v>
      </c>
      <c r="G65" s="379">
        <v>711</v>
      </c>
      <c r="H65" s="386">
        <f>F65*G65</f>
        <v>17796.330000000002</v>
      </c>
      <c r="I65" s="387"/>
      <c r="J65" s="388">
        <v>4</v>
      </c>
      <c r="K65" s="389">
        <f t="shared" ref="K65:K71" si="16">G65/P65*60</f>
        <v>3281.5384615384633</v>
      </c>
      <c r="L65" s="390">
        <f t="shared" ref="L65:L71" si="17">K65/J65</f>
        <v>820.38461538461581</v>
      </c>
      <c r="M65" s="391">
        <v>0.18055555555555555</v>
      </c>
      <c r="N65" s="391">
        <v>0.18958333333333333</v>
      </c>
      <c r="O65" s="389">
        <v>20</v>
      </c>
      <c r="P65" s="392">
        <f>(N65-M65)*24*60</f>
        <v>12.999999999999993</v>
      </c>
      <c r="Q65" s="393"/>
      <c r="R65" s="393"/>
    </row>
    <row r="66" spans="1:18" ht="15.6" customHeight="1">
      <c r="A66" s="550"/>
      <c r="B66" s="383" t="s">
        <v>389</v>
      </c>
      <c r="C66" s="395"/>
      <c r="D66" s="414" t="s">
        <v>333</v>
      </c>
      <c r="E66" s="432"/>
      <c r="F66" s="385">
        <v>24.82</v>
      </c>
      <c r="G66" s="394">
        <v>949</v>
      </c>
      <c r="H66" s="386">
        <f t="shared" ref="H66:H74" si="18">F66*G66</f>
        <v>23554.18</v>
      </c>
      <c r="I66" s="387"/>
      <c r="J66" s="388">
        <v>4</v>
      </c>
      <c r="K66" s="389">
        <f t="shared" si="16"/>
        <v>3349.4117647058706</v>
      </c>
      <c r="L66" s="390">
        <f t="shared" si="17"/>
        <v>837.35294117646765</v>
      </c>
      <c r="M66" s="391">
        <v>0.20347222222222219</v>
      </c>
      <c r="N66" s="391">
        <v>0.21527777777777779</v>
      </c>
      <c r="O66" s="389">
        <v>20</v>
      </c>
      <c r="P66" s="392">
        <f t="shared" ref="P66:P74" si="19">(N66-M66)*24*60</f>
        <v>17.00000000000006</v>
      </c>
      <c r="Q66" s="393"/>
      <c r="R66" s="393"/>
    </row>
    <row r="67" spans="1:18" ht="15.6" customHeight="1">
      <c r="A67" s="550"/>
      <c r="B67" s="383" t="s">
        <v>389</v>
      </c>
      <c r="C67" s="395"/>
      <c r="D67" s="414" t="s">
        <v>334</v>
      </c>
      <c r="E67" s="417"/>
      <c r="F67" s="385">
        <v>30</v>
      </c>
      <c r="G67" s="394">
        <v>1460</v>
      </c>
      <c r="H67" s="386">
        <f t="shared" si="18"/>
        <v>43800</v>
      </c>
      <c r="I67" s="387"/>
      <c r="J67" s="388">
        <v>4</v>
      </c>
      <c r="K67" s="389">
        <f t="shared" si="16"/>
        <v>3244.4444444444416</v>
      </c>
      <c r="L67" s="390">
        <f t="shared" si="17"/>
        <v>811.1111111111104</v>
      </c>
      <c r="M67" s="391">
        <v>0.22916666666666666</v>
      </c>
      <c r="N67" s="391">
        <v>0.24791666666666667</v>
      </c>
      <c r="O67" s="389">
        <v>20</v>
      </c>
      <c r="P67" s="392">
        <f t="shared" si="19"/>
        <v>27.000000000000025</v>
      </c>
      <c r="Q67" s="393"/>
      <c r="R67" s="393"/>
    </row>
    <row r="68" spans="1:18" ht="15.6" customHeight="1">
      <c r="A68" s="550"/>
      <c r="B68" s="383" t="s">
        <v>389</v>
      </c>
      <c r="C68" s="395"/>
      <c r="D68" s="434" t="s">
        <v>335</v>
      </c>
      <c r="E68" s="417"/>
      <c r="F68" s="385">
        <v>14.03</v>
      </c>
      <c r="G68" s="394">
        <v>2521</v>
      </c>
      <c r="H68" s="386">
        <f t="shared" si="18"/>
        <v>35369.629999999997</v>
      </c>
      <c r="I68" s="387"/>
      <c r="J68" s="388">
        <v>3</v>
      </c>
      <c r="K68" s="389">
        <f t="shared" si="16"/>
        <v>3218.2978723404258</v>
      </c>
      <c r="L68" s="390">
        <f t="shared" si="17"/>
        <v>1072.7659574468087</v>
      </c>
      <c r="M68" s="391">
        <v>0.26180555555555557</v>
      </c>
      <c r="N68" s="391">
        <v>0.29444444444444445</v>
      </c>
      <c r="O68" s="389">
        <v>25</v>
      </c>
      <c r="P68" s="392">
        <f t="shared" si="19"/>
        <v>46.999999999999993</v>
      </c>
      <c r="Q68" s="393">
        <v>0.29444444444444445</v>
      </c>
      <c r="R68" s="393">
        <v>0.33611111111111108</v>
      </c>
    </row>
    <row r="69" spans="1:18" ht="15.6" customHeight="1">
      <c r="A69" s="550"/>
      <c r="B69" s="383" t="s">
        <v>389</v>
      </c>
      <c r="C69" s="395"/>
      <c r="D69" s="414" t="s">
        <v>336</v>
      </c>
      <c r="E69" s="417"/>
      <c r="F69" s="385">
        <v>18.18</v>
      </c>
      <c r="G69" s="394">
        <v>788</v>
      </c>
      <c r="H69" s="386">
        <f t="shared" si="18"/>
        <v>14325.84</v>
      </c>
      <c r="I69" s="387"/>
      <c r="J69" s="388">
        <v>3</v>
      </c>
      <c r="K69" s="389">
        <f t="shared" si="16"/>
        <v>3377.1428571428692</v>
      </c>
      <c r="L69" s="390">
        <f t="shared" si="17"/>
        <v>1125.7142857142896</v>
      </c>
      <c r="M69" s="391">
        <v>0.35000000000000003</v>
      </c>
      <c r="N69" s="391">
        <v>0.35972222222222222</v>
      </c>
      <c r="O69" s="389">
        <v>20</v>
      </c>
      <c r="P69" s="392">
        <f t="shared" si="19"/>
        <v>13.99999999999995</v>
      </c>
      <c r="Q69" s="393"/>
      <c r="R69" s="393"/>
    </row>
    <row r="70" spans="1:18" ht="15.75" customHeight="1">
      <c r="A70" s="550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1385</v>
      </c>
      <c r="H70" s="386">
        <f t="shared" si="18"/>
        <v>25179.3</v>
      </c>
      <c r="I70" s="387"/>
      <c r="J70" s="388">
        <v>3</v>
      </c>
      <c r="K70" s="389">
        <f t="shared" si="16"/>
        <v>3324.0000000000009</v>
      </c>
      <c r="L70" s="390">
        <f t="shared" si="17"/>
        <v>1108.0000000000002</v>
      </c>
      <c r="M70" s="391">
        <v>0.37361111111111112</v>
      </c>
      <c r="N70" s="391">
        <v>0.39097222222222222</v>
      </c>
      <c r="O70" s="389">
        <v>20</v>
      </c>
      <c r="P70" s="392">
        <f t="shared" si="19"/>
        <v>24.999999999999993</v>
      </c>
      <c r="Q70" s="393"/>
      <c r="R70" s="393"/>
    </row>
    <row r="71" spans="1:18" ht="15.6" customHeight="1">
      <c r="A71" s="550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3625</v>
      </c>
      <c r="H71" s="386">
        <f t="shared" si="18"/>
        <v>51785.714285714275</v>
      </c>
      <c r="I71" s="387"/>
      <c r="J71" s="388">
        <v>3</v>
      </c>
      <c r="K71" s="389">
        <f t="shared" si="16"/>
        <v>3295.4545454545455</v>
      </c>
      <c r="L71" s="390">
        <f t="shared" si="17"/>
        <v>1098.4848484848485</v>
      </c>
      <c r="M71" s="391">
        <v>0.40486111111111112</v>
      </c>
      <c r="N71" s="391">
        <v>0.45069444444444445</v>
      </c>
      <c r="O71" s="389">
        <v>20</v>
      </c>
      <c r="P71" s="392">
        <f t="shared" si="19"/>
        <v>66</v>
      </c>
      <c r="Q71" s="393"/>
      <c r="R71" s="393"/>
    </row>
    <row r="72" spans="1:18" ht="15.6" customHeight="1">
      <c r="A72" s="550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50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50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51"/>
      <c r="B75" s="383">
        <v>0</v>
      </c>
      <c r="C75" s="12" t="s">
        <v>339</v>
      </c>
      <c r="D75" s="552" t="s">
        <v>75</v>
      </c>
      <c r="E75" s="552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3298.6128493752308</v>
      </c>
      <c r="L75" s="406">
        <f>AVERAGE(L65:L74)</f>
        <v>981.97339418830597</v>
      </c>
      <c r="M75" s="391"/>
      <c r="N75" s="391"/>
      <c r="O75" s="382"/>
      <c r="P75" s="382"/>
      <c r="Q75" s="382"/>
      <c r="R75" s="382"/>
    </row>
    <row r="76" spans="1:18" ht="16.149999999999999" customHeight="1">
      <c r="A76" s="553" t="s">
        <v>340</v>
      </c>
      <c r="B76" s="383">
        <v>0</v>
      </c>
      <c r="C76" s="400"/>
      <c r="D76" s="554"/>
      <c r="E76" s="555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53"/>
      <c r="B77" s="383">
        <v>0</v>
      </c>
      <c r="C77" s="400"/>
      <c r="D77" s="554"/>
      <c r="E77" s="555"/>
      <c r="F77" s="385" t="s">
        <v>391</v>
      </c>
      <c r="G77" s="379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53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53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53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53"/>
      <c r="B81" s="383">
        <v>0</v>
      </c>
      <c r="C81" s="12" t="s">
        <v>71</v>
      </c>
      <c r="D81" s="547" t="s">
        <v>75</v>
      </c>
      <c r="E81" s="547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38" t="s">
        <v>341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5066</v>
      </c>
      <c r="H82" s="444">
        <f t="shared" ref="H82:H90" si="20">F82*G82</f>
        <v>84399.56</v>
      </c>
      <c r="I82" s="387"/>
      <c r="J82" s="388">
        <v>4</v>
      </c>
      <c r="K82" s="389">
        <f t="shared" ref="K82:K87" si="21">G82/P82*60</f>
        <v>2763.2727272727252</v>
      </c>
      <c r="L82" s="390">
        <f t="shared" ref="L82:L86" si="22">K82/J82</f>
        <v>690.8181818181813</v>
      </c>
      <c r="M82" s="391">
        <v>0.72222222222222221</v>
      </c>
      <c r="N82" s="391">
        <v>0.79861111111111116</v>
      </c>
      <c r="O82" s="389">
        <v>20</v>
      </c>
      <c r="P82" s="392">
        <f>(N82-M82)*24*60</f>
        <v>110.00000000000009</v>
      </c>
      <c r="Q82" s="393"/>
      <c r="R82" s="393"/>
    </row>
    <row r="83" spans="1:18">
      <c r="A83" s="539"/>
      <c r="B83" s="383" t="s">
        <v>389</v>
      </c>
      <c r="C83" s="413"/>
      <c r="D83" s="414" t="s">
        <v>343</v>
      </c>
      <c r="E83" s="443"/>
      <c r="F83" s="385">
        <v>18.18</v>
      </c>
      <c r="G83" s="419">
        <v>389</v>
      </c>
      <c r="H83" s="444">
        <f t="shared" si="20"/>
        <v>7072.0199999999995</v>
      </c>
      <c r="I83" s="387"/>
      <c r="J83" s="388">
        <v>4</v>
      </c>
      <c r="K83" s="389">
        <f t="shared" si="21"/>
        <v>2333.9999999999709</v>
      </c>
      <c r="L83" s="390">
        <f t="shared" si="22"/>
        <v>583.49999999999272</v>
      </c>
      <c r="M83" s="391">
        <v>0.8125</v>
      </c>
      <c r="N83" s="391">
        <v>0.81944444444444453</v>
      </c>
      <c r="O83" s="389">
        <v>20</v>
      </c>
      <c r="P83" s="392">
        <f>(N83-M83)*24*60</f>
        <v>10.000000000000124</v>
      </c>
      <c r="Q83" s="393"/>
      <c r="R83" s="393"/>
    </row>
    <row r="84" spans="1:18">
      <c r="A84" s="539"/>
      <c r="B84" s="383" t="s">
        <v>389</v>
      </c>
      <c r="C84" s="413"/>
      <c r="D84" s="433" t="s">
        <v>344</v>
      </c>
      <c r="E84" s="443"/>
      <c r="F84" s="385">
        <v>16.7</v>
      </c>
      <c r="G84" s="419">
        <v>1084</v>
      </c>
      <c r="H84" s="445">
        <f t="shared" si="20"/>
        <v>18102.8</v>
      </c>
      <c r="I84" s="387"/>
      <c r="J84" s="388">
        <v>3</v>
      </c>
      <c r="K84" s="389">
        <f t="shared" si="21"/>
        <v>2601.5999999999926</v>
      </c>
      <c r="L84" s="390">
        <f t="shared" si="22"/>
        <v>867.19999999999754</v>
      </c>
      <c r="M84" s="391">
        <v>0.83333333333333337</v>
      </c>
      <c r="N84" s="391">
        <v>0.85069444444444453</v>
      </c>
      <c r="O84" s="389">
        <v>20</v>
      </c>
      <c r="P84" s="421">
        <f t="shared" ref="P84:P85" si="23">(N84-M84)*24*60</f>
        <v>25.000000000000071</v>
      </c>
      <c r="Q84" s="393">
        <v>0.85069444444444453</v>
      </c>
      <c r="R84" s="393">
        <v>0.89236111111111116</v>
      </c>
    </row>
    <row r="85" spans="1:18">
      <c r="A85" s="539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949</v>
      </c>
      <c r="H85" s="445">
        <f t="shared" si="20"/>
        <v>21145.445454545454</v>
      </c>
      <c r="I85" s="387"/>
      <c r="J85" s="388">
        <v>4</v>
      </c>
      <c r="K85" s="389">
        <f t="shared" si="21"/>
        <v>2847.00000000001</v>
      </c>
      <c r="L85" s="390">
        <f t="shared" si="22"/>
        <v>711.7500000000025</v>
      </c>
      <c r="M85" s="391">
        <v>0.90625</v>
      </c>
      <c r="N85" s="391">
        <v>0.92013888888888884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39"/>
      <c r="B86" s="383" t="s">
        <v>389</v>
      </c>
      <c r="C86" s="413"/>
      <c r="D86" s="414" t="s">
        <v>346</v>
      </c>
      <c r="E86" s="443"/>
      <c r="F86" s="385">
        <v>17.890909090909091</v>
      </c>
      <c r="G86" s="379">
        <v>3590</v>
      </c>
      <c r="H86" s="445">
        <f t="shared" si="20"/>
        <v>64228.363636363632</v>
      </c>
      <c r="I86" s="387"/>
      <c r="J86" s="388">
        <v>3</v>
      </c>
      <c r="K86" s="389">
        <f t="shared" si="21"/>
        <v>2692.4999999999991</v>
      </c>
      <c r="L86" s="390">
        <f t="shared" si="22"/>
        <v>897.49999999999966</v>
      </c>
      <c r="M86" s="391">
        <v>0.93402777777777779</v>
      </c>
      <c r="N86" s="446">
        <v>0.98958333333333337</v>
      </c>
      <c r="O86" s="382">
        <v>20</v>
      </c>
      <c r="P86" s="421">
        <f>(N86-M86)*24*60</f>
        <v>80.000000000000028</v>
      </c>
      <c r="Q86" s="382"/>
      <c r="R86" s="382"/>
    </row>
    <row r="87" spans="1:18">
      <c r="A87" s="539"/>
      <c r="B87" s="383"/>
      <c r="C87" s="413"/>
      <c r="D87" s="414"/>
      <c r="E87" s="443"/>
      <c r="F87" s="385" t="s">
        <v>391</v>
      </c>
      <c r="G87" s="379"/>
      <c r="H87" s="445">
        <f t="shared" si="20"/>
        <v>0</v>
      </c>
      <c r="I87" s="387"/>
      <c r="J87" s="388"/>
      <c r="K87" s="389" t="e">
        <f t="shared" si="21"/>
        <v>#DIV/0!</v>
      </c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39"/>
      <c r="B88" s="383">
        <v>0</v>
      </c>
      <c r="C88" s="413"/>
      <c r="D88" s="414"/>
      <c r="E88" s="443"/>
      <c r="F88" s="385" t="s">
        <v>391</v>
      </c>
      <c r="G88" s="379"/>
      <c r="H88" s="445">
        <f t="shared" si="20"/>
        <v>0</v>
      </c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39"/>
      <c r="B89" s="383">
        <v>0</v>
      </c>
      <c r="C89" s="413"/>
      <c r="D89" s="414"/>
      <c r="E89" s="443"/>
      <c r="F89" s="385" t="s">
        <v>391</v>
      </c>
      <c r="G89" s="379"/>
      <c r="H89" s="445">
        <f t="shared" si="20"/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4">(N89-M89)*24*60</f>
        <v>0</v>
      </c>
      <c r="Q89" s="382"/>
      <c r="R89" s="382"/>
    </row>
    <row r="90" spans="1:18">
      <c r="A90" s="539"/>
      <c r="B90" s="383">
        <v>0</v>
      </c>
      <c r="C90" s="413"/>
      <c r="D90" s="414"/>
      <c r="E90" s="443"/>
      <c r="F90" s="385" t="s">
        <v>391</v>
      </c>
      <c r="G90" s="379"/>
      <c r="H90" s="445">
        <f t="shared" si="20"/>
        <v>0</v>
      </c>
      <c r="I90" s="387"/>
      <c r="J90" s="388"/>
      <c r="K90" s="389"/>
      <c r="L90" s="390"/>
      <c r="M90" s="391"/>
      <c r="N90" s="446"/>
      <c r="O90" s="382"/>
      <c r="P90" s="421">
        <f t="shared" si="24"/>
        <v>0</v>
      </c>
      <c r="Q90" s="382"/>
      <c r="R90" s="382"/>
    </row>
    <row r="91" spans="1:18" ht="17.45" customHeight="1">
      <c r="A91" s="539"/>
      <c r="B91" s="383">
        <v>0</v>
      </c>
      <c r="C91" s="12" t="s">
        <v>318</v>
      </c>
      <c r="D91" s="540" t="s">
        <v>75</v>
      </c>
      <c r="E91" s="540"/>
      <c r="F91" s="401"/>
      <c r="G91" s="447"/>
      <c r="H91" s="448"/>
      <c r="I91" s="404"/>
      <c r="J91" s="405">
        <f>AVERAGE(J82:J90)</f>
        <v>3.6</v>
      </c>
      <c r="K91" s="405" t="e">
        <f>AVERAGE(K82:K90)</f>
        <v>#DIV/0!</v>
      </c>
      <c r="L91" s="406">
        <f>AVERAGE(L82:L90)</f>
        <v>750.15363636363486</v>
      </c>
      <c r="M91" s="391"/>
      <c r="N91" s="391"/>
      <c r="O91" s="389"/>
      <c r="P91" s="389"/>
      <c r="Q91" s="390"/>
      <c r="R91" s="390"/>
    </row>
    <row r="92" spans="1:18" ht="16.149999999999999" customHeight="1">
      <c r="A92" s="541" t="s">
        <v>347</v>
      </c>
      <c r="B92" s="383" t="s">
        <v>389</v>
      </c>
      <c r="C92" s="400"/>
      <c r="D92" s="449" t="s">
        <v>348</v>
      </c>
      <c r="E92" s="443"/>
      <c r="F92" s="385">
        <v>24.54</v>
      </c>
      <c r="G92" s="379">
        <v>1786</v>
      </c>
      <c r="H92" s="386">
        <f t="shared" ref="H92:H97" si="25">F92*G92</f>
        <v>43828.439999999995</v>
      </c>
      <c r="I92" s="387"/>
      <c r="J92" s="388">
        <v>3</v>
      </c>
      <c r="K92" s="389">
        <f>G92/P92*60</f>
        <v>2143.1999999999939</v>
      </c>
      <c r="L92" s="390">
        <f t="shared" ref="L92:L93" si="26">K92/J92</f>
        <v>714.39999999999793</v>
      </c>
      <c r="M92" s="391">
        <v>0.72222222222222221</v>
      </c>
      <c r="N92" s="391">
        <v>0.75694444444444453</v>
      </c>
      <c r="O92" s="382">
        <v>20</v>
      </c>
      <c r="P92" s="392">
        <f>(N92-M92)*24*60</f>
        <v>50.000000000000142</v>
      </c>
      <c r="Q92" s="393"/>
      <c r="R92" s="393"/>
    </row>
    <row r="93" spans="1:18">
      <c r="A93" s="542"/>
      <c r="B93" s="383" t="s">
        <v>389</v>
      </c>
      <c r="C93" s="400"/>
      <c r="D93" s="414" t="s">
        <v>349</v>
      </c>
      <c r="E93" s="443"/>
      <c r="F93" s="385">
        <v>22.48</v>
      </c>
      <c r="G93" s="379">
        <v>1174</v>
      </c>
      <c r="H93" s="386">
        <f t="shared" si="25"/>
        <v>26391.52</v>
      </c>
      <c r="I93" s="387"/>
      <c r="J93" s="388">
        <v>4</v>
      </c>
      <c r="K93" s="389">
        <f t="shared" ref="K93" si="27">G93/P93*60</f>
        <v>2348.0000000000086</v>
      </c>
      <c r="L93" s="390">
        <f t="shared" si="26"/>
        <v>587.00000000000216</v>
      </c>
      <c r="M93" s="391">
        <v>0.77083333333333337</v>
      </c>
      <c r="N93" s="391">
        <v>0.79166666666666663</v>
      </c>
      <c r="O93" s="382">
        <v>20</v>
      </c>
      <c r="P93" s="392">
        <f>(N93-M93)*24*60</f>
        <v>29.999999999999893</v>
      </c>
      <c r="Q93" s="393"/>
      <c r="R93" s="393"/>
    </row>
    <row r="94" spans="1:18">
      <c r="A94" s="542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5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43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5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43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5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43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5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43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43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43"/>
      <c r="B100" s="383">
        <v>0</v>
      </c>
      <c r="C100" s="12" t="s">
        <v>350</v>
      </c>
      <c r="D100" s="544" t="s">
        <v>75</v>
      </c>
      <c r="E100" s="545"/>
      <c r="F100" s="401"/>
      <c r="G100" s="402"/>
      <c r="H100" s="450"/>
      <c r="I100" s="404"/>
      <c r="J100" s="405">
        <f>AVERAGE(J92:J99)</f>
        <v>3.5</v>
      </c>
      <c r="K100" s="405">
        <f>AVERAGE(K92:K99)</f>
        <v>2245.6000000000013</v>
      </c>
      <c r="L100" s="406">
        <f>AVERAGE(L92:L99)</f>
        <v>650.70000000000005</v>
      </c>
      <c r="M100" s="391"/>
      <c r="N100" s="391"/>
      <c r="O100" s="389"/>
      <c r="P100" s="389"/>
      <c r="Q100" s="390"/>
      <c r="R100" s="390"/>
    </row>
    <row r="101" spans="1:18" ht="16.149999999999999" customHeight="1">
      <c r="A101" s="546" t="s">
        <v>351</v>
      </c>
      <c r="B101" s="383" t="s">
        <v>389</v>
      </c>
      <c r="C101" s="12"/>
      <c r="D101" s="437" t="s">
        <v>352</v>
      </c>
      <c r="E101" s="451"/>
      <c r="F101" s="385">
        <v>25.03</v>
      </c>
      <c r="G101" s="379">
        <v>1053</v>
      </c>
      <c r="H101" s="386">
        <f t="shared" ref="H101:H110" si="28">F101*G101</f>
        <v>26356.59</v>
      </c>
      <c r="I101" s="387"/>
      <c r="J101" s="388">
        <v>4</v>
      </c>
      <c r="K101" s="389">
        <f>G101/P101*60</f>
        <v>3158.9999999999859</v>
      </c>
      <c r="L101" s="390">
        <f t="shared" ref="L101:L105" si="29">K101/J101</f>
        <v>789.74999999999648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0">(N101-M101)*24*60</f>
        <v>20.000000000000089</v>
      </c>
      <c r="Q101" s="390"/>
      <c r="R101" s="393"/>
    </row>
    <row r="102" spans="1:18">
      <c r="A102" s="546"/>
      <c r="B102" s="383" t="s">
        <v>389</v>
      </c>
      <c r="C102" s="12"/>
      <c r="D102" s="414" t="s">
        <v>353</v>
      </c>
      <c r="E102" s="451"/>
      <c r="F102" s="385">
        <v>24.82</v>
      </c>
      <c r="G102" s="379">
        <v>1665</v>
      </c>
      <c r="H102" s="386">
        <f t="shared" si="28"/>
        <v>41325.300000000003</v>
      </c>
      <c r="I102" s="387"/>
      <c r="J102" s="388">
        <v>4</v>
      </c>
      <c r="K102" s="389">
        <f t="shared" ref="K102:K105" si="31">G102/P102*60</f>
        <v>2854.2857142857247</v>
      </c>
      <c r="L102" s="390">
        <f t="shared" si="29"/>
        <v>713.57142857143117</v>
      </c>
      <c r="M102" s="391">
        <v>0.75</v>
      </c>
      <c r="N102" s="391">
        <v>0.77430555555555547</v>
      </c>
      <c r="O102" s="382">
        <v>20</v>
      </c>
      <c r="P102" s="389">
        <f t="shared" si="30"/>
        <v>34.999999999999872</v>
      </c>
      <c r="Q102" s="393"/>
      <c r="R102" s="393"/>
    </row>
    <row r="103" spans="1:18">
      <c r="A103" s="546"/>
      <c r="B103" s="383" t="s">
        <v>389</v>
      </c>
      <c r="C103" s="12"/>
      <c r="D103" s="433" t="s">
        <v>354</v>
      </c>
      <c r="E103" s="414"/>
      <c r="F103" s="385">
        <v>28.57</v>
      </c>
      <c r="G103" s="379">
        <v>2804</v>
      </c>
      <c r="H103" s="386">
        <f t="shared" si="28"/>
        <v>80110.28</v>
      </c>
      <c r="I103" s="387"/>
      <c r="J103" s="388">
        <v>3</v>
      </c>
      <c r="K103" s="389">
        <f t="shared" si="31"/>
        <v>2804.0000000000027</v>
      </c>
      <c r="L103" s="390">
        <f t="shared" si="29"/>
        <v>934.66666666666754</v>
      </c>
      <c r="M103" s="391">
        <v>0.78819444444444453</v>
      </c>
      <c r="N103" s="391">
        <v>0.82986111111111116</v>
      </c>
      <c r="O103" s="382">
        <v>20</v>
      </c>
      <c r="P103" s="389">
        <f t="shared" si="30"/>
        <v>59.999999999999943</v>
      </c>
      <c r="Q103" s="393"/>
      <c r="R103" s="393"/>
    </row>
    <row r="104" spans="1:18">
      <c r="A104" s="546"/>
      <c r="B104" s="383" t="s">
        <v>389</v>
      </c>
      <c r="C104" s="12"/>
      <c r="D104" s="414" t="s">
        <v>355</v>
      </c>
      <c r="E104" s="437"/>
      <c r="F104" s="385">
        <v>14.03</v>
      </c>
      <c r="G104" s="379">
        <v>5809</v>
      </c>
      <c r="H104" s="386">
        <f t="shared" si="28"/>
        <v>81500.26999999999</v>
      </c>
      <c r="I104" s="387"/>
      <c r="J104" s="388">
        <v>3</v>
      </c>
      <c r="K104" s="389">
        <f t="shared" si="31"/>
        <v>2904.4999999999986</v>
      </c>
      <c r="L104" s="390">
        <f t="shared" si="29"/>
        <v>968.16666666666617</v>
      </c>
      <c r="M104" s="391">
        <v>0.84375</v>
      </c>
      <c r="N104" s="391">
        <v>0.92708333333333337</v>
      </c>
      <c r="O104" s="382">
        <v>20</v>
      </c>
      <c r="P104" s="389">
        <f>(N104-M104)*24*60</f>
        <v>120.00000000000006</v>
      </c>
      <c r="Q104" s="393">
        <v>0.92708333333333337</v>
      </c>
      <c r="R104" s="393">
        <v>0.96875</v>
      </c>
    </row>
    <row r="105" spans="1:18">
      <c r="A105" s="546"/>
      <c r="B105" s="383" t="s">
        <v>389</v>
      </c>
      <c r="C105" s="12"/>
      <c r="D105" s="414" t="s">
        <v>356</v>
      </c>
      <c r="E105" s="433"/>
      <c r="F105" s="385">
        <v>14.285714285714283</v>
      </c>
      <c r="G105" s="379">
        <v>7683</v>
      </c>
      <c r="H105" s="386">
        <f t="shared" si="28"/>
        <v>109757.14285714284</v>
      </c>
      <c r="I105" s="387"/>
      <c r="J105" s="388">
        <v>3</v>
      </c>
      <c r="K105" s="389">
        <f t="shared" si="31"/>
        <v>-358.73929961089499</v>
      </c>
      <c r="L105" s="390">
        <f t="shared" si="29"/>
        <v>-119.579766536965</v>
      </c>
      <c r="M105" s="391">
        <v>0.98263888888888884</v>
      </c>
      <c r="N105" s="446">
        <v>9.0277777777777776E-2</v>
      </c>
      <c r="O105" s="382">
        <v>20</v>
      </c>
      <c r="P105" s="389">
        <f>(N105-M105)*24*60</f>
        <v>-1284.9999999999998</v>
      </c>
      <c r="Q105" s="390"/>
      <c r="R105" s="393"/>
    </row>
    <row r="106" spans="1:18">
      <c r="A106" s="546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8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0"/>
        <v>0</v>
      </c>
      <c r="Q106" s="390"/>
      <c r="R106" s="393"/>
    </row>
    <row r="107" spans="1:18">
      <c r="A107" s="546"/>
      <c r="B107" s="383">
        <v>0</v>
      </c>
      <c r="C107" s="12"/>
      <c r="D107" s="414"/>
      <c r="E107" s="433"/>
      <c r="F107" s="385" t="s">
        <v>391</v>
      </c>
      <c r="G107" s="379"/>
      <c r="H107" s="386">
        <f t="shared" si="28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0"/>
        <v>0</v>
      </c>
      <c r="Q107" s="390"/>
      <c r="R107" s="393"/>
    </row>
    <row r="108" spans="1:18">
      <c r="A108" s="546"/>
      <c r="B108" s="383">
        <v>0</v>
      </c>
      <c r="C108" s="12"/>
      <c r="D108" s="414"/>
      <c r="E108" s="433"/>
      <c r="F108" s="385" t="s">
        <v>391</v>
      </c>
      <c r="G108" s="379"/>
      <c r="H108" s="386">
        <f t="shared" si="28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0"/>
        <v>0</v>
      </c>
      <c r="Q108" s="390"/>
      <c r="R108" s="393"/>
    </row>
    <row r="109" spans="1:18">
      <c r="A109" s="546"/>
      <c r="B109" s="383">
        <v>0</v>
      </c>
      <c r="C109" s="400"/>
      <c r="D109" s="414"/>
      <c r="E109" s="433"/>
      <c r="F109" s="385" t="s">
        <v>391</v>
      </c>
      <c r="G109" s="379"/>
      <c r="H109" s="386">
        <f t="shared" si="28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0"/>
        <v>0</v>
      </c>
      <c r="Q109" s="390"/>
      <c r="R109" s="393"/>
    </row>
    <row r="110" spans="1:18">
      <c r="A110" s="546"/>
      <c r="B110" s="383">
        <v>0</v>
      </c>
      <c r="C110" s="400"/>
      <c r="D110" s="414"/>
      <c r="E110" s="433"/>
      <c r="F110" s="385" t="s">
        <v>391</v>
      </c>
      <c r="G110" s="379"/>
      <c r="H110" s="386">
        <f t="shared" si="28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0"/>
        <v>0</v>
      </c>
      <c r="Q110" s="390"/>
      <c r="R110" s="393"/>
    </row>
    <row r="111" spans="1:18" ht="15.75" customHeight="1">
      <c r="A111" s="546"/>
      <c r="B111" s="383">
        <v>0</v>
      </c>
      <c r="C111" s="12" t="s">
        <v>330</v>
      </c>
      <c r="D111" s="547" t="s">
        <v>75</v>
      </c>
      <c r="E111" s="548"/>
      <c r="F111" s="452"/>
      <c r="G111" s="453"/>
      <c r="H111" s="403"/>
      <c r="I111" s="404"/>
      <c r="J111" s="405">
        <f>AVERAGE(J101:J110)</f>
        <v>3.4</v>
      </c>
      <c r="K111" s="405">
        <f>AVERAGE(K101:K110)</f>
        <v>2272.6092829349632</v>
      </c>
      <c r="L111" s="406">
        <f>AVERAGE(L101:L110)</f>
        <v>657.31499907355919</v>
      </c>
      <c r="M111" s="391"/>
      <c r="N111" s="391"/>
      <c r="O111" s="389"/>
      <c r="P111" s="389"/>
      <c r="Q111" s="390"/>
      <c r="R111" s="382"/>
    </row>
    <row r="112" spans="1:18" ht="16.149999999999999" customHeight="1">
      <c r="A112" s="536" t="s">
        <v>357</v>
      </c>
      <c r="B112" s="383" t="s">
        <v>389</v>
      </c>
      <c r="C112" s="12"/>
      <c r="D112" s="441" t="s">
        <v>358</v>
      </c>
      <c r="E112" s="454"/>
      <c r="F112" s="385">
        <v>18.18</v>
      </c>
      <c r="G112" s="379">
        <v>894</v>
      </c>
      <c r="H112" s="444">
        <f t="shared" si="3"/>
        <v>16252.92</v>
      </c>
      <c r="I112" s="387"/>
      <c r="J112" s="388">
        <v>4</v>
      </c>
      <c r="K112" s="389">
        <f t="shared" ref="K112:K113" si="32">G112/P112*60</f>
        <v>2681.9999999999882</v>
      </c>
      <c r="L112" s="390">
        <f t="shared" ref="L112:L113" si="33">K112/J112</f>
        <v>670.49999999999704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4">(N112-M112)*24*60</f>
        <v>20.000000000000089</v>
      </c>
      <c r="Q112" s="382"/>
      <c r="R112" s="382"/>
    </row>
    <row r="113" spans="1:18">
      <c r="A113" s="536"/>
      <c r="B113" s="383" t="s">
        <v>389</v>
      </c>
      <c r="C113" s="413"/>
      <c r="D113" s="441" t="s">
        <v>359</v>
      </c>
      <c r="E113" s="441"/>
      <c r="F113" s="385">
        <v>18.18</v>
      </c>
      <c r="G113" s="379">
        <v>1045</v>
      </c>
      <c r="H113" s="444">
        <f t="shared" si="3"/>
        <v>18998.099999999999</v>
      </c>
      <c r="I113" s="387"/>
      <c r="J113" s="388">
        <v>3</v>
      </c>
      <c r="K113" s="389">
        <f t="shared" si="32"/>
        <v>3135.0000000000109</v>
      </c>
      <c r="L113" s="390">
        <f t="shared" si="33"/>
        <v>1045.0000000000036</v>
      </c>
      <c r="M113" s="391">
        <v>0.75</v>
      </c>
      <c r="N113" s="391">
        <v>0.76388888888888884</v>
      </c>
      <c r="O113" s="382">
        <v>20</v>
      </c>
      <c r="P113" s="392">
        <f t="shared" si="34"/>
        <v>19.999999999999929</v>
      </c>
      <c r="Q113" s="393"/>
      <c r="R113" s="393"/>
    </row>
    <row r="114" spans="1:18">
      <c r="A114" s="536"/>
      <c r="B114" s="383">
        <v>0</v>
      </c>
      <c r="C114" s="413"/>
      <c r="D114" s="437"/>
      <c r="E114" s="414"/>
      <c r="F114" s="385" t="s">
        <v>391</v>
      </c>
      <c r="G114" s="379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4"/>
        <v>0</v>
      </c>
      <c r="Q114" s="393"/>
      <c r="R114" s="393"/>
    </row>
    <row r="115" spans="1:18">
      <c r="A115" s="536"/>
      <c r="B115" s="383">
        <v>0</v>
      </c>
      <c r="C115" s="413"/>
      <c r="D115" s="414"/>
      <c r="E115" s="437"/>
      <c r="F115" s="385" t="s">
        <v>391</v>
      </c>
      <c r="G115" s="379"/>
      <c r="H115" s="444">
        <f t="shared" ref="H115:H123" si="35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4"/>
        <v>0</v>
      </c>
      <c r="Q115" s="393"/>
      <c r="R115" s="393"/>
    </row>
    <row r="116" spans="1:18">
      <c r="A116" s="536"/>
      <c r="B116" s="383">
        <v>0</v>
      </c>
      <c r="C116" s="413"/>
      <c r="D116" s="414"/>
      <c r="E116" s="433"/>
      <c r="F116" s="385" t="s">
        <v>391</v>
      </c>
      <c r="G116" s="379"/>
      <c r="H116" s="444">
        <f t="shared" si="35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4"/>
        <v>0</v>
      </c>
      <c r="Q116" s="393"/>
      <c r="R116" s="393"/>
    </row>
    <row r="117" spans="1:18">
      <c r="A117" s="536"/>
      <c r="B117" s="383">
        <v>0</v>
      </c>
      <c r="C117" s="413"/>
      <c r="D117" s="433"/>
      <c r="E117" s="432"/>
      <c r="F117" s="385" t="s">
        <v>391</v>
      </c>
      <c r="G117" s="379"/>
      <c r="H117" s="444">
        <f t="shared" si="35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4"/>
        <v>0</v>
      </c>
      <c r="Q117" s="393"/>
      <c r="R117" s="393"/>
    </row>
    <row r="118" spans="1:18">
      <c r="A118" s="536"/>
      <c r="B118" s="383">
        <v>0</v>
      </c>
      <c r="C118" s="413"/>
      <c r="D118" s="433"/>
      <c r="E118" s="432"/>
      <c r="F118" s="385" t="s">
        <v>391</v>
      </c>
      <c r="G118" s="379"/>
      <c r="H118" s="444">
        <f t="shared" si="35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4"/>
        <v>0</v>
      </c>
      <c r="Q118" s="393"/>
      <c r="R118" s="393"/>
    </row>
    <row r="119" spans="1:18">
      <c r="A119" s="536"/>
      <c r="B119" s="383">
        <v>0</v>
      </c>
      <c r="C119" s="413"/>
      <c r="D119" s="433"/>
      <c r="E119" s="432"/>
      <c r="F119" s="385" t="s">
        <v>391</v>
      </c>
      <c r="G119" s="379"/>
      <c r="H119" s="444">
        <f t="shared" si="35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4"/>
        <v>0</v>
      </c>
      <c r="Q119" s="393"/>
      <c r="R119" s="393"/>
    </row>
    <row r="120" spans="1:18">
      <c r="A120" s="536"/>
      <c r="B120" s="383">
        <v>0</v>
      </c>
      <c r="C120" s="413"/>
      <c r="D120" s="433"/>
      <c r="E120" s="432"/>
      <c r="F120" s="385" t="s">
        <v>391</v>
      </c>
      <c r="G120" s="379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36"/>
      <c r="B121" s="383">
        <v>0</v>
      </c>
      <c r="C121" s="413"/>
      <c r="D121" s="433"/>
      <c r="E121" s="432"/>
      <c r="F121" s="385" t="s">
        <v>391</v>
      </c>
      <c r="G121" s="379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36"/>
      <c r="B122" s="383">
        <v>0</v>
      </c>
      <c r="C122" s="413"/>
      <c r="D122" s="433"/>
      <c r="E122" s="432"/>
      <c r="F122" s="385" t="s">
        <v>391</v>
      </c>
      <c r="G122" s="379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4"/>
        <v>0</v>
      </c>
      <c r="Q122" s="393"/>
      <c r="R122" s="393"/>
    </row>
    <row r="123" spans="1:18">
      <c r="A123" s="536"/>
      <c r="B123" s="383">
        <v>0</v>
      </c>
      <c r="C123" s="413"/>
      <c r="D123" s="433"/>
      <c r="E123" s="432"/>
      <c r="F123" s="385" t="s">
        <v>391</v>
      </c>
      <c r="G123" s="379"/>
      <c r="H123" s="444">
        <f t="shared" si="35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4"/>
        <v>0</v>
      </c>
      <c r="Q123" s="393"/>
      <c r="R123" s="393"/>
    </row>
    <row r="124" spans="1:18" ht="17.45" customHeight="1">
      <c r="A124" s="536"/>
      <c r="B124" s="400">
        <v>0</v>
      </c>
      <c r="C124" s="12" t="s">
        <v>339</v>
      </c>
      <c r="D124" s="537" t="s">
        <v>75</v>
      </c>
      <c r="E124" s="537"/>
      <c r="F124" s="401"/>
      <c r="G124" s="447"/>
      <c r="H124" s="448"/>
      <c r="I124" s="404"/>
      <c r="J124" s="405">
        <f>AVERAGE(J112:J123)</f>
        <v>3.5</v>
      </c>
      <c r="K124" s="405">
        <f>AVERAGE(K112:K123)</f>
        <v>2908.4999999999995</v>
      </c>
      <c r="L124" s="406">
        <f>AVERAGE(L112:L123)</f>
        <v>857.75000000000034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4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5" activePane="bottomLeft" state="frozen"/>
      <selection activeCell="Y9" sqref="Y9"/>
      <selection pane="bottomLeft" activeCell="K20" sqref="K20"/>
    </sheetView>
  </sheetViews>
  <sheetFormatPr defaultColWidth="7.875" defaultRowHeight="15.75"/>
  <cols>
    <col min="1" max="1" width="14.25" style="71" customWidth="1"/>
    <col min="2" max="2" width="12.75" style="71" customWidth="1"/>
    <col min="3" max="3" width="12.75" style="71" hidden="1" customWidth="1"/>
    <col min="4" max="4" width="14.25" style="71" customWidth="1"/>
    <col min="5" max="5" width="16.5" style="71" customWidth="1"/>
    <col min="6" max="6" width="8.875" style="71" customWidth="1"/>
    <col min="7" max="7" width="20.25" style="71" bestFit="1" customWidth="1"/>
    <col min="8" max="8" width="16.375" style="71" customWidth="1"/>
    <col min="9" max="9" width="6.375" style="71" customWidth="1"/>
    <col min="10" max="10" width="10.125" style="71" customWidth="1"/>
    <col min="11" max="11" width="10.625" style="71" customWidth="1"/>
    <col min="12" max="12" width="14.5" style="71" customWidth="1"/>
    <col min="13" max="13" width="10.125" style="71" customWidth="1"/>
    <col min="14" max="14" width="9.25" style="71" customWidth="1"/>
    <col min="15" max="15" width="11.875" style="71" customWidth="1"/>
    <col min="16" max="16" width="6" style="71" customWidth="1"/>
    <col min="17" max="18" width="9.25" style="71" customWidth="1"/>
    <col min="19" max="19" width="8.625" style="71" customWidth="1"/>
    <col min="20" max="21" width="7.625" style="71" bestFit="1" customWidth="1"/>
    <col min="22" max="22" width="10.625" style="71" customWidth="1"/>
    <col min="23" max="23" width="8.625" style="360" customWidth="1"/>
    <col min="24" max="25" width="7.125" style="71" customWidth="1"/>
    <col min="26" max="27" width="9.5" style="71" customWidth="1"/>
    <col min="28" max="28" width="12.625" style="71" customWidth="1"/>
    <col min="29" max="29" width="12.5" style="71" customWidth="1"/>
    <col min="30" max="31" width="9.5" style="71" customWidth="1"/>
    <col min="32" max="32" width="13.125" style="71" customWidth="1"/>
    <col min="33" max="33" width="10.375" style="71" customWidth="1"/>
    <col min="34" max="34" width="9.25" style="71" customWidth="1"/>
    <col min="35" max="35" width="7.875" style="71" customWidth="1"/>
    <col min="36" max="36" width="24.5" style="71" bestFit="1" customWidth="1"/>
    <col min="37" max="16384" width="7.875" style="71"/>
  </cols>
  <sheetData>
    <row r="1" spans="1:34" ht="26.25" customHeight="1">
      <c r="A1" s="62" t="s">
        <v>226</v>
      </c>
      <c r="B1" s="62"/>
      <c r="C1" s="62"/>
      <c r="D1" s="63" t="s">
        <v>227</v>
      </c>
      <c r="E1" s="64">
        <f>SUM(G5:G173)</f>
        <v>134450.1</v>
      </c>
      <c r="F1" s="65" t="s">
        <v>3</v>
      </c>
      <c r="G1" s="66">
        <f>SUM(H5:H173)</f>
        <v>5353074.1538777649</v>
      </c>
      <c r="H1" s="67" t="s">
        <v>83</v>
      </c>
      <c r="I1" s="68">
        <f>M17+M30+M43+M56+M69+M82+M95+M108+M121+M134+M147+M160+M173</f>
        <v>187.71547619047621</v>
      </c>
      <c r="J1" s="668" t="s">
        <v>84</v>
      </c>
      <c r="K1" s="668"/>
      <c r="L1" s="668"/>
      <c r="M1" s="668" t="s">
        <v>85</v>
      </c>
      <c r="N1" s="668"/>
      <c r="O1" s="668"/>
      <c r="P1" s="668" t="s">
        <v>228</v>
      </c>
      <c r="Q1" s="668"/>
      <c r="R1" s="668"/>
      <c r="S1" s="668"/>
      <c r="T1" s="668" t="s">
        <v>229</v>
      </c>
      <c r="U1" s="668"/>
      <c r="V1" s="668"/>
      <c r="W1" s="668"/>
      <c r="X1" s="668"/>
      <c r="Y1" s="668"/>
      <c r="Z1" s="69" t="s">
        <v>230</v>
      </c>
      <c r="AA1" s="69" t="s">
        <v>231</v>
      </c>
      <c r="AB1" s="669" t="s">
        <v>232</v>
      </c>
      <c r="AC1" s="670"/>
      <c r="AD1" s="69" t="s">
        <v>230</v>
      </c>
      <c r="AE1" s="69" t="s">
        <v>233</v>
      </c>
      <c r="AF1" s="668" t="s">
        <v>234</v>
      </c>
      <c r="AG1" s="673"/>
      <c r="AH1" s="673"/>
    </row>
    <row r="2" spans="1:34" ht="26.25" customHeight="1">
      <c r="A2" s="667" t="s">
        <v>292</v>
      </c>
      <c r="B2" s="667"/>
      <c r="C2" s="63"/>
      <c r="D2" s="63" t="s">
        <v>236</v>
      </c>
      <c r="E2" s="73">
        <f>AVERAGE(O17,O30,O43,O56,O69,O82,O95,O108,O121,O134,O147,O160,O173)</f>
        <v>128.35518695164777</v>
      </c>
      <c r="F2" s="74" t="s">
        <v>94</v>
      </c>
      <c r="G2" s="75">
        <f>G1/E1</f>
        <v>39.814579192412388</v>
      </c>
      <c r="H2" s="67" t="s">
        <v>95</v>
      </c>
      <c r="I2" s="67">
        <f>COUNT(I5:I173)</f>
        <v>5</v>
      </c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8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71"/>
      <c r="AC2" s="672"/>
      <c r="AD2" s="77">
        <f>AD17+AD30+AD43+AD56+AD69+AD82+AD95+AD108+AD121+AD134+AD147+AD160+AD173</f>
        <v>4</v>
      </c>
      <c r="AE2" s="77">
        <f>AE17+AE30+AE43+AE56+AE69+AE82+AE95+AE108+AE121+AE134+AE147+AE160+AE173</f>
        <v>3</v>
      </c>
      <c r="AF2" s="673"/>
      <c r="AG2" s="673"/>
      <c r="AH2" s="673"/>
    </row>
    <row r="3" spans="1:34" ht="30.6" customHeight="1">
      <c r="A3" s="601" t="s">
        <v>237</v>
      </c>
      <c r="B3" s="601" t="s">
        <v>97</v>
      </c>
      <c r="C3" s="665"/>
      <c r="D3" s="601" t="s">
        <v>238</v>
      </c>
      <c r="E3" s="601"/>
      <c r="F3" s="665" t="s">
        <v>99</v>
      </c>
      <c r="G3" s="659" t="s">
        <v>100</v>
      </c>
      <c r="H3" s="665" t="s">
        <v>101</v>
      </c>
      <c r="I3" s="661" t="s">
        <v>239</v>
      </c>
      <c r="J3" s="664" t="s">
        <v>103</v>
      </c>
      <c r="K3" s="654" t="s">
        <v>104</v>
      </c>
      <c r="L3" s="635" t="s">
        <v>76</v>
      </c>
      <c r="M3" s="659" t="s">
        <v>103</v>
      </c>
      <c r="N3" s="654" t="s">
        <v>240</v>
      </c>
      <c r="O3" s="635" t="s">
        <v>236</v>
      </c>
      <c r="P3" s="664" t="s">
        <v>241</v>
      </c>
      <c r="Q3" s="635" t="s">
        <v>236</v>
      </c>
      <c r="R3" s="655" t="s">
        <v>242</v>
      </c>
      <c r="S3" s="632" t="s">
        <v>243</v>
      </c>
      <c r="T3" s="659" t="s">
        <v>109</v>
      </c>
      <c r="U3" s="659"/>
      <c r="V3" s="660" t="s">
        <v>110</v>
      </c>
      <c r="W3" s="661" t="s">
        <v>244</v>
      </c>
      <c r="X3" s="659" t="s">
        <v>245</v>
      </c>
      <c r="Y3" s="659"/>
      <c r="Z3" s="662" t="s">
        <v>246</v>
      </c>
      <c r="AA3" s="663"/>
      <c r="AB3" s="650" t="s">
        <v>247</v>
      </c>
      <c r="AC3" s="651"/>
      <c r="AD3" s="652" t="s">
        <v>248</v>
      </c>
      <c r="AE3" s="653"/>
      <c r="AF3" s="654" t="s">
        <v>240</v>
      </c>
      <c r="AG3" s="655" t="s">
        <v>242</v>
      </c>
      <c r="AH3" s="632" t="s">
        <v>243</v>
      </c>
    </row>
    <row r="4" spans="1:34" ht="30.6" customHeight="1">
      <c r="A4" s="665"/>
      <c r="B4" s="601"/>
      <c r="C4" s="666"/>
      <c r="D4" s="601"/>
      <c r="E4" s="601"/>
      <c r="F4" s="666"/>
      <c r="G4" s="659"/>
      <c r="H4" s="666"/>
      <c r="I4" s="661"/>
      <c r="J4" s="664"/>
      <c r="K4" s="654"/>
      <c r="L4" s="635"/>
      <c r="M4" s="659"/>
      <c r="N4" s="654"/>
      <c r="O4" s="635"/>
      <c r="P4" s="664"/>
      <c r="Q4" s="635"/>
      <c r="R4" s="655"/>
      <c r="S4" s="632"/>
      <c r="T4" s="79" t="s">
        <v>116</v>
      </c>
      <c r="U4" s="79" t="s">
        <v>117</v>
      </c>
      <c r="V4" s="659"/>
      <c r="W4" s="661"/>
      <c r="X4" s="65" t="s">
        <v>249</v>
      </c>
      <c r="Y4" s="65" t="s">
        <v>78</v>
      </c>
      <c r="Z4" s="79" t="s">
        <v>250</v>
      </c>
      <c r="AA4" s="79" t="s">
        <v>251</v>
      </c>
      <c r="AB4" s="651"/>
      <c r="AC4" s="651"/>
      <c r="AD4" s="79" t="s">
        <v>252</v>
      </c>
      <c r="AE4" s="80" t="s">
        <v>253</v>
      </c>
      <c r="AF4" s="654"/>
      <c r="AG4" s="655"/>
      <c r="AH4" s="632"/>
    </row>
    <row r="5" spans="1:34" ht="19.5" customHeight="1">
      <c r="A5" s="656" t="s">
        <v>254</v>
      </c>
      <c r="B5" s="81" t="s">
        <v>385</v>
      </c>
      <c r="C5" s="82"/>
      <c r="D5" s="83" t="s">
        <v>124</v>
      </c>
      <c r="E5" s="84"/>
      <c r="F5" s="85">
        <v>37.94</v>
      </c>
      <c r="G5" s="86">
        <v>2755</v>
      </c>
      <c r="H5" s="87">
        <f t="shared" ref="H5:H16" si="0">F5*G5</f>
        <v>104524.7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1" si="1">G5/W5*60</f>
        <v>2119.2307692307704</v>
      </c>
      <c r="O5" s="90">
        <f t="shared" ref="O5:O11" si="2">N5/M5</f>
        <v>105.96153846153852</v>
      </c>
      <c r="P5" s="92">
        <f t="shared" ref="P5:P11" si="3">M5-J5</f>
        <v>0</v>
      </c>
      <c r="Q5" s="93">
        <f t="shared" ref="Q5:Q11" si="4">O5-L5</f>
        <v>-4.0384615384614762</v>
      </c>
      <c r="R5" s="94">
        <f t="shared" ref="R5:R11" si="5">O5/L5</f>
        <v>0.96328671328671389</v>
      </c>
      <c r="S5" s="620">
        <f>R17</f>
        <v>0.90145543158436403</v>
      </c>
      <c r="T5" s="96">
        <v>0.29166666666666669</v>
      </c>
      <c r="U5" s="96">
        <v>0.34583333333333333</v>
      </c>
      <c r="V5" s="65">
        <v>5</v>
      </c>
      <c r="W5" s="88">
        <f>(U5-T5)*24*60</f>
        <v>77.999999999999957</v>
      </c>
      <c r="X5" s="65"/>
      <c r="Y5" s="65"/>
      <c r="Z5" s="97"/>
      <c r="AA5" s="97"/>
      <c r="AB5" s="601"/>
      <c r="AC5" s="601"/>
      <c r="AD5" s="98"/>
      <c r="AE5" s="98"/>
      <c r="AF5" s="92">
        <f t="shared" ref="AF5:AF70" si="6">N5-K5</f>
        <v>-80.76923076922958</v>
      </c>
      <c r="AG5" s="94">
        <f t="shared" ref="AG5:AG70" si="7">N5/K5</f>
        <v>0.96328671328671378</v>
      </c>
      <c r="AH5" s="620">
        <f>AG17</f>
        <v>0.89309079467538999</v>
      </c>
    </row>
    <row r="6" spans="1:34" ht="19.149999999999999" customHeight="1">
      <c r="A6" s="657"/>
      <c r="B6" s="81" t="s">
        <v>385</v>
      </c>
      <c r="C6" s="82"/>
      <c r="D6" s="83" t="s">
        <v>125</v>
      </c>
      <c r="E6" s="84"/>
      <c r="F6" s="85">
        <v>31.266131815044861</v>
      </c>
      <c r="G6" s="86">
        <v>1441</v>
      </c>
      <c r="H6" s="87">
        <f t="shared" si="0"/>
        <v>45054.495945479648</v>
      </c>
      <c r="I6" s="88"/>
      <c r="J6" s="89">
        <v>18</v>
      </c>
      <c r="K6" s="86">
        <v>2700</v>
      </c>
      <c r="L6" s="90">
        <v>150</v>
      </c>
      <c r="M6" s="91">
        <v>18</v>
      </c>
      <c r="N6" s="86">
        <f t="shared" si="1"/>
        <v>2470.2857142857115</v>
      </c>
      <c r="O6" s="90">
        <f t="shared" si="2"/>
        <v>137.23809523809507</v>
      </c>
      <c r="P6" s="92">
        <f t="shared" si="3"/>
        <v>0</v>
      </c>
      <c r="Q6" s="93">
        <f t="shared" si="4"/>
        <v>-12.76190476190493</v>
      </c>
      <c r="R6" s="94">
        <f t="shared" si="5"/>
        <v>0.9149206349206338</v>
      </c>
      <c r="S6" s="620"/>
      <c r="T6" s="96">
        <v>0.35069444444444442</v>
      </c>
      <c r="U6" s="96">
        <v>0.375</v>
      </c>
      <c r="V6" s="65">
        <v>7</v>
      </c>
      <c r="W6" s="88">
        <f t="shared" ref="W6:W17" si="8">(U6-T6)*24*60</f>
        <v>35.000000000000036</v>
      </c>
      <c r="X6" s="99"/>
      <c r="Y6" s="99"/>
      <c r="Z6" s="100"/>
      <c r="AA6" s="100"/>
      <c r="AB6" s="601"/>
      <c r="AC6" s="601"/>
      <c r="AD6" s="101"/>
      <c r="AE6" s="101"/>
      <c r="AF6" s="92">
        <f t="shared" si="6"/>
        <v>-229.71428571428851</v>
      </c>
      <c r="AG6" s="94">
        <f t="shared" si="7"/>
        <v>0.91492063492063391</v>
      </c>
      <c r="AH6" s="620"/>
    </row>
    <row r="7" spans="1:34" ht="19.149999999999999" customHeight="1">
      <c r="A7" s="657"/>
      <c r="B7" s="81" t="s">
        <v>385</v>
      </c>
      <c r="C7" s="82"/>
      <c r="D7" s="83" t="s">
        <v>126</v>
      </c>
      <c r="E7" s="84"/>
      <c r="F7" s="85">
        <v>38.630952380952372</v>
      </c>
      <c r="G7" s="86">
        <v>2382</v>
      </c>
      <c r="H7" s="87">
        <f t="shared" si="0"/>
        <v>92018.928571428551</v>
      </c>
      <c r="I7" s="88"/>
      <c r="J7" s="89">
        <v>18</v>
      </c>
      <c r="K7" s="86">
        <v>2800</v>
      </c>
      <c r="L7" s="90">
        <v>155.55555555555554</v>
      </c>
      <c r="M7" s="91">
        <v>18</v>
      </c>
      <c r="N7" s="86">
        <f t="shared" si="1"/>
        <v>2464.137931034481</v>
      </c>
      <c r="O7" s="90">
        <f t="shared" si="2"/>
        <v>136.89655172413782</v>
      </c>
      <c r="P7" s="92">
        <f t="shared" si="3"/>
        <v>0</v>
      </c>
      <c r="Q7" s="93">
        <f t="shared" si="4"/>
        <v>-18.659003831417721</v>
      </c>
      <c r="R7" s="94">
        <f t="shared" si="5"/>
        <v>0.88004926108374326</v>
      </c>
      <c r="S7" s="620"/>
      <c r="T7" s="96">
        <v>0.39027777777777778</v>
      </c>
      <c r="U7" s="96">
        <v>0.43055555555555558</v>
      </c>
      <c r="V7" s="65">
        <v>22</v>
      </c>
      <c r="W7" s="88">
        <f t="shared" si="8"/>
        <v>58.000000000000036</v>
      </c>
      <c r="X7" s="99">
        <v>0.37847222222222227</v>
      </c>
      <c r="Y7" s="99">
        <v>0.38750000000000001</v>
      </c>
      <c r="Z7" s="100"/>
      <c r="AA7" s="100"/>
      <c r="AB7" s="601"/>
      <c r="AC7" s="601"/>
      <c r="AD7" s="101">
        <v>1</v>
      </c>
      <c r="AE7" s="101"/>
      <c r="AF7" s="92">
        <f t="shared" si="6"/>
        <v>-335.86206896551903</v>
      </c>
      <c r="AG7" s="94">
        <f t="shared" si="7"/>
        <v>0.88004926108374315</v>
      </c>
      <c r="AH7" s="620"/>
    </row>
    <row r="8" spans="1:34" ht="19.149999999999999" customHeight="1">
      <c r="A8" s="657"/>
      <c r="B8" s="81" t="s">
        <v>385</v>
      </c>
      <c r="C8" s="82"/>
      <c r="D8" s="83" t="s">
        <v>127</v>
      </c>
      <c r="E8" s="84"/>
      <c r="F8" s="85">
        <v>38</v>
      </c>
      <c r="G8" s="86">
        <v>4500</v>
      </c>
      <c r="H8" s="87">
        <f t="shared" si="0"/>
        <v>171000</v>
      </c>
      <c r="I8" s="88"/>
      <c r="J8" s="89">
        <v>19</v>
      </c>
      <c r="K8" s="86">
        <v>2800</v>
      </c>
      <c r="L8" s="90">
        <v>147.36842105263159</v>
      </c>
      <c r="M8" s="91">
        <v>18</v>
      </c>
      <c r="N8" s="86">
        <f t="shared" si="1"/>
        <v>2454.5454545454559</v>
      </c>
      <c r="O8" s="90">
        <f t="shared" si="2"/>
        <v>136.36363636363643</v>
      </c>
      <c r="P8" s="92">
        <f t="shared" si="3"/>
        <v>-1</v>
      </c>
      <c r="Q8" s="93">
        <f t="shared" si="4"/>
        <v>-11.004784688995159</v>
      </c>
      <c r="R8" s="94">
        <f t="shared" si="5"/>
        <v>0.92532467532467566</v>
      </c>
      <c r="S8" s="620"/>
      <c r="T8" s="96">
        <v>0.43472222222222223</v>
      </c>
      <c r="U8" s="96">
        <v>0.51111111111111107</v>
      </c>
      <c r="V8" s="65">
        <v>6</v>
      </c>
      <c r="W8" s="88">
        <f t="shared" si="8"/>
        <v>109.99999999999993</v>
      </c>
      <c r="X8" s="99"/>
      <c r="Y8" s="99"/>
      <c r="Z8" s="100"/>
      <c r="AA8" s="100"/>
      <c r="AB8" s="601"/>
      <c r="AC8" s="601"/>
      <c r="AD8" s="101"/>
      <c r="AE8" s="101"/>
      <c r="AF8" s="92">
        <f t="shared" si="6"/>
        <v>-345.45454545454413</v>
      </c>
      <c r="AG8" s="94">
        <f t="shared" si="7"/>
        <v>0.87662337662337708</v>
      </c>
      <c r="AH8" s="620"/>
    </row>
    <row r="9" spans="1:34" ht="19.149999999999999" customHeight="1">
      <c r="A9" s="657"/>
      <c r="B9" s="81" t="s">
        <v>386</v>
      </c>
      <c r="C9" s="102"/>
      <c r="D9" s="83" t="s">
        <v>128</v>
      </c>
      <c r="E9" s="103"/>
      <c r="F9" s="85">
        <v>59.34</v>
      </c>
      <c r="G9" s="104">
        <v>568</v>
      </c>
      <c r="H9" s="87">
        <f t="shared" si="0"/>
        <v>33705.120000000003</v>
      </c>
      <c r="I9" s="101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1217.1428571428546</v>
      </c>
      <c r="O9" s="90">
        <f t="shared" si="2"/>
        <v>64.060150375939713</v>
      </c>
      <c r="P9" s="92">
        <f t="shared" si="3"/>
        <v>0</v>
      </c>
      <c r="Q9" s="93">
        <f t="shared" si="4"/>
        <v>-11.729323308270807</v>
      </c>
      <c r="R9" s="94">
        <f t="shared" si="5"/>
        <v>0.84523809523809346</v>
      </c>
      <c r="S9" s="620"/>
      <c r="T9" s="96">
        <v>0.55138888888888882</v>
      </c>
      <c r="U9" s="96">
        <v>0.5708333333333333</v>
      </c>
      <c r="V9" s="65">
        <v>5</v>
      </c>
      <c r="W9" s="88">
        <f t="shared" si="8"/>
        <v>28.00000000000006</v>
      </c>
      <c r="X9" s="99"/>
      <c r="Y9" s="99"/>
      <c r="Z9" s="100"/>
      <c r="AA9" s="100"/>
      <c r="AB9" s="601"/>
      <c r="AC9" s="601"/>
      <c r="AD9" s="101"/>
      <c r="AE9" s="101"/>
      <c r="AF9" s="92">
        <f t="shared" si="6"/>
        <v>-222.85714285714539</v>
      </c>
      <c r="AG9" s="94">
        <f t="shared" si="7"/>
        <v>0.84523809523809346</v>
      </c>
      <c r="AH9" s="620"/>
    </row>
    <row r="10" spans="1:34" ht="19.149999999999999" customHeight="1">
      <c r="A10" s="658"/>
      <c r="B10" s="81" t="s">
        <v>386</v>
      </c>
      <c r="C10" s="82"/>
      <c r="D10" s="83" t="s">
        <v>129</v>
      </c>
      <c r="E10" s="84"/>
      <c r="F10" s="85">
        <v>71.55</v>
      </c>
      <c r="G10" s="86">
        <v>710</v>
      </c>
      <c r="H10" s="87">
        <f t="shared" si="0"/>
        <v>50800.5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1217.1428571428617</v>
      </c>
      <c r="O10" s="90">
        <f t="shared" si="2"/>
        <v>67.619047619047876</v>
      </c>
      <c r="P10" s="92">
        <f t="shared" si="3"/>
        <v>0</v>
      </c>
      <c r="Q10" s="93">
        <f t="shared" si="4"/>
        <v>-9.3253968253965667</v>
      </c>
      <c r="R10" s="94">
        <f t="shared" si="5"/>
        <v>0.8788035069623551</v>
      </c>
      <c r="S10" s="623"/>
      <c r="T10" s="96">
        <v>0.57638888888888895</v>
      </c>
      <c r="U10" s="96">
        <v>0.60069444444444442</v>
      </c>
      <c r="V10" s="65">
        <v>8</v>
      </c>
      <c r="W10" s="88">
        <f t="shared" si="8"/>
        <v>34.999999999999872</v>
      </c>
      <c r="X10" s="99"/>
      <c r="Y10" s="99"/>
      <c r="Z10" s="100"/>
      <c r="AA10" s="100"/>
      <c r="AB10" s="601"/>
      <c r="AC10" s="601"/>
      <c r="AD10" s="101"/>
      <c r="AE10" s="101"/>
      <c r="AF10" s="92">
        <f t="shared" si="6"/>
        <v>-167.85714285713834</v>
      </c>
      <c r="AG10" s="94">
        <f t="shared" si="7"/>
        <v>0.87880350696235499</v>
      </c>
      <c r="AH10" s="623"/>
    </row>
    <row r="11" spans="1:34" ht="19.149999999999999" customHeight="1">
      <c r="A11" s="658"/>
      <c r="B11" s="81" t="s">
        <v>386</v>
      </c>
      <c r="C11" s="82"/>
      <c r="D11" s="83" t="s">
        <v>130</v>
      </c>
      <c r="E11" s="84"/>
      <c r="F11" s="85">
        <v>77.34</v>
      </c>
      <c r="G11" s="86">
        <v>622</v>
      </c>
      <c r="H11" s="87">
        <f t="shared" si="0"/>
        <v>48105.48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1243.9999999999977</v>
      </c>
      <c r="O11" s="90">
        <f t="shared" si="2"/>
        <v>69.111111111110986</v>
      </c>
      <c r="P11" s="92">
        <f t="shared" si="3"/>
        <v>0</v>
      </c>
      <c r="Q11" s="93">
        <f t="shared" si="4"/>
        <v>-10.888888888889014</v>
      </c>
      <c r="R11" s="94">
        <f t="shared" si="5"/>
        <v>0.86388888888888737</v>
      </c>
      <c r="S11" s="623"/>
      <c r="T11" s="96">
        <v>0.60555555555555551</v>
      </c>
      <c r="U11" s="96">
        <v>0.62638888888888888</v>
      </c>
      <c r="V11" s="65">
        <v>7</v>
      </c>
      <c r="W11" s="88">
        <f t="shared" si="8"/>
        <v>30.000000000000053</v>
      </c>
      <c r="X11" s="99"/>
      <c r="Y11" s="99"/>
      <c r="Z11" s="100"/>
      <c r="AA11" s="100"/>
      <c r="AB11" s="601"/>
      <c r="AC11" s="601"/>
      <c r="AD11" s="101"/>
      <c r="AE11" s="101"/>
      <c r="AF11" s="92">
        <f t="shared" si="6"/>
        <v>-196.00000000000227</v>
      </c>
      <c r="AG11" s="94">
        <f t="shared" si="7"/>
        <v>0.86388888888888726</v>
      </c>
      <c r="AH11" s="623"/>
    </row>
    <row r="12" spans="1:34" ht="19.149999999999999" customHeight="1">
      <c r="A12" s="658"/>
      <c r="B12" s="81">
        <v>0</v>
      </c>
      <c r="C12" s="82"/>
      <c r="D12" s="83"/>
      <c r="E12" s="84"/>
      <c r="F12" s="85" t="s">
        <v>391</v>
      </c>
      <c r="G12" s="86"/>
      <c r="H12" s="87">
        <f t="shared" si="0"/>
        <v>0</v>
      </c>
      <c r="I12" s="88"/>
      <c r="J12" s="89"/>
      <c r="K12" s="86"/>
      <c r="L12" s="90"/>
      <c r="M12" s="91"/>
      <c r="N12" s="86"/>
      <c r="O12" s="90"/>
      <c r="P12" s="92"/>
      <c r="Q12" s="93"/>
      <c r="R12" s="94"/>
      <c r="S12" s="623"/>
      <c r="T12" s="96"/>
      <c r="U12" s="96"/>
      <c r="V12" s="65"/>
      <c r="W12" s="88"/>
      <c r="X12" s="99"/>
      <c r="Y12" s="99"/>
      <c r="Z12" s="100"/>
      <c r="AA12" s="100"/>
      <c r="AB12" s="601"/>
      <c r="AC12" s="601"/>
      <c r="AD12" s="101"/>
      <c r="AE12" s="101"/>
      <c r="AF12" s="92"/>
      <c r="AG12" s="94"/>
      <c r="AH12" s="623"/>
    </row>
    <row r="13" spans="1:34" ht="19.149999999999999" customHeight="1">
      <c r="A13" s="658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4"/>
      <c r="S13" s="623"/>
      <c r="T13" s="111"/>
      <c r="U13" s="111"/>
      <c r="V13" s="109"/>
      <c r="W13" s="88"/>
      <c r="X13" s="112"/>
      <c r="Y13" s="112"/>
      <c r="Z13" s="100"/>
      <c r="AA13" s="100"/>
      <c r="AB13" s="601"/>
      <c r="AC13" s="601"/>
      <c r="AD13" s="101"/>
      <c r="AE13" s="101"/>
      <c r="AF13" s="113"/>
      <c r="AG13" s="114"/>
      <c r="AH13" s="623"/>
    </row>
    <row r="14" spans="1:34" ht="19.149999999999999" customHeight="1">
      <c r="A14" s="658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4"/>
      <c r="S14" s="623"/>
      <c r="T14" s="111"/>
      <c r="U14" s="111"/>
      <c r="V14" s="109"/>
      <c r="W14" s="88"/>
      <c r="X14" s="112"/>
      <c r="Y14" s="112"/>
      <c r="Z14" s="100"/>
      <c r="AA14" s="100"/>
      <c r="AB14" s="601"/>
      <c r="AC14" s="601"/>
      <c r="AD14" s="101"/>
      <c r="AE14" s="101"/>
      <c r="AF14" s="113"/>
      <c r="AG14" s="114"/>
      <c r="AH14" s="623"/>
    </row>
    <row r="15" spans="1:34" ht="19.149999999999999" customHeight="1">
      <c r="A15" s="658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4"/>
      <c r="S15" s="623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01"/>
      <c r="AC15" s="601"/>
      <c r="AD15" s="101"/>
      <c r="AE15" s="101"/>
      <c r="AF15" s="113"/>
      <c r="AG15" s="114"/>
      <c r="AH15" s="623"/>
    </row>
    <row r="16" spans="1:34" ht="19.149999999999999" customHeight="1">
      <c r="A16" s="658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4"/>
      <c r="S16" s="623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01"/>
      <c r="AC16" s="601"/>
      <c r="AD16" s="101"/>
      <c r="AE16" s="101"/>
      <c r="AF16" s="113"/>
      <c r="AG16" s="114"/>
      <c r="AH16" s="623"/>
    </row>
    <row r="17" spans="1:34" ht="19.149999999999999" customHeight="1">
      <c r="A17" s="658"/>
      <c r="B17" s="118">
        <v>0</v>
      </c>
      <c r="C17" s="118" t="s">
        <v>255</v>
      </c>
      <c r="D17" s="607" t="s">
        <v>256</v>
      </c>
      <c r="E17" s="607"/>
      <c r="F17" s="119"/>
      <c r="G17" s="120"/>
      <c r="H17" s="121"/>
      <c r="I17" s="122"/>
      <c r="J17" s="120">
        <v>18.571428571428573</v>
      </c>
      <c r="K17" s="120">
        <v>2109.2857142857142</v>
      </c>
      <c r="L17" s="123">
        <v>113.66541353383458</v>
      </c>
      <c r="M17" s="120">
        <f t="shared" ref="M17:O17" si="9">AVERAGE(M5:M16)</f>
        <v>18.428571428571427</v>
      </c>
      <c r="N17" s="120">
        <f t="shared" si="9"/>
        <v>1883.7836547688762</v>
      </c>
      <c r="O17" s="123">
        <f t="shared" si="9"/>
        <v>102.46430441335806</v>
      </c>
      <c r="P17" s="113">
        <f t="shared" ref="P17:P24" si="10">M17-J17</f>
        <v>-0.1428571428571459</v>
      </c>
      <c r="Q17" s="124">
        <f t="shared" ref="Q17:Q24" si="11">O17-L17</f>
        <v>-11.201109120476517</v>
      </c>
      <c r="R17" s="125">
        <f>O17/L17</f>
        <v>0.90145543158436403</v>
      </c>
      <c r="S17" s="623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01"/>
      <c r="AC17" s="601"/>
      <c r="AD17" s="129">
        <f>SUM(AD5:AD16)</f>
        <v>1</v>
      </c>
      <c r="AE17" s="129">
        <f>SUM(AE5:AE16)</f>
        <v>0</v>
      </c>
      <c r="AF17" s="113">
        <f t="shared" si="6"/>
        <v>-225.50205951683802</v>
      </c>
      <c r="AG17" s="114">
        <f t="shared" si="7"/>
        <v>0.89309079467538999</v>
      </c>
      <c r="AH17" s="623"/>
    </row>
    <row r="18" spans="1:34" ht="19.149999999999999" customHeight="1">
      <c r="A18" s="604" t="s">
        <v>257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1408</v>
      </c>
      <c r="H18" s="135">
        <f t="shared" ref="H18:H29" si="12">F18*G18</f>
        <v>51898.879999999997</v>
      </c>
      <c r="I18" s="101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2060.4878048780479</v>
      </c>
      <c r="O18" s="137">
        <f t="shared" ref="O18:O24" si="14">N18/M18</f>
        <v>108.44672657252883</v>
      </c>
      <c r="P18" s="100">
        <f t="shared" si="10"/>
        <v>1</v>
      </c>
      <c r="Q18" s="139">
        <f t="shared" si="11"/>
        <v>-16.553273427471169</v>
      </c>
      <c r="R18" s="140">
        <f t="shared" ref="R18:R24" si="15">O18/L18</f>
        <v>0.8675738125802307</v>
      </c>
      <c r="S18" s="605">
        <f>R30</f>
        <v>0.82835616598415007</v>
      </c>
      <c r="T18" s="142">
        <v>0.16666666666666666</v>
      </c>
      <c r="U18" s="142">
        <v>0.19513888888888889</v>
      </c>
      <c r="V18" s="101">
        <v>5</v>
      </c>
      <c r="W18" s="143">
        <f>(U18-T18)*24*60</f>
        <v>41.000000000000014</v>
      </c>
      <c r="X18" s="137"/>
      <c r="Y18" s="137"/>
      <c r="Z18" s="100"/>
      <c r="AA18" s="100"/>
      <c r="AB18" s="601"/>
      <c r="AC18" s="601"/>
      <c r="AD18" s="101"/>
      <c r="AE18" s="101"/>
      <c r="AF18" s="144">
        <f t="shared" si="6"/>
        <v>-189.51219512195212</v>
      </c>
      <c r="AG18" s="145">
        <f t="shared" si="7"/>
        <v>0.91577235772357679</v>
      </c>
      <c r="AH18" s="646">
        <f>AG30</f>
        <v>0.85715303166123669</v>
      </c>
    </row>
    <row r="19" spans="1:34" ht="19.149999999999999" customHeight="1">
      <c r="A19" s="604"/>
      <c r="B19" s="146" t="s">
        <v>387</v>
      </c>
      <c r="C19" s="147"/>
      <c r="D19" s="132" t="s">
        <v>134</v>
      </c>
      <c r="E19" s="133"/>
      <c r="F19" s="85">
        <v>56.43</v>
      </c>
      <c r="G19" s="104">
        <v>1270.5</v>
      </c>
      <c r="H19" s="135">
        <f t="shared" si="12"/>
        <v>71694.315000000002</v>
      </c>
      <c r="I19" s="101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1314.3103448275865</v>
      </c>
      <c r="O19" s="150">
        <f t="shared" si="14"/>
        <v>73.017241379310363</v>
      </c>
      <c r="P19" s="100">
        <f t="shared" si="10"/>
        <v>1</v>
      </c>
      <c r="Q19" s="139">
        <f t="shared" si="11"/>
        <v>-15.218052738336695</v>
      </c>
      <c r="R19" s="140">
        <f t="shared" si="15"/>
        <v>0.8275287356321841</v>
      </c>
      <c r="S19" s="605"/>
      <c r="T19" s="142">
        <v>0.2</v>
      </c>
      <c r="U19" s="142">
        <v>0.24027777777777778</v>
      </c>
      <c r="V19" s="101">
        <v>7</v>
      </c>
      <c r="W19" s="143">
        <f>(U19-T19)*24*60</f>
        <v>57.999999999999993</v>
      </c>
      <c r="X19" s="151"/>
      <c r="Y19" s="151"/>
      <c r="Z19" s="100"/>
      <c r="AA19" s="100"/>
      <c r="AB19" s="601"/>
      <c r="AC19" s="601"/>
      <c r="AD19" s="101"/>
      <c r="AE19" s="101"/>
      <c r="AF19" s="92">
        <f t="shared" si="6"/>
        <v>-185.6896551724135</v>
      </c>
      <c r="AG19" s="94">
        <f t="shared" si="7"/>
        <v>0.87620689655172435</v>
      </c>
      <c r="AH19" s="647"/>
    </row>
    <row r="20" spans="1:34" ht="19.149999999999999" customHeight="1">
      <c r="A20" s="604"/>
      <c r="B20" s="146" t="s">
        <v>387</v>
      </c>
      <c r="C20" s="102"/>
      <c r="D20" s="83" t="s">
        <v>135</v>
      </c>
      <c r="E20" s="133"/>
      <c r="F20" s="85">
        <v>49.9</v>
      </c>
      <c r="G20" s="104">
        <v>1200</v>
      </c>
      <c r="H20" s="135">
        <f t="shared" si="12"/>
        <v>59880</v>
      </c>
      <c r="I20" s="101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1285.7142857142867</v>
      </c>
      <c r="O20" s="150">
        <f t="shared" si="14"/>
        <v>75.630252100840394</v>
      </c>
      <c r="P20" s="100">
        <f t="shared" si="10"/>
        <v>0</v>
      </c>
      <c r="Q20" s="139">
        <f t="shared" si="11"/>
        <v>-12.605042016806664</v>
      </c>
      <c r="R20" s="140">
        <f t="shared" si="15"/>
        <v>0.85714285714285776</v>
      </c>
      <c r="S20" s="605"/>
      <c r="T20" s="142">
        <v>0.25624999999999998</v>
      </c>
      <c r="U20" s="142">
        <v>0.29513888888888884</v>
      </c>
      <c r="V20" s="101">
        <v>23</v>
      </c>
      <c r="W20" s="143">
        <f t="shared" ref="W20:W29" si="16">(U20-T20)*24*60</f>
        <v>55.999999999999957</v>
      </c>
      <c r="X20" s="151">
        <v>0.24374999999999999</v>
      </c>
      <c r="Y20" s="151">
        <v>0.25347222222222221</v>
      </c>
      <c r="Z20" s="100"/>
      <c r="AA20" s="100"/>
      <c r="AB20" s="601"/>
      <c r="AC20" s="601"/>
      <c r="AD20" s="101"/>
      <c r="AE20" s="101"/>
      <c r="AF20" s="92">
        <f t="shared" si="6"/>
        <v>-214.28571428571331</v>
      </c>
      <c r="AG20" s="94">
        <f t="shared" si="7"/>
        <v>0.85714285714285776</v>
      </c>
      <c r="AH20" s="647"/>
    </row>
    <row r="21" spans="1:34" ht="19.149999999999999" customHeight="1">
      <c r="A21" s="604"/>
      <c r="B21" s="146" t="s">
        <v>387</v>
      </c>
      <c r="C21" s="152"/>
      <c r="D21" s="153" t="s">
        <v>136</v>
      </c>
      <c r="E21" s="84"/>
      <c r="F21" s="85">
        <v>56.43</v>
      </c>
      <c r="G21" s="86">
        <v>1065</v>
      </c>
      <c r="H21" s="135">
        <f t="shared" si="12"/>
        <v>60097.95</v>
      </c>
      <c r="I21" s="65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1389.1304347826085</v>
      </c>
      <c r="O21" s="150">
        <f t="shared" si="14"/>
        <v>77.173913043478251</v>
      </c>
      <c r="P21" s="100">
        <f t="shared" si="10"/>
        <v>0</v>
      </c>
      <c r="Q21" s="139">
        <f t="shared" si="11"/>
        <v>-13.714975845410635</v>
      </c>
      <c r="R21" s="140">
        <f t="shared" si="15"/>
        <v>0.84910173275220568</v>
      </c>
      <c r="S21" s="605"/>
      <c r="T21" s="142">
        <v>0.29930555555555549</v>
      </c>
      <c r="U21" s="142">
        <v>0.33124999999999993</v>
      </c>
      <c r="V21" s="101">
        <v>6</v>
      </c>
      <c r="W21" s="143">
        <f t="shared" si="16"/>
        <v>46</v>
      </c>
      <c r="X21" s="151"/>
      <c r="Y21" s="151"/>
      <c r="Z21" s="100"/>
      <c r="AA21" s="100"/>
      <c r="AB21" s="601"/>
      <c r="AC21" s="601"/>
      <c r="AD21" s="101"/>
      <c r="AE21" s="101"/>
      <c r="AF21" s="92">
        <f t="shared" si="6"/>
        <v>-246.86956521739148</v>
      </c>
      <c r="AG21" s="94">
        <f t="shared" si="7"/>
        <v>0.84910173275220568</v>
      </c>
      <c r="AH21" s="648"/>
    </row>
    <row r="22" spans="1:34" ht="19.149999999999999" customHeight="1">
      <c r="A22" s="604"/>
      <c r="B22" s="146" t="s">
        <v>388</v>
      </c>
      <c r="C22" s="152"/>
      <c r="D22" s="83" t="s">
        <v>137</v>
      </c>
      <c r="E22" s="84"/>
      <c r="F22" s="85">
        <v>43.14</v>
      </c>
      <c r="G22" s="86">
        <v>1268.3999999999999</v>
      </c>
      <c r="H22" s="135">
        <f t="shared" si="12"/>
        <v>54718.775999999998</v>
      </c>
      <c r="I22" s="65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1268.3999999999992</v>
      </c>
      <c r="O22" s="150">
        <f t="shared" si="14"/>
        <v>74.611764705882308</v>
      </c>
      <c r="P22" s="100">
        <f t="shared" si="10"/>
        <v>0</v>
      </c>
      <c r="Q22" s="139">
        <f t="shared" si="11"/>
        <v>-10.094117647058866</v>
      </c>
      <c r="R22" s="140">
        <f t="shared" si="15"/>
        <v>0.8808333333333328</v>
      </c>
      <c r="S22" s="605"/>
      <c r="T22" s="142">
        <v>0.33680555555555547</v>
      </c>
      <c r="U22" s="142">
        <v>0.37847222222222215</v>
      </c>
      <c r="V22" s="101">
        <v>8</v>
      </c>
      <c r="W22" s="143">
        <f t="shared" si="16"/>
        <v>60.000000000000028</v>
      </c>
      <c r="X22" s="151"/>
      <c r="Y22" s="151"/>
      <c r="Z22" s="100"/>
      <c r="AA22" s="100"/>
      <c r="AB22" s="601"/>
      <c r="AC22" s="601"/>
      <c r="AD22" s="101"/>
      <c r="AE22" s="101"/>
      <c r="AF22" s="92">
        <f t="shared" si="6"/>
        <v>-171.60000000000082</v>
      </c>
      <c r="AG22" s="94">
        <f t="shared" si="7"/>
        <v>0.8808333333333328</v>
      </c>
      <c r="AH22" s="648"/>
    </row>
    <row r="23" spans="1:34" ht="19.149999999999999" customHeight="1">
      <c r="A23" s="604"/>
      <c r="B23" s="146" t="s">
        <v>387</v>
      </c>
      <c r="C23" s="152"/>
      <c r="D23" s="83" t="s">
        <v>138</v>
      </c>
      <c r="E23" s="84"/>
      <c r="F23" s="85">
        <v>38.39</v>
      </c>
      <c r="G23" s="86">
        <v>2524.8000000000002</v>
      </c>
      <c r="H23" s="135">
        <f t="shared" si="12"/>
        <v>96927.072000000015</v>
      </c>
      <c r="I23" s="65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1317.2869565217393</v>
      </c>
      <c r="O23" s="150">
        <f t="shared" si="14"/>
        <v>73.182608695652178</v>
      </c>
      <c r="P23" s="100">
        <f t="shared" si="10"/>
        <v>1</v>
      </c>
      <c r="Q23" s="139">
        <f t="shared" si="11"/>
        <v>-23.05268542199488</v>
      </c>
      <c r="R23" s="140">
        <f t="shared" si="15"/>
        <v>0.760454980333794</v>
      </c>
      <c r="S23" s="605"/>
      <c r="T23" s="142">
        <v>0.39374999999999993</v>
      </c>
      <c r="U23" s="142">
        <v>0.47361111111111104</v>
      </c>
      <c r="V23" s="101">
        <v>22</v>
      </c>
      <c r="W23" s="143">
        <f t="shared" si="16"/>
        <v>114.99999999999999</v>
      </c>
      <c r="X23" s="151">
        <v>0.38194444444444442</v>
      </c>
      <c r="Y23" s="151">
        <v>0.39097222222222222</v>
      </c>
      <c r="Z23" s="100"/>
      <c r="AA23" s="100"/>
      <c r="AB23" s="601"/>
      <c r="AC23" s="601"/>
      <c r="AD23" s="101"/>
      <c r="AE23" s="101"/>
      <c r="AF23" s="92"/>
      <c r="AG23" s="94"/>
      <c r="AH23" s="648"/>
    </row>
    <row r="24" spans="1:34" ht="19.149999999999999" customHeight="1">
      <c r="A24" s="604"/>
      <c r="B24" s="146" t="s">
        <v>387</v>
      </c>
      <c r="C24" s="131"/>
      <c r="D24" s="132" t="s">
        <v>138</v>
      </c>
      <c r="E24" s="133"/>
      <c r="F24" s="85">
        <v>38.39</v>
      </c>
      <c r="G24" s="104">
        <v>631.20000000000005</v>
      </c>
      <c r="H24" s="135">
        <f t="shared" si="12"/>
        <v>24231.768000000004</v>
      </c>
      <c r="I24" s="143"/>
      <c r="J24" s="148">
        <v>17</v>
      </c>
      <c r="K24" s="86">
        <v>1636</v>
      </c>
      <c r="L24" s="90">
        <v>96.235294117647058</v>
      </c>
      <c r="M24" s="138">
        <v>18</v>
      </c>
      <c r="N24" s="149">
        <f t="shared" si="13"/>
        <v>1305.9310344827561</v>
      </c>
      <c r="O24" s="150">
        <f t="shared" si="14"/>
        <v>72.55172413793089</v>
      </c>
      <c r="P24" s="100">
        <f t="shared" si="10"/>
        <v>1</v>
      </c>
      <c r="Q24" s="139">
        <f t="shared" si="11"/>
        <v>-23.683569979716168</v>
      </c>
      <c r="R24" s="140">
        <f t="shared" si="15"/>
        <v>0.75389933395160458</v>
      </c>
      <c r="S24" s="605"/>
      <c r="T24" s="142">
        <v>0.51388888888888873</v>
      </c>
      <c r="U24" s="142">
        <v>0.53402777777777766</v>
      </c>
      <c r="V24" s="101">
        <v>5</v>
      </c>
      <c r="W24" s="143">
        <f t="shared" si="16"/>
        <v>29.000000000000057</v>
      </c>
      <c r="X24" s="101"/>
      <c r="Y24" s="101"/>
      <c r="Z24" s="100"/>
      <c r="AA24" s="100"/>
      <c r="AB24" s="601"/>
      <c r="AC24" s="601"/>
      <c r="AD24" s="101"/>
      <c r="AE24" s="101"/>
      <c r="AF24" s="92">
        <f t="shared" si="6"/>
        <v>-330.0689655172439</v>
      </c>
      <c r="AG24" s="94"/>
      <c r="AH24" s="648"/>
    </row>
    <row r="25" spans="1:34" ht="19.149999999999999" customHeight="1">
      <c r="A25" s="604"/>
      <c r="B25" s="146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0"/>
      <c r="S25" s="605"/>
      <c r="T25" s="142"/>
      <c r="U25" s="142"/>
      <c r="V25" s="101"/>
      <c r="W25" s="143">
        <f t="shared" si="16"/>
        <v>0</v>
      </c>
      <c r="X25" s="101"/>
      <c r="Y25" s="101"/>
      <c r="Z25" s="100"/>
      <c r="AA25" s="100"/>
      <c r="AB25" s="601"/>
      <c r="AC25" s="601"/>
      <c r="AD25" s="101"/>
      <c r="AE25" s="101"/>
      <c r="AF25" s="92">
        <f t="shared" si="6"/>
        <v>0</v>
      </c>
      <c r="AG25" s="94"/>
      <c r="AH25" s="648"/>
    </row>
    <row r="26" spans="1:34" ht="19.149999999999999" customHeight="1">
      <c r="A26" s="604"/>
      <c r="B26" s="146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0"/>
      <c r="S26" s="605"/>
      <c r="T26" s="142"/>
      <c r="U26" s="142"/>
      <c r="V26" s="101"/>
      <c r="W26" s="143">
        <f t="shared" si="16"/>
        <v>0</v>
      </c>
      <c r="X26" s="101"/>
      <c r="Y26" s="101"/>
      <c r="Z26" s="100"/>
      <c r="AA26" s="100"/>
      <c r="AB26" s="601"/>
      <c r="AC26" s="601"/>
      <c r="AD26" s="101"/>
      <c r="AE26" s="101"/>
      <c r="AF26" s="92">
        <f t="shared" si="6"/>
        <v>0</v>
      </c>
      <c r="AG26" s="94"/>
      <c r="AH26" s="648"/>
    </row>
    <row r="27" spans="1:34" ht="19.149999999999999" customHeight="1">
      <c r="A27" s="604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0"/>
      <c r="S27" s="605"/>
      <c r="T27" s="142"/>
      <c r="U27" s="142"/>
      <c r="V27" s="101"/>
      <c r="W27" s="143">
        <f t="shared" si="16"/>
        <v>0</v>
      </c>
      <c r="X27" s="101"/>
      <c r="Y27" s="101"/>
      <c r="Z27" s="100"/>
      <c r="AA27" s="100"/>
      <c r="AB27" s="601"/>
      <c r="AC27" s="601"/>
      <c r="AD27" s="101"/>
      <c r="AE27" s="101"/>
      <c r="AF27" s="92">
        <f t="shared" si="6"/>
        <v>0</v>
      </c>
      <c r="AG27" s="94"/>
      <c r="AH27" s="648"/>
    </row>
    <row r="28" spans="1:34" ht="19.149999999999999" customHeight="1">
      <c r="A28" s="604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0"/>
      <c r="S28" s="605"/>
      <c r="T28" s="142"/>
      <c r="U28" s="142"/>
      <c r="V28" s="101"/>
      <c r="W28" s="143">
        <f t="shared" si="16"/>
        <v>0</v>
      </c>
      <c r="X28" s="101"/>
      <c r="Y28" s="101"/>
      <c r="Z28" s="100"/>
      <c r="AA28" s="100"/>
      <c r="AB28" s="601"/>
      <c r="AC28" s="601"/>
      <c r="AD28" s="101"/>
      <c r="AE28" s="101"/>
      <c r="AF28" s="92">
        <f t="shared" si="6"/>
        <v>0</v>
      </c>
      <c r="AG28" s="94"/>
      <c r="AH28" s="648"/>
    </row>
    <row r="29" spans="1:34" ht="19.149999999999999" customHeight="1">
      <c r="A29" s="604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0"/>
      <c r="S29" s="605"/>
      <c r="T29" s="142"/>
      <c r="U29" s="142"/>
      <c r="V29" s="101"/>
      <c r="W29" s="143">
        <f t="shared" si="16"/>
        <v>0</v>
      </c>
      <c r="X29" s="101"/>
      <c r="Y29" s="101"/>
      <c r="Z29" s="100"/>
      <c r="AA29" s="100"/>
      <c r="AB29" s="601"/>
      <c r="AC29" s="601"/>
      <c r="AD29" s="101"/>
      <c r="AE29" s="101"/>
      <c r="AF29" s="92">
        <f t="shared" si="6"/>
        <v>0</v>
      </c>
      <c r="AG29" s="94"/>
      <c r="AH29" s="648"/>
    </row>
    <row r="30" spans="1:34" ht="19.149999999999999" customHeight="1">
      <c r="A30" s="604"/>
      <c r="B30" s="155">
        <v>0</v>
      </c>
      <c r="C30" s="156" t="s">
        <v>258</v>
      </c>
      <c r="D30" s="645" t="s">
        <v>256</v>
      </c>
      <c r="E30" s="645"/>
      <c r="F30" s="157"/>
      <c r="G30" s="158"/>
      <c r="H30" s="159"/>
      <c r="I30" s="160"/>
      <c r="J30" s="158">
        <v>17.285714285714285</v>
      </c>
      <c r="K30" s="158">
        <v>1656.8571428571429</v>
      </c>
      <c r="L30" s="161">
        <v>95.647992530345476</v>
      </c>
      <c r="M30" s="158">
        <f t="shared" ref="M30:O30" si="17">AVERAGE(M18:M29)</f>
        <v>17.857142857142858</v>
      </c>
      <c r="N30" s="158">
        <f t="shared" si="17"/>
        <v>1420.1801230295748</v>
      </c>
      <c r="O30" s="161">
        <f t="shared" si="17"/>
        <v>79.230604376517604</v>
      </c>
      <c r="P30" s="100">
        <f t="shared" ref="P30:P36" si="18">M30-J30</f>
        <v>0.57142857142857295</v>
      </c>
      <c r="Q30" s="139">
        <f t="shared" ref="Q30:Q36" si="19">O30-L30</f>
        <v>-16.417388153827872</v>
      </c>
      <c r="R30" s="162">
        <f t="shared" ref="R30:R36" si="20">O30/L30</f>
        <v>0.82835616598415007</v>
      </c>
      <c r="S30" s="605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01"/>
      <c r="AC30" s="601"/>
      <c r="AD30" s="164">
        <f>SUM(AD18:AD29)</f>
        <v>0</v>
      </c>
      <c r="AE30" s="164">
        <f>SUM(AE18:AE29)</f>
        <v>0</v>
      </c>
      <c r="AF30" s="165">
        <f t="shared" si="6"/>
        <v>-236.67701982756807</v>
      </c>
      <c r="AG30" s="166">
        <f t="shared" ref="AG30" si="21">N30/K30</f>
        <v>0.85715303166123669</v>
      </c>
      <c r="AH30" s="649"/>
    </row>
    <row r="31" spans="1:34" ht="19.149999999999999" customHeight="1">
      <c r="A31" s="642" t="s">
        <v>259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2068</v>
      </c>
      <c r="H31" s="171">
        <f t="shared" ref="H31:H40" si="22">F31*G31</f>
        <v>70787.64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2103.0508474576272</v>
      </c>
      <c r="O31" s="174">
        <f t="shared" ref="O31:O36" si="24">N31/M31</f>
        <v>161.77314211212519</v>
      </c>
      <c r="P31" s="175">
        <f t="shared" si="18"/>
        <v>0</v>
      </c>
      <c r="Q31" s="176">
        <f t="shared" si="19"/>
        <v>-11.30378096479788</v>
      </c>
      <c r="R31" s="177">
        <f t="shared" si="20"/>
        <v>0.93468926553672338</v>
      </c>
      <c r="S31" s="644">
        <f>R43</f>
        <v>0.92784666702256857</v>
      </c>
      <c r="T31" s="178">
        <v>0.16666666666666666</v>
      </c>
      <c r="U31" s="178">
        <v>0.20763888888888887</v>
      </c>
      <c r="V31" s="98">
        <v>5</v>
      </c>
      <c r="W31" s="179">
        <f t="shared" ref="W31:W42" si="25">(U31-T31)*24*60</f>
        <v>58.999999999999993</v>
      </c>
      <c r="X31" s="98"/>
      <c r="Y31" s="98"/>
      <c r="Z31" s="97"/>
      <c r="AA31" s="97"/>
      <c r="AB31" s="601"/>
      <c r="AC31" s="601"/>
      <c r="AD31" s="98"/>
      <c r="AE31" s="98"/>
      <c r="AF31" s="175">
        <f t="shared" si="6"/>
        <v>-146.94915254237276</v>
      </c>
      <c r="AG31" s="180">
        <f t="shared" si="7"/>
        <v>0.93468926553672327</v>
      </c>
      <c r="AH31" s="622">
        <f>AG43</f>
        <v>0.91546075526323167</v>
      </c>
    </row>
    <row r="32" spans="1:34" ht="19.149999999999999" customHeight="1">
      <c r="A32" s="643"/>
      <c r="B32" s="182" t="s">
        <v>389</v>
      </c>
      <c r="C32" s="183"/>
      <c r="D32" s="153" t="s">
        <v>141</v>
      </c>
      <c r="E32" s="84"/>
      <c r="F32" s="85">
        <v>35.33</v>
      </c>
      <c r="G32" s="86">
        <v>2239</v>
      </c>
      <c r="H32" s="135">
        <f t="shared" si="22"/>
        <v>79103.87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2132.3809523809532</v>
      </c>
      <c r="O32" s="90">
        <f t="shared" si="24"/>
        <v>177.69841269841277</v>
      </c>
      <c r="P32" s="92">
        <f t="shared" si="18"/>
        <v>0</v>
      </c>
      <c r="Q32" s="93">
        <f t="shared" si="19"/>
        <v>-9.801587301587233</v>
      </c>
      <c r="R32" s="94">
        <f t="shared" si="20"/>
        <v>0.94772486772486808</v>
      </c>
      <c r="S32" s="605"/>
      <c r="T32" s="142">
        <v>0.21180555555555555</v>
      </c>
      <c r="U32" s="142">
        <v>0.25555555555555554</v>
      </c>
      <c r="V32" s="101">
        <v>6</v>
      </c>
      <c r="W32" s="143">
        <f t="shared" si="25"/>
        <v>62.999999999999979</v>
      </c>
      <c r="X32" s="184"/>
      <c r="Y32" s="184"/>
      <c r="Z32" s="185"/>
      <c r="AA32" s="185"/>
      <c r="AB32" s="601"/>
      <c r="AC32" s="601"/>
      <c r="AD32" s="101"/>
      <c r="AE32" s="101"/>
      <c r="AF32" s="92">
        <f t="shared" si="6"/>
        <v>-117.6190476190468</v>
      </c>
      <c r="AG32" s="94">
        <f t="shared" si="7"/>
        <v>0.94772486772486808</v>
      </c>
      <c r="AH32" s="620"/>
    </row>
    <row r="33" spans="1:34" ht="19.149999999999999" customHeight="1">
      <c r="A33" s="643"/>
      <c r="B33" s="182" t="s">
        <v>389</v>
      </c>
      <c r="C33" s="101"/>
      <c r="D33" s="132" t="s">
        <v>142</v>
      </c>
      <c r="E33" s="133"/>
      <c r="F33" s="85">
        <v>36.409999999999997</v>
      </c>
      <c r="G33" s="104">
        <v>2846.5499999999997</v>
      </c>
      <c r="H33" s="135">
        <f t="shared" si="22"/>
        <v>103642.88549999997</v>
      </c>
      <c r="I33" s="101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2134.912499999999</v>
      </c>
      <c r="O33" s="90">
        <f t="shared" si="24"/>
        <v>213.49124999999989</v>
      </c>
      <c r="P33" s="92">
        <f t="shared" si="18"/>
        <v>0</v>
      </c>
      <c r="Q33" s="93">
        <f t="shared" si="19"/>
        <v>-11.508750000000106</v>
      </c>
      <c r="R33" s="94">
        <f t="shared" si="20"/>
        <v>0.94884999999999953</v>
      </c>
      <c r="S33" s="605"/>
      <c r="T33" s="142">
        <v>0.26041666666666663</v>
      </c>
      <c r="U33" s="142">
        <v>0.31597222222222221</v>
      </c>
      <c r="V33" s="101">
        <v>7</v>
      </c>
      <c r="W33" s="143">
        <f t="shared" si="25"/>
        <v>80.000000000000028</v>
      </c>
      <c r="X33" s="184"/>
      <c r="Y33" s="184"/>
      <c r="Z33" s="185"/>
      <c r="AA33" s="185"/>
      <c r="AB33" s="601"/>
      <c r="AC33" s="601"/>
      <c r="AD33" s="101"/>
      <c r="AE33" s="101"/>
      <c r="AF33" s="92">
        <f t="shared" si="6"/>
        <v>-115.087500000001</v>
      </c>
      <c r="AG33" s="186">
        <f t="shared" si="7"/>
        <v>0.94884999999999953</v>
      </c>
      <c r="AH33" s="620"/>
    </row>
    <row r="34" spans="1:34" ht="19.149999999999999" customHeight="1">
      <c r="A34" s="643"/>
      <c r="B34" s="182" t="s">
        <v>390</v>
      </c>
      <c r="C34" s="187"/>
      <c r="D34" s="132" t="s">
        <v>143</v>
      </c>
      <c r="E34" s="133"/>
      <c r="F34" s="85">
        <v>49.91</v>
      </c>
      <c r="G34" s="104">
        <v>801</v>
      </c>
      <c r="H34" s="135">
        <f t="shared" si="22"/>
        <v>39977.909999999996</v>
      </c>
      <c r="I34" s="101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1334.9999999999989</v>
      </c>
      <c r="O34" s="90">
        <f t="shared" si="24"/>
        <v>74.1666666666666</v>
      </c>
      <c r="P34" s="92">
        <f t="shared" si="18"/>
        <v>0</v>
      </c>
      <c r="Q34" s="93">
        <f t="shared" si="19"/>
        <v>-9.1666666666667282</v>
      </c>
      <c r="R34" s="94">
        <f t="shared" si="20"/>
        <v>0.88999999999999924</v>
      </c>
      <c r="S34" s="605"/>
      <c r="T34" s="142">
        <v>0.33124999999999999</v>
      </c>
      <c r="U34" s="142">
        <v>0.35625000000000001</v>
      </c>
      <c r="V34" s="101">
        <v>22</v>
      </c>
      <c r="W34" s="143">
        <f t="shared" si="25"/>
        <v>36.000000000000028</v>
      </c>
      <c r="X34" s="184">
        <v>0.31944444444444448</v>
      </c>
      <c r="Y34" s="184">
        <v>0.32847222222222222</v>
      </c>
      <c r="Z34" s="185"/>
      <c r="AA34" s="185"/>
      <c r="AB34" s="601"/>
      <c r="AC34" s="601"/>
      <c r="AD34" s="101"/>
      <c r="AE34" s="101"/>
      <c r="AF34" s="92">
        <f t="shared" si="6"/>
        <v>-165.00000000000114</v>
      </c>
      <c r="AG34" s="186">
        <f t="shared" si="7"/>
        <v>0.88999999999999924</v>
      </c>
      <c r="AH34" s="620"/>
    </row>
    <row r="35" spans="1:34" ht="19.149999999999999" customHeight="1">
      <c r="A35" s="643"/>
      <c r="B35" s="182" t="s">
        <v>390</v>
      </c>
      <c r="C35" s="82"/>
      <c r="D35" s="83" t="s">
        <v>144</v>
      </c>
      <c r="E35" s="84"/>
      <c r="F35" s="85">
        <v>53.27</v>
      </c>
      <c r="G35" s="188">
        <v>1373</v>
      </c>
      <c r="H35" s="135">
        <f t="shared" si="22"/>
        <v>73139.710000000006</v>
      </c>
      <c r="I35" s="65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1307.6190476190473</v>
      </c>
      <c r="O35" s="90">
        <f t="shared" si="24"/>
        <v>72.645502645502631</v>
      </c>
      <c r="P35" s="92">
        <f t="shared" si="18"/>
        <v>0</v>
      </c>
      <c r="Q35" s="93">
        <f t="shared" si="19"/>
        <v>-10.687830687830697</v>
      </c>
      <c r="R35" s="94">
        <f t="shared" si="20"/>
        <v>0.8717460317460316</v>
      </c>
      <c r="S35" s="605"/>
      <c r="T35" s="142">
        <v>0.36180555555555555</v>
      </c>
      <c r="U35" s="142">
        <v>0.40555555555555556</v>
      </c>
      <c r="V35" s="101">
        <v>8</v>
      </c>
      <c r="W35" s="143">
        <f t="shared" si="25"/>
        <v>63.000000000000014</v>
      </c>
      <c r="X35" s="184"/>
      <c r="Y35" s="184"/>
      <c r="Z35" s="185"/>
      <c r="AA35" s="185"/>
      <c r="AB35" s="601"/>
      <c r="AC35" s="601"/>
      <c r="AD35" s="101"/>
      <c r="AE35" s="101"/>
      <c r="AF35" s="92">
        <f t="shared" si="6"/>
        <v>-192.38095238095275</v>
      </c>
      <c r="AG35" s="186">
        <f t="shared" si="7"/>
        <v>0.87174603174603149</v>
      </c>
      <c r="AH35" s="623"/>
    </row>
    <row r="36" spans="1:34" ht="19.149999999999999" customHeight="1">
      <c r="A36" s="643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2872</v>
      </c>
      <c r="H36" s="135">
        <f t="shared" si="22"/>
        <v>83612.966360856255</v>
      </c>
      <c r="I36" s="101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1285.9701492537306</v>
      </c>
      <c r="O36" s="90">
        <f t="shared" si="24"/>
        <v>71.442786069651703</v>
      </c>
      <c r="P36" s="92">
        <f t="shared" si="18"/>
        <v>-1</v>
      </c>
      <c r="Q36" s="93">
        <f t="shared" si="19"/>
        <v>-7.5045823514009271</v>
      </c>
      <c r="R36" s="94">
        <f t="shared" si="20"/>
        <v>0.90494195688225487</v>
      </c>
      <c r="S36" s="605"/>
      <c r="T36" s="142">
        <v>0.42152777777777778</v>
      </c>
      <c r="U36" s="142">
        <v>0.51458333333333339</v>
      </c>
      <c r="V36" s="101">
        <v>23</v>
      </c>
      <c r="W36" s="143">
        <f t="shared" si="25"/>
        <v>134.00000000000009</v>
      </c>
      <c r="X36" s="184">
        <v>0.40902777777777777</v>
      </c>
      <c r="Y36" s="184">
        <v>0.41875000000000001</v>
      </c>
      <c r="Z36" s="185"/>
      <c r="AA36" s="185"/>
      <c r="AB36" s="601"/>
      <c r="AC36" s="601"/>
      <c r="AD36" s="101"/>
      <c r="AE36" s="101"/>
      <c r="AF36" s="92">
        <f t="shared" si="6"/>
        <v>-214.0298507462694</v>
      </c>
      <c r="AG36" s="186">
        <f t="shared" si="7"/>
        <v>0.8573134328358204</v>
      </c>
      <c r="AH36" s="623"/>
    </row>
    <row r="37" spans="1:34" ht="19.149999999999999" customHeight="1">
      <c r="A37" s="643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101"/>
      <c r="J37" s="89"/>
      <c r="K37" s="86"/>
      <c r="L37" s="90"/>
      <c r="M37" s="189"/>
      <c r="N37" s="86"/>
      <c r="O37" s="90"/>
      <c r="P37" s="92"/>
      <c r="Q37" s="93"/>
      <c r="R37" s="94"/>
      <c r="S37" s="605"/>
      <c r="T37" s="142"/>
      <c r="U37" s="142"/>
      <c r="V37" s="101"/>
      <c r="W37" s="143"/>
      <c r="X37" s="184"/>
      <c r="Y37" s="184"/>
      <c r="Z37" s="185"/>
      <c r="AA37" s="185"/>
      <c r="AB37" s="601"/>
      <c r="AC37" s="601"/>
      <c r="AD37" s="101"/>
      <c r="AE37" s="101"/>
      <c r="AF37" s="92">
        <f t="shared" si="6"/>
        <v>0</v>
      </c>
      <c r="AG37" s="186" t="e">
        <f t="shared" si="7"/>
        <v>#DIV/0!</v>
      </c>
      <c r="AH37" s="623"/>
    </row>
    <row r="38" spans="1:34" ht="19.149999999999999" customHeight="1">
      <c r="A38" s="643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101"/>
      <c r="J38" s="89"/>
      <c r="K38" s="86"/>
      <c r="L38" s="90"/>
      <c r="M38" s="189"/>
      <c r="N38" s="86"/>
      <c r="O38" s="90"/>
      <c r="P38" s="92"/>
      <c r="Q38" s="93"/>
      <c r="R38" s="94"/>
      <c r="S38" s="605"/>
      <c r="T38" s="142"/>
      <c r="U38" s="142"/>
      <c r="V38" s="101"/>
      <c r="W38" s="143"/>
      <c r="X38" s="184"/>
      <c r="Y38" s="184"/>
      <c r="Z38" s="185"/>
      <c r="AA38" s="185"/>
      <c r="AB38" s="601"/>
      <c r="AC38" s="601"/>
      <c r="AD38" s="101"/>
      <c r="AE38" s="101"/>
      <c r="AF38" s="92">
        <f t="shared" si="6"/>
        <v>0</v>
      </c>
      <c r="AG38" s="186" t="e">
        <f t="shared" si="7"/>
        <v>#DIV/0!</v>
      </c>
      <c r="AH38" s="623"/>
    </row>
    <row r="39" spans="1:34" ht="19.149999999999999" customHeight="1">
      <c r="A39" s="643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101"/>
      <c r="J39" s="89"/>
      <c r="K39" s="86"/>
      <c r="L39" s="90"/>
      <c r="M39" s="189"/>
      <c r="N39" s="86"/>
      <c r="O39" s="90"/>
      <c r="P39" s="92"/>
      <c r="Q39" s="93"/>
      <c r="R39" s="94"/>
      <c r="S39" s="605"/>
      <c r="T39" s="142"/>
      <c r="U39" s="142"/>
      <c r="V39" s="101"/>
      <c r="W39" s="143"/>
      <c r="X39" s="184"/>
      <c r="Y39" s="184"/>
      <c r="Z39" s="185"/>
      <c r="AA39" s="185"/>
      <c r="AB39" s="601"/>
      <c r="AC39" s="601"/>
      <c r="AD39" s="101"/>
      <c r="AE39" s="101"/>
      <c r="AF39" s="92"/>
      <c r="AG39" s="191"/>
      <c r="AH39" s="623"/>
    </row>
    <row r="40" spans="1:34" ht="19.149999999999999" customHeight="1">
      <c r="A40" s="643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65"/>
      <c r="J40" s="193"/>
      <c r="K40" s="194"/>
      <c r="L40" s="195"/>
      <c r="M40" s="91"/>
      <c r="N40" s="86"/>
      <c r="O40" s="90"/>
      <c r="P40" s="92"/>
      <c r="Q40" s="93"/>
      <c r="R40" s="94"/>
      <c r="S40" s="605"/>
      <c r="T40" s="142"/>
      <c r="U40" s="142"/>
      <c r="V40" s="101"/>
      <c r="W40" s="143">
        <f t="shared" si="25"/>
        <v>0</v>
      </c>
      <c r="X40" s="184"/>
      <c r="Y40" s="184"/>
      <c r="Z40" s="185"/>
      <c r="AA40" s="185"/>
      <c r="AB40" s="601"/>
      <c r="AC40" s="601"/>
      <c r="AD40" s="101"/>
      <c r="AE40" s="101"/>
      <c r="AF40" s="92"/>
      <c r="AG40" s="191"/>
      <c r="AH40" s="623"/>
    </row>
    <row r="41" spans="1:34" ht="19.149999999999999" customHeight="1">
      <c r="A41" s="643"/>
      <c r="B41" s="101">
        <v>0</v>
      </c>
      <c r="C41" s="102"/>
      <c r="D41" s="132"/>
      <c r="E41" s="133"/>
      <c r="F41" s="85" t="s">
        <v>391</v>
      </c>
      <c r="G41" s="104"/>
      <c r="H41" s="135"/>
      <c r="I41" s="101"/>
      <c r="J41" s="138"/>
      <c r="K41" s="104"/>
      <c r="L41" s="137"/>
      <c r="M41" s="189"/>
      <c r="N41" s="104"/>
      <c r="O41" s="137"/>
      <c r="P41" s="100"/>
      <c r="Q41" s="139"/>
      <c r="R41" s="140"/>
      <c r="S41" s="605"/>
      <c r="T41" s="142"/>
      <c r="U41" s="142"/>
      <c r="V41" s="101"/>
      <c r="W41" s="143">
        <f t="shared" si="25"/>
        <v>0</v>
      </c>
      <c r="X41" s="184"/>
      <c r="Y41" s="184"/>
      <c r="Z41" s="185"/>
      <c r="AA41" s="185"/>
      <c r="AB41" s="601"/>
      <c r="AC41" s="601"/>
      <c r="AD41" s="101"/>
      <c r="AE41" s="101"/>
      <c r="AF41" s="92"/>
      <c r="AG41" s="191"/>
      <c r="AH41" s="623"/>
    </row>
    <row r="42" spans="1:34" ht="19.149999999999999" customHeight="1">
      <c r="A42" s="643"/>
      <c r="B42" s="101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101"/>
      <c r="J42" s="138"/>
      <c r="K42" s="104"/>
      <c r="L42" s="137"/>
      <c r="M42" s="189"/>
      <c r="N42" s="104"/>
      <c r="O42" s="137"/>
      <c r="P42" s="100"/>
      <c r="Q42" s="139"/>
      <c r="R42" s="140"/>
      <c r="S42" s="605"/>
      <c r="T42" s="142"/>
      <c r="U42" s="142"/>
      <c r="V42" s="101"/>
      <c r="W42" s="143">
        <f t="shared" si="25"/>
        <v>0</v>
      </c>
      <c r="X42" s="184"/>
      <c r="Y42" s="184"/>
      <c r="Z42" s="185"/>
      <c r="AA42" s="185"/>
      <c r="AB42" s="601"/>
      <c r="AC42" s="601"/>
      <c r="AD42" s="101"/>
      <c r="AE42" s="101"/>
      <c r="AF42" s="92"/>
      <c r="AG42" s="191"/>
      <c r="AH42" s="623"/>
    </row>
    <row r="43" spans="1:34" ht="19.149999999999999" customHeight="1">
      <c r="A43" s="643"/>
      <c r="B43" s="182">
        <v>0</v>
      </c>
      <c r="C43" s="156" t="s">
        <v>260</v>
      </c>
      <c r="D43" s="602" t="s">
        <v>256</v>
      </c>
      <c r="E43" s="602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1716.4889161185595</v>
      </c>
      <c r="O43" s="161">
        <f t="shared" si="26"/>
        <v>128.53629336539313</v>
      </c>
      <c r="P43" s="100">
        <f>M43-J43</f>
        <v>-0.16666666666666607</v>
      </c>
      <c r="Q43" s="139">
        <f>N43-K43</f>
        <v>-158.51108388144053</v>
      </c>
      <c r="R43" s="162">
        <f t="shared" ref="R43:R46" si="27">O43/L43</f>
        <v>0.92784666702256857</v>
      </c>
      <c r="S43" s="605"/>
      <c r="T43" s="142"/>
      <c r="U43" s="142"/>
      <c r="V43" s="101"/>
      <c r="W43" s="101"/>
      <c r="X43" s="184"/>
      <c r="Y43" s="184"/>
      <c r="Z43" s="197">
        <f>SUM(Z31:Z42)</f>
        <v>0</v>
      </c>
      <c r="AA43" s="197">
        <f>SUM(AA31:AA42)</f>
        <v>0</v>
      </c>
      <c r="AB43" s="601"/>
      <c r="AC43" s="601"/>
      <c r="AD43" s="164">
        <f>SUM(AD31:AD42)</f>
        <v>0</v>
      </c>
      <c r="AE43" s="164">
        <f>SUM(AE31:AE42)</f>
        <v>0</v>
      </c>
      <c r="AF43" s="92">
        <f t="shared" ref="AF43:AF52" si="28">N43-K43</f>
        <v>-158.51108388144053</v>
      </c>
      <c r="AG43" s="114">
        <f t="shared" si="7"/>
        <v>0.91546075526323167</v>
      </c>
      <c r="AH43" s="623"/>
    </row>
    <row r="44" spans="1:34" s="213" customFormat="1" ht="19.149999999999999" customHeight="1">
      <c r="A44" s="638" t="s">
        <v>261</v>
      </c>
      <c r="B44" s="152" t="s">
        <v>388</v>
      </c>
      <c r="C44" s="198"/>
      <c r="D44" s="83" t="s">
        <v>262</v>
      </c>
      <c r="E44" s="84"/>
      <c r="F44" s="199">
        <v>31.43</v>
      </c>
      <c r="G44" s="200">
        <v>2760</v>
      </c>
      <c r="H44" s="87">
        <f>F44*G44</f>
        <v>86746.8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1368.595041322314</v>
      </c>
      <c r="O44" s="204">
        <f>N44/M44</f>
        <v>228.099173553719</v>
      </c>
      <c r="P44" s="97">
        <f t="shared" ref="P44:P45" si="29">M44-J44</f>
        <v>0</v>
      </c>
      <c r="Q44" s="205">
        <f t="shared" ref="Q44:Q45" si="30">O44-L44</f>
        <v>-21.900826446281002</v>
      </c>
      <c r="R44" s="206">
        <f t="shared" si="27"/>
        <v>0.91239669421487601</v>
      </c>
      <c r="S44" s="620">
        <f>R56</f>
        <v>0.86296435622313128</v>
      </c>
      <c r="T44" s="207">
        <v>0.16666666666666666</v>
      </c>
      <c r="U44" s="207">
        <v>0.25069444444444444</v>
      </c>
      <c r="V44" s="208">
        <v>5</v>
      </c>
      <c r="W44" s="209">
        <f t="shared" ref="W44:W56" si="31">(U44-T44)*24*60</f>
        <v>121</v>
      </c>
      <c r="X44" s="184"/>
      <c r="Y44" s="184"/>
      <c r="Z44" s="185"/>
      <c r="AA44" s="185"/>
      <c r="AB44" s="601"/>
      <c r="AC44" s="601"/>
      <c r="AD44" s="101"/>
      <c r="AE44" s="101"/>
      <c r="AF44" s="210">
        <f t="shared" si="28"/>
        <v>-131.40495867768595</v>
      </c>
      <c r="AG44" s="211">
        <f t="shared" si="7"/>
        <v>0.91239669421487601</v>
      </c>
      <c r="AH44" s="641">
        <f>AG56</f>
        <v>0.90713005652272627</v>
      </c>
    </row>
    <row r="45" spans="1:34" s="213" customFormat="1" ht="19.149999999999999" customHeight="1">
      <c r="A45" s="639"/>
      <c r="B45" s="152" t="s">
        <v>388</v>
      </c>
      <c r="C45" s="198"/>
      <c r="D45" s="83" t="s">
        <v>148</v>
      </c>
      <c r="E45" s="84"/>
      <c r="F45" s="199">
        <v>11.6</v>
      </c>
      <c r="G45" s="200">
        <v>2341</v>
      </c>
      <c r="H45" s="87">
        <f>F45*G45</f>
        <v>27155.599999999999</v>
      </c>
      <c r="I45" s="214"/>
      <c r="J45" s="202">
        <v>6</v>
      </c>
      <c r="K45" s="203">
        <v>1636</v>
      </c>
      <c r="L45" s="204">
        <v>272.66666666666669</v>
      </c>
      <c r="M45" s="110">
        <v>7</v>
      </c>
      <c r="N45" s="203">
        <f>G45/W45*60</f>
        <v>1433.2653061224494</v>
      </c>
      <c r="O45" s="204">
        <f>N45/M45</f>
        <v>204.75218658892135</v>
      </c>
      <c r="P45" s="97">
        <f t="shared" si="29"/>
        <v>1</v>
      </c>
      <c r="Q45" s="205">
        <f t="shared" si="30"/>
        <v>-67.914480077745338</v>
      </c>
      <c r="R45" s="206">
        <f t="shared" si="27"/>
        <v>0.75092488969042048</v>
      </c>
      <c r="S45" s="620"/>
      <c r="T45" s="207">
        <v>0.27152777777777776</v>
      </c>
      <c r="U45" s="207">
        <v>0.33958333333333329</v>
      </c>
      <c r="V45" s="208">
        <v>30</v>
      </c>
      <c r="W45" s="209">
        <f t="shared" si="31"/>
        <v>97.999999999999972</v>
      </c>
      <c r="X45" s="184">
        <v>0.25416666666666665</v>
      </c>
      <c r="Y45" s="184">
        <v>0.26874999999999999</v>
      </c>
      <c r="Z45" s="185"/>
      <c r="AA45" s="185"/>
      <c r="AB45" s="601"/>
      <c r="AC45" s="601"/>
      <c r="AD45" s="101"/>
      <c r="AE45" s="101"/>
      <c r="AF45" s="210">
        <f t="shared" si="28"/>
        <v>-202.73469387755063</v>
      </c>
      <c r="AG45" s="211">
        <f t="shared" si="7"/>
        <v>0.87607903797215736</v>
      </c>
      <c r="AH45" s="641"/>
    </row>
    <row r="46" spans="1:34" s="213" customFormat="1" ht="19.149999999999999" customHeight="1">
      <c r="A46" s="639"/>
      <c r="B46" s="152" t="s">
        <v>390</v>
      </c>
      <c r="C46" s="198"/>
      <c r="D46" s="83" t="s">
        <v>149</v>
      </c>
      <c r="E46" s="84"/>
      <c r="F46" s="199">
        <v>10.09</v>
      </c>
      <c r="G46" s="200">
        <v>4327.75</v>
      </c>
      <c r="H46" s="87">
        <f t="shared" ref="H46:H51" si="32">F46*G46</f>
        <v>43666.997499999998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1403.5945945945948</v>
      </c>
      <c r="O46" s="204">
        <f>N46/M46</f>
        <v>233.93243243243248</v>
      </c>
      <c r="P46" s="97">
        <f>M46-J46</f>
        <v>0</v>
      </c>
      <c r="Q46" s="205">
        <f>O46-L46</f>
        <v>-16.067567567567522</v>
      </c>
      <c r="R46" s="206">
        <f t="shared" si="27"/>
        <v>0.9357297297297299</v>
      </c>
      <c r="S46" s="620"/>
      <c r="T46" s="207">
        <v>0.36041666666666661</v>
      </c>
      <c r="U46" s="207">
        <v>0.48888888888888882</v>
      </c>
      <c r="V46" s="208">
        <v>30</v>
      </c>
      <c r="W46" s="209">
        <f t="shared" si="31"/>
        <v>184.99999999999997</v>
      </c>
      <c r="X46" s="184">
        <v>0.3430555555555555</v>
      </c>
      <c r="Y46" s="184">
        <v>0.3576388888888889</v>
      </c>
      <c r="Z46" s="185"/>
      <c r="AA46" s="185"/>
      <c r="AB46" s="601"/>
      <c r="AC46" s="601"/>
      <c r="AD46" s="101">
        <v>1</v>
      </c>
      <c r="AE46" s="101">
        <v>1</v>
      </c>
      <c r="AF46" s="210">
        <f t="shared" si="28"/>
        <v>-96.40540540540519</v>
      </c>
      <c r="AG46" s="211">
        <f t="shared" si="7"/>
        <v>0.9357297297297299</v>
      </c>
      <c r="AH46" s="641"/>
    </row>
    <row r="47" spans="1:34" s="213" customFormat="1" ht="19.149999999999999" customHeight="1">
      <c r="A47" s="639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0"/>
      <c r="T47" s="207"/>
      <c r="U47" s="207"/>
      <c r="V47" s="203"/>
      <c r="W47" s="209"/>
      <c r="X47" s="184"/>
      <c r="Y47" s="184"/>
      <c r="Z47" s="185"/>
      <c r="AA47" s="185"/>
      <c r="AB47" s="601"/>
      <c r="AC47" s="601"/>
      <c r="AD47" s="101"/>
      <c r="AE47" s="101"/>
      <c r="AF47" s="210">
        <f t="shared" si="28"/>
        <v>0</v>
      </c>
      <c r="AG47" s="211" t="e">
        <f t="shared" si="7"/>
        <v>#DIV/0!</v>
      </c>
      <c r="AH47" s="641"/>
    </row>
    <row r="48" spans="1:34" s="213" customFormat="1" ht="19.149999999999999" customHeight="1">
      <c r="A48" s="639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0"/>
      <c r="T48" s="219"/>
      <c r="U48" s="219"/>
      <c r="V48" s="200"/>
      <c r="W48" s="209"/>
      <c r="X48" s="184"/>
      <c r="Y48" s="184"/>
      <c r="Z48" s="185"/>
      <c r="AA48" s="185"/>
      <c r="AB48" s="601"/>
      <c r="AC48" s="601"/>
      <c r="AD48" s="101"/>
      <c r="AE48" s="101"/>
      <c r="AF48" s="210">
        <f t="shared" si="28"/>
        <v>0</v>
      </c>
      <c r="AG48" s="211" t="e">
        <f t="shared" si="7"/>
        <v>#DIV/0!</v>
      </c>
      <c r="AH48" s="641"/>
    </row>
    <row r="49" spans="1:34" s="213" customFormat="1" ht="19.149999999999999" customHeight="1">
      <c r="A49" s="639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0"/>
      <c r="T49" s="219"/>
      <c r="U49" s="219"/>
      <c r="V49" s="200"/>
      <c r="W49" s="209"/>
      <c r="X49" s="220"/>
      <c r="Y49" s="220"/>
      <c r="Z49" s="221"/>
      <c r="AA49" s="185"/>
      <c r="AB49" s="601"/>
      <c r="AC49" s="601"/>
      <c r="AD49" s="101"/>
      <c r="AE49" s="101"/>
      <c r="AF49" s="210">
        <f t="shared" si="28"/>
        <v>0</v>
      </c>
      <c r="AG49" s="211" t="e">
        <f t="shared" si="7"/>
        <v>#DIV/0!</v>
      </c>
      <c r="AH49" s="641"/>
    </row>
    <row r="50" spans="1:34" s="213" customFormat="1" ht="19.149999999999999" customHeight="1">
      <c r="A50" s="639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0"/>
      <c r="T50" s="219"/>
      <c r="U50" s="219"/>
      <c r="V50" s="200"/>
      <c r="W50" s="209"/>
      <c r="X50" s="220"/>
      <c r="Y50" s="220"/>
      <c r="Z50" s="221"/>
      <c r="AA50" s="221"/>
      <c r="AB50" s="601"/>
      <c r="AC50" s="601"/>
      <c r="AD50" s="101"/>
      <c r="AE50" s="101"/>
      <c r="AF50" s="210">
        <f t="shared" si="28"/>
        <v>0</v>
      </c>
      <c r="AG50" s="211" t="e">
        <f t="shared" si="7"/>
        <v>#DIV/0!</v>
      </c>
      <c r="AH50" s="641"/>
    </row>
    <row r="51" spans="1:34" s="213" customFormat="1" ht="19.149999999999999" customHeight="1">
      <c r="A51" s="639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0"/>
      <c r="T51" s="219"/>
      <c r="U51" s="219"/>
      <c r="V51" s="200"/>
      <c r="W51" s="209"/>
      <c r="X51" s="220"/>
      <c r="Y51" s="220"/>
      <c r="Z51" s="221"/>
      <c r="AA51" s="221"/>
      <c r="AB51" s="601"/>
      <c r="AC51" s="601"/>
      <c r="AD51" s="101"/>
      <c r="AE51" s="101"/>
      <c r="AF51" s="210">
        <f t="shared" si="28"/>
        <v>0</v>
      </c>
      <c r="AG51" s="211" t="e">
        <f t="shared" si="7"/>
        <v>#DIV/0!</v>
      </c>
      <c r="AH51" s="641"/>
    </row>
    <row r="52" spans="1:34" s="213" customFormat="1" ht="19.149999999999999" customHeight="1">
      <c r="A52" s="639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0"/>
      <c r="S52" s="620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01"/>
      <c r="AC52" s="601"/>
      <c r="AD52" s="101"/>
      <c r="AE52" s="101"/>
      <c r="AF52" s="210">
        <f t="shared" si="28"/>
        <v>0</v>
      </c>
      <c r="AG52" s="211" t="e">
        <f t="shared" si="7"/>
        <v>#DIV/0!</v>
      </c>
      <c r="AH52" s="641"/>
    </row>
    <row r="53" spans="1:34" s="213" customFormat="1" ht="19.149999999999999" customHeight="1">
      <c r="A53" s="639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0"/>
      <c r="S53" s="620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01"/>
      <c r="AC53" s="601"/>
      <c r="AD53" s="101"/>
      <c r="AE53" s="101"/>
      <c r="AF53" s="210"/>
      <c r="AG53" s="211"/>
      <c r="AH53" s="641"/>
    </row>
    <row r="54" spans="1:34" s="213" customFormat="1" ht="19.149999999999999" customHeight="1">
      <c r="A54" s="639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0"/>
      <c r="S54" s="620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01"/>
      <c r="AC54" s="601"/>
      <c r="AD54" s="101"/>
      <c r="AE54" s="101"/>
      <c r="AF54" s="210"/>
      <c r="AG54" s="211"/>
      <c r="AH54" s="641"/>
    </row>
    <row r="55" spans="1:34" s="213" customFormat="1" ht="19.149999999999999" customHeight="1">
      <c r="A55" s="639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0"/>
      <c r="S55" s="620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01"/>
      <c r="AC55" s="601"/>
      <c r="AD55" s="101"/>
      <c r="AE55" s="101"/>
      <c r="AF55" s="210"/>
      <c r="AG55" s="211"/>
      <c r="AH55" s="641"/>
    </row>
    <row r="56" spans="1:34" ht="19.149999999999999" customHeight="1">
      <c r="A56" s="640"/>
      <c r="B56" s="226">
        <v>0</v>
      </c>
      <c r="C56" s="156" t="s">
        <v>263</v>
      </c>
      <c r="D56" s="602" t="s">
        <v>256</v>
      </c>
      <c r="E56" s="602"/>
      <c r="F56" s="157"/>
      <c r="G56" s="158"/>
      <c r="H56" s="159"/>
      <c r="I56" s="160"/>
      <c r="J56" s="158">
        <v>6</v>
      </c>
      <c r="K56" s="158">
        <v>1545.3333333333333</v>
      </c>
      <c r="L56" s="161">
        <v>257.5555555555556</v>
      </c>
      <c r="M56" s="158">
        <f t="shared" ref="M56:O56" si="33">AVERAGE(M44:M55)</f>
        <v>6.333333333333333</v>
      </c>
      <c r="N56" s="158">
        <f t="shared" si="33"/>
        <v>1401.8183140131196</v>
      </c>
      <c r="O56" s="161">
        <f t="shared" si="33"/>
        <v>222.26126419169097</v>
      </c>
      <c r="P56" s="227">
        <f>M56-J56</f>
        <v>0.33333333333333304</v>
      </c>
      <c r="Q56" s="176">
        <f>N56-K56</f>
        <v>-143.5150193202137</v>
      </c>
      <c r="R56" s="228">
        <f t="shared" ref="R56:R60" si="34">O56/L56</f>
        <v>0.86296435622313128</v>
      </c>
      <c r="S56" s="620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01"/>
      <c r="AC56" s="601"/>
      <c r="AD56" s="164">
        <f>SUM(AD44:AD55)</f>
        <v>1</v>
      </c>
      <c r="AE56" s="164">
        <f>SUM(AE44:AE55)</f>
        <v>1</v>
      </c>
      <c r="AF56" s="232">
        <f>N56-K56</f>
        <v>-143.5150193202137</v>
      </c>
      <c r="AG56" s="140">
        <f>N56/K56</f>
        <v>0.90713005652272627</v>
      </c>
      <c r="AH56" s="641"/>
    </row>
    <row r="57" spans="1:34" ht="19.149999999999999" customHeight="1">
      <c r="A57" s="634" t="s">
        <v>264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1756</v>
      </c>
      <c r="H57" s="135">
        <f t="shared" ref="H57:H66" si="35">F57*G57</f>
        <v>49624.560000000005</v>
      </c>
      <c r="I57" s="101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1300.7407407407409</v>
      </c>
      <c r="O57" s="137">
        <f t="shared" ref="O57:O60" si="37">N57/M57</f>
        <v>185.82010582010585</v>
      </c>
      <c r="P57" s="235">
        <f t="shared" ref="P57:P60" si="38">M57-J57</f>
        <v>1</v>
      </c>
      <c r="Q57" s="93">
        <f t="shared" ref="Q57:Q60" si="39">O57-L57</f>
        <v>-64.179894179894148</v>
      </c>
      <c r="R57" s="94">
        <f t="shared" si="34"/>
        <v>0.74328042328042343</v>
      </c>
      <c r="S57" s="620">
        <f>R69</f>
        <v>0.83251796974907455</v>
      </c>
      <c r="T57" s="207">
        <v>0.16666666666666666</v>
      </c>
      <c r="U57" s="207">
        <v>0.22291666666666665</v>
      </c>
      <c r="V57" s="65">
        <v>5</v>
      </c>
      <c r="W57" s="88">
        <f>(U57-T57)*24*60</f>
        <v>80.999999999999986</v>
      </c>
      <c r="X57" s="99"/>
      <c r="Y57" s="99"/>
      <c r="Z57" s="100"/>
      <c r="AA57" s="100"/>
      <c r="AB57" s="601"/>
      <c r="AC57" s="601"/>
      <c r="AD57" s="101"/>
      <c r="AE57" s="101"/>
      <c r="AF57" s="92">
        <f t="shared" si="6"/>
        <v>-199.25925925925912</v>
      </c>
      <c r="AG57" s="177">
        <f t="shared" si="7"/>
        <v>0.86716049382716054</v>
      </c>
      <c r="AH57" s="622">
        <f>AG69</f>
        <v>0.93233079997857138</v>
      </c>
    </row>
    <row r="58" spans="1:34" ht="19.149999999999999" customHeight="1">
      <c r="A58" s="635"/>
      <c r="B58" s="152" t="s">
        <v>388</v>
      </c>
      <c r="C58" s="147"/>
      <c r="D58" s="83" t="s">
        <v>153</v>
      </c>
      <c r="E58" s="84"/>
      <c r="F58" s="85">
        <v>27.88</v>
      </c>
      <c r="G58" s="200">
        <v>2527</v>
      </c>
      <c r="H58" s="87">
        <f t="shared" si="35"/>
        <v>70452.759999999995</v>
      </c>
      <c r="I58" s="65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1457.8846153846157</v>
      </c>
      <c r="O58" s="90">
        <f t="shared" si="37"/>
        <v>208.2692307692308</v>
      </c>
      <c r="P58" s="235">
        <f t="shared" si="38"/>
        <v>1</v>
      </c>
      <c r="Q58" s="93">
        <f t="shared" si="39"/>
        <v>-41.730769230769198</v>
      </c>
      <c r="R58" s="94">
        <f t="shared" si="34"/>
        <v>0.83307692307692316</v>
      </c>
      <c r="S58" s="620"/>
      <c r="T58" s="236">
        <v>0.22847222222222222</v>
      </c>
      <c r="U58" s="236">
        <v>0.30069444444444443</v>
      </c>
      <c r="V58" s="65">
        <v>8</v>
      </c>
      <c r="W58" s="88">
        <f>(U58-T58)*24*60</f>
        <v>103.99999999999999</v>
      </c>
      <c r="X58" s="99"/>
      <c r="Y58" s="99"/>
      <c r="Z58" s="100"/>
      <c r="AA58" s="100"/>
      <c r="AB58" s="636"/>
      <c r="AC58" s="637"/>
      <c r="AD58" s="101"/>
      <c r="AE58" s="101"/>
      <c r="AF58" s="92">
        <f t="shared" si="6"/>
        <v>-42.115384615384301</v>
      </c>
      <c r="AG58" s="94">
        <f t="shared" si="7"/>
        <v>0.97192307692307711</v>
      </c>
      <c r="AH58" s="620"/>
    </row>
    <row r="59" spans="1:34" ht="19.149999999999999" customHeight="1">
      <c r="A59" s="635"/>
      <c r="B59" s="152" t="s">
        <v>388</v>
      </c>
      <c r="C59" s="147"/>
      <c r="D59" s="83" t="s">
        <v>154</v>
      </c>
      <c r="E59" s="84"/>
      <c r="F59" s="85">
        <v>28</v>
      </c>
      <c r="G59" s="200">
        <v>2652</v>
      </c>
      <c r="H59" s="87">
        <f t="shared" si="35"/>
        <v>74256</v>
      </c>
      <c r="I59" s="65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1433.5135135135135</v>
      </c>
      <c r="O59" s="90">
        <f t="shared" si="37"/>
        <v>204.78764478764478</v>
      </c>
      <c r="P59" s="235">
        <f t="shared" si="38"/>
        <v>1</v>
      </c>
      <c r="Q59" s="93">
        <f t="shared" si="39"/>
        <v>-45.21235521235522</v>
      </c>
      <c r="R59" s="94">
        <f t="shared" si="34"/>
        <v>0.81915057915057909</v>
      </c>
      <c r="S59" s="620"/>
      <c r="T59" s="236">
        <v>0.31666666666666665</v>
      </c>
      <c r="U59" s="236">
        <v>0.39374999999999999</v>
      </c>
      <c r="V59" s="208">
        <v>23</v>
      </c>
      <c r="W59" s="88">
        <f>(U59-T59)*24*60</f>
        <v>111</v>
      </c>
      <c r="X59" s="99">
        <v>0.30416666666666664</v>
      </c>
      <c r="Y59" s="99">
        <v>0.31388888888888888</v>
      </c>
      <c r="Z59" s="100"/>
      <c r="AA59" s="100"/>
      <c r="AB59" s="601"/>
      <c r="AC59" s="601"/>
      <c r="AD59" s="101"/>
      <c r="AE59" s="101">
        <v>1</v>
      </c>
      <c r="AF59" s="92">
        <f t="shared" si="6"/>
        <v>-66.486486486486456</v>
      </c>
      <c r="AG59" s="94">
        <f t="shared" si="7"/>
        <v>0.95567567567567568</v>
      </c>
      <c r="AH59" s="620"/>
    </row>
    <row r="60" spans="1:34" ht="19.149999999999999" customHeight="1">
      <c r="A60" s="635"/>
      <c r="B60" s="152" t="s">
        <v>390</v>
      </c>
      <c r="C60" s="147"/>
      <c r="D60" s="83" t="s">
        <v>149</v>
      </c>
      <c r="E60" s="84"/>
      <c r="F60" s="85">
        <v>10.09</v>
      </c>
      <c r="G60" s="200">
        <v>8037.25</v>
      </c>
      <c r="H60" s="87">
        <f t="shared" si="35"/>
        <v>81095.852499999994</v>
      </c>
      <c r="I60" s="65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1401.8459302325582</v>
      </c>
      <c r="O60" s="90">
        <f t="shared" si="37"/>
        <v>233.64098837209303</v>
      </c>
      <c r="P60" s="235">
        <f t="shared" si="38"/>
        <v>0</v>
      </c>
      <c r="Q60" s="93">
        <f t="shared" si="39"/>
        <v>-16.359011627906966</v>
      </c>
      <c r="R60" s="94">
        <f t="shared" si="34"/>
        <v>0.93456395348837218</v>
      </c>
      <c r="S60" s="620"/>
      <c r="T60" s="236">
        <v>0.39930555555555552</v>
      </c>
      <c r="U60" s="236">
        <v>0.6381944444444444</v>
      </c>
      <c r="V60" s="208">
        <v>8</v>
      </c>
      <c r="W60" s="88">
        <f>(U60-T60)*24*60</f>
        <v>343.99999999999994</v>
      </c>
      <c r="X60" s="99"/>
      <c r="Y60" s="99"/>
      <c r="Z60" s="100"/>
      <c r="AA60" s="100"/>
      <c r="AB60" s="601"/>
      <c r="AC60" s="601"/>
      <c r="AD60" s="101">
        <v>1</v>
      </c>
      <c r="AE60" s="101"/>
      <c r="AF60" s="92">
        <f t="shared" si="6"/>
        <v>-98.154069767441797</v>
      </c>
      <c r="AG60" s="177">
        <f t="shared" si="7"/>
        <v>0.93456395348837218</v>
      </c>
      <c r="AH60" s="620"/>
    </row>
    <row r="61" spans="1:34" ht="19.149999999999999" customHeight="1">
      <c r="A61" s="635"/>
      <c r="B61" s="152">
        <v>0</v>
      </c>
      <c r="C61" s="147"/>
      <c r="D61" s="83"/>
      <c r="E61" s="84"/>
      <c r="F61" s="85"/>
      <c r="G61" s="200"/>
      <c r="H61" s="87"/>
      <c r="I61" s="65"/>
      <c r="J61" s="89"/>
      <c r="K61" s="86"/>
      <c r="L61" s="137"/>
      <c r="M61" s="110"/>
      <c r="N61" s="86"/>
      <c r="O61" s="90"/>
      <c r="P61" s="235"/>
      <c r="Q61" s="93"/>
      <c r="R61" s="94"/>
      <c r="S61" s="620"/>
      <c r="T61" s="236"/>
      <c r="U61" s="236"/>
      <c r="V61" s="208"/>
      <c r="W61" s="88"/>
      <c r="X61" s="99"/>
      <c r="Y61" s="99"/>
      <c r="Z61" s="100"/>
      <c r="AA61" s="100"/>
      <c r="AB61" s="601"/>
      <c r="AC61" s="601"/>
      <c r="AD61" s="101"/>
      <c r="AE61" s="101"/>
      <c r="AF61" s="92">
        <f t="shared" si="6"/>
        <v>0</v>
      </c>
      <c r="AG61" s="177" t="e">
        <f t="shared" si="7"/>
        <v>#DIV/0!</v>
      </c>
      <c r="AH61" s="620"/>
    </row>
    <row r="62" spans="1:34" ht="19.149999999999999" customHeight="1">
      <c r="A62" s="635"/>
      <c r="B62" s="152">
        <v>0</v>
      </c>
      <c r="C62" s="147"/>
      <c r="D62" s="83"/>
      <c r="E62" s="84"/>
      <c r="F62" s="85" t="s">
        <v>391</v>
      </c>
      <c r="G62" s="200"/>
      <c r="H62" s="87">
        <f t="shared" si="35"/>
        <v>0</v>
      </c>
      <c r="I62" s="65"/>
      <c r="J62" s="239"/>
      <c r="K62" s="108"/>
      <c r="L62" s="137"/>
      <c r="M62" s="110"/>
      <c r="N62" s="86"/>
      <c r="O62" s="90"/>
      <c r="P62" s="235"/>
      <c r="Q62" s="93"/>
      <c r="R62" s="94"/>
      <c r="S62" s="620"/>
      <c r="T62" s="236"/>
      <c r="U62" s="236"/>
      <c r="V62" s="208"/>
      <c r="W62" s="88"/>
      <c r="X62" s="99"/>
      <c r="Y62" s="99"/>
      <c r="Z62" s="100"/>
      <c r="AA62" s="100"/>
      <c r="AB62" s="601"/>
      <c r="AC62" s="601"/>
      <c r="AD62" s="101"/>
      <c r="AE62" s="101"/>
      <c r="AF62" s="92">
        <f t="shared" si="6"/>
        <v>0</v>
      </c>
      <c r="AG62" s="177" t="e">
        <f t="shared" si="7"/>
        <v>#DIV/0!</v>
      </c>
      <c r="AH62" s="620"/>
    </row>
    <row r="63" spans="1:34" ht="19.149999999999999" customHeight="1">
      <c r="A63" s="635"/>
      <c r="B63" s="152">
        <v>0</v>
      </c>
      <c r="C63" s="147"/>
      <c r="D63" s="83"/>
      <c r="E63" s="84"/>
      <c r="F63" s="85" t="s">
        <v>391</v>
      </c>
      <c r="G63" s="200"/>
      <c r="H63" s="87">
        <f t="shared" si="35"/>
        <v>0</v>
      </c>
      <c r="I63" s="65"/>
      <c r="J63" s="89"/>
      <c r="K63" s="86"/>
      <c r="L63" s="137"/>
      <c r="M63" s="110"/>
      <c r="N63" s="86"/>
      <c r="O63" s="90"/>
      <c r="P63" s="235"/>
      <c r="Q63" s="93"/>
      <c r="R63" s="94"/>
      <c r="S63" s="620"/>
      <c r="T63" s="236"/>
      <c r="U63" s="236"/>
      <c r="V63" s="208"/>
      <c r="W63" s="88"/>
      <c r="X63" s="99"/>
      <c r="Y63" s="99"/>
      <c r="Z63" s="100"/>
      <c r="AA63" s="100"/>
      <c r="AB63" s="601"/>
      <c r="AC63" s="601"/>
      <c r="AD63" s="101"/>
      <c r="AE63" s="101"/>
      <c r="AF63" s="92">
        <f t="shared" si="6"/>
        <v>0</v>
      </c>
      <c r="AG63" s="177" t="e">
        <f t="shared" si="7"/>
        <v>#DIV/0!</v>
      </c>
      <c r="AH63" s="620"/>
    </row>
    <row r="64" spans="1:34" ht="19.149999999999999" customHeight="1">
      <c r="A64" s="635"/>
      <c r="B64" s="152">
        <v>0</v>
      </c>
      <c r="C64" s="147"/>
      <c r="D64" s="83"/>
      <c r="E64" s="84"/>
      <c r="F64" s="85" t="s">
        <v>391</v>
      </c>
      <c r="G64" s="200"/>
      <c r="H64" s="87">
        <f t="shared" si="35"/>
        <v>0</v>
      </c>
      <c r="I64" s="65"/>
      <c r="J64" s="239"/>
      <c r="K64" s="108"/>
      <c r="L64" s="137"/>
      <c r="M64" s="110"/>
      <c r="N64" s="86"/>
      <c r="O64" s="90"/>
      <c r="P64" s="235"/>
      <c r="Q64" s="93"/>
      <c r="R64" s="94"/>
      <c r="S64" s="620"/>
      <c r="T64" s="236"/>
      <c r="U64" s="236"/>
      <c r="V64" s="208"/>
      <c r="W64" s="88"/>
      <c r="X64" s="65"/>
      <c r="Y64" s="65"/>
      <c r="Z64" s="100"/>
      <c r="AA64" s="100"/>
      <c r="AB64" s="601"/>
      <c r="AC64" s="601"/>
      <c r="AD64" s="101"/>
      <c r="AE64" s="101"/>
      <c r="AF64" s="92">
        <f t="shared" si="6"/>
        <v>0</v>
      </c>
      <c r="AG64" s="177" t="e">
        <f t="shared" si="7"/>
        <v>#DIV/0!</v>
      </c>
      <c r="AH64" s="620"/>
    </row>
    <row r="65" spans="1:34" ht="19.149999999999999" customHeight="1">
      <c r="A65" s="635"/>
      <c r="B65" s="152">
        <v>0</v>
      </c>
      <c r="C65" s="147"/>
      <c r="D65" s="83"/>
      <c r="E65" s="84"/>
      <c r="F65" s="85" t="s">
        <v>391</v>
      </c>
      <c r="G65" s="200"/>
      <c r="H65" s="87">
        <f t="shared" si="35"/>
        <v>0</v>
      </c>
      <c r="I65" s="65"/>
      <c r="J65" s="239"/>
      <c r="K65" s="108"/>
      <c r="L65" s="137"/>
      <c r="M65" s="110"/>
      <c r="N65" s="108"/>
      <c r="O65" s="127"/>
      <c r="P65" s="92"/>
      <c r="Q65" s="93"/>
      <c r="R65" s="94"/>
      <c r="S65" s="620"/>
      <c r="T65" s="236"/>
      <c r="U65" s="236"/>
      <c r="V65" s="208"/>
      <c r="W65" s="88">
        <f t="shared" ref="W65:W69" si="40">(U65-T65)*24*60</f>
        <v>0</v>
      </c>
      <c r="X65" s="65"/>
      <c r="Y65" s="65"/>
      <c r="Z65" s="100"/>
      <c r="AA65" s="100"/>
      <c r="AB65" s="601"/>
      <c r="AC65" s="601"/>
      <c r="AD65" s="101"/>
      <c r="AE65" s="101"/>
      <c r="AF65" s="92">
        <f t="shared" si="6"/>
        <v>0</v>
      </c>
      <c r="AG65" s="177" t="e">
        <f t="shared" si="7"/>
        <v>#DIV/0!</v>
      </c>
      <c r="AH65" s="620"/>
    </row>
    <row r="66" spans="1:34" ht="19.149999999999999" customHeight="1">
      <c r="A66" s="635"/>
      <c r="B66" s="152">
        <v>0</v>
      </c>
      <c r="C66" s="147"/>
      <c r="D66" s="83"/>
      <c r="E66" s="84"/>
      <c r="F66" s="85" t="s">
        <v>391</v>
      </c>
      <c r="G66" s="200"/>
      <c r="H66" s="87">
        <f t="shared" si="35"/>
        <v>0</v>
      </c>
      <c r="I66" s="65"/>
      <c r="J66" s="239"/>
      <c r="K66" s="108"/>
      <c r="L66" s="137"/>
      <c r="M66" s="110"/>
      <c r="N66" s="108"/>
      <c r="O66" s="127"/>
      <c r="P66" s="92"/>
      <c r="Q66" s="93"/>
      <c r="R66" s="94"/>
      <c r="S66" s="620"/>
      <c r="T66" s="236"/>
      <c r="U66" s="236"/>
      <c r="V66" s="208"/>
      <c r="W66" s="88">
        <f t="shared" si="40"/>
        <v>0</v>
      </c>
      <c r="X66" s="65"/>
      <c r="Y66" s="65"/>
      <c r="Z66" s="100"/>
      <c r="AA66" s="100"/>
      <c r="AB66" s="601"/>
      <c r="AC66" s="601"/>
      <c r="AD66" s="101"/>
      <c r="AE66" s="101"/>
      <c r="AF66" s="92">
        <f t="shared" si="6"/>
        <v>0</v>
      </c>
      <c r="AG66" s="177" t="e">
        <f t="shared" si="7"/>
        <v>#DIV/0!</v>
      </c>
      <c r="AH66" s="620"/>
    </row>
    <row r="67" spans="1:34" ht="19.149999999999999" customHeight="1">
      <c r="A67" s="635"/>
      <c r="B67" s="152">
        <v>0</v>
      </c>
      <c r="C67" s="147"/>
      <c r="D67" s="83"/>
      <c r="E67" s="84"/>
      <c r="F67" s="85" t="s">
        <v>391</v>
      </c>
      <c r="G67" s="200"/>
      <c r="H67" s="87">
        <f>F67*G67</f>
        <v>0</v>
      </c>
      <c r="I67" s="65"/>
      <c r="J67" s="239"/>
      <c r="K67" s="108"/>
      <c r="L67" s="137"/>
      <c r="M67" s="110"/>
      <c r="N67" s="108"/>
      <c r="O67" s="127"/>
      <c r="P67" s="92"/>
      <c r="Q67" s="93"/>
      <c r="R67" s="94"/>
      <c r="S67" s="620"/>
      <c r="T67" s="236"/>
      <c r="U67" s="236"/>
      <c r="V67" s="208"/>
      <c r="W67" s="88">
        <f t="shared" si="40"/>
        <v>0</v>
      </c>
      <c r="X67" s="65"/>
      <c r="Y67" s="65"/>
      <c r="Z67" s="100"/>
      <c r="AA67" s="100"/>
      <c r="AB67" s="601"/>
      <c r="AC67" s="601"/>
      <c r="AD67" s="101"/>
      <c r="AE67" s="101"/>
      <c r="AF67" s="92">
        <f t="shared" si="6"/>
        <v>0</v>
      </c>
      <c r="AG67" s="177" t="e">
        <f t="shared" si="7"/>
        <v>#DIV/0!</v>
      </c>
      <c r="AH67" s="620"/>
    </row>
    <row r="68" spans="1:34" ht="19.149999999999999" customHeight="1">
      <c r="A68" s="635"/>
      <c r="B68" s="65">
        <v>0</v>
      </c>
      <c r="C68" s="147"/>
      <c r="D68" s="83"/>
      <c r="E68" s="84"/>
      <c r="F68" s="199" t="s">
        <v>391</v>
      </c>
      <c r="G68" s="200"/>
      <c r="H68" s="87">
        <f>F68*G68</f>
        <v>0</v>
      </c>
      <c r="I68" s="65"/>
      <c r="J68" s="239"/>
      <c r="K68" s="108"/>
      <c r="L68" s="137"/>
      <c r="M68" s="110"/>
      <c r="N68" s="108"/>
      <c r="O68" s="127"/>
      <c r="P68" s="92"/>
      <c r="Q68" s="93"/>
      <c r="R68" s="94"/>
      <c r="S68" s="620"/>
      <c r="T68" s="236"/>
      <c r="U68" s="236"/>
      <c r="V68" s="208"/>
      <c r="W68" s="88">
        <f t="shared" si="40"/>
        <v>0</v>
      </c>
      <c r="X68" s="65"/>
      <c r="Y68" s="65"/>
      <c r="Z68" s="100"/>
      <c r="AA68" s="100"/>
      <c r="AB68" s="601"/>
      <c r="AC68" s="601"/>
      <c r="AD68" s="101"/>
      <c r="AE68" s="101"/>
      <c r="AF68" s="92"/>
      <c r="AG68" s="94"/>
      <c r="AH68" s="620"/>
    </row>
    <row r="69" spans="1:34" ht="19.149999999999999" customHeight="1">
      <c r="A69" s="635"/>
      <c r="B69" s="240">
        <v>0</v>
      </c>
      <c r="C69" s="12" t="s">
        <v>265</v>
      </c>
      <c r="D69" s="602" t="s">
        <v>256</v>
      </c>
      <c r="E69" s="602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1398.4961999678571</v>
      </c>
      <c r="O69" s="123">
        <f t="shared" si="41"/>
        <v>208.12949243726862</v>
      </c>
      <c r="P69" s="92">
        <f>M69-J69</f>
        <v>0.75</v>
      </c>
      <c r="Q69" s="93">
        <f>N69-K69</f>
        <v>-101.50380003214286</v>
      </c>
      <c r="R69" s="245">
        <f t="shared" ref="R69:R70" si="42">O69/L69</f>
        <v>0.83251796974907455</v>
      </c>
      <c r="S69" s="620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01"/>
      <c r="AC69" s="601"/>
      <c r="AD69" s="164">
        <f>SUM(AD57:AD68)</f>
        <v>1</v>
      </c>
      <c r="AE69" s="164">
        <f>SUM(AE57:AE68)</f>
        <v>1</v>
      </c>
      <c r="AF69" s="92">
        <f t="shared" si="6"/>
        <v>-101.50380003214286</v>
      </c>
      <c r="AG69" s="94">
        <f t="shared" si="7"/>
        <v>0.93233079997857138</v>
      </c>
      <c r="AH69" s="620"/>
    </row>
    <row r="70" spans="1:34" ht="19.149999999999999" customHeight="1">
      <c r="A70" s="632" t="s">
        <v>266</v>
      </c>
      <c r="B70" s="65" t="s">
        <v>387</v>
      </c>
      <c r="C70" s="152"/>
      <c r="D70" s="83" t="s">
        <v>157</v>
      </c>
      <c r="E70" s="84"/>
      <c r="F70" s="85">
        <v>62.13</v>
      </c>
      <c r="G70" s="86">
        <v>571</v>
      </c>
      <c r="H70" s="87">
        <f>F70*G70</f>
        <v>35476.230000000003</v>
      </c>
      <c r="I70" s="65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4" si="43">G70/W70*60</f>
        <v>1142.0000000000011</v>
      </c>
      <c r="O70" s="90">
        <f t="shared" ref="O70:O74" si="44">N70/M70</f>
        <v>87.846153846153939</v>
      </c>
      <c r="P70" s="92">
        <f t="shared" ref="P70:P74" si="45">M70-J70</f>
        <v>-1</v>
      </c>
      <c r="Q70" s="93">
        <f t="shared" ref="Q70" si="46">O70-L70</f>
        <v>-19.2967032967032</v>
      </c>
      <c r="R70" s="94">
        <f t="shared" si="42"/>
        <v>0.8198974358974368</v>
      </c>
      <c r="S70" s="620">
        <f>R82</f>
        <v>0.8670431542960273</v>
      </c>
      <c r="T70" s="96">
        <v>0.29166666666666669</v>
      </c>
      <c r="U70" s="96">
        <v>0.3125</v>
      </c>
      <c r="V70" s="65">
        <v>5</v>
      </c>
      <c r="W70" s="88">
        <f>(U70-T70)*24*60</f>
        <v>29.999999999999972</v>
      </c>
      <c r="X70" s="65"/>
      <c r="Y70" s="65"/>
      <c r="Z70" s="100"/>
      <c r="AA70" s="100"/>
      <c r="AB70" s="601"/>
      <c r="AC70" s="601"/>
      <c r="AD70" s="101"/>
      <c r="AE70" s="101"/>
      <c r="AF70" s="92">
        <f t="shared" si="6"/>
        <v>-357.99999999999886</v>
      </c>
      <c r="AG70" s="94">
        <f t="shared" si="7"/>
        <v>0.76133333333333408</v>
      </c>
      <c r="AH70" s="620">
        <f>AG82</f>
        <v>0.84843686707586841</v>
      </c>
    </row>
    <row r="71" spans="1:34" ht="19.149999999999999" customHeight="1">
      <c r="A71" s="632"/>
      <c r="B71" s="65" t="s">
        <v>386</v>
      </c>
      <c r="C71" s="82"/>
      <c r="D71" s="246" t="s">
        <v>158</v>
      </c>
      <c r="E71" s="84"/>
      <c r="F71" s="85">
        <v>47.65</v>
      </c>
      <c r="G71" s="86">
        <v>2264</v>
      </c>
      <c r="H71" s="87">
        <f>F71*G71</f>
        <v>107879.59999999999</v>
      </c>
      <c r="I71" s="65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1246.2385321100917</v>
      </c>
      <c r="O71" s="90">
        <f t="shared" si="44"/>
        <v>69.235474006116206</v>
      </c>
      <c r="P71" s="92">
        <f t="shared" si="45"/>
        <v>0</v>
      </c>
      <c r="Q71" s="93">
        <f>O71-L71</f>
        <v>-10.764525993883794</v>
      </c>
      <c r="R71" s="94">
        <f>O71/L71</f>
        <v>0.86544342507645255</v>
      </c>
      <c r="S71" s="620"/>
      <c r="T71" s="96">
        <v>0.31736111111111109</v>
      </c>
      <c r="U71" s="96">
        <v>0.39305555555555555</v>
      </c>
      <c r="V71" s="65">
        <v>7</v>
      </c>
      <c r="W71" s="88">
        <f t="shared" ref="W71:W81" si="47">(U71-T71)*24*60</f>
        <v>109.00000000000001</v>
      </c>
      <c r="X71" s="99"/>
      <c r="Y71" s="99"/>
      <c r="Z71" s="100"/>
      <c r="AA71" s="100"/>
      <c r="AB71" s="601"/>
      <c r="AC71" s="601"/>
      <c r="AD71" s="101"/>
      <c r="AE71" s="101"/>
      <c r="AF71" s="92">
        <f>N71-K71</f>
        <v>-193.76146788990832</v>
      </c>
      <c r="AG71" s="94">
        <f>N71/K71</f>
        <v>0.86544342507645255</v>
      </c>
      <c r="AH71" s="620"/>
    </row>
    <row r="72" spans="1:34" ht="19.149999999999999" customHeight="1">
      <c r="A72" s="632"/>
      <c r="B72" s="65" t="s">
        <v>386</v>
      </c>
      <c r="C72" s="115"/>
      <c r="D72" s="246" t="s">
        <v>160</v>
      </c>
      <c r="E72" s="84"/>
      <c r="F72" s="85">
        <v>53.76</v>
      </c>
      <c r="G72" s="104">
        <v>2015.2</v>
      </c>
      <c r="H72" s="87">
        <f t="shared" ref="H72:H80" si="48">F72*G72</f>
        <v>108337.152</v>
      </c>
      <c r="I72" s="65"/>
      <c r="J72" s="138">
        <v>16</v>
      </c>
      <c r="K72" s="104">
        <v>1440</v>
      </c>
      <c r="L72" s="137">
        <v>90</v>
      </c>
      <c r="M72" s="91">
        <v>16</v>
      </c>
      <c r="N72" s="86">
        <f t="shared" si="43"/>
        <v>1246.515463917525</v>
      </c>
      <c r="O72" s="90">
        <f t="shared" si="44"/>
        <v>77.907216494845315</v>
      </c>
      <c r="P72" s="92">
        <f t="shared" si="45"/>
        <v>0</v>
      </c>
      <c r="Q72" s="93">
        <f>O72-L72</f>
        <v>-12.092783505154685</v>
      </c>
      <c r="R72" s="94">
        <f>O72/L72</f>
        <v>0.8656357388316146</v>
      </c>
      <c r="S72" s="620"/>
      <c r="T72" s="96">
        <v>0.43402777777777773</v>
      </c>
      <c r="U72" s="96">
        <v>0.50138888888888888</v>
      </c>
      <c r="V72" s="65">
        <v>6</v>
      </c>
      <c r="W72" s="88">
        <f t="shared" si="47"/>
        <v>97.000000000000057</v>
      </c>
      <c r="X72" s="99"/>
      <c r="Y72" s="99"/>
      <c r="Z72" s="100"/>
      <c r="AA72" s="100"/>
      <c r="AB72" s="601"/>
      <c r="AC72" s="601"/>
      <c r="AD72" s="101"/>
      <c r="AE72" s="101"/>
      <c r="AF72" s="92">
        <f>N72-K72</f>
        <v>-193.48453608247496</v>
      </c>
      <c r="AG72" s="94">
        <f>N72/K72</f>
        <v>0.8656357388316146</v>
      </c>
      <c r="AH72" s="620"/>
    </row>
    <row r="73" spans="1:34" ht="19.149999999999999" customHeight="1">
      <c r="A73" s="632"/>
      <c r="B73" s="65" t="s">
        <v>386</v>
      </c>
      <c r="C73" s="248"/>
      <c r="D73" s="249" t="s">
        <v>161</v>
      </c>
      <c r="E73" s="250"/>
      <c r="F73" s="85">
        <v>47.51</v>
      </c>
      <c r="G73" s="104">
        <v>2584</v>
      </c>
      <c r="H73" s="87">
        <f t="shared" si="48"/>
        <v>122765.84</v>
      </c>
      <c r="I73" s="101"/>
      <c r="J73" s="251">
        <v>16</v>
      </c>
      <c r="K73" s="252">
        <v>1440</v>
      </c>
      <c r="L73" s="137">
        <v>90</v>
      </c>
      <c r="M73" s="189">
        <v>16</v>
      </c>
      <c r="N73" s="86">
        <f t="shared" si="43"/>
        <v>1240.3199999999997</v>
      </c>
      <c r="O73" s="90">
        <f t="shared" si="44"/>
        <v>77.519999999999982</v>
      </c>
      <c r="P73" s="92">
        <f t="shared" si="45"/>
        <v>0</v>
      </c>
      <c r="Q73" s="93">
        <f>O73-L73</f>
        <v>-12.480000000000018</v>
      </c>
      <c r="R73" s="94">
        <f>O73/L73</f>
        <v>0.86133333333333317</v>
      </c>
      <c r="S73" s="620"/>
      <c r="T73" s="96">
        <v>0.51666666666666661</v>
      </c>
      <c r="U73" s="96">
        <v>0.60347222222222219</v>
      </c>
      <c r="V73" s="65">
        <v>22</v>
      </c>
      <c r="W73" s="88">
        <f t="shared" si="47"/>
        <v>125.00000000000003</v>
      </c>
      <c r="X73" s="253">
        <v>0.50486111111111109</v>
      </c>
      <c r="Y73" s="253">
        <v>0.51388888888888895</v>
      </c>
      <c r="Z73" s="185"/>
      <c r="AA73" s="185"/>
      <c r="AB73" s="601"/>
      <c r="AC73" s="601"/>
      <c r="AD73" s="101"/>
      <c r="AE73" s="101"/>
      <c r="AF73" s="92">
        <f>N73-K73</f>
        <v>-199.68000000000029</v>
      </c>
      <c r="AG73" s="94">
        <f>N73/K73</f>
        <v>0.86133333333333317</v>
      </c>
      <c r="AH73" s="620"/>
    </row>
    <row r="74" spans="1:34" ht="19.149999999999999" customHeight="1">
      <c r="A74" s="632"/>
      <c r="B74" s="65" t="s">
        <v>388</v>
      </c>
      <c r="C74" s="248"/>
      <c r="D74" s="249" t="s">
        <v>150</v>
      </c>
      <c r="E74" s="250"/>
      <c r="F74" s="85">
        <v>31.43</v>
      </c>
      <c r="G74" s="247">
        <v>690</v>
      </c>
      <c r="H74" s="87">
        <f t="shared" si="48"/>
        <v>21686.7</v>
      </c>
      <c r="I74" s="65">
        <v>2</v>
      </c>
      <c r="J74" s="89">
        <v>6</v>
      </c>
      <c r="K74" s="247">
        <v>1500</v>
      </c>
      <c r="L74" s="90">
        <v>250</v>
      </c>
      <c r="M74" s="91">
        <v>6</v>
      </c>
      <c r="N74" s="86">
        <f t="shared" si="43"/>
        <v>1335.4838709677397</v>
      </c>
      <c r="O74" s="90">
        <f t="shared" si="44"/>
        <v>222.58064516128994</v>
      </c>
      <c r="P74" s="92">
        <f t="shared" si="45"/>
        <v>0</v>
      </c>
      <c r="Q74" s="93">
        <f>O74-L74</f>
        <v>-27.419354838710063</v>
      </c>
      <c r="R74" s="94">
        <f>O74/L74</f>
        <v>0.89032258064515979</v>
      </c>
      <c r="S74" s="620"/>
      <c r="T74" s="96">
        <v>0.61805555555555547</v>
      </c>
      <c r="U74" s="96">
        <v>0.63958333333333328</v>
      </c>
      <c r="V74" s="65">
        <v>21</v>
      </c>
      <c r="W74" s="88">
        <f t="shared" si="47"/>
        <v>31.00000000000005</v>
      </c>
      <c r="X74" s="253">
        <v>0.6069444444444444</v>
      </c>
      <c r="Y74" s="253">
        <v>0.61527777777777781</v>
      </c>
      <c r="Z74" s="185"/>
      <c r="AA74" s="185"/>
      <c r="AB74" s="601"/>
      <c r="AC74" s="601"/>
      <c r="AD74" s="101"/>
      <c r="AE74" s="101"/>
      <c r="AF74" s="92">
        <f>N74-K74</f>
        <v>-164.51612903226032</v>
      </c>
      <c r="AG74" s="94">
        <f>N74/K74</f>
        <v>0.89032258064515979</v>
      </c>
      <c r="AH74" s="620"/>
    </row>
    <row r="75" spans="1:34" ht="19.149999999999999" customHeight="1">
      <c r="A75" s="632"/>
      <c r="B75" s="65">
        <v>0</v>
      </c>
      <c r="C75" s="115"/>
      <c r="D75" s="246"/>
      <c r="E75" s="84"/>
      <c r="F75" s="85" t="s">
        <v>391</v>
      </c>
      <c r="G75" s="104"/>
      <c r="H75" s="87">
        <f t="shared" si="48"/>
        <v>0</v>
      </c>
      <c r="I75" s="65"/>
      <c r="J75" s="138"/>
      <c r="K75" s="104"/>
      <c r="L75" s="137"/>
      <c r="M75" s="91"/>
      <c r="N75" s="86"/>
      <c r="O75" s="90"/>
      <c r="P75" s="92"/>
      <c r="Q75" s="93"/>
      <c r="R75" s="94"/>
      <c r="S75" s="620"/>
      <c r="T75" s="96"/>
      <c r="U75" s="96"/>
      <c r="V75" s="65"/>
      <c r="W75" s="88">
        <f t="shared" si="47"/>
        <v>0</v>
      </c>
      <c r="X75" s="253"/>
      <c r="Y75" s="253"/>
      <c r="Z75" s="185"/>
      <c r="AA75" s="185"/>
      <c r="AB75" s="601"/>
      <c r="AC75" s="601"/>
      <c r="AD75" s="101"/>
      <c r="AE75" s="101"/>
      <c r="AF75" s="92">
        <f>N75-K75</f>
        <v>0</v>
      </c>
      <c r="AG75" s="94" t="e">
        <f>N75/K75</f>
        <v>#DIV/0!</v>
      </c>
      <c r="AH75" s="620"/>
    </row>
    <row r="76" spans="1:34" ht="19.149999999999999" customHeight="1">
      <c r="A76" s="632"/>
      <c r="B76" s="65">
        <v>0</v>
      </c>
      <c r="C76" s="248"/>
      <c r="D76" s="249"/>
      <c r="E76" s="250"/>
      <c r="F76" s="85" t="s">
        <v>391</v>
      </c>
      <c r="G76" s="247"/>
      <c r="H76" s="87">
        <f t="shared" si="48"/>
        <v>0</v>
      </c>
      <c r="I76" s="65"/>
      <c r="J76" s="251"/>
      <c r="K76" s="252"/>
      <c r="L76" s="137"/>
      <c r="M76" s="189" t="s">
        <v>49</v>
      </c>
      <c r="N76" s="86"/>
      <c r="O76" s="90"/>
      <c r="P76" s="92"/>
      <c r="Q76" s="93"/>
      <c r="R76" s="94"/>
      <c r="S76" s="620"/>
      <c r="T76" s="96"/>
      <c r="U76" s="96"/>
      <c r="V76" s="65"/>
      <c r="W76" s="88"/>
      <c r="X76" s="253"/>
      <c r="Y76" s="253"/>
      <c r="Z76" s="185"/>
      <c r="AA76" s="185"/>
      <c r="AB76" s="601"/>
      <c r="AC76" s="601"/>
      <c r="AD76" s="101"/>
      <c r="AE76" s="101"/>
      <c r="AF76" s="92">
        <f t="shared" ref="AF76:AF80" si="49">N76-K76</f>
        <v>0</v>
      </c>
      <c r="AG76" s="94" t="e">
        <f t="shared" ref="AG76:AG80" si="50">N76/K76</f>
        <v>#DIV/0!</v>
      </c>
      <c r="AH76" s="620"/>
    </row>
    <row r="77" spans="1:34" ht="19.149999999999999" customHeight="1">
      <c r="A77" s="632"/>
      <c r="B77" s="65">
        <v>0</v>
      </c>
      <c r="C77" s="147"/>
      <c r="D77" s="249"/>
      <c r="E77" s="84"/>
      <c r="F77" s="85" t="s">
        <v>391</v>
      </c>
      <c r="G77" s="247"/>
      <c r="H77" s="87">
        <f t="shared" si="48"/>
        <v>0</v>
      </c>
      <c r="I77" s="101"/>
      <c r="J77" s="89"/>
      <c r="K77" s="247"/>
      <c r="L77" s="90"/>
      <c r="M77" s="189"/>
      <c r="N77" s="86"/>
      <c r="O77" s="90"/>
      <c r="P77" s="92"/>
      <c r="Q77" s="93"/>
      <c r="R77" s="94"/>
      <c r="S77" s="620"/>
      <c r="T77" s="96"/>
      <c r="U77" s="96"/>
      <c r="V77" s="65"/>
      <c r="W77" s="88"/>
      <c r="X77" s="253"/>
      <c r="Y77" s="253"/>
      <c r="Z77" s="185"/>
      <c r="AA77" s="185"/>
      <c r="AB77" s="601"/>
      <c r="AC77" s="601"/>
      <c r="AD77" s="101"/>
      <c r="AE77" s="101"/>
      <c r="AF77" s="92">
        <f t="shared" si="49"/>
        <v>0</v>
      </c>
      <c r="AG77" s="94" t="e">
        <f t="shared" si="50"/>
        <v>#DIV/0!</v>
      </c>
      <c r="AH77" s="620"/>
    </row>
    <row r="78" spans="1:34" ht="19.149999999999999" customHeight="1">
      <c r="A78" s="632"/>
      <c r="B78" s="65">
        <v>0</v>
      </c>
      <c r="C78" s="147"/>
      <c r="D78" s="83"/>
      <c r="E78" s="84"/>
      <c r="F78" s="85" t="s">
        <v>391</v>
      </c>
      <c r="G78" s="104"/>
      <c r="H78" s="87">
        <f t="shared" si="48"/>
        <v>0</v>
      </c>
      <c r="I78" s="101"/>
      <c r="J78" s="138"/>
      <c r="K78" s="104"/>
      <c r="L78" s="137"/>
      <c r="M78" s="189"/>
      <c r="N78" s="86"/>
      <c r="O78" s="90"/>
      <c r="P78" s="92"/>
      <c r="Q78" s="93"/>
      <c r="R78" s="94"/>
      <c r="S78" s="620"/>
      <c r="T78" s="96"/>
      <c r="U78" s="96"/>
      <c r="V78" s="65"/>
      <c r="W78" s="88"/>
      <c r="X78" s="253"/>
      <c r="Y78" s="253"/>
      <c r="Z78" s="185"/>
      <c r="AA78" s="185"/>
      <c r="AB78" s="601"/>
      <c r="AC78" s="601"/>
      <c r="AD78" s="101"/>
      <c r="AE78" s="101"/>
      <c r="AF78" s="92">
        <f t="shared" si="49"/>
        <v>0</v>
      </c>
      <c r="AG78" s="94" t="e">
        <f t="shared" si="50"/>
        <v>#DIV/0!</v>
      </c>
      <c r="AH78" s="620"/>
    </row>
    <row r="79" spans="1:34" ht="19.149999999999999" customHeight="1">
      <c r="A79" s="632"/>
      <c r="B79" s="65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101"/>
      <c r="J79" s="138"/>
      <c r="K79" s="104"/>
      <c r="L79" s="137"/>
      <c r="M79" s="189"/>
      <c r="N79" s="104"/>
      <c r="O79" s="254"/>
      <c r="P79" s="165"/>
      <c r="Q79" s="255"/>
      <c r="R79" s="166"/>
      <c r="S79" s="620"/>
      <c r="T79" s="96"/>
      <c r="U79" s="96"/>
      <c r="V79" s="65"/>
      <c r="W79" s="88">
        <f t="shared" si="47"/>
        <v>0</v>
      </c>
      <c r="X79" s="253"/>
      <c r="Y79" s="253"/>
      <c r="Z79" s="185"/>
      <c r="AA79" s="185"/>
      <c r="AB79" s="601"/>
      <c r="AC79" s="601"/>
      <c r="AD79" s="101"/>
      <c r="AE79" s="101"/>
      <c r="AF79" s="92">
        <f t="shared" si="49"/>
        <v>0</v>
      </c>
      <c r="AG79" s="94" t="e">
        <f t="shared" si="50"/>
        <v>#DIV/0!</v>
      </c>
      <c r="AH79" s="620"/>
    </row>
    <row r="80" spans="1:34" ht="19.149999999999999" customHeight="1">
      <c r="A80" s="632"/>
      <c r="B80" s="65">
        <v>0</v>
      </c>
      <c r="C80" s="147"/>
      <c r="D80" s="83"/>
      <c r="E80" s="84"/>
      <c r="F80" s="85"/>
      <c r="G80" s="104"/>
      <c r="H80" s="87">
        <f t="shared" si="48"/>
        <v>0</v>
      </c>
      <c r="I80" s="101"/>
      <c r="J80" s="138"/>
      <c r="K80" s="104"/>
      <c r="L80" s="137"/>
      <c r="M80" s="189"/>
      <c r="N80" s="104"/>
      <c r="O80" s="256"/>
      <c r="P80" s="100"/>
      <c r="Q80" s="139"/>
      <c r="R80" s="257"/>
      <c r="S80" s="620"/>
      <c r="T80" s="96"/>
      <c r="U80" s="96"/>
      <c r="V80" s="65"/>
      <c r="W80" s="88">
        <f t="shared" si="47"/>
        <v>0</v>
      </c>
      <c r="X80" s="253"/>
      <c r="Y80" s="253"/>
      <c r="Z80" s="185"/>
      <c r="AA80" s="185"/>
      <c r="AB80" s="601"/>
      <c r="AC80" s="601"/>
      <c r="AD80" s="101"/>
      <c r="AE80" s="101"/>
      <c r="AF80" s="92">
        <f t="shared" si="49"/>
        <v>0</v>
      </c>
      <c r="AG80" s="94" t="e">
        <f t="shared" si="50"/>
        <v>#DIV/0!</v>
      </c>
      <c r="AH80" s="620"/>
    </row>
    <row r="81" spans="1:34" ht="19.149999999999999" customHeight="1">
      <c r="A81" s="632"/>
      <c r="B81" s="65">
        <v>0</v>
      </c>
      <c r="C81" s="147"/>
      <c r="D81" s="83"/>
      <c r="E81" s="84"/>
      <c r="F81" s="199"/>
      <c r="G81" s="104"/>
      <c r="H81" s="135"/>
      <c r="I81" s="101"/>
      <c r="J81" s="138"/>
      <c r="K81" s="104"/>
      <c r="L81" s="137"/>
      <c r="M81" s="189"/>
      <c r="N81" s="104"/>
      <c r="O81" s="256"/>
      <c r="P81" s="100"/>
      <c r="Q81" s="139"/>
      <c r="R81" s="257"/>
      <c r="S81" s="620"/>
      <c r="T81" s="96"/>
      <c r="U81" s="96"/>
      <c r="V81" s="65"/>
      <c r="W81" s="88">
        <f t="shared" si="47"/>
        <v>0</v>
      </c>
      <c r="X81" s="253"/>
      <c r="Y81" s="253"/>
      <c r="Z81" s="185"/>
      <c r="AA81" s="185"/>
      <c r="AB81" s="601"/>
      <c r="AC81" s="601"/>
      <c r="AD81" s="101"/>
      <c r="AE81" s="101"/>
      <c r="AF81" s="92"/>
      <c r="AG81" s="186"/>
      <c r="AH81" s="620"/>
    </row>
    <row r="82" spans="1:34" ht="19.149999999999999" customHeight="1">
      <c r="A82" s="633"/>
      <c r="B82" s="240">
        <v>0</v>
      </c>
      <c r="C82" s="156" t="s">
        <v>267</v>
      </c>
      <c r="D82" s="602" t="s">
        <v>256</v>
      </c>
      <c r="E82" s="602"/>
      <c r="F82" s="258"/>
      <c r="G82" s="158"/>
      <c r="H82" s="159"/>
      <c r="I82" s="160"/>
      <c r="J82" s="158">
        <v>14</v>
      </c>
      <c r="K82" s="158">
        <v>1464</v>
      </c>
      <c r="L82" s="161">
        <v>123.42857142857142</v>
      </c>
      <c r="M82" s="158">
        <f t="shared" ref="M82:O82" si="51">AVERAGE(M70:M81)</f>
        <v>13.8</v>
      </c>
      <c r="N82" s="158">
        <f t="shared" si="51"/>
        <v>1242.1115733990714</v>
      </c>
      <c r="O82" s="259">
        <f t="shared" si="51"/>
        <v>107.01789790168107</v>
      </c>
      <c r="P82" s="175">
        <f>M82-J82</f>
        <v>-0.19999999999999929</v>
      </c>
      <c r="Q82" s="176">
        <f>N82-K82</f>
        <v>-221.8884266009286</v>
      </c>
      <c r="R82" s="245">
        <f>O82/L82</f>
        <v>0.8670431542960273</v>
      </c>
      <c r="S82" s="620"/>
      <c r="T82" s="96"/>
      <c r="U82" s="96"/>
      <c r="V82" s="65"/>
      <c r="W82" s="86"/>
      <c r="X82" s="90"/>
      <c r="Y82" s="90"/>
      <c r="Z82" s="163">
        <f>SUM(Z70:Z81)</f>
        <v>0</v>
      </c>
      <c r="AA82" s="163">
        <f>SUM(AA70:AA81)</f>
        <v>0</v>
      </c>
      <c r="AB82" s="601"/>
      <c r="AC82" s="601"/>
      <c r="AD82" s="164">
        <f>SUM(AD70:AD81)</f>
        <v>0</v>
      </c>
      <c r="AE82" s="164">
        <f>SUM(AE70:AE81)</f>
        <v>0</v>
      </c>
      <c r="AF82" s="92">
        <f>N82-K82</f>
        <v>-221.8884266009286</v>
      </c>
      <c r="AG82" s="94">
        <f>N82/K82</f>
        <v>0.84843686707586841</v>
      </c>
      <c r="AH82" s="620"/>
    </row>
    <row r="83" spans="1:34" ht="19.149999999999999" customHeight="1">
      <c r="A83" s="630" t="s">
        <v>268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3892.7</v>
      </c>
      <c r="H83" s="135">
        <f t="shared" ref="H83:H94" si="52">F83*G83</f>
        <v>207714.47199999998</v>
      </c>
      <c r="I83" s="101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7" si="53">G83/W83*60</f>
        <v>1248.9946524064167</v>
      </c>
      <c r="O83" s="256">
        <f t="shared" ref="O83:O87" si="54">N83/M83</f>
        <v>69.38859180035648</v>
      </c>
      <c r="P83" s="100">
        <f t="shared" ref="P83:P87" si="55">M83-J83</f>
        <v>0</v>
      </c>
      <c r="Q83" s="139">
        <f t="shared" ref="Q83:Q87" si="56">O83-L83</f>
        <v>-2.8336304218657489</v>
      </c>
      <c r="R83" s="261">
        <f t="shared" ref="R83:R87" si="57">O83/L83</f>
        <v>0.96076511723570501</v>
      </c>
      <c r="S83" s="620">
        <f>R95</f>
        <v>0.83354454330626959</v>
      </c>
      <c r="T83" s="96">
        <v>0.33333333333333331</v>
      </c>
      <c r="U83" s="96">
        <v>0.46319444444444446</v>
      </c>
      <c r="V83" s="65">
        <v>5</v>
      </c>
      <c r="W83" s="88">
        <f t="shared" ref="W83:W93" si="58">(U83-T83)*24*60</f>
        <v>187.00000000000006</v>
      </c>
      <c r="X83" s="99"/>
      <c r="Y83" s="99"/>
      <c r="Z83" s="100"/>
      <c r="AA83" s="100"/>
      <c r="AB83" s="601"/>
      <c r="AC83" s="601"/>
      <c r="AD83" s="101"/>
      <c r="AE83" s="101"/>
      <c r="AF83" s="92">
        <f t="shared" ref="AF83:AF173" si="59">N83-K83</f>
        <v>-51.005347593583338</v>
      </c>
      <c r="AG83" s="94">
        <f t="shared" ref="AG83:AG173" si="60">N83/K83</f>
        <v>0.96076511723570512</v>
      </c>
      <c r="AH83" s="620">
        <f>AG95</f>
        <v>0.83316910742546446</v>
      </c>
    </row>
    <row r="84" spans="1:34" ht="19.149999999999999" customHeight="1">
      <c r="A84" s="631"/>
      <c r="B84" s="167" t="s">
        <v>387</v>
      </c>
      <c r="C84" s="147"/>
      <c r="D84" s="262" t="s">
        <v>164</v>
      </c>
      <c r="E84" s="84"/>
      <c r="F84" s="199">
        <v>56.43</v>
      </c>
      <c r="G84" s="86">
        <v>736</v>
      </c>
      <c r="H84" s="135">
        <f t="shared" si="52"/>
        <v>41532.480000000003</v>
      </c>
      <c r="I84" s="65"/>
      <c r="J84" s="138">
        <v>19</v>
      </c>
      <c r="K84" s="104">
        <v>1385</v>
      </c>
      <c r="L84" s="137">
        <v>72.89473684210526</v>
      </c>
      <c r="M84" s="189">
        <v>19</v>
      </c>
      <c r="N84" s="104">
        <f t="shared" si="53"/>
        <v>1051.4285714285711</v>
      </c>
      <c r="O84" s="256">
        <f t="shared" si="54"/>
        <v>55.33834586466164</v>
      </c>
      <c r="P84" s="100">
        <f t="shared" si="55"/>
        <v>0</v>
      </c>
      <c r="Q84" s="139">
        <f t="shared" si="56"/>
        <v>-17.55639097744362</v>
      </c>
      <c r="R84" s="261">
        <f t="shared" si="57"/>
        <v>0.75915420319752436</v>
      </c>
      <c r="S84" s="620"/>
      <c r="T84" s="96">
        <v>0.50486111111111109</v>
      </c>
      <c r="U84" s="96">
        <v>0.53402777777777777</v>
      </c>
      <c r="V84" s="65">
        <v>7</v>
      </c>
      <c r="W84" s="88">
        <f t="shared" si="58"/>
        <v>42.000000000000014</v>
      </c>
      <c r="X84" s="99"/>
      <c r="Y84" s="99"/>
      <c r="Z84" s="100"/>
      <c r="AA84" s="100"/>
      <c r="AB84" s="601"/>
      <c r="AC84" s="601"/>
      <c r="AD84" s="101"/>
      <c r="AE84" s="101"/>
      <c r="AF84" s="92">
        <f t="shared" si="59"/>
        <v>-333.5714285714289</v>
      </c>
      <c r="AG84" s="94">
        <f t="shared" si="60"/>
        <v>0.75915420319752425</v>
      </c>
      <c r="AH84" s="620"/>
    </row>
    <row r="85" spans="1:34" ht="19.149999999999999" customHeight="1">
      <c r="A85" s="631"/>
      <c r="B85" s="167" t="s">
        <v>386</v>
      </c>
      <c r="C85" s="183"/>
      <c r="D85" s="262" t="s">
        <v>131</v>
      </c>
      <c r="E85" s="84"/>
      <c r="F85" s="199">
        <v>59.54</v>
      </c>
      <c r="G85" s="86">
        <v>1412</v>
      </c>
      <c r="H85" s="135">
        <f t="shared" si="52"/>
        <v>84070.48</v>
      </c>
      <c r="I85" s="65"/>
      <c r="J85" s="138">
        <v>18</v>
      </c>
      <c r="K85" s="104">
        <v>1385</v>
      </c>
      <c r="L85" s="137">
        <v>76.944444444444443</v>
      </c>
      <c r="M85" s="189">
        <v>19</v>
      </c>
      <c r="N85" s="104">
        <f t="shared" si="53"/>
        <v>1227.8260869565204</v>
      </c>
      <c r="O85" s="256">
        <f t="shared" si="54"/>
        <v>64.622425629290547</v>
      </c>
      <c r="P85" s="100">
        <f t="shared" si="55"/>
        <v>1</v>
      </c>
      <c r="Q85" s="139">
        <f t="shared" si="56"/>
        <v>-12.322018815153896</v>
      </c>
      <c r="R85" s="261">
        <f t="shared" si="57"/>
        <v>0.83985823922543668</v>
      </c>
      <c r="S85" s="620"/>
      <c r="T85" s="96">
        <v>0.5395833333333333</v>
      </c>
      <c r="U85" s="96">
        <v>0.58750000000000002</v>
      </c>
      <c r="V85" s="65">
        <v>8</v>
      </c>
      <c r="W85" s="88">
        <f t="shared" si="58"/>
        <v>69.000000000000071</v>
      </c>
      <c r="X85" s="99"/>
      <c r="Y85" s="99"/>
      <c r="Z85" s="100"/>
      <c r="AA85" s="100"/>
      <c r="AB85" s="601"/>
      <c r="AC85" s="601"/>
      <c r="AD85" s="101">
        <v>1</v>
      </c>
      <c r="AE85" s="101"/>
      <c r="AF85" s="92">
        <f t="shared" si="59"/>
        <v>-157.17391304347962</v>
      </c>
      <c r="AG85" s="94">
        <f t="shared" si="60"/>
        <v>0.88651703029351647</v>
      </c>
      <c r="AH85" s="620"/>
    </row>
    <row r="86" spans="1:34" ht="19.149999999999999" customHeight="1">
      <c r="A86" s="631"/>
      <c r="B86" s="167" t="s">
        <v>390</v>
      </c>
      <c r="C86" s="152"/>
      <c r="D86" s="262" t="s">
        <v>165</v>
      </c>
      <c r="E86" s="84"/>
      <c r="F86" s="199">
        <v>58.17</v>
      </c>
      <c r="G86" s="86">
        <v>1080</v>
      </c>
      <c r="H86" s="135">
        <f t="shared" si="52"/>
        <v>62823.6</v>
      </c>
      <c r="I86" s="65"/>
      <c r="J86" s="138">
        <v>19</v>
      </c>
      <c r="K86" s="104">
        <v>1385</v>
      </c>
      <c r="L86" s="137">
        <v>72.89473684210526</v>
      </c>
      <c r="M86" s="189">
        <v>19</v>
      </c>
      <c r="N86" s="104">
        <f t="shared" si="53"/>
        <v>1080.0000000000011</v>
      </c>
      <c r="O86" s="256">
        <f t="shared" si="54"/>
        <v>56.842105263157954</v>
      </c>
      <c r="P86" s="100">
        <f t="shared" si="55"/>
        <v>0</v>
      </c>
      <c r="Q86" s="139">
        <f t="shared" si="56"/>
        <v>-16.052631578947306</v>
      </c>
      <c r="R86" s="261">
        <f t="shared" si="57"/>
        <v>0.77978339350180592</v>
      </c>
      <c r="S86" s="620"/>
      <c r="T86" s="96">
        <v>0.70833333333333337</v>
      </c>
      <c r="U86" s="96">
        <v>0.75</v>
      </c>
      <c r="V86" s="65">
        <v>5</v>
      </c>
      <c r="W86" s="88">
        <f t="shared" si="58"/>
        <v>59.999999999999943</v>
      </c>
      <c r="X86" s="99"/>
      <c r="Y86" s="99"/>
      <c r="Z86" s="100"/>
      <c r="AA86" s="100"/>
      <c r="AB86" s="601"/>
      <c r="AC86" s="601"/>
      <c r="AD86" s="101"/>
      <c r="AE86" s="101"/>
      <c r="AF86" s="92">
        <f t="shared" si="59"/>
        <v>-304.99999999999886</v>
      </c>
      <c r="AG86" s="94">
        <f t="shared" si="60"/>
        <v>0.77978339350180592</v>
      </c>
      <c r="AH86" s="620"/>
    </row>
    <row r="87" spans="1:34" ht="19.149999999999999" customHeight="1">
      <c r="A87" s="631"/>
      <c r="B87" s="167" t="s">
        <v>390</v>
      </c>
      <c r="C87" s="152"/>
      <c r="D87" s="262" t="s">
        <v>166</v>
      </c>
      <c r="E87" s="84"/>
      <c r="F87" s="199">
        <v>53.68</v>
      </c>
      <c r="G87" s="86">
        <v>1177</v>
      </c>
      <c r="H87" s="135">
        <f t="shared" si="52"/>
        <v>63181.36</v>
      </c>
      <c r="I87" s="65"/>
      <c r="J87" s="138">
        <v>20</v>
      </c>
      <c r="K87" s="104">
        <v>1380</v>
      </c>
      <c r="L87" s="137">
        <v>69</v>
      </c>
      <c r="M87" s="189">
        <v>19</v>
      </c>
      <c r="N87" s="104">
        <f t="shared" si="53"/>
        <v>1086.4615384615397</v>
      </c>
      <c r="O87" s="256">
        <f t="shared" si="54"/>
        <v>57.182186234817877</v>
      </c>
      <c r="P87" s="100">
        <f t="shared" si="55"/>
        <v>-1</v>
      </c>
      <c r="Q87" s="139">
        <f t="shared" si="56"/>
        <v>-11.817813765182123</v>
      </c>
      <c r="R87" s="261">
        <f t="shared" si="57"/>
        <v>0.82872733673649102</v>
      </c>
      <c r="S87" s="620"/>
      <c r="T87" s="96">
        <v>0.75416666666666665</v>
      </c>
      <c r="U87" s="96">
        <v>0.79930555555555549</v>
      </c>
      <c r="V87" s="65">
        <v>6</v>
      </c>
      <c r="W87" s="88">
        <f t="shared" si="58"/>
        <v>64.999999999999929</v>
      </c>
      <c r="X87" s="99"/>
      <c r="Y87" s="99"/>
      <c r="Z87" s="100"/>
      <c r="AA87" s="100"/>
      <c r="AB87" s="601"/>
      <c r="AC87" s="601"/>
      <c r="AD87" s="101"/>
      <c r="AE87" s="101"/>
      <c r="AF87" s="92">
        <f t="shared" si="59"/>
        <v>-293.5384615384603</v>
      </c>
      <c r="AG87" s="94">
        <f t="shared" si="60"/>
        <v>0.7872909698996664</v>
      </c>
      <c r="AH87" s="620"/>
    </row>
    <row r="88" spans="1:34" ht="19.149999999999999" customHeight="1">
      <c r="A88" s="631"/>
      <c r="B88" s="167">
        <v>0</v>
      </c>
      <c r="C88" s="147"/>
      <c r="D88" s="262"/>
      <c r="E88" s="84"/>
      <c r="F88" s="199" t="s">
        <v>391</v>
      </c>
      <c r="G88" s="104"/>
      <c r="H88" s="135">
        <f t="shared" si="52"/>
        <v>0</v>
      </c>
      <c r="I88" s="65"/>
      <c r="J88" s="138"/>
      <c r="K88" s="104"/>
      <c r="L88" s="137"/>
      <c r="M88" s="189"/>
      <c r="N88" s="104"/>
      <c r="O88" s="256"/>
      <c r="P88" s="100"/>
      <c r="Q88" s="139"/>
      <c r="R88" s="261"/>
      <c r="S88" s="620"/>
      <c r="T88" s="96"/>
      <c r="U88" s="96"/>
      <c r="V88" s="65"/>
      <c r="W88" s="88"/>
      <c r="X88" s="99"/>
      <c r="Y88" s="99"/>
      <c r="Z88" s="100"/>
      <c r="AA88" s="100"/>
      <c r="AB88" s="601"/>
      <c r="AC88" s="601"/>
      <c r="AD88" s="101"/>
      <c r="AE88" s="101"/>
      <c r="AF88" s="92">
        <f t="shared" si="59"/>
        <v>0</v>
      </c>
      <c r="AG88" s="94" t="e">
        <f t="shared" si="60"/>
        <v>#DIV/0!</v>
      </c>
      <c r="AH88" s="620"/>
    </row>
    <row r="89" spans="1:34" ht="19.149999999999999" customHeight="1">
      <c r="A89" s="631"/>
      <c r="B89" s="167">
        <v>0</v>
      </c>
      <c r="C89" s="147"/>
      <c r="D89" s="83"/>
      <c r="E89" s="84"/>
      <c r="F89" s="199" t="s">
        <v>391</v>
      </c>
      <c r="G89" s="173"/>
      <c r="H89" s="135">
        <f t="shared" si="52"/>
        <v>0</v>
      </c>
      <c r="I89" s="65"/>
      <c r="J89" s="138"/>
      <c r="K89" s="104"/>
      <c r="L89" s="137"/>
      <c r="M89" s="189"/>
      <c r="N89" s="104"/>
      <c r="O89" s="256"/>
      <c r="P89" s="100"/>
      <c r="Q89" s="139"/>
      <c r="R89" s="261"/>
      <c r="S89" s="620"/>
      <c r="T89" s="96"/>
      <c r="U89" s="96"/>
      <c r="V89" s="65"/>
      <c r="W89" s="88"/>
      <c r="X89" s="99"/>
      <c r="Y89" s="99"/>
      <c r="Z89" s="100"/>
      <c r="AA89" s="100"/>
      <c r="AB89" s="601"/>
      <c r="AC89" s="601"/>
      <c r="AD89" s="101"/>
      <c r="AE89" s="101"/>
      <c r="AF89" s="92">
        <f t="shared" si="59"/>
        <v>0</v>
      </c>
      <c r="AG89" s="94" t="e">
        <f t="shared" si="60"/>
        <v>#DIV/0!</v>
      </c>
      <c r="AH89" s="620"/>
    </row>
    <row r="90" spans="1:34" ht="19.149999999999999" customHeight="1">
      <c r="A90" s="631"/>
      <c r="B90" s="167">
        <v>0</v>
      </c>
      <c r="C90" s="147"/>
      <c r="D90" s="83"/>
      <c r="E90" s="84"/>
      <c r="F90" s="199" t="s">
        <v>391</v>
      </c>
      <c r="G90" s="188"/>
      <c r="H90" s="135">
        <f t="shared" si="52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0"/>
      <c r="T90" s="96"/>
      <c r="U90" s="96"/>
      <c r="V90" s="65"/>
      <c r="W90" s="88"/>
      <c r="X90" s="264"/>
      <c r="Y90" s="264"/>
      <c r="Z90" s="100"/>
      <c r="AA90" s="100"/>
      <c r="AB90" s="601"/>
      <c r="AC90" s="601"/>
      <c r="AD90" s="101"/>
      <c r="AE90" s="101"/>
      <c r="AF90" s="92">
        <f t="shared" si="59"/>
        <v>0</v>
      </c>
      <c r="AG90" s="94" t="e">
        <f t="shared" si="60"/>
        <v>#DIV/0!</v>
      </c>
      <c r="AH90" s="620"/>
    </row>
    <row r="91" spans="1:34" ht="19.149999999999999" customHeight="1">
      <c r="A91" s="631"/>
      <c r="B91" s="167">
        <v>0</v>
      </c>
      <c r="C91" s="147"/>
      <c r="D91" s="83"/>
      <c r="E91" s="84"/>
      <c r="F91" s="199" t="s">
        <v>391</v>
      </c>
      <c r="G91" s="86"/>
      <c r="H91" s="135">
        <f t="shared" si="52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3"/>
      <c r="T91" s="96"/>
      <c r="U91" s="96"/>
      <c r="V91" s="65"/>
      <c r="W91" s="88"/>
      <c r="X91" s="174"/>
      <c r="Y91" s="174"/>
      <c r="Z91" s="100"/>
      <c r="AA91" s="100"/>
      <c r="AB91" s="601"/>
      <c r="AC91" s="601"/>
      <c r="AD91" s="101"/>
      <c r="AE91" s="101"/>
      <c r="AF91" s="92">
        <f t="shared" si="59"/>
        <v>0</v>
      </c>
      <c r="AG91" s="94" t="e">
        <f t="shared" si="60"/>
        <v>#DIV/0!</v>
      </c>
      <c r="AH91" s="623"/>
    </row>
    <row r="92" spans="1:34" ht="19.149999999999999" customHeight="1">
      <c r="A92" s="631"/>
      <c r="B92" s="167">
        <v>0</v>
      </c>
      <c r="C92" s="147"/>
      <c r="D92" s="83"/>
      <c r="E92" s="84"/>
      <c r="F92" s="199" t="s">
        <v>391</v>
      </c>
      <c r="G92" s="86"/>
      <c r="H92" s="135">
        <f t="shared" si="52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1"/>
      <c r="S92" s="623"/>
      <c r="T92" s="96"/>
      <c r="U92" s="96"/>
      <c r="V92" s="65"/>
      <c r="W92" s="88"/>
      <c r="X92" s="253"/>
      <c r="Y92" s="253"/>
      <c r="Z92" s="185"/>
      <c r="AA92" s="185"/>
      <c r="AB92" s="601"/>
      <c r="AC92" s="601"/>
      <c r="AD92" s="101"/>
      <c r="AE92" s="101"/>
      <c r="AF92" s="92">
        <f t="shared" si="59"/>
        <v>0</v>
      </c>
      <c r="AG92" s="94" t="e">
        <f t="shared" si="60"/>
        <v>#DIV/0!</v>
      </c>
      <c r="AH92" s="623"/>
    </row>
    <row r="93" spans="1:34" ht="19.149999999999999" customHeight="1">
      <c r="A93" s="631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2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0"/>
      <c r="S93" s="629"/>
      <c r="T93" s="111"/>
      <c r="U93" s="111"/>
      <c r="V93" s="109"/>
      <c r="W93" s="88">
        <f t="shared" si="58"/>
        <v>0</v>
      </c>
      <c r="X93" s="275"/>
      <c r="Y93" s="275"/>
      <c r="Z93" s="185"/>
      <c r="AA93" s="185"/>
      <c r="AB93" s="601"/>
      <c r="AC93" s="601"/>
      <c r="AD93" s="101"/>
      <c r="AE93" s="101"/>
      <c r="AF93" s="92">
        <f t="shared" si="59"/>
        <v>0</v>
      </c>
      <c r="AG93" s="94" t="e">
        <f t="shared" si="60"/>
        <v>#DIV/0!</v>
      </c>
      <c r="AH93" s="623"/>
    </row>
    <row r="94" spans="1:34" ht="19.149999999999999" customHeight="1">
      <c r="A94" s="631"/>
      <c r="B94" s="109">
        <v>0</v>
      </c>
      <c r="C94" s="272"/>
      <c r="D94" s="83"/>
      <c r="E94" s="84"/>
      <c r="F94" s="199" t="s">
        <v>391</v>
      </c>
      <c r="G94" s="86"/>
      <c r="H94" s="135">
        <f t="shared" si="52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0"/>
      <c r="S94" s="629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01"/>
      <c r="AC94" s="601"/>
      <c r="AD94" s="101"/>
      <c r="AE94" s="101"/>
      <c r="AF94" s="92">
        <f t="shared" si="59"/>
        <v>0</v>
      </c>
      <c r="AG94" s="94" t="e">
        <f t="shared" si="60"/>
        <v>#DIV/0!</v>
      </c>
      <c r="AH94" s="623"/>
    </row>
    <row r="95" spans="1:34" ht="19.149999999999999" customHeight="1">
      <c r="A95" s="631"/>
      <c r="B95" s="278">
        <v>0</v>
      </c>
      <c r="C95" s="156" t="s">
        <v>269</v>
      </c>
      <c r="D95" s="602" t="s">
        <v>256</v>
      </c>
      <c r="E95" s="602"/>
      <c r="F95" s="119"/>
      <c r="G95" s="120"/>
      <c r="H95" s="279"/>
      <c r="I95" s="160"/>
      <c r="J95" s="280">
        <v>18.8</v>
      </c>
      <c r="K95" s="280">
        <v>1367</v>
      </c>
      <c r="L95" s="281">
        <v>72.791228070175436</v>
      </c>
      <c r="M95" s="280">
        <f t="shared" ref="M95:O95" si="61">AVERAGE(M83:M94)</f>
        <v>18.8</v>
      </c>
      <c r="N95" s="280">
        <f t="shared" si="61"/>
        <v>1138.9421698506098</v>
      </c>
      <c r="O95" s="281">
        <f t="shared" si="61"/>
        <v>60.674730958456891</v>
      </c>
      <c r="P95" s="282">
        <f>M95-J95</f>
        <v>0</v>
      </c>
      <c r="Q95" s="283">
        <f t="shared" ref="Q95:Q101" si="62">O95-L95</f>
        <v>-12.116497111718544</v>
      </c>
      <c r="R95" s="284">
        <f>O95/L95</f>
        <v>0.83354454330626959</v>
      </c>
      <c r="S95" s="623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01"/>
      <c r="AC95" s="601"/>
      <c r="AD95" s="164">
        <f>SUM(AD83:AD94)</f>
        <v>1</v>
      </c>
      <c r="AE95" s="164">
        <f>SUM(AE83:AE94)</f>
        <v>0</v>
      </c>
      <c r="AF95" s="113">
        <f t="shared" si="59"/>
        <v>-228.05783014939016</v>
      </c>
      <c r="AG95" s="114">
        <f t="shared" si="60"/>
        <v>0.83316910742546446</v>
      </c>
      <c r="AH95" s="623"/>
    </row>
    <row r="96" spans="1:34" ht="19.149999999999999" customHeight="1">
      <c r="A96" s="628" t="s">
        <v>270</v>
      </c>
      <c r="B96" s="65" t="s">
        <v>388</v>
      </c>
      <c r="C96" s="152"/>
      <c r="D96" s="83" t="s">
        <v>168</v>
      </c>
      <c r="E96" s="84"/>
      <c r="F96" s="85">
        <v>36.92</v>
      </c>
      <c r="G96" s="86">
        <v>465</v>
      </c>
      <c r="H96" s="87">
        <f t="shared" ref="H96:H106" si="63">F96*G96</f>
        <v>17167.8</v>
      </c>
      <c r="I96" s="65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1" si="64">G96/W96*60</f>
        <v>1116.0000000000002</v>
      </c>
      <c r="O96" s="90">
        <f t="shared" ref="O96:O101" si="65">N96/M96</f>
        <v>223.20000000000005</v>
      </c>
      <c r="P96" s="92">
        <f t="shared" ref="P96:P101" si="66">M96-J96</f>
        <v>-1</v>
      </c>
      <c r="Q96" s="93">
        <f t="shared" si="62"/>
        <v>-26.799999999999955</v>
      </c>
      <c r="R96" s="94">
        <f t="shared" ref="R96:R101" si="67">O96/L96</f>
        <v>0.89280000000000015</v>
      </c>
      <c r="S96" s="620">
        <f>R108</f>
        <v>0.85834555686867853</v>
      </c>
      <c r="T96" s="142">
        <v>0.29166666666666669</v>
      </c>
      <c r="U96" s="142">
        <v>0.30902777777777779</v>
      </c>
      <c r="V96" s="101">
        <v>5</v>
      </c>
      <c r="W96" s="143">
        <f t="shared" ref="W96:W122" si="68">(U96-T96)*24*60</f>
        <v>24.999999999999993</v>
      </c>
      <c r="X96" s="151"/>
      <c r="Y96" s="151"/>
      <c r="Z96" s="100"/>
      <c r="AA96" s="100"/>
      <c r="AB96" s="601"/>
      <c r="AC96" s="601"/>
      <c r="AD96" s="101"/>
      <c r="AE96" s="101"/>
      <c r="AF96" s="100">
        <f t="shared" si="59"/>
        <v>-383.99999999999977</v>
      </c>
      <c r="AG96" s="140">
        <f t="shared" si="60"/>
        <v>0.74400000000000011</v>
      </c>
      <c r="AH96" s="605">
        <f>AG108</f>
        <v>0.96290534579865472</v>
      </c>
    </row>
    <row r="97" spans="1:34" s="294" customFormat="1" ht="19.149999999999999" customHeight="1">
      <c r="A97" s="628"/>
      <c r="B97" s="65" t="s">
        <v>389</v>
      </c>
      <c r="C97" s="285"/>
      <c r="D97" s="286" t="s">
        <v>169</v>
      </c>
      <c r="E97" s="103"/>
      <c r="F97" s="287">
        <v>24.73</v>
      </c>
      <c r="G97" s="288">
        <v>2290</v>
      </c>
      <c r="H97" s="289">
        <f t="shared" si="63"/>
        <v>56631.700000000004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4"/>
        <v>2146.8749999999995</v>
      </c>
      <c r="O97" s="90">
        <f t="shared" si="65"/>
        <v>429.37499999999989</v>
      </c>
      <c r="P97" s="92">
        <f t="shared" si="66"/>
        <v>1</v>
      </c>
      <c r="Q97" s="93">
        <f t="shared" si="62"/>
        <v>-70.625000000000114</v>
      </c>
      <c r="R97" s="94">
        <f t="shared" si="67"/>
        <v>0.85874999999999979</v>
      </c>
      <c r="S97" s="620"/>
      <c r="T97" s="290">
        <v>0.31319444444444444</v>
      </c>
      <c r="U97" s="290">
        <v>0.3576388888888889</v>
      </c>
      <c r="V97" s="291">
        <v>6</v>
      </c>
      <c r="W97" s="143">
        <f t="shared" si="68"/>
        <v>64.000000000000014</v>
      </c>
      <c r="X97" s="99"/>
      <c r="Y97" s="99"/>
      <c r="Z97" s="100"/>
      <c r="AA97" s="100"/>
      <c r="AB97" s="601"/>
      <c r="AC97" s="601"/>
      <c r="AD97" s="291"/>
      <c r="AE97" s="291"/>
      <c r="AF97" s="292">
        <f t="shared" si="59"/>
        <v>146.87499999999955</v>
      </c>
      <c r="AG97" s="293">
        <f t="shared" si="60"/>
        <v>1.0734374999999998</v>
      </c>
      <c r="AH97" s="605"/>
    </row>
    <row r="98" spans="1:34" s="298" customFormat="1" ht="19.149999999999999" customHeight="1">
      <c r="A98" s="628"/>
      <c r="B98" s="65" t="s">
        <v>389</v>
      </c>
      <c r="C98" s="102"/>
      <c r="D98" s="83" t="s">
        <v>170</v>
      </c>
      <c r="E98" s="133"/>
      <c r="F98" s="287">
        <v>24.73</v>
      </c>
      <c r="G98" s="104">
        <v>2078</v>
      </c>
      <c r="H98" s="289">
        <f t="shared" si="63"/>
        <v>51388.94</v>
      </c>
      <c r="I98" s="101"/>
      <c r="J98" s="89">
        <v>4</v>
      </c>
      <c r="K98" s="86">
        <v>2000</v>
      </c>
      <c r="L98" s="90">
        <v>500</v>
      </c>
      <c r="M98" s="138">
        <v>5</v>
      </c>
      <c r="N98" s="86">
        <f t="shared" si="64"/>
        <v>2113.2203389830497</v>
      </c>
      <c r="O98" s="90">
        <f t="shared" si="65"/>
        <v>422.64406779660993</v>
      </c>
      <c r="P98" s="92">
        <f t="shared" si="66"/>
        <v>1</v>
      </c>
      <c r="Q98" s="93">
        <f t="shared" si="62"/>
        <v>-77.355932203390068</v>
      </c>
      <c r="R98" s="94">
        <f t="shared" si="67"/>
        <v>0.84528813559321991</v>
      </c>
      <c r="S98" s="620"/>
      <c r="T98" s="142">
        <v>0.37361111111111112</v>
      </c>
      <c r="U98" s="142">
        <v>0.41458333333333336</v>
      </c>
      <c r="V98" s="101">
        <v>23</v>
      </c>
      <c r="W98" s="143">
        <f t="shared" si="68"/>
        <v>59.000000000000028</v>
      </c>
      <c r="X98" s="295">
        <v>0.3611111111111111</v>
      </c>
      <c r="Y98" s="295">
        <v>0.37083333333333335</v>
      </c>
      <c r="Z98" s="296"/>
      <c r="AA98" s="296"/>
      <c r="AB98" s="601"/>
      <c r="AC98" s="601"/>
      <c r="AD98" s="101"/>
      <c r="AE98" s="101"/>
      <c r="AF98" s="297">
        <f t="shared" si="59"/>
        <v>113.22033898304971</v>
      </c>
      <c r="AG98" s="94">
        <f t="shared" si="60"/>
        <v>1.0566101694915249</v>
      </c>
      <c r="AH98" s="605"/>
    </row>
    <row r="99" spans="1:34" ht="19.149999999999999" customHeight="1">
      <c r="A99" s="628"/>
      <c r="B99" s="65" t="s">
        <v>389</v>
      </c>
      <c r="C99" s="131"/>
      <c r="D99" s="132" t="s">
        <v>172</v>
      </c>
      <c r="E99" s="133"/>
      <c r="F99" s="287">
        <v>22.27</v>
      </c>
      <c r="G99" s="104">
        <v>1166</v>
      </c>
      <c r="H99" s="289">
        <f t="shared" si="63"/>
        <v>25966.82</v>
      </c>
      <c r="I99" s="101"/>
      <c r="J99" s="89">
        <v>4</v>
      </c>
      <c r="K99" s="86">
        <v>2000</v>
      </c>
      <c r="L99" s="90">
        <v>500</v>
      </c>
      <c r="M99" s="91">
        <v>5</v>
      </c>
      <c r="N99" s="86">
        <f t="shared" si="64"/>
        <v>2120.0000000000023</v>
      </c>
      <c r="O99" s="90">
        <f t="shared" si="65"/>
        <v>424.00000000000045</v>
      </c>
      <c r="P99" s="92">
        <f t="shared" si="66"/>
        <v>1</v>
      </c>
      <c r="Q99" s="93">
        <f t="shared" si="62"/>
        <v>-75.999999999999545</v>
      </c>
      <c r="R99" s="94">
        <f t="shared" si="67"/>
        <v>0.84800000000000086</v>
      </c>
      <c r="S99" s="620"/>
      <c r="T99" s="142">
        <v>0.4201388888888889</v>
      </c>
      <c r="U99" s="142">
        <v>0.44305555555555554</v>
      </c>
      <c r="V99" s="101">
        <v>8</v>
      </c>
      <c r="W99" s="143">
        <f t="shared" si="68"/>
        <v>32.999999999999964</v>
      </c>
      <c r="X99" s="253"/>
      <c r="Y99" s="253"/>
      <c r="Z99" s="185"/>
      <c r="AA99" s="185"/>
      <c r="AB99" s="601"/>
      <c r="AC99" s="601"/>
      <c r="AD99" s="101"/>
      <c r="AE99" s="101"/>
      <c r="AF99" s="92">
        <f t="shared" si="59"/>
        <v>120.00000000000227</v>
      </c>
      <c r="AG99" s="186">
        <f t="shared" si="60"/>
        <v>1.0600000000000012</v>
      </c>
      <c r="AH99" s="605"/>
    </row>
    <row r="100" spans="1:34" s="298" customFormat="1" ht="19.149999999999999" customHeight="1">
      <c r="A100" s="628"/>
      <c r="B100" s="65" t="s">
        <v>390</v>
      </c>
      <c r="C100" s="102"/>
      <c r="D100" s="83" t="s">
        <v>174</v>
      </c>
      <c r="E100" s="133"/>
      <c r="F100" s="287">
        <v>53.68</v>
      </c>
      <c r="G100" s="104">
        <v>1012</v>
      </c>
      <c r="H100" s="289">
        <f t="shared" si="63"/>
        <v>54324.159999999996</v>
      </c>
      <c r="I100" s="101"/>
      <c r="J100" s="89">
        <v>16</v>
      </c>
      <c r="K100" s="86">
        <v>1500</v>
      </c>
      <c r="L100" s="90">
        <v>93.75</v>
      </c>
      <c r="M100" s="138">
        <v>16</v>
      </c>
      <c r="N100" s="86">
        <f t="shared" si="64"/>
        <v>1291.9148936170216</v>
      </c>
      <c r="O100" s="90">
        <f t="shared" si="65"/>
        <v>80.744680851063848</v>
      </c>
      <c r="P100" s="92">
        <f t="shared" si="66"/>
        <v>0</v>
      </c>
      <c r="Q100" s="93">
        <f t="shared" si="62"/>
        <v>-13.005319148936152</v>
      </c>
      <c r="R100" s="94">
        <f t="shared" si="67"/>
        <v>0.86127659574468107</v>
      </c>
      <c r="S100" s="620"/>
      <c r="T100" s="290">
        <v>0.48472222222222217</v>
      </c>
      <c r="U100" s="290">
        <v>0.51736111111111105</v>
      </c>
      <c r="V100" s="291">
        <v>7</v>
      </c>
      <c r="W100" s="143">
        <f t="shared" si="68"/>
        <v>46.999999999999993</v>
      </c>
      <c r="X100" s="299"/>
      <c r="Y100" s="299"/>
      <c r="Z100" s="296"/>
      <c r="AA100" s="296"/>
      <c r="AB100" s="601"/>
      <c r="AC100" s="601"/>
      <c r="AD100" s="101"/>
      <c r="AE100" s="101"/>
      <c r="AF100" s="297">
        <f t="shared" si="59"/>
        <v>-208.08510638297844</v>
      </c>
      <c r="AG100" s="94">
        <f t="shared" si="60"/>
        <v>0.86127659574468107</v>
      </c>
      <c r="AH100" s="605"/>
    </row>
    <row r="101" spans="1:34" s="298" customFormat="1" ht="19.149999999999999" customHeight="1">
      <c r="A101" s="628"/>
      <c r="B101" s="65" t="s">
        <v>390</v>
      </c>
      <c r="C101" s="102"/>
      <c r="D101" s="132" t="s">
        <v>175</v>
      </c>
      <c r="E101" s="133"/>
      <c r="F101" s="287">
        <v>57.734999999999999</v>
      </c>
      <c r="G101" s="104">
        <v>1362</v>
      </c>
      <c r="H101" s="289">
        <f t="shared" si="63"/>
        <v>78635.069999999992</v>
      </c>
      <c r="I101" s="101"/>
      <c r="J101" s="89">
        <v>16</v>
      </c>
      <c r="K101" s="86">
        <v>1565</v>
      </c>
      <c r="L101" s="90">
        <v>97.8125</v>
      </c>
      <c r="M101" s="138">
        <v>16</v>
      </c>
      <c r="N101" s="86">
        <f t="shared" si="64"/>
        <v>1385.0847457627131</v>
      </c>
      <c r="O101" s="90">
        <f t="shared" si="65"/>
        <v>86.567796610169566</v>
      </c>
      <c r="P101" s="92">
        <f t="shared" si="66"/>
        <v>0</v>
      </c>
      <c r="Q101" s="93">
        <f t="shared" si="62"/>
        <v>-11.244703389830434</v>
      </c>
      <c r="R101" s="94">
        <f t="shared" si="67"/>
        <v>0.8850381762062064</v>
      </c>
      <c r="S101" s="620"/>
      <c r="T101" s="290">
        <v>0.5215277777777777</v>
      </c>
      <c r="U101" s="142">
        <v>0.56249999999999989</v>
      </c>
      <c r="V101" s="291">
        <v>6</v>
      </c>
      <c r="W101" s="143">
        <f t="shared" si="68"/>
        <v>58.99999999999995</v>
      </c>
      <c r="X101" s="300"/>
      <c r="Y101" s="300"/>
      <c r="Z101" s="296"/>
      <c r="AA101" s="296"/>
      <c r="AB101" s="601"/>
      <c r="AC101" s="601"/>
      <c r="AD101" s="101"/>
      <c r="AE101" s="101"/>
      <c r="AF101" s="92">
        <f t="shared" si="59"/>
        <v>-179.91525423728694</v>
      </c>
      <c r="AG101" s="186">
        <f t="shared" si="60"/>
        <v>0.8850381762062064</v>
      </c>
      <c r="AH101" s="605"/>
    </row>
    <row r="102" spans="1:34" s="298" customFormat="1" ht="19.149999999999999" customHeight="1">
      <c r="A102" s="628"/>
      <c r="B102" s="65">
        <v>0</v>
      </c>
      <c r="C102" s="248"/>
      <c r="D102" s="249"/>
      <c r="E102" s="250"/>
      <c r="F102" s="287" t="s">
        <v>391</v>
      </c>
      <c r="G102" s="104"/>
      <c r="H102" s="289">
        <f t="shared" si="63"/>
        <v>0</v>
      </c>
      <c r="I102" s="65"/>
      <c r="J102" s="89"/>
      <c r="K102" s="86"/>
      <c r="L102" s="90"/>
      <c r="M102" s="138"/>
      <c r="N102" s="86"/>
      <c r="O102" s="90"/>
      <c r="P102" s="92"/>
      <c r="Q102" s="93"/>
      <c r="R102" s="94"/>
      <c r="S102" s="620"/>
      <c r="T102" s="290"/>
      <c r="U102" s="290"/>
      <c r="V102" s="291"/>
      <c r="W102" s="143"/>
      <c r="X102" s="300"/>
      <c r="Y102" s="300"/>
      <c r="Z102" s="296"/>
      <c r="AA102" s="296"/>
      <c r="AB102" s="601"/>
      <c r="AC102" s="601"/>
      <c r="AD102" s="101"/>
      <c r="AE102" s="101"/>
      <c r="AF102" s="297">
        <f t="shared" si="59"/>
        <v>0</v>
      </c>
      <c r="AG102" s="94" t="e">
        <f t="shared" si="60"/>
        <v>#DIV/0!</v>
      </c>
      <c r="AH102" s="605"/>
    </row>
    <row r="103" spans="1:34" s="298" customFormat="1" ht="19.149999999999999" customHeight="1">
      <c r="A103" s="628"/>
      <c r="B103" s="65">
        <v>0</v>
      </c>
      <c r="C103" s="301"/>
      <c r="D103" s="132"/>
      <c r="E103" s="133"/>
      <c r="F103" s="287" t="s">
        <v>391</v>
      </c>
      <c r="G103" s="104"/>
      <c r="H103" s="289">
        <f t="shared" si="63"/>
        <v>0</v>
      </c>
      <c r="I103" s="302"/>
      <c r="J103" s="89"/>
      <c r="K103" s="86"/>
      <c r="L103" s="90"/>
      <c r="M103" s="138"/>
      <c r="N103" s="86"/>
      <c r="O103" s="90"/>
      <c r="P103" s="92"/>
      <c r="Q103" s="93"/>
      <c r="R103" s="94"/>
      <c r="S103" s="620"/>
      <c r="T103" s="290"/>
      <c r="U103" s="290"/>
      <c r="V103" s="291"/>
      <c r="W103" s="143"/>
      <c r="X103" s="300"/>
      <c r="Y103" s="300"/>
      <c r="Z103" s="296"/>
      <c r="AA103" s="296"/>
      <c r="AB103" s="601"/>
      <c r="AC103" s="601"/>
      <c r="AD103" s="101"/>
      <c r="AE103" s="101"/>
      <c r="AF103" s="92">
        <f t="shared" si="59"/>
        <v>0</v>
      </c>
      <c r="AG103" s="186" t="e">
        <f t="shared" si="60"/>
        <v>#DIV/0!</v>
      </c>
      <c r="AH103" s="605"/>
    </row>
    <row r="104" spans="1:34" s="298" customFormat="1" ht="19.149999999999999" customHeight="1">
      <c r="A104" s="628"/>
      <c r="B104" s="65">
        <v>0</v>
      </c>
      <c r="C104" s="303"/>
      <c r="D104" s="132"/>
      <c r="E104" s="133"/>
      <c r="F104" s="287" t="s">
        <v>391</v>
      </c>
      <c r="G104" s="288"/>
      <c r="H104" s="289">
        <f t="shared" si="63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4"/>
      <c r="S104" s="623"/>
      <c r="T104" s="290"/>
      <c r="U104" s="290"/>
      <c r="V104" s="291"/>
      <c r="W104" s="143"/>
      <c r="X104" s="300"/>
      <c r="Y104" s="300"/>
      <c r="Z104" s="296"/>
      <c r="AA104" s="296"/>
      <c r="AB104" s="601"/>
      <c r="AC104" s="601"/>
      <c r="AD104" s="101"/>
      <c r="AE104" s="101"/>
      <c r="AF104" s="297">
        <f t="shared" si="59"/>
        <v>0</v>
      </c>
      <c r="AG104" s="94" t="e">
        <f t="shared" si="60"/>
        <v>#DIV/0!</v>
      </c>
      <c r="AH104" s="605"/>
    </row>
    <row r="105" spans="1:34" s="298" customFormat="1" ht="19.149999999999999" customHeight="1">
      <c r="A105" s="628"/>
      <c r="B105" s="65">
        <v>0</v>
      </c>
      <c r="C105" s="303"/>
      <c r="D105" s="132"/>
      <c r="E105" s="133"/>
      <c r="F105" s="287" t="s">
        <v>391</v>
      </c>
      <c r="G105" s="288"/>
      <c r="H105" s="289">
        <f t="shared" si="63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4"/>
      <c r="S105" s="623"/>
      <c r="T105" s="290"/>
      <c r="U105" s="290"/>
      <c r="V105" s="291"/>
      <c r="W105" s="143">
        <f t="shared" si="68"/>
        <v>0</v>
      </c>
      <c r="X105" s="300"/>
      <c r="Y105" s="300"/>
      <c r="Z105" s="296"/>
      <c r="AA105" s="296"/>
      <c r="AB105" s="601"/>
      <c r="AC105" s="601"/>
      <c r="AD105" s="101"/>
      <c r="AE105" s="101"/>
      <c r="AF105" s="296"/>
      <c r="AG105" s="140"/>
      <c r="AH105" s="605"/>
    </row>
    <row r="106" spans="1:34" s="298" customFormat="1" ht="19.149999999999999" customHeight="1">
      <c r="A106" s="628"/>
      <c r="B106" s="65">
        <v>0</v>
      </c>
      <c r="C106" s="303"/>
      <c r="D106" s="132"/>
      <c r="E106" s="133"/>
      <c r="F106" s="85" t="s">
        <v>391</v>
      </c>
      <c r="G106" s="288"/>
      <c r="H106" s="289">
        <f t="shared" si="63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0"/>
      <c r="S106" s="629"/>
      <c r="T106" s="290"/>
      <c r="U106" s="290"/>
      <c r="V106" s="291"/>
      <c r="W106" s="143">
        <f t="shared" si="68"/>
        <v>0</v>
      </c>
      <c r="X106" s="300"/>
      <c r="Y106" s="300"/>
      <c r="Z106" s="296"/>
      <c r="AA106" s="296"/>
      <c r="AB106" s="601"/>
      <c r="AC106" s="601"/>
      <c r="AD106" s="101"/>
      <c r="AE106" s="101"/>
      <c r="AF106" s="296"/>
      <c r="AG106" s="140"/>
      <c r="AH106" s="605"/>
    </row>
    <row r="107" spans="1:34" s="298" customFormat="1" ht="19.149999999999999" customHeight="1">
      <c r="A107" s="628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0"/>
      <c r="S107" s="629"/>
      <c r="T107" s="290"/>
      <c r="U107" s="290"/>
      <c r="V107" s="291"/>
      <c r="W107" s="143">
        <f t="shared" si="68"/>
        <v>0</v>
      </c>
      <c r="X107" s="300"/>
      <c r="Y107" s="300"/>
      <c r="Z107" s="296"/>
      <c r="AA107" s="296"/>
      <c r="AB107" s="601"/>
      <c r="AC107" s="601"/>
      <c r="AD107" s="101"/>
      <c r="AE107" s="101"/>
      <c r="AF107" s="296"/>
      <c r="AG107" s="140"/>
      <c r="AH107" s="605"/>
    </row>
    <row r="108" spans="1:34" ht="19.149999999999999" customHeight="1">
      <c r="A108" s="628"/>
      <c r="B108" s="167">
        <v>0</v>
      </c>
      <c r="C108" s="156" t="s">
        <v>271</v>
      </c>
      <c r="D108" s="602" t="s">
        <v>256</v>
      </c>
      <c r="E108" s="602"/>
      <c r="F108" s="307"/>
      <c r="G108" s="158"/>
      <c r="H108" s="159"/>
      <c r="I108" s="160"/>
      <c r="J108" s="158">
        <v>8.3333333333333339</v>
      </c>
      <c r="K108" s="158">
        <v>1760.8333333333333</v>
      </c>
      <c r="L108" s="161">
        <v>323.59375</v>
      </c>
      <c r="M108" s="158">
        <f t="shared" ref="M108:O108" si="69">AVERAGE(M96:M107)</f>
        <v>8.6666666666666661</v>
      </c>
      <c r="N108" s="158">
        <f t="shared" si="69"/>
        <v>1695.5158297271312</v>
      </c>
      <c r="O108" s="161">
        <f t="shared" si="69"/>
        <v>277.75525754297394</v>
      </c>
      <c r="P108" s="100">
        <f t="shared" ref="P108:P116" si="70">M108-J108</f>
        <v>0.33333333333333215</v>
      </c>
      <c r="Q108" s="139">
        <f t="shared" ref="Q108:Q116" si="71">O108-L108</f>
        <v>-45.838492457026064</v>
      </c>
      <c r="R108" s="162">
        <f t="shared" ref="R108:R116" si="72">O108/L108</f>
        <v>0.85834555686867853</v>
      </c>
      <c r="S108" s="623"/>
      <c r="T108" s="142"/>
      <c r="U108" s="142"/>
      <c r="V108" s="104"/>
      <c r="W108" s="143">
        <f t="shared" si="68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01"/>
      <c r="AC108" s="601"/>
      <c r="AD108" s="164">
        <f>SUM(AD96:AD107)</f>
        <v>0</v>
      </c>
      <c r="AE108" s="164">
        <f>SUM(AE96:AE107)</f>
        <v>0</v>
      </c>
      <c r="AF108" s="100">
        <f t="shared" si="59"/>
        <v>-65.317503606202081</v>
      </c>
      <c r="AG108" s="140">
        <f t="shared" si="60"/>
        <v>0.96290534579865472</v>
      </c>
      <c r="AH108" s="605"/>
    </row>
    <row r="109" spans="1:34" ht="19.149999999999999" customHeight="1">
      <c r="A109" s="624" t="s">
        <v>272</v>
      </c>
      <c r="B109" s="65" t="s">
        <v>390</v>
      </c>
      <c r="C109" s="147"/>
      <c r="D109" s="249" t="s">
        <v>177</v>
      </c>
      <c r="E109" s="84"/>
      <c r="F109" s="85">
        <v>56.43</v>
      </c>
      <c r="G109" s="86">
        <v>1016</v>
      </c>
      <c r="H109" s="87">
        <f t="shared" ref="H109:H118" si="73">F109*G109</f>
        <v>57332.88</v>
      </c>
      <c r="I109" s="65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6" si="74">G109/W109*60</f>
        <v>1385.4545454545455</v>
      </c>
      <c r="O109" s="90">
        <f t="shared" ref="O109:O116" si="75">N109/M109</f>
        <v>76.969696969696969</v>
      </c>
      <c r="P109" s="92">
        <f t="shared" si="70"/>
        <v>0</v>
      </c>
      <c r="Q109" s="93">
        <f t="shared" si="71"/>
        <v>-6.3636363636363598</v>
      </c>
      <c r="R109" s="94">
        <f t="shared" si="72"/>
        <v>0.9236363636363637</v>
      </c>
      <c r="S109" s="627">
        <f>R121</f>
        <v>0.86678700024571553</v>
      </c>
      <c r="T109" s="308">
        <v>0.5</v>
      </c>
      <c r="U109" s="308">
        <v>0.53055555555555556</v>
      </c>
      <c r="V109" s="309">
        <v>5</v>
      </c>
      <c r="W109" s="88">
        <f t="shared" si="68"/>
        <v>44</v>
      </c>
      <c r="X109" s="99"/>
      <c r="Y109" s="99"/>
      <c r="Z109" s="100"/>
      <c r="AA109" s="100"/>
      <c r="AB109" s="601"/>
      <c r="AC109" s="601"/>
      <c r="AD109" s="101"/>
      <c r="AE109" s="101"/>
      <c r="AF109" s="92">
        <f t="shared" si="59"/>
        <v>-114.5454545454545</v>
      </c>
      <c r="AG109" s="186">
        <f t="shared" si="60"/>
        <v>0.9236363636363637</v>
      </c>
      <c r="AH109" s="605">
        <f>AG121</f>
        <v>0.86216697495866945</v>
      </c>
    </row>
    <row r="110" spans="1:34" ht="19.149999999999999" customHeight="1">
      <c r="A110" s="625"/>
      <c r="B110" s="65" t="s">
        <v>390</v>
      </c>
      <c r="C110" s="248"/>
      <c r="D110" s="83" t="s">
        <v>178</v>
      </c>
      <c r="E110" s="250"/>
      <c r="F110" s="85">
        <v>54.09</v>
      </c>
      <c r="G110" s="247">
        <v>976</v>
      </c>
      <c r="H110" s="87">
        <f t="shared" si="73"/>
        <v>52791.840000000004</v>
      </c>
      <c r="I110" s="65"/>
      <c r="J110" s="89">
        <v>20</v>
      </c>
      <c r="K110" s="86">
        <v>1500</v>
      </c>
      <c r="L110" s="90">
        <v>75</v>
      </c>
      <c r="M110" s="91">
        <v>20</v>
      </c>
      <c r="N110" s="86">
        <f t="shared" si="74"/>
        <v>1273.0434782608695</v>
      </c>
      <c r="O110" s="90">
        <f t="shared" si="75"/>
        <v>63.652173913043477</v>
      </c>
      <c r="P110" s="92">
        <f t="shared" si="70"/>
        <v>0</v>
      </c>
      <c r="Q110" s="93">
        <f t="shared" si="71"/>
        <v>-11.347826086956523</v>
      </c>
      <c r="R110" s="94">
        <f t="shared" si="72"/>
        <v>0.84869565217391307</v>
      </c>
      <c r="S110" s="616"/>
      <c r="T110" s="308">
        <v>0.53472222222222221</v>
      </c>
      <c r="U110" s="308">
        <v>0.56666666666666665</v>
      </c>
      <c r="V110" s="309">
        <v>6</v>
      </c>
      <c r="W110" s="88">
        <f t="shared" si="68"/>
        <v>46</v>
      </c>
      <c r="X110" s="264"/>
      <c r="Y110" s="264"/>
      <c r="Z110" s="100"/>
      <c r="AA110" s="100"/>
      <c r="AB110" s="601"/>
      <c r="AC110" s="601"/>
      <c r="AD110" s="101"/>
      <c r="AE110" s="101"/>
      <c r="AF110" s="165">
        <f t="shared" si="59"/>
        <v>-226.95652173913049</v>
      </c>
      <c r="AG110" s="186">
        <f t="shared" si="60"/>
        <v>0.84869565217391296</v>
      </c>
      <c r="AH110" s="605"/>
    </row>
    <row r="111" spans="1:34" ht="19.149999999999999" customHeight="1">
      <c r="A111" s="625"/>
      <c r="B111" s="65" t="s">
        <v>390</v>
      </c>
      <c r="C111" s="248"/>
      <c r="D111" s="83" t="s">
        <v>179</v>
      </c>
      <c r="E111" s="250"/>
      <c r="F111" s="85">
        <v>51.75</v>
      </c>
      <c r="G111" s="104">
        <v>1274</v>
      </c>
      <c r="H111" s="87">
        <f t="shared" si="73"/>
        <v>65929.5</v>
      </c>
      <c r="I111" s="65"/>
      <c r="J111" s="89">
        <v>21</v>
      </c>
      <c r="K111" s="86">
        <v>1500</v>
      </c>
      <c r="L111" s="90">
        <v>71.428571428571431</v>
      </c>
      <c r="M111" s="310">
        <v>20</v>
      </c>
      <c r="N111" s="86">
        <f t="shared" si="74"/>
        <v>1176.0000000000014</v>
      </c>
      <c r="O111" s="90">
        <f t="shared" si="75"/>
        <v>58.800000000000068</v>
      </c>
      <c r="P111" s="92">
        <f t="shared" si="70"/>
        <v>-1</v>
      </c>
      <c r="Q111" s="93">
        <f t="shared" si="71"/>
        <v>-12.628571428571362</v>
      </c>
      <c r="R111" s="94">
        <f t="shared" si="72"/>
        <v>0.82320000000000093</v>
      </c>
      <c r="S111" s="616"/>
      <c r="T111" s="308">
        <v>0.58194444444444438</v>
      </c>
      <c r="U111" s="308">
        <v>0.62708333333333321</v>
      </c>
      <c r="V111" s="309">
        <v>22</v>
      </c>
      <c r="W111" s="88">
        <f t="shared" si="68"/>
        <v>64.999999999999929</v>
      </c>
      <c r="X111" s="99">
        <v>0.57013888888888886</v>
      </c>
      <c r="Y111" s="99">
        <v>0.57916666666666672</v>
      </c>
      <c r="Z111" s="100"/>
      <c r="AA111" s="100"/>
      <c r="AB111" s="601"/>
      <c r="AC111" s="601"/>
      <c r="AD111" s="101"/>
      <c r="AE111" s="101"/>
      <c r="AF111" s="92">
        <f t="shared" si="59"/>
        <v>-323.99999999999864</v>
      </c>
      <c r="AG111" s="186">
        <f t="shared" si="60"/>
        <v>0.78400000000000092</v>
      </c>
      <c r="AH111" s="605"/>
    </row>
    <row r="112" spans="1:34" ht="19.149999999999999" customHeight="1">
      <c r="A112" s="625"/>
      <c r="B112" s="65" t="s">
        <v>386</v>
      </c>
      <c r="C112" s="248"/>
      <c r="D112" s="249" t="s">
        <v>159</v>
      </c>
      <c r="E112" s="250"/>
      <c r="F112" s="85">
        <v>53.36</v>
      </c>
      <c r="G112" s="104">
        <v>1668.3</v>
      </c>
      <c r="H112" s="87">
        <f t="shared" si="73"/>
        <v>89020.487999999998</v>
      </c>
      <c r="I112" s="101">
        <v>2</v>
      </c>
      <c r="J112" s="89">
        <v>18</v>
      </c>
      <c r="K112" s="86">
        <v>1300</v>
      </c>
      <c r="L112" s="90">
        <v>72.222222222222229</v>
      </c>
      <c r="M112" s="310">
        <v>18</v>
      </c>
      <c r="N112" s="86">
        <f t="shared" si="74"/>
        <v>1251.2249999999995</v>
      </c>
      <c r="O112" s="90">
        <f t="shared" si="75"/>
        <v>69.512499999999974</v>
      </c>
      <c r="P112" s="92">
        <f t="shared" si="70"/>
        <v>0</v>
      </c>
      <c r="Q112" s="93">
        <f t="shared" si="71"/>
        <v>-2.7097222222222541</v>
      </c>
      <c r="R112" s="94">
        <f t="shared" si="72"/>
        <v>0.96248076923076875</v>
      </c>
      <c r="S112" s="616"/>
      <c r="T112" s="308">
        <v>0.63124999999999987</v>
      </c>
      <c r="U112" s="308">
        <v>0.68680555555555545</v>
      </c>
      <c r="V112" s="309">
        <v>6</v>
      </c>
      <c r="W112" s="88">
        <f t="shared" si="68"/>
        <v>80.000000000000028</v>
      </c>
      <c r="X112" s="99"/>
      <c r="Y112" s="99"/>
      <c r="Z112" s="100"/>
      <c r="AA112" s="100"/>
      <c r="AB112" s="601"/>
      <c r="AC112" s="601"/>
      <c r="AD112" s="101"/>
      <c r="AE112" s="101"/>
      <c r="AF112" s="92">
        <f t="shared" si="59"/>
        <v>-48.775000000000546</v>
      </c>
      <c r="AG112" s="186">
        <f t="shared" si="60"/>
        <v>0.96248076923076886</v>
      </c>
      <c r="AH112" s="605"/>
    </row>
    <row r="113" spans="1:34" s="298" customFormat="1" ht="19.149999999999999" customHeight="1">
      <c r="A113" s="625"/>
      <c r="B113" s="65" t="s">
        <v>390</v>
      </c>
      <c r="C113" s="248"/>
      <c r="D113" s="249" t="s">
        <v>180</v>
      </c>
      <c r="E113" s="250"/>
      <c r="F113" s="85">
        <v>54.29</v>
      </c>
      <c r="G113" s="104">
        <v>1109</v>
      </c>
      <c r="H113" s="87">
        <f t="shared" si="73"/>
        <v>60207.61</v>
      </c>
      <c r="I113" s="101"/>
      <c r="J113" s="89">
        <v>16</v>
      </c>
      <c r="K113" s="86">
        <v>1440</v>
      </c>
      <c r="L113" s="90">
        <v>90</v>
      </c>
      <c r="M113" s="310">
        <v>15</v>
      </c>
      <c r="N113" s="86">
        <f t="shared" si="74"/>
        <v>1255.471698113208</v>
      </c>
      <c r="O113" s="90">
        <f t="shared" si="75"/>
        <v>83.698113207547209</v>
      </c>
      <c r="P113" s="92">
        <f t="shared" si="70"/>
        <v>-1</v>
      </c>
      <c r="Q113" s="93">
        <f t="shared" si="71"/>
        <v>-6.301886792452791</v>
      </c>
      <c r="R113" s="94">
        <f t="shared" si="72"/>
        <v>0.92997903563941342</v>
      </c>
      <c r="S113" s="616"/>
      <c r="T113" s="308">
        <v>0.70833333333333337</v>
      </c>
      <c r="U113" s="308">
        <v>0.74513888888888891</v>
      </c>
      <c r="V113" s="309">
        <v>5</v>
      </c>
      <c r="W113" s="88">
        <f t="shared" si="68"/>
        <v>52.999999999999972</v>
      </c>
      <c r="X113" s="295"/>
      <c r="Y113" s="295"/>
      <c r="Z113" s="296"/>
      <c r="AA113" s="296"/>
      <c r="AB113" s="601"/>
      <c r="AC113" s="601"/>
      <c r="AD113" s="301"/>
      <c r="AE113" s="301"/>
      <c r="AF113" s="165">
        <f t="shared" si="59"/>
        <v>-184.52830188679195</v>
      </c>
      <c r="AG113" s="186">
        <f t="shared" si="60"/>
        <v>0.87185534591195002</v>
      </c>
      <c r="AH113" s="605"/>
    </row>
    <row r="114" spans="1:34" s="298" customFormat="1" ht="19.149999999999999" customHeight="1">
      <c r="A114" s="625"/>
      <c r="B114" s="65" t="s">
        <v>390</v>
      </c>
      <c r="C114" s="248"/>
      <c r="D114" s="249" t="s">
        <v>181</v>
      </c>
      <c r="E114" s="250"/>
      <c r="F114" s="85">
        <v>55.32</v>
      </c>
      <c r="G114" s="104">
        <v>489</v>
      </c>
      <c r="H114" s="87">
        <f t="shared" si="73"/>
        <v>27051.48</v>
      </c>
      <c r="I114" s="101"/>
      <c r="J114" s="89">
        <v>15</v>
      </c>
      <c r="K114" s="86">
        <v>1440</v>
      </c>
      <c r="L114" s="90">
        <v>96</v>
      </c>
      <c r="M114" s="310">
        <v>15</v>
      </c>
      <c r="N114" s="86">
        <f t="shared" si="74"/>
        <v>1086.666666666664</v>
      </c>
      <c r="O114" s="90">
        <f t="shared" si="75"/>
        <v>72.444444444444272</v>
      </c>
      <c r="P114" s="92">
        <f t="shared" si="70"/>
        <v>0</v>
      </c>
      <c r="Q114" s="93">
        <f t="shared" si="71"/>
        <v>-23.555555555555728</v>
      </c>
      <c r="R114" s="94">
        <f t="shared" si="72"/>
        <v>0.75462962962962787</v>
      </c>
      <c r="S114" s="616"/>
      <c r="T114" s="308">
        <v>0.75069444444444444</v>
      </c>
      <c r="U114" s="308">
        <v>0.76944444444444449</v>
      </c>
      <c r="V114" s="309">
        <v>8</v>
      </c>
      <c r="W114" s="88">
        <f t="shared" si="68"/>
        <v>27.000000000000064</v>
      </c>
      <c r="X114" s="295"/>
      <c r="Y114" s="295"/>
      <c r="Z114" s="296"/>
      <c r="AA114" s="296"/>
      <c r="AB114" s="601"/>
      <c r="AC114" s="601"/>
      <c r="AD114" s="301"/>
      <c r="AE114" s="301"/>
      <c r="AF114" s="92">
        <f t="shared" si="59"/>
        <v>-353.33333333333599</v>
      </c>
      <c r="AG114" s="186">
        <f t="shared" si="60"/>
        <v>0.75462962962962776</v>
      </c>
      <c r="AH114" s="605"/>
    </row>
    <row r="115" spans="1:34" s="298" customFormat="1" ht="19.149999999999999" customHeight="1">
      <c r="A115" s="625"/>
      <c r="B115" s="65" t="s">
        <v>390</v>
      </c>
      <c r="C115" s="248"/>
      <c r="D115" s="249" t="s">
        <v>182</v>
      </c>
      <c r="E115" s="250"/>
      <c r="F115" s="85">
        <v>55.56</v>
      </c>
      <c r="G115" s="247">
        <v>735</v>
      </c>
      <c r="H115" s="87">
        <f t="shared" si="73"/>
        <v>40836.6</v>
      </c>
      <c r="I115" s="101"/>
      <c r="J115" s="89">
        <v>16</v>
      </c>
      <c r="K115" s="86">
        <v>1440</v>
      </c>
      <c r="L115" s="90">
        <v>90</v>
      </c>
      <c r="M115" s="91">
        <v>17</v>
      </c>
      <c r="N115" s="86">
        <f t="shared" si="74"/>
        <v>1297.0588235294101</v>
      </c>
      <c r="O115" s="90">
        <f t="shared" si="75"/>
        <v>76.297577854671189</v>
      </c>
      <c r="P115" s="92">
        <f t="shared" si="70"/>
        <v>1</v>
      </c>
      <c r="Q115" s="93">
        <f t="shared" si="71"/>
        <v>-13.702422145328811</v>
      </c>
      <c r="R115" s="94">
        <f t="shared" si="72"/>
        <v>0.84775086505190211</v>
      </c>
      <c r="S115" s="616"/>
      <c r="T115" s="308">
        <v>0.77430555555555558</v>
      </c>
      <c r="U115" s="308">
        <v>0.79791666666666672</v>
      </c>
      <c r="V115" s="309">
        <v>7</v>
      </c>
      <c r="W115" s="88">
        <f t="shared" si="68"/>
        <v>34.000000000000043</v>
      </c>
      <c r="X115" s="295"/>
      <c r="Y115" s="295"/>
      <c r="Z115" s="296"/>
      <c r="AA115" s="296"/>
      <c r="AB115" s="601"/>
      <c r="AC115" s="601"/>
      <c r="AD115" s="301"/>
      <c r="AE115" s="301"/>
      <c r="AF115" s="92">
        <f t="shared" si="59"/>
        <v>-142.94117647058988</v>
      </c>
      <c r="AG115" s="186">
        <f t="shared" si="60"/>
        <v>0.90073529411764597</v>
      </c>
      <c r="AH115" s="605"/>
    </row>
    <row r="116" spans="1:34" s="298" customFormat="1" ht="19.149999999999999" customHeight="1">
      <c r="A116" s="625"/>
      <c r="B116" s="65" t="s">
        <v>390</v>
      </c>
      <c r="C116" s="102"/>
      <c r="D116" s="132" t="s">
        <v>183</v>
      </c>
      <c r="E116" s="133"/>
      <c r="F116" s="85">
        <v>57.73</v>
      </c>
      <c r="G116" s="104">
        <v>833</v>
      </c>
      <c r="H116" s="87">
        <f t="shared" si="73"/>
        <v>48089.09</v>
      </c>
      <c r="I116" s="101"/>
      <c r="J116" s="89">
        <v>16</v>
      </c>
      <c r="K116" s="86">
        <v>1380</v>
      </c>
      <c r="L116" s="90">
        <v>86.25</v>
      </c>
      <c r="M116" s="189">
        <v>16</v>
      </c>
      <c r="N116" s="86">
        <f t="shared" si="74"/>
        <v>1189.9999999999995</v>
      </c>
      <c r="O116" s="90">
        <f t="shared" si="75"/>
        <v>74.374999999999972</v>
      </c>
      <c r="P116" s="92">
        <f t="shared" si="70"/>
        <v>0</v>
      </c>
      <c r="Q116" s="93">
        <f t="shared" si="71"/>
        <v>-11.875000000000028</v>
      </c>
      <c r="R116" s="94">
        <f t="shared" si="72"/>
        <v>0.86231884057970987</v>
      </c>
      <c r="S116" s="616"/>
      <c r="T116" s="308">
        <v>0.80208333333333337</v>
      </c>
      <c r="U116" s="308">
        <v>0.83125000000000004</v>
      </c>
      <c r="V116" s="309">
        <v>6</v>
      </c>
      <c r="W116" s="88">
        <f t="shared" si="68"/>
        <v>42.000000000000014</v>
      </c>
      <c r="X116" s="295"/>
      <c r="Y116" s="295"/>
      <c r="Z116" s="296"/>
      <c r="AA116" s="296"/>
      <c r="AB116" s="601"/>
      <c r="AC116" s="601"/>
      <c r="AD116" s="301"/>
      <c r="AE116" s="301"/>
      <c r="AF116" s="165">
        <f t="shared" si="59"/>
        <v>-190.00000000000045</v>
      </c>
      <c r="AG116" s="186">
        <f t="shared" si="60"/>
        <v>0.86231884057970987</v>
      </c>
      <c r="AH116" s="605"/>
    </row>
    <row r="117" spans="1:34" s="298" customFormat="1" ht="19.149999999999999" customHeight="1">
      <c r="A117" s="625"/>
      <c r="B117" s="65">
        <v>0</v>
      </c>
      <c r="C117" s="102"/>
      <c r="D117" s="249"/>
      <c r="E117" s="133"/>
      <c r="F117" s="85" t="s">
        <v>391</v>
      </c>
      <c r="G117" s="104"/>
      <c r="H117" s="87">
        <f t="shared" si="73"/>
        <v>0</v>
      </c>
      <c r="I117" s="101"/>
      <c r="J117" s="89"/>
      <c r="K117" s="86"/>
      <c r="L117" s="137"/>
      <c r="M117" s="189"/>
      <c r="N117" s="104"/>
      <c r="O117" s="137"/>
      <c r="P117" s="100"/>
      <c r="Q117" s="139"/>
      <c r="R117" s="140"/>
      <c r="S117" s="616"/>
      <c r="T117" s="308"/>
      <c r="U117" s="308"/>
      <c r="V117" s="309"/>
      <c r="W117" s="88">
        <f t="shared" si="68"/>
        <v>0</v>
      </c>
      <c r="X117" s="295"/>
      <c r="Y117" s="295"/>
      <c r="Z117" s="296"/>
      <c r="AA117" s="296"/>
      <c r="AB117" s="601"/>
      <c r="AC117" s="601"/>
      <c r="AD117" s="301"/>
      <c r="AE117" s="301"/>
      <c r="AF117" s="92">
        <f t="shared" si="59"/>
        <v>0</v>
      </c>
      <c r="AG117" s="186" t="e">
        <f t="shared" si="60"/>
        <v>#DIV/0!</v>
      </c>
      <c r="AH117" s="605"/>
    </row>
    <row r="118" spans="1:34" s="298" customFormat="1" ht="19.149999999999999" customHeight="1">
      <c r="A118" s="625"/>
      <c r="B118" s="65">
        <v>0</v>
      </c>
      <c r="C118" s="233"/>
      <c r="D118" s="249"/>
      <c r="E118" s="84"/>
      <c r="F118" s="85" t="s">
        <v>391</v>
      </c>
      <c r="G118" s="86"/>
      <c r="H118" s="87">
        <f t="shared" si="73"/>
        <v>0</v>
      </c>
      <c r="I118" s="101"/>
      <c r="J118" s="89"/>
      <c r="K118" s="86"/>
      <c r="L118" s="90"/>
      <c r="M118" s="189"/>
      <c r="N118" s="86"/>
      <c r="O118" s="90"/>
      <c r="P118" s="92"/>
      <c r="Q118" s="93"/>
      <c r="R118" s="94"/>
      <c r="S118" s="616"/>
      <c r="T118" s="308"/>
      <c r="U118" s="308"/>
      <c r="V118" s="309"/>
      <c r="W118" s="88">
        <f t="shared" si="68"/>
        <v>0</v>
      </c>
      <c r="X118" s="295"/>
      <c r="Y118" s="295"/>
      <c r="Z118" s="296"/>
      <c r="AA118" s="296"/>
      <c r="AB118" s="601"/>
      <c r="AC118" s="601"/>
      <c r="AD118" s="301"/>
      <c r="AE118" s="301"/>
      <c r="AF118" s="297"/>
      <c r="AG118" s="186"/>
      <c r="AH118" s="605"/>
    </row>
    <row r="119" spans="1:34" s="298" customFormat="1" ht="19.149999999999999" customHeight="1">
      <c r="A119" s="625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101"/>
      <c r="J119" s="251"/>
      <c r="K119" s="313"/>
      <c r="L119" s="90"/>
      <c r="M119" s="189"/>
      <c r="N119" s="252"/>
      <c r="O119" s="305"/>
      <c r="P119" s="235"/>
      <c r="Q119" s="93"/>
      <c r="R119" s="94"/>
      <c r="S119" s="616"/>
      <c r="T119" s="308"/>
      <c r="U119" s="308"/>
      <c r="V119" s="309"/>
      <c r="W119" s="88">
        <f t="shared" si="68"/>
        <v>0</v>
      </c>
      <c r="X119" s="295"/>
      <c r="Y119" s="295"/>
      <c r="Z119" s="296"/>
      <c r="AA119" s="296"/>
      <c r="AB119" s="601"/>
      <c r="AC119" s="601"/>
      <c r="AD119" s="301"/>
      <c r="AE119" s="301"/>
      <c r="AF119" s="297"/>
      <c r="AG119" s="186"/>
      <c r="AH119" s="605"/>
    </row>
    <row r="120" spans="1:34" s="298" customFormat="1" ht="19.149999999999999" customHeight="1">
      <c r="A120" s="625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101"/>
      <c r="J120" s="251"/>
      <c r="K120" s="313"/>
      <c r="L120" s="90"/>
      <c r="M120" s="189"/>
      <c r="N120" s="252"/>
      <c r="O120" s="305"/>
      <c r="P120" s="235"/>
      <c r="Q120" s="93"/>
      <c r="R120" s="94"/>
      <c r="S120" s="616"/>
      <c r="T120" s="308"/>
      <c r="U120" s="308"/>
      <c r="V120" s="309"/>
      <c r="W120" s="88">
        <f t="shared" si="68"/>
        <v>0</v>
      </c>
      <c r="X120" s="295"/>
      <c r="Y120" s="295"/>
      <c r="Z120" s="296"/>
      <c r="AA120" s="296"/>
      <c r="AB120" s="601"/>
      <c r="AC120" s="601"/>
      <c r="AD120" s="301"/>
      <c r="AE120" s="301"/>
      <c r="AF120" s="297"/>
      <c r="AG120" s="186"/>
      <c r="AH120" s="605"/>
    </row>
    <row r="121" spans="1:34" ht="19.149999999999999" customHeight="1">
      <c r="A121" s="626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17.5</v>
      </c>
      <c r="K121" s="280">
        <v>1437.5</v>
      </c>
      <c r="L121" s="281">
        <v>83.029265873015873</v>
      </c>
      <c r="M121" s="280">
        <f t="shared" ref="M121:O121" si="76">AVERAGE(M109:M120)</f>
        <v>17.375</v>
      </c>
      <c r="N121" s="280">
        <f t="shared" si="76"/>
        <v>1239.3650265030874</v>
      </c>
      <c r="O121" s="281">
        <f t="shared" si="76"/>
        <v>71.968688298675389</v>
      </c>
      <c r="P121" s="92">
        <f t="shared" ref="P121:P131" si="77">M121-J121</f>
        <v>-0.125</v>
      </c>
      <c r="Q121" s="93">
        <f t="shared" ref="Q121:Q131" si="78">O121-L121</f>
        <v>-11.060577574340485</v>
      </c>
      <c r="R121" s="245">
        <f t="shared" ref="R121:R131" si="79">O121/L121</f>
        <v>0.86678700024571553</v>
      </c>
      <c r="S121" s="622"/>
      <c r="T121" s="96"/>
      <c r="U121" s="96"/>
      <c r="V121" s="86"/>
      <c r="W121" s="88">
        <f t="shared" si="68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01"/>
      <c r="AC121" s="601"/>
      <c r="AD121" s="164">
        <f>SUM(AD109:AD120)</f>
        <v>0</v>
      </c>
      <c r="AE121" s="164">
        <f>SUM(AE109:AE120)</f>
        <v>0</v>
      </c>
      <c r="AF121" s="92">
        <f>N121-K121</f>
        <v>-198.13497349691261</v>
      </c>
      <c r="AG121" s="186">
        <f>N121/K121</f>
        <v>0.86216697495866945</v>
      </c>
      <c r="AH121" s="605"/>
    </row>
    <row r="122" spans="1:34" ht="19.149999999999999" customHeight="1">
      <c r="A122" s="619" t="s">
        <v>274</v>
      </c>
      <c r="B122" s="192" t="s">
        <v>386</v>
      </c>
      <c r="C122" s="233"/>
      <c r="D122" s="249" t="s">
        <v>185</v>
      </c>
      <c r="E122" s="84"/>
      <c r="F122" s="85">
        <v>65.400000000000006</v>
      </c>
      <c r="G122" s="86">
        <v>323</v>
      </c>
      <c r="H122" s="87">
        <f t="shared" ref="H122:H132" si="80">F122*G122</f>
        <v>21124.2</v>
      </c>
      <c r="I122" s="65"/>
      <c r="J122" s="89">
        <v>18</v>
      </c>
      <c r="K122" s="86">
        <v>1440</v>
      </c>
      <c r="L122" s="90">
        <v>80</v>
      </c>
      <c r="M122" s="91">
        <v>18</v>
      </c>
      <c r="N122" s="247">
        <f t="shared" ref="N122:N131" si="81">G122/W122*60</f>
        <v>1076.6666666666704</v>
      </c>
      <c r="O122" s="319">
        <f t="shared" ref="O122:O131" si="82">N122/M122</f>
        <v>59.814814814815023</v>
      </c>
      <c r="P122" s="165">
        <f t="shared" si="77"/>
        <v>0</v>
      </c>
      <c r="Q122" s="255">
        <f t="shared" si="78"/>
        <v>-20.185185185184977</v>
      </c>
      <c r="R122" s="166">
        <f t="shared" si="79"/>
        <v>0.74768518518518778</v>
      </c>
      <c r="S122" s="620">
        <f>R134</f>
        <v>0.81580579601072201</v>
      </c>
      <c r="T122" s="96">
        <v>0.5</v>
      </c>
      <c r="U122" s="96">
        <v>0.51249999999999996</v>
      </c>
      <c r="V122" s="309">
        <v>5</v>
      </c>
      <c r="W122" s="88">
        <f t="shared" si="68"/>
        <v>17.999999999999936</v>
      </c>
      <c r="X122" s="99"/>
      <c r="Y122" s="99"/>
      <c r="Z122" s="100"/>
      <c r="AA122" s="100"/>
      <c r="AB122" s="601"/>
      <c r="AC122" s="601"/>
      <c r="AD122" s="101"/>
      <c r="AE122" s="101"/>
      <c r="AF122" s="92">
        <f t="shared" si="59"/>
        <v>-363.33333333332962</v>
      </c>
      <c r="AG122" s="94">
        <f t="shared" si="60"/>
        <v>0.74768518518518778</v>
      </c>
      <c r="AH122" s="622">
        <f>AG134</f>
        <v>0.81878747218432868</v>
      </c>
    </row>
    <row r="123" spans="1:34" ht="19.149999999999999" customHeight="1">
      <c r="A123" s="619"/>
      <c r="B123" s="192" t="s">
        <v>386</v>
      </c>
      <c r="C123" s="152"/>
      <c r="D123" s="83" t="s">
        <v>186</v>
      </c>
      <c r="E123" s="250"/>
      <c r="F123" s="85">
        <v>59.52</v>
      </c>
      <c r="G123" s="86">
        <v>1546.5</v>
      </c>
      <c r="H123" s="87">
        <f t="shared" si="80"/>
        <v>92047.680000000008</v>
      </c>
      <c r="I123" s="101"/>
      <c r="J123" s="138">
        <v>21</v>
      </c>
      <c r="K123" s="104">
        <v>1385</v>
      </c>
      <c r="L123" s="137">
        <v>65.952380952380949</v>
      </c>
      <c r="M123" s="189">
        <v>20</v>
      </c>
      <c r="N123" s="104">
        <f t="shared" si="81"/>
        <v>1205.0649350649344</v>
      </c>
      <c r="O123" s="137">
        <f t="shared" si="82"/>
        <v>60.253246753246721</v>
      </c>
      <c r="P123" s="100">
        <f t="shared" si="77"/>
        <v>-1</v>
      </c>
      <c r="Q123" s="139">
        <f t="shared" si="78"/>
        <v>-5.6991341991342281</v>
      </c>
      <c r="R123" s="140">
        <f t="shared" si="79"/>
        <v>0.91358713488677346</v>
      </c>
      <c r="S123" s="620"/>
      <c r="T123" s="96">
        <v>0.51736111111111105</v>
      </c>
      <c r="U123" s="96">
        <v>0.5708333333333333</v>
      </c>
      <c r="V123" s="309">
        <v>7</v>
      </c>
      <c r="W123" s="88">
        <f>(U123-T123)*24*60</f>
        <v>77.000000000000043</v>
      </c>
      <c r="X123" s="99"/>
      <c r="Y123" s="99"/>
      <c r="Z123" s="100"/>
      <c r="AA123" s="100"/>
      <c r="AB123" s="601"/>
      <c r="AC123" s="601"/>
      <c r="AD123" s="101"/>
      <c r="AE123" s="101"/>
      <c r="AF123" s="92">
        <f t="shared" si="59"/>
        <v>-179.93506493506561</v>
      </c>
      <c r="AG123" s="94">
        <f t="shared" si="60"/>
        <v>0.87008298560645081</v>
      </c>
      <c r="AH123" s="620"/>
    </row>
    <row r="124" spans="1:34" ht="19.149999999999999" customHeight="1">
      <c r="A124" s="619"/>
      <c r="B124" s="192" t="s">
        <v>386</v>
      </c>
      <c r="C124" s="248"/>
      <c r="D124" s="249" t="s">
        <v>187</v>
      </c>
      <c r="E124" s="250"/>
      <c r="F124" s="85">
        <v>58.67</v>
      </c>
      <c r="G124" s="247">
        <v>1572</v>
      </c>
      <c r="H124" s="87">
        <f t="shared" si="80"/>
        <v>92229.24</v>
      </c>
      <c r="I124" s="320"/>
      <c r="J124" s="138">
        <v>19</v>
      </c>
      <c r="K124" s="104">
        <v>1440</v>
      </c>
      <c r="L124" s="137">
        <v>75.78947368421052</v>
      </c>
      <c r="M124" s="91">
        <v>20</v>
      </c>
      <c r="N124" s="247">
        <f t="shared" si="81"/>
        <v>1292.0547945205471</v>
      </c>
      <c r="O124" s="319">
        <f t="shared" si="82"/>
        <v>64.602739726027352</v>
      </c>
      <c r="P124" s="165">
        <f t="shared" si="77"/>
        <v>1</v>
      </c>
      <c r="Q124" s="255">
        <f t="shared" si="78"/>
        <v>-11.186733958183169</v>
      </c>
      <c r="R124" s="166">
        <f t="shared" si="79"/>
        <v>0.85239726027397211</v>
      </c>
      <c r="S124" s="621"/>
      <c r="T124" s="96">
        <v>0.58611111111111103</v>
      </c>
      <c r="U124" s="96">
        <v>0.63680555555555551</v>
      </c>
      <c r="V124" s="309">
        <v>22</v>
      </c>
      <c r="W124" s="322">
        <f>(U124-T124)*24*60</f>
        <v>73.000000000000057</v>
      </c>
      <c r="X124" s="264">
        <v>0.57430555555555551</v>
      </c>
      <c r="Y124" s="264">
        <v>0.58333333333333337</v>
      </c>
      <c r="Z124" s="100"/>
      <c r="AA124" s="100"/>
      <c r="AB124" s="601"/>
      <c r="AC124" s="601"/>
      <c r="AD124" s="101"/>
      <c r="AE124" s="101"/>
      <c r="AF124" s="165">
        <f t="shared" si="59"/>
        <v>-147.94520547945285</v>
      </c>
      <c r="AG124" s="166">
        <f t="shared" si="60"/>
        <v>0.89726027397260222</v>
      </c>
      <c r="AH124" s="620"/>
    </row>
    <row r="125" spans="1:34" ht="19.149999999999999" customHeight="1">
      <c r="A125" s="619"/>
      <c r="B125" s="192" t="s">
        <v>390</v>
      </c>
      <c r="C125" s="152"/>
      <c r="D125" s="83" t="s">
        <v>188</v>
      </c>
      <c r="E125" s="84"/>
      <c r="F125" s="85">
        <v>56.79</v>
      </c>
      <c r="G125" s="86">
        <v>1148</v>
      </c>
      <c r="H125" s="87">
        <f t="shared" si="80"/>
        <v>65194.92</v>
      </c>
      <c r="I125" s="65"/>
      <c r="J125" s="138">
        <v>18</v>
      </c>
      <c r="K125" s="104">
        <v>1636</v>
      </c>
      <c r="L125" s="137">
        <v>90.888888888888886</v>
      </c>
      <c r="M125" s="91">
        <v>18</v>
      </c>
      <c r="N125" s="104">
        <f t="shared" si="81"/>
        <v>1324.6153846153852</v>
      </c>
      <c r="O125" s="137">
        <f t="shared" si="82"/>
        <v>73.58974358974362</v>
      </c>
      <c r="P125" s="100">
        <f t="shared" si="77"/>
        <v>0</v>
      </c>
      <c r="Q125" s="139">
        <f t="shared" si="78"/>
        <v>-17.299145299145266</v>
      </c>
      <c r="R125" s="140">
        <f t="shared" si="79"/>
        <v>0.80966710551062659</v>
      </c>
      <c r="S125" s="621"/>
      <c r="T125" s="96">
        <v>0.70833333333333337</v>
      </c>
      <c r="U125" s="96">
        <v>0.74444444444444446</v>
      </c>
      <c r="V125" s="309">
        <v>5</v>
      </c>
      <c r="W125" s="322">
        <f t="shared" ref="W125:W133" si="83">(U125-T125)*24*60</f>
        <v>51.999999999999972</v>
      </c>
      <c r="X125" s="112"/>
      <c r="Y125" s="112"/>
      <c r="Z125" s="100"/>
      <c r="AA125" s="100"/>
      <c r="AB125" s="601"/>
      <c r="AC125" s="601"/>
      <c r="AD125" s="101"/>
      <c r="AE125" s="101"/>
      <c r="AF125" s="92">
        <f t="shared" si="59"/>
        <v>-311.38461538461479</v>
      </c>
      <c r="AG125" s="94">
        <f t="shared" si="60"/>
        <v>0.80966710551062671</v>
      </c>
      <c r="AH125" s="623"/>
    </row>
    <row r="126" spans="1:34" ht="19.149999999999999" customHeight="1">
      <c r="A126" s="619"/>
      <c r="B126" s="192" t="s">
        <v>390</v>
      </c>
      <c r="C126" s="101"/>
      <c r="D126" s="83" t="s">
        <v>189</v>
      </c>
      <c r="E126" s="250"/>
      <c r="F126" s="85">
        <v>56.87</v>
      </c>
      <c r="G126" s="104">
        <v>876</v>
      </c>
      <c r="H126" s="87">
        <f t="shared" si="80"/>
        <v>49818.119999999995</v>
      </c>
      <c r="I126" s="101"/>
      <c r="J126" s="138">
        <v>18</v>
      </c>
      <c r="K126" s="104">
        <v>1636</v>
      </c>
      <c r="L126" s="137">
        <v>90.888888888888886</v>
      </c>
      <c r="M126" s="189">
        <v>18</v>
      </c>
      <c r="N126" s="104">
        <f t="shared" si="81"/>
        <v>1251.4285714285711</v>
      </c>
      <c r="O126" s="137">
        <f t="shared" si="82"/>
        <v>69.523809523809504</v>
      </c>
      <c r="P126" s="100">
        <f t="shared" si="77"/>
        <v>0</v>
      </c>
      <c r="Q126" s="139">
        <f t="shared" si="78"/>
        <v>-21.365079365079382</v>
      </c>
      <c r="R126" s="140">
        <f t="shared" si="79"/>
        <v>0.76493188962626602</v>
      </c>
      <c r="S126" s="621"/>
      <c r="T126" s="96">
        <v>0.74861111111111112</v>
      </c>
      <c r="U126" s="96">
        <v>0.77777777777777779</v>
      </c>
      <c r="V126" s="309">
        <v>6</v>
      </c>
      <c r="W126" s="322">
        <f t="shared" si="83"/>
        <v>42.000000000000014</v>
      </c>
      <c r="X126" s="112"/>
      <c r="Y126" s="112"/>
      <c r="Z126" s="100"/>
      <c r="AA126" s="100"/>
      <c r="AB126" s="601"/>
      <c r="AC126" s="601"/>
      <c r="AD126" s="101"/>
      <c r="AE126" s="101"/>
      <c r="AF126" s="165">
        <f t="shared" si="59"/>
        <v>-384.5714285714289</v>
      </c>
      <c r="AG126" s="166">
        <f t="shared" si="60"/>
        <v>0.7649318896262659</v>
      </c>
      <c r="AH126" s="623"/>
    </row>
    <row r="127" spans="1:34" ht="19.149999999999999" customHeight="1">
      <c r="A127" s="619"/>
      <c r="B127" s="192" t="s">
        <v>390</v>
      </c>
      <c r="C127" s="303"/>
      <c r="D127" s="132" t="s">
        <v>190</v>
      </c>
      <c r="E127" s="133"/>
      <c r="F127" s="85">
        <v>54.09</v>
      </c>
      <c r="G127" s="288">
        <v>1373</v>
      </c>
      <c r="H127" s="87">
        <f t="shared" si="80"/>
        <v>74265.570000000007</v>
      </c>
      <c r="I127" s="301"/>
      <c r="J127" s="138">
        <v>16</v>
      </c>
      <c r="K127" s="104">
        <v>1565</v>
      </c>
      <c r="L127" s="137">
        <v>97.8125</v>
      </c>
      <c r="M127" s="91">
        <v>17</v>
      </c>
      <c r="N127" s="247">
        <f t="shared" si="81"/>
        <v>1287.1875000000016</v>
      </c>
      <c r="O127" s="319">
        <f t="shared" si="82"/>
        <v>75.716911764705969</v>
      </c>
      <c r="P127" s="165">
        <f t="shared" si="77"/>
        <v>1</v>
      </c>
      <c r="Q127" s="255">
        <f t="shared" si="78"/>
        <v>-22.095588235294031</v>
      </c>
      <c r="R127" s="166">
        <f t="shared" si="79"/>
        <v>0.7741026122909237</v>
      </c>
      <c r="S127" s="621"/>
      <c r="T127" s="96">
        <v>0.78263888888888888</v>
      </c>
      <c r="U127" s="96">
        <v>0.82708333333333328</v>
      </c>
      <c r="V127" s="65">
        <v>7</v>
      </c>
      <c r="W127" s="322">
        <f t="shared" si="83"/>
        <v>63.999999999999929</v>
      </c>
      <c r="X127" s="112"/>
      <c r="Y127" s="112"/>
      <c r="Z127" s="100"/>
      <c r="AA127" s="100"/>
      <c r="AB127" s="601"/>
      <c r="AC127" s="601"/>
      <c r="AD127" s="101"/>
      <c r="AE127" s="101"/>
      <c r="AF127" s="165">
        <f t="shared" si="59"/>
        <v>-277.81249999999841</v>
      </c>
      <c r="AG127" s="166">
        <f t="shared" si="60"/>
        <v>0.82248402555910649</v>
      </c>
      <c r="AH127" s="623"/>
    </row>
    <row r="128" spans="1:34" ht="19.149999999999999" customHeight="1">
      <c r="A128" s="619"/>
      <c r="B128" s="192" t="s">
        <v>390</v>
      </c>
      <c r="C128" s="226"/>
      <c r="D128" s="106" t="s">
        <v>191</v>
      </c>
      <c r="E128" s="133"/>
      <c r="F128" s="85">
        <v>50.67</v>
      </c>
      <c r="G128" s="104">
        <v>424</v>
      </c>
      <c r="H128" s="87">
        <f t="shared" si="80"/>
        <v>21484.080000000002</v>
      </c>
      <c r="I128" s="101"/>
      <c r="J128" s="138">
        <v>18</v>
      </c>
      <c r="K128" s="104">
        <v>1440</v>
      </c>
      <c r="L128" s="137">
        <v>80</v>
      </c>
      <c r="M128" s="138">
        <v>18</v>
      </c>
      <c r="N128" s="104">
        <f t="shared" si="81"/>
        <v>1106.0869565217354</v>
      </c>
      <c r="O128" s="137">
        <f t="shared" si="82"/>
        <v>61.44927536231863</v>
      </c>
      <c r="P128" s="100">
        <f t="shared" si="77"/>
        <v>0</v>
      </c>
      <c r="Q128" s="139">
        <f t="shared" si="78"/>
        <v>-18.55072463768137</v>
      </c>
      <c r="R128" s="140">
        <f t="shared" si="79"/>
        <v>0.76811594202898292</v>
      </c>
      <c r="S128" s="621"/>
      <c r="T128" s="96">
        <v>0.84305555555555545</v>
      </c>
      <c r="U128" s="96">
        <v>0.85902777777777772</v>
      </c>
      <c r="V128" s="65">
        <v>23</v>
      </c>
      <c r="W128" s="322">
        <f t="shared" si="83"/>
        <v>23.000000000000078</v>
      </c>
      <c r="X128" s="112">
        <v>0.8305555555555556</v>
      </c>
      <c r="Y128" s="112">
        <v>0.84027777777777779</v>
      </c>
      <c r="Z128" s="100"/>
      <c r="AA128" s="100"/>
      <c r="AB128" s="601"/>
      <c r="AC128" s="601"/>
      <c r="AD128" s="101"/>
      <c r="AE128" s="101"/>
      <c r="AF128" s="165">
        <f t="shared" si="59"/>
        <v>-333.91304347826463</v>
      </c>
      <c r="AG128" s="166">
        <f t="shared" si="60"/>
        <v>0.76811594202898292</v>
      </c>
      <c r="AH128" s="623"/>
    </row>
    <row r="129" spans="1:34" ht="19.149999999999999" customHeight="1">
      <c r="A129" s="619"/>
      <c r="B129" s="192" t="s">
        <v>390</v>
      </c>
      <c r="C129" s="226"/>
      <c r="D129" s="106" t="s">
        <v>192</v>
      </c>
      <c r="E129" s="107"/>
      <c r="F129" s="85">
        <v>47.6</v>
      </c>
      <c r="G129" s="104">
        <v>1177</v>
      </c>
      <c r="H129" s="87">
        <f t="shared" si="80"/>
        <v>56025.200000000004</v>
      </c>
      <c r="I129" s="101"/>
      <c r="J129" s="138">
        <v>19</v>
      </c>
      <c r="K129" s="104">
        <v>1440</v>
      </c>
      <c r="L129" s="137">
        <v>75.78947368421052</v>
      </c>
      <c r="M129" s="189">
        <v>18</v>
      </c>
      <c r="N129" s="104">
        <f t="shared" si="81"/>
        <v>1284.0000000000007</v>
      </c>
      <c r="O129" s="137">
        <f t="shared" si="82"/>
        <v>71.333333333333371</v>
      </c>
      <c r="P129" s="100">
        <f t="shared" si="77"/>
        <v>-1</v>
      </c>
      <c r="Q129" s="139">
        <f t="shared" si="78"/>
        <v>-4.4561403508771491</v>
      </c>
      <c r="R129" s="140">
        <f t="shared" si="79"/>
        <v>0.94120370370370432</v>
      </c>
      <c r="S129" s="621"/>
      <c r="T129" s="96">
        <v>0.86388888888888882</v>
      </c>
      <c r="U129" s="96">
        <v>0.90208333333333324</v>
      </c>
      <c r="V129" s="65">
        <v>7</v>
      </c>
      <c r="W129" s="322">
        <f t="shared" si="83"/>
        <v>54.999999999999964</v>
      </c>
      <c r="X129" s="112"/>
      <c r="Y129" s="112"/>
      <c r="Z129" s="100"/>
      <c r="AA129" s="100"/>
      <c r="AB129" s="601"/>
      <c r="AC129" s="601"/>
      <c r="AD129" s="101"/>
      <c r="AE129" s="101"/>
      <c r="AF129" s="165"/>
      <c r="AG129" s="166"/>
      <c r="AH129" s="623"/>
    </row>
    <row r="130" spans="1:34" ht="19.149999999999999" customHeight="1">
      <c r="A130" s="619"/>
      <c r="B130" s="278" t="s">
        <v>390</v>
      </c>
      <c r="C130" s="226"/>
      <c r="D130" s="106" t="s">
        <v>193</v>
      </c>
      <c r="E130" s="107"/>
      <c r="F130" s="85">
        <v>57.3</v>
      </c>
      <c r="G130" s="104">
        <v>984</v>
      </c>
      <c r="H130" s="87">
        <f t="shared" si="80"/>
        <v>56383.199999999997</v>
      </c>
      <c r="I130" s="101"/>
      <c r="J130" s="138">
        <v>17</v>
      </c>
      <c r="K130" s="104">
        <v>1385</v>
      </c>
      <c r="L130" s="137">
        <v>81.470588235294116</v>
      </c>
      <c r="M130" s="189">
        <v>18</v>
      </c>
      <c r="N130" s="104">
        <f t="shared" si="81"/>
        <v>1180.8000000000004</v>
      </c>
      <c r="O130" s="137">
        <f t="shared" si="82"/>
        <v>65.600000000000023</v>
      </c>
      <c r="P130" s="100">
        <f t="shared" si="77"/>
        <v>1</v>
      </c>
      <c r="Q130" s="139">
        <f t="shared" si="78"/>
        <v>-15.870588235294093</v>
      </c>
      <c r="R130" s="140">
        <f t="shared" si="79"/>
        <v>0.805198555956679</v>
      </c>
      <c r="S130" s="621"/>
      <c r="T130" s="96">
        <v>0.90763888888888877</v>
      </c>
      <c r="U130" s="96">
        <v>0.94236111111111098</v>
      </c>
      <c r="V130" s="65">
        <v>8</v>
      </c>
      <c r="W130" s="322">
        <f t="shared" si="83"/>
        <v>49.999999999999986</v>
      </c>
      <c r="X130" s="112"/>
      <c r="Y130" s="112"/>
      <c r="Z130" s="100"/>
      <c r="AA130" s="100"/>
      <c r="AB130" s="601"/>
      <c r="AC130" s="601"/>
      <c r="AD130" s="101"/>
      <c r="AE130" s="101"/>
      <c r="AF130" s="113"/>
      <c r="AG130" s="114"/>
      <c r="AH130" s="623"/>
    </row>
    <row r="131" spans="1:34" ht="19.149999999999999" customHeight="1">
      <c r="A131" s="619"/>
      <c r="B131" s="278" t="s">
        <v>390</v>
      </c>
      <c r="C131" s="226"/>
      <c r="D131" s="106" t="s">
        <v>194</v>
      </c>
      <c r="E131" s="133"/>
      <c r="F131" s="85">
        <v>50.67</v>
      </c>
      <c r="G131" s="288">
        <v>702</v>
      </c>
      <c r="H131" s="87">
        <f t="shared" si="80"/>
        <v>35570.340000000004</v>
      </c>
      <c r="I131" s="301"/>
      <c r="J131" s="138">
        <v>19</v>
      </c>
      <c r="K131" s="104">
        <v>1636</v>
      </c>
      <c r="L131" s="137">
        <v>86.10526315789474</v>
      </c>
      <c r="M131" s="138">
        <v>18</v>
      </c>
      <c r="N131" s="247">
        <f t="shared" si="81"/>
        <v>1276.3636363636347</v>
      </c>
      <c r="O131" s="319">
        <f t="shared" si="82"/>
        <v>70.909090909090821</v>
      </c>
      <c r="P131" s="165">
        <f t="shared" si="77"/>
        <v>-1</v>
      </c>
      <c r="Q131" s="255">
        <f t="shared" si="78"/>
        <v>-15.196172248803919</v>
      </c>
      <c r="R131" s="166">
        <f t="shared" si="79"/>
        <v>0.82351633696376869</v>
      </c>
      <c r="S131" s="621"/>
      <c r="T131" s="96">
        <v>0.94583333333333319</v>
      </c>
      <c r="U131" s="96">
        <v>0.96874999999999989</v>
      </c>
      <c r="V131" s="65">
        <v>5</v>
      </c>
      <c r="W131" s="322">
        <f t="shared" si="83"/>
        <v>33.000000000000043</v>
      </c>
      <c r="X131" s="112"/>
      <c r="Y131" s="112"/>
      <c r="Z131" s="100"/>
      <c r="AA131" s="100"/>
      <c r="AB131" s="601"/>
      <c r="AC131" s="601"/>
      <c r="AD131" s="101"/>
      <c r="AE131" s="101"/>
      <c r="AF131" s="113"/>
      <c r="AG131" s="114"/>
      <c r="AH131" s="623"/>
    </row>
    <row r="132" spans="1:34" ht="19.149999999999999" customHeight="1">
      <c r="A132" s="619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0"/>
        <v>0</v>
      </c>
      <c r="I132" s="101"/>
      <c r="J132" s="138"/>
      <c r="K132" s="104"/>
      <c r="L132" s="137"/>
      <c r="M132" s="189"/>
      <c r="N132" s="104"/>
      <c r="O132" s="137"/>
      <c r="P132" s="100"/>
      <c r="Q132" s="139"/>
      <c r="R132" s="140"/>
      <c r="S132" s="621"/>
      <c r="T132" s="96"/>
      <c r="U132" s="96"/>
      <c r="V132" s="65"/>
      <c r="W132" s="322">
        <f t="shared" si="83"/>
        <v>0</v>
      </c>
      <c r="X132" s="112"/>
      <c r="Y132" s="112"/>
      <c r="Z132" s="100"/>
      <c r="AA132" s="100"/>
      <c r="AB132" s="601"/>
      <c r="AC132" s="601"/>
      <c r="AD132" s="101"/>
      <c r="AE132" s="101"/>
      <c r="AF132" s="113"/>
      <c r="AG132" s="114"/>
      <c r="AH132" s="623"/>
    </row>
    <row r="133" spans="1:34" ht="19.149999999999999" customHeight="1">
      <c r="A133" s="619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101"/>
      <c r="J133" s="138"/>
      <c r="K133" s="104"/>
      <c r="L133" s="137"/>
      <c r="M133" s="189"/>
      <c r="N133" s="104"/>
      <c r="O133" s="137"/>
      <c r="P133" s="100"/>
      <c r="Q133" s="139"/>
      <c r="R133" s="140"/>
      <c r="S133" s="621"/>
      <c r="T133" s="96"/>
      <c r="U133" s="96"/>
      <c r="V133" s="65"/>
      <c r="W133" s="322">
        <f t="shared" si="83"/>
        <v>0</v>
      </c>
      <c r="X133" s="112"/>
      <c r="Y133" s="112"/>
      <c r="Z133" s="100"/>
      <c r="AA133" s="100"/>
      <c r="AB133" s="601"/>
      <c r="AC133" s="601"/>
      <c r="AD133" s="101"/>
      <c r="AE133" s="101"/>
      <c r="AF133" s="113"/>
      <c r="AG133" s="114"/>
      <c r="AH133" s="623"/>
    </row>
    <row r="134" spans="1:34" ht="19.149999999999999" customHeight="1">
      <c r="A134" s="619"/>
      <c r="B134" s="240">
        <v>0</v>
      </c>
      <c r="C134" s="156" t="s">
        <v>287</v>
      </c>
      <c r="D134" s="602" t="s">
        <v>256</v>
      </c>
      <c r="E134" s="602"/>
      <c r="F134" s="258"/>
      <c r="G134" s="158"/>
      <c r="H134" s="159"/>
      <c r="I134" s="325"/>
      <c r="J134" s="326">
        <v>18.3</v>
      </c>
      <c r="K134" s="326">
        <v>1500.3</v>
      </c>
      <c r="L134" s="327">
        <v>82.46974574917688</v>
      </c>
      <c r="M134" s="326">
        <f t="shared" ref="M134:O134" si="84">AVERAGE(M122:M133)</f>
        <v>18.3</v>
      </c>
      <c r="N134" s="326">
        <f t="shared" si="84"/>
        <v>1228.4268445181483</v>
      </c>
      <c r="O134" s="327">
        <f t="shared" si="84"/>
        <v>67.279296577709104</v>
      </c>
      <c r="P134" s="97">
        <f t="shared" ref="P134:P141" si="85">M134-J134</f>
        <v>0</v>
      </c>
      <c r="Q134" s="205">
        <f t="shared" ref="Q134:Q141" si="86">O134-L134</f>
        <v>-15.190449171467776</v>
      </c>
      <c r="R134" s="328">
        <f t="shared" ref="R134:R141" si="87">O134/L134</f>
        <v>0.81580579601072201</v>
      </c>
      <c r="S134" s="620"/>
      <c r="T134" s="96"/>
      <c r="U134" s="96"/>
      <c r="V134" s="65"/>
      <c r="W134" s="65"/>
      <c r="X134" s="99"/>
      <c r="Y134" s="99"/>
      <c r="Z134" s="163">
        <f>SUM(Z122:Z133)</f>
        <v>0</v>
      </c>
      <c r="AA134" s="163">
        <f>SUM(AA122:AA133)</f>
        <v>0</v>
      </c>
      <c r="AB134" s="601"/>
      <c r="AC134" s="601"/>
      <c r="AD134" s="164">
        <f>SUM(AD122:AD133)</f>
        <v>0</v>
      </c>
      <c r="AE134" s="164">
        <f>SUM(AE122:AE133)</f>
        <v>0</v>
      </c>
      <c r="AF134" s="92">
        <f t="shared" si="59"/>
        <v>-271.87315548185165</v>
      </c>
      <c r="AG134" s="94">
        <f t="shared" si="60"/>
        <v>0.81878747218432868</v>
      </c>
      <c r="AH134" s="623"/>
    </row>
    <row r="135" spans="1:34" ht="19.149999999999999" customHeight="1">
      <c r="A135" s="612" t="s">
        <v>288</v>
      </c>
      <c r="B135" s="65" t="s">
        <v>390</v>
      </c>
      <c r="C135" s="101"/>
      <c r="D135" s="132" t="s">
        <v>196</v>
      </c>
      <c r="E135" s="133"/>
      <c r="F135" s="85">
        <v>50.67</v>
      </c>
      <c r="G135" s="104">
        <v>773</v>
      </c>
      <c r="H135" s="329">
        <f t="shared" ref="H135:H146" si="88">F135*G135</f>
        <v>39167.910000000003</v>
      </c>
      <c r="I135" s="101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89">G135/W135*60</f>
        <v>1253.5135135135126</v>
      </c>
      <c r="O135" s="174">
        <f t="shared" ref="O135:O141" si="90">N135/M135</f>
        <v>73.736089030206628</v>
      </c>
      <c r="P135" s="100">
        <f t="shared" si="85"/>
        <v>0</v>
      </c>
      <c r="Q135" s="139">
        <f t="shared" si="86"/>
        <v>-14.49920508744043</v>
      </c>
      <c r="R135" s="140">
        <f t="shared" si="87"/>
        <v>0.83567567567567513</v>
      </c>
      <c r="S135" s="616">
        <f>R147</f>
        <v>0.87745479646460656</v>
      </c>
      <c r="T135" s="330">
        <v>0.70833333333333337</v>
      </c>
      <c r="U135" s="96">
        <v>0.73402777777777783</v>
      </c>
      <c r="V135" s="208">
        <v>5</v>
      </c>
      <c r="W135" s="331">
        <f t="shared" ref="W135:W147" si="91">(U135-T135)*24*60</f>
        <v>37.000000000000028</v>
      </c>
      <c r="X135" s="230"/>
      <c r="Y135" s="230"/>
      <c r="Z135" s="100"/>
      <c r="AA135" s="100"/>
      <c r="AB135" s="601"/>
      <c r="AC135" s="601"/>
      <c r="AD135" s="101"/>
      <c r="AE135" s="101"/>
      <c r="AF135" s="175">
        <f t="shared" si="59"/>
        <v>-246.48648648648737</v>
      </c>
      <c r="AG135" s="180">
        <f t="shared" si="60"/>
        <v>0.83567567567567513</v>
      </c>
      <c r="AH135" s="605">
        <f>AG147</f>
        <v>0.89110612869877426</v>
      </c>
    </row>
    <row r="136" spans="1:34" ht="19.149999999999999" customHeight="1">
      <c r="A136" s="613"/>
      <c r="B136" s="65" t="s">
        <v>390</v>
      </c>
      <c r="C136" s="101"/>
      <c r="D136" s="132" t="s">
        <v>197</v>
      </c>
      <c r="E136" s="332"/>
      <c r="F136" s="85">
        <v>50.98</v>
      </c>
      <c r="G136" s="104">
        <v>1576</v>
      </c>
      <c r="H136" s="135">
        <f t="shared" si="88"/>
        <v>80344.479999999996</v>
      </c>
      <c r="I136" s="101"/>
      <c r="J136" s="89">
        <v>18</v>
      </c>
      <c r="K136" s="104">
        <v>1440</v>
      </c>
      <c r="L136" s="137">
        <v>80</v>
      </c>
      <c r="M136" s="189">
        <v>19</v>
      </c>
      <c r="N136" s="104">
        <f t="shared" si="89"/>
        <v>1350.8571428571415</v>
      </c>
      <c r="O136" s="137">
        <f t="shared" si="90"/>
        <v>71.097744360902183</v>
      </c>
      <c r="P136" s="100">
        <f t="shared" si="85"/>
        <v>1</v>
      </c>
      <c r="Q136" s="139">
        <f t="shared" si="86"/>
        <v>-8.9022556390978167</v>
      </c>
      <c r="R136" s="140">
        <f t="shared" si="87"/>
        <v>0.88872180451127725</v>
      </c>
      <c r="S136" s="616"/>
      <c r="T136" s="330">
        <v>0.73750000000000004</v>
      </c>
      <c r="U136" s="96">
        <v>0.7861111111111112</v>
      </c>
      <c r="V136" s="208">
        <v>5</v>
      </c>
      <c r="W136" s="88">
        <f t="shared" si="91"/>
        <v>70.000000000000071</v>
      </c>
      <c r="X136" s="99"/>
      <c r="Y136" s="99"/>
      <c r="Z136" s="100"/>
      <c r="AA136" s="100"/>
      <c r="AB136" s="601"/>
      <c r="AC136" s="601"/>
      <c r="AD136" s="101"/>
      <c r="AE136" s="101"/>
      <c r="AF136" s="92">
        <f t="shared" si="59"/>
        <v>-89.142857142858475</v>
      </c>
      <c r="AG136" s="186">
        <f t="shared" si="60"/>
        <v>0.9380952380952372</v>
      </c>
      <c r="AH136" s="605"/>
    </row>
    <row r="137" spans="1:34" ht="19.149999999999999" customHeight="1">
      <c r="A137" s="613"/>
      <c r="B137" s="65" t="s">
        <v>390</v>
      </c>
      <c r="C137" s="101"/>
      <c r="D137" s="132" t="s">
        <v>198</v>
      </c>
      <c r="E137" s="133"/>
      <c r="F137" s="85">
        <v>54.09</v>
      </c>
      <c r="G137" s="288">
        <v>824</v>
      </c>
      <c r="H137" s="135">
        <f t="shared" si="88"/>
        <v>44570.16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89"/>
        <v>1301.0526315789464</v>
      </c>
      <c r="O137" s="137">
        <f t="shared" si="90"/>
        <v>72.280701754385916</v>
      </c>
      <c r="P137" s="100">
        <f t="shared" si="85"/>
        <v>-1</v>
      </c>
      <c r="Q137" s="139">
        <f t="shared" si="86"/>
        <v>-6.666666666666714</v>
      </c>
      <c r="R137" s="140">
        <f t="shared" si="87"/>
        <v>0.9155555555555549</v>
      </c>
      <c r="S137" s="616"/>
      <c r="T137" s="96">
        <v>0.79166666666666674</v>
      </c>
      <c r="U137" s="96">
        <v>0.81805555555555565</v>
      </c>
      <c r="V137" s="333">
        <v>8</v>
      </c>
      <c r="W137" s="88">
        <f t="shared" si="91"/>
        <v>38.000000000000028</v>
      </c>
      <c r="X137" s="99"/>
      <c r="Y137" s="99"/>
      <c r="Z137" s="100"/>
      <c r="AA137" s="100"/>
      <c r="AB137" s="601"/>
      <c r="AC137" s="601"/>
      <c r="AD137" s="101"/>
      <c r="AE137" s="101"/>
      <c r="AF137" s="92">
        <f t="shared" si="59"/>
        <v>-198.94736842105362</v>
      </c>
      <c r="AG137" s="186">
        <f t="shared" si="60"/>
        <v>0.8673684210526309</v>
      </c>
      <c r="AH137" s="605"/>
    </row>
    <row r="138" spans="1:34" ht="19.149999999999999" customHeight="1">
      <c r="A138" s="613"/>
      <c r="B138" s="65" t="s">
        <v>390</v>
      </c>
      <c r="C138" s="303"/>
      <c r="D138" s="132" t="s">
        <v>199</v>
      </c>
      <c r="E138" s="133"/>
      <c r="F138" s="85">
        <v>50.92</v>
      </c>
      <c r="G138" s="104">
        <v>1876</v>
      </c>
      <c r="H138" s="135">
        <f t="shared" si="88"/>
        <v>95525.92</v>
      </c>
      <c r="I138" s="101"/>
      <c r="J138" s="138">
        <v>17</v>
      </c>
      <c r="K138" s="104">
        <v>1440</v>
      </c>
      <c r="L138" s="137">
        <v>84.705882352941174</v>
      </c>
      <c r="M138" s="310">
        <v>17</v>
      </c>
      <c r="N138" s="104">
        <f t="shared" si="89"/>
        <v>1356.1445783132526</v>
      </c>
      <c r="O138" s="137">
        <f t="shared" si="90"/>
        <v>79.773210489014858</v>
      </c>
      <c r="P138" s="100">
        <f t="shared" si="85"/>
        <v>0</v>
      </c>
      <c r="Q138" s="139">
        <f t="shared" si="86"/>
        <v>-4.9326718639263163</v>
      </c>
      <c r="R138" s="257">
        <f t="shared" si="87"/>
        <v>0.94176706827309209</v>
      </c>
      <c r="S138" s="616"/>
      <c r="T138" s="96">
        <v>0.83333333333333337</v>
      </c>
      <c r="U138" s="96">
        <v>0.89097222222222228</v>
      </c>
      <c r="V138" s="333">
        <v>22</v>
      </c>
      <c r="W138" s="88">
        <f t="shared" si="91"/>
        <v>83.000000000000028</v>
      </c>
      <c r="X138" s="99">
        <v>0.82152777777777775</v>
      </c>
      <c r="Y138" s="99">
        <v>0.8305555555555556</v>
      </c>
      <c r="Z138" s="100"/>
      <c r="AA138" s="100"/>
      <c r="AB138" s="601"/>
      <c r="AC138" s="601"/>
      <c r="AD138" s="101"/>
      <c r="AE138" s="101"/>
      <c r="AF138" s="92">
        <f t="shared" si="59"/>
        <v>-83.855421686747377</v>
      </c>
      <c r="AG138" s="186">
        <f t="shared" si="60"/>
        <v>0.94176706827309209</v>
      </c>
      <c r="AH138" s="605"/>
    </row>
    <row r="139" spans="1:34" ht="19.149999999999999" customHeight="1">
      <c r="A139" s="613"/>
      <c r="B139" s="65" t="s">
        <v>390</v>
      </c>
      <c r="C139" s="147"/>
      <c r="D139" s="83" t="s">
        <v>200</v>
      </c>
      <c r="E139" s="84"/>
      <c r="F139" s="85">
        <v>50.29</v>
      </c>
      <c r="G139" s="104">
        <v>654</v>
      </c>
      <c r="H139" s="135">
        <f t="shared" si="88"/>
        <v>32889.659999999996</v>
      </c>
      <c r="I139" s="101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89"/>
        <v>1226.2499999999982</v>
      </c>
      <c r="O139" s="137">
        <f t="shared" si="90"/>
        <v>68.124999999999901</v>
      </c>
      <c r="P139" s="100">
        <f t="shared" si="85"/>
        <v>0</v>
      </c>
      <c r="Q139" s="139">
        <f t="shared" si="86"/>
        <v>-11.875000000000099</v>
      </c>
      <c r="R139" s="140">
        <f t="shared" si="87"/>
        <v>0.85156249999999878</v>
      </c>
      <c r="S139" s="616"/>
      <c r="T139" s="96">
        <v>0.89583333333333337</v>
      </c>
      <c r="U139" s="96">
        <v>0.91805555555555562</v>
      </c>
      <c r="V139" s="334">
        <v>7</v>
      </c>
      <c r="W139" s="88">
        <f t="shared" si="91"/>
        <v>32.000000000000043</v>
      </c>
      <c r="X139" s="99"/>
      <c r="Y139" s="99"/>
      <c r="Z139" s="100"/>
      <c r="AA139" s="100"/>
      <c r="AB139" s="601"/>
      <c r="AC139" s="601"/>
      <c r="AD139" s="101"/>
      <c r="AE139" s="101"/>
      <c r="AF139" s="92">
        <f t="shared" si="59"/>
        <v>-213.75000000000182</v>
      </c>
      <c r="AG139" s="186">
        <f t="shared" si="60"/>
        <v>0.85156249999999878</v>
      </c>
      <c r="AH139" s="605"/>
    </row>
    <row r="140" spans="1:34" ht="19.149999999999999" customHeight="1">
      <c r="A140" s="614"/>
      <c r="B140" s="65" t="s">
        <v>390</v>
      </c>
      <c r="C140" s="147"/>
      <c r="D140" s="335" t="s">
        <v>201</v>
      </c>
      <c r="E140" s="133"/>
      <c r="F140" s="85">
        <v>50.67</v>
      </c>
      <c r="G140" s="104">
        <v>965</v>
      </c>
      <c r="H140" s="135">
        <f t="shared" si="88"/>
        <v>48896.55</v>
      </c>
      <c r="I140" s="101"/>
      <c r="J140" s="89">
        <v>17</v>
      </c>
      <c r="K140" s="104">
        <v>1440</v>
      </c>
      <c r="L140" s="137">
        <v>84.705882352941174</v>
      </c>
      <c r="M140" s="310">
        <v>19</v>
      </c>
      <c r="N140" s="104">
        <f t="shared" si="89"/>
        <v>1315.909090909091</v>
      </c>
      <c r="O140" s="137">
        <f t="shared" si="90"/>
        <v>69.258373205741634</v>
      </c>
      <c r="P140" s="100">
        <f t="shared" si="85"/>
        <v>2</v>
      </c>
      <c r="Q140" s="139">
        <f t="shared" si="86"/>
        <v>-15.44750914719954</v>
      </c>
      <c r="R140" s="140">
        <f t="shared" si="87"/>
        <v>0.81763357256778324</v>
      </c>
      <c r="S140" s="617"/>
      <c r="T140" s="111">
        <v>0.92222222222222228</v>
      </c>
      <c r="U140" s="336">
        <v>0.95277777777777783</v>
      </c>
      <c r="V140" s="337">
        <v>6</v>
      </c>
      <c r="W140" s="88">
        <f t="shared" si="91"/>
        <v>44</v>
      </c>
      <c r="X140" s="99"/>
      <c r="Y140" s="99"/>
      <c r="Z140" s="100"/>
      <c r="AA140" s="100"/>
      <c r="AB140" s="601"/>
      <c r="AC140" s="601"/>
      <c r="AD140" s="101"/>
      <c r="AE140" s="101"/>
      <c r="AF140" s="92">
        <f t="shared" si="59"/>
        <v>-124.09090909090901</v>
      </c>
      <c r="AG140" s="186">
        <f t="shared" si="60"/>
        <v>0.91382575757575768</v>
      </c>
      <c r="AH140" s="605"/>
    </row>
    <row r="141" spans="1:34" ht="19.149999999999999" customHeight="1">
      <c r="A141" s="614"/>
      <c r="B141" s="65" t="s">
        <v>390</v>
      </c>
      <c r="C141" s="147"/>
      <c r="D141" s="83" t="s">
        <v>202</v>
      </c>
      <c r="E141" s="338"/>
      <c r="F141" s="85">
        <v>50.49</v>
      </c>
      <c r="G141" s="104">
        <v>1157</v>
      </c>
      <c r="H141" s="135">
        <f t="shared" si="88"/>
        <v>58416.93</v>
      </c>
      <c r="I141" s="101"/>
      <c r="J141" s="89">
        <v>15</v>
      </c>
      <c r="K141" s="86">
        <v>1440</v>
      </c>
      <c r="L141" s="90">
        <v>96</v>
      </c>
      <c r="M141" s="310">
        <v>15</v>
      </c>
      <c r="N141" s="104">
        <f t="shared" si="89"/>
        <v>1285.5555555555563</v>
      </c>
      <c r="O141" s="137">
        <f t="shared" si="90"/>
        <v>85.703703703703752</v>
      </c>
      <c r="P141" s="100">
        <f t="shared" si="85"/>
        <v>0</v>
      </c>
      <c r="Q141" s="139">
        <f t="shared" si="86"/>
        <v>-10.296296296296248</v>
      </c>
      <c r="R141" s="257">
        <f t="shared" si="87"/>
        <v>0.89274691358024738</v>
      </c>
      <c r="S141" s="617"/>
      <c r="T141" s="111">
        <v>0.95833333333333337</v>
      </c>
      <c r="U141" s="336">
        <v>0.99583333333333335</v>
      </c>
      <c r="V141" s="102">
        <v>8</v>
      </c>
      <c r="W141" s="88">
        <f t="shared" si="91"/>
        <v>53.999999999999972</v>
      </c>
      <c r="X141" s="99"/>
      <c r="Y141" s="99"/>
      <c r="Z141" s="100"/>
      <c r="AA141" s="100"/>
      <c r="AB141" s="601"/>
      <c r="AC141" s="601"/>
      <c r="AD141" s="101"/>
      <c r="AE141" s="101"/>
      <c r="AF141" s="92">
        <f t="shared" si="59"/>
        <v>-154.44444444444366</v>
      </c>
      <c r="AG141" s="186">
        <f t="shared" si="60"/>
        <v>0.89274691358024749</v>
      </c>
      <c r="AH141" s="605"/>
    </row>
    <row r="142" spans="1:34" ht="19.149999999999999" customHeight="1">
      <c r="A142" s="614"/>
      <c r="B142" s="65">
        <v>0</v>
      </c>
      <c r="C142" s="147"/>
      <c r="D142" s="83"/>
      <c r="E142" s="338"/>
      <c r="F142" s="85" t="s">
        <v>391</v>
      </c>
      <c r="G142" s="104"/>
      <c r="H142" s="135">
        <f t="shared" si="88"/>
        <v>0</v>
      </c>
      <c r="I142" s="101"/>
      <c r="J142" s="138"/>
      <c r="K142" s="104"/>
      <c r="L142" s="137"/>
      <c r="M142" s="310"/>
      <c r="N142" s="104"/>
      <c r="O142" s="137"/>
      <c r="P142" s="100"/>
      <c r="Q142" s="139"/>
      <c r="R142" s="140"/>
      <c r="S142" s="617"/>
      <c r="T142" s="111"/>
      <c r="U142" s="336"/>
      <c r="V142" s="102"/>
      <c r="W142" s="88"/>
      <c r="X142" s="99"/>
      <c r="Y142" s="99"/>
      <c r="Z142" s="100"/>
      <c r="AA142" s="100"/>
      <c r="AB142" s="601"/>
      <c r="AC142" s="601"/>
      <c r="AD142" s="101"/>
      <c r="AE142" s="101"/>
      <c r="AF142" s="92">
        <f t="shared" si="59"/>
        <v>0</v>
      </c>
      <c r="AG142" s="186" t="e">
        <f t="shared" si="60"/>
        <v>#DIV/0!</v>
      </c>
      <c r="AH142" s="605"/>
    </row>
    <row r="143" spans="1:34" ht="19.149999999999999" customHeight="1">
      <c r="A143" s="614"/>
      <c r="B143" s="65">
        <v>0</v>
      </c>
      <c r="C143" s="339"/>
      <c r="D143" s="132"/>
      <c r="E143" s="133"/>
      <c r="F143" s="85" t="s">
        <v>391</v>
      </c>
      <c r="G143" s="104"/>
      <c r="H143" s="135">
        <f t="shared" si="88"/>
        <v>0</v>
      </c>
      <c r="I143" s="101"/>
      <c r="J143" s="89"/>
      <c r="K143" s="86"/>
      <c r="L143" s="90"/>
      <c r="M143" s="310"/>
      <c r="N143" s="104"/>
      <c r="O143" s="137"/>
      <c r="P143" s="100"/>
      <c r="Q143" s="139"/>
      <c r="R143" s="140"/>
      <c r="S143" s="617"/>
      <c r="T143" s="111"/>
      <c r="U143" s="336"/>
      <c r="V143" s="102"/>
      <c r="W143" s="88"/>
      <c r="X143" s="99"/>
      <c r="Y143" s="99"/>
      <c r="Z143" s="100"/>
      <c r="AA143" s="100"/>
      <c r="AB143" s="601"/>
      <c r="AC143" s="601"/>
      <c r="AD143" s="101"/>
      <c r="AE143" s="101"/>
      <c r="AF143" s="92">
        <f t="shared" si="59"/>
        <v>0</v>
      </c>
      <c r="AG143" s="186" t="e">
        <f t="shared" si="60"/>
        <v>#DIV/0!</v>
      </c>
      <c r="AH143" s="605"/>
    </row>
    <row r="144" spans="1:34" ht="19.149999999999999" customHeight="1">
      <c r="A144" s="614"/>
      <c r="B144" s="65">
        <v>0</v>
      </c>
      <c r="C144" s="147"/>
      <c r="D144" s="83"/>
      <c r="E144" s="338"/>
      <c r="F144" s="85" t="s">
        <v>391</v>
      </c>
      <c r="G144" s="104"/>
      <c r="H144" s="135">
        <f t="shared" si="88"/>
        <v>0</v>
      </c>
      <c r="I144" s="101"/>
      <c r="J144" s="89"/>
      <c r="K144" s="104"/>
      <c r="L144" s="137"/>
      <c r="M144" s="189"/>
      <c r="N144" s="104"/>
      <c r="O144" s="137"/>
      <c r="P144" s="100"/>
      <c r="Q144" s="139"/>
      <c r="R144" s="257"/>
      <c r="S144" s="617"/>
      <c r="T144" s="111"/>
      <c r="U144" s="336"/>
      <c r="V144" s="102"/>
      <c r="W144" s="88"/>
      <c r="X144" s="99"/>
      <c r="Y144" s="99"/>
      <c r="Z144" s="100"/>
      <c r="AA144" s="100"/>
      <c r="AB144" s="601"/>
      <c r="AC144" s="601"/>
      <c r="AD144" s="101"/>
      <c r="AE144" s="101"/>
      <c r="AF144" s="92">
        <f t="shared" si="59"/>
        <v>0</v>
      </c>
      <c r="AG144" s="186" t="e">
        <f t="shared" si="60"/>
        <v>#DIV/0!</v>
      </c>
      <c r="AH144" s="605"/>
    </row>
    <row r="145" spans="1:34" ht="19.149999999999999" customHeight="1">
      <c r="A145" s="614"/>
      <c r="B145" s="65">
        <v>0</v>
      </c>
      <c r="C145" s="147"/>
      <c r="D145" s="83"/>
      <c r="E145" s="338"/>
      <c r="F145" s="85" t="s">
        <v>391</v>
      </c>
      <c r="G145" s="104"/>
      <c r="H145" s="135">
        <f t="shared" si="88"/>
        <v>0</v>
      </c>
      <c r="I145" s="101"/>
      <c r="J145" s="138"/>
      <c r="K145" s="104"/>
      <c r="L145" s="137"/>
      <c r="M145" s="189"/>
      <c r="N145" s="104"/>
      <c r="O145" s="137"/>
      <c r="P145" s="100"/>
      <c r="Q145" s="139"/>
      <c r="R145" s="140"/>
      <c r="S145" s="617"/>
      <c r="T145" s="111"/>
      <c r="U145" s="336"/>
      <c r="V145" s="102"/>
      <c r="W145" s="88">
        <f t="shared" si="91"/>
        <v>0</v>
      </c>
      <c r="X145" s="99"/>
      <c r="Y145" s="99"/>
      <c r="Z145" s="100"/>
      <c r="AA145" s="100"/>
      <c r="AB145" s="601"/>
      <c r="AC145" s="601"/>
      <c r="AD145" s="101"/>
      <c r="AE145" s="101"/>
      <c r="AF145" s="92">
        <f t="shared" si="59"/>
        <v>0</v>
      </c>
      <c r="AG145" s="186" t="e">
        <f t="shared" si="60"/>
        <v>#DIV/0!</v>
      </c>
      <c r="AH145" s="605"/>
    </row>
    <row r="146" spans="1:34" ht="19.149999999999999" customHeight="1">
      <c r="A146" s="614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88"/>
        <v>0</v>
      </c>
      <c r="I146" s="101"/>
      <c r="J146" s="138"/>
      <c r="K146" s="104"/>
      <c r="L146" s="137"/>
      <c r="M146" s="189"/>
      <c r="N146" s="104"/>
      <c r="O146" s="137"/>
      <c r="P146" s="100"/>
      <c r="Q146" s="139"/>
      <c r="R146" s="140"/>
      <c r="S146" s="617"/>
      <c r="T146" s="111"/>
      <c r="U146" s="336"/>
      <c r="V146" s="102"/>
      <c r="W146" s="88">
        <f t="shared" si="91"/>
        <v>0</v>
      </c>
      <c r="X146" s="99"/>
      <c r="Y146" s="99"/>
      <c r="Z146" s="100"/>
      <c r="AA146" s="100"/>
      <c r="AB146" s="601"/>
      <c r="AC146" s="601"/>
      <c r="AD146" s="101"/>
      <c r="AE146" s="101"/>
      <c r="AF146" s="100"/>
      <c r="AG146" s="140"/>
      <c r="AH146" s="605"/>
    </row>
    <row r="147" spans="1:34" ht="19.149999999999999" customHeight="1">
      <c r="A147" s="615"/>
      <c r="B147" s="341">
        <v>0</v>
      </c>
      <c r="C147" s="156" t="s">
        <v>278</v>
      </c>
      <c r="D147" s="602" t="s">
        <v>256</v>
      </c>
      <c r="E147" s="602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2">AVERAGE(M135:M146)</f>
        <v>17.571428571428573</v>
      </c>
      <c r="N147" s="326">
        <f t="shared" si="92"/>
        <v>1298.4689303896425</v>
      </c>
      <c r="O147" s="327">
        <f t="shared" si="92"/>
        <v>74.282117506279263</v>
      </c>
      <c r="P147" s="97">
        <f t="shared" ref="P147:P152" si="93">M147-J147</f>
        <v>0.28571428571428825</v>
      </c>
      <c r="Q147" s="205">
        <f t="shared" ref="Q147:Q152" si="94">O147-L147</f>
        <v>-10.37422924294674</v>
      </c>
      <c r="R147" s="343">
        <f t="shared" ref="R147:R152" si="95">O147/L147</f>
        <v>0.87745479646460656</v>
      </c>
      <c r="S147" s="618"/>
      <c r="T147" s="111"/>
      <c r="U147" s="111"/>
      <c r="V147" s="102"/>
      <c r="W147" s="88">
        <f t="shared" si="91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01"/>
      <c r="AC147" s="601"/>
      <c r="AD147" s="164">
        <f>SUM(AD135:AD146)</f>
        <v>0</v>
      </c>
      <c r="AE147" s="164">
        <f>SUM(AE135:AE146)</f>
        <v>0</v>
      </c>
      <c r="AF147" s="282">
        <f t="shared" si="59"/>
        <v>-158.67392675321457</v>
      </c>
      <c r="AG147" s="344">
        <f t="shared" si="60"/>
        <v>0.89110612869877426</v>
      </c>
      <c r="AH147" s="605"/>
    </row>
    <row r="148" spans="1:34" ht="19.149999999999999" customHeight="1">
      <c r="A148" s="608" t="s">
        <v>279</v>
      </c>
      <c r="B148" s="101" t="s">
        <v>390</v>
      </c>
      <c r="C148" s="182"/>
      <c r="D148" s="246" t="s">
        <v>204</v>
      </c>
      <c r="E148" s="84"/>
      <c r="F148" s="199">
        <v>57.3</v>
      </c>
      <c r="G148" s="104">
        <v>1096</v>
      </c>
      <c r="H148" s="135">
        <f t="shared" ref="H148:H172" si="96">F148*G148</f>
        <v>62800.799999999996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1289.4117647058829</v>
      </c>
      <c r="O148" s="90">
        <f>N148/M148</f>
        <v>71.633986928104605</v>
      </c>
      <c r="P148" s="92">
        <f t="shared" si="93"/>
        <v>-1</v>
      </c>
      <c r="Q148" s="93">
        <f t="shared" si="94"/>
        <v>-4.1554867561059154</v>
      </c>
      <c r="R148" s="94">
        <f t="shared" si="95"/>
        <v>0.9451706608569358</v>
      </c>
      <c r="S148" s="609">
        <f>R160</f>
        <v>0.89743930956623263</v>
      </c>
      <c r="T148" s="330">
        <v>0.70833333333333337</v>
      </c>
      <c r="U148" s="96">
        <v>0.74375000000000002</v>
      </c>
      <c r="V148" s="65">
        <v>5</v>
      </c>
      <c r="W148" s="88">
        <f>(U148-T148)*24*60</f>
        <v>50.999999999999979</v>
      </c>
      <c r="X148" s="99"/>
      <c r="Y148" s="99"/>
      <c r="Z148" s="100"/>
      <c r="AA148" s="100"/>
      <c r="AB148" s="601"/>
      <c r="AC148" s="601"/>
      <c r="AD148" s="101"/>
      <c r="AE148" s="101"/>
      <c r="AF148" s="92">
        <f t="shared" si="59"/>
        <v>-150.58823529411711</v>
      </c>
      <c r="AG148" s="186">
        <f t="shared" si="60"/>
        <v>0.89542483660130756</v>
      </c>
      <c r="AH148" s="605">
        <f>AG160</f>
        <v>0.87891825529237355</v>
      </c>
    </row>
    <row r="149" spans="1:34" ht="19.149999999999999" customHeight="1">
      <c r="A149" s="608"/>
      <c r="B149" s="101" t="s">
        <v>390</v>
      </c>
      <c r="C149" s="301"/>
      <c r="D149" s="335" t="s">
        <v>205</v>
      </c>
      <c r="E149" s="107"/>
      <c r="F149" s="199">
        <v>50.67</v>
      </c>
      <c r="G149" s="104">
        <v>692</v>
      </c>
      <c r="H149" s="135">
        <f t="shared" si="96"/>
        <v>35063.64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1297.4999999999982</v>
      </c>
      <c r="O149" s="90">
        <f>N149/M149</f>
        <v>76.323529411764596</v>
      </c>
      <c r="P149" s="92">
        <f t="shared" si="93"/>
        <v>1</v>
      </c>
      <c r="Q149" s="93">
        <f t="shared" si="94"/>
        <v>-13.676470588235404</v>
      </c>
      <c r="R149" s="94">
        <f t="shared" si="95"/>
        <v>0.84803921568627327</v>
      </c>
      <c r="S149" s="610"/>
      <c r="T149" s="330">
        <v>0.74861111111111112</v>
      </c>
      <c r="U149" s="96">
        <v>0.77083333333333337</v>
      </c>
      <c r="V149" s="65">
        <v>7</v>
      </c>
      <c r="W149" s="88">
        <f t="shared" ref="W149:W159" si="97">(U149-T149)*24*60</f>
        <v>32.000000000000043</v>
      </c>
      <c r="X149" s="99"/>
      <c r="Y149" s="99"/>
      <c r="Z149" s="100"/>
      <c r="AA149" s="100"/>
      <c r="AB149" s="601"/>
      <c r="AC149" s="601"/>
      <c r="AD149" s="101"/>
      <c r="AE149" s="101">
        <v>1</v>
      </c>
      <c r="AF149" s="92">
        <f t="shared" si="59"/>
        <v>-142.50000000000182</v>
      </c>
      <c r="AG149" s="186">
        <f t="shared" si="60"/>
        <v>0.90104166666666541</v>
      </c>
      <c r="AH149" s="611"/>
    </row>
    <row r="150" spans="1:34" ht="19.149999999999999" customHeight="1">
      <c r="A150" s="608"/>
      <c r="B150" s="101" t="s">
        <v>386</v>
      </c>
      <c r="C150" s="301"/>
      <c r="D150" s="249" t="s">
        <v>186</v>
      </c>
      <c r="E150" s="107"/>
      <c r="F150" s="199">
        <v>59.52</v>
      </c>
      <c r="G150" s="104">
        <v>515.5</v>
      </c>
      <c r="H150" s="135">
        <f t="shared" si="96"/>
        <v>30682.560000000001</v>
      </c>
      <c r="I150" s="345">
        <v>2</v>
      </c>
      <c r="J150" s="138">
        <v>21</v>
      </c>
      <c r="K150" s="104">
        <v>1385</v>
      </c>
      <c r="L150" s="137">
        <v>65.952380952380949</v>
      </c>
      <c r="M150" s="310">
        <v>20</v>
      </c>
      <c r="N150" s="86">
        <f>G150/W150*60</f>
        <v>1189.6153846153816</v>
      </c>
      <c r="O150" s="90">
        <f>N150/M150</f>
        <v>59.480769230769077</v>
      </c>
      <c r="P150" s="92">
        <f t="shared" si="93"/>
        <v>-1</v>
      </c>
      <c r="Q150" s="93">
        <f t="shared" si="94"/>
        <v>-6.4716117216118718</v>
      </c>
      <c r="R150" s="94">
        <f t="shared" si="95"/>
        <v>0.90187447931130016</v>
      </c>
      <c r="S150" s="610"/>
      <c r="T150" s="330">
        <v>0.77500000000000002</v>
      </c>
      <c r="U150" s="96">
        <v>0.79305555555555562</v>
      </c>
      <c r="V150" s="65">
        <v>6</v>
      </c>
      <c r="W150" s="88">
        <f t="shared" si="97"/>
        <v>26.000000000000068</v>
      </c>
      <c r="X150" s="295"/>
      <c r="Y150" s="295"/>
      <c r="Z150" s="296"/>
      <c r="AA150" s="296"/>
      <c r="AB150" s="601"/>
      <c r="AC150" s="601"/>
      <c r="AD150" s="101"/>
      <c r="AE150" s="101"/>
      <c r="AF150" s="92">
        <f t="shared" si="59"/>
        <v>-195.38461538461843</v>
      </c>
      <c r="AG150" s="186">
        <f t="shared" si="60"/>
        <v>0.85892807553457151</v>
      </c>
      <c r="AH150" s="611"/>
    </row>
    <row r="151" spans="1:34" s="298" customFormat="1" ht="19.149999999999999" customHeight="1">
      <c r="A151" s="608"/>
      <c r="B151" s="101" t="s">
        <v>390</v>
      </c>
      <c r="C151" s="301"/>
      <c r="D151" s="106" t="s">
        <v>175</v>
      </c>
      <c r="E151" s="107"/>
      <c r="F151" s="199">
        <v>57.734999999999999</v>
      </c>
      <c r="G151" s="104">
        <v>454</v>
      </c>
      <c r="H151" s="135">
        <f t="shared" si="96"/>
        <v>26211.69</v>
      </c>
      <c r="I151" s="345">
        <v>2</v>
      </c>
      <c r="J151" s="138">
        <v>16</v>
      </c>
      <c r="K151" s="104">
        <v>1565</v>
      </c>
      <c r="L151" s="137">
        <v>97.8125</v>
      </c>
      <c r="M151" s="310">
        <v>15</v>
      </c>
      <c r="N151" s="86">
        <f>G151/W151*60</f>
        <v>1362.0000000000048</v>
      </c>
      <c r="O151" s="90">
        <f>N151/M151</f>
        <v>90.800000000000324</v>
      </c>
      <c r="P151" s="92">
        <f t="shared" si="93"/>
        <v>-1</v>
      </c>
      <c r="Q151" s="93">
        <f t="shared" si="94"/>
        <v>-7.012499999999676</v>
      </c>
      <c r="R151" s="94">
        <f t="shared" si="95"/>
        <v>0.928306709265179</v>
      </c>
      <c r="S151" s="610"/>
      <c r="T151" s="330">
        <v>0.79652777777777783</v>
      </c>
      <c r="U151" s="96">
        <v>0.81041666666666667</v>
      </c>
      <c r="V151" s="65">
        <v>5</v>
      </c>
      <c r="W151" s="88">
        <f t="shared" si="97"/>
        <v>19.999999999999929</v>
      </c>
      <c r="X151" s="295"/>
      <c r="Y151" s="295"/>
      <c r="Z151" s="296"/>
      <c r="AA151" s="296"/>
      <c r="AB151" s="601"/>
      <c r="AC151" s="601"/>
      <c r="AD151" s="301"/>
      <c r="AE151" s="301"/>
      <c r="AF151" s="92">
        <f t="shared" si="59"/>
        <v>-202.99999999999523</v>
      </c>
      <c r="AG151" s="186">
        <f t="shared" si="60"/>
        <v>0.8702875399361053</v>
      </c>
      <c r="AH151" s="611"/>
    </row>
    <row r="152" spans="1:34" s="298" customFormat="1" ht="19.149999999999999" customHeight="1">
      <c r="A152" s="608"/>
      <c r="B152" s="101" t="s">
        <v>390</v>
      </c>
      <c r="C152" s="301"/>
      <c r="D152" s="335" t="s">
        <v>206</v>
      </c>
      <c r="E152" s="107"/>
      <c r="F152" s="199">
        <v>57.3</v>
      </c>
      <c r="G152" s="104">
        <v>1543</v>
      </c>
      <c r="H152" s="135">
        <f t="shared" si="96"/>
        <v>88413.9</v>
      </c>
      <c r="I152" s="345"/>
      <c r="J152" s="138">
        <v>17</v>
      </c>
      <c r="K152" s="104">
        <v>1500</v>
      </c>
      <c r="L152" s="137">
        <v>88.235294117647058</v>
      </c>
      <c r="M152" s="310">
        <v>17</v>
      </c>
      <c r="N152" s="86">
        <f>G152/W152*60</f>
        <v>1303.9436619718297</v>
      </c>
      <c r="O152" s="90">
        <f>N152/M152</f>
        <v>76.7025683512841</v>
      </c>
      <c r="P152" s="92">
        <f t="shared" si="93"/>
        <v>0</v>
      </c>
      <c r="Q152" s="93">
        <f t="shared" si="94"/>
        <v>-11.532725766362958</v>
      </c>
      <c r="R152" s="94">
        <f t="shared" si="95"/>
        <v>0.86929577464788643</v>
      </c>
      <c r="S152" s="610"/>
      <c r="T152" s="346">
        <v>0.82638888888888884</v>
      </c>
      <c r="U152" s="111">
        <v>0.87569444444444444</v>
      </c>
      <c r="V152" s="109">
        <v>23</v>
      </c>
      <c r="W152" s="88">
        <f t="shared" si="97"/>
        <v>71.000000000000071</v>
      </c>
      <c r="X152" s="299">
        <v>0.81388888888888899</v>
      </c>
      <c r="Y152" s="299">
        <v>0.82361111111111107</v>
      </c>
      <c r="Z152" s="296"/>
      <c r="AA152" s="296"/>
      <c r="AB152" s="601"/>
      <c r="AC152" s="601"/>
      <c r="AD152" s="301"/>
      <c r="AE152" s="301"/>
      <c r="AF152" s="92">
        <f t="shared" si="59"/>
        <v>-196.05633802817033</v>
      </c>
      <c r="AG152" s="186">
        <f t="shared" si="60"/>
        <v>0.86929577464788643</v>
      </c>
      <c r="AH152" s="611"/>
    </row>
    <row r="153" spans="1:34" s="298" customFormat="1" ht="19.149999999999999" customHeight="1">
      <c r="A153" s="608"/>
      <c r="B153" s="101">
        <v>0</v>
      </c>
      <c r="C153" s="301"/>
      <c r="D153" s="335"/>
      <c r="E153" s="107"/>
      <c r="F153" s="199" t="s">
        <v>391</v>
      </c>
      <c r="G153" s="104"/>
      <c r="H153" s="135">
        <f t="shared" si="96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4"/>
      <c r="S153" s="610"/>
      <c r="T153" s="346"/>
      <c r="U153" s="111"/>
      <c r="V153" s="109"/>
      <c r="W153" s="88">
        <f t="shared" si="97"/>
        <v>0</v>
      </c>
      <c r="X153" s="299"/>
      <c r="Y153" s="299"/>
      <c r="Z153" s="296"/>
      <c r="AA153" s="296"/>
      <c r="AB153" s="601"/>
      <c r="AC153" s="601"/>
      <c r="AD153" s="301"/>
      <c r="AE153" s="301"/>
      <c r="AF153" s="92">
        <f t="shared" si="59"/>
        <v>0</v>
      </c>
      <c r="AG153" s="186" t="e">
        <f t="shared" si="60"/>
        <v>#DIV/0!</v>
      </c>
      <c r="AH153" s="611"/>
    </row>
    <row r="154" spans="1:34" s="298" customFormat="1" ht="19.149999999999999" customHeight="1">
      <c r="A154" s="608"/>
      <c r="B154" s="101">
        <v>0</v>
      </c>
      <c r="C154" s="301"/>
      <c r="D154" s="335"/>
      <c r="E154" s="107"/>
      <c r="F154" s="199" t="s">
        <v>391</v>
      </c>
      <c r="G154" s="104"/>
      <c r="H154" s="135">
        <f t="shared" si="96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10"/>
      <c r="T154" s="346"/>
      <c r="U154" s="111"/>
      <c r="V154" s="109"/>
      <c r="W154" s="88">
        <f t="shared" si="97"/>
        <v>0</v>
      </c>
      <c r="X154" s="299"/>
      <c r="Y154" s="299"/>
      <c r="Z154" s="296"/>
      <c r="AA154" s="296"/>
      <c r="AB154" s="601"/>
      <c r="AC154" s="601"/>
      <c r="AD154" s="301"/>
      <c r="AE154" s="301"/>
      <c r="AF154" s="92">
        <f t="shared" si="59"/>
        <v>0</v>
      </c>
      <c r="AG154" s="186" t="e">
        <f t="shared" si="60"/>
        <v>#DIV/0!</v>
      </c>
      <c r="AH154" s="611"/>
    </row>
    <row r="155" spans="1:34" s="298" customFormat="1" ht="19.149999999999999" customHeight="1">
      <c r="A155" s="608"/>
      <c r="B155" s="101">
        <v>0</v>
      </c>
      <c r="C155" s="301"/>
      <c r="D155" s="335"/>
      <c r="E155" s="107"/>
      <c r="F155" s="199" t="s">
        <v>391</v>
      </c>
      <c r="G155" s="104"/>
      <c r="H155" s="135">
        <f t="shared" si="96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10"/>
      <c r="T155" s="346"/>
      <c r="U155" s="111"/>
      <c r="V155" s="109"/>
      <c r="W155" s="88">
        <f t="shared" si="97"/>
        <v>0</v>
      </c>
      <c r="X155" s="299"/>
      <c r="Y155" s="299"/>
      <c r="Z155" s="296"/>
      <c r="AA155" s="296"/>
      <c r="AB155" s="601"/>
      <c r="AC155" s="601"/>
      <c r="AD155" s="301"/>
      <c r="AE155" s="301"/>
      <c r="AF155" s="349"/>
      <c r="AG155" s="191"/>
      <c r="AH155" s="611"/>
    </row>
    <row r="156" spans="1:34" s="298" customFormat="1" ht="19.149999999999999" customHeight="1">
      <c r="A156" s="608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6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10"/>
      <c r="T156" s="346"/>
      <c r="U156" s="111"/>
      <c r="V156" s="109"/>
      <c r="W156" s="350">
        <f t="shared" si="97"/>
        <v>0</v>
      </c>
      <c r="X156" s="299"/>
      <c r="Y156" s="299"/>
      <c r="Z156" s="296"/>
      <c r="AA156" s="296"/>
      <c r="AB156" s="601"/>
      <c r="AC156" s="601"/>
      <c r="AD156" s="301"/>
      <c r="AE156" s="301"/>
      <c r="AF156" s="349"/>
      <c r="AG156" s="191"/>
      <c r="AH156" s="611"/>
    </row>
    <row r="157" spans="1:34" s="298" customFormat="1" ht="19.149999999999999" customHeight="1">
      <c r="A157" s="608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6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10"/>
      <c r="T157" s="346"/>
      <c r="U157" s="111"/>
      <c r="V157" s="109"/>
      <c r="W157" s="350">
        <f t="shared" si="97"/>
        <v>0</v>
      </c>
      <c r="X157" s="299"/>
      <c r="Y157" s="299"/>
      <c r="Z157" s="296"/>
      <c r="AA157" s="296"/>
      <c r="AB157" s="601"/>
      <c r="AC157" s="601"/>
      <c r="AD157" s="301"/>
      <c r="AE157" s="301"/>
      <c r="AF157" s="349"/>
      <c r="AG157" s="191"/>
      <c r="AH157" s="611"/>
    </row>
    <row r="158" spans="1:34" s="298" customFormat="1" ht="19.149999999999999" customHeight="1">
      <c r="A158" s="608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6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10"/>
      <c r="T158" s="346"/>
      <c r="U158" s="111"/>
      <c r="V158" s="109"/>
      <c r="W158" s="350">
        <f t="shared" si="97"/>
        <v>0</v>
      </c>
      <c r="X158" s="299"/>
      <c r="Y158" s="299"/>
      <c r="Z158" s="296"/>
      <c r="AA158" s="296"/>
      <c r="AB158" s="601"/>
      <c r="AC158" s="601"/>
      <c r="AD158" s="301"/>
      <c r="AE158" s="301"/>
      <c r="AF158" s="349"/>
      <c r="AG158" s="191"/>
      <c r="AH158" s="611"/>
    </row>
    <row r="159" spans="1:34" s="298" customFormat="1" ht="19.149999999999999" customHeight="1">
      <c r="A159" s="608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6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10"/>
      <c r="T159" s="346"/>
      <c r="U159" s="111"/>
      <c r="V159" s="109"/>
      <c r="W159" s="351">
        <f t="shared" si="97"/>
        <v>0</v>
      </c>
      <c r="X159" s="299"/>
      <c r="Y159" s="299"/>
      <c r="Z159" s="296"/>
      <c r="AA159" s="296"/>
      <c r="AB159" s="601"/>
      <c r="AC159" s="601"/>
      <c r="AD159" s="301"/>
      <c r="AE159" s="301"/>
      <c r="AF159" s="349"/>
      <c r="AG159" s="191"/>
      <c r="AH159" s="611"/>
    </row>
    <row r="160" spans="1:34" ht="19.149999999999999" customHeight="1">
      <c r="A160" s="608"/>
      <c r="B160" s="352">
        <v>0</v>
      </c>
      <c r="C160" s="353" t="s">
        <v>280</v>
      </c>
      <c r="D160" s="606" t="s">
        <v>256</v>
      </c>
      <c r="E160" s="607"/>
      <c r="F160" s="119"/>
      <c r="G160" s="280"/>
      <c r="H160" s="279"/>
      <c r="I160" s="122"/>
      <c r="J160" s="354">
        <v>17.8</v>
      </c>
      <c r="K160" s="354">
        <v>1466</v>
      </c>
      <c r="L160" s="355">
        <v>83.557929750847705</v>
      </c>
      <c r="M160" s="354">
        <f t="shared" ref="M160:O160" si="98">AVERAGE(M148:M159)</f>
        <v>17.399999999999999</v>
      </c>
      <c r="N160" s="354">
        <f t="shared" si="98"/>
        <v>1288.4941622586196</v>
      </c>
      <c r="O160" s="355">
        <f t="shared" si="98"/>
        <v>74.988170784384536</v>
      </c>
      <c r="P160" s="113">
        <f t="shared" ref="P160:P165" si="99">M160-J160</f>
        <v>-0.40000000000000213</v>
      </c>
      <c r="Q160" s="124">
        <f t="shared" ref="Q160:Q165" si="100">O160-L160</f>
        <v>-8.5697589664631693</v>
      </c>
      <c r="R160" s="356">
        <f>O160/L160</f>
        <v>0.89743930956623263</v>
      </c>
      <c r="S160" s="610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01"/>
      <c r="AC160" s="601"/>
      <c r="AD160" s="129">
        <f>SUM(AD148:AD159)</f>
        <v>0</v>
      </c>
      <c r="AE160" s="129">
        <f>SUM(AE148:AE159)</f>
        <v>1</v>
      </c>
      <c r="AF160" s="113">
        <f t="shared" si="59"/>
        <v>-177.50583774138045</v>
      </c>
      <c r="AG160" s="191">
        <f t="shared" si="60"/>
        <v>0.87891825529237355</v>
      </c>
      <c r="AH160" s="611"/>
    </row>
    <row r="161" spans="1:36" ht="19.149999999999999" customHeight="1">
      <c r="A161" s="604" t="s">
        <v>281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2793</v>
      </c>
      <c r="H161" s="135">
        <f t="shared" ref="H161:H170" si="101">F161*G161</f>
        <v>95604.389999999985</v>
      </c>
      <c r="I161" s="101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2">G161/W161*60</f>
        <v>2234.3999999999996</v>
      </c>
      <c r="O161" s="137">
        <f t="shared" ref="O161:O165" si="103">N161/M161</f>
        <v>186.19999999999996</v>
      </c>
      <c r="P161" s="100">
        <f t="shared" si="99"/>
        <v>0</v>
      </c>
      <c r="Q161" s="139">
        <f t="shared" si="100"/>
        <v>-1.3000000000000398</v>
      </c>
      <c r="R161" s="140">
        <f t="shared" ref="R161:R165" si="104">O161/L161</f>
        <v>0.99306666666666643</v>
      </c>
      <c r="S161" s="605">
        <f>R173</f>
        <v>0.9923530621758101</v>
      </c>
      <c r="T161" s="142">
        <v>0.16666666666666666</v>
      </c>
      <c r="U161" s="142">
        <v>0.21875</v>
      </c>
      <c r="V161" s="101">
        <v>5</v>
      </c>
      <c r="W161" s="143">
        <f t="shared" ref="W161:W165" si="105">(U161-T161)*24*60</f>
        <v>75.000000000000014</v>
      </c>
      <c r="X161" s="151"/>
      <c r="Y161" s="151"/>
      <c r="Z161" s="100"/>
      <c r="AA161" s="100"/>
      <c r="AB161" s="601"/>
      <c r="AC161" s="601"/>
      <c r="AD161" s="101"/>
      <c r="AE161" s="101"/>
      <c r="AF161" s="100">
        <f t="shared" si="59"/>
        <v>-15.600000000000364</v>
      </c>
      <c r="AG161" s="140">
        <f t="shared" si="60"/>
        <v>0.99306666666666654</v>
      </c>
      <c r="AH161" s="605">
        <f>AG173</f>
        <v>0.9918446504695253</v>
      </c>
    </row>
    <row r="162" spans="1:36" ht="19.149999999999999" customHeight="1">
      <c r="A162" s="604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3823</v>
      </c>
      <c r="H162" s="135">
        <f t="shared" si="101"/>
        <v>130861.29</v>
      </c>
      <c r="I162" s="101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2"/>
        <v>2205.5769230769233</v>
      </c>
      <c r="O162" s="137">
        <f t="shared" si="103"/>
        <v>169.65976331360949</v>
      </c>
      <c r="P162" s="100">
        <f t="shared" si="99"/>
        <v>0</v>
      </c>
      <c r="Q162" s="139">
        <f t="shared" si="100"/>
        <v>-3.4171597633135775</v>
      </c>
      <c r="R162" s="140">
        <f t="shared" si="104"/>
        <v>0.98025641025641042</v>
      </c>
      <c r="S162" s="605"/>
      <c r="T162" s="142">
        <v>0.22361111111111112</v>
      </c>
      <c r="U162" s="142">
        <v>0.29583333333333334</v>
      </c>
      <c r="V162" s="101">
        <v>7</v>
      </c>
      <c r="W162" s="143">
        <f t="shared" si="105"/>
        <v>103.99999999999999</v>
      </c>
      <c r="X162" s="151"/>
      <c r="Y162" s="151"/>
      <c r="Z162" s="100"/>
      <c r="AA162" s="100"/>
      <c r="AB162" s="601"/>
      <c r="AC162" s="601"/>
      <c r="AD162" s="101"/>
      <c r="AE162" s="101"/>
      <c r="AF162" s="100">
        <f t="shared" si="59"/>
        <v>-44.423076923076678</v>
      </c>
      <c r="AG162" s="140">
        <f t="shared" si="60"/>
        <v>0.98025641025641042</v>
      </c>
      <c r="AH162" s="605"/>
    </row>
    <row r="163" spans="1:36" ht="19.149999999999999" customHeight="1">
      <c r="A163" s="604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2940</v>
      </c>
      <c r="H163" s="135">
        <f t="shared" si="101"/>
        <v>100636.2</v>
      </c>
      <c r="I163" s="101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2"/>
        <v>2232.9113924050644</v>
      </c>
      <c r="O163" s="137">
        <f t="shared" si="103"/>
        <v>186.0759493670887</v>
      </c>
      <c r="P163" s="100">
        <f t="shared" si="99"/>
        <v>0</v>
      </c>
      <c r="Q163" s="139">
        <f t="shared" si="100"/>
        <v>-1.4240506329113032</v>
      </c>
      <c r="R163" s="140">
        <f t="shared" si="104"/>
        <v>0.99240506329113976</v>
      </c>
      <c r="S163" s="605"/>
      <c r="T163" s="142">
        <v>0.33680555555555552</v>
      </c>
      <c r="U163" s="142">
        <v>0.39166666666666661</v>
      </c>
      <c r="V163" s="101">
        <v>6</v>
      </c>
      <c r="W163" s="143">
        <f t="shared" si="105"/>
        <v>78.999999999999957</v>
      </c>
      <c r="X163" s="151"/>
      <c r="Y163" s="151"/>
      <c r="Z163" s="100"/>
      <c r="AA163" s="100"/>
      <c r="AB163" s="601"/>
      <c r="AC163" s="601"/>
      <c r="AD163" s="101"/>
      <c r="AE163" s="101"/>
      <c r="AF163" s="100">
        <f t="shared" si="59"/>
        <v>-17.088607594935638</v>
      </c>
      <c r="AG163" s="140">
        <f t="shared" si="60"/>
        <v>0.99240506329113976</v>
      </c>
      <c r="AH163" s="605"/>
    </row>
    <row r="164" spans="1:36" ht="19.149999999999999" customHeight="1">
      <c r="A164" s="604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5515</v>
      </c>
      <c r="H164" s="135">
        <f t="shared" si="101"/>
        <v>197602.44999999998</v>
      </c>
      <c r="I164" s="101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2"/>
        <v>2235.8108108108104</v>
      </c>
      <c r="O164" s="137">
        <f t="shared" si="103"/>
        <v>203.25552825552822</v>
      </c>
      <c r="P164" s="100">
        <f t="shared" si="99"/>
        <v>0</v>
      </c>
      <c r="Q164" s="139">
        <f t="shared" si="100"/>
        <v>-1.2899262899263135</v>
      </c>
      <c r="R164" s="140">
        <f t="shared" si="104"/>
        <v>0.99369369369369354</v>
      </c>
      <c r="S164" s="605"/>
      <c r="T164" s="142">
        <v>0.40763888888888883</v>
      </c>
      <c r="U164" s="142">
        <v>0.51041666666666663</v>
      </c>
      <c r="V164" s="101">
        <v>23</v>
      </c>
      <c r="W164" s="143">
        <f t="shared" si="105"/>
        <v>148.00000000000003</v>
      </c>
      <c r="X164" s="151">
        <v>0.39513888888888887</v>
      </c>
      <c r="Y164" s="151">
        <v>0.40486111111111112</v>
      </c>
      <c r="Z164" s="100"/>
      <c r="AA164" s="100"/>
      <c r="AB164" s="601"/>
      <c r="AC164" s="601"/>
      <c r="AD164" s="101"/>
      <c r="AE164" s="101"/>
      <c r="AF164" s="100">
        <f t="shared" si="59"/>
        <v>-14.189189189189619</v>
      </c>
      <c r="AG164" s="140">
        <f t="shared" si="60"/>
        <v>0.99369369369369354</v>
      </c>
      <c r="AH164" s="605"/>
    </row>
    <row r="165" spans="1:36" ht="19.149999999999999" customHeight="1">
      <c r="A165" s="604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5286.45</v>
      </c>
      <c r="H165" s="135">
        <f t="shared" si="101"/>
        <v>192479.64449999997</v>
      </c>
      <c r="I165" s="101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2"/>
        <v>2249.5531914893622</v>
      </c>
      <c r="O165" s="137">
        <f t="shared" si="103"/>
        <v>224.95531914893621</v>
      </c>
      <c r="P165" s="100">
        <f t="shared" si="99"/>
        <v>0</v>
      </c>
      <c r="Q165" s="139">
        <f t="shared" si="100"/>
        <v>-4.4680851063787941E-2</v>
      </c>
      <c r="R165" s="140">
        <f t="shared" si="104"/>
        <v>0.99980141843971648</v>
      </c>
      <c r="S165" s="605"/>
      <c r="T165" s="142">
        <v>0.52569444444444435</v>
      </c>
      <c r="U165" s="142">
        <v>0.62361111111111101</v>
      </c>
      <c r="V165" s="101">
        <v>22</v>
      </c>
      <c r="W165" s="143">
        <f t="shared" si="105"/>
        <v>140.99999999999997</v>
      </c>
      <c r="X165" s="151">
        <v>0.51388888888888895</v>
      </c>
      <c r="Y165" s="151">
        <v>0.5229166666666667</v>
      </c>
      <c r="Z165" s="100"/>
      <c r="AA165" s="100"/>
      <c r="AB165" s="601"/>
      <c r="AC165" s="601"/>
      <c r="AD165" s="101"/>
      <c r="AE165" s="101"/>
      <c r="AF165" s="100">
        <f t="shared" si="59"/>
        <v>-0.44680851063776572</v>
      </c>
      <c r="AG165" s="140">
        <f t="shared" si="60"/>
        <v>0.99980141843971659</v>
      </c>
      <c r="AH165" s="605"/>
    </row>
    <row r="166" spans="1:36" ht="19.149999999999999" customHeight="1">
      <c r="A166" s="604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1"/>
        <v>0</v>
      </c>
      <c r="I166" s="101"/>
      <c r="J166" s="138"/>
      <c r="K166" s="104"/>
      <c r="L166" s="137"/>
      <c r="M166" s="138"/>
      <c r="N166" s="104"/>
      <c r="O166" s="137"/>
      <c r="P166" s="100"/>
      <c r="Q166" s="139"/>
      <c r="R166" s="140"/>
      <c r="S166" s="605"/>
      <c r="T166" s="142"/>
      <c r="U166" s="142"/>
      <c r="V166" s="101"/>
      <c r="W166" s="143"/>
      <c r="X166" s="151"/>
      <c r="Y166" s="151"/>
      <c r="Z166" s="100"/>
      <c r="AA166" s="100"/>
      <c r="AB166" s="601"/>
      <c r="AC166" s="601"/>
      <c r="AD166" s="101"/>
      <c r="AE166" s="101"/>
      <c r="AF166" s="100">
        <f t="shared" si="59"/>
        <v>0</v>
      </c>
      <c r="AG166" s="140" t="e">
        <f t="shared" si="60"/>
        <v>#DIV/0!</v>
      </c>
      <c r="AH166" s="605"/>
    </row>
    <row r="167" spans="1:36" ht="19.149999999999999" customHeight="1">
      <c r="A167" s="604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1"/>
        <v>0</v>
      </c>
      <c r="I167" s="101"/>
      <c r="J167" s="138"/>
      <c r="K167" s="104"/>
      <c r="L167" s="137"/>
      <c r="M167" s="138"/>
      <c r="N167" s="104"/>
      <c r="O167" s="137"/>
      <c r="P167" s="100"/>
      <c r="Q167" s="139"/>
      <c r="R167" s="140"/>
      <c r="S167" s="605"/>
      <c r="T167" s="142"/>
      <c r="U167" s="142"/>
      <c r="V167" s="101"/>
      <c r="W167" s="143"/>
      <c r="X167" s="151"/>
      <c r="Y167" s="151"/>
      <c r="Z167" s="100"/>
      <c r="AA167" s="100"/>
      <c r="AB167" s="601"/>
      <c r="AC167" s="601"/>
      <c r="AD167" s="101"/>
      <c r="AE167" s="101"/>
      <c r="AF167" s="100">
        <f t="shared" si="59"/>
        <v>0</v>
      </c>
      <c r="AG167" s="140" t="e">
        <f t="shared" si="60"/>
        <v>#DIV/0!</v>
      </c>
      <c r="AH167" s="605"/>
    </row>
    <row r="168" spans="1:36" ht="19.149999999999999" customHeight="1">
      <c r="A168" s="604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1"/>
        <v>0</v>
      </c>
      <c r="I168" s="101"/>
      <c r="J168" s="138"/>
      <c r="K168" s="104"/>
      <c r="L168" s="137"/>
      <c r="M168" s="138"/>
      <c r="N168" s="104"/>
      <c r="O168" s="137"/>
      <c r="P168" s="100"/>
      <c r="Q168" s="139"/>
      <c r="R168" s="140"/>
      <c r="S168" s="605"/>
      <c r="T168" s="142"/>
      <c r="U168" s="142"/>
      <c r="V168" s="101"/>
      <c r="W168" s="143"/>
      <c r="X168" s="151"/>
      <c r="Y168" s="151"/>
      <c r="Z168" s="100"/>
      <c r="AA168" s="100"/>
      <c r="AB168" s="601"/>
      <c r="AC168" s="601"/>
      <c r="AD168" s="101"/>
      <c r="AE168" s="101"/>
      <c r="AF168" s="100">
        <f t="shared" si="59"/>
        <v>0</v>
      </c>
      <c r="AG168" s="140" t="e">
        <f t="shared" si="60"/>
        <v>#DIV/0!</v>
      </c>
      <c r="AH168" s="605"/>
    </row>
    <row r="169" spans="1:36" ht="19.149999999999999" customHeight="1">
      <c r="A169" s="604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1"/>
        <v>0</v>
      </c>
      <c r="I169" s="101"/>
      <c r="J169" s="138"/>
      <c r="K169" s="104"/>
      <c r="L169" s="137"/>
      <c r="M169" s="138"/>
      <c r="N169" s="104"/>
      <c r="O169" s="137"/>
      <c r="P169" s="100"/>
      <c r="Q169" s="139"/>
      <c r="R169" s="140"/>
      <c r="S169" s="605"/>
      <c r="T169" s="142"/>
      <c r="U169" s="142"/>
      <c r="V169" s="101" t="s">
        <v>49</v>
      </c>
      <c r="W169" s="143">
        <f>(U169-T169)*24*60</f>
        <v>0</v>
      </c>
      <c r="X169" s="151"/>
      <c r="Y169" s="151"/>
      <c r="Z169" s="100"/>
      <c r="AA169" s="100"/>
      <c r="AB169" s="601"/>
      <c r="AC169" s="601"/>
      <c r="AD169" s="101"/>
      <c r="AE169" s="101"/>
      <c r="AF169" s="100">
        <f t="shared" si="59"/>
        <v>0</v>
      </c>
      <c r="AG169" s="140" t="e">
        <f t="shared" si="60"/>
        <v>#DIV/0!</v>
      </c>
      <c r="AH169" s="605"/>
    </row>
    <row r="170" spans="1:36" ht="19.149999999999999" customHeight="1">
      <c r="A170" s="604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1"/>
        <v>0</v>
      </c>
      <c r="I170" s="101"/>
      <c r="J170" s="138"/>
      <c r="K170" s="104"/>
      <c r="L170" s="137"/>
      <c r="M170" s="138"/>
      <c r="N170" s="104"/>
      <c r="O170" s="137"/>
      <c r="P170" s="100"/>
      <c r="Q170" s="139"/>
      <c r="R170" s="140"/>
      <c r="S170" s="605"/>
      <c r="T170" s="142"/>
      <c r="U170" s="142"/>
      <c r="V170" s="101"/>
      <c r="W170" s="143">
        <f>(U170-T170)*24*60</f>
        <v>0</v>
      </c>
      <c r="X170" s="151"/>
      <c r="Y170" s="151"/>
      <c r="Z170" s="100"/>
      <c r="AA170" s="100"/>
      <c r="AB170" s="601"/>
      <c r="AC170" s="601"/>
      <c r="AD170" s="101"/>
      <c r="AE170" s="101"/>
      <c r="AF170" s="100">
        <f t="shared" si="59"/>
        <v>0</v>
      </c>
      <c r="AG170" s="140" t="e">
        <f t="shared" si="60"/>
        <v>#DIV/0!</v>
      </c>
      <c r="AH170" s="605"/>
    </row>
    <row r="171" spans="1:36" ht="19.149999999999999" customHeight="1">
      <c r="A171" s="604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6"/>
        <v>0</v>
      </c>
      <c r="I171" s="101"/>
      <c r="J171" s="138"/>
      <c r="K171" s="104"/>
      <c r="L171" s="137"/>
      <c r="M171" s="138"/>
      <c r="N171" s="104"/>
      <c r="O171" s="137"/>
      <c r="P171" s="100"/>
      <c r="Q171" s="139"/>
      <c r="R171" s="140"/>
      <c r="S171" s="605"/>
      <c r="T171" s="142"/>
      <c r="U171" s="142"/>
      <c r="V171" s="101"/>
      <c r="W171" s="143">
        <f>(U171-T171)*24*60</f>
        <v>0</v>
      </c>
      <c r="X171" s="151"/>
      <c r="Y171" s="151"/>
      <c r="Z171" s="100"/>
      <c r="AA171" s="100"/>
      <c r="AB171" s="601"/>
      <c r="AC171" s="601"/>
      <c r="AD171" s="101"/>
      <c r="AE171" s="101"/>
      <c r="AF171" s="100"/>
      <c r="AG171" s="140"/>
      <c r="AH171" s="605"/>
    </row>
    <row r="172" spans="1:36" ht="19.149999999999999" customHeight="1">
      <c r="A172" s="604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6"/>
        <v>0</v>
      </c>
      <c r="I172" s="101"/>
      <c r="J172" s="138"/>
      <c r="K172" s="104"/>
      <c r="L172" s="137"/>
      <c r="M172" s="138"/>
      <c r="N172" s="104"/>
      <c r="O172" s="137"/>
      <c r="P172" s="100"/>
      <c r="Q172" s="139"/>
      <c r="R172" s="140"/>
      <c r="S172" s="605"/>
      <c r="T172" s="142"/>
      <c r="U172" s="142"/>
      <c r="V172" s="101"/>
      <c r="W172" s="143">
        <f>(U172-T172)*24*60</f>
        <v>0</v>
      </c>
      <c r="X172" s="151"/>
      <c r="Y172" s="151"/>
      <c r="Z172" s="100"/>
      <c r="AA172" s="100"/>
      <c r="AB172" s="601"/>
      <c r="AC172" s="601"/>
      <c r="AD172" s="101"/>
      <c r="AE172" s="101"/>
      <c r="AF172" s="100"/>
      <c r="AG172" s="140"/>
      <c r="AH172" s="605"/>
    </row>
    <row r="173" spans="1:36" ht="19.149999999999999" customHeight="1">
      <c r="A173" s="604"/>
      <c r="B173" s="182">
        <v>0</v>
      </c>
      <c r="C173" s="156" t="s">
        <v>282</v>
      </c>
      <c r="D173" s="602" t="s">
        <v>256</v>
      </c>
      <c r="E173" s="602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6">AVERAGE(M161:M172)</f>
        <v>11.6</v>
      </c>
      <c r="N173" s="158">
        <f t="shared" si="106"/>
        <v>2231.650463556432</v>
      </c>
      <c r="O173" s="161">
        <f t="shared" si="106"/>
        <v>194.02931201703251</v>
      </c>
      <c r="P173" s="100">
        <f>M173-J173</f>
        <v>0</v>
      </c>
      <c r="Q173" s="139">
        <f>O173-L173</f>
        <v>-1.4951635074430101</v>
      </c>
      <c r="R173" s="162">
        <f>O173/L173</f>
        <v>0.9923530621758101</v>
      </c>
      <c r="S173" s="605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03"/>
      <c r="AC173" s="603"/>
      <c r="AD173" s="164">
        <f>SUM(AD161:AD172)</f>
        <v>0</v>
      </c>
      <c r="AE173" s="164">
        <f>SUM(AE161:AE172)</f>
        <v>0</v>
      </c>
      <c r="AF173" s="100">
        <f t="shared" si="59"/>
        <v>-18.349536443568013</v>
      </c>
      <c r="AG173" s="140">
        <f t="shared" si="60"/>
        <v>0.9918446504695253</v>
      </c>
      <c r="AH173" s="605"/>
    </row>
    <row r="174" spans="1:36" ht="19.149999999999999" customHeight="1">
      <c r="AJ174" s="361" t="s">
        <v>212</v>
      </c>
    </row>
    <row r="175" spans="1:36" ht="19.149999999999999" customHeight="1">
      <c r="AJ175" s="361" t="s">
        <v>214</v>
      </c>
    </row>
    <row r="176" spans="1:36" ht="19.149999999999999" customHeight="1">
      <c r="AJ176" s="361" t="s">
        <v>283</v>
      </c>
    </row>
    <row r="177" spans="23:36" ht="19.149999999999999" customHeight="1">
      <c r="W177" s="71"/>
      <c r="AJ177" s="361" t="s">
        <v>216</v>
      </c>
    </row>
    <row r="178" spans="23:36" ht="19.149999999999999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284</v>
      </c>
    </row>
    <row r="186" spans="23:36">
      <c r="W186" s="71"/>
      <c r="AJ186" s="361" t="s">
        <v>285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4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10654" priority="3391" operator="lessThan">
      <formula>0</formula>
    </cfRule>
  </conditionalFormatting>
  <conditionalFormatting sqref="AH57 AH70 S43 S123 S95 AH95 S5:S9 AH5:AH9 S134 AH17:AH18 S17:S18 S32 S82 AH82 S57:S70">
    <cfRule type="cellIs" dxfId="10653" priority="3390" operator="lessThan">
      <formula>0.8</formula>
    </cfRule>
  </conditionalFormatting>
  <conditionalFormatting sqref="R147 R173 R30 R121 R95 R43 R134 R82 R154:R159 R17:R18 R57:R70">
    <cfRule type="cellIs" dxfId="10652" priority="3388" operator="lessThan">
      <formula>0.8</formula>
    </cfRule>
    <cfRule type="cellIs" dxfId="10651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10650" priority="3386" operator="greaterThan">
      <formula>1</formula>
    </cfRule>
    <cfRule type="cellIs" dxfId="10649" priority="3387" operator="lessThan">
      <formula>0.8</formula>
    </cfRule>
  </conditionalFormatting>
  <conditionalFormatting sqref="P147 P30 P121 P95 P43 P134 P82 P154:P159 P17:P18 P57:P70">
    <cfRule type="cellIs" dxfId="10648" priority="3385" operator="greaterThan">
      <formula>0</formula>
    </cfRule>
  </conditionalFormatting>
  <conditionalFormatting sqref="S161">
    <cfRule type="cellIs" dxfId="10647" priority="3384" operator="lessThan">
      <formula>0.8</formula>
    </cfRule>
  </conditionalFormatting>
  <conditionalFormatting sqref="Q161:Q166">
    <cfRule type="cellIs" dxfId="10646" priority="3383" operator="lessThan">
      <formula>0</formula>
    </cfRule>
  </conditionalFormatting>
  <conditionalFormatting sqref="R161:R166">
    <cfRule type="cellIs" dxfId="10645" priority="3381" operator="lessThan">
      <formula>0.8</formula>
    </cfRule>
    <cfRule type="cellIs" dxfId="10644" priority="3382" operator="greaterThan">
      <formula>1</formula>
    </cfRule>
  </conditionalFormatting>
  <conditionalFormatting sqref="R161:R166">
    <cfRule type="cellIs" dxfId="10643" priority="3379" operator="greaterThan">
      <formula>1</formula>
    </cfRule>
    <cfRule type="cellIs" dxfId="10642" priority="3380" operator="lessThan">
      <formula>0.8</formula>
    </cfRule>
  </conditionalFormatting>
  <conditionalFormatting sqref="P161:P166">
    <cfRule type="cellIs" dxfId="10641" priority="3378" operator="greaterThan">
      <formula>0</formula>
    </cfRule>
  </conditionalFormatting>
  <conditionalFormatting sqref="Q169:Q172 AF161:AF172">
    <cfRule type="cellIs" dxfId="10640" priority="3377" operator="lessThan">
      <formula>0</formula>
    </cfRule>
  </conditionalFormatting>
  <conditionalFormatting sqref="R169:R172">
    <cfRule type="cellIs" dxfId="10639" priority="3375" operator="lessThan">
      <formula>0.8</formula>
    </cfRule>
    <cfRule type="cellIs" dxfId="10638" priority="3376" operator="greaterThan">
      <formula>1</formula>
    </cfRule>
  </conditionalFormatting>
  <conditionalFormatting sqref="R169:R172 AG161:AG172">
    <cfRule type="cellIs" dxfId="10637" priority="3373" operator="greaterThan">
      <formula>1</formula>
    </cfRule>
    <cfRule type="cellIs" dxfId="10636" priority="3374" operator="lessThan">
      <formula>0.8</formula>
    </cfRule>
  </conditionalFormatting>
  <conditionalFormatting sqref="P169:P172">
    <cfRule type="cellIs" dxfId="10635" priority="3372" operator="greaterThan">
      <formula>0</formula>
    </cfRule>
  </conditionalFormatting>
  <conditionalFormatting sqref="AF145">
    <cfRule type="cellIs" dxfId="10634" priority="3371" operator="lessThan">
      <formula>0</formula>
    </cfRule>
  </conditionalFormatting>
  <conditionalFormatting sqref="AG145">
    <cfRule type="cellIs" dxfId="10633" priority="3369" operator="greaterThan">
      <formula>1</formula>
    </cfRule>
    <cfRule type="cellIs" dxfId="10632" priority="3370" operator="lessThan">
      <formula>0.8</formula>
    </cfRule>
  </conditionalFormatting>
  <conditionalFormatting sqref="AF44:AF52">
    <cfRule type="cellIs" dxfId="10631" priority="3368" operator="lessThan">
      <formula>0</formula>
    </cfRule>
  </conditionalFormatting>
  <conditionalFormatting sqref="AG44:AG52">
    <cfRule type="cellIs" dxfId="10630" priority="3366" operator="greaterThan">
      <formula>1</formula>
    </cfRule>
    <cfRule type="cellIs" dxfId="10629" priority="3367" operator="lessThan">
      <formula>0.8</formula>
    </cfRule>
  </conditionalFormatting>
  <conditionalFormatting sqref="AF83:AF94">
    <cfRule type="cellIs" dxfId="10628" priority="3365" operator="lessThan">
      <formula>0</formula>
    </cfRule>
  </conditionalFormatting>
  <conditionalFormatting sqref="AH83">
    <cfRule type="cellIs" dxfId="10627" priority="3364" operator="lessThan">
      <formula>0.8</formula>
    </cfRule>
  </conditionalFormatting>
  <conditionalFormatting sqref="AG83:AG94">
    <cfRule type="cellIs" dxfId="10626" priority="3362" operator="greaterThan">
      <formula>1</formula>
    </cfRule>
    <cfRule type="cellIs" dxfId="10625" priority="3363" operator="lessThan">
      <formula>0.8</formula>
    </cfRule>
  </conditionalFormatting>
  <conditionalFormatting sqref="S83">
    <cfRule type="cellIs" dxfId="10624" priority="3361" operator="lessThan">
      <formula>0.8</formula>
    </cfRule>
  </conditionalFormatting>
  <conditionalFormatting sqref="AH84">
    <cfRule type="cellIs" dxfId="10623" priority="3360" operator="lessThan">
      <formula>0.8</formula>
    </cfRule>
  </conditionalFormatting>
  <conditionalFormatting sqref="S84">
    <cfRule type="cellIs" dxfId="10622" priority="3359" operator="lessThan">
      <formula>0.8</formula>
    </cfRule>
  </conditionalFormatting>
  <conditionalFormatting sqref="S90">
    <cfRule type="cellIs" dxfId="10621" priority="3358" operator="lessThan">
      <formula>0.8</formula>
    </cfRule>
  </conditionalFormatting>
  <conditionalFormatting sqref="AH90">
    <cfRule type="cellIs" dxfId="10620" priority="3357" operator="lessThan">
      <formula>0.8</formula>
    </cfRule>
  </conditionalFormatting>
  <conditionalFormatting sqref="AF122">
    <cfRule type="cellIs" dxfId="10619" priority="3356" operator="lessThan">
      <formula>0</formula>
    </cfRule>
  </conditionalFormatting>
  <conditionalFormatting sqref="S122">
    <cfRule type="cellIs" dxfId="10618" priority="3355" operator="lessThan">
      <formula>0.8</formula>
    </cfRule>
  </conditionalFormatting>
  <conditionalFormatting sqref="AG122">
    <cfRule type="cellIs" dxfId="10617" priority="3353" operator="greaterThan">
      <formula>1</formula>
    </cfRule>
    <cfRule type="cellIs" dxfId="10616" priority="3354" operator="lessThan">
      <formula>0.8</formula>
    </cfRule>
  </conditionalFormatting>
  <conditionalFormatting sqref="P162:P168">
    <cfRule type="cellIs" dxfId="10615" priority="3347" operator="greaterThan">
      <formula>0</formula>
    </cfRule>
  </conditionalFormatting>
  <conditionalFormatting sqref="R162:R168">
    <cfRule type="cellIs" dxfId="10614" priority="3350" operator="lessThan">
      <formula>0.8</formula>
    </cfRule>
    <cfRule type="cellIs" dxfId="10613" priority="3351" operator="greaterThan">
      <formula>1</formula>
    </cfRule>
  </conditionalFormatting>
  <conditionalFormatting sqref="R162:R168">
    <cfRule type="cellIs" dxfId="10612" priority="3348" operator="greaterThan">
      <formula>1</formula>
    </cfRule>
    <cfRule type="cellIs" dxfId="10611" priority="3349" operator="lessThan">
      <formula>0.8</formula>
    </cfRule>
  </conditionalFormatting>
  <conditionalFormatting sqref="Q162:Q168">
    <cfRule type="cellIs" dxfId="10610" priority="3352" operator="lessThan">
      <formula>0</formula>
    </cfRule>
  </conditionalFormatting>
  <conditionalFormatting sqref="P132:P133">
    <cfRule type="cellIs" dxfId="10609" priority="3340" operator="greaterThan">
      <formula>0</formula>
    </cfRule>
  </conditionalFormatting>
  <conditionalFormatting sqref="AF124 Q132:Q133 AF126:AF133">
    <cfRule type="cellIs" dxfId="10608" priority="3346" operator="lessThan">
      <formula>0</formula>
    </cfRule>
  </conditionalFormatting>
  <conditionalFormatting sqref="S124:S133">
    <cfRule type="cellIs" dxfId="10607" priority="3345" operator="lessThan">
      <formula>0.8</formula>
    </cfRule>
  </conditionalFormatting>
  <conditionalFormatting sqref="R132:R133">
    <cfRule type="cellIs" dxfId="10606" priority="3343" operator="lessThan">
      <formula>0.8</formula>
    </cfRule>
    <cfRule type="cellIs" dxfId="10605" priority="3344" operator="greaterThan">
      <formula>1</formula>
    </cfRule>
  </conditionalFormatting>
  <conditionalFormatting sqref="AG124 R132:R133 AG126:AG133">
    <cfRule type="cellIs" dxfId="10604" priority="3341" operator="greaterThan">
      <formula>1</formula>
    </cfRule>
    <cfRule type="cellIs" dxfId="10603" priority="3342" operator="lessThan">
      <formula>0.8</formula>
    </cfRule>
  </conditionalFormatting>
  <conditionalFormatting sqref="AF112 AF115">
    <cfRule type="cellIs" dxfId="10602" priority="3339" operator="lessThan">
      <formula>0</formula>
    </cfRule>
  </conditionalFormatting>
  <conditionalFormatting sqref="AG112 AG115">
    <cfRule type="cellIs" dxfId="10601" priority="3337" operator="greaterThan">
      <formula>1</formula>
    </cfRule>
    <cfRule type="cellIs" dxfId="10600" priority="3338" operator="lessThan">
      <formula>0.8</formula>
    </cfRule>
  </conditionalFormatting>
  <conditionalFormatting sqref="AF111 AF114 AF117">
    <cfRule type="cellIs" dxfId="10599" priority="3336" operator="lessThan">
      <formula>0</formula>
    </cfRule>
  </conditionalFormatting>
  <conditionalFormatting sqref="AH109">
    <cfRule type="cellIs" dxfId="10598" priority="3335" operator="lessThan">
      <formula>0.8</formula>
    </cfRule>
  </conditionalFormatting>
  <conditionalFormatting sqref="AG111 AG114 AG117">
    <cfRule type="cellIs" dxfId="10597" priority="3333" operator="greaterThan">
      <formula>1</formula>
    </cfRule>
    <cfRule type="cellIs" dxfId="10596" priority="3334" operator="lessThan">
      <formula>0.8</formula>
    </cfRule>
  </conditionalFormatting>
  <conditionalFormatting sqref="R160 AG160">
    <cfRule type="cellIs" dxfId="10595" priority="3328" operator="greaterThan">
      <formula>1</formula>
    </cfRule>
    <cfRule type="cellIs" dxfId="10594" priority="3329" operator="lessThan">
      <formula>0.8</formula>
    </cfRule>
  </conditionalFormatting>
  <conditionalFormatting sqref="R160">
    <cfRule type="cellIs" dxfId="10593" priority="3330" operator="lessThan">
      <formula>0.8</formula>
    </cfRule>
    <cfRule type="cellIs" dxfId="10592" priority="3331" operator="greaterThan">
      <formula>1</formula>
    </cfRule>
  </conditionalFormatting>
  <conditionalFormatting sqref="P160">
    <cfRule type="cellIs" dxfId="10591" priority="3327" operator="greaterThan">
      <formula>0</formula>
    </cfRule>
  </conditionalFormatting>
  <conditionalFormatting sqref="AH148">
    <cfRule type="cellIs" dxfId="10590" priority="3326" operator="lessThan">
      <formula>0.8</formula>
    </cfRule>
  </conditionalFormatting>
  <conditionalFormatting sqref="Q160 AF160">
    <cfRule type="cellIs" dxfId="10589" priority="3332" operator="lessThan">
      <formula>0</formula>
    </cfRule>
  </conditionalFormatting>
  <conditionalFormatting sqref="AF148:AF154">
    <cfRule type="cellIs" dxfId="10588" priority="3325" operator="lessThan">
      <formula>0</formula>
    </cfRule>
  </conditionalFormatting>
  <conditionalFormatting sqref="S148">
    <cfRule type="cellIs" dxfId="10587" priority="3324" operator="lessThan">
      <formula>0.8</formula>
    </cfRule>
  </conditionalFormatting>
  <conditionalFormatting sqref="AG148:AG154">
    <cfRule type="cellIs" dxfId="10586" priority="3322" operator="greaterThan">
      <formula>1</formula>
    </cfRule>
    <cfRule type="cellIs" dxfId="10585" priority="3323" operator="lessThan">
      <formula>0.8</formula>
    </cfRule>
  </conditionalFormatting>
  <conditionalFormatting sqref="S86">
    <cfRule type="cellIs" dxfId="10584" priority="3321" operator="lessThan">
      <formula>0.8</formula>
    </cfRule>
  </conditionalFormatting>
  <conditionalFormatting sqref="S88 AH88">
    <cfRule type="cellIs" dxfId="10583" priority="3316" operator="lessThan">
      <formula>0.8</formula>
    </cfRule>
  </conditionalFormatting>
  <conditionalFormatting sqref="AH86">
    <cfRule type="cellIs" dxfId="10582" priority="3320" operator="lessThan">
      <formula>0.8</formula>
    </cfRule>
  </conditionalFormatting>
  <conditionalFormatting sqref="S87">
    <cfRule type="cellIs" dxfId="10581" priority="3319" operator="lessThan">
      <formula>0.8</formula>
    </cfRule>
  </conditionalFormatting>
  <conditionalFormatting sqref="AH87">
    <cfRule type="cellIs" dxfId="10580" priority="3318" operator="lessThan">
      <formula>0.8</formula>
    </cfRule>
  </conditionalFormatting>
  <conditionalFormatting sqref="S89 AH89">
    <cfRule type="cellIs" dxfId="10579" priority="3317" operator="lessThan">
      <formula>0.8</formula>
    </cfRule>
  </conditionalFormatting>
  <conditionalFormatting sqref="AF31">
    <cfRule type="cellIs" dxfId="10578" priority="3315" operator="lessThan">
      <formula>0</formula>
    </cfRule>
  </conditionalFormatting>
  <conditionalFormatting sqref="AH31 S31">
    <cfRule type="cellIs" dxfId="10577" priority="3314" operator="lessThan">
      <formula>0.8</formula>
    </cfRule>
  </conditionalFormatting>
  <conditionalFormatting sqref="AG31">
    <cfRule type="cellIs" dxfId="10576" priority="3312" operator="greaterThan">
      <formula>1</formula>
    </cfRule>
    <cfRule type="cellIs" dxfId="10575" priority="3313" operator="lessThan">
      <formula>0.8</formula>
    </cfRule>
  </conditionalFormatting>
  <conditionalFormatting sqref="AF135">
    <cfRule type="cellIs" dxfId="10574" priority="3311" operator="lessThan">
      <formula>0</formula>
    </cfRule>
  </conditionalFormatting>
  <conditionalFormatting sqref="AH135 S135">
    <cfRule type="cellIs" dxfId="10573" priority="3310" operator="lessThan">
      <formula>0.8</formula>
    </cfRule>
  </conditionalFormatting>
  <conditionalFormatting sqref="AG135">
    <cfRule type="cellIs" dxfId="10572" priority="3308" operator="greaterThan">
      <formula>1</formula>
    </cfRule>
    <cfRule type="cellIs" dxfId="10571" priority="3309" operator="lessThan">
      <formula>0.8</formula>
    </cfRule>
  </conditionalFormatting>
  <conditionalFormatting sqref="AF110 AF113 AF116">
    <cfRule type="cellIs" dxfId="10570" priority="3307" operator="lessThan">
      <formula>0</formula>
    </cfRule>
  </conditionalFormatting>
  <conditionalFormatting sqref="AG110 AG113 AG116">
    <cfRule type="cellIs" dxfId="10569" priority="3305" operator="greaterThan">
      <formula>1</formula>
    </cfRule>
    <cfRule type="cellIs" dxfId="10568" priority="3306" operator="lessThan">
      <formula>0.8</formula>
    </cfRule>
  </conditionalFormatting>
  <conditionalFormatting sqref="AF108 Q108">
    <cfRule type="cellIs" dxfId="10567" priority="3304" operator="lessThan">
      <formula>0</formula>
    </cfRule>
  </conditionalFormatting>
  <conditionalFormatting sqref="R108">
    <cfRule type="cellIs" dxfId="10566" priority="3302" operator="lessThan">
      <formula>0.8</formula>
    </cfRule>
    <cfRule type="cellIs" dxfId="10565" priority="3303" operator="greaterThan">
      <formula>1</formula>
    </cfRule>
  </conditionalFormatting>
  <conditionalFormatting sqref="AG108 R108">
    <cfRule type="cellIs" dxfId="10564" priority="3300" operator="greaterThan">
      <formula>1</formula>
    </cfRule>
    <cfRule type="cellIs" dxfId="10563" priority="3301" operator="lessThan">
      <formula>0.8</formula>
    </cfRule>
  </conditionalFormatting>
  <conditionalFormatting sqref="P108">
    <cfRule type="cellIs" dxfId="10562" priority="3299" operator="greaterThan">
      <formula>0</formula>
    </cfRule>
  </conditionalFormatting>
  <conditionalFormatting sqref="AH97">
    <cfRule type="cellIs" dxfId="10561" priority="3294" operator="lessThan">
      <formula>0.8</formula>
    </cfRule>
  </conditionalFormatting>
  <conditionalFormatting sqref="AG96">
    <cfRule type="cellIs" dxfId="10560" priority="3296" operator="greaterThan">
      <formula>1</formula>
    </cfRule>
    <cfRule type="cellIs" dxfId="10559" priority="3297" operator="lessThan">
      <formula>0.8</formula>
    </cfRule>
  </conditionalFormatting>
  <conditionalFormatting sqref="AF96">
    <cfRule type="cellIs" dxfId="10558" priority="3298" operator="lessThan">
      <formula>0</formula>
    </cfRule>
  </conditionalFormatting>
  <conditionalFormatting sqref="AG97">
    <cfRule type="cellIs" dxfId="10557" priority="3292" operator="greaterThan">
      <formula>1</formula>
    </cfRule>
    <cfRule type="cellIs" dxfId="10556" priority="3293" operator="lessThan">
      <formula>0.8</formula>
    </cfRule>
  </conditionalFormatting>
  <conditionalFormatting sqref="AF97">
    <cfRule type="cellIs" dxfId="10555" priority="3295" operator="lessThan">
      <formula>0</formula>
    </cfRule>
  </conditionalFormatting>
  <conditionalFormatting sqref="AF71 AF73 AF75 AF77 AF79">
    <cfRule type="cellIs" dxfId="10554" priority="3289" operator="lessThan">
      <formula>0</formula>
    </cfRule>
  </conditionalFormatting>
  <conditionalFormatting sqref="S71 AH71">
    <cfRule type="cellIs" dxfId="10553" priority="3288" operator="lessThan">
      <formula>0.8</formula>
    </cfRule>
  </conditionalFormatting>
  <conditionalFormatting sqref="AG71 AG73 AG75 AG77 AG79">
    <cfRule type="cellIs" dxfId="10552" priority="3286" operator="greaterThan">
      <formula>1</formula>
    </cfRule>
    <cfRule type="cellIs" dxfId="10551" priority="3287" operator="lessThan">
      <formula>0.8</formula>
    </cfRule>
  </conditionalFormatting>
  <conditionalFormatting sqref="AF72 AF74 AF76 AF78 AF80">
    <cfRule type="cellIs" dxfId="10550" priority="3285" operator="lessThan">
      <formula>0</formula>
    </cfRule>
  </conditionalFormatting>
  <conditionalFormatting sqref="S72 AH72">
    <cfRule type="cellIs" dxfId="10549" priority="3284" operator="lessThan">
      <formula>0.8</formula>
    </cfRule>
  </conditionalFormatting>
  <conditionalFormatting sqref="S11">
    <cfRule type="cellIs" dxfId="10548" priority="3291" operator="lessThan">
      <formula>0.8</formula>
    </cfRule>
  </conditionalFormatting>
  <conditionalFormatting sqref="S10">
    <cfRule type="cellIs" dxfId="10547" priority="3290" operator="lessThan">
      <formula>0.8</formula>
    </cfRule>
  </conditionalFormatting>
  <conditionalFormatting sqref="AG72 AG74 AG76 AG78 AG80">
    <cfRule type="cellIs" dxfId="10546" priority="3282" operator="greaterThan">
      <formula>1</formula>
    </cfRule>
    <cfRule type="cellIs" dxfId="10545" priority="3283" operator="lessThan">
      <formula>0.8</formula>
    </cfRule>
  </conditionalFormatting>
  <conditionalFormatting sqref="AF13:AF16 Q15:Q16">
    <cfRule type="cellIs" dxfId="10544" priority="3281" operator="lessThan">
      <formula>0</formula>
    </cfRule>
  </conditionalFormatting>
  <conditionalFormatting sqref="R15:R16">
    <cfRule type="cellIs" dxfId="10543" priority="3279" operator="lessThan">
      <formula>0.8</formula>
    </cfRule>
    <cfRule type="cellIs" dxfId="10542" priority="3280" operator="greaterThan">
      <formula>1</formula>
    </cfRule>
  </conditionalFormatting>
  <conditionalFormatting sqref="AG12:AG16 R15:R16">
    <cfRule type="cellIs" dxfId="10541" priority="3277" operator="greaterThan">
      <formula>1</formula>
    </cfRule>
    <cfRule type="cellIs" dxfId="10540" priority="3278" operator="lessThan">
      <formula>0.8</formula>
    </cfRule>
  </conditionalFormatting>
  <conditionalFormatting sqref="P15:P16">
    <cfRule type="cellIs" dxfId="10539" priority="3276" operator="greaterThan">
      <formula>0</formula>
    </cfRule>
  </conditionalFormatting>
  <conditionalFormatting sqref="AF98 AF100 AF102 AF104">
    <cfRule type="cellIs" dxfId="10538" priority="3275" operator="lessThan">
      <formula>0</formula>
    </cfRule>
  </conditionalFormatting>
  <conditionalFormatting sqref="AH98">
    <cfRule type="cellIs" dxfId="10537" priority="3274" operator="lessThan">
      <formula>0.8</formula>
    </cfRule>
  </conditionalFormatting>
  <conditionalFormatting sqref="AG98 AG100 AG102 AG104">
    <cfRule type="cellIs" dxfId="10536" priority="3272" operator="greaterThan">
      <formula>1</formula>
    </cfRule>
    <cfRule type="cellIs" dxfId="10535" priority="3273" operator="lessThan">
      <formula>0.8</formula>
    </cfRule>
  </conditionalFormatting>
  <conditionalFormatting sqref="AF20 AF22 AF24 AF26 AF28">
    <cfRule type="cellIs" dxfId="10534" priority="3271" operator="lessThan">
      <formula>0</formula>
    </cfRule>
  </conditionalFormatting>
  <conditionalFormatting sqref="AG20 AG22 AG24 AG26 AG28">
    <cfRule type="cellIs" dxfId="10533" priority="3269" operator="greaterThan">
      <formula>1</formula>
    </cfRule>
    <cfRule type="cellIs" dxfId="10532" priority="3270" operator="lessThan">
      <formula>0.8</formula>
    </cfRule>
  </conditionalFormatting>
  <conditionalFormatting sqref="AF33">
    <cfRule type="cellIs" dxfId="10531" priority="3268" operator="lessThan">
      <formula>0</formula>
    </cfRule>
  </conditionalFormatting>
  <conditionalFormatting sqref="AG33">
    <cfRule type="cellIs" dxfId="10530" priority="3266" operator="greaterThan">
      <formula>1</formula>
    </cfRule>
    <cfRule type="cellIs" dxfId="10529" priority="3267" operator="lessThan">
      <formula>0.8</formula>
    </cfRule>
  </conditionalFormatting>
  <conditionalFormatting sqref="P41:P42">
    <cfRule type="cellIs" dxfId="10528" priority="3260" operator="greaterThan">
      <formula>0</formula>
    </cfRule>
  </conditionalFormatting>
  <conditionalFormatting sqref="Q41:Q42 AF34:AF42">
    <cfRule type="cellIs" dxfId="10527" priority="3265" operator="lessThan">
      <formula>0</formula>
    </cfRule>
  </conditionalFormatting>
  <conditionalFormatting sqref="R41:R42">
    <cfRule type="cellIs" dxfId="10526" priority="3263" operator="lessThan">
      <formula>0.8</formula>
    </cfRule>
    <cfRule type="cellIs" dxfId="10525" priority="3264" operator="greaterThan">
      <formula>1</formula>
    </cfRule>
  </conditionalFormatting>
  <conditionalFormatting sqref="R41:R42 AG34:AG42">
    <cfRule type="cellIs" dxfId="10524" priority="3261" operator="greaterThan">
      <formula>1</formula>
    </cfRule>
    <cfRule type="cellIs" dxfId="10523" priority="3262" operator="lessThan">
      <formula>0.8</formula>
    </cfRule>
  </conditionalFormatting>
  <conditionalFormatting sqref="AF137:AF144">
    <cfRule type="cellIs" dxfId="10522" priority="3259" operator="lessThan">
      <formula>0</formula>
    </cfRule>
  </conditionalFormatting>
  <conditionalFormatting sqref="AH137 S137">
    <cfRule type="cellIs" dxfId="10521" priority="3258" operator="lessThan">
      <formula>0.8</formula>
    </cfRule>
  </conditionalFormatting>
  <conditionalFormatting sqref="AG137:AG144">
    <cfRule type="cellIs" dxfId="10520" priority="3256" operator="greaterThan">
      <formula>1</formula>
    </cfRule>
    <cfRule type="cellIs" dxfId="10519" priority="3257" operator="lessThan">
      <formula>0.8</formula>
    </cfRule>
  </conditionalFormatting>
  <conditionalFormatting sqref="AF53:AF55">
    <cfRule type="cellIs" dxfId="10518" priority="3255" operator="lessThan">
      <formula>0</formula>
    </cfRule>
  </conditionalFormatting>
  <conditionalFormatting sqref="AG53:AG55">
    <cfRule type="cellIs" dxfId="10517" priority="3253" operator="greaterThan">
      <formula>1</formula>
    </cfRule>
    <cfRule type="cellIs" dxfId="10516" priority="3254" operator="lessThan">
      <formula>0.8</formula>
    </cfRule>
  </conditionalFormatting>
  <conditionalFormatting sqref="AF56 Q56">
    <cfRule type="cellIs" dxfId="10515" priority="3252" operator="lessThan">
      <formula>0</formula>
    </cfRule>
  </conditionalFormatting>
  <conditionalFormatting sqref="R56">
    <cfRule type="cellIs" dxfId="10514" priority="3250" operator="lessThan">
      <formula>0.8</formula>
    </cfRule>
    <cfRule type="cellIs" dxfId="10513" priority="3251" operator="greaterThan">
      <formula>1</formula>
    </cfRule>
  </conditionalFormatting>
  <conditionalFormatting sqref="AG56 R56">
    <cfRule type="cellIs" dxfId="10512" priority="3248" operator="greaterThan">
      <formula>1</formula>
    </cfRule>
    <cfRule type="cellIs" dxfId="10511" priority="3249" operator="lessThan">
      <formula>0.8</formula>
    </cfRule>
  </conditionalFormatting>
  <conditionalFormatting sqref="P56">
    <cfRule type="cellIs" dxfId="10510" priority="3247" operator="greaterThan">
      <formula>0</formula>
    </cfRule>
  </conditionalFormatting>
  <conditionalFormatting sqref="P52:P55">
    <cfRule type="cellIs" dxfId="10509" priority="3241" operator="greaterThan">
      <formula>0</formula>
    </cfRule>
  </conditionalFormatting>
  <conditionalFormatting sqref="Q52:Q55">
    <cfRule type="cellIs" dxfId="10508" priority="3246" operator="lessThan">
      <formula>0</formula>
    </cfRule>
  </conditionalFormatting>
  <conditionalFormatting sqref="R52:R55">
    <cfRule type="cellIs" dxfId="10507" priority="3244" operator="lessThan">
      <formula>0.8</formula>
    </cfRule>
    <cfRule type="cellIs" dxfId="10506" priority="3245" operator="greaterThan">
      <formula>1</formula>
    </cfRule>
  </conditionalFormatting>
  <conditionalFormatting sqref="R52:R55">
    <cfRule type="cellIs" dxfId="10505" priority="3242" operator="greaterThan">
      <formula>1</formula>
    </cfRule>
    <cfRule type="cellIs" dxfId="10504" priority="3243" operator="lessThan">
      <formula>0.8</formula>
    </cfRule>
  </conditionalFormatting>
  <conditionalFormatting sqref="P80:P81">
    <cfRule type="cellIs" dxfId="10503" priority="3235" operator="greaterThan">
      <formula>0</formula>
    </cfRule>
  </conditionalFormatting>
  <conditionalFormatting sqref="AF81 Q80:Q81">
    <cfRule type="cellIs" dxfId="10502" priority="3240" operator="lessThan">
      <formula>0</formula>
    </cfRule>
  </conditionalFormatting>
  <conditionalFormatting sqref="R80:R81">
    <cfRule type="cellIs" dxfId="10501" priority="3238" operator="lessThan">
      <formula>0.8</formula>
    </cfRule>
    <cfRule type="cellIs" dxfId="10500" priority="3239" operator="greaterThan">
      <formula>1</formula>
    </cfRule>
  </conditionalFormatting>
  <conditionalFormatting sqref="AG81 R80:R81">
    <cfRule type="cellIs" dxfId="10499" priority="3236" operator="greaterThan">
      <formula>1</formula>
    </cfRule>
    <cfRule type="cellIs" dxfId="10498" priority="3237" operator="lessThan">
      <formula>0.8</formula>
    </cfRule>
  </conditionalFormatting>
  <conditionalFormatting sqref="AH85">
    <cfRule type="cellIs" dxfId="10497" priority="3234" operator="lessThan">
      <formula>0.8</formula>
    </cfRule>
  </conditionalFormatting>
  <conditionalFormatting sqref="S85">
    <cfRule type="cellIs" dxfId="10496" priority="3233" operator="lessThan">
      <formula>0.8</formula>
    </cfRule>
  </conditionalFormatting>
  <conditionalFormatting sqref="AF99 AF101 AF103">
    <cfRule type="cellIs" dxfId="10495" priority="3232" operator="lessThan">
      <formula>0</formula>
    </cfRule>
  </conditionalFormatting>
  <conditionalFormatting sqref="AG99 AG101 AG103">
    <cfRule type="cellIs" dxfId="10494" priority="3230" operator="greaterThan">
      <formula>1</formula>
    </cfRule>
    <cfRule type="cellIs" dxfId="10493" priority="3231" operator="lessThan">
      <formula>0.8</formula>
    </cfRule>
  </conditionalFormatting>
  <conditionalFormatting sqref="AF105:AF107">
    <cfRule type="cellIs" dxfId="10492" priority="3229" operator="lessThan">
      <formula>0</formula>
    </cfRule>
  </conditionalFormatting>
  <conditionalFormatting sqref="AH100:AH107">
    <cfRule type="cellIs" dxfId="10491" priority="3228" operator="lessThan">
      <formula>0.8</formula>
    </cfRule>
  </conditionalFormatting>
  <conditionalFormatting sqref="AG105:AG107">
    <cfRule type="cellIs" dxfId="10490" priority="3226" operator="greaterThan">
      <formula>1</formula>
    </cfRule>
    <cfRule type="cellIs" dxfId="10489" priority="3227" operator="lessThan">
      <formula>0.8</formula>
    </cfRule>
  </conditionalFormatting>
  <conditionalFormatting sqref="P106:P107">
    <cfRule type="cellIs" dxfId="10488" priority="3220" operator="greaterThan">
      <formula>0</formula>
    </cfRule>
  </conditionalFormatting>
  <conditionalFormatting sqref="Q106:Q107">
    <cfRule type="cellIs" dxfId="10487" priority="3225" operator="lessThan">
      <formula>0</formula>
    </cfRule>
  </conditionalFormatting>
  <conditionalFormatting sqref="R106:R107">
    <cfRule type="cellIs" dxfId="10486" priority="3223" operator="lessThan">
      <formula>0.8</formula>
    </cfRule>
    <cfRule type="cellIs" dxfId="10485" priority="3224" operator="greaterThan">
      <formula>1</formula>
    </cfRule>
  </conditionalFormatting>
  <conditionalFormatting sqref="R106:R107">
    <cfRule type="cellIs" dxfId="10484" priority="3221" operator="greaterThan">
      <formula>1</formula>
    </cfRule>
    <cfRule type="cellIs" dxfId="10483" priority="3222" operator="lessThan">
      <formula>0.8</formula>
    </cfRule>
  </conditionalFormatting>
  <conditionalFormatting sqref="AF109">
    <cfRule type="cellIs" dxfId="10482" priority="3219" operator="lessThan">
      <formula>0</formula>
    </cfRule>
  </conditionalFormatting>
  <conditionalFormatting sqref="S109">
    <cfRule type="cellIs" dxfId="10481" priority="3218" operator="lessThan">
      <formula>0.8</formula>
    </cfRule>
  </conditionalFormatting>
  <conditionalFormatting sqref="AG109">
    <cfRule type="cellIs" dxfId="10480" priority="3216" operator="greaterThan">
      <formula>1</formula>
    </cfRule>
    <cfRule type="cellIs" dxfId="10479" priority="3217" operator="lessThan">
      <formula>0.8</formula>
    </cfRule>
  </conditionalFormatting>
  <conditionalFormatting sqref="S150">
    <cfRule type="cellIs" dxfId="10478" priority="3215" operator="lessThan">
      <formula>0.8</formula>
    </cfRule>
  </conditionalFormatting>
  <conditionalFormatting sqref="AH150">
    <cfRule type="cellIs" dxfId="10477" priority="3214" operator="lessThan">
      <formula>0.8</formula>
    </cfRule>
  </conditionalFormatting>
  <conditionalFormatting sqref="S149">
    <cfRule type="cellIs" dxfId="10476" priority="3213" operator="lessThan">
      <formula>0.8</formula>
    </cfRule>
  </conditionalFormatting>
  <conditionalFormatting sqref="Q26:Q29">
    <cfRule type="cellIs" dxfId="10475" priority="3212" operator="lessThan">
      <formula>0</formula>
    </cfRule>
  </conditionalFormatting>
  <conditionalFormatting sqref="S21:S29 AH21:AH29">
    <cfRule type="cellIs" dxfId="10474" priority="3211" operator="lessThan">
      <formula>0.8</formula>
    </cfRule>
  </conditionalFormatting>
  <conditionalFormatting sqref="R26:R29">
    <cfRule type="cellIs" dxfId="10473" priority="3209" operator="lessThan">
      <formula>0.8</formula>
    </cfRule>
    <cfRule type="cellIs" dxfId="10472" priority="3210" operator="greaterThan">
      <formula>1</formula>
    </cfRule>
  </conditionalFormatting>
  <conditionalFormatting sqref="R26:R29">
    <cfRule type="cellIs" dxfId="10471" priority="3207" operator="greaterThan">
      <formula>1</formula>
    </cfRule>
    <cfRule type="cellIs" dxfId="10470" priority="3208" operator="lessThan">
      <formula>0.8</formula>
    </cfRule>
  </conditionalFormatting>
  <conditionalFormatting sqref="P26:P29">
    <cfRule type="cellIs" dxfId="10469" priority="3206" operator="greaterThan">
      <formula>0</formula>
    </cfRule>
  </conditionalFormatting>
  <conditionalFormatting sqref="AH91 S91">
    <cfRule type="cellIs" dxfId="10468" priority="3205" operator="lessThan">
      <formula>0.8</formula>
    </cfRule>
  </conditionalFormatting>
  <conditionalFormatting sqref="P92:P94">
    <cfRule type="cellIs" dxfId="10467" priority="3199" operator="greaterThan">
      <formula>0</formula>
    </cfRule>
  </conditionalFormatting>
  <conditionalFormatting sqref="Q92:Q94">
    <cfRule type="cellIs" dxfId="10466" priority="3204" operator="lessThan">
      <formula>0</formula>
    </cfRule>
  </conditionalFormatting>
  <conditionalFormatting sqref="R92:R94">
    <cfRule type="cellIs" dxfId="10465" priority="3202" operator="lessThan">
      <formula>0.8</formula>
    </cfRule>
    <cfRule type="cellIs" dxfId="10464" priority="3203" operator="greaterThan">
      <formula>1</formula>
    </cfRule>
  </conditionalFormatting>
  <conditionalFormatting sqref="R92:R94">
    <cfRule type="cellIs" dxfId="10463" priority="3200" operator="greaterThan">
      <formula>1</formula>
    </cfRule>
    <cfRule type="cellIs" dxfId="10462" priority="3201" operator="lessThan">
      <formula>0.8</formula>
    </cfRule>
  </conditionalFormatting>
  <conditionalFormatting sqref="AF146 Q145:Q146">
    <cfRule type="cellIs" dxfId="10461" priority="3198" operator="lessThan">
      <formula>0</formula>
    </cfRule>
  </conditionalFormatting>
  <conditionalFormatting sqref="AH139:AH146 S139:S146">
    <cfRule type="cellIs" dxfId="10460" priority="3197" operator="lessThan">
      <formula>0.8</formula>
    </cfRule>
  </conditionalFormatting>
  <conditionalFormatting sqref="R145:R146">
    <cfRule type="cellIs" dxfId="10459" priority="3195" operator="lessThan">
      <formula>0.8</formula>
    </cfRule>
    <cfRule type="cellIs" dxfId="10458" priority="3196" operator="greaterThan">
      <formula>1</formula>
    </cfRule>
  </conditionalFormatting>
  <conditionalFormatting sqref="AG146 R145:R146">
    <cfRule type="cellIs" dxfId="10457" priority="3193" operator="greaterThan">
      <formula>1</formula>
    </cfRule>
    <cfRule type="cellIs" dxfId="10456" priority="3194" operator="lessThan">
      <formula>0.8</formula>
    </cfRule>
  </conditionalFormatting>
  <conditionalFormatting sqref="P145:P146">
    <cfRule type="cellIs" dxfId="10455" priority="3192" operator="greaterThan">
      <formula>0</formula>
    </cfRule>
  </conditionalFormatting>
  <conditionalFormatting sqref="Q119:Q120">
    <cfRule type="cellIs" dxfId="10454" priority="3191" operator="lessThan">
      <formula>0</formula>
    </cfRule>
  </conditionalFormatting>
  <conditionalFormatting sqref="R119:R120">
    <cfRule type="cellIs" dxfId="10453" priority="3189" operator="lessThan">
      <formula>0.8</formula>
    </cfRule>
    <cfRule type="cellIs" dxfId="10452" priority="3190" operator="greaterThan">
      <formula>1</formula>
    </cfRule>
  </conditionalFormatting>
  <conditionalFormatting sqref="R119:R120">
    <cfRule type="cellIs" dxfId="10451" priority="3187" operator="greaterThan">
      <formula>1</formula>
    </cfRule>
    <cfRule type="cellIs" dxfId="10450" priority="3188" operator="lessThan">
      <formula>0.8</formula>
    </cfRule>
  </conditionalFormatting>
  <conditionalFormatting sqref="P119:P120">
    <cfRule type="cellIs" dxfId="10449" priority="3186" operator="greaterThan">
      <formula>0</formula>
    </cfRule>
  </conditionalFormatting>
  <conditionalFormatting sqref="AF118:AF120">
    <cfRule type="cellIs" dxfId="10448" priority="3185" operator="lessThan">
      <formula>0</formula>
    </cfRule>
  </conditionalFormatting>
  <conditionalFormatting sqref="AG118:AG120">
    <cfRule type="cellIs" dxfId="10447" priority="3183" operator="greaterThan">
      <formula>1</formula>
    </cfRule>
    <cfRule type="cellIs" dxfId="10446" priority="3184" operator="lessThan">
      <formula>0.8</formula>
    </cfRule>
  </conditionalFormatting>
  <conditionalFormatting sqref="S44:S56">
    <cfRule type="cellIs" dxfId="10445" priority="3182" operator="lessThan">
      <formula>0.8</formula>
    </cfRule>
  </conditionalFormatting>
  <conditionalFormatting sqref="S108">
    <cfRule type="cellIs" dxfId="10444" priority="3181" operator="lessThan">
      <formula>0.8</formula>
    </cfRule>
  </conditionalFormatting>
  <conditionalFormatting sqref="S96">
    <cfRule type="cellIs" dxfId="10443" priority="3180" operator="lessThan">
      <formula>0.8</formula>
    </cfRule>
  </conditionalFormatting>
  <conditionalFormatting sqref="S97">
    <cfRule type="cellIs" dxfId="10442" priority="3179" operator="lessThan">
      <formula>0.8</formula>
    </cfRule>
  </conditionalFormatting>
  <conditionalFormatting sqref="S103">
    <cfRule type="cellIs" dxfId="10441" priority="3178" operator="lessThan">
      <formula>0.8</formula>
    </cfRule>
  </conditionalFormatting>
  <conditionalFormatting sqref="S99">
    <cfRule type="cellIs" dxfId="10440" priority="3177" operator="lessThan">
      <formula>0.8</formula>
    </cfRule>
  </conditionalFormatting>
  <conditionalFormatting sqref="S101">
    <cfRule type="cellIs" dxfId="10439" priority="3174" operator="lessThan">
      <formula>0.8</formula>
    </cfRule>
  </conditionalFormatting>
  <conditionalFormatting sqref="S100">
    <cfRule type="cellIs" dxfId="10438" priority="3176" operator="lessThan">
      <formula>0.8</formula>
    </cfRule>
  </conditionalFormatting>
  <conditionalFormatting sqref="S102">
    <cfRule type="cellIs" dxfId="10437" priority="3175" operator="lessThan">
      <formula>0.8</formula>
    </cfRule>
  </conditionalFormatting>
  <conditionalFormatting sqref="S98">
    <cfRule type="cellIs" dxfId="10436" priority="3173" operator="lessThan">
      <formula>0.8</formula>
    </cfRule>
  </conditionalFormatting>
  <conditionalFormatting sqref="S104">
    <cfRule type="cellIs" dxfId="10435" priority="3172" operator="lessThan">
      <formula>0.8</formula>
    </cfRule>
  </conditionalFormatting>
  <conditionalFormatting sqref="P118">
    <cfRule type="cellIs" dxfId="10434" priority="3166" operator="greaterThan">
      <formula>0</formula>
    </cfRule>
  </conditionalFormatting>
  <conditionalFormatting sqref="Q118">
    <cfRule type="cellIs" dxfId="10433" priority="3171" operator="lessThan">
      <formula>0</formula>
    </cfRule>
  </conditionalFormatting>
  <conditionalFormatting sqref="R118">
    <cfRule type="cellIs" dxfId="10432" priority="3169" operator="lessThan">
      <formula>0.8</formula>
    </cfRule>
    <cfRule type="cellIs" dxfId="10431" priority="3170" operator="greaterThan">
      <formula>1</formula>
    </cfRule>
  </conditionalFormatting>
  <conditionalFormatting sqref="R118">
    <cfRule type="cellIs" dxfId="10430" priority="3167" operator="greaterThan">
      <formula>1</formula>
    </cfRule>
    <cfRule type="cellIs" dxfId="10429" priority="3168" operator="lessThan">
      <formula>0.8</formula>
    </cfRule>
  </conditionalFormatting>
  <conditionalFormatting sqref="Q162:Q166">
    <cfRule type="cellIs" dxfId="10428" priority="3165" operator="lessThan">
      <formula>0</formula>
    </cfRule>
  </conditionalFormatting>
  <conditionalFormatting sqref="R162:R166">
    <cfRule type="cellIs" dxfId="10427" priority="3163" operator="lessThan">
      <formula>0.8</formula>
    </cfRule>
    <cfRule type="cellIs" dxfId="10426" priority="3164" operator="greaterThan">
      <formula>1</formula>
    </cfRule>
  </conditionalFormatting>
  <conditionalFormatting sqref="R162:R166">
    <cfRule type="cellIs" dxfId="10425" priority="3161" operator="greaterThan">
      <formula>1</formula>
    </cfRule>
    <cfRule type="cellIs" dxfId="10424" priority="3162" operator="lessThan">
      <formula>0.8</formula>
    </cfRule>
  </conditionalFormatting>
  <conditionalFormatting sqref="P162:P166">
    <cfRule type="cellIs" dxfId="10423" priority="3160" operator="greaterThan">
      <formula>0</formula>
    </cfRule>
  </conditionalFormatting>
  <conditionalFormatting sqref="P167:P168">
    <cfRule type="cellIs" dxfId="10422" priority="3154" operator="greaterThan">
      <formula>0</formula>
    </cfRule>
  </conditionalFormatting>
  <conditionalFormatting sqref="R167:R168">
    <cfRule type="cellIs" dxfId="10421" priority="3157" operator="lessThan">
      <formula>0.8</formula>
    </cfRule>
    <cfRule type="cellIs" dxfId="10420" priority="3158" operator="greaterThan">
      <formula>1</formula>
    </cfRule>
  </conditionalFormatting>
  <conditionalFormatting sqref="R167:R168">
    <cfRule type="cellIs" dxfId="10419" priority="3155" operator="greaterThan">
      <formula>1</formula>
    </cfRule>
    <cfRule type="cellIs" dxfId="10418" priority="3156" operator="lessThan">
      <formula>0.8</formula>
    </cfRule>
  </conditionalFormatting>
  <conditionalFormatting sqref="Q167:Q168">
    <cfRule type="cellIs" dxfId="10417" priority="3159" operator="lessThan">
      <formula>0</formula>
    </cfRule>
  </conditionalFormatting>
  <conditionalFormatting sqref="Q117">
    <cfRule type="cellIs" dxfId="10416" priority="3153" operator="lessThan">
      <formula>0</formula>
    </cfRule>
  </conditionalFormatting>
  <conditionalFormatting sqref="R117">
    <cfRule type="cellIs" dxfId="10415" priority="3151" operator="lessThan">
      <formula>0.8</formula>
    </cfRule>
    <cfRule type="cellIs" dxfId="10414" priority="3152" operator="greaterThan">
      <formula>1</formula>
    </cfRule>
  </conditionalFormatting>
  <conditionalFormatting sqref="R117">
    <cfRule type="cellIs" dxfId="10413" priority="3149" operator="greaterThan">
      <formula>1</formula>
    </cfRule>
    <cfRule type="cellIs" dxfId="10412" priority="3150" operator="lessThan">
      <formula>0.8</formula>
    </cfRule>
  </conditionalFormatting>
  <conditionalFormatting sqref="P117">
    <cfRule type="cellIs" dxfId="10411" priority="3148" operator="greaterThan">
      <formula>0</formula>
    </cfRule>
  </conditionalFormatting>
  <conditionalFormatting sqref="Q117">
    <cfRule type="cellIs" dxfId="10410" priority="3147" operator="lessThan">
      <formula>0</formula>
    </cfRule>
  </conditionalFormatting>
  <conditionalFormatting sqref="R117">
    <cfRule type="cellIs" dxfId="10409" priority="3145" operator="lessThan">
      <formula>0.8</formula>
    </cfRule>
    <cfRule type="cellIs" dxfId="10408" priority="3146" operator="greaterThan">
      <formula>1</formula>
    </cfRule>
  </conditionalFormatting>
  <conditionalFormatting sqref="R117">
    <cfRule type="cellIs" dxfId="10407" priority="3143" operator="greaterThan">
      <formula>1</formula>
    </cfRule>
    <cfRule type="cellIs" dxfId="10406" priority="3144" operator="lessThan">
      <formula>0.8</formula>
    </cfRule>
  </conditionalFormatting>
  <conditionalFormatting sqref="P117">
    <cfRule type="cellIs" dxfId="10405" priority="3142" operator="greaterThan">
      <formula>0</formula>
    </cfRule>
  </conditionalFormatting>
  <conditionalFormatting sqref="P117">
    <cfRule type="cellIs" dxfId="10404" priority="3136" operator="greaterThan">
      <formula>0</formula>
    </cfRule>
  </conditionalFormatting>
  <conditionalFormatting sqref="Q117">
    <cfRule type="cellIs" dxfId="10403" priority="3141" operator="lessThan">
      <formula>0</formula>
    </cfRule>
  </conditionalFormatting>
  <conditionalFormatting sqref="R117">
    <cfRule type="cellIs" dxfId="10402" priority="3139" operator="lessThan">
      <formula>0.8</formula>
    </cfRule>
    <cfRule type="cellIs" dxfId="10401" priority="3140" operator="greaterThan">
      <formula>1</formula>
    </cfRule>
  </conditionalFormatting>
  <conditionalFormatting sqref="R117">
    <cfRule type="cellIs" dxfId="10400" priority="3137" operator="greaterThan">
      <formula>1</formula>
    </cfRule>
    <cfRule type="cellIs" dxfId="10399" priority="3138" operator="lessThan">
      <formula>0.8</formula>
    </cfRule>
  </conditionalFormatting>
  <conditionalFormatting sqref="P117">
    <cfRule type="cellIs" dxfId="10398" priority="3130" operator="greaterThan">
      <formula>0</formula>
    </cfRule>
  </conditionalFormatting>
  <conditionalFormatting sqref="Q117">
    <cfRule type="cellIs" dxfId="10397" priority="3135" operator="lessThan">
      <formula>0</formula>
    </cfRule>
  </conditionalFormatting>
  <conditionalFormatting sqref="R117">
    <cfRule type="cellIs" dxfId="10396" priority="3133" operator="lessThan">
      <formula>0.8</formula>
    </cfRule>
    <cfRule type="cellIs" dxfId="10395" priority="3134" operator="greaterThan">
      <formula>1</formula>
    </cfRule>
  </conditionalFormatting>
  <conditionalFormatting sqref="R117">
    <cfRule type="cellIs" dxfId="10394" priority="3131" operator="greaterThan">
      <formula>1</formula>
    </cfRule>
    <cfRule type="cellIs" dxfId="10393" priority="3132" operator="lessThan">
      <formula>0.8</formula>
    </cfRule>
  </conditionalFormatting>
  <conditionalFormatting sqref="P117">
    <cfRule type="cellIs" dxfId="10392" priority="3124" operator="greaterThan">
      <formula>0</formula>
    </cfRule>
  </conditionalFormatting>
  <conditionalFormatting sqref="Q117">
    <cfRule type="cellIs" dxfId="10391" priority="3129" operator="lessThan">
      <formula>0</formula>
    </cfRule>
  </conditionalFormatting>
  <conditionalFormatting sqref="R117">
    <cfRule type="cellIs" dxfId="10390" priority="3127" operator="lessThan">
      <formula>0.8</formula>
    </cfRule>
    <cfRule type="cellIs" dxfId="10389" priority="3128" operator="greaterThan">
      <formula>1</formula>
    </cfRule>
  </conditionalFormatting>
  <conditionalFormatting sqref="R117">
    <cfRule type="cellIs" dxfId="10388" priority="3125" operator="greaterThan">
      <formula>1</formula>
    </cfRule>
    <cfRule type="cellIs" dxfId="10387" priority="3126" operator="lessThan">
      <formula>0.8</formula>
    </cfRule>
  </conditionalFormatting>
  <conditionalFormatting sqref="Q117">
    <cfRule type="cellIs" dxfId="10386" priority="3123" operator="lessThan">
      <formula>0</formula>
    </cfRule>
  </conditionalFormatting>
  <conditionalFormatting sqref="R117">
    <cfRule type="cellIs" dxfId="10385" priority="3121" operator="lessThan">
      <formula>0.8</formula>
    </cfRule>
    <cfRule type="cellIs" dxfId="10384" priority="3122" operator="greaterThan">
      <formula>1</formula>
    </cfRule>
  </conditionalFormatting>
  <conditionalFormatting sqref="R117">
    <cfRule type="cellIs" dxfId="10383" priority="3119" operator="greaterThan">
      <formula>1</formula>
    </cfRule>
    <cfRule type="cellIs" dxfId="10382" priority="3120" operator="lessThan">
      <formula>0.8</formula>
    </cfRule>
  </conditionalFormatting>
  <conditionalFormatting sqref="P117">
    <cfRule type="cellIs" dxfId="10381" priority="3118" operator="greaterThan">
      <formula>0</formula>
    </cfRule>
  </conditionalFormatting>
  <conditionalFormatting sqref="P117">
    <cfRule type="cellIs" dxfId="10380" priority="3112" operator="greaterThan">
      <formula>0</formula>
    </cfRule>
  </conditionalFormatting>
  <conditionalFormatting sqref="Q117">
    <cfRule type="cellIs" dxfId="10379" priority="3117" operator="lessThan">
      <formula>0</formula>
    </cfRule>
  </conditionalFormatting>
  <conditionalFormatting sqref="R117">
    <cfRule type="cellIs" dxfId="10378" priority="3115" operator="lessThan">
      <formula>0.8</formula>
    </cfRule>
    <cfRule type="cellIs" dxfId="10377" priority="3116" operator="greaterThan">
      <formula>1</formula>
    </cfRule>
  </conditionalFormatting>
  <conditionalFormatting sqref="R117">
    <cfRule type="cellIs" dxfId="10376" priority="3113" operator="greaterThan">
      <formula>1</formula>
    </cfRule>
    <cfRule type="cellIs" dxfId="10375" priority="3114" operator="lessThan">
      <formula>0.8</formula>
    </cfRule>
  </conditionalFormatting>
  <conditionalFormatting sqref="P117">
    <cfRule type="cellIs" dxfId="10374" priority="3106" operator="greaterThan">
      <formula>0</formula>
    </cfRule>
  </conditionalFormatting>
  <conditionalFormatting sqref="Q117">
    <cfRule type="cellIs" dxfId="10373" priority="3111" operator="lessThan">
      <formula>0</formula>
    </cfRule>
  </conditionalFormatting>
  <conditionalFormatting sqref="R117">
    <cfRule type="cellIs" dxfId="10372" priority="3109" operator="lessThan">
      <formula>0.8</formula>
    </cfRule>
    <cfRule type="cellIs" dxfId="10371" priority="3110" operator="greaterThan">
      <formula>1</formula>
    </cfRule>
  </conditionalFormatting>
  <conditionalFormatting sqref="R117">
    <cfRule type="cellIs" dxfId="10370" priority="3107" operator="greaterThan">
      <formula>1</formula>
    </cfRule>
    <cfRule type="cellIs" dxfId="10369" priority="3108" operator="lessThan">
      <formula>0.8</formula>
    </cfRule>
  </conditionalFormatting>
  <conditionalFormatting sqref="Q117">
    <cfRule type="cellIs" dxfId="10368" priority="3105" operator="lessThan">
      <formula>0</formula>
    </cfRule>
  </conditionalFormatting>
  <conditionalFormatting sqref="R117">
    <cfRule type="cellIs" dxfId="10367" priority="3103" operator="lessThan">
      <formula>0.8</formula>
    </cfRule>
    <cfRule type="cellIs" dxfId="10366" priority="3104" operator="greaterThan">
      <formula>1</formula>
    </cfRule>
  </conditionalFormatting>
  <conditionalFormatting sqref="R117">
    <cfRule type="cellIs" dxfId="10365" priority="3101" operator="greaterThan">
      <formula>1</formula>
    </cfRule>
    <cfRule type="cellIs" dxfId="10364" priority="3102" operator="lessThan">
      <formula>0.8</formula>
    </cfRule>
  </conditionalFormatting>
  <conditionalFormatting sqref="P117">
    <cfRule type="cellIs" dxfId="10363" priority="3100" operator="greaterThan">
      <formula>0</formula>
    </cfRule>
  </conditionalFormatting>
  <conditionalFormatting sqref="P117">
    <cfRule type="cellIs" dxfId="10362" priority="3094" operator="greaterThan">
      <formula>0</formula>
    </cfRule>
  </conditionalFormatting>
  <conditionalFormatting sqref="Q117">
    <cfRule type="cellIs" dxfId="10361" priority="3099" operator="lessThan">
      <formula>0</formula>
    </cfRule>
  </conditionalFormatting>
  <conditionalFormatting sqref="R117">
    <cfRule type="cellIs" dxfId="10360" priority="3097" operator="lessThan">
      <formula>0.8</formula>
    </cfRule>
    <cfRule type="cellIs" dxfId="10359" priority="3098" operator="greaterThan">
      <formula>1</formula>
    </cfRule>
  </conditionalFormatting>
  <conditionalFormatting sqref="R117">
    <cfRule type="cellIs" dxfId="10358" priority="3095" operator="greaterThan">
      <formula>1</formula>
    </cfRule>
    <cfRule type="cellIs" dxfId="10357" priority="3096" operator="lessThan">
      <formula>0.8</formula>
    </cfRule>
  </conditionalFormatting>
  <conditionalFormatting sqref="Q117">
    <cfRule type="cellIs" dxfId="10356" priority="3093" operator="lessThan">
      <formula>0</formula>
    </cfRule>
  </conditionalFormatting>
  <conditionalFormatting sqref="R117">
    <cfRule type="cellIs" dxfId="10355" priority="3091" operator="lessThan">
      <formula>0.8</formula>
    </cfRule>
    <cfRule type="cellIs" dxfId="10354" priority="3092" operator="greaterThan">
      <formula>1</formula>
    </cfRule>
  </conditionalFormatting>
  <conditionalFormatting sqref="R117">
    <cfRule type="cellIs" dxfId="10353" priority="3089" operator="greaterThan">
      <formula>1</formula>
    </cfRule>
    <cfRule type="cellIs" dxfId="10352" priority="3090" operator="lessThan">
      <formula>0.8</formula>
    </cfRule>
  </conditionalFormatting>
  <conditionalFormatting sqref="P117">
    <cfRule type="cellIs" dxfId="10351" priority="3088" operator="greaterThan">
      <formula>0</formula>
    </cfRule>
  </conditionalFormatting>
  <conditionalFormatting sqref="Q117">
    <cfRule type="cellIs" dxfId="10350" priority="3087" operator="lessThan">
      <formula>0</formula>
    </cfRule>
  </conditionalFormatting>
  <conditionalFormatting sqref="R117">
    <cfRule type="cellIs" dxfId="10349" priority="3085" operator="lessThan">
      <formula>0.8</formula>
    </cfRule>
    <cfRule type="cellIs" dxfId="10348" priority="3086" operator="greaterThan">
      <formula>1</formula>
    </cfRule>
  </conditionalFormatting>
  <conditionalFormatting sqref="R117">
    <cfRule type="cellIs" dxfId="10347" priority="3083" operator="greaterThan">
      <formula>1</formula>
    </cfRule>
    <cfRule type="cellIs" dxfId="10346" priority="3084" operator="lessThan">
      <formula>0.8</formula>
    </cfRule>
  </conditionalFormatting>
  <conditionalFormatting sqref="P117">
    <cfRule type="cellIs" dxfId="10345" priority="3082" operator="greaterThan">
      <formula>0</formula>
    </cfRule>
  </conditionalFormatting>
  <conditionalFormatting sqref="Q83">
    <cfRule type="cellIs" dxfId="10344" priority="3081" operator="lessThan">
      <formula>0</formula>
    </cfRule>
  </conditionalFormatting>
  <conditionalFormatting sqref="R83">
    <cfRule type="cellIs" dxfId="10343" priority="3079" operator="lessThan">
      <formula>0.8</formula>
    </cfRule>
    <cfRule type="cellIs" dxfId="10342" priority="3080" operator="greaterThan">
      <formula>1</formula>
    </cfRule>
  </conditionalFormatting>
  <conditionalFormatting sqref="R83">
    <cfRule type="cellIs" dxfId="10341" priority="3077" operator="greaterThan">
      <formula>1</formula>
    </cfRule>
    <cfRule type="cellIs" dxfId="10340" priority="3078" operator="lessThan">
      <formula>0.8</formula>
    </cfRule>
  </conditionalFormatting>
  <conditionalFormatting sqref="P83">
    <cfRule type="cellIs" dxfId="10339" priority="3076" operator="greaterThan">
      <formula>0</formula>
    </cfRule>
  </conditionalFormatting>
  <conditionalFormatting sqref="Q83">
    <cfRule type="cellIs" dxfId="10338" priority="3075" operator="lessThan">
      <formula>0</formula>
    </cfRule>
  </conditionalFormatting>
  <conditionalFormatting sqref="R83">
    <cfRule type="cellIs" dxfId="10337" priority="3073" operator="lessThan">
      <formula>0.8</formula>
    </cfRule>
    <cfRule type="cellIs" dxfId="10336" priority="3074" operator="greaterThan">
      <formula>1</formula>
    </cfRule>
  </conditionalFormatting>
  <conditionalFormatting sqref="R83">
    <cfRule type="cellIs" dxfId="10335" priority="3071" operator="greaterThan">
      <formula>1</formula>
    </cfRule>
    <cfRule type="cellIs" dxfId="10334" priority="3072" operator="lessThan">
      <formula>0.8</formula>
    </cfRule>
  </conditionalFormatting>
  <conditionalFormatting sqref="P83">
    <cfRule type="cellIs" dxfId="10333" priority="3070" operator="greaterThan">
      <formula>0</formula>
    </cfRule>
  </conditionalFormatting>
  <conditionalFormatting sqref="Q83">
    <cfRule type="cellIs" dxfId="10332" priority="3069" operator="lessThan">
      <formula>0</formula>
    </cfRule>
  </conditionalFormatting>
  <conditionalFormatting sqref="R83">
    <cfRule type="cellIs" dxfId="10331" priority="3067" operator="lessThan">
      <formula>0.8</formula>
    </cfRule>
    <cfRule type="cellIs" dxfId="10330" priority="3068" operator="greaterThan">
      <formula>1</formula>
    </cfRule>
  </conditionalFormatting>
  <conditionalFormatting sqref="R83">
    <cfRule type="cellIs" dxfId="10329" priority="3065" operator="greaterThan">
      <formula>1</formula>
    </cfRule>
    <cfRule type="cellIs" dxfId="10328" priority="3066" operator="lessThan">
      <formula>0.8</formula>
    </cfRule>
  </conditionalFormatting>
  <conditionalFormatting sqref="P83">
    <cfRule type="cellIs" dxfId="10327" priority="3064" operator="greaterThan">
      <formula>0</formula>
    </cfRule>
  </conditionalFormatting>
  <conditionalFormatting sqref="Q83">
    <cfRule type="cellIs" dxfId="10326" priority="3063" operator="lessThan">
      <formula>0</formula>
    </cfRule>
  </conditionalFormatting>
  <conditionalFormatting sqref="R83">
    <cfRule type="cellIs" dxfId="10325" priority="3061" operator="lessThan">
      <formula>0.8</formula>
    </cfRule>
    <cfRule type="cellIs" dxfId="10324" priority="3062" operator="greaterThan">
      <formula>1</formula>
    </cfRule>
  </conditionalFormatting>
  <conditionalFormatting sqref="R83">
    <cfRule type="cellIs" dxfId="10323" priority="3059" operator="greaterThan">
      <formula>1</formula>
    </cfRule>
    <cfRule type="cellIs" dxfId="10322" priority="3060" operator="lessThan">
      <formula>0.8</formula>
    </cfRule>
  </conditionalFormatting>
  <conditionalFormatting sqref="P83">
    <cfRule type="cellIs" dxfId="10321" priority="3058" operator="greaterThan">
      <formula>0</formula>
    </cfRule>
  </conditionalFormatting>
  <conditionalFormatting sqref="P83">
    <cfRule type="cellIs" dxfId="10320" priority="3052" operator="greaterThan">
      <formula>0</formula>
    </cfRule>
  </conditionalFormatting>
  <conditionalFormatting sqref="Q83">
    <cfRule type="cellIs" dxfId="10319" priority="3057" operator="lessThan">
      <formula>0</formula>
    </cfRule>
  </conditionalFormatting>
  <conditionalFormatting sqref="R83">
    <cfRule type="cellIs" dxfId="10318" priority="3055" operator="lessThan">
      <formula>0.8</formula>
    </cfRule>
    <cfRule type="cellIs" dxfId="10317" priority="3056" operator="greaterThan">
      <formula>1</formula>
    </cfRule>
  </conditionalFormatting>
  <conditionalFormatting sqref="R83">
    <cfRule type="cellIs" dxfId="10316" priority="3053" operator="greaterThan">
      <formula>1</formula>
    </cfRule>
    <cfRule type="cellIs" dxfId="10315" priority="3054" operator="lessThan">
      <formula>0.8</formula>
    </cfRule>
  </conditionalFormatting>
  <conditionalFormatting sqref="P83">
    <cfRule type="cellIs" dxfId="10314" priority="3046" operator="greaterThan">
      <formula>0</formula>
    </cfRule>
  </conditionalFormatting>
  <conditionalFormatting sqref="Q83">
    <cfRule type="cellIs" dxfId="10313" priority="3051" operator="lessThan">
      <formula>0</formula>
    </cfRule>
  </conditionalFormatting>
  <conditionalFormatting sqref="R83">
    <cfRule type="cellIs" dxfId="10312" priority="3049" operator="lessThan">
      <formula>0.8</formula>
    </cfRule>
    <cfRule type="cellIs" dxfId="10311" priority="3050" operator="greaterThan">
      <formula>1</formula>
    </cfRule>
  </conditionalFormatting>
  <conditionalFormatting sqref="R83">
    <cfRule type="cellIs" dxfId="10310" priority="3047" operator="greaterThan">
      <formula>1</formula>
    </cfRule>
    <cfRule type="cellIs" dxfId="10309" priority="3048" operator="lessThan">
      <formula>0.8</formula>
    </cfRule>
  </conditionalFormatting>
  <conditionalFormatting sqref="R83">
    <cfRule type="cellIs" dxfId="10308" priority="3043" operator="lessThan">
      <formula>0.8</formula>
    </cfRule>
    <cfRule type="cellIs" dxfId="10307" priority="3044" operator="greaterThan">
      <formula>1</formula>
    </cfRule>
  </conditionalFormatting>
  <conditionalFormatting sqref="R83">
    <cfRule type="cellIs" dxfId="10306" priority="3041" operator="greaterThan">
      <formula>1</formula>
    </cfRule>
    <cfRule type="cellIs" dxfId="10305" priority="3042" operator="lessThan">
      <formula>0.8</formula>
    </cfRule>
  </conditionalFormatting>
  <conditionalFormatting sqref="P83">
    <cfRule type="cellIs" dxfId="10304" priority="3040" operator="greaterThan">
      <formula>0</formula>
    </cfRule>
  </conditionalFormatting>
  <conditionalFormatting sqref="Q83">
    <cfRule type="cellIs" dxfId="10303" priority="3045" operator="lessThan">
      <formula>0</formula>
    </cfRule>
  </conditionalFormatting>
  <conditionalFormatting sqref="Q83">
    <cfRule type="cellIs" dxfId="10302" priority="3039" operator="lessThan">
      <formula>0</formula>
    </cfRule>
  </conditionalFormatting>
  <conditionalFormatting sqref="R83">
    <cfRule type="cellIs" dxfId="10301" priority="3037" operator="lessThan">
      <formula>0.8</formula>
    </cfRule>
    <cfRule type="cellIs" dxfId="10300" priority="3038" operator="greaterThan">
      <formula>1</formula>
    </cfRule>
  </conditionalFormatting>
  <conditionalFormatting sqref="R83">
    <cfRule type="cellIs" dxfId="10299" priority="3035" operator="greaterThan">
      <formula>1</formula>
    </cfRule>
    <cfRule type="cellIs" dxfId="10298" priority="3036" operator="lessThan">
      <formula>0.8</formula>
    </cfRule>
  </conditionalFormatting>
  <conditionalFormatting sqref="P83">
    <cfRule type="cellIs" dxfId="10297" priority="3034" operator="greaterThan">
      <formula>0</formula>
    </cfRule>
  </conditionalFormatting>
  <conditionalFormatting sqref="P83">
    <cfRule type="cellIs" dxfId="10296" priority="3028" operator="greaterThan">
      <formula>0</formula>
    </cfRule>
  </conditionalFormatting>
  <conditionalFormatting sqref="Q83">
    <cfRule type="cellIs" dxfId="10295" priority="3033" operator="lessThan">
      <formula>0</formula>
    </cfRule>
  </conditionalFormatting>
  <conditionalFormatting sqref="R83">
    <cfRule type="cellIs" dxfId="10294" priority="3031" operator="lessThan">
      <formula>0.8</formula>
    </cfRule>
    <cfRule type="cellIs" dxfId="10293" priority="3032" operator="greaterThan">
      <formula>1</formula>
    </cfRule>
  </conditionalFormatting>
  <conditionalFormatting sqref="R83">
    <cfRule type="cellIs" dxfId="10292" priority="3029" operator="greaterThan">
      <formula>1</formula>
    </cfRule>
    <cfRule type="cellIs" dxfId="10291" priority="3030" operator="lessThan">
      <formula>0.8</formula>
    </cfRule>
  </conditionalFormatting>
  <conditionalFormatting sqref="P83">
    <cfRule type="cellIs" dxfId="10290" priority="3022" operator="greaterThan">
      <formula>0</formula>
    </cfRule>
  </conditionalFormatting>
  <conditionalFormatting sqref="Q83">
    <cfRule type="cellIs" dxfId="10289" priority="3027" operator="lessThan">
      <formula>0</formula>
    </cfRule>
  </conditionalFormatting>
  <conditionalFormatting sqref="R83">
    <cfRule type="cellIs" dxfId="10288" priority="3025" operator="lessThan">
      <formula>0.8</formula>
    </cfRule>
    <cfRule type="cellIs" dxfId="10287" priority="3026" operator="greaterThan">
      <formula>1</formula>
    </cfRule>
  </conditionalFormatting>
  <conditionalFormatting sqref="R83">
    <cfRule type="cellIs" dxfId="10286" priority="3023" operator="greaterThan">
      <formula>1</formula>
    </cfRule>
    <cfRule type="cellIs" dxfId="10285" priority="3024" operator="lessThan">
      <formula>0.8</formula>
    </cfRule>
  </conditionalFormatting>
  <conditionalFormatting sqref="R83">
    <cfRule type="cellIs" dxfId="10284" priority="3019" operator="lessThan">
      <formula>0.8</formula>
    </cfRule>
    <cfRule type="cellIs" dxfId="10283" priority="3020" operator="greaterThan">
      <formula>1</formula>
    </cfRule>
  </conditionalFormatting>
  <conditionalFormatting sqref="R83">
    <cfRule type="cellIs" dxfId="10282" priority="3017" operator="greaterThan">
      <formula>1</formula>
    </cfRule>
    <cfRule type="cellIs" dxfId="10281" priority="3018" operator="lessThan">
      <formula>0.8</formula>
    </cfRule>
  </conditionalFormatting>
  <conditionalFormatting sqref="P83">
    <cfRule type="cellIs" dxfId="10280" priority="3016" operator="greaterThan">
      <formula>0</formula>
    </cfRule>
  </conditionalFormatting>
  <conditionalFormatting sqref="Q83">
    <cfRule type="cellIs" dxfId="10279" priority="3021" operator="lessThan">
      <formula>0</formula>
    </cfRule>
  </conditionalFormatting>
  <conditionalFormatting sqref="P83">
    <cfRule type="cellIs" dxfId="10278" priority="3010" operator="greaterThan">
      <formula>0</formula>
    </cfRule>
  </conditionalFormatting>
  <conditionalFormatting sqref="Q83">
    <cfRule type="cellIs" dxfId="10277" priority="3015" operator="lessThan">
      <formula>0</formula>
    </cfRule>
  </conditionalFormatting>
  <conditionalFormatting sqref="R83">
    <cfRule type="cellIs" dxfId="10276" priority="3013" operator="lessThan">
      <formula>0.8</formula>
    </cfRule>
    <cfRule type="cellIs" dxfId="10275" priority="3014" operator="greaterThan">
      <formula>1</formula>
    </cfRule>
  </conditionalFormatting>
  <conditionalFormatting sqref="R83">
    <cfRule type="cellIs" dxfId="10274" priority="3011" operator="greaterThan">
      <formula>1</formula>
    </cfRule>
    <cfRule type="cellIs" dxfId="10273" priority="3012" operator="lessThan">
      <formula>0.8</formula>
    </cfRule>
  </conditionalFormatting>
  <conditionalFormatting sqref="R83">
    <cfRule type="cellIs" dxfId="10272" priority="3007" operator="lessThan">
      <formula>0.8</formula>
    </cfRule>
    <cfRule type="cellIs" dxfId="10271" priority="3008" operator="greaterThan">
      <formula>1</formula>
    </cfRule>
  </conditionalFormatting>
  <conditionalFormatting sqref="R83">
    <cfRule type="cellIs" dxfId="10270" priority="3005" operator="greaterThan">
      <formula>1</formula>
    </cfRule>
    <cfRule type="cellIs" dxfId="10269" priority="3006" operator="lessThan">
      <formula>0.8</formula>
    </cfRule>
  </conditionalFormatting>
  <conditionalFormatting sqref="P83">
    <cfRule type="cellIs" dxfId="10268" priority="3004" operator="greaterThan">
      <formula>0</formula>
    </cfRule>
  </conditionalFormatting>
  <conditionalFormatting sqref="Q83">
    <cfRule type="cellIs" dxfId="10267" priority="3009" operator="lessThan">
      <formula>0</formula>
    </cfRule>
  </conditionalFormatting>
  <conditionalFormatting sqref="R83">
    <cfRule type="cellIs" dxfId="10266" priority="3001" operator="lessThan">
      <formula>0.8</formula>
    </cfRule>
    <cfRule type="cellIs" dxfId="10265" priority="3002" operator="greaterThan">
      <formula>1</formula>
    </cfRule>
  </conditionalFormatting>
  <conditionalFormatting sqref="R83">
    <cfRule type="cellIs" dxfId="10264" priority="2999" operator="greaterThan">
      <formula>1</formula>
    </cfRule>
    <cfRule type="cellIs" dxfId="10263" priority="3000" operator="lessThan">
      <formula>0.8</formula>
    </cfRule>
  </conditionalFormatting>
  <conditionalFormatting sqref="P83">
    <cfRule type="cellIs" dxfId="10262" priority="2998" operator="greaterThan">
      <formula>0</formula>
    </cfRule>
  </conditionalFormatting>
  <conditionalFormatting sqref="Q83">
    <cfRule type="cellIs" dxfId="10261" priority="3003" operator="lessThan">
      <formula>0</formula>
    </cfRule>
  </conditionalFormatting>
  <conditionalFormatting sqref="Q83">
    <cfRule type="cellIs" dxfId="10260" priority="2997" operator="lessThan">
      <formula>0</formula>
    </cfRule>
  </conditionalFormatting>
  <conditionalFormatting sqref="R83">
    <cfRule type="cellIs" dxfId="10259" priority="2995" operator="lessThan">
      <formula>0.8</formula>
    </cfRule>
    <cfRule type="cellIs" dxfId="10258" priority="2996" operator="greaterThan">
      <formula>1</formula>
    </cfRule>
  </conditionalFormatting>
  <conditionalFormatting sqref="R83">
    <cfRule type="cellIs" dxfId="10257" priority="2993" operator="greaterThan">
      <formula>1</formula>
    </cfRule>
    <cfRule type="cellIs" dxfId="10256" priority="2994" operator="lessThan">
      <formula>0.8</formula>
    </cfRule>
  </conditionalFormatting>
  <conditionalFormatting sqref="P83">
    <cfRule type="cellIs" dxfId="10255" priority="2992" operator="greaterThan">
      <formula>0</formula>
    </cfRule>
  </conditionalFormatting>
  <conditionalFormatting sqref="Q83">
    <cfRule type="cellIs" dxfId="10254" priority="2986" operator="lessThan">
      <formula>0</formula>
    </cfRule>
  </conditionalFormatting>
  <conditionalFormatting sqref="R83">
    <cfRule type="cellIs" dxfId="10253" priority="2990" operator="lessThan">
      <formula>0.8</formula>
    </cfRule>
    <cfRule type="cellIs" dxfId="10252" priority="2991" operator="greaterThan">
      <formula>1</formula>
    </cfRule>
  </conditionalFormatting>
  <conditionalFormatting sqref="R83">
    <cfRule type="cellIs" dxfId="10251" priority="2988" operator="greaterThan">
      <formula>1</formula>
    </cfRule>
    <cfRule type="cellIs" dxfId="10250" priority="2989" operator="lessThan">
      <formula>0.8</formula>
    </cfRule>
  </conditionalFormatting>
  <conditionalFormatting sqref="P83">
    <cfRule type="cellIs" dxfId="10249" priority="2987" operator="greaterThan">
      <formula>0</formula>
    </cfRule>
  </conditionalFormatting>
  <conditionalFormatting sqref="Q83">
    <cfRule type="cellIs" dxfId="10248" priority="2985" operator="lessThan">
      <formula>0</formula>
    </cfRule>
  </conditionalFormatting>
  <conditionalFormatting sqref="R83">
    <cfRule type="cellIs" dxfId="10247" priority="2983" operator="lessThan">
      <formula>0.8</formula>
    </cfRule>
    <cfRule type="cellIs" dxfId="10246" priority="2984" operator="greaterThan">
      <formula>1</formula>
    </cfRule>
  </conditionalFormatting>
  <conditionalFormatting sqref="R83">
    <cfRule type="cellIs" dxfId="10245" priority="2981" operator="greaterThan">
      <formula>1</formula>
    </cfRule>
    <cfRule type="cellIs" dxfId="10244" priority="2982" operator="lessThan">
      <formula>0.8</formula>
    </cfRule>
  </conditionalFormatting>
  <conditionalFormatting sqref="P83">
    <cfRule type="cellIs" dxfId="10243" priority="2980" operator="greaterThan">
      <formula>0</formula>
    </cfRule>
  </conditionalFormatting>
  <conditionalFormatting sqref="Q83">
    <cfRule type="cellIs" dxfId="10242" priority="2979" operator="lessThan">
      <formula>0</formula>
    </cfRule>
  </conditionalFormatting>
  <conditionalFormatting sqref="R83">
    <cfRule type="cellIs" dxfId="10241" priority="2977" operator="lessThan">
      <formula>0.8</formula>
    </cfRule>
    <cfRule type="cellIs" dxfId="10240" priority="2978" operator="greaterThan">
      <formula>1</formula>
    </cfRule>
  </conditionalFormatting>
  <conditionalFormatting sqref="R83">
    <cfRule type="cellIs" dxfId="10239" priority="2975" operator="greaterThan">
      <formula>1</formula>
    </cfRule>
    <cfRule type="cellIs" dxfId="10238" priority="2976" operator="lessThan">
      <formula>0.8</formula>
    </cfRule>
  </conditionalFormatting>
  <conditionalFormatting sqref="P83">
    <cfRule type="cellIs" dxfId="10237" priority="2974" operator="greaterThan">
      <formula>0</formula>
    </cfRule>
  </conditionalFormatting>
  <conditionalFormatting sqref="Q83">
    <cfRule type="cellIs" dxfId="10236" priority="2973" operator="lessThan">
      <formula>0</formula>
    </cfRule>
  </conditionalFormatting>
  <conditionalFormatting sqref="R83">
    <cfRule type="cellIs" dxfId="10235" priority="2971" operator="lessThan">
      <formula>0.8</formula>
    </cfRule>
    <cfRule type="cellIs" dxfId="10234" priority="2972" operator="greaterThan">
      <formula>1</formula>
    </cfRule>
  </conditionalFormatting>
  <conditionalFormatting sqref="R83">
    <cfRule type="cellIs" dxfId="10233" priority="2969" operator="greaterThan">
      <formula>1</formula>
    </cfRule>
    <cfRule type="cellIs" dxfId="10232" priority="2970" operator="lessThan">
      <formula>0.8</formula>
    </cfRule>
  </conditionalFormatting>
  <conditionalFormatting sqref="P83">
    <cfRule type="cellIs" dxfId="10231" priority="2968" operator="greaterThan">
      <formula>0</formula>
    </cfRule>
  </conditionalFormatting>
  <conditionalFormatting sqref="Q83">
    <cfRule type="cellIs" dxfId="10230" priority="2967" operator="lessThan">
      <formula>0</formula>
    </cfRule>
  </conditionalFormatting>
  <conditionalFormatting sqref="R83">
    <cfRule type="cellIs" dxfId="10229" priority="2965" operator="lessThan">
      <formula>0.8</formula>
    </cfRule>
    <cfRule type="cellIs" dxfId="10228" priority="2966" operator="greaterThan">
      <formula>1</formula>
    </cfRule>
  </conditionalFormatting>
  <conditionalFormatting sqref="R83">
    <cfRule type="cellIs" dxfId="10227" priority="2963" operator="greaterThan">
      <formula>1</formula>
    </cfRule>
    <cfRule type="cellIs" dxfId="10226" priority="2964" operator="lessThan">
      <formula>0.8</formula>
    </cfRule>
  </conditionalFormatting>
  <conditionalFormatting sqref="P83">
    <cfRule type="cellIs" dxfId="10225" priority="2962" operator="greaterThan">
      <formula>0</formula>
    </cfRule>
  </conditionalFormatting>
  <conditionalFormatting sqref="Q83">
    <cfRule type="cellIs" dxfId="10224" priority="2961" operator="lessThan">
      <formula>0</formula>
    </cfRule>
  </conditionalFormatting>
  <conditionalFormatting sqref="R83">
    <cfRule type="cellIs" dxfId="10223" priority="2959" operator="lessThan">
      <formula>0.8</formula>
    </cfRule>
    <cfRule type="cellIs" dxfId="10222" priority="2960" operator="greaterThan">
      <formula>1</formula>
    </cfRule>
  </conditionalFormatting>
  <conditionalFormatting sqref="R83">
    <cfRule type="cellIs" dxfId="10221" priority="2957" operator="greaterThan">
      <formula>1</formula>
    </cfRule>
    <cfRule type="cellIs" dxfId="10220" priority="2958" operator="lessThan">
      <formula>0.8</formula>
    </cfRule>
  </conditionalFormatting>
  <conditionalFormatting sqref="P83">
    <cfRule type="cellIs" dxfId="10219" priority="2956" operator="greaterThan">
      <formula>0</formula>
    </cfRule>
  </conditionalFormatting>
  <conditionalFormatting sqref="P83">
    <cfRule type="cellIs" dxfId="10218" priority="2950" operator="greaterThan">
      <formula>0</formula>
    </cfRule>
  </conditionalFormatting>
  <conditionalFormatting sqref="Q83">
    <cfRule type="cellIs" dxfId="10217" priority="2955" operator="lessThan">
      <formula>0</formula>
    </cfRule>
  </conditionalFormatting>
  <conditionalFormatting sqref="R83">
    <cfRule type="cellIs" dxfId="10216" priority="2953" operator="lessThan">
      <formula>0.8</formula>
    </cfRule>
    <cfRule type="cellIs" dxfId="10215" priority="2954" operator="greaterThan">
      <formula>1</formula>
    </cfRule>
  </conditionalFormatting>
  <conditionalFormatting sqref="R83">
    <cfRule type="cellIs" dxfId="10214" priority="2951" operator="greaterThan">
      <formula>1</formula>
    </cfRule>
    <cfRule type="cellIs" dxfId="10213" priority="2952" operator="lessThan">
      <formula>0.8</formula>
    </cfRule>
  </conditionalFormatting>
  <conditionalFormatting sqref="P83">
    <cfRule type="cellIs" dxfId="10212" priority="2944" operator="greaterThan">
      <formula>0</formula>
    </cfRule>
  </conditionalFormatting>
  <conditionalFormatting sqref="Q83">
    <cfRule type="cellIs" dxfId="10211" priority="2949" operator="lessThan">
      <formula>0</formula>
    </cfRule>
  </conditionalFormatting>
  <conditionalFormatting sqref="R83">
    <cfRule type="cellIs" dxfId="10210" priority="2947" operator="lessThan">
      <formula>0.8</formula>
    </cfRule>
    <cfRule type="cellIs" dxfId="10209" priority="2948" operator="greaterThan">
      <formula>1</formula>
    </cfRule>
  </conditionalFormatting>
  <conditionalFormatting sqref="R83">
    <cfRule type="cellIs" dxfId="10208" priority="2945" operator="greaterThan">
      <formula>1</formula>
    </cfRule>
    <cfRule type="cellIs" dxfId="10207" priority="2946" operator="lessThan">
      <formula>0.8</formula>
    </cfRule>
  </conditionalFormatting>
  <conditionalFormatting sqref="R83">
    <cfRule type="cellIs" dxfId="10206" priority="2941" operator="lessThan">
      <formula>0.8</formula>
    </cfRule>
    <cfRule type="cellIs" dxfId="10205" priority="2942" operator="greaterThan">
      <formula>1</formula>
    </cfRule>
  </conditionalFormatting>
  <conditionalFormatting sqref="R83">
    <cfRule type="cellIs" dxfId="10204" priority="2939" operator="greaterThan">
      <formula>1</formula>
    </cfRule>
    <cfRule type="cellIs" dxfId="10203" priority="2940" operator="lessThan">
      <formula>0.8</formula>
    </cfRule>
  </conditionalFormatting>
  <conditionalFormatting sqref="P83">
    <cfRule type="cellIs" dxfId="10202" priority="2938" operator="greaterThan">
      <formula>0</formula>
    </cfRule>
  </conditionalFormatting>
  <conditionalFormatting sqref="Q83">
    <cfRule type="cellIs" dxfId="10201" priority="2943" operator="lessThan">
      <formula>0</formula>
    </cfRule>
  </conditionalFormatting>
  <conditionalFormatting sqref="Q83">
    <cfRule type="cellIs" dxfId="10200" priority="2937" operator="lessThan">
      <formula>0</formula>
    </cfRule>
  </conditionalFormatting>
  <conditionalFormatting sqref="R83">
    <cfRule type="cellIs" dxfId="10199" priority="2935" operator="lessThan">
      <formula>0.8</formula>
    </cfRule>
    <cfRule type="cellIs" dxfId="10198" priority="2936" operator="greaterThan">
      <formula>1</formula>
    </cfRule>
  </conditionalFormatting>
  <conditionalFormatting sqref="R83">
    <cfRule type="cellIs" dxfId="10197" priority="2933" operator="greaterThan">
      <formula>1</formula>
    </cfRule>
    <cfRule type="cellIs" dxfId="10196" priority="2934" operator="lessThan">
      <formula>0.8</formula>
    </cfRule>
  </conditionalFormatting>
  <conditionalFormatting sqref="P83">
    <cfRule type="cellIs" dxfId="10195" priority="2932" operator="greaterThan">
      <formula>0</formula>
    </cfRule>
  </conditionalFormatting>
  <conditionalFormatting sqref="Q83">
    <cfRule type="cellIs" dxfId="10194" priority="2931" operator="lessThan">
      <formula>0</formula>
    </cfRule>
  </conditionalFormatting>
  <conditionalFormatting sqref="R83">
    <cfRule type="cellIs" dxfId="10193" priority="2929" operator="lessThan">
      <formula>0.8</formula>
    </cfRule>
    <cfRule type="cellIs" dxfId="10192" priority="2930" operator="greaterThan">
      <formula>1</formula>
    </cfRule>
  </conditionalFormatting>
  <conditionalFormatting sqref="R83">
    <cfRule type="cellIs" dxfId="10191" priority="2927" operator="greaterThan">
      <formula>1</formula>
    </cfRule>
    <cfRule type="cellIs" dxfId="10190" priority="2928" operator="lessThan">
      <formula>0.8</formula>
    </cfRule>
  </conditionalFormatting>
  <conditionalFormatting sqref="P83">
    <cfRule type="cellIs" dxfId="10189" priority="2926" operator="greaterThan">
      <formula>0</formula>
    </cfRule>
  </conditionalFormatting>
  <conditionalFormatting sqref="Q83">
    <cfRule type="cellIs" dxfId="10188" priority="2925" operator="lessThan">
      <formula>0</formula>
    </cfRule>
  </conditionalFormatting>
  <conditionalFormatting sqref="R83">
    <cfRule type="cellIs" dxfId="10187" priority="2923" operator="lessThan">
      <formula>0.8</formula>
    </cfRule>
    <cfRule type="cellIs" dxfId="10186" priority="2924" operator="greaterThan">
      <formula>1</formula>
    </cfRule>
  </conditionalFormatting>
  <conditionalFormatting sqref="R83">
    <cfRule type="cellIs" dxfId="10185" priority="2921" operator="greaterThan">
      <formula>1</formula>
    </cfRule>
    <cfRule type="cellIs" dxfId="10184" priority="2922" operator="lessThan">
      <formula>0.8</formula>
    </cfRule>
  </conditionalFormatting>
  <conditionalFormatting sqref="P83">
    <cfRule type="cellIs" dxfId="10183" priority="2920" operator="greaterThan">
      <formula>0</formula>
    </cfRule>
  </conditionalFormatting>
  <conditionalFormatting sqref="Q83">
    <cfRule type="cellIs" dxfId="10182" priority="2919" operator="lessThan">
      <formula>0</formula>
    </cfRule>
  </conditionalFormatting>
  <conditionalFormatting sqref="R83">
    <cfRule type="cellIs" dxfId="10181" priority="2917" operator="lessThan">
      <formula>0.8</formula>
    </cfRule>
    <cfRule type="cellIs" dxfId="10180" priority="2918" operator="greaterThan">
      <formula>1</formula>
    </cfRule>
  </conditionalFormatting>
  <conditionalFormatting sqref="R83">
    <cfRule type="cellIs" dxfId="10179" priority="2915" operator="greaterThan">
      <formula>1</formula>
    </cfRule>
    <cfRule type="cellIs" dxfId="10178" priority="2916" operator="lessThan">
      <formula>0.8</formula>
    </cfRule>
  </conditionalFormatting>
  <conditionalFormatting sqref="P83">
    <cfRule type="cellIs" dxfId="10177" priority="2914" operator="greaterThan">
      <formula>0</formula>
    </cfRule>
  </conditionalFormatting>
  <conditionalFormatting sqref="P83">
    <cfRule type="cellIs" dxfId="10176" priority="2908" operator="greaterThan">
      <formula>0</formula>
    </cfRule>
  </conditionalFormatting>
  <conditionalFormatting sqref="Q83">
    <cfRule type="cellIs" dxfId="10175" priority="2913" operator="lessThan">
      <formula>0</formula>
    </cfRule>
  </conditionalFormatting>
  <conditionalFormatting sqref="R83">
    <cfRule type="cellIs" dxfId="10174" priority="2911" operator="lessThan">
      <formula>0.8</formula>
    </cfRule>
    <cfRule type="cellIs" dxfId="10173" priority="2912" operator="greaterThan">
      <formula>1</formula>
    </cfRule>
  </conditionalFormatting>
  <conditionalFormatting sqref="R83">
    <cfRule type="cellIs" dxfId="10172" priority="2909" operator="greaterThan">
      <formula>1</formula>
    </cfRule>
    <cfRule type="cellIs" dxfId="10171" priority="2910" operator="lessThan">
      <formula>0.8</formula>
    </cfRule>
  </conditionalFormatting>
  <conditionalFormatting sqref="P83">
    <cfRule type="cellIs" dxfId="10170" priority="2902" operator="greaterThan">
      <formula>0</formula>
    </cfRule>
  </conditionalFormatting>
  <conditionalFormatting sqref="Q83">
    <cfRule type="cellIs" dxfId="10169" priority="2907" operator="lessThan">
      <formula>0</formula>
    </cfRule>
  </conditionalFormatting>
  <conditionalFormatting sqref="R83">
    <cfRule type="cellIs" dxfId="10168" priority="2905" operator="lessThan">
      <formula>0.8</formula>
    </cfRule>
    <cfRule type="cellIs" dxfId="10167" priority="2906" operator="greaterThan">
      <formula>1</formula>
    </cfRule>
  </conditionalFormatting>
  <conditionalFormatting sqref="R83">
    <cfRule type="cellIs" dxfId="10166" priority="2903" operator="greaterThan">
      <formula>1</formula>
    </cfRule>
    <cfRule type="cellIs" dxfId="10165" priority="2904" operator="lessThan">
      <formula>0.8</formula>
    </cfRule>
  </conditionalFormatting>
  <conditionalFormatting sqref="R83">
    <cfRule type="cellIs" dxfId="10164" priority="2899" operator="lessThan">
      <formula>0.8</formula>
    </cfRule>
    <cfRule type="cellIs" dxfId="10163" priority="2900" operator="greaterThan">
      <formula>1</formula>
    </cfRule>
  </conditionalFormatting>
  <conditionalFormatting sqref="R83">
    <cfRule type="cellIs" dxfId="10162" priority="2897" operator="greaterThan">
      <formula>1</formula>
    </cfRule>
    <cfRule type="cellIs" dxfId="10161" priority="2898" operator="lessThan">
      <formula>0.8</formula>
    </cfRule>
  </conditionalFormatting>
  <conditionalFormatting sqref="P83">
    <cfRule type="cellIs" dxfId="10160" priority="2896" operator="greaterThan">
      <formula>0</formula>
    </cfRule>
  </conditionalFormatting>
  <conditionalFormatting sqref="Q83">
    <cfRule type="cellIs" dxfId="10159" priority="2901" operator="lessThan">
      <formula>0</formula>
    </cfRule>
  </conditionalFormatting>
  <conditionalFormatting sqref="Q83">
    <cfRule type="cellIs" dxfId="10158" priority="2895" operator="lessThan">
      <formula>0</formula>
    </cfRule>
  </conditionalFormatting>
  <conditionalFormatting sqref="R83">
    <cfRule type="cellIs" dxfId="10157" priority="2893" operator="lessThan">
      <formula>0.8</formula>
    </cfRule>
    <cfRule type="cellIs" dxfId="10156" priority="2894" operator="greaterThan">
      <formula>1</formula>
    </cfRule>
  </conditionalFormatting>
  <conditionalFormatting sqref="R83">
    <cfRule type="cellIs" dxfId="10155" priority="2891" operator="greaterThan">
      <formula>1</formula>
    </cfRule>
    <cfRule type="cellIs" dxfId="10154" priority="2892" operator="lessThan">
      <formula>0.8</formula>
    </cfRule>
  </conditionalFormatting>
  <conditionalFormatting sqref="P83">
    <cfRule type="cellIs" dxfId="10153" priority="2890" operator="greaterThan">
      <formula>0</formula>
    </cfRule>
  </conditionalFormatting>
  <conditionalFormatting sqref="P83">
    <cfRule type="cellIs" dxfId="10152" priority="2884" operator="greaterThan">
      <formula>0</formula>
    </cfRule>
  </conditionalFormatting>
  <conditionalFormatting sqref="Q83">
    <cfRule type="cellIs" dxfId="10151" priority="2889" operator="lessThan">
      <formula>0</formula>
    </cfRule>
  </conditionalFormatting>
  <conditionalFormatting sqref="R83">
    <cfRule type="cellIs" dxfId="10150" priority="2887" operator="lessThan">
      <formula>0.8</formula>
    </cfRule>
    <cfRule type="cellIs" dxfId="10149" priority="2888" operator="greaterThan">
      <formula>1</formula>
    </cfRule>
  </conditionalFormatting>
  <conditionalFormatting sqref="R83">
    <cfRule type="cellIs" dxfId="10148" priority="2885" operator="greaterThan">
      <formula>1</formula>
    </cfRule>
    <cfRule type="cellIs" dxfId="10147" priority="2886" operator="lessThan">
      <formula>0.8</formula>
    </cfRule>
  </conditionalFormatting>
  <conditionalFormatting sqref="P83">
    <cfRule type="cellIs" dxfId="10146" priority="2878" operator="greaterThan">
      <formula>0</formula>
    </cfRule>
  </conditionalFormatting>
  <conditionalFormatting sqref="Q83">
    <cfRule type="cellIs" dxfId="10145" priority="2883" operator="lessThan">
      <formula>0</formula>
    </cfRule>
  </conditionalFormatting>
  <conditionalFormatting sqref="R83">
    <cfRule type="cellIs" dxfId="10144" priority="2881" operator="lessThan">
      <formula>0.8</formula>
    </cfRule>
    <cfRule type="cellIs" dxfId="10143" priority="2882" operator="greaterThan">
      <formula>1</formula>
    </cfRule>
  </conditionalFormatting>
  <conditionalFormatting sqref="R83">
    <cfRule type="cellIs" dxfId="10142" priority="2879" operator="greaterThan">
      <formula>1</formula>
    </cfRule>
    <cfRule type="cellIs" dxfId="10141" priority="2880" operator="lessThan">
      <formula>0.8</formula>
    </cfRule>
  </conditionalFormatting>
  <conditionalFormatting sqref="R83">
    <cfRule type="cellIs" dxfId="10140" priority="2875" operator="lessThan">
      <formula>0.8</formula>
    </cfRule>
    <cfRule type="cellIs" dxfId="10139" priority="2876" operator="greaterThan">
      <formula>1</formula>
    </cfRule>
  </conditionalFormatting>
  <conditionalFormatting sqref="R83">
    <cfRule type="cellIs" dxfId="10138" priority="2873" operator="greaterThan">
      <formula>1</formula>
    </cfRule>
    <cfRule type="cellIs" dxfId="10137" priority="2874" operator="lessThan">
      <formula>0.8</formula>
    </cfRule>
  </conditionalFormatting>
  <conditionalFormatting sqref="P83">
    <cfRule type="cellIs" dxfId="10136" priority="2872" operator="greaterThan">
      <formula>0</formula>
    </cfRule>
  </conditionalFormatting>
  <conditionalFormatting sqref="Q83">
    <cfRule type="cellIs" dxfId="10135" priority="2877" operator="lessThan">
      <formula>0</formula>
    </cfRule>
  </conditionalFormatting>
  <conditionalFormatting sqref="P83">
    <cfRule type="cellIs" dxfId="10134" priority="2866" operator="greaterThan">
      <formula>0</formula>
    </cfRule>
  </conditionalFormatting>
  <conditionalFormatting sqref="Q83">
    <cfRule type="cellIs" dxfId="10133" priority="2871" operator="lessThan">
      <formula>0</formula>
    </cfRule>
  </conditionalFormatting>
  <conditionalFormatting sqref="R83">
    <cfRule type="cellIs" dxfId="10132" priority="2869" operator="lessThan">
      <formula>0.8</formula>
    </cfRule>
    <cfRule type="cellIs" dxfId="10131" priority="2870" operator="greaterThan">
      <formula>1</formula>
    </cfRule>
  </conditionalFormatting>
  <conditionalFormatting sqref="R83">
    <cfRule type="cellIs" dxfId="10130" priority="2867" operator="greaterThan">
      <formula>1</formula>
    </cfRule>
    <cfRule type="cellIs" dxfId="10129" priority="2868" operator="lessThan">
      <formula>0.8</formula>
    </cfRule>
  </conditionalFormatting>
  <conditionalFormatting sqref="R83">
    <cfRule type="cellIs" dxfId="10128" priority="2863" operator="lessThan">
      <formula>0.8</formula>
    </cfRule>
    <cfRule type="cellIs" dxfId="10127" priority="2864" operator="greaterThan">
      <formula>1</formula>
    </cfRule>
  </conditionalFormatting>
  <conditionalFormatting sqref="R83">
    <cfRule type="cellIs" dxfId="10126" priority="2861" operator="greaterThan">
      <formula>1</formula>
    </cfRule>
    <cfRule type="cellIs" dxfId="10125" priority="2862" operator="lessThan">
      <formula>0.8</formula>
    </cfRule>
  </conditionalFormatting>
  <conditionalFormatting sqref="P83">
    <cfRule type="cellIs" dxfId="10124" priority="2860" operator="greaterThan">
      <formula>0</formula>
    </cfRule>
  </conditionalFormatting>
  <conditionalFormatting sqref="Q83">
    <cfRule type="cellIs" dxfId="10123" priority="2865" operator="lessThan">
      <formula>0</formula>
    </cfRule>
  </conditionalFormatting>
  <conditionalFormatting sqref="R83">
    <cfRule type="cellIs" dxfId="10122" priority="2857" operator="lessThan">
      <formula>0.8</formula>
    </cfRule>
    <cfRule type="cellIs" dxfId="10121" priority="2858" operator="greaterThan">
      <formula>1</formula>
    </cfRule>
  </conditionalFormatting>
  <conditionalFormatting sqref="R83">
    <cfRule type="cellIs" dxfId="10120" priority="2855" operator="greaterThan">
      <formula>1</formula>
    </cfRule>
    <cfRule type="cellIs" dxfId="10119" priority="2856" operator="lessThan">
      <formula>0.8</formula>
    </cfRule>
  </conditionalFormatting>
  <conditionalFormatting sqref="P83">
    <cfRule type="cellIs" dxfId="10118" priority="2854" operator="greaterThan">
      <formula>0</formula>
    </cfRule>
  </conditionalFormatting>
  <conditionalFormatting sqref="Q83">
    <cfRule type="cellIs" dxfId="10117" priority="2859" operator="lessThan">
      <formula>0</formula>
    </cfRule>
  </conditionalFormatting>
  <conditionalFormatting sqref="Q83">
    <cfRule type="cellIs" dxfId="10116" priority="2853" operator="lessThan">
      <formula>0</formula>
    </cfRule>
  </conditionalFormatting>
  <conditionalFormatting sqref="R83">
    <cfRule type="cellIs" dxfId="10115" priority="2851" operator="lessThan">
      <formula>0.8</formula>
    </cfRule>
    <cfRule type="cellIs" dxfId="10114" priority="2852" operator="greaterThan">
      <formula>1</formula>
    </cfRule>
  </conditionalFormatting>
  <conditionalFormatting sqref="R83">
    <cfRule type="cellIs" dxfId="10113" priority="2849" operator="greaterThan">
      <formula>1</formula>
    </cfRule>
    <cfRule type="cellIs" dxfId="10112" priority="2850" operator="lessThan">
      <formula>0.8</formula>
    </cfRule>
  </conditionalFormatting>
  <conditionalFormatting sqref="P83">
    <cfRule type="cellIs" dxfId="10111" priority="2848" operator="greaterThan">
      <formula>0</formula>
    </cfRule>
  </conditionalFormatting>
  <conditionalFormatting sqref="Q83">
    <cfRule type="cellIs" dxfId="10110" priority="2842" operator="lessThan">
      <formula>0</formula>
    </cfRule>
  </conditionalFormatting>
  <conditionalFormatting sqref="R83">
    <cfRule type="cellIs" dxfId="10109" priority="2846" operator="lessThan">
      <formula>0.8</formula>
    </cfRule>
    <cfRule type="cellIs" dxfId="10108" priority="2847" operator="greaterThan">
      <formula>1</formula>
    </cfRule>
  </conditionalFormatting>
  <conditionalFormatting sqref="R83">
    <cfRule type="cellIs" dxfId="10107" priority="2844" operator="greaterThan">
      <formula>1</formula>
    </cfRule>
    <cfRule type="cellIs" dxfId="10106" priority="2845" operator="lessThan">
      <formula>0.8</formula>
    </cfRule>
  </conditionalFormatting>
  <conditionalFormatting sqref="P83">
    <cfRule type="cellIs" dxfId="10105" priority="2843" operator="greaterThan">
      <formula>0</formula>
    </cfRule>
  </conditionalFormatting>
  <conditionalFormatting sqref="Q83">
    <cfRule type="cellIs" dxfId="10104" priority="2841" operator="lessThan">
      <formula>0</formula>
    </cfRule>
  </conditionalFormatting>
  <conditionalFormatting sqref="R83">
    <cfRule type="cellIs" dxfId="10103" priority="2839" operator="lessThan">
      <formula>0.8</formula>
    </cfRule>
    <cfRule type="cellIs" dxfId="10102" priority="2840" operator="greaterThan">
      <formula>1</formula>
    </cfRule>
  </conditionalFormatting>
  <conditionalFormatting sqref="R83">
    <cfRule type="cellIs" dxfId="10101" priority="2837" operator="greaterThan">
      <formula>1</formula>
    </cfRule>
    <cfRule type="cellIs" dxfId="10100" priority="2838" operator="lessThan">
      <formula>0.8</formula>
    </cfRule>
  </conditionalFormatting>
  <conditionalFormatting sqref="P83">
    <cfRule type="cellIs" dxfId="10099" priority="2836" operator="greaterThan">
      <formula>0</formula>
    </cfRule>
  </conditionalFormatting>
  <conditionalFormatting sqref="Q83">
    <cfRule type="cellIs" dxfId="10098" priority="2835" operator="lessThan">
      <formula>0</formula>
    </cfRule>
  </conditionalFormatting>
  <conditionalFormatting sqref="R83">
    <cfRule type="cellIs" dxfId="10097" priority="2833" operator="lessThan">
      <formula>0.8</formula>
    </cfRule>
    <cfRule type="cellIs" dxfId="10096" priority="2834" operator="greaterThan">
      <formula>1</formula>
    </cfRule>
  </conditionalFormatting>
  <conditionalFormatting sqref="R83">
    <cfRule type="cellIs" dxfId="10095" priority="2831" operator="greaterThan">
      <formula>1</formula>
    </cfRule>
    <cfRule type="cellIs" dxfId="10094" priority="2832" operator="lessThan">
      <formula>0.8</formula>
    </cfRule>
  </conditionalFormatting>
  <conditionalFormatting sqref="P83">
    <cfRule type="cellIs" dxfId="10093" priority="2830" operator="greaterThan">
      <formula>0</formula>
    </cfRule>
  </conditionalFormatting>
  <conditionalFormatting sqref="Q83">
    <cfRule type="cellIs" dxfId="10092" priority="2829" operator="lessThan">
      <formula>0</formula>
    </cfRule>
  </conditionalFormatting>
  <conditionalFormatting sqref="R83">
    <cfRule type="cellIs" dxfId="10091" priority="2827" operator="lessThan">
      <formula>0.8</formula>
    </cfRule>
    <cfRule type="cellIs" dxfId="10090" priority="2828" operator="greaterThan">
      <formula>1</formula>
    </cfRule>
  </conditionalFormatting>
  <conditionalFormatting sqref="R83">
    <cfRule type="cellIs" dxfId="10089" priority="2825" operator="greaterThan">
      <formula>1</formula>
    </cfRule>
    <cfRule type="cellIs" dxfId="10088" priority="2826" operator="lessThan">
      <formula>0.8</formula>
    </cfRule>
  </conditionalFormatting>
  <conditionalFormatting sqref="P83">
    <cfRule type="cellIs" dxfId="10087" priority="2824" operator="greaterThan">
      <formula>0</formula>
    </cfRule>
  </conditionalFormatting>
  <conditionalFormatting sqref="Q83">
    <cfRule type="cellIs" dxfId="10086" priority="2823" operator="lessThan">
      <formula>0</formula>
    </cfRule>
  </conditionalFormatting>
  <conditionalFormatting sqref="R83">
    <cfRule type="cellIs" dxfId="10085" priority="2821" operator="lessThan">
      <formula>0.8</formula>
    </cfRule>
    <cfRule type="cellIs" dxfId="10084" priority="2822" operator="greaterThan">
      <formula>1</formula>
    </cfRule>
  </conditionalFormatting>
  <conditionalFormatting sqref="R83">
    <cfRule type="cellIs" dxfId="10083" priority="2819" operator="greaterThan">
      <formula>1</formula>
    </cfRule>
    <cfRule type="cellIs" dxfId="10082" priority="2820" operator="lessThan">
      <formula>0.8</formula>
    </cfRule>
  </conditionalFormatting>
  <conditionalFormatting sqref="P83">
    <cfRule type="cellIs" dxfId="10081" priority="2818" operator="greaterThan">
      <formula>0</formula>
    </cfRule>
  </conditionalFormatting>
  <conditionalFormatting sqref="Q83">
    <cfRule type="cellIs" dxfId="10080" priority="2817" operator="lessThan">
      <formula>0</formula>
    </cfRule>
  </conditionalFormatting>
  <conditionalFormatting sqref="R83">
    <cfRule type="cellIs" dxfId="10079" priority="2815" operator="lessThan">
      <formula>0.8</formula>
    </cfRule>
    <cfRule type="cellIs" dxfId="10078" priority="2816" operator="greaterThan">
      <formula>1</formula>
    </cfRule>
  </conditionalFormatting>
  <conditionalFormatting sqref="R83">
    <cfRule type="cellIs" dxfId="10077" priority="2813" operator="greaterThan">
      <formula>1</formula>
    </cfRule>
    <cfRule type="cellIs" dxfId="10076" priority="2814" operator="lessThan">
      <formula>0.8</formula>
    </cfRule>
  </conditionalFormatting>
  <conditionalFormatting sqref="P83">
    <cfRule type="cellIs" dxfId="10075" priority="2812" operator="greaterThan">
      <formula>0</formula>
    </cfRule>
  </conditionalFormatting>
  <conditionalFormatting sqref="P83">
    <cfRule type="cellIs" dxfId="10074" priority="2806" operator="greaterThan">
      <formula>0</formula>
    </cfRule>
  </conditionalFormatting>
  <conditionalFormatting sqref="Q83">
    <cfRule type="cellIs" dxfId="10073" priority="2811" operator="lessThan">
      <formula>0</formula>
    </cfRule>
  </conditionalFormatting>
  <conditionalFormatting sqref="R83">
    <cfRule type="cellIs" dxfId="10072" priority="2809" operator="lessThan">
      <formula>0.8</formula>
    </cfRule>
    <cfRule type="cellIs" dxfId="10071" priority="2810" operator="greaterThan">
      <formula>1</formula>
    </cfRule>
  </conditionalFormatting>
  <conditionalFormatting sqref="R83">
    <cfRule type="cellIs" dxfId="10070" priority="2807" operator="greaterThan">
      <formula>1</formula>
    </cfRule>
    <cfRule type="cellIs" dxfId="10069" priority="2808" operator="lessThan">
      <formula>0.8</formula>
    </cfRule>
  </conditionalFormatting>
  <conditionalFormatting sqref="P83">
    <cfRule type="cellIs" dxfId="10068" priority="2800" operator="greaterThan">
      <formula>0</formula>
    </cfRule>
  </conditionalFormatting>
  <conditionalFormatting sqref="Q83">
    <cfRule type="cellIs" dxfId="10067" priority="2805" operator="lessThan">
      <formula>0</formula>
    </cfRule>
  </conditionalFormatting>
  <conditionalFormatting sqref="R83">
    <cfRule type="cellIs" dxfId="10066" priority="2803" operator="lessThan">
      <formula>0.8</formula>
    </cfRule>
    <cfRule type="cellIs" dxfId="10065" priority="2804" operator="greaterThan">
      <formula>1</formula>
    </cfRule>
  </conditionalFormatting>
  <conditionalFormatting sqref="R83">
    <cfRule type="cellIs" dxfId="10064" priority="2801" operator="greaterThan">
      <formula>1</formula>
    </cfRule>
    <cfRule type="cellIs" dxfId="10063" priority="2802" operator="lessThan">
      <formula>0.8</formula>
    </cfRule>
  </conditionalFormatting>
  <conditionalFormatting sqref="R83">
    <cfRule type="cellIs" dxfId="10062" priority="2797" operator="lessThan">
      <formula>0.8</formula>
    </cfRule>
    <cfRule type="cellIs" dxfId="10061" priority="2798" operator="greaterThan">
      <formula>1</formula>
    </cfRule>
  </conditionalFormatting>
  <conditionalFormatting sqref="R83">
    <cfRule type="cellIs" dxfId="10060" priority="2795" operator="greaterThan">
      <formula>1</formula>
    </cfRule>
    <cfRule type="cellIs" dxfId="10059" priority="2796" operator="lessThan">
      <formula>0.8</formula>
    </cfRule>
  </conditionalFormatting>
  <conditionalFormatting sqref="P83">
    <cfRule type="cellIs" dxfId="10058" priority="2794" operator="greaterThan">
      <formula>0</formula>
    </cfRule>
  </conditionalFormatting>
  <conditionalFormatting sqref="Q83">
    <cfRule type="cellIs" dxfId="10057" priority="2799" operator="lessThan">
      <formula>0</formula>
    </cfRule>
  </conditionalFormatting>
  <conditionalFormatting sqref="Q83">
    <cfRule type="cellIs" dxfId="10056" priority="2788" operator="lessThan">
      <formula>0</formula>
    </cfRule>
  </conditionalFormatting>
  <conditionalFormatting sqref="P83">
    <cfRule type="cellIs" dxfId="10055" priority="2789" operator="greaterThan">
      <formula>0</formula>
    </cfRule>
  </conditionalFormatting>
  <conditionalFormatting sqref="R83">
    <cfRule type="cellIs" dxfId="10054" priority="2792" operator="lessThan">
      <formula>0.8</formula>
    </cfRule>
    <cfRule type="cellIs" dxfId="10053" priority="2793" operator="greaterThan">
      <formula>1</formula>
    </cfRule>
  </conditionalFormatting>
  <conditionalFormatting sqref="R83">
    <cfRule type="cellIs" dxfId="10052" priority="2790" operator="greaterThan">
      <formula>1</formula>
    </cfRule>
    <cfRule type="cellIs" dxfId="10051" priority="2791" operator="lessThan">
      <formula>0.8</formula>
    </cfRule>
  </conditionalFormatting>
  <conditionalFormatting sqref="Q83">
    <cfRule type="cellIs" dxfId="10050" priority="2782" operator="lessThan">
      <formula>0</formula>
    </cfRule>
  </conditionalFormatting>
  <conditionalFormatting sqref="R83">
    <cfRule type="cellIs" dxfId="10049" priority="2786" operator="lessThan">
      <formula>0.8</formula>
    </cfRule>
    <cfRule type="cellIs" dxfId="10048" priority="2787" operator="greaterThan">
      <formula>1</formula>
    </cfRule>
  </conditionalFormatting>
  <conditionalFormatting sqref="R83">
    <cfRule type="cellIs" dxfId="10047" priority="2784" operator="greaterThan">
      <formula>1</formula>
    </cfRule>
    <cfRule type="cellIs" dxfId="10046" priority="2785" operator="lessThan">
      <formula>0.8</formula>
    </cfRule>
  </conditionalFormatting>
  <conditionalFormatting sqref="P83">
    <cfRule type="cellIs" dxfId="10045" priority="2783" operator="greaterThan">
      <formula>0</formula>
    </cfRule>
  </conditionalFormatting>
  <conditionalFormatting sqref="Q83">
    <cfRule type="cellIs" dxfId="10044" priority="2781" operator="lessThan">
      <formula>0</formula>
    </cfRule>
  </conditionalFormatting>
  <conditionalFormatting sqref="R83">
    <cfRule type="cellIs" dxfId="10043" priority="2779" operator="lessThan">
      <formula>0.8</formula>
    </cfRule>
    <cfRule type="cellIs" dxfId="10042" priority="2780" operator="greaterThan">
      <formula>1</formula>
    </cfRule>
  </conditionalFormatting>
  <conditionalFormatting sqref="R83">
    <cfRule type="cellIs" dxfId="10041" priority="2777" operator="greaterThan">
      <formula>1</formula>
    </cfRule>
    <cfRule type="cellIs" dxfId="10040" priority="2778" operator="lessThan">
      <formula>0.8</formula>
    </cfRule>
  </conditionalFormatting>
  <conditionalFormatting sqref="P83">
    <cfRule type="cellIs" dxfId="10039" priority="2776" operator="greaterThan">
      <formula>0</formula>
    </cfRule>
  </conditionalFormatting>
  <conditionalFormatting sqref="Q83">
    <cfRule type="cellIs" dxfId="10038" priority="2775" operator="lessThan">
      <formula>0</formula>
    </cfRule>
  </conditionalFormatting>
  <conditionalFormatting sqref="R83">
    <cfRule type="cellIs" dxfId="10037" priority="2773" operator="lessThan">
      <formula>0.8</formula>
    </cfRule>
    <cfRule type="cellIs" dxfId="10036" priority="2774" operator="greaterThan">
      <formula>1</formula>
    </cfRule>
  </conditionalFormatting>
  <conditionalFormatting sqref="R83">
    <cfRule type="cellIs" dxfId="10035" priority="2771" operator="greaterThan">
      <formula>1</formula>
    </cfRule>
    <cfRule type="cellIs" dxfId="10034" priority="2772" operator="lessThan">
      <formula>0.8</formula>
    </cfRule>
  </conditionalFormatting>
  <conditionalFormatting sqref="P83">
    <cfRule type="cellIs" dxfId="10033" priority="2770" operator="greaterThan">
      <formula>0</formula>
    </cfRule>
  </conditionalFormatting>
  <conditionalFormatting sqref="Q83">
    <cfRule type="cellIs" dxfId="10032" priority="2769" operator="lessThan">
      <formula>0</formula>
    </cfRule>
  </conditionalFormatting>
  <conditionalFormatting sqref="R83">
    <cfRule type="cellIs" dxfId="10031" priority="2767" operator="lessThan">
      <formula>0.8</formula>
    </cfRule>
    <cfRule type="cellIs" dxfId="10030" priority="2768" operator="greaterThan">
      <formula>1</formula>
    </cfRule>
  </conditionalFormatting>
  <conditionalFormatting sqref="R83">
    <cfRule type="cellIs" dxfId="10029" priority="2765" operator="greaterThan">
      <formula>1</formula>
    </cfRule>
    <cfRule type="cellIs" dxfId="10028" priority="2766" operator="lessThan">
      <formula>0.8</formula>
    </cfRule>
  </conditionalFormatting>
  <conditionalFormatting sqref="P83">
    <cfRule type="cellIs" dxfId="10027" priority="2764" operator="greaterThan">
      <formula>0</formula>
    </cfRule>
  </conditionalFormatting>
  <conditionalFormatting sqref="Q83">
    <cfRule type="cellIs" dxfId="10026" priority="2763" operator="lessThan">
      <formula>0</formula>
    </cfRule>
  </conditionalFormatting>
  <conditionalFormatting sqref="R83">
    <cfRule type="cellIs" dxfId="10025" priority="2761" operator="lessThan">
      <formula>0.8</formula>
    </cfRule>
    <cfRule type="cellIs" dxfId="10024" priority="2762" operator="greaterThan">
      <formula>1</formula>
    </cfRule>
  </conditionalFormatting>
  <conditionalFormatting sqref="R83">
    <cfRule type="cellIs" dxfId="10023" priority="2759" operator="greaterThan">
      <formula>1</formula>
    </cfRule>
    <cfRule type="cellIs" dxfId="10022" priority="2760" operator="lessThan">
      <formula>0.8</formula>
    </cfRule>
  </conditionalFormatting>
  <conditionalFormatting sqref="P83">
    <cfRule type="cellIs" dxfId="10021" priority="2758" operator="greaterThan">
      <formula>0</formula>
    </cfRule>
  </conditionalFormatting>
  <conditionalFormatting sqref="Q83">
    <cfRule type="cellIs" dxfId="10020" priority="2757" operator="lessThan">
      <formula>0</formula>
    </cfRule>
  </conditionalFormatting>
  <conditionalFormatting sqref="R83">
    <cfRule type="cellIs" dxfId="10019" priority="2755" operator="lessThan">
      <formula>0.8</formula>
    </cfRule>
    <cfRule type="cellIs" dxfId="10018" priority="2756" operator="greaterThan">
      <formula>1</formula>
    </cfRule>
  </conditionalFormatting>
  <conditionalFormatting sqref="R83">
    <cfRule type="cellIs" dxfId="10017" priority="2753" operator="greaterThan">
      <formula>1</formula>
    </cfRule>
    <cfRule type="cellIs" dxfId="10016" priority="2754" operator="lessThan">
      <formula>0.8</formula>
    </cfRule>
  </conditionalFormatting>
  <conditionalFormatting sqref="P83">
    <cfRule type="cellIs" dxfId="10015" priority="2752" operator="greaterThan">
      <formula>0</formula>
    </cfRule>
  </conditionalFormatting>
  <conditionalFormatting sqref="Q83">
    <cfRule type="cellIs" dxfId="10014" priority="2751" operator="lessThan">
      <formula>0</formula>
    </cfRule>
  </conditionalFormatting>
  <conditionalFormatting sqref="R83">
    <cfRule type="cellIs" dxfId="10013" priority="2749" operator="lessThan">
      <formula>0.8</formula>
    </cfRule>
    <cfRule type="cellIs" dxfId="10012" priority="2750" operator="greaterThan">
      <formula>1</formula>
    </cfRule>
  </conditionalFormatting>
  <conditionalFormatting sqref="R83">
    <cfRule type="cellIs" dxfId="10011" priority="2747" operator="greaterThan">
      <formula>1</formula>
    </cfRule>
    <cfRule type="cellIs" dxfId="10010" priority="2748" operator="lessThan">
      <formula>0.8</formula>
    </cfRule>
  </conditionalFormatting>
  <conditionalFormatting sqref="P83">
    <cfRule type="cellIs" dxfId="10009" priority="2746" operator="greaterThan">
      <formula>0</formula>
    </cfRule>
  </conditionalFormatting>
  <conditionalFormatting sqref="Q83">
    <cfRule type="cellIs" dxfId="10008" priority="2745" operator="lessThan">
      <formula>0</formula>
    </cfRule>
  </conditionalFormatting>
  <conditionalFormatting sqref="R83">
    <cfRule type="cellIs" dxfId="10007" priority="2743" operator="lessThan">
      <formula>0.8</formula>
    </cfRule>
    <cfRule type="cellIs" dxfId="10006" priority="2744" operator="greaterThan">
      <formula>1</formula>
    </cfRule>
  </conditionalFormatting>
  <conditionalFormatting sqref="R83">
    <cfRule type="cellIs" dxfId="10005" priority="2741" operator="greaterThan">
      <formula>1</formula>
    </cfRule>
    <cfRule type="cellIs" dxfId="10004" priority="2742" operator="lessThan">
      <formula>0.8</formula>
    </cfRule>
  </conditionalFormatting>
  <conditionalFormatting sqref="P83">
    <cfRule type="cellIs" dxfId="10003" priority="2740" operator="greaterThan">
      <formula>0</formula>
    </cfRule>
  </conditionalFormatting>
  <conditionalFormatting sqref="P83">
    <cfRule type="cellIs" dxfId="10002" priority="2734" operator="greaterThan">
      <formula>0</formula>
    </cfRule>
  </conditionalFormatting>
  <conditionalFormatting sqref="Q83">
    <cfRule type="cellIs" dxfId="10001" priority="2739" operator="lessThan">
      <formula>0</formula>
    </cfRule>
  </conditionalFormatting>
  <conditionalFormatting sqref="R83">
    <cfRule type="cellIs" dxfId="10000" priority="2737" operator="lessThan">
      <formula>0.8</formula>
    </cfRule>
    <cfRule type="cellIs" dxfId="9999" priority="2738" operator="greaterThan">
      <formula>1</formula>
    </cfRule>
  </conditionalFormatting>
  <conditionalFormatting sqref="R83">
    <cfRule type="cellIs" dxfId="9998" priority="2735" operator="greaterThan">
      <formula>1</formula>
    </cfRule>
    <cfRule type="cellIs" dxfId="9997" priority="2736" operator="lessThan">
      <formula>0.8</formula>
    </cfRule>
  </conditionalFormatting>
  <conditionalFormatting sqref="P83">
    <cfRule type="cellIs" dxfId="9996" priority="2728" operator="greaterThan">
      <formula>0</formula>
    </cfRule>
  </conditionalFormatting>
  <conditionalFormatting sqref="Q83">
    <cfRule type="cellIs" dxfId="9995" priority="2733" operator="lessThan">
      <formula>0</formula>
    </cfRule>
  </conditionalFormatting>
  <conditionalFormatting sqref="R83">
    <cfRule type="cellIs" dxfId="9994" priority="2731" operator="lessThan">
      <formula>0.8</formula>
    </cfRule>
    <cfRule type="cellIs" dxfId="9993" priority="2732" operator="greaterThan">
      <formula>1</formula>
    </cfRule>
  </conditionalFormatting>
  <conditionalFormatting sqref="R83">
    <cfRule type="cellIs" dxfId="9992" priority="2729" operator="greaterThan">
      <formula>1</formula>
    </cfRule>
    <cfRule type="cellIs" dxfId="9991" priority="2730" operator="lessThan">
      <formula>0.8</formula>
    </cfRule>
  </conditionalFormatting>
  <conditionalFormatting sqref="R83">
    <cfRule type="cellIs" dxfId="9990" priority="2725" operator="lessThan">
      <formula>0.8</formula>
    </cfRule>
    <cfRule type="cellIs" dxfId="9989" priority="2726" operator="greaterThan">
      <formula>1</formula>
    </cfRule>
  </conditionalFormatting>
  <conditionalFormatting sqref="R83">
    <cfRule type="cellIs" dxfId="9988" priority="2723" operator="greaterThan">
      <formula>1</formula>
    </cfRule>
    <cfRule type="cellIs" dxfId="9987" priority="2724" operator="lessThan">
      <formula>0.8</formula>
    </cfRule>
  </conditionalFormatting>
  <conditionalFormatting sqref="P83">
    <cfRule type="cellIs" dxfId="9986" priority="2722" operator="greaterThan">
      <formula>0</formula>
    </cfRule>
  </conditionalFormatting>
  <conditionalFormatting sqref="Q83">
    <cfRule type="cellIs" dxfId="9985" priority="2727" operator="lessThan">
      <formula>0</formula>
    </cfRule>
  </conditionalFormatting>
  <conditionalFormatting sqref="Q83">
    <cfRule type="cellIs" dxfId="9984" priority="2721" operator="lessThan">
      <formula>0</formula>
    </cfRule>
  </conditionalFormatting>
  <conditionalFormatting sqref="R83">
    <cfRule type="cellIs" dxfId="9983" priority="2719" operator="lessThan">
      <formula>0.8</formula>
    </cfRule>
    <cfRule type="cellIs" dxfId="9982" priority="2720" operator="greaterThan">
      <formula>1</formula>
    </cfRule>
  </conditionalFormatting>
  <conditionalFormatting sqref="R83">
    <cfRule type="cellIs" dxfId="9981" priority="2717" operator="greaterThan">
      <formula>1</formula>
    </cfRule>
    <cfRule type="cellIs" dxfId="9980" priority="2718" operator="lessThan">
      <formula>0.8</formula>
    </cfRule>
  </conditionalFormatting>
  <conditionalFormatting sqref="P83">
    <cfRule type="cellIs" dxfId="9979" priority="2716" operator="greaterThan">
      <formula>0</formula>
    </cfRule>
  </conditionalFormatting>
  <conditionalFormatting sqref="P83">
    <cfRule type="cellIs" dxfId="9978" priority="2710" operator="greaterThan">
      <formula>0</formula>
    </cfRule>
  </conditionalFormatting>
  <conditionalFormatting sqref="Q83">
    <cfRule type="cellIs" dxfId="9977" priority="2715" operator="lessThan">
      <formula>0</formula>
    </cfRule>
  </conditionalFormatting>
  <conditionalFormatting sqref="R83">
    <cfRule type="cellIs" dxfId="9976" priority="2713" operator="lessThan">
      <formula>0.8</formula>
    </cfRule>
    <cfRule type="cellIs" dxfId="9975" priority="2714" operator="greaterThan">
      <formula>1</formula>
    </cfRule>
  </conditionalFormatting>
  <conditionalFormatting sqref="R83">
    <cfRule type="cellIs" dxfId="9974" priority="2711" operator="greaterThan">
      <formula>1</formula>
    </cfRule>
    <cfRule type="cellIs" dxfId="9973" priority="2712" operator="lessThan">
      <formula>0.8</formula>
    </cfRule>
  </conditionalFormatting>
  <conditionalFormatting sqref="P83">
    <cfRule type="cellIs" dxfId="9972" priority="2704" operator="greaterThan">
      <formula>0</formula>
    </cfRule>
  </conditionalFormatting>
  <conditionalFormatting sqref="Q83">
    <cfRule type="cellIs" dxfId="9971" priority="2709" operator="lessThan">
      <formula>0</formula>
    </cfRule>
  </conditionalFormatting>
  <conditionalFormatting sqref="R83">
    <cfRule type="cellIs" dxfId="9970" priority="2707" operator="lessThan">
      <formula>0.8</formula>
    </cfRule>
    <cfRule type="cellIs" dxfId="9969" priority="2708" operator="greaterThan">
      <formula>1</formula>
    </cfRule>
  </conditionalFormatting>
  <conditionalFormatting sqref="R83">
    <cfRule type="cellIs" dxfId="9968" priority="2705" operator="greaterThan">
      <formula>1</formula>
    </cfRule>
    <cfRule type="cellIs" dxfId="9967" priority="2706" operator="lessThan">
      <formula>0.8</formula>
    </cfRule>
  </conditionalFormatting>
  <conditionalFormatting sqref="R83">
    <cfRule type="cellIs" dxfId="9966" priority="2701" operator="lessThan">
      <formula>0.8</formula>
    </cfRule>
    <cfRule type="cellIs" dxfId="9965" priority="2702" operator="greaterThan">
      <formula>1</formula>
    </cfRule>
  </conditionalFormatting>
  <conditionalFormatting sqref="R83">
    <cfRule type="cellIs" dxfId="9964" priority="2699" operator="greaterThan">
      <formula>1</formula>
    </cfRule>
    <cfRule type="cellIs" dxfId="9963" priority="2700" operator="lessThan">
      <formula>0.8</formula>
    </cfRule>
  </conditionalFormatting>
  <conditionalFormatting sqref="P83">
    <cfRule type="cellIs" dxfId="9962" priority="2698" operator="greaterThan">
      <formula>0</formula>
    </cfRule>
  </conditionalFormatting>
  <conditionalFormatting sqref="Q83">
    <cfRule type="cellIs" dxfId="9961" priority="2703" operator="lessThan">
      <formula>0</formula>
    </cfRule>
  </conditionalFormatting>
  <conditionalFormatting sqref="P83">
    <cfRule type="cellIs" dxfId="9960" priority="2692" operator="greaterThan">
      <formula>0</formula>
    </cfRule>
  </conditionalFormatting>
  <conditionalFormatting sqref="Q83">
    <cfRule type="cellIs" dxfId="9959" priority="2697" operator="lessThan">
      <formula>0</formula>
    </cfRule>
  </conditionalFormatting>
  <conditionalFormatting sqref="R83">
    <cfRule type="cellIs" dxfId="9958" priority="2695" operator="lessThan">
      <formula>0.8</formula>
    </cfRule>
    <cfRule type="cellIs" dxfId="9957" priority="2696" operator="greaterThan">
      <formula>1</formula>
    </cfRule>
  </conditionalFormatting>
  <conditionalFormatting sqref="R83">
    <cfRule type="cellIs" dxfId="9956" priority="2693" operator="greaterThan">
      <formula>1</formula>
    </cfRule>
    <cfRule type="cellIs" dxfId="9955" priority="2694" operator="lessThan">
      <formula>0.8</formula>
    </cfRule>
  </conditionalFormatting>
  <conditionalFormatting sqref="R83">
    <cfRule type="cellIs" dxfId="9954" priority="2689" operator="lessThan">
      <formula>0.8</formula>
    </cfRule>
    <cfRule type="cellIs" dxfId="9953" priority="2690" operator="greaterThan">
      <formula>1</formula>
    </cfRule>
  </conditionalFormatting>
  <conditionalFormatting sqref="R83">
    <cfRule type="cellIs" dxfId="9952" priority="2687" operator="greaterThan">
      <formula>1</formula>
    </cfRule>
    <cfRule type="cellIs" dxfId="9951" priority="2688" operator="lessThan">
      <formula>0.8</formula>
    </cfRule>
  </conditionalFormatting>
  <conditionalFormatting sqref="P83">
    <cfRule type="cellIs" dxfId="9950" priority="2686" operator="greaterThan">
      <formula>0</formula>
    </cfRule>
  </conditionalFormatting>
  <conditionalFormatting sqref="Q83">
    <cfRule type="cellIs" dxfId="9949" priority="2691" operator="lessThan">
      <formula>0</formula>
    </cfRule>
  </conditionalFormatting>
  <conditionalFormatting sqref="R83">
    <cfRule type="cellIs" dxfId="9948" priority="2683" operator="lessThan">
      <formula>0.8</formula>
    </cfRule>
    <cfRule type="cellIs" dxfId="9947" priority="2684" operator="greaterThan">
      <formula>1</formula>
    </cfRule>
  </conditionalFormatting>
  <conditionalFormatting sqref="R83">
    <cfRule type="cellIs" dxfId="9946" priority="2681" operator="greaterThan">
      <formula>1</formula>
    </cfRule>
    <cfRule type="cellIs" dxfId="9945" priority="2682" operator="lessThan">
      <formula>0.8</formula>
    </cfRule>
  </conditionalFormatting>
  <conditionalFormatting sqref="P83">
    <cfRule type="cellIs" dxfId="9944" priority="2680" operator="greaterThan">
      <formula>0</formula>
    </cfRule>
  </conditionalFormatting>
  <conditionalFormatting sqref="Q83">
    <cfRule type="cellIs" dxfId="9943" priority="2685" operator="lessThan">
      <formula>0</formula>
    </cfRule>
  </conditionalFormatting>
  <conditionalFormatting sqref="Q83">
    <cfRule type="cellIs" dxfId="9942" priority="2679" operator="lessThan">
      <formula>0</formula>
    </cfRule>
  </conditionalFormatting>
  <conditionalFormatting sqref="R83">
    <cfRule type="cellIs" dxfId="9941" priority="2677" operator="lessThan">
      <formula>0.8</formula>
    </cfRule>
    <cfRule type="cellIs" dxfId="9940" priority="2678" operator="greaterThan">
      <formula>1</formula>
    </cfRule>
  </conditionalFormatting>
  <conditionalFormatting sqref="R83">
    <cfRule type="cellIs" dxfId="9939" priority="2675" operator="greaterThan">
      <formula>1</formula>
    </cfRule>
    <cfRule type="cellIs" dxfId="9938" priority="2676" operator="lessThan">
      <formula>0.8</formula>
    </cfRule>
  </conditionalFormatting>
  <conditionalFormatting sqref="P83">
    <cfRule type="cellIs" dxfId="9937" priority="2674" operator="greaterThan">
      <formula>0</formula>
    </cfRule>
  </conditionalFormatting>
  <conditionalFormatting sqref="Q83">
    <cfRule type="cellIs" dxfId="9936" priority="2668" operator="lessThan">
      <formula>0</formula>
    </cfRule>
  </conditionalFormatting>
  <conditionalFormatting sqref="R83">
    <cfRule type="cellIs" dxfId="9935" priority="2672" operator="lessThan">
      <formula>0.8</formula>
    </cfRule>
    <cfRule type="cellIs" dxfId="9934" priority="2673" operator="greaterThan">
      <formula>1</formula>
    </cfRule>
  </conditionalFormatting>
  <conditionalFormatting sqref="R83">
    <cfRule type="cellIs" dxfId="9933" priority="2670" operator="greaterThan">
      <formula>1</formula>
    </cfRule>
    <cfRule type="cellIs" dxfId="9932" priority="2671" operator="lessThan">
      <formula>0.8</formula>
    </cfRule>
  </conditionalFormatting>
  <conditionalFormatting sqref="P83">
    <cfRule type="cellIs" dxfId="9931" priority="2669" operator="greaterThan">
      <formula>0</formula>
    </cfRule>
  </conditionalFormatting>
  <conditionalFormatting sqref="Q83">
    <cfRule type="cellIs" dxfId="9930" priority="2667" operator="lessThan">
      <formula>0</formula>
    </cfRule>
  </conditionalFormatting>
  <conditionalFormatting sqref="R83">
    <cfRule type="cellIs" dxfId="9929" priority="2665" operator="lessThan">
      <formula>0.8</formula>
    </cfRule>
    <cfRule type="cellIs" dxfId="9928" priority="2666" operator="greaterThan">
      <formula>1</formula>
    </cfRule>
  </conditionalFormatting>
  <conditionalFormatting sqref="R83">
    <cfRule type="cellIs" dxfId="9927" priority="2663" operator="greaterThan">
      <formula>1</formula>
    </cfRule>
    <cfRule type="cellIs" dxfId="9926" priority="2664" operator="lessThan">
      <formula>0.8</formula>
    </cfRule>
  </conditionalFormatting>
  <conditionalFormatting sqref="P83">
    <cfRule type="cellIs" dxfId="9925" priority="2662" operator="greaterThan">
      <formula>0</formula>
    </cfRule>
  </conditionalFormatting>
  <conditionalFormatting sqref="Q83">
    <cfRule type="cellIs" dxfId="9924" priority="2661" operator="lessThan">
      <formula>0</formula>
    </cfRule>
  </conditionalFormatting>
  <conditionalFormatting sqref="R83">
    <cfRule type="cellIs" dxfId="9923" priority="2659" operator="lessThan">
      <formula>0.8</formula>
    </cfRule>
    <cfRule type="cellIs" dxfId="9922" priority="2660" operator="greaterThan">
      <formula>1</formula>
    </cfRule>
  </conditionalFormatting>
  <conditionalFormatting sqref="R83">
    <cfRule type="cellIs" dxfId="9921" priority="2657" operator="greaterThan">
      <formula>1</formula>
    </cfRule>
    <cfRule type="cellIs" dxfId="9920" priority="2658" operator="lessThan">
      <formula>0.8</formula>
    </cfRule>
  </conditionalFormatting>
  <conditionalFormatting sqref="P83">
    <cfRule type="cellIs" dxfId="9919" priority="2656" operator="greaterThan">
      <formula>0</formula>
    </cfRule>
  </conditionalFormatting>
  <conditionalFormatting sqref="Q83">
    <cfRule type="cellIs" dxfId="9918" priority="2655" operator="lessThan">
      <formula>0</formula>
    </cfRule>
  </conditionalFormatting>
  <conditionalFormatting sqref="R83">
    <cfRule type="cellIs" dxfId="9917" priority="2653" operator="lessThan">
      <formula>0.8</formula>
    </cfRule>
    <cfRule type="cellIs" dxfId="9916" priority="2654" operator="greaterThan">
      <formula>1</formula>
    </cfRule>
  </conditionalFormatting>
  <conditionalFormatting sqref="R83">
    <cfRule type="cellIs" dxfId="9915" priority="2651" operator="greaterThan">
      <formula>1</formula>
    </cfRule>
    <cfRule type="cellIs" dxfId="9914" priority="2652" operator="lessThan">
      <formula>0.8</formula>
    </cfRule>
  </conditionalFormatting>
  <conditionalFormatting sqref="P83">
    <cfRule type="cellIs" dxfId="9913" priority="2650" operator="greaterThan">
      <formula>0</formula>
    </cfRule>
  </conditionalFormatting>
  <conditionalFormatting sqref="Q83">
    <cfRule type="cellIs" dxfId="9912" priority="2649" operator="lessThan">
      <formula>0</formula>
    </cfRule>
  </conditionalFormatting>
  <conditionalFormatting sqref="R83">
    <cfRule type="cellIs" dxfId="9911" priority="2647" operator="lessThan">
      <formula>0.8</formula>
    </cfRule>
    <cfRule type="cellIs" dxfId="9910" priority="2648" operator="greaterThan">
      <formula>1</formula>
    </cfRule>
  </conditionalFormatting>
  <conditionalFormatting sqref="R83">
    <cfRule type="cellIs" dxfId="9909" priority="2645" operator="greaterThan">
      <formula>1</formula>
    </cfRule>
    <cfRule type="cellIs" dxfId="9908" priority="2646" operator="lessThan">
      <formula>0.8</formula>
    </cfRule>
  </conditionalFormatting>
  <conditionalFormatting sqref="P83">
    <cfRule type="cellIs" dxfId="9907" priority="2644" operator="greaterThan">
      <formula>0</formula>
    </cfRule>
  </conditionalFormatting>
  <conditionalFormatting sqref="Q83">
    <cfRule type="cellIs" dxfId="9906" priority="2643" operator="lessThan">
      <formula>0</formula>
    </cfRule>
  </conditionalFormatting>
  <conditionalFormatting sqref="R83">
    <cfRule type="cellIs" dxfId="9905" priority="2641" operator="lessThan">
      <formula>0.8</formula>
    </cfRule>
    <cfRule type="cellIs" dxfId="9904" priority="2642" operator="greaterThan">
      <formula>1</formula>
    </cfRule>
  </conditionalFormatting>
  <conditionalFormatting sqref="R83">
    <cfRule type="cellIs" dxfId="9903" priority="2639" operator="greaterThan">
      <formula>1</formula>
    </cfRule>
    <cfRule type="cellIs" dxfId="9902" priority="2640" operator="lessThan">
      <formula>0.8</formula>
    </cfRule>
  </conditionalFormatting>
  <conditionalFormatting sqref="P83">
    <cfRule type="cellIs" dxfId="9901" priority="2638" operator="greaterThan">
      <formula>0</formula>
    </cfRule>
  </conditionalFormatting>
  <conditionalFormatting sqref="P83">
    <cfRule type="cellIs" dxfId="9900" priority="2632" operator="greaterThan">
      <formula>0</formula>
    </cfRule>
  </conditionalFormatting>
  <conditionalFormatting sqref="Q83">
    <cfRule type="cellIs" dxfId="9899" priority="2637" operator="lessThan">
      <formula>0</formula>
    </cfRule>
  </conditionalFormatting>
  <conditionalFormatting sqref="R83">
    <cfRule type="cellIs" dxfId="9898" priority="2635" operator="lessThan">
      <formula>0.8</formula>
    </cfRule>
    <cfRule type="cellIs" dxfId="9897" priority="2636" operator="greaterThan">
      <formula>1</formula>
    </cfRule>
  </conditionalFormatting>
  <conditionalFormatting sqref="R83">
    <cfRule type="cellIs" dxfId="9896" priority="2633" operator="greaterThan">
      <formula>1</formula>
    </cfRule>
    <cfRule type="cellIs" dxfId="9895" priority="2634" operator="lessThan">
      <formula>0.8</formula>
    </cfRule>
  </conditionalFormatting>
  <conditionalFormatting sqref="P83">
    <cfRule type="cellIs" dxfId="9894" priority="2626" operator="greaterThan">
      <formula>0</formula>
    </cfRule>
  </conditionalFormatting>
  <conditionalFormatting sqref="Q83">
    <cfRule type="cellIs" dxfId="9893" priority="2631" operator="lessThan">
      <formula>0</formula>
    </cfRule>
  </conditionalFormatting>
  <conditionalFormatting sqref="R83">
    <cfRule type="cellIs" dxfId="9892" priority="2629" operator="lessThan">
      <formula>0.8</formula>
    </cfRule>
    <cfRule type="cellIs" dxfId="9891" priority="2630" operator="greaterThan">
      <formula>1</formula>
    </cfRule>
  </conditionalFormatting>
  <conditionalFormatting sqref="R83">
    <cfRule type="cellIs" dxfId="9890" priority="2627" operator="greaterThan">
      <formula>1</formula>
    </cfRule>
    <cfRule type="cellIs" dxfId="9889" priority="2628" operator="lessThan">
      <formula>0.8</formula>
    </cfRule>
  </conditionalFormatting>
  <conditionalFormatting sqref="R83">
    <cfRule type="cellIs" dxfId="9888" priority="2623" operator="lessThan">
      <formula>0.8</formula>
    </cfRule>
    <cfRule type="cellIs" dxfId="9887" priority="2624" operator="greaterThan">
      <formula>1</formula>
    </cfRule>
  </conditionalFormatting>
  <conditionalFormatting sqref="R83">
    <cfRule type="cellIs" dxfId="9886" priority="2621" operator="greaterThan">
      <formula>1</formula>
    </cfRule>
    <cfRule type="cellIs" dxfId="9885" priority="2622" operator="lessThan">
      <formula>0.8</formula>
    </cfRule>
  </conditionalFormatting>
  <conditionalFormatting sqref="P83">
    <cfRule type="cellIs" dxfId="9884" priority="2620" operator="greaterThan">
      <formula>0</formula>
    </cfRule>
  </conditionalFormatting>
  <conditionalFormatting sqref="Q83">
    <cfRule type="cellIs" dxfId="9883" priority="2625" operator="lessThan">
      <formula>0</formula>
    </cfRule>
  </conditionalFormatting>
  <conditionalFormatting sqref="P123 P125:P126 P128:P130">
    <cfRule type="cellIs" dxfId="9882" priority="2614" operator="greaterThan">
      <formula>0</formula>
    </cfRule>
  </conditionalFormatting>
  <conditionalFormatting sqref="Q123 Q125:Q126 Q128:Q130">
    <cfRule type="cellIs" dxfId="9881" priority="2619" operator="lessThan">
      <formula>0</formula>
    </cfRule>
  </conditionalFormatting>
  <conditionalFormatting sqref="R123 R125:R126 R128:R130">
    <cfRule type="cellIs" dxfId="9880" priority="2617" operator="lessThan">
      <formula>0.8</formula>
    </cfRule>
    <cfRule type="cellIs" dxfId="9879" priority="2618" operator="greaterThan">
      <formula>1</formula>
    </cfRule>
  </conditionalFormatting>
  <conditionalFormatting sqref="R123 R125:R126 R128:R130">
    <cfRule type="cellIs" dxfId="9878" priority="2615" operator="greaterThan">
      <formula>1</formula>
    </cfRule>
    <cfRule type="cellIs" dxfId="9877" priority="2616" operator="lessThan">
      <formula>0.8</formula>
    </cfRule>
  </conditionalFormatting>
  <conditionalFormatting sqref="Q123 Q125:Q126 Q128:Q130">
    <cfRule type="cellIs" dxfId="9876" priority="2613" operator="lessThan">
      <formula>0</formula>
    </cfRule>
  </conditionalFormatting>
  <conditionalFormatting sqref="R123 R125:R126 R128:R130">
    <cfRule type="cellIs" dxfId="9875" priority="2611" operator="lessThan">
      <formula>0.8</formula>
    </cfRule>
    <cfRule type="cellIs" dxfId="9874" priority="2612" operator="greaterThan">
      <formula>1</formula>
    </cfRule>
  </conditionalFormatting>
  <conditionalFormatting sqref="R123 R125:R126 R128:R130">
    <cfRule type="cellIs" dxfId="9873" priority="2609" operator="greaterThan">
      <formula>1</formula>
    </cfRule>
    <cfRule type="cellIs" dxfId="9872" priority="2610" operator="lessThan">
      <formula>0.8</formula>
    </cfRule>
  </conditionalFormatting>
  <conditionalFormatting sqref="P123 P125:P126 P128:P130">
    <cfRule type="cellIs" dxfId="9871" priority="2608" operator="greaterThan">
      <formula>0</formula>
    </cfRule>
  </conditionalFormatting>
  <conditionalFormatting sqref="Q31">
    <cfRule type="cellIs" dxfId="9870" priority="2607" operator="lessThan">
      <formula>0</formula>
    </cfRule>
  </conditionalFormatting>
  <conditionalFormatting sqref="R31">
    <cfRule type="cellIs" dxfId="9869" priority="2605" operator="lessThan">
      <formula>0.8</formula>
    </cfRule>
    <cfRule type="cellIs" dxfId="9868" priority="2606" operator="greaterThan">
      <formula>1</formula>
    </cfRule>
  </conditionalFormatting>
  <conditionalFormatting sqref="R31">
    <cfRule type="cellIs" dxfId="9867" priority="2603" operator="greaterThan">
      <formula>1</formula>
    </cfRule>
    <cfRule type="cellIs" dxfId="9866" priority="2604" operator="lessThan">
      <formula>0.8</formula>
    </cfRule>
  </conditionalFormatting>
  <conditionalFormatting sqref="P31">
    <cfRule type="cellIs" dxfId="9865" priority="2602" operator="greaterThan">
      <formula>0</formula>
    </cfRule>
  </conditionalFormatting>
  <conditionalFormatting sqref="Q31">
    <cfRule type="cellIs" dxfId="9864" priority="2601" operator="lessThan">
      <formula>0</formula>
    </cfRule>
  </conditionalFormatting>
  <conditionalFormatting sqref="R31">
    <cfRule type="cellIs" dxfId="9863" priority="2599" operator="lessThan">
      <formula>0.8</formula>
    </cfRule>
    <cfRule type="cellIs" dxfId="9862" priority="2600" operator="greaterThan">
      <formula>1</formula>
    </cfRule>
  </conditionalFormatting>
  <conditionalFormatting sqref="R31">
    <cfRule type="cellIs" dxfId="9861" priority="2597" operator="greaterThan">
      <formula>1</formula>
    </cfRule>
    <cfRule type="cellIs" dxfId="9860" priority="2598" operator="lessThan">
      <formula>0.8</formula>
    </cfRule>
  </conditionalFormatting>
  <conditionalFormatting sqref="P31">
    <cfRule type="cellIs" dxfId="9859" priority="2596" operator="greaterThan">
      <formula>0</formula>
    </cfRule>
  </conditionalFormatting>
  <conditionalFormatting sqref="Q31">
    <cfRule type="cellIs" dxfId="9858" priority="2595" operator="lessThan">
      <formula>0</formula>
    </cfRule>
  </conditionalFormatting>
  <conditionalFormatting sqref="R31">
    <cfRule type="cellIs" dxfId="9857" priority="2593" operator="lessThan">
      <formula>0.8</formula>
    </cfRule>
    <cfRule type="cellIs" dxfId="9856" priority="2594" operator="greaterThan">
      <formula>1</formula>
    </cfRule>
  </conditionalFormatting>
  <conditionalFormatting sqref="R31">
    <cfRule type="cellIs" dxfId="9855" priority="2591" operator="greaterThan">
      <formula>1</formula>
    </cfRule>
    <cfRule type="cellIs" dxfId="9854" priority="2592" operator="lessThan">
      <formula>0.8</formula>
    </cfRule>
  </conditionalFormatting>
  <conditionalFormatting sqref="P31">
    <cfRule type="cellIs" dxfId="9853" priority="2590" operator="greaterThan">
      <formula>0</formula>
    </cfRule>
  </conditionalFormatting>
  <conditionalFormatting sqref="Q31">
    <cfRule type="cellIs" dxfId="9852" priority="2589" operator="lessThan">
      <formula>0</formula>
    </cfRule>
  </conditionalFormatting>
  <conditionalFormatting sqref="R31">
    <cfRule type="cellIs" dxfId="9851" priority="2587" operator="lessThan">
      <formula>0.8</formula>
    </cfRule>
    <cfRule type="cellIs" dxfId="9850" priority="2588" operator="greaterThan">
      <formula>1</formula>
    </cfRule>
  </conditionalFormatting>
  <conditionalFormatting sqref="R31">
    <cfRule type="cellIs" dxfId="9849" priority="2585" operator="greaterThan">
      <formula>1</formula>
    </cfRule>
    <cfRule type="cellIs" dxfId="9848" priority="2586" operator="lessThan">
      <formula>0.8</formula>
    </cfRule>
  </conditionalFormatting>
  <conditionalFormatting sqref="P31">
    <cfRule type="cellIs" dxfId="9847" priority="2584" operator="greaterThan">
      <formula>0</formula>
    </cfRule>
  </conditionalFormatting>
  <conditionalFormatting sqref="P31">
    <cfRule type="cellIs" dxfId="9846" priority="2578" operator="greaterThan">
      <formula>0</formula>
    </cfRule>
  </conditionalFormatting>
  <conditionalFormatting sqref="Q31">
    <cfRule type="cellIs" dxfId="9845" priority="2583" operator="lessThan">
      <formula>0</formula>
    </cfRule>
  </conditionalFormatting>
  <conditionalFormatting sqref="R31">
    <cfRule type="cellIs" dxfId="9844" priority="2581" operator="lessThan">
      <formula>0.8</formula>
    </cfRule>
    <cfRule type="cellIs" dxfId="9843" priority="2582" operator="greaterThan">
      <formula>1</formula>
    </cfRule>
  </conditionalFormatting>
  <conditionalFormatting sqref="R31">
    <cfRule type="cellIs" dxfId="9842" priority="2579" operator="greaterThan">
      <formula>1</formula>
    </cfRule>
    <cfRule type="cellIs" dxfId="9841" priority="2580" operator="lessThan">
      <formula>0.8</formula>
    </cfRule>
  </conditionalFormatting>
  <conditionalFormatting sqref="P31">
    <cfRule type="cellIs" dxfId="9840" priority="2572" operator="greaterThan">
      <formula>0</formula>
    </cfRule>
  </conditionalFormatting>
  <conditionalFormatting sqref="Q31">
    <cfRule type="cellIs" dxfId="9839" priority="2577" operator="lessThan">
      <formula>0</formula>
    </cfRule>
  </conditionalFormatting>
  <conditionalFormatting sqref="R31">
    <cfRule type="cellIs" dxfId="9838" priority="2575" operator="lessThan">
      <formula>0.8</formula>
    </cfRule>
    <cfRule type="cellIs" dxfId="9837" priority="2576" operator="greaterThan">
      <formula>1</formula>
    </cfRule>
  </conditionalFormatting>
  <conditionalFormatting sqref="R31">
    <cfRule type="cellIs" dxfId="9836" priority="2573" operator="greaterThan">
      <formula>1</formula>
    </cfRule>
    <cfRule type="cellIs" dxfId="9835" priority="2574" operator="lessThan">
      <formula>0.8</formula>
    </cfRule>
  </conditionalFormatting>
  <conditionalFormatting sqref="R31">
    <cfRule type="cellIs" dxfId="9834" priority="2569" operator="lessThan">
      <formula>0.8</formula>
    </cfRule>
    <cfRule type="cellIs" dxfId="9833" priority="2570" operator="greaterThan">
      <formula>1</formula>
    </cfRule>
  </conditionalFormatting>
  <conditionalFormatting sqref="R31">
    <cfRule type="cellIs" dxfId="9832" priority="2567" operator="greaterThan">
      <formula>1</formula>
    </cfRule>
    <cfRule type="cellIs" dxfId="9831" priority="2568" operator="lessThan">
      <formula>0.8</formula>
    </cfRule>
  </conditionalFormatting>
  <conditionalFormatting sqref="P31">
    <cfRule type="cellIs" dxfId="9830" priority="2566" operator="greaterThan">
      <formula>0</formula>
    </cfRule>
  </conditionalFormatting>
  <conditionalFormatting sqref="Q31">
    <cfRule type="cellIs" dxfId="9829" priority="2571" operator="lessThan">
      <formula>0</formula>
    </cfRule>
  </conditionalFormatting>
  <conditionalFormatting sqref="Q31">
    <cfRule type="cellIs" dxfId="9828" priority="2565" operator="lessThan">
      <formula>0</formula>
    </cfRule>
  </conditionalFormatting>
  <conditionalFormatting sqref="R31">
    <cfRule type="cellIs" dxfId="9827" priority="2563" operator="lessThan">
      <formula>0.8</formula>
    </cfRule>
    <cfRule type="cellIs" dxfId="9826" priority="2564" operator="greaterThan">
      <formula>1</formula>
    </cfRule>
  </conditionalFormatting>
  <conditionalFormatting sqref="R31">
    <cfRule type="cellIs" dxfId="9825" priority="2561" operator="greaterThan">
      <formula>1</formula>
    </cfRule>
    <cfRule type="cellIs" dxfId="9824" priority="2562" operator="lessThan">
      <formula>0.8</formula>
    </cfRule>
  </conditionalFormatting>
  <conditionalFormatting sqref="P31">
    <cfRule type="cellIs" dxfId="9823" priority="2560" operator="greaterThan">
      <formula>0</formula>
    </cfRule>
  </conditionalFormatting>
  <conditionalFormatting sqref="P31">
    <cfRule type="cellIs" dxfId="9822" priority="2554" operator="greaterThan">
      <formula>0</formula>
    </cfRule>
  </conditionalFormatting>
  <conditionalFormatting sqref="Q31">
    <cfRule type="cellIs" dxfId="9821" priority="2559" operator="lessThan">
      <formula>0</formula>
    </cfRule>
  </conditionalFormatting>
  <conditionalFormatting sqref="R31">
    <cfRule type="cellIs" dxfId="9820" priority="2557" operator="lessThan">
      <formula>0.8</formula>
    </cfRule>
    <cfRule type="cellIs" dxfId="9819" priority="2558" operator="greaterThan">
      <formula>1</formula>
    </cfRule>
  </conditionalFormatting>
  <conditionalFormatting sqref="R31">
    <cfRule type="cellIs" dxfId="9818" priority="2555" operator="greaterThan">
      <formula>1</formula>
    </cfRule>
    <cfRule type="cellIs" dxfId="9817" priority="2556" operator="lessThan">
      <formula>0.8</formula>
    </cfRule>
  </conditionalFormatting>
  <conditionalFormatting sqref="P31">
    <cfRule type="cellIs" dxfId="9816" priority="2548" operator="greaterThan">
      <formula>0</formula>
    </cfRule>
  </conditionalFormatting>
  <conditionalFormatting sqref="Q31">
    <cfRule type="cellIs" dxfId="9815" priority="2553" operator="lessThan">
      <formula>0</formula>
    </cfRule>
  </conditionalFormatting>
  <conditionalFormatting sqref="R31">
    <cfRule type="cellIs" dxfId="9814" priority="2551" operator="lessThan">
      <formula>0.8</formula>
    </cfRule>
    <cfRule type="cellIs" dxfId="9813" priority="2552" operator="greaterThan">
      <formula>1</formula>
    </cfRule>
  </conditionalFormatting>
  <conditionalFormatting sqref="R31">
    <cfRule type="cellIs" dxfId="9812" priority="2549" operator="greaterThan">
      <formula>1</formula>
    </cfRule>
    <cfRule type="cellIs" dxfId="9811" priority="2550" operator="lessThan">
      <formula>0.8</formula>
    </cfRule>
  </conditionalFormatting>
  <conditionalFormatting sqref="R31">
    <cfRule type="cellIs" dxfId="9810" priority="2545" operator="lessThan">
      <formula>0.8</formula>
    </cfRule>
    <cfRule type="cellIs" dxfId="9809" priority="2546" operator="greaterThan">
      <formula>1</formula>
    </cfRule>
  </conditionalFormatting>
  <conditionalFormatting sqref="R31">
    <cfRule type="cellIs" dxfId="9808" priority="2543" operator="greaterThan">
      <formula>1</formula>
    </cfRule>
    <cfRule type="cellIs" dxfId="9807" priority="2544" operator="lessThan">
      <formula>0.8</formula>
    </cfRule>
  </conditionalFormatting>
  <conditionalFormatting sqref="P31">
    <cfRule type="cellIs" dxfId="9806" priority="2542" operator="greaterThan">
      <formula>0</formula>
    </cfRule>
  </conditionalFormatting>
  <conditionalFormatting sqref="Q31">
    <cfRule type="cellIs" dxfId="9805" priority="2547" operator="lessThan">
      <formula>0</formula>
    </cfRule>
  </conditionalFormatting>
  <conditionalFormatting sqref="P31">
    <cfRule type="cellIs" dxfId="9804" priority="2536" operator="greaterThan">
      <formula>0</formula>
    </cfRule>
  </conditionalFormatting>
  <conditionalFormatting sqref="Q31">
    <cfRule type="cellIs" dxfId="9803" priority="2541" operator="lessThan">
      <formula>0</formula>
    </cfRule>
  </conditionalFormatting>
  <conditionalFormatting sqref="R31">
    <cfRule type="cellIs" dxfId="9802" priority="2539" operator="lessThan">
      <formula>0.8</formula>
    </cfRule>
    <cfRule type="cellIs" dxfId="9801" priority="2540" operator="greaterThan">
      <formula>1</formula>
    </cfRule>
  </conditionalFormatting>
  <conditionalFormatting sqref="R31">
    <cfRule type="cellIs" dxfId="9800" priority="2537" operator="greaterThan">
      <formula>1</formula>
    </cfRule>
    <cfRule type="cellIs" dxfId="9799" priority="2538" operator="lessThan">
      <formula>0.8</formula>
    </cfRule>
  </conditionalFormatting>
  <conditionalFormatting sqref="R31">
    <cfRule type="cellIs" dxfId="9798" priority="2533" operator="lessThan">
      <formula>0.8</formula>
    </cfRule>
    <cfRule type="cellIs" dxfId="9797" priority="2534" operator="greaterThan">
      <formula>1</formula>
    </cfRule>
  </conditionalFormatting>
  <conditionalFormatting sqref="R31">
    <cfRule type="cellIs" dxfId="9796" priority="2531" operator="greaterThan">
      <formula>1</formula>
    </cfRule>
    <cfRule type="cellIs" dxfId="9795" priority="2532" operator="lessThan">
      <formula>0.8</formula>
    </cfRule>
  </conditionalFormatting>
  <conditionalFormatting sqref="P31">
    <cfRule type="cellIs" dxfId="9794" priority="2530" operator="greaterThan">
      <formula>0</formula>
    </cfRule>
  </conditionalFormatting>
  <conditionalFormatting sqref="Q31">
    <cfRule type="cellIs" dxfId="9793" priority="2535" operator="lessThan">
      <formula>0</formula>
    </cfRule>
  </conditionalFormatting>
  <conditionalFormatting sqref="R31">
    <cfRule type="cellIs" dxfId="9792" priority="2527" operator="lessThan">
      <formula>0.8</formula>
    </cfRule>
    <cfRule type="cellIs" dxfId="9791" priority="2528" operator="greaterThan">
      <formula>1</formula>
    </cfRule>
  </conditionalFormatting>
  <conditionalFormatting sqref="R31">
    <cfRule type="cellIs" dxfId="9790" priority="2525" operator="greaterThan">
      <formula>1</formula>
    </cfRule>
    <cfRule type="cellIs" dxfId="9789" priority="2526" operator="lessThan">
      <formula>0.8</formula>
    </cfRule>
  </conditionalFormatting>
  <conditionalFormatting sqref="P31">
    <cfRule type="cellIs" dxfId="9788" priority="2524" operator="greaterThan">
      <formula>0</formula>
    </cfRule>
  </conditionalFormatting>
  <conditionalFormatting sqref="Q31">
    <cfRule type="cellIs" dxfId="9787" priority="2529" operator="lessThan">
      <formula>0</formula>
    </cfRule>
  </conditionalFormatting>
  <conditionalFormatting sqref="Q31">
    <cfRule type="cellIs" dxfId="9786" priority="2523" operator="lessThan">
      <formula>0</formula>
    </cfRule>
  </conditionalFormatting>
  <conditionalFormatting sqref="R31">
    <cfRule type="cellIs" dxfId="9785" priority="2521" operator="lessThan">
      <formula>0.8</formula>
    </cfRule>
    <cfRule type="cellIs" dxfId="9784" priority="2522" operator="greaterThan">
      <formula>1</formula>
    </cfRule>
  </conditionalFormatting>
  <conditionalFormatting sqref="R31">
    <cfRule type="cellIs" dxfId="9783" priority="2519" operator="greaterThan">
      <formula>1</formula>
    </cfRule>
    <cfRule type="cellIs" dxfId="9782" priority="2520" operator="lessThan">
      <formula>0.8</formula>
    </cfRule>
  </conditionalFormatting>
  <conditionalFormatting sqref="P31">
    <cfRule type="cellIs" dxfId="9781" priority="2518" operator="greaterThan">
      <formula>0</formula>
    </cfRule>
  </conditionalFormatting>
  <conditionalFormatting sqref="Q31">
    <cfRule type="cellIs" dxfId="9780" priority="2512" operator="lessThan">
      <formula>0</formula>
    </cfRule>
  </conditionalFormatting>
  <conditionalFormatting sqref="R31">
    <cfRule type="cellIs" dxfId="9779" priority="2516" operator="lessThan">
      <formula>0.8</formula>
    </cfRule>
    <cfRule type="cellIs" dxfId="9778" priority="2517" operator="greaterThan">
      <formula>1</formula>
    </cfRule>
  </conditionalFormatting>
  <conditionalFormatting sqref="R31">
    <cfRule type="cellIs" dxfId="9777" priority="2514" operator="greaterThan">
      <formula>1</formula>
    </cfRule>
    <cfRule type="cellIs" dxfId="9776" priority="2515" operator="lessThan">
      <formula>0.8</formula>
    </cfRule>
  </conditionalFormatting>
  <conditionalFormatting sqref="P31">
    <cfRule type="cellIs" dxfId="9775" priority="2513" operator="greaterThan">
      <formula>0</formula>
    </cfRule>
  </conditionalFormatting>
  <conditionalFormatting sqref="Q31">
    <cfRule type="cellIs" dxfId="9774" priority="2511" operator="lessThan">
      <formula>0</formula>
    </cfRule>
  </conditionalFormatting>
  <conditionalFormatting sqref="R31">
    <cfRule type="cellIs" dxfId="9773" priority="2509" operator="lessThan">
      <formula>0.8</formula>
    </cfRule>
    <cfRule type="cellIs" dxfId="9772" priority="2510" operator="greaterThan">
      <formula>1</formula>
    </cfRule>
  </conditionalFormatting>
  <conditionalFormatting sqref="R31">
    <cfRule type="cellIs" dxfId="9771" priority="2507" operator="greaterThan">
      <formula>1</formula>
    </cfRule>
    <cfRule type="cellIs" dxfId="9770" priority="2508" operator="lessThan">
      <formula>0.8</formula>
    </cfRule>
  </conditionalFormatting>
  <conditionalFormatting sqref="P31">
    <cfRule type="cellIs" dxfId="9769" priority="2506" operator="greaterThan">
      <formula>0</formula>
    </cfRule>
  </conditionalFormatting>
  <conditionalFormatting sqref="Q31">
    <cfRule type="cellIs" dxfId="9768" priority="2505" operator="lessThan">
      <formula>0</formula>
    </cfRule>
  </conditionalFormatting>
  <conditionalFormatting sqref="R31">
    <cfRule type="cellIs" dxfId="9767" priority="2503" operator="lessThan">
      <formula>0.8</formula>
    </cfRule>
    <cfRule type="cellIs" dxfId="9766" priority="2504" operator="greaterThan">
      <formula>1</formula>
    </cfRule>
  </conditionalFormatting>
  <conditionalFormatting sqref="R31">
    <cfRule type="cellIs" dxfId="9765" priority="2501" operator="greaterThan">
      <formula>1</formula>
    </cfRule>
    <cfRule type="cellIs" dxfId="9764" priority="2502" operator="lessThan">
      <formula>0.8</formula>
    </cfRule>
  </conditionalFormatting>
  <conditionalFormatting sqref="P31">
    <cfRule type="cellIs" dxfId="9763" priority="2500" operator="greaterThan">
      <formula>0</formula>
    </cfRule>
  </conditionalFormatting>
  <conditionalFormatting sqref="Q31">
    <cfRule type="cellIs" dxfId="9762" priority="2499" operator="lessThan">
      <formula>0</formula>
    </cfRule>
  </conditionalFormatting>
  <conditionalFormatting sqref="R31">
    <cfRule type="cellIs" dxfId="9761" priority="2497" operator="lessThan">
      <formula>0.8</formula>
    </cfRule>
    <cfRule type="cellIs" dxfId="9760" priority="2498" operator="greaterThan">
      <formula>1</formula>
    </cfRule>
  </conditionalFormatting>
  <conditionalFormatting sqref="R31">
    <cfRule type="cellIs" dxfId="9759" priority="2495" operator="greaterThan">
      <formula>1</formula>
    </cfRule>
    <cfRule type="cellIs" dxfId="9758" priority="2496" operator="lessThan">
      <formula>0.8</formula>
    </cfRule>
  </conditionalFormatting>
  <conditionalFormatting sqref="P31">
    <cfRule type="cellIs" dxfId="9757" priority="2494" operator="greaterThan">
      <formula>0</formula>
    </cfRule>
  </conditionalFormatting>
  <conditionalFormatting sqref="Q31">
    <cfRule type="cellIs" dxfId="9756" priority="2493" operator="lessThan">
      <formula>0</formula>
    </cfRule>
  </conditionalFormatting>
  <conditionalFormatting sqref="R31">
    <cfRule type="cellIs" dxfId="9755" priority="2491" operator="lessThan">
      <formula>0.8</formula>
    </cfRule>
    <cfRule type="cellIs" dxfId="9754" priority="2492" operator="greaterThan">
      <formula>1</formula>
    </cfRule>
  </conditionalFormatting>
  <conditionalFormatting sqref="R31">
    <cfRule type="cellIs" dxfId="9753" priority="2489" operator="greaterThan">
      <formula>1</formula>
    </cfRule>
    <cfRule type="cellIs" dxfId="9752" priority="2490" operator="lessThan">
      <formula>0.8</formula>
    </cfRule>
  </conditionalFormatting>
  <conditionalFormatting sqref="P31">
    <cfRule type="cellIs" dxfId="9751" priority="2488" operator="greaterThan">
      <formula>0</formula>
    </cfRule>
  </conditionalFormatting>
  <conditionalFormatting sqref="Q31">
    <cfRule type="cellIs" dxfId="9750" priority="2487" operator="lessThan">
      <formula>0</formula>
    </cfRule>
  </conditionalFormatting>
  <conditionalFormatting sqref="R31">
    <cfRule type="cellIs" dxfId="9749" priority="2485" operator="lessThan">
      <formula>0.8</formula>
    </cfRule>
    <cfRule type="cellIs" dxfId="9748" priority="2486" operator="greaterThan">
      <formula>1</formula>
    </cfRule>
  </conditionalFormatting>
  <conditionalFormatting sqref="R31">
    <cfRule type="cellIs" dxfId="9747" priority="2483" operator="greaterThan">
      <formula>1</formula>
    </cfRule>
    <cfRule type="cellIs" dxfId="9746" priority="2484" operator="lessThan">
      <formula>0.8</formula>
    </cfRule>
  </conditionalFormatting>
  <conditionalFormatting sqref="P31">
    <cfRule type="cellIs" dxfId="9745" priority="2482" operator="greaterThan">
      <formula>0</formula>
    </cfRule>
  </conditionalFormatting>
  <conditionalFormatting sqref="P31">
    <cfRule type="cellIs" dxfId="9744" priority="2476" operator="greaterThan">
      <formula>0</formula>
    </cfRule>
  </conditionalFormatting>
  <conditionalFormatting sqref="Q31">
    <cfRule type="cellIs" dxfId="9743" priority="2481" operator="lessThan">
      <formula>0</formula>
    </cfRule>
  </conditionalFormatting>
  <conditionalFormatting sqref="R31">
    <cfRule type="cellIs" dxfId="9742" priority="2479" operator="lessThan">
      <formula>0.8</formula>
    </cfRule>
    <cfRule type="cellIs" dxfId="9741" priority="2480" operator="greaterThan">
      <formula>1</formula>
    </cfRule>
  </conditionalFormatting>
  <conditionalFormatting sqref="R31">
    <cfRule type="cellIs" dxfId="9740" priority="2477" operator="greaterThan">
      <formula>1</formula>
    </cfRule>
    <cfRule type="cellIs" dxfId="9739" priority="2478" operator="lessThan">
      <formula>0.8</formula>
    </cfRule>
  </conditionalFormatting>
  <conditionalFormatting sqref="P31">
    <cfRule type="cellIs" dxfId="9738" priority="2470" operator="greaterThan">
      <formula>0</formula>
    </cfRule>
  </conditionalFormatting>
  <conditionalFormatting sqref="Q31">
    <cfRule type="cellIs" dxfId="9737" priority="2475" operator="lessThan">
      <formula>0</formula>
    </cfRule>
  </conditionalFormatting>
  <conditionalFormatting sqref="R31">
    <cfRule type="cellIs" dxfId="9736" priority="2473" operator="lessThan">
      <formula>0.8</formula>
    </cfRule>
    <cfRule type="cellIs" dxfId="9735" priority="2474" operator="greaterThan">
      <formula>1</formula>
    </cfRule>
  </conditionalFormatting>
  <conditionalFormatting sqref="R31">
    <cfRule type="cellIs" dxfId="9734" priority="2471" operator="greaterThan">
      <formula>1</formula>
    </cfRule>
    <cfRule type="cellIs" dxfId="9733" priority="2472" operator="lessThan">
      <formula>0.8</formula>
    </cfRule>
  </conditionalFormatting>
  <conditionalFormatting sqref="R31">
    <cfRule type="cellIs" dxfId="9732" priority="2467" operator="lessThan">
      <formula>0.8</formula>
    </cfRule>
    <cfRule type="cellIs" dxfId="9731" priority="2468" operator="greaterThan">
      <formula>1</formula>
    </cfRule>
  </conditionalFormatting>
  <conditionalFormatting sqref="R31">
    <cfRule type="cellIs" dxfId="9730" priority="2465" operator="greaterThan">
      <formula>1</formula>
    </cfRule>
    <cfRule type="cellIs" dxfId="9729" priority="2466" operator="lessThan">
      <formula>0.8</formula>
    </cfRule>
  </conditionalFormatting>
  <conditionalFormatting sqref="P31">
    <cfRule type="cellIs" dxfId="9728" priority="2464" operator="greaterThan">
      <formula>0</formula>
    </cfRule>
  </conditionalFormatting>
  <conditionalFormatting sqref="Q31">
    <cfRule type="cellIs" dxfId="9727" priority="2469" operator="lessThan">
      <formula>0</formula>
    </cfRule>
  </conditionalFormatting>
  <conditionalFormatting sqref="Q31">
    <cfRule type="cellIs" dxfId="9726" priority="2463" operator="lessThan">
      <formula>0</formula>
    </cfRule>
  </conditionalFormatting>
  <conditionalFormatting sqref="R31">
    <cfRule type="cellIs" dxfId="9725" priority="2461" operator="lessThan">
      <formula>0.8</formula>
    </cfRule>
    <cfRule type="cellIs" dxfId="9724" priority="2462" operator="greaterThan">
      <formula>1</formula>
    </cfRule>
  </conditionalFormatting>
  <conditionalFormatting sqref="R31">
    <cfRule type="cellIs" dxfId="9723" priority="2459" operator="greaterThan">
      <formula>1</formula>
    </cfRule>
    <cfRule type="cellIs" dxfId="9722" priority="2460" operator="lessThan">
      <formula>0.8</formula>
    </cfRule>
  </conditionalFormatting>
  <conditionalFormatting sqref="P31">
    <cfRule type="cellIs" dxfId="9721" priority="2458" operator="greaterThan">
      <formula>0</formula>
    </cfRule>
  </conditionalFormatting>
  <conditionalFormatting sqref="Q31">
    <cfRule type="cellIs" dxfId="9720" priority="2457" operator="lessThan">
      <formula>0</formula>
    </cfRule>
  </conditionalFormatting>
  <conditionalFormatting sqref="R31">
    <cfRule type="cellIs" dxfId="9719" priority="2455" operator="lessThan">
      <formula>0.8</formula>
    </cfRule>
    <cfRule type="cellIs" dxfId="9718" priority="2456" operator="greaterThan">
      <formula>1</formula>
    </cfRule>
  </conditionalFormatting>
  <conditionalFormatting sqref="R31">
    <cfRule type="cellIs" dxfId="9717" priority="2453" operator="greaterThan">
      <formula>1</formula>
    </cfRule>
    <cfRule type="cellIs" dxfId="9716" priority="2454" operator="lessThan">
      <formula>0.8</formula>
    </cfRule>
  </conditionalFormatting>
  <conditionalFormatting sqref="P31">
    <cfRule type="cellIs" dxfId="9715" priority="2452" operator="greaterThan">
      <formula>0</formula>
    </cfRule>
  </conditionalFormatting>
  <conditionalFormatting sqref="Q31">
    <cfRule type="cellIs" dxfId="9714" priority="2451" operator="lessThan">
      <formula>0</formula>
    </cfRule>
  </conditionalFormatting>
  <conditionalFormatting sqref="R31">
    <cfRule type="cellIs" dxfId="9713" priority="2449" operator="lessThan">
      <formula>0.8</formula>
    </cfRule>
    <cfRule type="cellIs" dxfId="9712" priority="2450" operator="greaterThan">
      <formula>1</formula>
    </cfRule>
  </conditionalFormatting>
  <conditionalFormatting sqref="R31">
    <cfRule type="cellIs" dxfId="9711" priority="2447" operator="greaterThan">
      <formula>1</formula>
    </cfRule>
    <cfRule type="cellIs" dxfId="9710" priority="2448" operator="lessThan">
      <formula>0.8</formula>
    </cfRule>
  </conditionalFormatting>
  <conditionalFormatting sqref="P31">
    <cfRule type="cellIs" dxfId="9709" priority="2446" operator="greaterThan">
      <formula>0</formula>
    </cfRule>
  </conditionalFormatting>
  <conditionalFormatting sqref="Q31">
    <cfRule type="cellIs" dxfId="9708" priority="2445" operator="lessThan">
      <formula>0</formula>
    </cfRule>
  </conditionalFormatting>
  <conditionalFormatting sqref="R31">
    <cfRule type="cellIs" dxfId="9707" priority="2443" operator="lessThan">
      <formula>0.8</formula>
    </cfRule>
    <cfRule type="cellIs" dxfId="9706" priority="2444" operator="greaterThan">
      <formula>1</formula>
    </cfRule>
  </conditionalFormatting>
  <conditionalFormatting sqref="R31">
    <cfRule type="cellIs" dxfId="9705" priority="2441" operator="greaterThan">
      <formula>1</formula>
    </cfRule>
    <cfRule type="cellIs" dxfId="9704" priority="2442" operator="lessThan">
      <formula>0.8</formula>
    </cfRule>
  </conditionalFormatting>
  <conditionalFormatting sqref="P31">
    <cfRule type="cellIs" dxfId="9703" priority="2440" operator="greaterThan">
      <formula>0</formula>
    </cfRule>
  </conditionalFormatting>
  <conditionalFormatting sqref="P31">
    <cfRule type="cellIs" dxfId="9702" priority="2434" operator="greaterThan">
      <formula>0</formula>
    </cfRule>
  </conditionalFormatting>
  <conditionalFormatting sqref="Q31">
    <cfRule type="cellIs" dxfId="9701" priority="2439" operator="lessThan">
      <formula>0</formula>
    </cfRule>
  </conditionalFormatting>
  <conditionalFormatting sqref="R31">
    <cfRule type="cellIs" dxfId="9700" priority="2437" operator="lessThan">
      <formula>0.8</formula>
    </cfRule>
    <cfRule type="cellIs" dxfId="9699" priority="2438" operator="greaterThan">
      <formula>1</formula>
    </cfRule>
  </conditionalFormatting>
  <conditionalFormatting sqref="R31">
    <cfRule type="cellIs" dxfId="9698" priority="2435" operator="greaterThan">
      <formula>1</formula>
    </cfRule>
    <cfRule type="cellIs" dxfId="9697" priority="2436" operator="lessThan">
      <formula>0.8</formula>
    </cfRule>
  </conditionalFormatting>
  <conditionalFormatting sqref="P31">
    <cfRule type="cellIs" dxfId="9696" priority="2428" operator="greaterThan">
      <formula>0</formula>
    </cfRule>
  </conditionalFormatting>
  <conditionalFormatting sqref="Q31">
    <cfRule type="cellIs" dxfId="9695" priority="2433" operator="lessThan">
      <formula>0</formula>
    </cfRule>
  </conditionalFormatting>
  <conditionalFormatting sqref="R31">
    <cfRule type="cellIs" dxfId="9694" priority="2431" operator="lessThan">
      <formula>0.8</formula>
    </cfRule>
    <cfRule type="cellIs" dxfId="9693" priority="2432" operator="greaterThan">
      <formula>1</formula>
    </cfRule>
  </conditionalFormatting>
  <conditionalFormatting sqref="R31">
    <cfRule type="cellIs" dxfId="9692" priority="2429" operator="greaterThan">
      <formula>1</formula>
    </cfRule>
    <cfRule type="cellIs" dxfId="9691" priority="2430" operator="lessThan">
      <formula>0.8</formula>
    </cfRule>
  </conditionalFormatting>
  <conditionalFormatting sqref="R31">
    <cfRule type="cellIs" dxfId="9690" priority="2425" operator="lessThan">
      <formula>0.8</formula>
    </cfRule>
    <cfRule type="cellIs" dxfId="9689" priority="2426" operator="greaterThan">
      <formula>1</formula>
    </cfRule>
  </conditionalFormatting>
  <conditionalFormatting sqref="R31">
    <cfRule type="cellIs" dxfId="9688" priority="2423" operator="greaterThan">
      <formula>1</formula>
    </cfRule>
    <cfRule type="cellIs" dxfId="9687" priority="2424" operator="lessThan">
      <formula>0.8</formula>
    </cfRule>
  </conditionalFormatting>
  <conditionalFormatting sqref="P31">
    <cfRule type="cellIs" dxfId="9686" priority="2422" operator="greaterThan">
      <formula>0</formula>
    </cfRule>
  </conditionalFormatting>
  <conditionalFormatting sqref="Q31">
    <cfRule type="cellIs" dxfId="9685" priority="2427" operator="lessThan">
      <formula>0</formula>
    </cfRule>
  </conditionalFormatting>
  <conditionalFormatting sqref="Q31">
    <cfRule type="cellIs" dxfId="9684" priority="2421" operator="lessThan">
      <formula>0</formula>
    </cfRule>
  </conditionalFormatting>
  <conditionalFormatting sqref="R31">
    <cfRule type="cellIs" dxfId="9683" priority="2419" operator="lessThan">
      <formula>0.8</formula>
    </cfRule>
    <cfRule type="cellIs" dxfId="9682" priority="2420" operator="greaterThan">
      <formula>1</formula>
    </cfRule>
  </conditionalFormatting>
  <conditionalFormatting sqref="R31">
    <cfRule type="cellIs" dxfId="9681" priority="2417" operator="greaterThan">
      <formula>1</formula>
    </cfRule>
    <cfRule type="cellIs" dxfId="9680" priority="2418" operator="lessThan">
      <formula>0.8</formula>
    </cfRule>
  </conditionalFormatting>
  <conditionalFormatting sqref="P31">
    <cfRule type="cellIs" dxfId="9679" priority="2416" operator="greaterThan">
      <formula>0</formula>
    </cfRule>
  </conditionalFormatting>
  <conditionalFormatting sqref="P31">
    <cfRule type="cellIs" dxfId="9678" priority="2410" operator="greaterThan">
      <formula>0</formula>
    </cfRule>
  </conditionalFormatting>
  <conditionalFormatting sqref="Q31">
    <cfRule type="cellIs" dxfId="9677" priority="2415" operator="lessThan">
      <formula>0</formula>
    </cfRule>
  </conditionalFormatting>
  <conditionalFormatting sqref="R31">
    <cfRule type="cellIs" dxfId="9676" priority="2413" operator="lessThan">
      <formula>0.8</formula>
    </cfRule>
    <cfRule type="cellIs" dxfId="9675" priority="2414" operator="greaterThan">
      <formula>1</formula>
    </cfRule>
  </conditionalFormatting>
  <conditionalFormatting sqref="R31">
    <cfRule type="cellIs" dxfId="9674" priority="2411" operator="greaterThan">
      <formula>1</formula>
    </cfRule>
    <cfRule type="cellIs" dxfId="9673" priority="2412" operator="lessThan">
      <formula>0.8</formula>
    </cfRule>
  </conditionalFormatting>
  <conditionalFormatting sqref="P31">
    <cfRule type="cellIs" dxfId="9672" priority="2404" operator="greaterThan">
      <formula>0</formula>
    </cfRule>
  </conditionalFormatting>
  <conditionalFormatting sqref="Q31">
    <cfRule type="cellIs" dxfId="9671" priority="2409" operator="lessThan">
      <formula>0</formula>
    </cfRule>
  </conditionalFormatting>
  <conditionalFormatting sqref="R31">
    <cfRule type="cellIs" dxfId="9670" priority="2407" operator="lessThan">
      <formula>0.8</formula>
    </cfRule>
    <cfRule type="cellIs" dxfId="9669" priority="2408" operator="greaterThan">
      <formula>1</formula>
    </cfRule>
  </conditionalFormatting>
  <conditionalFormatting sqref="R31">
    <cfRule type="cellIs" dxfId="9668" priority="2405" operator="greaterThan">
      <formula>1</formula>
    </cfRule>
    <cfRule type="cellIs" dxfId="9667" priority="2406" operator="lessThan">
      <formula>0.8</formula>
    </cfRule>
  </conditionalFormatting>
  <conditionalFormatting sqref="R31">
    <cfRule type="cellIs" dxfId="9666" priority="2401" operator="lessThan">
      <formula>0.8</formula>
    </cfRule>
    <cfRule type="cellIs" dxfId="9665" priority="2402" operator="greaterThan">
      <formula>1</formula>
    </cfRule>
  </conditionalFormatting>
  <conditionalFormatting sqref="R31">
    <cfRule type="cellIs" dxfId="9664" priority="2399" operator="greaterThan">
      <formula>1</formula>
    </cfRule>
    <cfRule type="cellIs" dxfId="9663" priority="2400" operator="lessThan">
      <formula>0.8</formula>
    </cfRule>
  </conditionalFormatting>
  <conditionalFormatting sqref="P31">
    <cfRule type="cellIs" dxfId="9662" priority="2398" operator="greaterThan">
      <formula>0</formula>
    </cfRule>
  </conditionalFormatting>
  <conditionalFormatting sqref="Q31">
    <cfRule type="cellIs" dxfId="9661" priority="2403" operator="lessThan">
      <formula>0</formula>
    </cfRule>
  </conditionalFormatting>
  <conditionalFormatting sqref="P31">
    <cfRule type="cellIs" dxfId="9660" priority="2392" operator="greaterThan">
      <formula>0</formula>
    </cfRule>
  </conditionalFormatting>
  <conditionalFormatting sqref="Q31">
    <cfRule type="cellIs" dxfId="9659" priority="2397" operator="lessThan">
      <formula>0</formula>
    </cfRule>
  </conditionalFormatting>
  <conditionalFormatting sqref="R31">
    <cfRule type="cellIs" dxfId="9658" priority="2395" operator="lessThan">
      <formula>0.8</formula>
    </cfRule>
    <cfRule type="cellIs" dxfId="9657" priority="2396" operator="greaterThan">
      <formula>1</formula>
    </cfRule>
  </conditionalFormatting>
  <conditionalFormatting sqref="R31">
    <cfRule type="cellIs" dxfId="9656" priority="2393" operator="greaterThan">
      <formula>1</formula>
    </cfRule>
    <cfRule type="cellIs" dxfId="9655" priority="2394" operator="lessThan">
      <formula>0.8</formula>
    </cfRule>
  </conditionalFormatting>
  <conditionalFormatting sqref="R31">
    <cfRule type="cellIs" dxfId="9654" priority="2389" operator="lessThan">
      <formula>0.8</formula>
    </cfRule>
    <cfRule type="cellIs" dxfId="9653" priority="2390" operator="greaterThan">
      <formula>1</formula>
    </cfRule>
  </conditionalFormatting>
  <conditionalFormatting sqref="R31">
    <cfRule type="cellIs" dxfId="9652" priority="2387" operator="greaterThan">
      <formula>1</formula>
    </cfRule>
    <cfRule type="cellIs" dxfId="9651" priority="2388" operator="lessThan">
      <formula>0.8</formula>
    </cfRule>
  </conditionalFormatting>
  <conditionalFormatting sqref="P31">
    <cfRule type="cellIs" dxfId="9650" priority="2386" operator="greaterThan">
      <formula>0</formula>
    </cfRule>
  </conditionalFormatting>
  <conditionalFormatting sqref="Q31">
    <cfRule type="cellIs" dxfId="9649" priority="2391" operator="lessThan">
      <formula>0</formula>
    </cfRule>
  </conditionalFormatting>
  <conditionalFormatting sqref="R31">
    <cfRule type="cellIs" dxfId="9648" priority="2383" operator="lessThan">
      <formula>0.8</formula>
    </cfRule>
    <cfRule type="cellIs" dxfId="9647" priority="2384" operator="greaterThan">
      <formula>1</formula>
    </cfRule>
  </conditionalFormatting>
  <conditionalFormatting sqref="R31">
    <cfRule type="cellIs" dxfId="9646" priority="2381" operator="greaterThan">
      <formula>1</formula>
    </cfRule>
    <cfRule type="cellIs" dxfId="9645" priority="2382" operator="lessThan">
      <formula>0.8</formula>
    </cfRule>
  </conditionalFormatting>
  <conditionalFormatting sqref="P31">
    <cfRule type="cellIs" dxfId="9644" priority="2380" operator="greaterThan">
      <formula>0</formula>
    </cfRule>
  </conditionalFormatting>
  <conditionalFormatting sqref="Q31">
    <cfRule type="cellIs" dxfId="9643" priority="2385" operator="lessThan">
      <formula>0</formula>
    </cfRule>
  </conditionalFormatting>
  <conditionalFormatting sqref="Q31">
    <cfRule type="cellIs" dxfId="9642" priority="2379" operator="lessThan">
      <formula>0</formula>
    </cfRule>
  </conditionalFormatting>
  <conditionalFormatting sqref="R31">
    <cfRule type="cellIs" dxfId="9641" priority="2377" operator="lessThan">
      <formula>0.8</formula>
    </cfRule>
    <cfRule type="cellIs" dxfId="9640" priority="2378" operator="greaterThan">
      <formula>1</formula>
    </cfRule>
  </conditionalFormatting>
  <conditionalFormatting sqref="R31">
    <cfRule type="cellIs" dxfId="9639" priority="2375" operator="greaterThan">
      <formula>1</formula>
    </cfRule>
    <cfRule type="cellIs" dxfId="9638" priority="2376" operator="lessThan">
      <formula>0.8</formula>
    </cfRule>
  </conditionalFormatting>
  <conditionalFormatting sqref="P31">
    <cfRule type="cellIs" dxfId="9637" priority="2374" operator="greaterThan">
      <formula>0</formula>
    </cfRule>
  </conditionalFormatting>
  <conditionalFormatting sqref="Q31">
    <cfRule type="cellIs" dxfId="9636" priority="2368" operator="lessThan">
      <formula>0</formula>
    </cfRule>
  </conditionalFormatting>
  <conditionalFormatting sqref="R31">
    <cfRule type="cellIs" dxfId="9635" priority="2372" operator="lessThan">
      <formula>0.8</formula>
    </cfRule>
    <cfRule type="cellIs" dxfId="9634" priority="2373" operator="greaterThan">
      <formula>1</formula>
    </cfRule>
  </conditionalFormatting>
  <conditionalFormatting sqref="R31">
    <cfRule type="cellIs" dxfId="9633" priority="2370" operator="greaterThan">
      <formula>1</formula>
    </cfRule>
    <cfRule type="cellIs" dxfId="9632" priority="2371" operator="lessThan">
      <formula>0.8</formula>
    </cfRule>
  </conditionalFormatting>
  <conditionalFormatting sqref="P31">
    <cfRule type="cellIs" dxfId="9631" priority="2369" operator="greaterThan">
      <formula>0</formula>
    </cfRule>
  </conditionalFormatting>
  <conditionalFormatting sqref="Q31">
    <cfRule type="cellIs" dxfId="9630" priority="2367" operator="lessThan">
      <formula>0</formula>
    </cfRule>
  </conditionalFormatting>
  <conditionalFormatting sqref="R31">
    <cfRule type="cellIs" dxfId="9629" priority="2365" operator="lessThan">
      <formula>0.8</formula>
    </cfRule>
    <cfRule type="cellIs" dxfId="9628" priority="2366" operator="greaterThan">
      <formula>1</formula>
    </cfRule>
  </conditionalFormatting>
  <conditionalFormatting sqref="R31">
    <cfRule type="cellIs" dxfId="9627" priority="2363" operator="greaterThan">
      <formula>1</formula>
    </cfRule>
    <cfRule type="cellIs" dxfId="9626" priority="2364" operator="lessThan">
      <formula>0.8</formula>
    </cfRule>
  </conditionalFormatting>
  <conditionalFormatting sqref="P31">
    <cfRule type="cellIs" dxfId="9625" priority="2362" operator="greaterThan">
      <formula>0</formula>
    </cfRule>
  </conditionalFormatting>
  <conditionalFormatting sqref="Q31">
    <cfRule type="cellIs" dxfId="9624" priority="2361" operator="lessThan">
      <formula>0</formula>
    </cfRule>
  </conditionalFormatting>
  <conditionalFormatting sqref="R31">
    <cfRule type="cellIs" dxfId="9623" priority="2359" operator="lessThan">
      <formula>0.8</formula>
    </cfRule>
    <cfRule type="cellIs" dxfId="9622" priority="2360" operator="greaterThan">
      <formula>1</formula>
    </cfRule>
  </conditionalFormatting>
  <conditionalFormatting sqref="R31">
    <cfRule type="cellIs" dxfId="9621" priority="2357" operator="greaterThan">
      <formula>1</formula>
    </cfRule>
    <cfRule type="cellIs" dxfId="9620" priority="2358" operator="lessThan">
      <formula>0.8</formula>
    </cfRule>
  </conditionalFormatting>
  <conditionalFormatting sqref="P31">
    <cfRule type="cellIs" dxfId="9619" priority="2356" operator="greaterThan">
      <formula>0</formula>
    </cfRule>
  </conditionalFormatting>
  <conditionalFormatting sqref="Q31">
    <cfRule type="cellIs" dxfId="9618" priority="2355" operator="lessThan">
      <formula>0</formula>
    </cfRule>
  </conditionalFormatting>
  <conditionalFormatting sqref="R31">
    <cfRule type="cellIs" dxfId="9617" priority="2353" operator="lessThan">
      <formula>0.8</formula>
    </cfRule>
    <cfRule type="cellIs" dxfId="9616" priority="2354" operator="greaterThan">
      <formula>1</formula>
    </cfRule>
  </conditionalFormatting>
  <conditionalFormatting sqref="R31">
    <cfRule type="cellIs" dxfId="9615" priority="2351" operator="greaterThan">
      <formula>1</formula>
    </cfRule>
    <cfRule type="cellIs" dxfId="9614" priority="2352" operator="lessThan">
      <formula>0.8</formula>
    </cfRule>
  </conditionalFormatting>
  <conditionalFormatting sqref="P31">
    <cfRule type="cellIs" dxfId="9613" priority="2350" operator="greaterThan">
      <formula>0</formula>
    </cfRule>
  </conditionalFormatting>
  <conditionalFormatting sqref="Q31">
    <cfRule type="cellIs" dxfId="9612" priority="2349" operator="lessThan">
      <formula>0</formula>
    </cfRule>
  </conditionalFormatting>
  <conditionalFormatting sqref="R31">
    <cfRule type="cellIs" dxfId="9611" priority="2347" operator="lessThan">
      <formula>0.8</formula>
    </cfRule>
    <cfRule type="cellIs" dxfId="9610" priority="2348" operator="greaterThan">
      <formula>1</formula>
    </cfRule>
  </conditionalFormatting>
  <conditionalFormatting sqref="R31">
    <cfRule type="cellIs" dxfId="9609" priority="2345" operator="greaterThan">
      <formula>1</formula>
    </cfRule>
    <cfRule type="cellIs" dxfId="9608" priority="2346" operator="lessThan">
      <formula>0.8</formula>
    </cfRule>
  </conditionalFormatting>
  <conditionalFormatting sqref="P31">
    <cfRule type="cellIs" dxfId="9607" priority="2344" operator="greaterThan">
      <formula>0</formula>
    </cfRule>
  </conditionalFormatting>
  <conditionalFormatting sqref="Q31">
    <cfRule type="cellIs" dxfId="9606" priority="2343" operator="lessThan">
      <formula>0</formula>
    </cfRule>
  </conditionalFormatting>
  <conditionalFormatting sqref="R31">
    <cfRule type="cellIs" dxfId="9605" priority="2341" operator="lessThan">
      <formula>0.8</formula>
    </cfRule>
    <cfRule type="cellIs" dxfId="9604" priority="2342" operator="greaterThan">
      <formula>1</formula>
    </cfRule>
  </conditionalFormatting>
  <conditionalFormatting sqref="R31">
    <cfRule type="cellIs" dxfId="9603" priority="2339" operator="greaterThan">
      <formula>1</formula>
    </cfRule>
    <cfRule type="cellIs" dxfId="9602" priority="2340" operator="lessThan">
      <formula>0.8</formula>
    </cfRule>
  </conditionalFormatting>
  <conditionalFormatting sqref="P31">
    <cfRule type="cellIs" dxfId="9601" priority="2338" operator="greaterThan">
      <formula>0</formula>
    </cfRule>
  </conditionalFormatting>
  <conditionalFormatting sqref="P31">
    <cfRule type="cellIs" dxfId="9600" priority="2332" operator="greaterThan">
      <formula>0</formula>
    </cfRule>
  </conditionalFormatting>
  <conditionalFormatting sqref="Q31">
    <cfRule type="cellIs" dxfId="9599" priority="2337" operator="lessThan">
      <formula>0</formula>
    </cfRule>
  </conditionalFormatting>
  <conditionalFormatting sqref="R31">
    <cfRule type="cellIs" dxfId="9598" priority="2335" operator="lessThan">
      <formula>0.8</formula>
    </cfRule>
    <cfRule type="cellIs" dxfId="9597" priority="2336" operator="greaterThan">
      <formula>1</formula>
    </cfRule>
  </conditionalFormatting>
  <conditionalFormatting sqref="R31">
    <cfRule type="cellIs" dxfId="9596" priority="2333" operator="greaterThan">
      <formula>1</formula>
    </cfRule>
    <cfRule type="cellIs" dxfId="9595" priority="2334" operator="lessThan">
      <formula>0.8</formula>
    </cfRule>
  </conditionalFormatting>
  <conditionalFormatting sqref="P31">
    <cfRule type="cellIs" dxfId="9594" priority="2326" operator="greaterThan">
      <formula>0</formula>
    </cfRule>
  </conditionalFormatting>
  <conditionalFormatting sqref="Q31">
    <cfRule type="cellIs" dxfId="9593" priority="2331" operator="lessThan">
      <formula>0</formula>
    </cfRule>
  </conditionalFormatting>
  <conditionalFormatting sqref="R31">
    <cfRule type="cellIs" dxfId="9592" priority="2329" operator="lessThan">
      <formula>0.8</formula>
    </cfRule>
    <cfRule type="cellIs" dxfId="9591" priority="2330" operator="greaterThan">
      <formula>1</formula>
    </cfRule>
  </conditionalFormatting>
  <conditionalFormatting sqref="R31">
    <cfRule type="cellIs" dxfId="9590" priority="2327" operator="greaterThan">
      <formula>1</formula>
    </cfRule>
    <cfRule type="cellIs" dxfId="9589" priority="2328" operator="lessThan">
      <formula>0.8</formula>
    </cfRule>
  </conditionalFormatting>
  <conditionalFormatting sqref="R31">
    <cfRule type="cellIs" dxfId="9588" priority="2323" operator="lessThan">
      <formula>0.8</formula>
    </cfRule>
    <cfRule type="cellIs" dxfId="9587" priority="2324" operator="greaterThan">
      <formula>1</formula>
    </cfRule>
  </conditionalFormatting>
  <conditionalFormatting sqref="R31">
    <cfRule type="cellIs" dxfId="9586" priority="2321" operator="greaterThan">
      <formula>1</formula>
    </cfRule>
    <cfRule type="cellIs" dxfId="9585" priority="2322" operator="lessThan">
      <formula>0.8</formula>
    </cfRule>
  </conditionalFormatting>
  <conditionalFormatting sqref="P31">
    <cfRule type="cellIs" dxfId="9584" priority="2320" operator="greaterThan">
      <formula>0</formula>
    </cfRule>
  </conditionalFormatting>
  <conditionalFormatting sqref="Q31">
    <cfRule type="cellIs" dxfId="9583" priority="2325" operator="lessThan">
      <formula>0</formula>
    </cfRule>
  </conditionalFormatting>
  <conditionalFormatting sqref="P79">
    <cfRule type="cellIs" dxfId="9582" priority="2314" operator="greaterThan">
      <formula>0</formula>
    </cfRule>
  </conditionalFormatting>
  <conditionalFormatting sqref="Q79">
    <cfRule type="cellIs" dxfId="9581" priority="2319" operator="lessThan">
      <formula>0</formula>
    </cfRule>
  </conditionalFormatting>
  <conditionalFormatting sqref="R79">
    <cfRule type="cellIs" dxfId="9580" priority="2317" operator="lessThan">
      <formula>0.8</formula>
    </cfRule>
    <cfRule type="cellIs" dxfId="9579" priority="2318" operator="greaterThan">
      <formula>1</formula>
    </cfRule>
  </conditionalFormatting>
  <conditionalFormatting sqref="R79">
    <cfRule type="cellIs" dxfId="9578" priority="2315" operator="greaterThan">
      <formula>1</formula>
    </cfRule>
    <cfRule type="cellIs" dxfId="9577" priority="2316" operator="lessThan">
      <formula>0.8</formula>
    </cfRule>
  </conditionalFormatting>
  <conditionalFormatting sqref="Q79">
    <cfRule type="cellIs" dxfId="9576" priority="2313" operator="lessThan">
      <formula>0</formula>
    </cfRule>
  </conditionalFormatting>
  <conditionalFormatting sqref="R79">
    <cfRule type="cellIs" dxfId="9575" priority="2311" operator="lessThan">
      <formula>0.8</formula>
    </cfRule>
    <cfRule type="cellIs" dxfId="9574" priority="2312" operator="greaterThan">
      <formula>1</formula>
    </cfRule>
  </conditionalFormatting>
  <conditionalFormatting sqref="R79">
    <cfRule type="cellIs" dxfId="9573" priority="2309" operator="greaterThan">
      <formula>1</formula>
    </cfRule>
    <cfRule type="cellIs" dxfId="9572" priority="2310" operator="lessThan">
      <formula>0.8</formula>
    </cfRule>
  </conditionalFormatting>
  <conditionalFormatting sqref="P79">
    <cfRule type="cellIs" dxfId="9571" priority="2308" operator="greaterThan">
      <formula>0</formula>
    </cfRule>
  </conditionalFormatting>
  <conditionalFormatting sqref="P79">
    <cfRule type="cellIs" dxfId="9570" priority="2302" operator="greaterThan">
      <formula>0</formula>
    </cfRule>
  </conditionalFormatting>
  <conditionalFormatting sqref="Q79">
    <cfRule type="cellIs" dxfId="9569" priority="2307" operator="lessThan">
      <formula>0</formula>
    </cfRule>
  </conditionalFormatting>
  <conditionalFormatting sqref="R79">
    <cfRule type="cellIs" dxfId="9568" priority="2305" operator="lessThan">
      <formula>0.8</formula>
    </cfRule>
    <cfRule type="cellIs" dxfId="9567" priority="2306" operator="greaterThan">
      <formula>1</formula>
    </cfRule>
  </conditionalFormatting>
  <conditionalFormatting sqref="R79">
    <cfRule type="cellIs" dxfId="9566" priority="2303" operator="greaterThan">
      <formula>1</formula>
    </cfRule>
    <cfRule type="cellIs" dxfId="9565" priority="2304" operator="lessThan">
      <formula>0.8</formula>
    </cfRule>
  </conditionalFormatting>
  <conditionalFormatting sqref="Q79">
    <cfRule type="cellIs" dxfId="9564" priority="2296" operator="lessThan">
      <formula>0</formula>
    </cfRule>
  </conditionalFormatting>
  <conditionalFormatting sqref="P79">
    <cfRule type="cellIs" dxfId="9563" priority="2297" operator="greaterThan">
      <formula>0</formula>
    </cfRule>
  </conditionalFormatting>
  <conditionalFormatting sqref="R79">
    <cfRule type="cellIs" dxfId="9562" priority="2300" operator="lessThan">
      <formula>0.8</formula>
    </cfRule>
    <cfRule type="cellIs" dxfId="9561" priority="2301" operator="greaterThan">
      <formula>1</formula>
    </cfRule>
  </conditionalFormatting>
  <conditionalFormatting sqref="R79">
    <cfRule type="cellIs" dxfId="9560" priority="2298" operator="greaterThan">
      <formula>1</formula>
    </cfRule>
    <cfRule type="cellIs" dxfId="9559" priority="2299" operator="lessThan">
      <formula>0.8</formula>
    </cfRule>
  </conditionalFormatting>
  <conditionalFormatting sqref="Q79">
    <cfRule type="cellIs" dxfId="9558" priority="2290" operator="lessThan">
      <formula>0</formula>
    </cfRule>
  </conditionalFormatting>
  <conditionalFormatting sqref="R79">
    <cfRule type="cellIs" dxfId="9557" priority="2294" operator="lessThan">
      <formula>0.8</formula>
    </cfRule>
    <cfRule type="cellIs" dxfId="9556" priority="2295" operator="greaterThan">
      <formula>1</formula>
    </cfRule>
  </conditionalFormatting>
  <conditionalFormatting sqref="R79">
    <cfRule type="cellIs" dxfId="9555" priority="2292" operator="greaterThan">
      <formula>1</formula>
    </cfRule>
    <cfRule type="cellIs" dxfId="9554" priority="2293" operator="lessThan">
      <formula>0.8</formula>
    </cfRule>
  </conditionalFormatting>
  <conditionalFormatting sqref="P79">
    <cfRule type="cellIs" dxfId="9553" priority="2291" operator="greaterThan">
      <formula>0</formula>
    </cfRule>
  </conditionalFormatting>
  <conditionalFormatting sqref="Q79">
    <cfRule type="cellIs" dxfId="9552" priority="2289" operator="lessThan">
      <formula>0</formula>
    </cfRule>
  </conditionalFormatting>
  <conditionalFormatting sqref="R79">
    <cfRule type="cellIs" dxfId="9551" priority="2287" operator="lessThan">
      <formula>0.8</formula>
    </cfRule>
    <cfRule type="cellIs" dxfId="9550" priority="2288" operator="greaterThan">
      <formula>1</formula>
    </cfRule>
  </conditionalFormatting>
  <conditionalFormatting sqref="R79">
    <cfRule type="cellIs" dxfId="9549" priority="2285" operator="greaterThan">
      <formula>1</formula>
    </cfRule>
    <cfRule type="cellIs" dxfId="9548" priority="2286" operator="lessThan">
      <formula>0.8</formula>
    </cfRule>
  </conditionalFormatting>
  <conditionalFormatting sqref="P79">
    <cfRule type="cellIs" dxfId="9547" priority="2284" operator="greaterThan">
      <formula>0</formula>
    </cfRule>
  </conditionalFormatting>
  <conditionalFormatting sqref="Q79">
    <cfRule type="cellIs" dxfId="9546" priority="2283" operator="lessThan">
      <formula>0</formula>
    </cfRule>
  </conditionalFormatting>
  <conditionalFormatting sqref="R79">
    <cfRule type="cellIs" dxfId="9545" priority="2281" operator="lessThan">
      <formula>0.8</formula>
    </cfRule>
    <cfRule type="cellIs" dxfId="9544" priority="2282" operator="greaterThan">
      <formula>1</formula>
    </cfRule>
  </conditionalFormatting>
  <conditionalFormatting sqref="R79">
    <cfRule type="cellIs" dxfId="9543" priority="2279" operator="greaterThan">
      <formula>1</formula>
    </cfRule>
    <cfRule type="cellIs" dxfId="9542" priority="2280" operator="lessThan">
      <formula>0.8</formula>
    </cfRule>
  </conditionalFormatting>
  <conditionalFormatting sqref="P79">
    <cfRule type="cellIs" dxfId="9541" priority="2278" operator="greaterThan">
      <formula>0</formula>
    </cfRule>
  </conditionalFormatting>
  <conditionalFormatting sqref="P79">
    <cfRule type="cellIs" dxfId="9540" priority="2272" operator="greaterThan">
      <formula>0</formula>
    </cfRule>
  </conditionalFormatting>
  <conditionalFormatting sqref="Q79">
    <cfRule type="cellIs" dxfId="9539" priority="2277" operator="lessThan">
      <formula>0</formula>
    </cfRule>
  </conditionalFormatting>
  <conditionalFormatting sqref="R79">
    <cfRule type="cellIs" dxfId="9538" priority="2275" operator="lessThan">
      <formula>0.8</formula>
    </cfRule>
    <cfRule type="cellIs" dxfId="9537" priority="2276" operator="greaterThan">
      <formula>1</formula>
    </cfRule>
  </conditionalFormatting>
  <conditionalFormatting sqref="R79">
    <cfRule type="cellIs" dxfId="9536" priority="2273" operator="greaterThan">
      <formula>1</formula>
    </cfRule>
    <cfRule type="cellIs" dxfId="9535" priority="2274" operator="lessThan">
      <formula>0.8</formula>
    </cfRule>
  </conditionalFormatting>
  <conditionalFormatting sqref="P71:P78">
    <cfRule type="cellIs" dxfId="9534" priority="2266" operator="greaterThan">
      <formula>0</formula>
    </cfRule>
  </conditionalFormatting>
  <conditionalFormatting sqref="Q71:Q78">
    <cfRule type="cellIs" dxfId="9533" priority="2271" operator="lessThan">
      <formula>0</formula>
    </cfRule>
  </conditionalFormatting>
  <conditionalFormatting sqref="R71:R78">
    <cfRule type="cellIs" dxfId="9532" priority="2269" operator="lessThan">
      <formula>0.8</formula>
    </cfRule>
    <cfRule type="cellIs" dxfId="9531" priority="2270" operator="greaterThan">
      <formula>1</formula>
    </cfRule>
  </conditionalFormatting>
  <conditionalFormatting sqref="R71:R78">
    <cfRule type="cellIs" dxfId="9530" priority="2267" operator="greaterThan">
      <formula>1</formula>
    </cfRule>
    <cfRule type="cellIs" dxfId="9529" priority="2268" operator="lessThan">
      <formula>0.8</formula>
    </cfRule>
  </conditionalFormatting>
  <conditionalFormatting sqref="Q148:Q153">
    <cfRule type="cellIs" dxfId="9528" priority="2265" operator="lessThan">
      <formula>0</formula>
    </cfRule>
  </conditionalFormatting>
  <conditionalFormatting sqref="R148:R153">
    <cfRule type="cellIs" dxfId="9527" priority="2263" operator="lessThan">
      <formula>0.8</formula>
    </cfRule>
    <cfRule type="cellIs" dxfId="9526" priority="2264" operator="greaterThan">
      <formula>1</formula>
    </cfRule>
  </conditionalFormatting>
  <conditionalFormatting sqref="R148:R153">
    <cfRule type="cellIs" dxfId="9525" priority="2261" operator="greaterThan">
      <formula>1</formula>
    </cfRule>
    <cfRule type="cellIs" dxfId="9524" priority="2262" operator="lessThan">
      <formula>0.8</formula>
    </cfRule>
  </conditionalFormatting>
  <conditionalFormatting sqref="P148:P153">
    <cfRule type="cellIs" dxfId="9523" priority="2260" operator="greaterThan">
      <formula>0</formula>
    </cfRule>
  </conditionalFormatting>
  <conditionalFormatting sqref="Q148:Q153">
    <cfRule type="cellIs" dxfId="9522" priority="2259" operator="lessThan">
      <formula>0</formula>
    </cfRule>
  </conditionalFormatting>
  <conditionalFormatting sqref="R148:R153">
    <cfRule type="cellIs" dxfId="9521" priority="2257" operator="lessThan">
      <formula>0.8</formula>
    </cfRule>
    <cfRule type="cellIs" dxfId="9520" priority="2258" operator="greaterThan">
      <formula>1</formula>
    </cfRule>
  </conditionalFormatting>
  <conditionalFormatting sqref="R148:R153">
    <cfRule type="cellIs" dxfId="9519" priority="2255" operator="greaterThan">
      <formula>1</formula>
    </cfRule>
    <cfRule type="cellIs" dxfId="9518" priority="2256" operator="lessThan">
      <formula>0.8</formula>
    </cfRule>
  </conditionalFormatting>
  <conditionalFormatting sqref="P148:P153">
    <cfRule type="cellIs" dxfId="9517" priority="2254" operator="greaterThan">
      <formula>0</formula>
    </cfRule>
  </conditionalFormatting>
  <conditionalFormatting sqref="Q148:Q153">
    <cfRule type="cellIs" dxfId="9516" priority="2253" operator="lessThan">
      <formula>0</formula>
    </cfRule>
  </conditionalFormatting>
  <conditionalFormatting sqref="R148:R153">
    <cfRule type="cellIs" dxfId="9515" priority="2251" operator="lessThan">
      <formula>0.8</formula>
    </cfRule>
    <cfRule type="cellIs" dxfId="9514" priority="2252" operator="greaterThan">
      <formula>1</formula>
    </cfRule>
  </conditionalFormatting>
  <conditionalFormatting sqref="R148:R153">
    <cfRule type="cellIs" dxfId="9513" priority="2249" operator="greaterThan">
      <formula>1</formula>
    </cfRule>
    <cfRule type="cellIs" dxfId="9512" priority="2250" operator="lessThan">
      <formula>0.8</formula>
    </cfRule>
  </conditionalFormatting>
  <conditionalFormatting sqref="P148:P153">
    <cfRule type="cellIs" dxfId="9511" priority="2248" operator="greaterThan">
      <formula>0</formula>
    </cfRule>
  </conditionalFormatting>
  <conditionalFormatting sqref="Q148:Q153">
    <cfRule type="cellIs" dxfId="9510" priority="2247" operator="lessThan">
      <formula>0</formula>
    </cfRule>
  </conditionalFormatting>
  <conditionalFormatting sqref="R148:R153">
    <cfRule type="cellIs" dxfId="9509" priority="2245" operator="lessThan">
      <formula>0.8</formula>
    </cfRule>
    <cfRule type="cellIs" dxfId="9508" priority="2246" operator="greaterThan">
      <formula>1</formula>
    </cfRule>
  </conditionalFormatting>
  <conditionalFormatting sqref="R148:R153">
    <cfRule type="cellIs" dxfId="9507" priority="2243" operator="greaterThan">
      <formula>1</formula>
    </cfRule>
    <cfRule type="cellIs" dxfId="9506" priority="2244" operator="lessThan">
      <formula>0.8</formula>
    </cfRule>
  </conditionalFormatting>
  <conditionalFormatting sqref="P148:P153">
    <cfRule type="cellIs" dxfId="9505" priority="2242" operator="greaterThan">
      <formula>0</formula>
    </cfRule>
  </conditionalFormatting>
  <conditionalFormatting sqref="P148:P153">
    <cfRule type="cellIs" dxfId="9504" priority="2236" operator="greaterThan">
      <formula>0</formula>
    </cfRule>
  </conditionalFormatting>
  <conditionalFormatting sqref="Q148:Q153">
    <cfRule type="cellIs" dxfId="9503" priority="2241" operator="lessThan">
      <formula>0</formula>
    </cfRule>
  </conditionalFormatting>
  <conditionalFormatting sqref="R148:R153">
    <cfRule type="cellIs" dxfId="9502" priority="2239" operator="lessThan">
      <formula>0.8</formula>
    </cfRule>
    <cfRule type="cellIs" dxfId="9501" priority="2240" operator="greaterThan">
      <formula>1</formula>
    </cfRule>
  </conditionalFormatting>
  <conditionalFormatting sqref="R148:R153">
    <cfRule type="cellIs" dxfId="9500" priority="2237" operator="greaterThan">
      <formula>1</formula>
    </cfRule>
    <cfRule type="cellIs" dxfId="9499" priority="2238" operator="lessThan">
      <formula>0.8</formula>
    </cfRule>
  </conditionalFormatting>
  <conditionalFormatting sqref="P148:P153">
    <cfRule type="cellIs" dxfId="9498" priority="2230" operator="greaterThan">
      <formula>0</formula>
    </cfRule>
  </conditionalFormatting>
  <conditionalFormatting sqref="Q148:Q153">
    <cfRule type="cellIs" dxfId="9497" priority="2235" operator="lessThan">
      <formula>0</formula>
    </cfRule>
  </conditionalFormatting>
  <conditionalFormatting sqref="R148:R153">
    <cfRule type="cellIs" dxfId="9496" priority="2233" operator="lessThan">
      <formula>0.8</formula>
    </cfRule>
    <cfRule type="cellIs" dxfId="9495" priority="2234" operator="greaterThan">
      <formula>1</formula>
    </cfRule>
  </conditionalFormatting>
  <conditionalFormatting sqref="R148:R153">
    <cfRule type="cellIs" dxfId="9494" priority="2231" operator="greaterThan">
      <formula>1</formula>
    </cfRule>
    <cfRule type="cellIs" dxfId="9493" priority="2232" operator="lessThan">
      <formula>0.8</formula>
    </cfRule>
  </conditionalFormatting>
  <conditionalFormatting sqref="R148:R153">
    <cfRule type="cellIs" dxfId="9492" priority="2227" operator="lessThan">
      <formula>0.8</formula>
    </cfRule>
    <cfRule type="cellIs" dxfId="9491" priority="2228" operator="greaterThan">
      <formula>1</formula>
    </cfRule>
  </conditionalFormatting>
  <conditionalFormatting sqref="R148:R153">
    <cfRule type="cellIs" dxfId="9490" priority="2225" operator="greaterThan">
      <formula>1</formula>
    </cfRule>
    <cfRule type="cellIs" dxfId="9489" priority="2226" operator="lessThan">
      <formula>0.8</formula>
    </cfRule>
  </conditionalFormatting>
  <conditionalFormatting sqref="P148:P153">
    <cfRule type="cellIs" dxfId="9488" priority="2224" operator="greaterThan">
      <formula>0</formula>
    </cfRule>
  </conditionalFormatting>
  <conditionalFormatting sqref="Q148:Q153">
    <cfRule type="cellIs" dxfId="9487" priority="2229" operator="lessThan">
      <formula>0</formula>
    </cfRule>
  </conditionalFormatting>
  <conditionalFormatting sqref="Q148:Q153">
    <cfRule type="cellIs" dxfId="9486" priority="2223" operator="lessThan">
      <formula>0</formula>
    </cfRule>
  </conditionalFormatting>
  <conditionalFormatting sqref="R148:R153">
    <cfRule type="cellIs" dxfId="9485" priority="2221" operator="lessThan">
      <formula>0.8</formula>
    </cfRule>
    <cfRule type="cellIs" dxfId="9484" priority="2222" operator="greaterThan">
      <formula>1</formula>
    </cfRule>
  </conditionalFormatting>
  <conditionalFormatting sqref="R148:R153">
    <cfRule type="cellIs" dxfId="9483" priority="2219" operator="greaterThan">
      <formula>1</formula>
    </cfRule>
    <cfRule type="cellIs" dxfId="9482" priority="2220" operator="lessThan">
      <formula>0.8</formula>
    </cfRule>
  </conditionalFormatting>
  <conditionalFormatting sqref="P148:P153">
    <cfRule type="cellIs" dxfId="9481" priority="2218" operator="greaterThan">
      <formula>0</formula>
    </cfRule>
  </conditionalFormatting>
  <conditionalFormatting sqref="P148:P153">
    <cfRule type="cellIs" dxfId="9480" priority="2212" operator="greaterThan">
      <formula>0</formula>
    </cfRule>
  </conditionalFormatting>
  <conditionalFormatting sqref="Q148:Q153">
    <cfRule type="cellIs" dxfId="9479" priority="2217" operator="lessThan">
      <formula>0</formula>
    </cfRule>
  </conditionalFormatting>
  <conditionalFormatting sqref="R148:R153">
    <cfRule type="cellIs" dxfId="9478" priority="2215" operator="lessThan">
      <formula>0.8</formula>
    </cfRule>
    <cfRule type="cellIs" dxfId="9477" priority="2216" operator="greaterThan">
      <formula>1</formula>
    </cfRule>
  </conditionalFormatting>
  <conditionalFormatting sqref="R148:R153">
    <cfRule type="cellIs" dxfId="9476" priority="2213" operator="greaterThan">
      <formula>1</formula>
    </cfRule>
    <cfRule type="cellIs" dxfId="9475" priority="2214" operator="lessThan">
      <formula>0.8</formula>
    </cfRule>
  </conditionalFormatting>
  <conditionalFormatting sqref="P148:P153">
    <cfRule type="cellIs" dxfId="9474" priority="2206" operator="greaterThan">
      <formula>0</formula>
    </cfRule>
  </conditionalFormatting>
  <conditionalFormatting sqref="Q148:Q153">
    <cfRule type="cellIs" dxfId="9473" priority="2211" operator="lessThan">
      <formula>0</formula>
    </cfRule>
  </conditionalFormatting>
  <conditionalFormatting sqref="R148:R153">
    <cfRule type="cellIs" dxfId="9472" priority="2209" operator="lessThan">
      <formula>0.8</formula>
    </cfRule>
    <cfRule type="cellIs" dxfId="9471" priority="2210" operator="greaterThan">
      <formula>1</formula>
    </cfRule>
  </conditionalFormatting>
  <conditionalFormatting sqref="R148:R153">
    <cfRule type="cellIs" dxfId="9470" priority="2207" operator="greaterThan">
      <formula>1</formula>
    </cfRule>
    <cfRule type="cellIs" dxfId="9469" priority="2208" operator="lessThan">
      <formula>0.8</formula>
    </cfRule>
  </conditionalFormatting>
  <conditionalFormatting sqref="R148:R153">
    <cfRule type="cellIs" dxfId="9468" priority="2203" operator="lessThan">
      <formula>0.8</formula>
    </cfRule>
    <cfRule type="cellIs" dxfId="9467" priority="2204" operator="greaterThan">
      <formula>1</formula>
    </cfRule>
  </conditionalFormatting>
  <conditionalFormatting sqref="R148:R153">
    <cfRule type="cellIs" dxfId="9466" priority="2201" operator="greaterThan">
      <formula>1</formula>
    </cfRule>
    <cfRule type="cellIs" dxfId="9465" priority="2202" operator="lessThan">
      <formula>0.8</formula>
    </cfRule>
  </conditionalFormatting>
  <conditionalFormatting sqref="P148:P153">
    <cfRule type="cellIs" dxfId="9464" priority="2200" operator="greaterThan">
      <formula>0</formula>
    </cfRule>
  </conditionalFormatting>
  <conditionalFormatting sqref="Q148:Q153">
    <cfRule type="cellIs" dxfId="9463" priority="2205" operator="lessThan">
      <formula>0</formula>
    </cfRule>
  </conditionalFormatting>
  <conditionalFormatting sqref="P148:P153">
    <cfRule type="cellIs" dxfId="9462" priority="2194" operator="greaterThan">
      <formula>0</formula>
    </cfRule>
  </conditionalFormatting>
  <conditionalFormatting sqref="Q148:Q153">
    <cfRule type="cellIs" dxfId="9461" priority="2199" operator="lessThan">
      <formula>0</formula>
    </cfRule>
  </conditionalFormatting>
  <conditionalFormatting sqref="R148:R153">
    <cfRule type="cellIs" dxfId="9460" priority="2197" operator="lessThan">
      <formula>0.8</formula>
    </cfRule>
    <cfRule type="cellIs" dxfId="9459" priority="2198" operator="greaterThan">
      <formula>1</formula>
    </cfRule>
  </conditionalFormatting>
  <conditionalFormatting sqref="R148:R153">
    <cfRule type="cellIs" dxfId="9458" priority="2195" operator="greaterThan">
      <formula>1</formula>
    </cfRule>
    <cfRule type="cellIs" dxfId="9457" priority="2196" operator="lessThan">
      <formula>0.8</formula>
    </cfRule>
  </conditionalFormatting>
  <conditionalFormatting sqref="R148:R153">
    <cfRule type="cellIs" dxfId="9456" priority="2191" operator="lessThan">
      <formula>0.8</formula>
    </cfRule>
    <cfRule type="cellIs" dxfId="9455" priority="2192" operator="greaterThan">
      <formula>1</formula>
    </cfRule>
  </conditionalFormatting>
  <conditionalFormatting sqref="R148:R153">
    <cfRule type="cellIs" dxfId="9454" priority="2189" operator="greaterThan">
      <formula>1</formula>
    </cfRule>
    <cfRule type="cellIs" dxfId="9453" priority="2190" operator="lessThan">
      <formula>0.8</formula>
    </cfRule>
  </conditionalFormatting>
  <conditionalFormatting sqref="P148:P153">
    <cfRule type="cellIs" dxfId="9452" priority="2188" operator="greaterThan">
      <formula>0</formula>
    </cfRule>
  </conditionalFormatting>
  <conditionalFormatting sqref="Q148:Q153">
    <cfRule type="cellIs" dxfId="9451" priority="2193" operator="lessThan">
      <formula>0</formula>
    </cfRule>
  </conditionalFormatting>
  <conditionalFormatting sqref="R148:R153">
    <cfRule type="cellIs" dxfId="9450" priority="2185" operator="lessThan">
      <formula>0.8</formula>
    </cfRule>
    <cfRule type="cellIs" dxfId="9449" priority="2186" operator="greaterThan">
      <formula>1</formula>
    </cfRule>
  </conditionalFormatting>
  <conditionalFormatting sqref="R148:R153">
    <cfRule type="cellIs" dxfId="9448" priority="2183" operator="greaterThan">
      <formula>1</formula>
    </cfRule>
    <cfRule type="cellIs" dxfId="9447" priority="2184" operator="lessThan">
      <formula>0.8</formula>
    </cfRule>
  </conditionalFormatting>
  <conditionalFormatting sqref="P148:P153">
    <cfRule type="cellIs" dxfId="9446" priority="2182" operator="greaterThan">
      <formula>0</formula>
    </cfRule>
  </conditionalFormatting>
  <conditionalFormatting sqref="Q148:Q153">
    <cfRule type="cellIs" dxfId="9445" priority="2187" operator="lessThan">
      <formula>0</formula>
    </cfRule>
  </conditionalFormatting>
  <conditionalFormatting sqref="Q148:Q153">
    <cfRule type="cellIs" dxfId="9444" priority="2181" operator="lessThan">
      <formula>0</formula>
    </cfRule>
  </conditionalFormatting>
  <conditionalFormatting sqref="R148:R153">
    <cfRule type="cellIs" dxfId="9443" priority="2179" operator="lessThan">
      <formula>0.8</formula>
    </cfRule>
    <cfRule type="cellIs" dxfId="9442" priority="2180" operator="greaterThan">
      <formula>1</formula>
    </cfRule>
  </conditionalFormatting>
  <conditionalFormatting sqref="R148:R153">
    <cfRule type="cellIs" dxfId="9441" priority="2177" operator="greaterThan">
      <formula>1</formula>
    </cfRule>
    <cfRule type="cellIs" dxfId="9440" priority="2178" operator="lessThan">
      <formula>0.8</formula>
    </cfRule>
  </conditionalFormatting>
  <conditionalFormatting sqref="P148:P153">
    <cfRule type="cellIs" dxfId="9439" priority="2176" operator="greaterThan">
      <formula>0</formula>
    </cfRule>
  </conditionalFormatting>
  <conditionalFormatting sqref="Q148:Q153">
    <cfRule type="cellIs" dxfId="9438" priority="2170" operator="lessThan">
      <formula>0</formula>
    </cfRule>
  </conditionalFormatting>
  <conditionalFormatting sqref="R148:R153">
    <cfRule type="cellIs" dxfId="9437" priority="2174" operator="lessThan">
      <formula>0.8</formula>
    </cfRule>
    <cfRule type="cellIs" dxfId="9436" priority="2175" operator="greaterThan">
      <formula>1</formula>
    </cfRule>
  </conditionalFormatting>
  <conditionalFormatting sqref="R148:R153">
    <cfRule type="cellIs" dxfId="9435" priority="2172" operator="greaterThan">
      <formula>1</formula>
    </cfRule>
    <cfRule type="cellIs" dxfId="9434" priority="2173" operator="lessThan">
      <formula>0.8</formula>
    </cfRule>
  </conditionalFormatting>
  <conditionalFormatting sqref="P148:P153">
    <cfRule type="cellIs" dxfId="9433" priority="2171" operator="greaterThan">
      <formula>0</formula>
    </cfRule>
  </conditionalFormatting>
  <conditionalFormatting sqref="Q148:Q153">
    <cfRule type="cellIs" dxfId="9432" priority="2169" operator="lessThan">
      <formula>0</formula>
    </cfRule>
  </conditionalFormatting>
  <conditionalFormatting sqref="R148:R153">
    <cfRule type="cellIs" dxfId="9431" priority="2167" operator="lessThan">
      <formula>0.8</formula>
    </cfRule>
    <cfRule type="cellIs" dxfId="9430" priority="2168" operator="greaterThan">
      <formula>1</formula>
    </cfRule>
  </conditionalFormatting>
  <conditionalFormatting sqref="R148:R153">
    <cfRule type="cellIs" dxfId="9429" priority="2165" operator="greaterThan">
      <formula>1</formula>
    </cfRule>
    <cfRule type="cellIs" dxfId="9428" priority="2166" operator="lessThan">
      <formula>0.8</formula>
    </cfRule>
  </conditionalFormatting>
  <conditionalFormatting sqref="P148:P153">
    <cfRule type="cellIs" dxfId="9427" priority="2164" operator="greaterThan">
      <formula>0</formula>
    </cfRule>
  </conditionalFormatting>
  <conditionalFormatting sqref="Q148:Q153">
    <cfRule type="cellIs" dxfId="9426" priority="2163" operator="lessThan">
      <formula>0</formula>
    </cfRule>
  </conditionalFormatting>
  <conditionalFormatting sqref="R148:R153">
    <cfRule type="cellIs" dxfId="9425" priority="2161" operator="lessThan">
      <formula>0.8</formula>
    </cfRule>
    <cfRule type="cellIs" dxfId="9424" priority="2162" operator="greaterThan">
      <formula>1</formula>
    </cfRule>
  </conditionalFormatting>
  <conditionalFormatting sqref="R148:R153">
    <cfRule type="cellIs" dxfId="9423" priority="2159" operator="greaterThan">
      <formula>1</formula>
    </cfRule>
    <cfRule type="cellIs" dxfId="9422" priority="2160" operator="lessThan">
      <formula>0.8</formula>
    </cfRule>
  </conditionalFormatting>
  <conditionalFormatting sqref="P148:P153">
    <cfRule type="cellIs" dxfId="9421" priority="2158" operator="greaterThan">
      <formula>0</formula>
    </cfRule>
  </conditionalFormatting>
  <conditionalFormatting sqref="Q148:Q153">
    <cfRule type="cellIs" dxfId="9420" priority="2157" operator="lessThan">
      <formula>0</formula>
    </cfRule>
  </conditionalFormatting>
  <conditionalFormatting sqref="R148:R153">
    <cfRule type="cellIs" dxfId="9419" priority="2155" operator="lessThan">
      <formula>0.8</formula>
    </cfRule>
    <cfRule type="cellIs" dxfId="9418" priority="2156" operator="greaterThan">
      <formula>1</formula>
    </cfRule>
  </conditionalFormatting>
  <conditionalFormatting sqref="R148:R153">
    <cfRule type="cellIs" dxfId="9417" priority="2153" operator="greaterThan">
      <formula>1</formula>
    </cfRule>
    <cfRule type="cellIs" dxfId="9416" priority="2154" operator="lessThan">
      <formula>0.8</formula>
    </cfRule>
  </conditionalFormatting>
  <conditionalFormatting sqref="P148:P153">
    <cfRule type="cellIs" dxfId="9415" priority="2152" operator="greaterThan">
      <formula>0</formula>
    </cfRule>
  </conditionalFormatting>
  <conditionalFormatting sqref="Q148:Q153">
    <cfRule type="cellIs" dxfId="9414" priority="2151" operator="lessThan">
      <formula>0</formula>
    </cfRule>
  </conditionalFormatting>
  <conditionalFormatting sqref="R148:R153">
    <cfRule type="cellIs" dxfId="9413" priority="2149" operator="lessThan">
      <formula>0.8</formula>
    </cfRule>
    <cfRule type="cellIs" dxfId="9412" priority="2150" operator="greaterThan">
      <formula>1</formula>
    </cfRule>
  </conditionalFormatting>
  <conditionalFormatting sqref="R148:R153">
    <cfRule type="cellIs" dxfId="9411" priority="2147" operator="greaterThan">
      <formula>1</formula>
    </cfRule>
    <cfRule type="cellIs" dxfId="9410" priority="2148" operator="lessThan">
      <formula>0.8</formula>
    </cfRule>
  </conditionalFormatting>
  <conditionalFormatting sqref="P148:P153">
    <cfRule type="cellIs" dxfId="9409" priority="2146" operator="greaterThan">
      <formula>0</formula>
    </cfRule>
  </conditionalFormatting>
  <conditionalFormatting sqref="Q148:Q153">
    <cfRule type="cellIs" dxfId="9408" priority="2145" operator="lessThan">
      <formula>0</formula>
    </cfRule>
  </conditionalFormatting>
  <conditionalFormatting sqref="R148:R153">
    <cfRule type="cellIs" dxfId="9407" priority="2143" operator="lessThan">
      <formula>0.8</formula>
    </cfRule>
    <cfRule type="cellIs" dxfId="9406" priority="2144" operator="greaterThan">
      <formula>1</formula>
    </cfRule>
  </conditionalFormatting>
  <conditionalFormatting sqref="R148:R153">
    <cfRule type="cellIs" dxfId="9405" priority="2141" operator="greaterThan">
      <formula>1</formula>
    </cfRule>
    <cfRule type="cellIs" dxfId="9404" priority="2142" operator="lessThan">
      <formula>0.8</formula>
    </cfRule>
  </conditionalFormatting>
  <conditionalFormatting sqref="P148:P153">
    <cfRule type="cellIs" dxfId="9403" priority="2140" operator="greaterThan">
      <formula>0</formula>
    </cfRule>
  </conditionalFormatting>
  <conditionalFormatting sqref="P148:P153">
    <cfRule type="cellIs" dxfId="9402" priority="2134" operator="greaterThan">
      <formula>0</formula>
    </cfRule>
  </conditionalFormatting>
  <conditionalFormatting sqref="Q148:Q153">
    <cfRule type="cellIs" dxfId="9401" priority="2139" operator="lessThan">
      <formula>0</formula>
    </cfRule>
  </conditionalFormatting>
  <conditionalFormatting sqref="R148:R153">
    <cfRule type="cellIs" dxfId="9400" priority="2137" operator="lessThan">
      <formula>0.8</formula>
    </cfRule>
    <cfRule type="cellIs" dxfId="9399" priority="2138" operator="greaterThan">
      <formula>1</formula>
    </cfRule>
  </conditionalFormatting>
  <conditionalFormatting sqref="R148:R153">
    <cfRule type="cellIs" dxfId="9398" priority="2135" operator="greaterThan">
      <formula>1</formula>
    </cfRule>
    <cfRule type="cellIs" dxfId="9397" priority="2136" operator="lessThan">
      <formula>0.8</formula>
    </cfRule>
  </conditionalFormatting>
  <conditionalFormatting sqref="P148:P153">
    <cfRule type="cellIs" dxfId="9396" priority="2128" operator="greaterThan">
      <formula>0</formula>
    </cfRule>
  </conditionalFormatting>
  <conditionalFormatting sqref="Q148:Q153">
    <cfRule type="cellIs" dxfId="9395" priority="2133" operator="lessThan">
      <formula>0</formula>
    </cfRule>
  </conditionalFormatting>
  <conditionalFormatting sqref="R148:R153">
    <cfRule type="cellIs" dxfId="9394" priority="2131" operator="lessThan">
      <formula>0.8</formula>
    </cfRule>
    <cfRule type="cellIs" dxfId="9393" priority="2132" operator="greaterThan">
      <formula>1</formula>
    </cfRule>
  </conditionalFormatting>
  <conditionalFormatting sqref="R148:R153">
    <cfRule type="cellIs" dxfId="9392" priority="2129" operator="greaterThan">
      <formula>1</formula>
    </cfRule>
    <cfRule type="cellIs" dxfId="9391" priority="2130" operator="lessThan">
      <formula>0.8</formula>
    </cfRule>
  </conditionalFormatting>
  <conditionalFormatting sqref="R148:R153">
    <cfRule type="cellIs" dxfId="9390" priority="2125" operator="lessThan">
      <formula>0.8</formula>
    </cfRule>
    <cfRule type="cellIs" dxfId="9389" priority="2126" operator="greaterThan">
      <formula>1</formula>
    </cfRule>
  </conditionalFormatting>
  <conditionalFormatting sqref="R148:R153">
    <cfRule type="cellIs" dxfId="9388" priority="2123" operator="greaterThan">
      <formula>1</formula>
    </cfRule>
    <cfRule type="cellIs" dxfId="9387" priority="2124" operator="lessThan">
      <formula>0.8</formula>
    </cfRule>
  </conditionalFormatting>
  <conditionalFormatting sqref="P148:P153">
    <cfRule type="cellIs" dxfId="9386" priority="2122" operator="greaterThan">
      <formula>0</formula>
    </cfRule>
  </conditionalFormatting>
  <conditionalFormatting sqref="Q148:Q153">
    <cfRule type="cellIs" dxfId="9385" priority="2127" operator="lessThan">
      <formula>0</formula>
    </cfRule>
  </conditionalFormatting>
  <conditionalFormatting sqref="Q148:Q153">
    <cfRule type="cellIs" dxfId="9384" priority="2116" operator="lessThan">
      <formula>0</formula>
    </cfRule>
  </conditionalFormatting>
  <conditionalFormatting sqref="P148:P153">
    <cfRule type="cellIs" dxfId="9383" priority="2117" operator="greaterThan">
      <formula>0</formula>
    </cfRule>
  </conditionalFormatting>
  <conditionalFormatting sqref="R148:R153">
    <cfRule type="cellIs" dxfId="9382" priority="2120" operator="lessThan">
      <formula>0.8</formula>
    </cfRule>
    <cfRule type="cellIs" dxfId="9381" priority="2121" operator="greaterThan">
      <formula>1</formula>
    </cfRule>
  </conditionalFormatting>
  <conditionalFormatting sqref="R148:R153">
    <cfRule type="cellIs" dxfId="9380" priority="2118" operator="greaterThan">
      <formula>1</formula>
    </cfRule>
    <cfRule type="cellIs" dxfId="9379" priority="2119" operator="lessThan">
      <formula>0.8</formula>
    </cfRule>
  </conditionalFormatting>
  <conditionalFormatting sqref="Q148:Q153">
    <cfRule type="cellIs" dxfId="9378" priority="2110" operator="lessThan">
      <formula>0</formula>
    </cfRule>
  </conditionalFormatting>
  <conditionalFormatting sqref="R148:R153">
    <cfRule type="cellIs" dxfId="9377" priority="2114" operator="lessThan">
      <formula>0.8</formula>
    </cfRule>
    <cfRule type="cellIs" dxfId="9376" priority="2115" operator="greaterThan">
      <formula>1</formula>
    </cfRule>
  </conditionalFormatting>
  <conditionalFormatting sqref="R148:R153">
    <cfRule type="cellIs" dxfId="9375" priority="2112" operator="greaterThan">
      <formula>1</formula>
    </cfRule>
    <cfRule type="cellIs" dxfId="9374" priority="2113" operator="lessThan">
      <formula>0.8</formula>
    </cfRule>
  </conditionalFormatting>
  <conditionalFormatting sqref="P148:P153">
    <cfRule type="cellIs" dxfId="9373" priority="2111" operator="greaterThan">
      <formula>0</formula>
    </cfRule>
  </conditionalFormatting>
  <conditionalFormatting sqref="Q148:Q153">
    <cfRule type="cellIs" dxfId="9372" priority="2109" operator="lessThan">
      <formula>0</formula>
    </cfRule>
  </conditionalFormatting>
  <conditionalFormatting sqref="R148:R153">
    <cfRule type="cellIs" dxfId="9371" priority="2107" operator="lessThan">
      <formula>0.8</formula>
    </cfRule>
    <cfRule type="cellIs" dxfId="9370" priority="2108" operator="greaterThan">
      <formula>1</formula>
    </cfRule>
  </conditionalFormatting>
  <conditionalFormatting sqref="R148:R153">
    <cfRule type="cellIs" dxfId="9369" priority="2105" operator="greaterThan">
      <formula>1</formula>
    </cfRule>
    <cfRule type="cellIs" dxfId="9368" priority="2106" operator="lessThan">
      <formula>0.8</formula>
    </cfRule>
  </conditionalFormatting>
  <conditionalFormatting sqref="P148:P153">
    <cfRule type="cellIs" dxfId="9367" priority="2104" operator="greaterThan">
      <formula>0</formula>
    </cfRule>
  </conditionalFormatting>
  <conditionalFormatting sqref="Q148:Q153">
    <cfRule type="cellIs" dxfId="9366" priority="2103" operator="lessThan">
      <formula>0</formula>
    </cfRule>
  </conditionalFormatting>
  <conditionalFormatting sqref="R148:R153">
    <cfRule type="cellIs" dxfId="9365" priority="2101" operator="lessThan">
      <formula>0.8</formula>
    </cfRule>
    <cfRule type="cellIs" dxfId="9364" priority="2102" operator="greaterThan">
      <formula>1</formula>
    </cfRule>
  </conditionalFormatting>
  <conditionalFormatting sqref="R148:R153">
    <cfRule type="cellIs" dxfId="9363" priority="2099" operator="greaterThan">
      <formula>1</formula>
    </cfRule>
    <cfRule type="cellIs" dxfId="9362" priority="2100" operator="lessThan">
      <formula>0.8</formula>
    </cfRule>
  </conditionalFormatting>
  <conditionalFormatting sqref="P148:P153">
    <cfRule type="cellIs" dxfId="9361" priority="2098" operator="greaterThan">
      <formula>0</formula>
    </cfRule>
  </conditionalFormatting>
  <conditionalFormatting sqref="Q148:Q153">
    <cfRule type="cellIs" dxfId="9360" priority="2097" operator="lessThan">
      <formula>0</formula>
    </cfRule>
  </conditionalFormatting>
  <conditionalFormatting sqref="R148:R153">
    <cfRule type="cellIs" dxfId="9359" priority="2095" operator="lessThan">
      <formula>0.8</formula>
    </cfRule>
    <cfRule type="cellIs" dxfId="9358" priority="2096" operator="greaterThan">
      <formula>1</formula>
    </cfRule>
  </conditionalFormatting>
  <conditionalFormatting sqref="R148:R153">
    <cfRule type="cellIs" dxfId="9357" priority="2093" operator="greaterThan">
      <formula>1</formula>
    </cfRule>
    <cfRule type="cellIs" dxfId="9356" priority="2094" operator="lessThan">
      <formula>0.8</formula>
    </cfRule>
  </conditionalFormatting>
  <conditionalFormatting sqref="P148:P153">
    <cfRule type="cellIs" dxfId="9355" priority="2092" operator="greaterThan">
      <formula>0</formula>
    </cfRule>
  </conditionalFormatting>
  <conditionalFormatting sqref="Q148:Q153">
    <cfRule type="cellIs" dxfId="9354" priority="2091" operator="lessThan">
      <formula>0</formula>
    </cfRule>
  </conditionalFormatting>
  <conditionalFormatting sqref="R148:R153">
    <cfRule type="cellIs" dxfId="9353" priority="2089" operator="lessThan">
      <formula>0.8</formula>
    </cfRule>
    <cfRule type="cellIs" dxfId="9352" priority="2090" operator="greaterThan">
      <formula>1</formula>
    </cfRule>
  </conditionalFormatting>
  <conditionalFormatting sqref="R148:R153">
    <cfRule type="cellIs" dxfId="9351" priority="2087" operator="greaterThan">
      <formula>1</formula>
    </cfRule>
    <cfRule type="cellIs" dxfId="9350" priority="2088" operator="lessThan">
      <formula>0.8</formula>
    </cfRule>
  </conditionalFormatting>
  <conditionalFormatting sqref="P148:P153">
    <cfRule type="cellIs" dxfId="9349" priority="2086" operator="greaterThan">
      <formula>0</formula>
    </cfRule>
  </conditionalFormatting>
  <conditionalFormatting sqref="Q124 Q127 Q131">
    <cfRule type="cellIs" dxfId="9348" priority="2080" operator="lessThan">
      <formula>0</formula>
    </cfRule>
  </conditionalFormatting>
  <conditionalFormatting sqref="P124 P127 P131">
    <cfRule type="cellIs" dxfId="9347" priority="2081" operator="greaterThan">
      <formula>0</formula>
    </cfRule>
  </conditionalFormatting>
  <conditionalFormatting sqref="R124 R127 R131">
    <cfRule type="cellIs" dxfId="9346" priority="2084" operator="lessThan">
      <formula>0.8</formula>
    </cfRule>
    <cfRule type="cellIs" dxfId="9345" priority="2085" operator="greaterThan">
      <formula>1</formula>
    </cfRule>
  </conditionalFormatting>
  <conditionalFormatting sqref="R124 R127 R131">
    <cfRule type="cellIs" dxfId="9344" priority="2082" operator="greaterThan">
      <formula>1</formula>
    </cfRule>
    <cfRule type="cellIs" dxfId="9343" priority="2083" operator="lessThan">
      <formula>0.8</formula>
    </cfRule>
  </conditionalFormatting>
  <conditionalFormatting sqref="Q124 Q127 Q131">
    <cfRule type="cellIs" dxfId="9342" priority="2074" operator="lessThan">
      <formula>0</formula>
    </cfRule>
  </conditionalFormatting>
  <conditionalFormatting sqref="R124 R127 R131">
    <cfRule type="cellIs" dxfId="9341" priority="2078" operator="lessThan">
      <formula>0.8</formula>
    </cfRule>
    <cfRule type="cellIs" dxfId="9340" priority="2079" operator="greaterThan">
      <formula>1</formula>
    </cfRule>
  </conditionalFormatting>
  <conditionalFormatting sqref="R124 R127 R131">
    <cfRule type="cellIs" dxfId="9339" priority="2076" operator="greaterThan">
      <formula>1</formula>
    </cfRule>
    <cfRule type="cellIs" dxfId="9338" priority="2077" operator="lessThan">
      <formula>0.8</formula>
    </cfRule>
  </conditionalFormatting>
  <conditionalFormatting sqref="P124 P127 P131">
    <cfRule type="cellIs" dxfId="9337" priority="2075" operator="greaterThan">
      <formula>0</formula>
    </cfRule>
  </conditionalFormatting>
  <conditionalFormatting sqref="Q124 Q127 Q131">
    <cfRule type="cellIs" dxfId="9336" priority="2073" operator="lessThan">
      <formula>0</formula>
    </cfRule>
  </conditionalFormatting>
  <conditionalFormatting sqref="R124 R127 R131">
    <cfRule type="cellIs" dxfId="9335" priority="2071" operator="lessThan">
      <formula>0.8</formula>
    </cfRule>
    <cfRule type="cellIs" dxfId="9334" priority="2072" operator="greaterThan">
      <formula>1</formula>
    </cfRule>
  </conditionalFormatting>
  <conditionalFormatting sqref="R124 R127 R131">
    <cfRule type="cellIs" dxfId="9333" priority="2069" operator="greaterThan">
      <formula>1</formula>
    </cfRule>
    <cfRule type="cellIs" dxfId="9332" priority="2070" operator="lessThan">
      <formula>0.8</formula>
    </cfRule>
  </conditionalFormatting>
  <conditionalFormatting sqref="P124 P127 P131">
    <cfRule type="cellIs" dxfId="9331" priority="2068" operator="greaterThan">
      <formula>0</formula>
    </cfRule>
  </conditionalFormatting>
  <conditionalFormatting sqref="Q124 Q127 Q131">
    <cfRule type="cellIs" dxfId="9330" priority="2067" operator="lessThan">
      <formula>0</formula>
    </cfRule>
  </conditionalFormatting>
  <conditionalFormatting sqref="R124 R127 R131">
    <cfRule type="cellIs" dxfId="9329" priority="2065" operator="lessThan">
      <formula>0.8</formula>
    </cfRule>
    <cfRule type="cellIs" dxfId="9328" priority="2066" operator="greaterThan">
      <formula>1</formula>
    </cfRule>
  </conditionalFormatting>
  <conditionalFormatting sqref="R124 R127 R131">
    <cfRule type="cellIs" dxfId="9327" priority="2063" operator="greaterThan">
      <formula>1</formula>
    </cfRule>
    <cfRule type="cellIs" dxfId="9326" priority="2064" operator="lessThan">
      <formula>0.8</formula>
    </cfRule>
  </conditionalFormatting>
  <conditionalFormatting sqref="P124 P127 P131">
    <cfRule type="cellIs" dxfId="9325" priority="2062" operator="greaterThan">
      <formula>0</formula>
    </cfRule>
  </conditionalFormatting>
  <conditionalFormatting sqref="Q124 Q127 Q131">
    <cfRule type="cellIs" dxfId="9324" priority="2061" operator="lessThan">
      <formula>0</formula>
    </cfRule>
  </conditionalFormatting>
  <conditionalFormatting sqref="R124 R127 R131">
    <cfRule type="cellIs" dxfId="9323" priority="2059" operator="lessThan">
      <formula>0.8</formula>
    </cfRule>
    <cfRule type="cellIs" dxfId="9322" priority="2060" operator="greaterThan">
      <formula>1</formula>
    </cfRule>
  </conditionalFormatting>
  <conditionalFormatting sqref="R124 R127 R131">
    <cfRule type="cellIs" dxfId="9321" priority="2057" operator="greaterThan">
      <formula>1</formula>
    </cfRule>
    <cfRule type="cellIs" dxfId="9320" priority="2058" operator="lessThan">
      <formula>0.8</formula>
    </cfRule>
  </conditionalFormatting>
  <conditionalFormatting sqref="P124 P127 P131">
    <cfRule type="cellIs" dxfId="9319" priority="2056" operator="greaterThan">
      <formula>0</formula>
    </cfRule>
  </conditionalFormatting>
  <conditionalFormatting sqref="Q124 Q127 Q131">
    <cfRule type="cellIs" dxfId="9318" priority="2055" operator="lessThan">
      <formula>0</formula>
    </cfRule>
  </conditionalFormatting>
  <conditionalFormatting sqref="R124 R127 R131">
    <cfRule type="cellIs" dxfId="9317" priority="2053" operator="lessThan">
      <formula>0.8</formula>
    </cfRule>
    <cfRule type="cellIs" dxfId="9316" priority="2054" operator="greaterThan">
      <formula>1</formula>
    </cfRule>
  </conditionalFormatting>
  <conditionalFormatting sqref="R124 R127 R131">
    <cfRule type="cellIs" dxfId="9315" priority="2051" operator="greaterThan">
      <formula>1</formula>
    </cfRule>
    <cfRule type="cellIs" dxfId="9314" priority="2052" operator="lessThan">
      <formula>0.8</formula>
    </cfRule>
  </conditionalFormatting>
  <conditionalFormatting sqref="P124 P127 P131">
    <cfRule type="cellIs" dxfId="9313" priority="2050" operator="greaterThan">
      <formula>0</formula>
    </cfRule>
  </conditionalFormatting>
  <conditionalFormatting sqref="Q124 Q127 Q131">
    <cfRule type="cellIs" dxfId="9312" priority="2049" operator="lessThan">
      <formula>0</formula>
    </cfRule>
  </conditionalFormatting>
  <conditionalFormatting sqref="R124 R127 R131">
    <cfRule type="cellIs" dxfId="9311" priority="2047" operator="lessThan">
      <formula>0.8</formula>
    </cfRule>
    <cfRule type="cellIs" dxfId="9310" priority="2048" operator="greaterThan">
      <formula>1</formula>
    </cfRule>
  </conditionalFormatting>
  <conditionalFormatting sqref="R124 R127 R131">
    <cfRule type="cellIs" dxfId="9309" priority="2045" operator="greaterThan">
      <formula>1</formula>
    </cfRule>
    <cfRule type="cellIs" dxfId="9308" priority="2046" operator="lessThan">
      <formula>0.8</formula>
    </cfRule>
  </conditionalFormatting>
  <conditionalFormatting sqref="P124 P127 P131">
    <cfRule type="cellIs" dxfId="9307" priority="2044" operator="greaterThan">
      <formula>0</formula>
    </cfRule>
  </conditionalFormatting>
  <conditionalFormatting sqref="Q124 Q127 Q131">
    <cfRule type="cellIs" dxfId="9306" priority="2043" operator="lessThan">
      <formula>0</formula>
    </cfRule>
  </conditionalFormatting>
  <conditionalFormatting sqref="R124 R127 R131">
    <cfRule type="cellIs" dxfId="9305" priority="2041" operator="lessThan">
      <formula>0.8</formula>
    </cfRule>
    <cfRule type="cellIs" dxfId="9304" priority="2042" operator="greaterThan">
      <formula>1</formula>
    </cfRule>
  </conditionalFormatting>
  <conditionalFormatting sqref="R124 R127 R131">
    <cfRule type="cellIs" dxfId="9303" priority="2039" operator="greaterThan">
      <formula>1</formula>
    </cfRule>
    <cfRule type="cellIs" dxfId="9302" priority="2040" operator="lessThan">
      <formula>0.8</formula>
    </cfRule>
  </conditionalFormatting>
  <conditionalFormatting sqref="P124 P127 P131">
    <cfRule type="cellIs" dxfId="9301" priority="2038" operator="greaterThan">
      <formula>0</formula>
    </cfRule>
  </conditionalFormatting>
  <conditionalFormatting sqref="Q124 Q127 Q131">
    <cfRule type="cellIs" dxfId="9300" priority="2037" operator="lessThan">
      <formula>0</formula>
    </cfRule>
  </conditionalFormatting>
  <conditionalFormatting sqref="R124 R127 R131">
    <cfRule type="cellIs" dxfId="9299" priority="2035" operator="lessThan">
      <formula>0.8</formula>
    </cfRule>
    <cfRule type="cellIs" dxfId="9298" priority="2036" operator="greaterThan">
      <formula>1</formula>
    </cfRule>
  </conditionalFormatting>
  <conditionalFormatting sqref="R124 R127 R131">
    <cfRule type="cellIs" dxfId="9297" priority="2033" operator="greaterThan">
      <formula>1</formula>
    </cfRule>
    <cfRule type="cellIs" dxfId="9296" priority="2034" operator="lessThan">
      <formula>0.8</formula>
    </cfRule>
  </conditionalFormatting>
  <conditionalFormatting sqref="P124 P127 P131">
    <cfRule type="cellIs" dxfId="9295" priority="2032" operator="greaterThan">
      <formula>0</formula>
    </cfRule>
  </conditionalFormatting>
  <conditionalFormatting sqref="P124 P127 P131">
    <cfRule type="cellIs" dxfId="9294" priority="2026" operator="greaterThan">
      <formula>0</formula>
    </cfRule>
  </conditionalFormatting>
  <conditionalFormatting sqref="Q124 Q127 Q131">
    <cfRule type="cellIs" dxfId="9293" priority="2031" operator="lessThan">
      <formula>0</formula>
    </cfRule>
  </conditionalFormatting>
  <conditionalFormatting sqref="R124 R127 R131">
    <cfRule type="cellIs" dxfId="9292" priority="2029" operator="lessThan">
      <formula>0.8</formula>
    </cfRule>
    <cfRule type="cellIs" dxfId="9291" priority="2030" operator="greaterThan">
      <formula>1</formula>
    </cfRule>
  </conditionalFormatting>
  <conditionalFormatting sqref="R124 R127 R131">
    <cfRule type="cellIs" dxfId="9290" priority="2027" operator="greaterThan">
      <formula>1</formula>
    </cfRule>
    <cfRule type="cellIs" dxfId="9289" priority="2028" operator="lessThan">
      <formula>0.8</formula>
    </cfRule>
  </conditionalFormatting>
  <conditionalFormatting sqref="P124 P127 P131">
    <cfRule type="cellIs" dxfId="9288" priority="2020" operator="greaterThan">
      <formula>0</formula>
    </cfRule>
  </conditionalFormatting>
  <conditionalFormatting sqref="Q124 Q127 Q131">
    <cfRule type="cellIs" dxfId="9287" priority="2025" operator="lessThan">
      <formula>0</formula>
    </cfRule>
  </conditionalFormatting>
  <conditionalFormatting sqref="R124 R127 R131">
    <cfRule type="cellIs" dxfId="9286" priority="2023" operator="lessThan">
      <formula>0.8</formula>
    </cfRule>
    <cfRule type="cellIs" dxfId="9285" priority="2024" operator="greaterThan">
      <formula>1</formula>
    </cfRule>
  </conditionalFormatting>
  <conditionalFormatting sqref="R124 R127 R131">
    <cfRule type="cellIs" dxfId="9284" priority="2021" operator="greaterThan">
      <formula>1</formula>
    </cfRule>
    <cfRule type="cellIs" dxfId="9283" priority="2022" operator="lessThan">
      <formula>0.8</formula>
    </cfRule>
  </conditionalFormatting>
  <conditionalFormatting sqref="R124 R127 R131">
    <cfRule type="cellIs" dxfId="9282" priority="2017" operator="lessThan">
      <formula>0.8</formula>
    </cfRule>
    <cfRule type="cellIs" dxfId="9281" priority="2018" operator="greaterThan">
      <formula>1</formula>
    </cfRule>
  </conditionalFormatting>
  <conditionalFormatting sqref="R124 R127 R131">
    <cfRule type="cellIs" dxfId="9280" priority="2015" operator="greaterThan">
      <formula>1</formula>
    </cfRule>
    <cfRule type="cellIs" dxfId="9279" priority="2016" operator="lessThan">
      <formula>0.8</formula>
    </cfRule>
  </conditionalFormatting>
  <conditionalFormatting sqref="P124 P127 P131">
    <cfRule type="cellIs" dxfId="9278" priority="2014" operator="greaterThan">
      <formula>0</formula>
    </cfRule>
  </conditionalFormatting>
  <conditionalFormatting sqref="Q124 Q127 Q131">
    <cfRule type="cellIs" dxfId="9277" priority="2019" operator="lessThan">
      <formula>0</formula>
    </cfRule>
  </conditionalFormatting>
  <conditionalFormatting sqref="Q124 Q127 Q131">
    <cfRule type="cellIs" dxfId="9276" priority="2013" operator="lessThan">
      <formula>0</formula>
    </cfRule>
  </conditionalFormatting>
  <conditionalFormatting sqref="R124 R127 R131">
    <cfRule type="cellIs" dxfId="9275" priority="2011" operator="lessThan">
      <formula>0.8</formula>
    </cfRule>
    <cfRule type="cellIs" dxfId="9274" priority="2012" operator="greaterThan">
      <formula>1</formula>
    </cfRule>
  </conditionalFormatting>
  <conditionalFormatting sqref="R124 R127 R131">
    <cfRule type="cellIs" dxfId="9273" priority="2009" operator="greaterThan">
      <formula>1</formula>
    </cfRule>
    <cfRule type="cellIs" dxfId="9272" priority="2010" operator="lessThan">
      <formula>0.8</formula>
    </cfRule>
  </conditionalFormatting>
  <conditionalFormatting sqref="P124 P127 P131">
    <cfRule type="cellIs" dxfId="9271" priority="2008" operator="greaterThan">
      <formula>0</formula>
    </cfRule>
  </conditionalFormatting>
  <conditionalFormatting sqref="P124 P127 P131">
    <cfRule type="cellIs" dxfId="9270" priority="2002" operator="greaterThan">
      <formula>0</formula>
    </cfRule>
  </conditionalFormatting>
  <conditionalFormatting sqref="Q124 Q127 Q131">
    <cfRule type="cellIs" dxfId="9269" priority="2007" operator="lessThan">
      <formula>0</formula>
    </cfRule>
  </conditionalFormatting>
  <conditionalFormatting sqref="R124 R127 R131">
    <cfRule type="cellIs" dxfId="9268" priority="2005" operator="lessThan">
      <formula>0.8</formula>
    </cfRule>
    <cfRule type="cellIs" dxfId="9267" priority="2006" operator="greaterThan">
      <formula>1</formula>
    </cfRule>
  </conditionalFormatting>
  <conditionalFormatting sqref="R124 R127 R131">
    <cfRule type="cellIs" dxfId="9266" priority="2003" operator="greaterThan">
      <formula>1</formula>
    </cfRule>
    <cfRule type="cellIs" dxfId="9265" priority="2004" operator="lessThan">
      <formula>0.8</formula>
    </cfRule>
  </conditionalFormatting>
  <conditionalFormatting sqref="P124 P127 P131">
    <cfRule type="cellIs" dxfId="9264" priority="1996" operator="greaterThan">
      <formula>0</formula>
    </cfRule>
  </conditionalFormatting>
  <conditionalFormatting sqref="Q124 Q127 Q131">
    <cfRule type="cellIs" dxfId="9263" priority="2001" operator="lessThan">
      <formula>0</formula>
    </cfRule>
  </conditionalFormatting>
  <conditionalFormatting sqref="R124 R127 R131">
    <cfRule type="cellIs" dxfId="9262" priority="1999" operator="lessThan">
      <formula>0.8</formula>
    </cfRule>
    <cfRule type="cellIs" dxfId="9261" priority="2000" operator="greaterThan">
      <formula>1</formula>
    </cfRule>
  </conditionalFormatting>
  <conditionalFormatting sqref="R124 R127 R131">
    <cfRule type="cellIs" dxfId="9260" priority="1997" operator="greaterThan">
      <formula>1</formula>
    </cfRule>
    <cfRule type="cellIs" dxfId="9259" priority="1998" operator="lessThan">
      <formula>0.8</formula>
    </cfRule>
  </conditionalFormatting>
  <conditionalFormatting sqref="R124 R127 R131">
    <cfRule type="cellIs" dxfId="9258" priority="1993" operator="lessThan">
      <formula>0.8</formula>
    </cfRule>
    <cfRule type="cellIs" dxfId="9257" priority="1994" operator="greaterThan">
      <formula>1</formula>
    </cfRule>
  </conditionalFormatting>
  <conditionalFormatting sqref="R124 R127 R131">
    <cfRule type="cellIs" dxfId="9256" priority="1991" operator="greaterThan">
      <formula>1</formula>
    </cfRule>
    <cfRule type="cellIs" dxfId="9255" priority="1992" operator="lessThan">
      <formula>0.8</formula>
    </cfRule>
  </conditionalFormatting>
  <conditionalFormatting sqref="P124 P127 P131">
    <cfRule type="cellIs" dxfId="9254" priority="1990" operator="greaterThan">
      <formula>0</formula>
    </cfRule>
  </conditionalFormatting>
  <conditionalFormatting sqref="Q124 Q127 Q131">
    <cfRule type="cellIs" dxfId="9253" priority="1995" operator="lessThan">
      <formula>0</formula>
    </cfRule>
  </conditionalFormatting>
  <conditionalFormatting sqref="P124 P127 P131">
    <cfRule type="cellIs" dxfId="9252" priority="1984" operator="greaterThan">
      <formula>0</formula>
    </cfRule>
  </conditionalFormatting>
  <conditionalFormatting sqref="Q124 Q127 Q131">
    <cfRule type="cellIs" dxfId="9251" priority="1989" operator="lessThan">
      <formula>0</formula>
    </cfRule>
  </conditionalFormatting>
  <conditionalFormatting sqref="R124 R127 R131">
    <cfRule type="cellIs" dxfId="9250" priority="1987" operator="lessThan">
      <formula>0.8</formula>
    </cfRule>
    <cfRule type="cellIs" dxfId="9249" priority="1988" operator="greaterThan">
      <formula>1</formula>
    </cfRule>
  </conditionalFormatting>
  <conditionalFormatting sqref="R124 R127 R131">
    <cfRule type="cellIs" dxfId="9248" priority="1985" operator="greaterThan">
      <formula>1</formula>
    </cfRule>
    <cfRule type="cellIs" dxfId="9247" priority="1986" operator="lessThan">
      <formula>0.8</formula>
    </cfRule>
  </conditionalFormatting>
  <conditionalFormatting sqref="R124 R127 R131">
    <cfRule type="cellIs" dxfId="9246" priority="1981" operator="lessThan">
      <formula>0.8</formula>
    </cfRule>
    <cfRule type="cellIs" dxfId="9245" priority="1982" operator="greaterThan">
      <formula>1</formula>
    </cfRule>
  </conditionalFormatting>
  <conditionalFormatting sqref="R124 R127 R131">
    <cfRule type="cellIs" dxfId="9244" priority="1979" operator="greaterThan">
      <formula>1</formula>
    </cfRule>
    <cfRule type="cellIs" dxfId="9243" priority="1980" operator="lessThan">
      <formula>0.8</formula>
    </cfRule>
  </conditionalFormatting>
  <conditionalFormatting sqref="P124 P127 P131">
    <cfRule type="cellIs" dxfId="9242" priority="1978" operator="greaterThan">
      <formula>0</formula>
    </cfRule>
  </conditionalFormatting>
  <conditionalFormatting sqref="Q124 Q127 Q131">
    <cfRule type="cellIs" dxfId="9241" priority="1983" operator="lessThan">
      <formula>0</formula>
    </cfRule>
  </conditionalFormatting>
  <conditionalFormatting sqref="R124 R127 R131">
    <cfRule type="cellIs" dxfId="9240" priority="1975" operator="lessThan">
      <formula>0.8</formula>
    </cfRule>
    <cfRule type="cellIs" dxfId="9239" priority="1976" operator="greaterThan">
      <formula>1</formula>
    </cfRule>
  </conditionalFormatting>
  <conditionalFormatting sqref="R124 R127 R131">
    <cfRule type="cellIs" dxfId="9238" priority="1973" operator="greaterThan">
      <formula>1</formula>
    </cfRule>
    <cfRule type="cellIs" dxfId="9237" priority="1974" operator="lessThan">
      <formula>0.8</formula>
    </cfRule>
  </conditionalFormatting>
  <conditionalFormatting sqref="P124 P127 P131">
    <cfRule type="cellIs" dxfId="9236" priority="1972" operator="greaterThan">
      <formula>0</formula>
    </cfRule>
  </conditionalFormatting>
  <conditionalFormatting sqref="Q124 Q127 Q131">
    <cfRule type="cellIs" dxfId="9235" priority="1977" operator="lessThan">
      <formula>0</formula>
    </cfRule>
  </conditionalFormatting>
  <conditionalFormatting sqref="Q124 Q127 Q131">
    <cfRule type="cellIs" dxfId="9234" priority="1971" operator="lessThan">
      <formula>0</formula>
    </cfRule>
  </conditionalFormatting>
  <conditionalFormatting sqref="R124 R127 R131">
    <cfRule type="cellIs" dxfId="9233" priority="1969" operator="lessThan">
      <formula>0.8</formula>
    </cfRule>
    <cfRule type="cellIs" dxfId="9232" priority="1970" operator="greaterThan">
      <formula>1</formula>
    </cfRule>
  </conditionalFormatting>
  <conditionalFormatting sqref="R124 R127 R131">
    <cfRule type="cellIs" dxfId="9231" priority="1967" operator="greaterThan">
      <formula>1</formula>
    </cfRule>
    <cfRule type="cellIs" dxfId="9230" priority="1968" operator="lessThan">
      <formula>0.8</formula>
    </cfRule>
  </conditionalFormatting>
  <conditionalFormatting sqref="P124 P127 P131">
    <cfRule type="cellIs" dxfId="9229" priority="1966" operator="greaterThan">
      <formula>0</formula>
    </cfRule>
  </conditionalFormatting>
  <conditionalFormatting sqref="Q124 Q127 Q131">
    <cfRule type="cellIs" dxfId="9228" priority="1960" operator="lessThan">
      <formula>0</formula>
    </cfRule>
  </conditionalFormatting>
  <conditionalFormatting sqref="R124 R127 R131">
    <cfRule type="cellIs" dxfId="9227" priority="1964" operator="lessThan">
      <formula>0.8</formula>
    </cfRule>
    <cfRule type="cellIs" dxfId="9226" priority="1965" operator="greaterThan">
      <formula>1</formula>
    </cfRule>
  </conditionalFormatting>
  <conditionalFormatting sqref="R124 R127 R131">
    <cfRule type="cellIs" dxfId="9225" priority="1962" operator="greaterThan">
      <formula>1</formula>
    </cfRule>
    <cfRule type="cellIs" dxfId="9224" priority="1963" operator="lessThan">
      <formula>0.8</formula>
    </cfRule>
  </conditionalFormatting>
  <conditionalFormatting sqref="P124 P127 P131">
    <cfRule type="cellIs" dxfId="9223" priority="1961" operator="greaterThan">
      <formula>0</formula>
    </cfRule>
  </conditionalFormatting>
  <conditionalFormatting sqref="Q124 Q127 Q131">
    <cfRule type="cellIs" dxfId="9222" priority="1959" operator="lessThan">
      <formula>0</formula>
    </cfRule>
  </conditionalFormatting>
  <conditionalFormatting sqref="R124 R127 R131">
    <cfRule type="cellIs" dxfId="9221" priority="1957" operator="lessThan">
      <formula>0.8</formula>
    </cfRule>
    <cfRule type="cellIs" dxfId="9220" priority="1958" operator="greaterThan">
      <formula>1</formula>
    </cfRule>
  </conditionalFormatting>
  <conditionalFormatting sqref="R124 R127 R131">
    <cfRule type="cellIs" dxfId="9219" priority="1955" operator="greaterThan">
      <formula>1</formula>
    </cfRule>
    <cfRule type="cellIs" dxfId="9218" priority="1956" operator="lessThan">
      <formula>0.8</formula>
    </cfRule>
  </conditionalFormatting>
  <conditionalFormatting sqref="P124 P127 P131">
    <cfRule type="cellIs" dxfId="9217" priority="1954" operator="greaterThan">
      <formula>0</formula>
    </cfRule>
  </conditionalFormatting>
  <conditionalFormatting sqref="Q124 Q127 Q131">
    <cfRule type="cellIs" dxfId="9216" priority="1953" operator="lessThan">
      <formula>0</formula>
    </cfRule>
  </conditionalFormatting>
  <conditionalFormatting sqref="R124 R127 R131">
    <cfRule type="cellIs" dxfId="9215" priority="1951" operator="lessThan">
      <formula>0.8</formula>
    </cfRule>
    <cfRule type="cellIs" dxfId="9214" priority="1952" operator="greaterThan">
      <formula>1</formula>
    </cfRule>
  </conditionalFormatting>
  <conditionalFormatting sqref="R124 R127 R131">
    <cfRule type="cellIs" dxfId="9213" priority="1949" operator="greaterThan">
      <formula>1</formula>
    </cfRule>
    <cfRule type="cellIs" dxfId="9212" priority="1950" operator="lessThan">
      <formula>0.8</formula>
    </cfRule>
  </conditionalFormatting>
  <conditionalFormatting sqref="P124 P127 P131">
    <cfRule type="cellIs" dxfId="9211" priority="1948" operator="greaterThan">
      <formula>0</formula>
    </cfRule>
  </conditionalFormatting>
  <conditionalFormatting sqref="Q124 Q127 Q131">
    <cfRule type="cellIs" dxfId="9210" priority="1947" operator="lessThan">
      <formula>0</formula>
    </cfRule>
  </conditionalFormatting>
  <conditionalFormatting sqref="R124 R127 R131">
    <cfRule type="cellIs" dxfId="9209" priority="1945" operator="lessThan">
      <formula>0.8</formula>
    </cfRule>
    <cfRule type="cellIs" dxfId="9208" priority="1946" operator="greaterThan">
      <formula>1</formula>
    </cfRule>
  </conditionalFormatting>
  <conditionalFormatting sqref="R124 R127 R131">
    <cfRule type="cellIs" dxfId="9207" priority="1943" operator="greaterThan">
      <formula>1</formula>
    </cfRule>
    <cfRule type="cellIs" dxfId="9206" priority="1944" operator="lessThan">
      <formula>0.8</formula>
    </cfRule>
  </conditionalFormatting>
  <conditionalFormatting sqref="P124 P127 P131">
    <cfRule type="cellIs" dxfId="9205" priority="1942" operator="greaterThan">
      <formula>0</formula>
    </cfRule>
  </conditionalFormatting>
  <conditionalFormatting sqref="Q124 Q127 Q131">
    <cfRule type="cellIs" dxfId="9204" priority="1941" operator="lessThan">
      <formula>0</formula>
    </cfRule>
  </conditionalFormatting>
  <conditionalFormatting sqref="R124 R127 R131">
    <cfRule type="cellIs" dxfId="9203" priority="1939" operator="lessThan">
      <formula>0.8</formula>
    </cfRule>
    <cfRule type="cellIs" dxfId="9202" priority="1940" operator="greaterThan">
      <formula>1</formula>
    </cfRule>
  </conditionalFormatting>
  <conditionalFormatting sqref="R124 R127 R131">
    <cfRule type="cellIs" dxfId="9201" priority="1937" operator="greaterThan">
      <formula>1</formula>
    </cfRule>
    <cfRule type="cellIs" dxfId="9200" priority="1938" operator="lessThan">
      <formula>0.8</formula>
    </cfRule>
  </conditionalFormatting>
  <conditionalFormatting sqref="P124 P127 P131">
    <cfRule type="cellIs" dxfId="9199" priority="1936" operator="greaterThan">
      <formula>0</formula>
    </cfRule>
  </conditionalFormatting>
  <conditionalFormatting sqref="Q124 Q127 Q131">
    <cfRule type="cellIs" dxfId="9198" priority="1935" operator="lessThan">
      <formula>0</formula>
    </cfRule>
  </conditionalFormatting>
  <conditionalFormatting sqref="R124 R127 R131">
    <cfRule type="cellIs" dxfId="9197" priority="1933" operator="lessThan">
      <formula>0.8</formula>
    </cfRule>
    <cfRule type="cellIs" dxfId="9196" priority="1934" operator="greaterThan">
      <formula>1</formula>
    </cfRule>
  </conditionalFormatting>
  <conditionalFormatting sqref="R124 R127 R131">
    <cfRule type="cellIs" dxfId="9195" priority="1931" operator="greaterThan">
      <formula>1</formula>
    </cfRule>
    <cfRule type="cellIs" dxfId="9194" priority="1932" operator="lessThan">
      <formula>0.8</formula>
    </cfRule>
  </conditionalFormatting>
  <conditionalFormatting sqref="P124 P127 P131">
    <cfRule type="cellIs" dxfId="9193" priority="1930" operator="greaterThan">
      <formula>0</formula>
    </cfRule>
  </conditionalFormatting>
  <conditionalFormatting sqref="P124 P127 P131">
    <cfRule type="cellIs" dxfId="9192" priority="1924" operator="greaterThan">
      <formula>0</formula>
    </cfRule>
  </conditionalFormatting>
  <conditionalFormatting sqref="Q124 Q127 Q131">
    <cfRule type="cellIs" dxfId="9191" priority="1929" operator="lessThan">
      <formula>0</formula>
    </cfRule>
  </conditionalFormatting>
  <conditionalFormatting sqref="R124 R127 R131">
    <cfRule type="cellIs" dxfId="9190" priority="1927" operator="lessThan">
      <formula>0.8</formula>
    </cfRule>
    <cfRule type="cellIs" dxfId="9189" priority="1928" operator="greaterThan">
      <formula>1</formula>
    </cfRule>
  </conditionalFormatting>
  <conditionalFormatting sqref="R124 R127 R131">
    <cfRule type="cellIs" dxfId="9188" priority="1925" operator="greaterThan">
      <formula>1</formula>
    </cfRule>
    <cfRule type="cellIs" dxfId="9187" priority="1926" operator="lessThan">
      <formula>0.8</formula>
    </cfRule>
  </conditionalFormatting>
  <conditionalFormatting sqref="P124 P127 P131">
    <cfRule type="cellIs" dxfId="9186" priority="1918" operator="greaterThan">
      <formula>0</formula>
    </cfRule>
  </conditionalFormatting>
  <conditionalFormatting sqref="Q124 Q127 Q131">
    <cfRule type="cellIs" dxfId="9185" priority="1923" operator="lessThan">
      <formula>0</formula>
    </cfRule>
  </conditionalFormatting>
  <conditionalFormatting sqref="R124 R127 R131">
    <cfRule type="cellIs" dxfId="9184" priority="1921" operator="lessThan">
      <formula>0.8</formula>
    </cfRule>
    <cfRule type="cellIs" dxfId="9183" priority="1922" operator="greaterThan">
      <formula>1</formula>
    </cfRule>
  </conditionalFormatting>
  <conditionalFormatting sqref="R124 R127 R131">
    <cfRule type="cellIs" dxfId="9182" priority="1919" operator="greaterThan">
      <formula>1</formula>
    </cfRule>
    <cfRule type="cellIs" dxfId="9181" priority="1920" operator="lessThan">
      <formula>0.8</formula>
    </cfRule>
  </conditionalFormatting>
  <conditionalFormatting sqref="R124 R127 R131">
    <cfRule type="cellIs" dxfId="9180" priority="1915" operator="lessThan">
      <formula>0.8</formula>
    </cfRule>
    <cfRule type="cellIs" dxfId="9179" priority="1916" operator="greaterThan">
      <formula>1</formula>
    </cfRule>
  </conditionalFormatting>
  <conditionalFormatting sqref="R124 R127 R131">
    <cfRule type="cellIs" dxfId="9178" priority="1913" operator="greaterThan">
      <formula>1</formula>
    </cfRule>
    <cfRule type="cellIs" dxfId="9177" priority="1914" operator="lessThan">
      <formula>0.8</formula>
    </cfRule>
  </conditionalFormatting>
  <conditionalFormatting sqref="P124 P127 P131">
    <cfRule type="cellIs" dxfId="9176" priority="1912" operator="greaterThan">
      <formula>0</formula>
    </cfRule>
  </conditionalFormatting>
  <conditionalFormatting sqref="Q124 Q127 Q131">
    <cfRule type="cellIs" dxfId="9175" priority="1917" operator="lessThan">
      <formula>0</formula>
    </cfRule>
  </conditionalFormatting>
  <conditionalFormatting sqref="Q5:Q14">
    <cfRule type="cellIs" dxfId="9174" priority="1911" operator="lessThan">
      <formula>0</formula>
    </cfRule>
  </conditionalFormatting>
  <conditionalFormatting sqref="R5:R14">
    <cfRule type="cellIs" dxfId="9173" priority="1909" operator="lessThan">
      <formula>0.8</formula>
    </cfRule>
    <cfRule type="cellIs" dxfId="9172" priority="1910" operator="greaterThan">
      <formula>1</formula>
    </cfRule>
  </conditionalFormatting>
  <conditionalFormatting sqref="R5:R14">
    <cfRule type="cellIs" dxfId="9171" priority="1907" operator="greaterThan">
      <formula>1</formula>
    </cfRule>
    <cfRule type="cellIs" dxfId="9170" priority="1908" operator="lessThan">
      <formula>0.8</formula>
    </cfRule>
  </conditionalFormatting>
  <conditionalFormatting sqref="P5:P14">
    <cfRule type="cellIs" dxfId="9169" priority="1906" operator="greaterThan">
      <formula>0</formula>
    </cfRule>
  </conditionalFormatting>
  <conditionalFormatting sqref="Q83">
    <cfRule type="cellIs" dxfId="9168" priority="1905" operator="lessThan">
      <formula>0</formula>
    </cfRule>
  </conditionalFormatting>
  <conditionalFormatting sqref="R83">
    <cfRule type="cellIs" dxfId="9167" priority="1903" operator="lessThan">
      <formula>0.8</formula>
    </cfRule>
    <cfRule type="cellIs" dxfId="9166" priority="1904" operator="greaterThan">
      <formula>1</formula>
    </cfRule>
  </conditionalFormatting>
  <conditionalFormatting sqref="R83">
    <cfRule type="cellIs" dxfId="9165" priority="1901" operator="greaterThan">
      <formula>1</formula>
    </cfRule>
    <cfRule type="cellIs" dxfId="9164" priority="1902" operator="lessThan">
      <formula>0.8</formula>
    </cfRule>
  </conditionalFormatting>
  <conditionalFormatting sqref="P83">
    <cfRule type="cellIs" dxfId="9163" priority="1900" operator="greaterThan">
      <formula>0</formula>
    </cfRule>
  </conditionalFormatting>
  <conditionalFormatting sqref="Q83">
    <cfRule type="cellIs" dxfId="9162" priority="1899" operator="lessThan">
      <formula>0</formula>
    </cfRule>
  </conditionalFormatting>
  <conditionalFormatting sqref="R83">
    <cfRule type="cellIs" dxfId="9161" priority="1897" operator="lessThan">
      <formula>0.8</formula>
    </cfRule>
    <cfRule type="cellIs" dxfId="9160" priority="1898" operator="greaterThan">
      <formula>1</formula>
    </cfRule>
  </conditionalFormatting>
  <conditionalFormatting sqref="R83">
    <cfRule type="cellIs" dxfId="9159" priority="1895" operator="greaterThan">
      <formula>1</formula>
    </cfRule>
    <cfRule type="cellIs" dxfId="9158" priority="1896" operator="lessThan">
      <formula>0.8</formula>
    </cfRule>
  </conditionalFormatting>
  <conditionalFormatting sqref="P83">
    <cfRule type="cellIs" dxfId="9157" priority="1894" operator="greaterThan">
      <formula>0</formula>
    </cfRule>
  </conditionalFormatting>
  <conditionalFormatting sqref="Q83">
    <cfRule type="cellIs" dxfId="9156" priority="1893" operator="lessThan">
      <formula>0</formula>
    </cfRule>
  </conditionalFormatting>
  <conditionalFormatting sqref="R83">
    <cfRule type="cellIs" dxfId="9155" priority="1891" operator="lessThan">
      <formula>0.8</formula>
    </cfRule>
    <cfRule type="cellIs" dxfId="9154" priority="1892" operator="greaterThan">
      <formula>1</formula>
    </cfRule>
  </conditionalFormatting>
  <conditionalFormatting sqref="R83">
    <cfRule type="cellIs" dxfId="9153" priority="1889" operator="greaterThan">
      <formula>1</formula>
    </cfRule>
    <cfRule type="cellIs" dxfId="9152" priority="1890" operator="lessThan">
      <formula>0.8</formula>
    </cfRule>
  </conditionalFormatting>
  <conditionalFormatting sqref="P83">
    <cfRule type="cellIs" dxfId="9151" priority="1888" operator="greaterThan">
      <formula>0</formula>
    </cfRule>
  </conditionalFormatting>
  <conditionalFormatting sqref="Q83">
    <cfRule type="cellIs" dxfId="9150" priority="1887" operator="lessThan">
      <formula>0</formula>
    </cfRule>
  </conditionalFormatting>
  <conditionalFormatting sqref="R83">
    <cfRule type="cellIs" dxfId="9149" priority="1885" operator="lessThan">
      <formula>0.8</formula>
    </cfRule>
    <cfRule type="cellIs" dxfId="9148" priority="1886" operator="greaterThan">
      <formula>1</formula>
    </cfRule>
  </conditionalFormatting>
  <conditionalFormatting sqref="R83">
    <cfRule type="cellIs" dxfId="9147" priority="1883" operator="greaterThan">
      <formula>1</formula>
    </cfRule>
    <cfRule type="cellIs" dxfId="9146" priority="1884" operator="lessThan">
      <formula>0.8</formula>
    </cfRule>
  </conditionalFormatting>
  <conditionalFormatting sqref="P83">
    <cfRule type="cellIs" dxfId="9145" priority="1882" operator="greaterThan">
      <formula>0</formula>
    </cfRule>
  </conditionalFormatting>
  <conditionalFormatting sqref="P83">
    <cfRule type="cellIs" dxfId="9144" priority="1876" operator="greaterThan">
      <formula>0</formula>
    </cfRule>
  </conditionalFormatting>
  <conditionalFormatting sqref="Q83">
    <cfRule type="cellIs" dxfId="9143" priority="1881" operator="lessThan">
      <formula>0</formula>
    </cfRule>
  </conditionalFormatting>
  <conditionalFormatting sqref="R83">
    <cfRule type="cellIs" dxfId="9142" priority="1879" operator="lessThan">
      <formula>0.8</formula>
    </cfRule>
    <cfRule type="cellIs" dxfId="9141" priority="1880" operator="greaterThan">
      <formula>1</formula>
    </cfRule>
  </conditionalFormatting>
  <conditionalFormatting sqref="R83">
    <cfRule type="cellIs" dxfId="9140" priority="1877" operator="greaterThan">
      <formula>1</formula>
    </cfRule>
    <cfRule type="cellIs" dxfId="9139" priority="1878" operator="lessThan">
      <formula>0.8</formula>
    </cfRule>
  </conditionalFormatting>
  <conditionalFormatting sqref="P83">
    <cfRule type="cellIs" dxfId="9138" priority="1870" operator="greaterThan">
      <formula>0</formula>
    </cfRule>
  </conditionalFormatting>
  <conditionalFormatting sqref="Q83">
    <cfRule type="cellIs" dxfId="9137" priority="1875" operator="lessThan">
      <formula>0</formula>
    </cfRule>
  </conditionalFormatting>
  <conditionalFormatting sqref="R83">
    <cfRule type="cellIs" dxfId="9136" priority="1873" operator="lessThan">
      <formula>0.8</formula>
    </cfRule>
    <cfRule type="cellIs" dxfId="9135" priority="1874" operator="greaterThan">
      <formula>1</formula>
    </cfRule>
  </conditionalFormatting>
  <conditionalFormatting sqref="R83">
    <cfRule type="cellIs" dxfId="9134" priority="1871" operator="greaterThan">
      <formula>1</formula>
    </cfRule>
    <cfRule type="cellIs" dxfId="9133" priority="1872" operator="lessThan">
      <formula>0.8</formula>
    </cfRule>
  </conditionalFormatting>
  <conditionalFormatting sqref="R83">
    <cfRule type="cellIs" dxfId="9132" priority="1867" operator="lessThan">
      <formula>0.8</formula>
    </cfRule>
    <cfRule type="cellIs" dxfId="9131" priority="1868" operator="greaterThan">
      <formula>1</formula>
    </cfRule>
  </conditionalFormatting>
  <conditionalFormatting sqref="R83">
    <cfRule type="cellIs" dxfId="9130" priority="1865" operator="greaterThan">
      <formula>1</formula>
    </cfRule>
    <cfRule type="cellIs" dxfId="9129" priority="1866" operator="lessThan">
      <formula>0.8</formula>
    </cfRule>
  </conditionalFormatting>
  <conditionalFormatting sqref="P83">
    <cfRule type="cellIs" dxfId="9128" priority="1864" operator="greaterThan">
      <formula>0</formula>
    </cfRule>
  </conditionalFormatting>
  <conditionalFormatting sqref="Q83">
    <cfRule type="cellIs" dxfId="9127" priority="1869" operator="lessThan">
      <formula>0</formula>
    </cfRule>
  </conditionalFormatting>
  <conditionalFormatting sqref="Q83">
    <cfRule type="cellIs" dxfId="9126" priority="1863" operator="lessThan">
      <formula>0</formula>
    </cfRule>
  </conditionalFormatting>
  <conditionalFormatting sqref="R83">
    <cfRule type="cellIs" dxfId="9125" priority="1861" operator="lessThan">
      <formula>0.8</formula>
    </cfRule>
    <cfRule type="cellIs" dxfId="9124" priority="1862" operator="greaterThan">
      <formula>1</formula>
    </cfRule>
  </conditionalFormatting>
  <conditionalFormatting sqref="R83">
    <cfRule type="cellIs" dxfId="9123" priority="1859" operator="greaterThan">
      <formula>1</formula>
    </cfRule>
    <cfRule type="cellIs" dxfId="9122" priority="1860" operator="lessThan">
      <formula>0.8</formula>
    </cfRule>
  </conditionalFormatting>
  <conditionalFormatting sqref="P83">
    <cfRule type="cellIs" dxfId="9121" priority="1858" operator="greaterThan">
      <formula>0</formula>
    </cfRule>
  </conditionalFormatting>
  <conditionalFormatting sqref="P83">
    <cfRule type="cellIs" dxfId="9120" priority="1852" operator="greaterThan">
      <formula>0</formula>
    </cfRule>
  </conditionalFormatting>
  <conditionalFormatting sqref="Q83">
    <cfRule type="cellIs" dxfId="9119" priority="1857" operator="lessThan">
      <formula>0</formula>
    </cfRule>
  </conditionalFormatting>
  <conditionalFormatting sqref="R83">
    <cfRule type="cellIs" dxfId="9118" priority="1855" operator="lessThan">
      <formula>0.8</formula>
    </cfRule>
    <cfRule type="cellIs" dxfId="9117" priority="1856" operator="greaterThan">
      <formula>1</formula>
    </cfRule>
  </conditionalFormatting>
  <conditionalFormatting sqref="R83">
    <cfRule type="cellIs" dxfId="9116" priority="1853" operator="greaterThan">
      <formula>1</formula>
    </cfRule>
    <cfRule type="cellIs" dxfId="9115" priority="1854" operator="lessThan">
      <formula>0.8</formula>
    </cfRule>
  </conditionalFormatting>
  <conditionalFormatting sqref="P83">
    <cfRule type="cellIs" dxfId="9114" priority="1846" operator="greaterThan">
      <formula>0</formula>
    </cfRule>
  </conditionalFormatting>
  <conditionalFormatting sqref="Q83">
    <cfRule type="cellIs" dxfId="9113" priority="1851" operator="lessThan">
      <formula>0</formula>
    </cfRule>
  </conditionalFormatting>
  <conditionalFormatting sqref="R83">
    <cfRule type="cellIs" dxfId="9112" priority="1849" operator="lessThan">
      <formula>0.8</formula>
    </cfRule>
    <cfRule type="cellIs" dxfId="9111" priority="1850" operator="greaterThan">
      <formula>1</formula>
    </cfRule>
  </conditionalFormatting>
  <conditionalFormatting sqref="R83">
    <cfRule type="cellIs" dxfId="9110" priority="1847" operator="greaterThan">
      <formula>1</formula>
    </cfRule>
    <cfRule type="cellIs" dxfId="9109" priority="1848" operator="lessThan">
      <formula>0.8</formula>
    </cfRule>
  </conditionalFormatting>
  <conditionalFormatting sqref="R83">
    <cfRule type="cellIs" dxfId="9108" priority="1843" operator="lessThan">
      <formula>0.8</formula>
    </cfRule>
    <cfRule type="cellIs" dxfId="9107" priority="1844" operator="greaterThan">
      <formula>1</formula>
    </cfRule>
  </conditionalFormatting>
  <conditionalFormatting sqref="R83">
    <cfRule type="cellIs" dxfId="9106" priority="1841" operator="greaterThan">
      <formula>1</formula>
    </cfRule>
    <cfRule type="cellIs" dxfId="9105" priority="1842" operator="lessThan">
      <formula>0.8</formula>
    </cfRule>
  </conditionalFormatting>
  <conditionalFormatting sqref="P83">
    <cfRule type="cellIs" dxfId="9104" priority="1840" operator="greaterThan">
      <formula>0</formula>
    </cfRule>
  </conditionalFormatting>
  <conditionalFormatting sqref="Q83">
    <cfRule type="cellIs" dxfId="9103" priority="1845" operator="lessThan">
      <formula>0</formula>
    </cfRule>
  </conditionalFormatting>
  <conditionalFormatting sqref="P83">
    <cfRule type="cellIs" dxfId="9102" priority="1834" operator="greaterThan">
      <formula>0</formula>
    </cfRule>
  </conditionalFormatting>
  <conditionalFormatting sqref="Q83">
    <cfRule type="cellIs" dxfId="9101" priority="1839" operator="lessThan">
      <formula>0</formula>
    </cfRule>
  </conditionalFormatting>
  <conditionalFormatting sqref="R83">
    <cfRule type="cellIs" dxfId="9100" priority="1837" operator="lessThan">
      <formula>0.8</formula>
    </cfRule>
    <cfRule type="cellIs" dxfId="9099" priority="1838" operator="greaterThan">
      <formula>1</formula>
    </cfRule>
  </conditionalFormatting>
  <conditionalFormatting sqref="R83">
    <cfRule type="cellIs" dxfId="9098" priority="1835" operator="greaterThan">
      <formula>1</formula>
    </cfRule>
    <cfRule type="cellIs" dxfId="9097" priority="1836" operator="lessThan">
      <formula>0.8</formula>
    </cfRule>
  </conditionalFormatting>
  <conditionalFormatting sqref="R83">
    <cfRule type="cellIs" dxfId="9096" priority="1831" operator="lessThan">
      <formula>0.8</formula>
    </cfRule>
    <cfRule type="cellIs" dxfId="9095" priority="1832" operator="greaterThan">
      <formula>1</formula>
    </cfRule>
  </conditionalFormatting>
  <conditionalFormatting sqref="R83">
    <cfRule type="cellIs" dxfId="9094" priority="1829" operator="greaterThan">
      <formula>1</formula>
    </cfRule>
    <cfRule type="cellIs" dxfId="9093" priority="1830" operator="lessThan">
      <formula>0.8</formula>
    </cfRule>
  </conditionalFormatting>
  <conditionalFormatting sqref="P83">
    <cfRule type="cellIs" dxfId="9092" priority="1828" operator="greaterThan">
      <formula>0</formula>
    </cfRule>
  </conditionalFormatting>
  <conditionalFormatting sqref="Q83">
    <cfRule type="cellIs" dxfId="9091" priority="1833" operator="lessThan">
      <formula>0</formula>
    </cfRule>
  </conditionalFormatting>
  <conditionalFormatting sqref="R83">
    <cfRule type="cellIs" dxfId="9090" priority="1825" operator="lessThan">
      <formula>0.8</formula>
    </cfRule>
    <cfRule type="cellIs" dxfId="9089" priority="1826" operator="greaterThan">
      <formula>1</formula>
    </cfRule>
  </conditionalFormatting>
  <conditionalFormatting sqref="R83">
    <cfRule type="cellIs" dxfId="9088" priority="1823" operator="greaterThan">
      <formula>1</formula>
    </cfRule>
    <cfRule type="cellIs" dxfId="9087" priority="1824" operator="lessThan">
      <formula>0.8</formula>
    </cfRule>
  </conditionalFormatting>
  <conditionalFormatting sqref="P83">
    <cfRule type="cellIs" dxfId="9086" priority="1822" operator="greaterThan">
      <formula>0</formula>
    </cfRule>
  </conditionalFormatting>
  <conditionalFormatting sqref="Q83">
    <cfRule type="cellIs" dxfId="9085" priority="1827" operator="lessThan">
      <formula>0</formula>
    </cfRule>
  </conditionalFormatting>
  <conditionalFormatting sqref="Q83">
    <cfRule type="cellIs" dxfId="9084" priority="1821" operator="lessThan">
      <formula>0</formula>
    </cfRule>
  </conditionalFormatting>
  <conditionalFormatting sqref="R83">
    <cfRule type="cellIs" dxfId="9083" priority="1819" operator="lessThan">
      <formula>0.8</formula>
    </cfRule>
    <cfRule type="cellIs" dxfId="9082" priority="1820" operator="greaterThan">
      <formula>1</formula>
    </cfRule>
  </conditionalFormatting>
  <conditionalFormatting sqref="R83">
    <cfRule type="cellIs" dxfId="9081" priority="1817" operator="greaterThan">
      <formula>1</formula>
    </cfRule>
    <cfRule type="cellIs" dxfId="9080" priority="1818" operator="lessThan">
      <formula>0.8</formula>
    </cfRule>
  </conditionalFormatting>
  <conditionalFormatting sqref="P83">
    <cfRule type="cellIs" dxfId="9079" priority="1816" operator="greaterThan">
      <formula>0</formula>
    </cfRule>
  </conditionalFormatting>
  <conditionalFormatting sqref="Q83">
    <cfRule type="cellIs" dxfId="9078" priority="1810" operator="lessThan">
      <formula>0</formula>
    </cfRule>
  </conditionalFormatting>
  <conditionalFormatting sqref="R83">
    <cfRule type="cellIs" dxfId="9077" priority="1814" operator="lessThan">
      <formula>0.8</formula>
    </cfRule>
    <cfRule type="cellIs" dxfId="9076" priority="1815" operator="greaterThan">
      <formula>1</formula>
    </cfRule>
  </conditionalFormatting>
  <conditionalFormatting sqref="R83">
    <cfRule type="cellIs" dxfId="9075" priority="1812" operator="greaterThan">
      <formula>1</formula>
    </cfRule>
    <cfRule type="cellIs" dxfId="9074" priority="1813" operator="lessThan">
      <formula>0.8</formula>
    </cfRule>
  </conditionalFormatting>
  <conditionalFormatting sqref="P83">
    <cfRule type="cellIs" dxfId="9073" priority="1811" operator="greaterThan">
      <formula>0</formula>
    </cfRule>
  </conditionalFormatting>
  <conditionalFormatting sqref="Q83">
    <cfRule type="cellIs" dxfId="9072" priority="1809" operator="lessThan">
      <formula>0</formula>
    </cfRule>
  </conditionalFormatting>
  <conditionalFormatting sqref="R83">
    <cfRule type="cellIs" dxfId="9071" priority="1807" operator="lessThan">
      <formula>0.8</formula>
    </cfRule>
    <cfRule type="cellIs" dxfId="9070" priority="1808" operator="greaterThan">
      <formula>1</formula>
    </cfRule>
  </conditionalFormatting>
  <conditionalFormatting sqref="R83">
    <cfRule type="cellIs" dxfId="9069" priority="1805" operator="greaterThan">
      <formula>1</formula>
    </cfRule>
    <cfRule type="cellIs" dxfId="9068" priority="1806" operator="lessThan">
      <formula>0.8</formula>
    </cfRule>
  </conditionalFormatting>
  <conditionalFormatting sqref="P83">
    <cfRule type="cellIs" dxfId="9067" priority="1804" operator="greaterThan">
      <formula>0</formula>
    </cfRule>
  </conditionalFormatting>
  <conditionalFormatting sqref="Q83">
    <cfRule type="cellIs" dxfId="9066" priority="1803" operator="lessThan">
      <formula>0</formula>
    </cfRule>
  </conditionalFormatting>
  <conditionalFormatting sqref="R83">
    <cfRule type="cellIs" dxfId="9065" priority="1801" operator="lessThan">
      <formula>0.8</formula>
    </cfRule>
    <cfRule type="cellIs" dxfId="9064" priority="1802" operator="greaterThan">
      <formula>1</formula>
    </cfRule>
  </conditionalFormatting>
  <conditionalFormatting sqref="R83">
    <cfRule type="cellIs" dxfId="9063" priority="1799" operator="greaterThan">
      <formula>1</formula>
    </cfRule>
    <cfRule type="cellIs" dxfId="9062" priority="1800" operator="lessThan">
      <formula>0.8</formula>
    </cfRule>
  </conditionalFormatting>
  <conditionalFormatting sqref="P83">
    <cfRule type="cellIs" dxfId="9061" priority="1798" operator="greaterThan">
      <formula>0</formula>
    </cfRule>
  </conditionalFormatting>
  <conditionalFormatting sqref="Q83">
    <cfRule type="cellIs" dxfId="9060" priority="1797" operator="lessThan">
      <formula>0</formula>
    </cfRule>
  </conditionalFormatting>
  <conditionalFormatting sqref="R83">
    <cfRule type="cellIs" dxfId="9059" priority="1795" operator="lessThan">
      <formula>0.8</formula>
    </cfRule>
    <cfRule type="cellIs" dxfId="9058" priority="1796" operator="greaterThan">
      <formula>1</formula>
    </cfRule>
  </conditionalFormatting>
  <conditionalFormatting sqref="R83">
    <cfRule type="cellIs" dxfId="9057" priority="1793" operator="greaterThan">
      <formula>1</formula>
    </cfRule>
    <cfRule type="cellIs" dxfId="9056" priority="1794" operator="lessThan">
      <formula>0.8</formula>
    </cfRule>
  </conditionalFormatting>
  <conditionalFormatting sqref="P83">
    <cfRule type="cellIs" dxfId="9055" priority="1792" operator="greaterThan">
      <formula>0</formula>
    </cfRule>
  </conditionalFormatting>
  <conditionalFormatting sqref="Q83">
    <cfRule type="cellIs" dxfId="9054" priority="1791" operator="lessThan">
      <formula>0</formula>
    </cfRule>
  </conditionalFormatting>
  <conditionalFormatting sqref="R83">
    <cfRule type="cellIs" dxfId="9053" priority="1789" operator="lessThan">
      <formula>0.8</formula>
    </cfRule>
    <cfRule type="cellIs" dxfId="9052" priority="1790" operator="greaterThan">
      <formula>1</formula>
    </cfRule>
  </conditionalFormatting>
  <conditionalFormatting sqref="R83">
    <cfRule type="cellIs" dxfId="9051" priority="1787" operator="greaterThan">
      <formula>1</formula>
    </cfRule>
    <cfRule type="cellIs" dxfId="9050" priority="1788" operator="lessThan">
      <formula>0.8</formula>
    </cfRule>
  </conditionalFormatting>
  <conditionalFormatting sqref="P83">
    <cfRule type="cellIs" dxfId="9049" priority="1786" operator="greaterThan">
      <formula>0</formula>
    </cfRule>
  </conditionalFormatting>
  <conditionalFormatting sqref="Q83">
    <cfRule type="cellIs" dxfId="9048" priority="1785" operator="lessThan">
      <formula>0</formula>
    </cfRule>
  </conditionalFormatting>
  <conditionalFormatting sqref="R83">
    <cfRule type="cellIs" dxfId="9047" priority="1783" operator="lessThan">
      <formula>0.8</formula>
    </cfRule>
    <cfRule type="cellIs" dxfId="9046" priority="1784" operator="greaterThan">
      <formula>1</formula>
    </cfRule>
  </conditionalFormatting>
  <conditionalFormatting sqref="R83">
    <cfRule type="cellIs" dxfId="9045" priority="1781" operator="greaterThan">
      <formula>1</formula>
    </cfRule>
    <cfRule type="cellIs" dxfId="9044" priority="1782" operator="lessThan">
      <formula>0.8</formula>
    </cfRule>
  </conditionalFormatting>
  <conditionalFormatting sqref="P83">
    <cfRule type="cellIs" dxfId="9043" priority="1780" operator="greaterThan">
      <formula>0</formula>
    </cfRule>
  </conditionalFormatting>
  <conditionalFormatting sqref="P83">
    <cfRule type="cellIs" dxfId="9042" priority="1774" operator="greaterThan">
      <formula>0</formula>
    </cfRule>
  </conditionalFormatting>
  <conditionalFormatting sqref="Q83">
    <cfRule type="cellIs" dxfId="9041" priority="1779" operator="lessThan">
      <formula>0</formula>
    </cfRule>
  </conditionalFormatting>
  <conditionalFormatting sqref="R83">
    <cfRule type="cellIs" dxfId="9040" priority="1777" operator="lessThan">
      <formula>0.8</formula>
    </cfRule>
    <cfRule type="cellIs" dxfId="9039" priority="1778" operator="greaterThan">
      <formula>1</formula>
    </cfRule>
  </conditionalFormatting>
  <conditionalFormatting sqref="R83">
    <cfRule type="cellIs" dxfId="9038" priority="1775" operator="greaterThan">
      <formula>1</formula>
    </cfRule>
    <cfRule type="cellIs" dxfId="9037" priority="1776" operator="lessThan">
      <formula>0.8</formula>
    </cfRule>
  </conditionalFormatting>
  <conditionalFormatting sqref="P83">
    <cfRule type="cellIs" dxfId="9036" priority="1768" operator="greaterThan">
      <formula>0</formula>
    </cfRule>
  </conditionalFormatting>
  <conditionalFormatting sqref="Q83">
    <cfRule type="cellIs" dxfId="9035" priority="1773" operator="lessThan">
      <formula>0</formula>
    </cfRule>
  </conditionalFormatting>
  <conditionalFormatting sqref="R83">
    <cfRule type="cellIs" dxfId="9034" priority="1771" operator="lessThan">
      <formula>0.8</formula>
    </cfRule>
    <cfRule type="cellIs" dxfId="9033" priority="1772" operator="greaterThan">
      <formula>1</formula>
    </cfRule>
  </conditionalFormatting>
  <conditionalFormatting sqref="R83">
    <cfRule type="cellIs" dxfId="9032" priority="1769" operator="greaterThan">
      <formula>1</formula>
    </cfRule>
    <cfRule type="cellIs" dxfId="9031" priority="1770" operator="lessThan">
      <formula>0.8</formula>
    </cfRule>
  </conditionalFormatting>
  <conditionalFormatting sqref="R83">
    <cfRule type="cellIs" dxfId="9030" priority="1765" operator="lessThan">
      <formula>0.8</formula>
    </cfRule>
    <cfRule type="cellIs" dxfId="9029" priority="1766" operator="greaterThan">
      <formula>1</formula>
    </cfRule>
  </conditionalFormatting>
  <conditionalFormatting sqref="R83">
    <cfRule type="cellIs" dxfId="9028" priority="1763" operator="greaterThan">
      <formula>1</formula>
    </cfRule>
    <cfRule type="cellIs" dxfId="9027" priority="1764" operator="lessThan">
      <formula>0.8</formula>
    </cfRule>
  </conditionalFormatting>
  <conditionalFormatting sqref="P83">
    <cfRule type="cellIs" dxfId="9026" priority="1762" operator="greaterThan">
      <formula>0</formula>
    </cfRule>
  </conditionalFormatting>
  <conditionalFormatting sqref="Q83">
    <cfRule type="cellIs" dxfId="9025" priority="1767" operator="lessThan">
      <formula>0</formula>
    </cfRule>
  </conditionalFormatting>
  <conditionalFormatting sqref="Q83">
    <cfRule type="cellIs" dxfId="9024" priority="1756" operator="lessThan">
      <formula>0</formula>
    </cfRule>
  </conditionalFormatting>
  <conditionalFormatting sqref="P83">
    <cfRule type="cellIs" dxfId="9023" priority="1757" operator="greaterThan">
      <formula>0</formula>
    </cfRule>
  </conditionalFormatting>
  <conditionalFormatting sqref="R83">
    <cfRule type="cellIs" dxfId="9022" priority="1760" operator="lessThan">
      <formula>0.8</formula>
    </cfRule>
    <cfRule type="cellIs" dxfId="9021" priority="1761" operator="greaterThan">
      <formula>1</formula>
    </cfRule>
  </conditionalFormatting>
  <conditionalFormatting sqref="R83">
    <cfRule type="cellIs" dxfId="9020" priority="1758" operator="greaterThan">
      <formula>1</formula>
    </cfRule>
    <cfRule type="cellIs" dxfId="9019" priority="1759" operator="lessThan">
      <formula>0.8</formula>
    </cfRule>
  </conditionalFormatting>
  <conditionalFormatting sqref="Q83">
    <cfRule type="cellIs" dxfId="9018" priority="1750" operator="lessThan">
      <formula>0</formula>
    </cfRule>
  </conditionalFormatting>
  <conditionalFormatting sqref="R83">
    <cfRule type="cellIs" dxfId="9017" priority="1754" operator="lessThan">
      <formula>0.8</formula>
    </cfRule>
    <cfRule type="cellIs" dxfId="9016" priority="1755" operator="greaterThan">
      <formula>1</formula>
    </cfRule>
  </conditionalFormatting>
  <conditionalFormatting sqref="R83">
    <cfRule type="cellIs" dxfId="9015" priority="1752" operator="greaterThan">
      <formula>1</formula>
    </cfRule>
    <cfRule type="cellIs" dxfId="9014" priority="1753" operator="lessThan">
      <formula>0.8</formula>
    </cfRule>
  </conditionalFormatting>
  <conditionalFormatting sqref="P83">
    <cfRule type="cellIs" dxfId="9013" priority="1751" operator="greaterThan">
      <formula>0</formula>
    </cfRule>
  </conditionalFormatting>
  <conditionalFormatting sqref="Q83">
    <cfRule type="cellIs" dxfId="9012" priority="1749" operator="lessThan">
      <formula>0</formula>
    </cfRule>
  </conditionalFormatting>
  <conditionalFormatting sqref="R83">
    <cfRule type="cellIs" dxfId="9011" priority="1747" operator="lessThan">
      <formula>0.8</formula>
    </cfRule>
    <cfRule type="cellIs" dxfId="9010" priority="1748" operator="greaterThan">
      <formula>1</formula>
    </cfRule>
  </conditionalFormatting>
  <conditionalFormatting sqref="R83">
    <cfRule type="cellIs" dxfId="9009" priority="1745" operator="greaterThan">
      <formula>1</formula>
    </cfRule>
    <cfRule type="cellIs" dxfId="9008" priority="1746" operator="lessThan">
      <formula>0.8</formula>
    </cfRule>
  </conditionalFormatting>
  <conditionalFormatting sqref="P83">
    <cfRule type="cellIs" dxfId="9007" priority="1744" operator="greaterThan">
      <formula>0</formula>
    </cfRule>
  </conditionalFormatting>
  <conditionalFormatting sqref="Q83">
    <cfRule type="cellIs" dxfId="9006" priority="1743" operator="lessThan">
      <formula>0</formula>
    </cfRule>
  </conditionalFormatting>
  <conditionalFormatting sqref="R83">
    <cfRule type="cellIs" dxfId="9005" priority="1741" operator="lessThan">
      <formula>0.8</formula>
    </cfRule>
    <cfRule type="cellIs" dxfId="9004" priority="1742" operator="greaterThan">
      <formula>1</formula>
    </cfRule>
  </conditionalFormatting>
  <conditionalFormatting sqref="R83">
    <cfRule type="cellIs" dxfId="9003" priority="1739" operator="greaterThan">
      <formula>1</formula>
    </cfRule>
    <cfRule type="cellIs" dxfId="9002" priority="1740" operator="lessThan">
      <formula>0.8</formula>
    </cfRule>
  </conditionalFormatting>
  <conditionalFormatting sqref="P83">
    <cfRule type="cellIs" dxfId="9001" priority="1738" operator="greaterThan">
      <formula>0</formula>
    </cfRule>
  </conditionalFormatting>
  <conditionalFormatting sqref="Q83">
    <cfRule type="cellIs" dxfId="9000" priority="1737" operator="lessThan">
      <formula>0</formula>
    </cfRule>
  </conditionalFormatting>
  <conditionalFormatting sqref="R83">
    <cfRule type="cellIs" dxfId="8999" priority="1735" operator="lessThan">
      <formula>0.8</formula>
    </cfRule>
    <cfRule type="cellIs" dxfId="8998" priority="1736" operator="greaterThan">
      <formula>1</formula>
    </cfRule>
  </conditionalFormatting>
  <conditionalFormatting sqref="R83">
    <cfRule type="cellIs" dxfId="8997" priority="1733" operator="greaterThan">
      <formula>1</formula>
    </cfRule>
    <cfRule type="cellIs" dxfId="8996" priority="1734" operator="lessThan">
      <formula>0.8</formula>
    </cfRule>
  </conditionalFormatting>
  <conditionalFormatting sqref="P83">
    <cfRule type="cellIs" dxfId="8995" priority="1732" operator="greaterThan">
      <formula>0</formula>
    </cfRule>
  </conditionalFormatting>
  <conditionalFormatting sqref="Q32:Q39">
    <cfRule type="cellIs" dxfId="8994" priority="1726" operator="lessThan">
      <formula>0</formula>
    </cfRule>
  </conditionalFormatting>
  <conditionalFormatting sqref="P32:P39">
    <cfRule type="cellIs" dxfId="8993" priority="1727" operator="greaterThan">
      <formula>0</formula>
    </cfRule>
  </conditionalFormatting>
  <conditionalFormatting sqref="R32:R39">
    <cfRule type="cellIs" dxfId="8992" priority="1730" operator="lessThan">
      <formula>0.8</formula>
    </cfRule>
    <cfRule type="cellIs" dxfId="8991" priority="1731" operator="greaterThan">
      <formula>1</formula>
    </cfRule>
  </conditionalFormatting>
  <conditionalFormatting sqref="R32:R39">
    <cfRule type="cellIs" dxfId="8990" priority="1728" operator="greaterThan">
      <formula>1</formula>
    </cfRule>
    <cfRule type="cellIs" dxfId="8989" priority="1729" operator="lessThan">
      <formula>0.8</formula>
    </cfRule>
  </conditionalFormatting>
  <conditionalFormatting sqref="Q32:Q39">
    <cfRule type="cellIs" dxfId="8988" priority="1720" operator="lessThan">
      <formula>0</formula>
    </cfRule>
  </conditionalFormatting>
  <conditionalFormatting sqref="R32:R39">
    <cfRule type="cellIs" dxfId="8987" priority="1724" operator="lessThan">
      <formula>0.8</formula>
    </cfRule>
    <cfRule type="cellIs" dxfId="8986" priority="1725" operator="greaterThan">
      <formula>1</formula>
    </cfRule>
  </conditionalFormatting>
  <conditionalFormatting sqref="R32:R39">
    <cfRule type="cellIs" dxfId="8985" priority="1722" operator="greaterThan">
      <formula>1</formula>
    </cfRule>
    <cfRule type="cellIs" dxfId="8984" priority="1723" operator="lessThan">
      <formula>0.8</formula>
    </cfRule>
  </conditionalFormatting>
  <conditionalFormatting sqref="P32:P39">
    <cfRule type="cellIs" dxfId="8983" priority="1721" operator="greaterThan">
      <formula>0</formula>
    </cfRule>
  </conditionalFormatting>
  <conditionalFormatting sqref="Q32:Q39">
    <cfRule type="cellIs" dxfId="8982" priority="1719" operator="lessThan">
      <formula>0</formula>
    </cfRule>
  </conditionalFormatting>
  <conditionalFormatting sqref="R32:R39">
    <cfRule type="cellIs" dxfId="8981" priority="1717" operator="lessThan">
      <formula>0.8</formula>
    </cfRule>
    <cfRule type="cellIs" dxfId="8980" priority="1718" operator="greaterThan">
      <formula>1</formula>
    </cfRule>
  </conditionalFormatting>
  <conditionalFormatting sqref="R32:R39">
    <cfRule type="cellIs" dxfId="8979" priority="1715" operator="greaterThan">
      <formula>1</formula>
    </cfRule>
    <cfRule type="cellIs" dxfId="8978" priority="1716" operator="lessThan">
      <formula>0.8</formula>
    </cfRule>
  </conditionalFormatting>
  <conditionalFormatting sqref="P32:P39">
    <cfRule type="cellIs" dxfId="8977" priority="1714" operator="greaterThan">
      <formula>0</formula>
    </cfRule>
  </conditionalFormatting>
  <conditionalFormatting sqref="Q32:Q39">
    <cfRule type="cellIs" dxfId="8976" priority="1713" operator="lessThan">
      <formula>0</formula>
    </cfRule>
  </conditionalFormatting>
  <conditionalFormatting sqref="R32:R39">
    <cfRule type="cellIs" dxfId="8975" priority="1711" operator="lessThan">
      <formula>0.8</formula>
    </cfRule>
    <cfRule type="cellIs" dxfId="8974" priority="1712" operator="greaterThan">
      <formula>1</formula>
    </cfRule>
  </conditionalFormatting>
  <conditionalFormatting sqref="R32:R39">
    <cfRule type="cellIs" dxfId="8973" priority="1709" operator="greaterThan">
      <formula>1</formula>
    </cfRule>
    <cfRule type="cellIs" dxfId="8972" priority="1710" operator="lessThan">
      <formula>0.8</formula>
    </cfRule>
  </conditionalFormatting>
  <conditionalFormatting sqref="P32:P39">
    <cfRule type="cellIs" dxfId="8971" priority="1708" operator="greaterThan">
      <formula>0</formula>
    </cfRule>
  </conditionalFormatting>
  <conditionalFormatting sqref="Q32:Q39">
    <cfRule type="cellIs" dxfId="8970" priority="1702" operator="lessThan">
      <formula>0</formula>
    </cfRule>
  </conditionalFormatting>
  <conditionalFormatting sqref="R32:R39">
    <cfRule type="cellIs" dxfId="8969" priority="1706" operator="lessThan">
      <formula>0.8</formula>
    </cfRule>
    <cfRule type="cellIs" dxfId="8968" priority="1707" operator="greaterThan">
      <formula>1</formula>
    </cfRule>
  </conditionalFormatting>
  <conditionalFormatting sqref="R32:R39">
    <cfRule type="cellIs" dxfId="8967" priority="1704" operator="greaterThan">
      <formula>1</formula>
    </cfRule>
    <cfRule type="cellIs" dxfId="8966" priority="1705" operator="lessThan">
      <formula>0.8</formula>
    </cfRule>
  </conditionalFormatting>
  <conditionalFormatting sqref="P32:P39">
    <cfRule type="cellIs" dxfId="8965" priority="1703" operator="greaterThan">
      <formula>0</formula>
    </cfRule>
  </conditionalFormatting>
  <conditionalFormatting sqref="Q32:Q39">
    <cfRule type="cellIs" dxfId="8964" priority="1701" operator="lessThan">
      <formula>0</formula>
    </cfRule>
  </conditionalFormatting>
  <conditionalFormatting sqref="R32:R39">
    <cfRule type="cellIs" dxfId="8963" priority="1699" operator="lessThan">
      <formula>0.8</formula>
    </cfRule>
    <cfRule type="cellIs" dxfId="8962" priority="1700" operator="greaterThan">
      <formula>1</formula>
    </cfRule>
  </conditionalFormatting>
  <conditionalFormatting sqref="R32:R39">
    <cfRule type="cellIs" dxfId="8961" priority="1697" operator="greaterThan">
      <formula>1</formula>
    </cfRule>
    <cfRule type="cellIs" dxfId="8960" priority="1698" operator="lessThan">
      <formula>0.8</formula>
    </cfRule>
  </conditionalFormatting>
  <conditionalFormatting sqref="P32:P39">
    <cfRule type="cellIs" dxfId="8959" priority="1696" operator="greaterThan">
      <formula>0</formula>
    </cfRule>
  </conditionalFormatting>
  <conditionalFormatting sqref="Q32:Q39">
    <cfRule type="cellIs" dxfId="8958" priority="1695" operator="lessThan">
      <formula>0</formula>
    </cfRule>
  </conditionalFormatting>
  <conditionalFormatting sqref="R32:R39">
    <cfRule type="cellIs" dxfId="8957" priority="1693" operator="lessThan">
      <formula>0.8</formula>
    </cfRule>
    <cfRule type="cellIs" dxfId="8956" priority="1694" operator="greaterThan">
      <formula>1</formula>
    </cfRule>
  </conditionalFormatting>
  <conditionalFormatting sqref="R32:R39">
    <cfRule type="cellIs" dxfId="8955" priority="1691" operator="greaterThan">
      <formula>1</formula>
    </cfRule>
    <cfRule type="cellIs" dxfId="8954" priority="1692" operator="lessThan">
      <formula>0.8</formula>
    </cfRule>
  </conditionalFormatting>
  <conditionalFormatting sqref="P32:P39">
    <cfRule type="cellIs" dxfId="8953" priority="1690" operator="greaterThan">
      <formula>0</formula>
    </cfRule>
  </conditionalFormatting>
  <conditionalFormatting sqref="Q32:Q39">
    <cfRule type="cellIs" dxfId="8952" priority="1689" operator="lessThan">
      <formula>0</formula>
    </cfRule>
  </conditionalFormatting>
  <conditionalFormatting sqref="R32:R39">
    <cfRule type="cellIs" dxfId="8951" priority="1687" operator="lessThan">
      <formula>0.8</formula>
    </cfRule>
    <cfRule type="cellIs" dxfId="8950" priority="1688" operator="greaterThan">
      <formula>1</formula>
    </cfRule>
  </conditionalFormatting>
  <conditionalFormatting sqref="R32:R39">
    <cfRule type="cellIs" dxfId="8949" priority="1685" operator="greaterThan">
      <formula>1</formula>
    </cfRule>
    <cfRule type="cellIs" dxfId="8948" priority="1686" operator="lessThan">
      <formula>0.8</formula>
    </cfRule>
  </conditionalFormatting>
  <conditionalFormatting sqref="P32:P39">
    <cfRule type="cellIs" dxfId="8947" priority="1684" operator="greaterThan">
      <formula>0</formula>
    </cfRule>
  </conditionalFormatting>
  <conditionalFormatting sqref="Q32:Q39">
    <cfRule type="cellIs" dxfId="8946" priority="1683" operator="lessThan">
      <formula>0</formula>
    </cfRule>
  </conditionalFormatting>
  <conditionalFormatting sqref="R32:R39">
    <cfRule type="cellIs" dxfId="8945" priority="1681" operator="lessThan">
      <formula>0.8</formula>
    </cfRule>
    <cfRule type="cellIs" dxfId="8944" priority="1682" operator="greaterThan">
      <formula>1</formula>
    </cfRule>
  </conditionalFormatting>
  <conditionalFormatting sqref="R32:R39">
    <cfRule type="cellIs" dxfId="8943" priority="1679" operator="greaterThan">
      <formula>1</formula>
    </cfRule>
    <cfRule type="cellIs" dxfId="8942" priority="1680" operator="lessThan">
      <formula>0.8</formula>
    </cfRule>
  </conditionalFormatting>
  <conditionalFormatting sqref="P32:P39">
    <cfRule type="cellIs" dxfId="8941" priority="1678" operator="greaterThan">
      <formula>0</formula>
    </cfRule>
  </conditionalFormatting>
  <conditionalFormatting sqref="Q32:Q39">
    <cfRule type="cellIs" dxfId="8940" priority="1677" operator="lessThan">
      <formula>0</formula>
    </cfRule>
  </conditionalFormatting>
  <conditionalFormatting sqref="R32:R39">
    <cfRule type="cellIs" dxfId="8939" priority="1675" operator="lessThan">
      <formula>0.8</formula>
    </cfRule>
    <cfRule type="cellIs" dxfId="8938" priority="1676" operator="greaterThan">
      <formula>1</formula>
    </cfRule>
  </conditionalFormatting>
  <conditionalFormatting sqref="R32:R39">
    <cfRule type="cellIs" dxfId="8937" priority="1673" operator="greaterThan">
      <formula>1</formula>
    </cfRule>
    <cfRule type="cellIs" dxfId="8936" priority="1674" operator="lessThan">
      <formula>0.8</formula>
    </cfRule>
  </conditionalFormatting>
  <conditionalFormatting sqref="P32:P39">
    <cfRule type="cellIs" dxfId="8935" priority="1672" operator="greaterThan">
      <formula>0</formula>
    </cfRule>
  </conditionalFormatting>
  <conditionalFormatting sqref="P32:P39">
    <cfRule type="cellIs" dxfId="8934" priority="1666" operator="greaterThan">
      <formula>0</formula>
    </cfRule>
  </conditionalFormatting>
  <conditionalFormatting sqref="Q32:Q39">
    <cfRule type="cellIs" dxfId="8933" priority="1671" operator="lessThan">
      <formula>0</formula>
    </cfRule>
  </conditionalFormatting>
  <conditionalFormatting sqref="R32:R39">
    <cfRule type="cellIs" dxfId="8932" priority="1669" operator="lessThan">
      <formula>0.8</formula>
    </cfRule>
    <cfRule type="cellIs" dxfId="8931" priority="1670" operator="greaterThan">
      <formula>1</formula>
    </cfRule>
  </conditionalFormatting>
  <conditionalFormatting sqref="R32:R39">
    <cfRule type="cellIs" dxfId="8930" priority="1667" operator="greaterThan">
      <formula>1</formula>
    </cfRule>
    <cfRule type="cellIs" dxfId="8929" priority="1668" operator="lessThan">
      <formula>0.8</formula>
    </cfRule>
  </conditionalFormatting>
  <conditionalFormatting sqref="P32:P39">
    <cfRule type="cellIs" dxfId="8928" priority="1660" operator="greaterThan">
      <formula>0</formula>
    </cfRule>
  </conditionalFormatting>
  <conditionalFormatting sqref="Q32:Q39">
    <cfRule type="cellIs" dxfId="8927" priority="1665" operator="lessThan">
      <formula>0</formula>
    </cfRule>
  </conditionalFormatting>
  <conditionalFormatting sqref="R32:R39">
    <cfRule type="cellIs" dxfId="8926" priority="1663" operator="lessThan">
      <formula>0.8</formula>
    </cfRule>
    <cfRule type="cellIs" dxfId="8925" priority="1664" operator="greaterThan">
      <formula>1</formula>
    </cfRule>
  </conditionalFormatting>
  <conditionalFormatting sqref="R32:R39">
    <cfRule type="cellIs" dxfId="8924" priority="1661" operator="greaterThan">
      <formula>1</formula>
    </cfRule>
    <cfRule type="cellIs" dxfId="8923" priority="1662" operator="lessThan">
      <formula>0.8</formula>
    </cfRule>
  </conditionalFormatting>
  <conditionalFormatting sqref="R32:R39">
    <cfRule type="cellIs" dxfId="8922" priority="1657" operator="lessThan">
      <formula>0.8</formula>
    </cfRule>
    <cfRule type="cellIs" dxfId="8921" priority="1658" operator="greaterThan">
      <formula>1</formula>
    </cfRule>
  </conditionalFormatting>
  <conditionalFormatting sqref="R32:R39">
    <cfRule type="cellIs" dxfId="8920" priority="1655" operator="greaterThan">
      <formula>1</formula>
    </cfRule>
    <cfRule type="cellIs" dxfId="8919" priority="1656" operator="lessThan">
      <formula>0.8</formula>
    </cfRule>
  </conditionalFormatting>
  <conditionalFormatting sqref="P32:P39">
    <cfRule type="cellIs" dxfId="8918" priority="1654" operator="greaterThan">
      <formula>0</formula>
    </cfRule>
  </conditionalFormatting>
  <conditionalFormatting sqref="Q32:Q39">
    <cfRule type="cellIs" dxfId="8917" priority="1659" operator="lessThan">
      <formula>0</formula>
    </cfRule>
  </conditionalFormatting>
  <conditionalFormatting sqref="Q32:Q39">
    <cfRule type="cellIs" dxfId="8916" priority="1648" operator="lessThan">
      <formula>0</formula>
    </cfRule>
  </conditionalFormatting>
  <conditionalFormatting sqref="P32:P39">
    <cfRule type="cellIs" dxfId="8915" priority="1649" operator="greaterThan">
      <formula>0</formula>
    </cfRule>
  </conditionalFormatting>
  <conditionalFormatting sqref="R32:R39">
    <cfRule type="cellIs" dxfId="8914" priority="1652" operator="lessThan">
      <formula>0.8</formula>
    </cfRule>
    <cfRule type="cellIs" dxfId="8913" priority="1653" operator="greaterThan">
      <formula>1</formula>
    </cfRule>
  </conditionalFormatting>
  <conditionalFormatting sqref="R32:R39">
    <cfRule type="cellIs" dxfId="8912" priority="1650" operator="greaterThan">
      <formula>1</formula>
    </cfRule>
    <cfRule type="cellIs" dxfId="8911" priority="1651" operator="lessThan">
      <formula>0.8</formula>
    </cfRule>
  </conditionalFormatting>
  <conditionalFormatting sqref="Q32:Q39">
    <cfRule type="cellIs" dxfId="8910" priority="1642" operator="lessThan">
      <formula>0</formula>
    </cfRule>
  </conditionalFormatting>
  <conditionalFormatting sqref="R32:R39">
    <cfRule type="cellIs" dxfId="8909" priority="1646" operator="lessThan">
      <formula>0.8</formula>
    </cfRule>
    <cfRule type="cellIs" dxfId="8908" priority="1647" operator="greaterThan">
      <formula>1</formula>
    </cfRule>
  </conditionalFormatting>
  <conditionalFormatting sqref="R32:R39">
    <cfRule type="cellIs" dxfId="8907" priority="1644" operator="greaterThan">
      <formula>1</formula>
    </cfRule>
    <cfRule type="cellIs" dxfId="8906" priority="1645" operator="lessThan">
      <formula>0.8</formula>
    </cfRule>
  </conditionalFormatting>
  <conditionalFormatting sqref="P32:P39">
    <cfRule type="cellIs" dxfId="8905" priority="1643" operator="greaterThan">
      <formula>0</formula>
    </cfRule>
  </conditionalFormatting>
  <conditionalFormatting sqref="Q32:Q39">
    <cfRule type="cellIs" dxfId="8904" priority="1641" operator="lessThan">
      <formula>0</formula>
    </cfRule>
  </conditionalFormatting>
  <conditionalFormatting sqref="R32:R39">
    <cfRule type="cellIs" dxfId="8903" priority="1639" operator="lessThan">
      <formula>0.8</formula>
    </cfRule>
    <cfRule type="cellIs" dxfId="8902" priority="1640" operator="greaterThan">
      <formula>1</formula>
    </cfRule>
  </conditionalFormatting>
  <conditionalFormatting sqref="R32:R39">
    <cfRule type="cellIs" dxfId="8901" priority="1637" operator="greaterThan">
      <formula>1</formula>
    </cfRule>
    <cfRule type="cellIs" dxfId="8900" priority="1638" operator="lessThan">
      <formula>0.8</formula>
    </cfRule>
  </conditionalFormatting>
  <conditionalFormatting sqref="P32:P39">
    <cfRule type="cellIs" dxfId="8899" priority="1636" operator="greaterThan">
      <formula>0</formula>
    </cfRule>
  </conditionalFormatting>
  <conditionalFormatting sqref="Q32:Q39">
    <cfRule type="cellIs" dxfId="8898" priority="1635" operator="lessThan">
      <formula>0</formula>
    </cfRule>
  </conditionalFormatting>
  <conditionalFormatting sqref="R32:R39">
    <cfRule type="cellIs" dxfId="8897" priority="1633" operator="lessThan">
      <formula>0.8</formula>
    </cfRule>
    <cfRule type="cellIs" dxfId="8896" priority="1634" operator="greaterThan">
      <formula>1</formula>
    </cfRule>
  </conditionalFormatting>
  <conditionalFormatting sqref="R32:R39">
    <cfRule type="cellIs" dxfId="8895" priority="1631" operator="greaterThan">
      <formula>1</formula>
    </cfRule>
    <cfRule type="cellIs" dxfId="8894" priority="1632" operator="lessThan">
      <formula>0.8</formula>
    </cfRule>
  </conditionalFormatting>
  <conditionalFormatting sqref="P32:P39">
    <cfRule type="cellIs" dxfId="8893" priority="1630" operator="greaterThan">
      <formula>0</formula>
    </cfRule>
  </conditionalFormatting>
  <conditionalFormatting sqref="Q32:Q39">
    <cfRule type="cellIs" dxfId="8892" priority="1624" operator="lessThan">
      <formula>0</formula>
    </cfRule>
  </conditionalFormatting>
  <conditionalFormatting sqref="P32:P39">
    <cfRule type="cellIs" dxfId="8891" priority="1625" operator="greaterThan">
      <formula>0</formula>
    </cfRule>
  </conditionalFormatting>
  <conditionalFormatting sqref="R32:R39">
    <cfRule type="cellIs" dxfId="8890" priority="1628" operator="lessThan">
      <formula>0.8</formula>
    </cfRule>
    <cfRule type="cellIs" dxfId="8889" priority="1629" operator="greaterThan">
      <formula>1</formula>
    </cfRule>
  </conditionalFormatting>
  <conditionalFormatting sqref="R32:R39">
    <cfRule type="cellIs" dxfId="8888" priority="1626" operator="greaterThan">
      <formula>1</formula>
    </cfRule>
    <cfRule type="cellIs" dxfId="8887" priority="1627" operator="lessThan">
      <formula>0.8</formula>
    </cfRule>
  </conditionalFormatting>
  <conditionalFormatting sqref="Q32:Q39">
    <cfRule type="cellIs" dxfId="8886" priority="1618" operator="lessThan">
      <formula>0</formula>
    </cfRule>
  </conditionalFormatting>
  <conditionalFormatting sqref="R32:R39">
    <cfRule type="cellIs" dxfId="8885" priority="1622" operator="lessThan">
      <formula>0.8</formula>
    </cfRule>
    <cfRule type="cellIs" dxfId="8884" priority="1623" operator="greaterThan">
      <formula>1</formula>
    </cfRule>
  </conditionalFormatting>
  <conditionalFormatting sqref="R32:R39">
    <cfRule type="cellIs" dxfId="8883" priority="1620" operator="greaterThan">
      <formula>1</formula>
    </cfRule>
    <cfRule type="cellIs" dxfId="8882" priority="1621" operator="lessThan">
      <formula>0.8</formula>
    </cfRule>
  </conditionalFormatting>
  <conditionalFormatting sqref="P32:P39">
    <cfRule type="cellIs" dxfId="8881" priority="1619" operator="greaterThan">
      <formula>0</formula>
    </cfRule>
  </conditionalFormatting>
  <conditionalFormatting sqref="Q32:Q39">
    <cfRule type="cellIs" dxfId="8880" priority="1617" operator="lessThan">
      <formula>0</formula>
    </cfRule>
  </conditionalFormatting>
  <conditionalFormatting sqref="R32:R39">
    <cfRule type="cellIs" dxfId="8879" priority="1615" operator="lessThan">
      <formula>0.8</formula>
    </cfRule>
    <cfRule type="cellIs" dxfId="8878" priority="1616" operator="greaterThan">
      <formula>1</formula>
    </cfRule>
  </conditionalFormatting>
  <conditionalFormatting sqref="R32:R39">
    <cfRule type="cellIs" dxfId="8877" priority="1613" operator="greaterThan">
      <formula>1</formula>
    </cfRule>
    <cfRule type="cellIs" dxfId="8876" priority="1614" operator="lessThan">
      <formula>0.8</formula>
    </cfRule>
  </conditionalFormatting>
  <conditionalFormatting sqref="P32:P39">
    <cfRule type="cellIs" dxfId="8875" priority="1612" operator="greaterThan">
      <formula>0</formula>
    </cfRule>
  </conditionalFormatting>
  <conditionalFormatting sqref="Q32:Q39">
    <cfRule type="cellIs" dxfId="8874" priority="1611" operator="lessThan">
      <formula>0</formula>
    </cfRule>
  </conditionalFormatting>
  <conditionalFormatting sqref="R32:R39">
    <cfRule type="cellIs" dxfId="8873" priority="1609" operator="lessThan">
      <formula>0.8</formula>
    </cfRule>
    <cfRule type="cellIs" dxfId="8872" priority="1610" operator="greaterThan">
      <formula>1</formula>
    </cfRule>
  </conditionalFormatting>
  <conditionalFormatting sqref="R32:R39">
    <cfRule type="cellIs" dxfId="8871" priority="1607" operator="greaterThan">
      <formula>1</formula>
    </cfRule>
    <cfRule type="cellIs" dxfId="8870" priority="1608" operator="lessThan">
      <formula>0.8</formula>
    </cfRule>
  </conditionalFormatting>
  <conditionalFormatting sqref="P32:P39">
    <cfRule type="cellIs" dxfId="8869" priority="1606" operator="greaterThan">
      <formula>0</formula>
    </cfRule>
  </conditionalFormatting>
  <conditionalFormatting sqref="Q19:Q24">
    <cfRule type="cellIs" dxfId="8868" priority="1605" operator="lessThan">
      <formula>0</formula>
    </cfRule>
  </conditionalFormatting>
  <conditionalFormatting sqref="R19:R24">
    <cfRule type="cellIs" dxfId="8867" priority="1603" operator="lessThan">
      <formula>0.8</formula>
    </cfRule>
    <cfRule type="cellIs" dxfId="8866" priority="1604" operator="greaterThan">
      <formula>1</formula>
    </cfRule>
  </conditionalFormatting>
  <conditionalFormatting sqref="R19:R24">
    <cfRule type="cellIs" dxfId="8865" priority="1601" operator="greaterThan">
      <formula>1</formula>
    </cfRule>
    <cfRule type="cellIs" dxfId="8864" priority="1602" operator="lessThan">
      <formula>0.8</formula>
    </cfRule>
  </conditionalFormatting>
  <conditionalFormatting sqref="P19:P24">
    <cfRule type="cellIs" dxfId="8863" priority="1600" operator="greaterThan">
      <formula>0</formula>
    </cfRule>
  </conditionalFormatting>
  <conditionalFormatting sqref="R19:R24">
    <cfRule type="cellIs" dxfId="8862" priority="1597" operator="lessThan">
      <formula>0.8</formula>
    </cfRule>
    <cfRule type="cellIs" dxfId="8861" priority="1598" operator="greaterThan">
      <formula>1</formula>
    </cfRule>
  </conditionalFormatting>
  <conditionalFormatting sqref="R19:R24">
    <cfRule type="cellIs" dxfId="8860" priority="1595" operator="greaterThan">
      <formula>1</formula>
    </cfRule>
    <cfRule type="cellIs" dxfId="8859" priority="1596" operator="lessThan">
      <formula>0.8</formula>
    </cfRule>
  </conditionalFormatting>
  <conditionalFormatting sqref="P19:P24">
    <cfRule type="cellIs" dxfId="8858" priority="1594" operator="greaterThan">
      <formula>0</formula>
    </cfRule>
  </conditionalFormatting>
  <conditionalFormatting sqref="Q19:Q24">
    <cfRule type="cellIs" dxfId="8857" priority="1599" operator="lessThan">
      <formula>0</formula>
    </cfRule>
  </conditionalFormatting>
  <conditionalFormatting sqref="R19:R24">
    <cfRule type="cellIs" dxfId="8856" priority="1591" operator="lessThan">
      <formula>0.8</formula>
    </cfRule>
    <cfRule type="cellIs" dxfId="8855" priority="1592" operator="greaterThan">
      <formula>1</formula>
    </cfRule>
  </conditionalFormatting>
  <conditionalFormatting sqref="R19:R24">
    <cfRule type="cellIs" dxfId="8854" priority="1589" operator="greaterThan">
      <formula>1</formula>
    </cfRule>
    <cfRule type="cellIs" dxfId="8853" priority="1590" operator="lessThan">
      <formula>0.8</formula>
    </cfRule>
  </conditionalFormatting>
  <conditionalFormatting sqref="P19:P24">
    <cfRule type="cellIs" dxfId="8852" priority="1588" operator="greaterThan">
      <formula>0</formula>
    </cfRule>
  </conditionalFormatting>
  <conditionalFormatting sqref="Q19:Q24">
    <cfRule type="cellIs" dxfId="8851" priority="1593" operator="lessThan">
      <formula>0</formula>
    </cfRule>
  </conditionalFormatting>
  <conditionalFormatting sqref="Q19:Q24">
    <cfRule type="cellIs" dxfId="8850" priority="1587" operator="lessThan">
      <formula>0</formula>
    </cfRule>
  </conditionalFormatting>
  <conditionalFormatting sqref="R19:R24">
    <cfRule type="cellIs" dxfId="8849" priority="1585" operator="lessThan">
      <formula>0.8</formula>
    </cfRule>
    <cfRule type="cellIs" dxfId="8848" priority="1586" operator="greaterThan">
      <formula>1</formula>
    </cfRule>
  </conditionalFormatting>
  <conditionalFormatting sqref="R19:R24">
    <cfRule type="cellIs" dxfId="8847" priority="1583" operator="greaterThan">
      <formula>1</formula>
    </cfRule>
    <cfRule type="cellIs" dxfId="8846" priority="1584" operator="lessThan">
      <formula>0.8</formula>
    </cfRule>
  </conditionalFormatting>
  <conditionalFormatting sqref="P19:P24">
    <cfRule type="cellIs" dxfId="8845" priority="1582" operator="greaterThan">
      <formula>0</formula>
    </cfRule>
  </conditionalFormatting>
  <conditionalFormatting sqref="Q135:Q136 Q139 Q142">
    <cfRule type="cellIs" dxfId="8844" priority="1581" operator="lessThan">
      <formula>0</formula>
    </cfRule>
  </conditionalFormatting>
  <conditionalFormatting sqref="R135:R136 R139 R142">
    <cfRule type="cellIs" dxfId="8843" priority="1579" operator="lessThan">
      <formula>0.8</formula>
    </cfRule>
    <cfRule type="cellIs" dxfId="8842" priority="1580" operator="greaterThan">
      <formula>1</formula>
    </cfRule>
  </conditionalFormatting>
  <conditionalFormatting sqref="R135:R136 R139 R142">
    <cfRule type="cellIs" dxfId="8841" priority="1577" operator="greaterThan">
      <formula>1</formula>
    </cfRule>
    <cfRule type="cellIs" dxfId="8840" priority="1578" operator="lessThan">
      <formula>0.8</formula>
    </cfRule>
  </conditionalFormatting>
  <conditionalFormatting sqref="P135:P136 P139 P142">
    <cfRule type="cellIs" dxfId="8839" priority="1576" operator="greaterThan">
      <formula>0</formula>
    </cfRule>
  </conditionalFormatting>
  <conditionalFormatting sqref="P135:P136 P139 P142">
    <cfRule type="cellIs" dxfId="8838" priority="1570" operator="greaterThan">
      <formula>0</formula>
    </cfRule>
  </conditionalFormatting>
  <conditionalFormatting sqref="Q135:Q136 Q139 Q142">
    <cfRule type="cellIs" dxfId="8837" priority="1575" operator="lessThan">
      <formula>0</formula>
    </cfRule>
  </conditionalFormatting>
  <conditionalFormatting sqref="R135:R136 R139 R142">
    <cfRule type="cellIs" dxfId="8836" priority="1573" operator="lessThan">
      <formula>0.8</formula>
    </cfRule>
    <cfRule type="cellIs" dxfId="8835" priority="1574" operator="greaterThan">
      <formula>1</formula>
    </cfRule>
  </conditionalFormatting>
  <conditionalFormatting sqref="R135:R136 R139 R142">
    <cfRule type="cellIs" dxfId="8834" priority="1571" operator="greaterThan">
      <formula>1</formula>
    </cfRule>
    <cfRule type="cellIs" dxfId="8833" priority="1572" operator="lessThan">
      <formula>0.8</formula>
    </cfRule>
  </conditionalFormatting>
  <conditionalFormatting sqref="Q25">
    <cfRule type="cellIs" dxfId="8832" priority="1569" operator="lessThan">
      <formula>0</formula>
    </cfRule>
  </conditionalFormatting>
  <conditionalFormatting sqref="R25">
    <cfRule type="cellIs" dxfId="8831" priority="1567" operator="lessThan">
      <formula>0.8</formula>
    </cfRule>
    <cfRule type="cellIs" dxfId="8830" priority="1568" operator="greaterThan">
      <formula>1</formula>
    </cfRule>
  </conditionalFormatting>
  <conditionalFormatting sqref="R25">
    <cfRule type="cellIs" dxfId="8829" priority="1565" operator="greaterThan">
      <formula>1</formula>
    </cfRule>
    <cfRule type="cellIs" dxfId="8828" priority="1566" operator="lessThan">
      <formula>0.8</formula>
    </cfRule>
  </conditionalFormatting>
  <conditionalFormatting sqref="P25">
    <cfRule type="cellIs" dxfId="8827" priority="1564" operator="greaterThan">
      <formula>0</formula>
    </cfRule>
  </conditionalFormatting>
  <conditionalFormatting sqref="R25">
    <cfRule type="cellIs" dxfId="8826" priority="1561" operator="lessThan">
      <formula>0.8</formula>
    </cfRule>
    <cfRule type="cellIs" dxfId="8825" priority="1562" operator="greaterThan">
      <formula>1</formula>
    </cfRule>
  </conditionalFormatting>
  <conditionalFormatting sqref="R25">
    <cfRule type="cellIs" dxfId="8824" priority="1559" operator="greaterThan">
      <formula>1</formula>
    </cfRule>
    <cfRule type="cellIs" dxfId="8823" priority="1560" operator="lessThan">
      <formula>0.8</formula>
    </cfRule>
  </conditionalFormatting>
  <conditionalFormatting sqref="P25">
    <cfRule type="cellIs" dxfId="8822" priority="1558" operator="greaterThan">
      <formula>0</formula>
    </cfRule>
  </conditionalFormatting>
  <conditionalFormatting sqref="Q25">
    <cfRule type="cellIs" dxfId="8821" priority="1563" operator="lessThan">
      <formula>0</formula>
    </cfRule>
  </conditionalFormatting>
  <conditionalFormatting sqref="R25">
    <cfRule type="cellIs" dxfId="8820" priority="1555" operator="lessThan">
      <formula>0.8</formula>
    </cfRule>
    <cfRule type="cellIs" dxfId="8819" priority="1556" operator="greaterThan">
      <formula>1</formula>
    </cfRule>
  </conditionalFormatting>
  <conditionalFormatting sqref="R25">
    <cfRule type="cellIs" dxfId="8818" priority="1553" operator="greaterThan">
      <formula>1</formula>
    </cfRule>
    <cfRule type="cellIs" dxfId="8817" priority="1554" operator="lessThan">
      <formula>0.8</formula>
    </cfRule>
  </conditionalFormatting>
  <conditionalFormatting sqref="P25">
    <cfRule type="cellIs" dxfId="8816" priority="1552" operator="greaterThan">
      <formula>0</formula>
    </cfRule>
  </conditionalFormatting>
  <conditionalFormatting sqref="Q25">
    <cfRule type="cellIs" dxfId="8815" priority="1557" operator="lessThan">
      <formula>0</formula>
    </cfRule>
  </conditionalFormatting>
  <conditionalFormatting sqref="Q25">
    <cfRule type="cellIs" dxfId="8814" priority="1551" operator="lessThan">
      <formula>0</formula>
    </cfRule>
  </conditionalFormatting>
  <conditionalFormatting sqref="R25">
    <cfRule type="cellIs" dxfId="8813" priority="1549" operator="lessThan">
      <formula>0.8</formula>
    </cfRule>
    <cfRule type="cellIs" dxfId="8812" priority="1550" operator="greaterThan">
      <formula>1</formula>
    </cfRule>
  </conditionalFormatting>
  <conditionalFormatting sqref="R25">
    <cfRule type="cellIs" dxfId="8811" priority="1547" operator="greaterThan">
      <formula>1</formula>
    </cfRule>
    <cfRule type="cellIs" dxfId="8810" priority="1548" operator="lessThan">
      <formula>0.8</formula>
    </cfRule>
  </conditionalFormatting>
  <conditionalFormatting sqref="P25">
    <cfRule type="cellIs" dxfId="8809" priority="1546" operator="greaterThan">
      <formula>0</formula>
    </cfRule>
  </conditionalFormatting>
  <conditionalFormatting sqref="Q25">
    <cfRule type="cellIs" dxfId="8808" priority="1545" operator="lessThan">
      <formula>0</formula>
    </cfRule>
  </conditionalFormatting>
  <conditionalFormatting sqref="R25">
    <cfRule type="cellIs" dxfId="8807" priority="1543" operator="lessThan">
      <formula>0.8</formula>
    </cfRule>
    <cfRule type="cellIs" dxfId="8806" priority="1544" operator="greaterThan">
      <formula>1</formula>
    </cfRule>
  </conditionalFormatting>
  <conditionalFormatting sqref="R25">
    <cfRule type="cellIs" dxfId="8805" priority="1541" operator="greaterThan">
      <formula>1</formula>
    </cfRule>
    <cfRule type="cellIs" dxfId="8804" priority="1542" operator="lessThan">
      <formula>0.8</formula>
    </cfRule>
  </conditionalFormatting>
  <conditionalFormatting sqref="P25">
    <cfRule type="cellIs" dxfId="8803" priority="1540" operator="greaterThan">
      <formula>0</formula>
    </cfRule>
  </conditionalFormatting>
  <conditionalFormatting sqref="P19:P24">
    <cfRule type="cellIs" dxfId="8802" priority="1534" operator="greaterThan">
      <formula>0</formula>
    </cfRule>
  </conditionalFormatting>
  <conditionalFormatting sqref="Q19:Q24">
    <cfRule type="cellIs" dxfId="8801" priority="1539" operator="lessThan">
      <formula>0</formula>
    </cfRule>
  </conditionalFormatting>
  <conditionalFormatting sqref="R19:R24">
    <cfRule type="cellIs" dxfId="8800" priority="1537" operator="lessThan">
      <formula>0.8</formula>
    </cfRule>
    <cfRule type="cellIs" dxfId="8799" priority="1538" operator="greaterThan">
      <formula>1</formula>
    </cfRule>
  </conditionalFormatting>
  <conditionalFormatting sqref="R19:R24">
    <cfRule type="cellIs" dxfId="8798" priority="1535" operator="greaterThan">
      <formula>1</formula>
    </cfRule>
    <cfRule type="cellIs" dxfId="8797" priority="1536" operator="lessThan">
      <formula>0.8</formula>
    </cfRule>
  </conditionalFormatting>
  <conditionalFormatting sqref="Q19:Q24">
    <cfRule type="cellIs" dxfId="8796" priority="1533" operator="lessThan">
      <formula>0</formula>
    </cfRule>
  </conditionalFormatting>
  <conditionalFormatting sqref="R19:R24">
    <cfRule type="cellIs" dxfId="8795" priority="1531" operator="lessThan">
      <formula>0.8</formula>
    </cfRule>
    <cfRule type="cellIs" dxfId="8794" priority="1532" operator="greaterThan">
      <formula>1</formula>
    </cfRule>
  </conditionalFormatting>
  <conditionalFormatting sqref="R19:R24">
    <cfRule type="cellIs" dxfId="8793" priority="1529" operator="greaterThan">
      <formula>1</formula>
    </cfRule>
    <cfRule type="cellIs" dxfId="8792" priority="1530" operator="lessThan">
      <formula>0.8</formula>
    </cfRule>
  </conditionalFormatting>
  <conditionalFormatting sqref="P19:P24">
    <cfRule type="cellIs" dxfId="8791" priority="1528" operator="greaterThan">
      <formula>0</formula>
    </cfRule>
  </conditionalFormatting>
  <conditionalFormatting sqref="Q19:Q24">
    <cfRule type="cellIs" dxfId="8790" priority="1527" operator="lessThan">
      <formula>0</formula>
    </cfRule>
  </conditionalFormatting>
  <conditionalFormatting sqref="R19:R24">
    <cfRule type="cellIs" dxfId="8789" priority="1525" operator="lessThan">
      <formula>0.8</formula>
    </cfRule>
    <cfRule type="cellIs" dxfId="8788" priority="1526" operator="greaterThan">
      <formula>1</formula>
    </cfRule>
  </conditionalFormatting>
  <conditionalFormatting sqref="R19:R24">
    <cfRule type="cellIs" dxfId="8787" priority="1523" operator="greaterThan">
      <formula>1</formula>
    </cfRule>
    <cfRule type="cellIs" dxfId="8786" priority="1524" operator="lessThan">
      <formula>0.8</formula>
    </cfRule>
  </conditionalFormatting>
  <conditionalFormatting sqref="P19:P24">
    <cfRule type="cellIs" dxfId="8785" priority="1522" operator="greaterThan">
      <formula>0</formula>
    </cfRule>
  </conditionalFormatting>
  <conditionalFormatting sqref="Q19:Q24">
    <cfRule type="cellIs" dxfId="8784" priority="1521" operator="lessThan">
      <formula>0</formula>
    </cfRule>
  </conditionalFormatting>
  <conditionalFormatting sqref="R19:R24">
    <cfRule type="cellIs" dxfId="8783" priority="1519" operator="lessThan">
      <formula>0.8</formula>
    </cfRule>
    <cfRule type="cellIs" dxfId="8782" priority="1520" operator="greaterThan">
      <formula>1</formula>
    </cfRule>
  </conditionalFormatting>
  <conditionalFormatting sqref="R19:R24">
    <cfRule type="cellIs" dxfId="8781" priority="1517" operator="greaterThan">
      <formula>1</formula>
    </cfRule>
    <cfRule type="cellIs" dxfId="8780" priority="1518" operator="lessThan">
      <formula>0.8</formula>
    </cfRule>
  </conditionalFormatting>
  <conditionalFormatting sqref="P19:P24">
    <cfRule type="cellIs" dxfId="8779" priority="1516" operator="greaterThan">
      <formula>0</formula>
    </cfRule>
  </conditionalFormatting>
  <conditionalFormatting sqref="R19:R24">
    <cfRule type="cellIs" dxfId="8778" priority="1513" operator="lessThan">
      <formula>0.8</formula>
    </cfRule>
    <cfRule type="cellIs" dxfId="8777" priority="1514" operator="greaterThan">
      <formula>1</formula>
    </cfRule>
  </conditionalFormatting>
  <conditionalFormatting sqref="R19:R24">
    <cfRule type="cellIs" dxfId="8776" priority="1511" operator="greaterThan">
      <formula>1</formula>
    </cfRule>
    <cfRule type="cellIs" dxfId="8775" priority="1512" operator="lessThan">
      <formula>0.8</formula>
    </cfRule>
  </conditionalFormatting>
  <conditionalFormatting sqref="P19:P24">
    <cfRule type="cellIs" dxfId="8774" priority="1510" operator="greaterThan">
      <formula>0</formula>
    </cfRule>
  </conditionalFormatting>
  <conditionalFormatting sqref="Q19:Q24">
    <cfRule type="cellIs" dxfId="8773" priority="1515" operator="lessThan">
      <formula>0</formula>
    </cfRule>
  </conditionalFormatting>
  <conditionalFormatting sqref="Q19:Q24">
    <cfRule type="cellIs" dxfId="8772" priority="1509" operator="lessThan">
      <formula>0</formula>
    </cfRule>
  </conditionalFormatting>
  <conditionalFormatting sqref="R19:R24">
    <cfRule type="cellIs" dxfId="8771" priority="1507" operator="lessThan">
      <formula>0.8</formula>
    </cfRule>
    <cfRule type="cellIs" dxfId="8770" priority="1508" operator="greaterThan">
      <formula>1</formula>
    </cfRule>
  </conditionalFormatting>
  <conditionalFormatting sqref="R19:R24">
    <cfRule type="cellIs" dxfId="8769" priority="1505" operator="greaterThan">
      <formula>1</formula>
    </cfRule>
    <cfRule type="cellIs" dxfId="8768" priority="1506" operator="lessThan">
      <formula>0.8</formula>
    </cfRule>
  </conditionalFormatting>
  <conditionalFormatting sqref="P19:P24">
    <cfRule type="cellIs" dxfId="8767" priority="1504" operator="greaterThan">
      <formula>0</formula>
    </cfRule>
  </conditionalFormatting>
  <conditionalFormatting sqref="P19:P24">
    <cfRule type="cellIs" dxfId="8766" priority="1498" operator="greaterThan">
      <formula>0</formula>
    </cfRule>
  </conditionalFormatting>
  <conditionalFormatting sqref="Q19:Q24">
    <cfRule type="cellIs" dxfId="8765" priority="1503" operator="lessThan">
      <formula>0</formula>
    </cfRule>
  </conditionalFormatting>
  <conditionalFormatting sqref="R19:R24">
    <cfRule type="cellIs" dxfId="8764" priority="1501" operator="lessThan">
      <formula>0.8</formula>
    </cfRule>
    <cfRule type="cellIs" dxfId="8763" priority="1502" operator="greaterThan">
      <formula>1</formula>
    </cfRule>
  </conditionalFormatting>
  <conditionalFormatting sqref="R19:R24">
    <cfRule type="cellIs" dxfId="8762" priority="1499" operator="greaterThan">
      <formula>1</formula>
    </cfRule>
    <cfRule type="cellIs" dxfId="8761" priority="1500" operator="lessThan">
      <formula>0.8</formula>
    </cfRule>
  </conditionalFormatting>
  <conditionalFormatting sqref="P19:P24">
    <cfRule type="cellIs" dxfId="8760" priority="1492" operator="greaterThan">
      <formula>0</formula>
    </cfRule>
  </conditionalFormatting>
  <conditionalFormatting sqref="Q19:Q24">
    <cfRule type="cellIs" dxfId="8759" priority="1497" operator="lessThan">
      <formula>0</formula>
    </cfRule>
  </conditionalFormatting>
  <conditionalFormatting sqref="R19:R24">
    <cfRule type="cellIs" dxfId="8758" priority="1495" operator="lessThan">
      <formula>0.8</formula>
    </cfRule>
    <cfRule type="cellIs" dxfId="8757" priority="1496" operator="greaterThan">
      <formula>1</formula>
    </cfRule>
  </conditionalFormatting>
  <conditionalFormatting sqref="R19:R24">
    <cfRule type="cellIs" dxfId="8756" priority="1493" operator="greaterThan">
      <formula>1</formula>
    </cfRule>
    <cfRule type="cellIs" dxfId="8755" priority="1494" operator="lessThan">
      <formula>0.8</formula>
    </cfRule>
  </conditionalFormatting>
  <conditionalFormatting sqref="Q19:Q24">
    <cfRule type="cellIs" dxfId="8754" priority="1491" operator="lessThan">
      <formula>0</formula>
    </cfRule>
  </conditionalFormatting>
  <conditionalFormatting sqref="R19:R24">
    <cfRule type="cellIs" dxfId="8753" priority="1489" operator="lessThan">
      <formula>0.8</formula>
    </cfRule>
    <cfRule type="cellIs" dxfId="8752" priority="1490" operator="greaterThan">
      <formula>1</formula>
    </cfRule>
  </conditionalFormatting>
  <conditionalFormatting sqref="R19:R24">
    <cfRule type="cellIs" dxfId="8751" priority="1487" operator="greaterThan">
      <formula>1</formula>
    </cfRule>
    <cfRule type="cellIs" dxfId="8750" priority="1488" operator="lessThan">
      <formula>0.8</formula>
    </cfRule>
  </conditionalFormatting>
  <conditionalFormatting sqref="P19:P24">
    <cfRule type="cellIs" dxfId="8749" priority="1486" operator="greaterThan">
      <formula>0</formula>
    </cfRule>
  </conditionalFormatting>
  <conditionalFormatting sqref="Q19:Q24">
    <cfRule type="cellIs" dxfId="8748" priority="1485" operator="lessThan">
      <formula>0</formula>
    </cfRule>
  </conditionalFormatting>
  <conditionalFormatting sqref="R19:R24">
    <cfRule type="cellIs" dxfId="8747" priority="1483" operator="lessThan">
      <formula>0.8</formula>
    </cfRule>
    <cfRule type="cellIs" dxfId="8746" priority="1484" operator="greaterThan">
      <formula>1</formula>
    </cfRule>
  </conditionalFormatting>
  <conditionalFormatting sqref="R19:R24">
    <cfRule type="cellIs" dxfId="8745" priority="1481" operator="greaterThan">
      <formula>1</formula>
    </cfRule>
    <cfRule type="cellIs" dxfId="8744" priority="1482" operator="lessThan">
      <formula>0.8</formula>
    </cfRule>
  </conditionalFormatting>
  <conditionalFormatting sqref="P19:P24">
    <cfRule type="cellIs" dxfId="8743" priority="1480" operator="greaterThan">
      <formula>0</formula>
    </cfRule>
  </conditionalFormatting>
  <conditionalFormatting sqref="P19:P24">
    <cfRule type="cellIs" dxfId="8742" priority="1474" operator="greaterThan">
      <formula>0</formula>
    </cfRule>
  </conditionalFormatting>
  <conditionalFormatting sqref="Q19:Q24">
    <cfRule type="cellIs" dxfId="8741" priority="1479" operator="lessThan">
      <formula>0</formula>
    </cfRule>
  </conditionalFormatting>
  <conditionalFormatting sqref="R19:R24">
    <cfRule type="cellIs" dxfId="8740" priority="1477" operator="lessThan">
      <formula>0.8</formula>
    </cfRule>
    <cfRule type="cellIs" dxfId="8739" priority="1478" operator="greaterThan">
      <formula>1</formula>
    </cfRule>
  </conditionalFormatting>
  <conditionalFormatting sqref="R19:R24">
    <cfRule type="cellIs" dxfId="8738" priority="1475" operator="greaterThan">
      <formula>1</formula>
    </cfRule>
    <cfRule type="cellIs" dxfId="8737" priority="1476" operator="lessThan">
      <formula>0.8</formula>
    </cfRule>
  </conditionalFormatting>
  <conditionalFormatting sqref="Q19:Q24">
    <cfRule type="cellIs" dxfId="8736" priority="1473" operator="lessThan">
      <formula>0</formula>
    </cfRule>
  </conditionalFormatting>
  <conditionalFormatting sqref="R19:R24">
    <cfRule type="cellIs" dxfId="8735" priority="1471" operator="lessThan">
      <formula>0.8</formula>
    </cfRule>
    <cfRule type="cellIs" dxfId="8734" priority="1472" operator="greaterThan">
      <formula>1</formula>
    </cfRule>
  </conditionalFormatting>
  <conditionalFormatting sqref="R19:R24">
    <cfRule type="cellIs" dxfId="8733" priority="1469" operator="greaterThan">
      <formula>1</formula>
    </cfRule>
    <cfRule type="cellIs" dxfId="8732" priority="1470" operator="lessThan">
      <formula>0.8</formula>
    </cfRule>
  </conditionalFormatting>
  <conditionalFormatting sqref="P19:P24">
    <cfRule type="cellIs" dxfId="8731" priority="1468" operator="greaterThan">
      <formula>0</formula>
    </cfRule>
  </conditionalFormatting>
  <conditionalFormatting sqref="Q19:Q24">
    <cfRule type="cellIs" dxfId="8730" priority="1467" operator="lessThan">
      <formula>0</formula>
    </cfRule>
  </conditionalFormatting>
  <conditionalFormatting sqref="R19:R24">
    <cfRule type="cellIs" dxfId="8729" priority="1465" operator="lessThan">
      <formula>0.8</formula>
    </cfRule>
    <cfRule type="cellIs" dxfId="8728" priority="1466" operator="greaterThan">
      <formula>1</formula>
    </cfRule>
  </conditionalFormatting>
  <conditionalFormatting sqref="R19:R24">
    <cfRule type="cellIs" dxfId="8727" priority="1463" operator="greaterThan">
      <formula>1</formula>
    </cfRule>
    <cfRule type="cellIs" dxfId="8726" priority="1464" operator="lessThan">
      <formula>0.8</formula>
    </cfRule>
  </conditionalFormatting>
  <conditionalFormatting sqref="P19:P24">
    <cfRule type="cellIs" dxfId="8725" priority="1462" operator="greaterThan">
      <formula>0</formula>
    </cfRule>
  </conditionalFormatting>
  <conditionalFormatting sqref="Q19:Q24">
    <cfRule type="cellIs" dxfId="8724" priority="1461" operator="lessThan">
      <formula>0</formula>
    </cfRule>
  </conditionalFormatting>
  <conditionalFormatting sqref="R19:R24">
    <cfRule type="cellIs" dxfId="8723" priority="1459" operator="lessThan">
      <formula>0.8</formula>
    </cfRule>
    <cfRule type="cellIs" dxfId="8722" priority="1460" operator="greaterThan">
      <formula>1</formula>
    </cfRule>
  </conditionalFormatting>
  <conditionalFormatting sqref="R19:R24">
    <cfRule type="cellIs" dxfId="8721" priority="1457" operator="greaterThan">
      <formula>1</formula>
    </cfRule>
    <cfRule type="cellIs" dxfId="8720" priority="1458" operator="lessThan">
      <formula>0.8</formula>
    </cfRule>
  </conditionalFormatting>
  <conditionalFormatting sqref="P19:P24">
    <cfRule type="cellIs" dxfId="8719" priority="1456" operator="greaterThan">
      <formula>0</formula>
    </cfRule>
  </conditionalFormatting>
  <conditionalFormatting sqref="R19:R24">
    <cfRule type="cellIs" dxfId="8718" priority="1453" operator="lessThan">
      <formula>0.8</formula>
    </cfRule>
    <cfRule type="cellIs" dxfId="8717" priority="1454" operator="greaterThan">
      <formula>1</formula>
    </cfRule>
  </conditionalFormatting>
  <conditionalFormatting sqref="R19:R24">
    <cfRule type="cellIs" dxfId="8716" priority="1451" operator="greaterThan">
      <formula>1</formula>
    </cfRule>
    <cfRule type="cellIs" dxfId="8715" priority="1452" operator="lessThan">
      <formula>0.8</formula>
    </cfRule>
  </conditionalFormatting>
  <conditionalFormatting sqref="P19:P24">
    <cfRule type="cellIs" dxfId="8714" priority="1450" operator="greaterThan">
      <formula>0</formula>
    </cfRule>
  </conditionalFormatting>
  <conditionalFormatting sqref="Q19:Q24">
    <cfRule type="cellIs" dxfId="8713" priority="1455" operator="lessThan">
      <formula>0</formula>
    </cfRule>
  </conditionalFormatting>
  <conditionalFormatting sqref="Q40">
    <cfRule type="cellIs" dxfId="8712" priority="1449" operator="lessThan">
      <formula>0</formula>
    </cfRule>
  </conditionalFormatting>
  <conditionalFormatting sqref="R40">
    <cfRule type="cellIs" dxfId="8711" priority="1447" operator="lessThan">
      <formula>0.8</formula>
    </cfRule>
    <cfRule type="cellIs" dxfId="8710" priority="1448" operator="greaterThan">
      <formula>1</formula>
    </cfRule>
  </conditionalFormatting>
  <conditionalFormatting sqref="R40">
    <cfRule type="cellIs" dxfId="8709" priority="1445" operator="greaterThan">
      <formula>1</formula>
    </cfRule>
    <cfRule type="cellIs" dxfId="8708" priority="1446" operator="lessThan">
      <formula>0.8</formula>
    </cfRule>
  </conditionalFormatting>
  <conditionalFormatting sqref="P40">
    <cfRule type="cellIs" dxfId="8707" priority="1444" operator="greaterThan">
      <formula>0</formula>
    </cfRule>
  </conditionalFormatting>
  <conditionalFormatting sqref="P40">
    <cfRule type="cellIs" dxfId="8706" priority="1438" operator="greaterThan">
      <formula>0</formula>
    </cfRule>
  </conditionalFormatting>
  <conditionalFormatting sqref="Q40">
    <cfRule type="cellIs" dxfId="8705" priority="1443" operator="lessThan">
      <formula>0</formula>
    </cfRule>
  </conditionalFormatting>
  <conditionalFormatting sqref="R40">
    <cfRule type="cellIs" dxfId="8704" priority="1441" operator="lessThan">
      <formula>0.8</formula>
    </cfRule>
    <cfRule type="cellIs" dxfId="8703" priority="1442" operator="greaterThan">
      <formula>1</formula>
    </cfRule>
  </conditionalFormatting>
  <conditionalFormatting sqref="R40">
    <cfRule type="cellIs" dxfId="8702" priority="1439" operator="greaterThan">
      <formula>1</formula>
    </cfRule>
    <cfRule type="cellIs" dxfId="8701" priority="1440" operator="lessThan">
      <formula>0.8</formula>
    </cfRule>
  </conditionalFormatting>
  <conditionalFormatting sqref="P40">
    <cfRule type="cellIs" dxfId="8700" priority="1432" operator="greaterThan">
      <formula>0</formula>
    </cfRule>
  </conditionalFormatting>
  <conditionalFormatting sqref="Q40">
    <cfRule type="cellIs" dxfId="8699" priority="1437" operator="lessThan">
      <formula>0</formula>
    </cfRule>
  </conditionalFormatting>
  <conditionalFormatting sqref="R40">
    <cfRule type="cellIs" dxfId="8698" priority="1435" operator="lessThan">
      <formula>0.8</formula>
    </cfRule>
    <cfRule type="cellIs" dxfId="8697" priority="1436" operator="greaterThan">
      <formula>1</formula>
    </cfRule>
  </conditionalFormatting>
  <conditionalFormatting sqref="R40">
    <cfRule type="cellIs" dxfId="8696" priority="1433" operator="greaterThan">
      <formula>1</formula>
    </cfRule>
    <cfRule type="cellIs" dxfId="8695" priority="1434" operator="lessThan">
      <formula>0.8</formula>
    </cfRule>
  </conditionalFormatting>
  <conditionalFormatting sqref="Q40">
    <cfRule type="cellIs" dxfId="8694" priority="1431" operator="lessThan">
      <formula>0</formula>
    </cfRule>
  </conditionalFormatting>
  <conditionalFormatting sqref="R40">
    <cfRule type="cellIs" dxfId="8693" priority="1429" operator="lessThan">
      <formula>0.8</formula>
    </cfRule>
    <cfRule type="cellIs" dxfId="8692" priority="1430" operator="greaterThan">
      <formula>1</formula>
    </cfRule>
  </conditionalFormatting>
  <conditionalFormatting sqref="R40">
    <cfRule type="cellIs" dxfId="8691" priority="1427" operator="greaterThan">
      <formula>1</formula>
    </cfRule>
    <cfRule type="cellIs" dxfId="8690" priority="1428" operator="lessThan">
      <formula>0.8</formula>
    </cfRule>
  </conditionalFormatting>
  <conditionalFormatting sqref="P40">
    <cfRule type="cellIs" dxfId="8689" priority="1426" operator="greaterThan">
      <formula>0</formula>
    </cfRule>
  </conditionalFormatting>
  <conditionalFormatting sqref="P40">
    <cfRule type="cellIs" dxfId="8688" priority="1420" operator="greaterThan">
      <formula>0</formula>
    </cfRule>
  </conditionalFormatting>
  <conditionalFormatting sqref="Q40">
    <cfRule type="cellIs" dxfId="8687" priority="1425" operator="lessThan">
      <formula>0</formula>
    </cfRule>
  </conditionalFormatting>
  <conditionalFormatting sqref="R40">
    <cfRule type="cellIs" dxfId="8686" priority="1423" operator="lessThan">
      <formula>0.8</formula>
    </cfRule>
    <cfRule type="cellIs" dxfId="8685" priority="1424" operator="greaterThan">
      <formula>1</formula>
    </cfRule>
  </conditionalFormatting>
  <conditionalFormatting sqref="R40">
    <cfRule type="cellIs" dxfId="8684" priority="1421" operator="greaterThan">
      <formula>1</formula>
    </cfRule>
    <cfRule type="cellIs" dxfId="8683" priority="1422" operator="lessThan">
      <formula>0.8</formula>
    </cfRule>
  </conditionalFormatting>
  <conditionalFormatting sqref="P40">
    <cfRule type="cellIs" dxfId="8682" priority="1414" operator="greaterThan">
      <formula>0</formula>
    </cfRule>
  </conditionalFormatting>
  <conditionalFormatting sqref="Q40">
    <cfRule type="cellIs" dxfId="8681" priority="1419" operator="lessThan">
      <formula>0</formula>
    </cfRule>
  </conditionalFormatting>
  <conditionalFormatting sqref="R40">
    <cfRule type="cellIs" dxfId="8680" priority="1417" operator="lessThan">
      <formula>0.8</formula>
    </cfRule>
    <cfRule type="cellIs" dxfId="8679" priority="1418" operator="greaterThan">
      <formula>1</formula>
    </cfRule>
  </conditionalFormatting>
  <conditionalFormatting sqref="R40">
    <cfRule type="cellIs" dxfId="8678" priority="1415" operator="greaterThan">
      <formula>1</formula>
    </cfRule>
    <cfRule type="cellIs" dxfId="8677" priority="1416" operator="lessThan">
      <formula>0.8</formula>
    </cfRule>
  </conditionalFormatting>
  <conditionalFormatting sqref="P40">
    <cfRule type="cellIs" dxfId="8676" priority="1408" operator="greaterThan">
      <formula>0</formula>
    </cfRule>
  </conditionalFormatting>
  <conditionalFormatting sqref="Q40">
    <cfRule type="cellIs" dxfId="8675" priority="1413" operator="lessThan">
      <formula>0</formula>
    </cfRule>
  </conditionalFormatting>
  <conditionalFormatting sqref="R40">
    <cfRule type="cellIs" dxfId="8674" priority="1411" operator="lessThan">
      <formula>0.8</formula>
    </cfRule>
    <cfRule type="cellIs" dxfId="8673" priority="1412" operator="greaterThan">
      <formula>1</formula>
    </cfRule>
  </conditionalFormatting>
  <conditionalFormatting sqref="R40">
    <cfRule type="cellIs" dxfId="8672" priority="1409" operator="greaterThan">
      <formula>1</formula>
    </cfRule>
    <cfRule type="cellIs" dxfId="8671" priority="1410" operator="lessThan">
      <formula>0.8</formula>
    </cfRule>
  </conditionalFormatting>
  <conditionalFormatting sqref="Q40">
    <cfRule type="cellIs" dxfId="8670" priority="1402" operator="lessThan">
      <formula>0</formula>
    </cfRule>
  </conditionalFormatting>
  <conditionalFormatting sqref="P40">
    <cfRule type="cellIs" dxfId="8669" priority="1403" operator="greaterThan">
      <formula>0</formula>
    </cfRule>
  </conditionalFormatting>
  <conditionalFormatting sqref="R40">
    <cfRule type="cellIs" dxfId="8668" priority="1406" operator="lessThan">
      <formula>0.8</formula>
    </cfRule>
    <cfRule type="cellIs" dxfId="8667" priority="1407" operator="greaterThan">
      <formula>1</formula>
    </cfRule>
  </conditionalFormatting>
  <conditionalFormatting sqref="R40">
    <cfRule type="cellIs" dxfId="8666" priority="1404" operator="greaterThan">
      <formula>1</formula>
    </cfRule>
    <cfRule type="cellIs" dxfId="8665" priority="1405" operator="lessThan">
      <formula>0.8</formula>
    </cfRule>
  </conditionalFormatting>
  <conditionalFormatting sqref="Q40">
    <cfRule type="cellIs" dxfId="8664" priority="1396" operator="lessThan">
      <formula>0</formula>
    </cfRule>
  </conditionalFormatting>
  <conditionalFormatting sqref="R40">
    <cfRule type="cellIs" dxfId="8663" priority="1400" operator="lessThan">
      <formula>0.8</formula>
    </cfRule>
    <cfRule type="cellIs" dxfId="8662" priority="1401" operator="greaterThan">
      <formula>1</formula>
    </cfRule>
  </conditionalFormatting>
  <conditionalFormatting sqref="R40">
    <cfRule type="cellIs" dxfId="8661" priority="1398" operator="greaterThan">
      <formula>1</formula>
    </cfRule>
    <cfRule type="cellIs" dxfId="8660" priority="1399" operator="lessThan">
      <formula>0.8</formula>
    </cfRule>
  </conditionalFormatting>
  <conditionalFormatting sqref="P40">
    <cfRule type="cellIs" dxfId="8659" priority="1397" operator="greaterThan">
      <formula>0</formula>
    </cfRule>
  </conditionalFormatting>
  <conditionalFormatting sqref="Q40">
    <cfRule type="cellIs" dxfId="8658" priority="1395" operator="lessThan">
      <formula>0</formula>
    </cfRule>
  </conditionalFormatting>
  <conditionalFormatting sqref="R40">
    <cfRule type="cellIs" dxfId="8657" priority="1393" operator="lessThan">
      <formula>0.8</formula>
    </cfRule>
    <cfRule type="cellIs" dxfId="8656" priority="1394" operator="greaterThan">
      <formula>1</formula>
    </cfRule>
  </conditionalFormatting>
  <conditionalFormatting sqref="R40">
    <cfRule type="cellIs" dxfId="8655" priority="1391" operator="greaterThan">
      <formula>1</formula>
    </cfRule>
    <cfRule type="cellIs" dxfId="8654" priority="1392" operator="lessThan">
      <formula>0.8</formula>
    </cfRule>
  </conditionalFormatting>
  <conditionalFormatting sqref="P40">
    <cfRule type="cellIs" dxfId="8653" priority="1390" operator="greaterThan">
      <formula>0</formula>
    </cfRule>
  </conditionalFormatting>
  <conditionalFormatting sqref="Q40">
    <cfRule type="cellIs" dxfId="8652" priority="1389" operator="lessThan">
      <formula>0</formula>
    </cfRule>
  </conditionalFormatting>
  <conditionalFormatting sqref="R40">
    <cfRule type="cellIs" dxfId="8651" priority="1387" operator="lessThan">
      <formula>0.8</formula>
    </cfRule>
    <cfRule type="cellIs" dxfId="8650" priority="1388" operator="greaterThan">
      <formula>1</formula>
    </cfRule>
  </conditionalFormatting>
  <conditionalFormatting sqref="R40">
    <cfRule type="cellIs" dxfId="8649" priority="1385" operator="greaterThan">
      <formula>1</formula>
    </cfRule>
    <cfRule type="cellIs" dxfId="8648" priority="1386" operator="lessThan">
      <formula>0.8</formula>
    </cfRule>
  </conditionalFormatting>
  <conditionalFormatting sqref="P40">
    <cfRule type="cellIs" dxfId="8647" priority="1384" operator="greaterThan">
      <formula>0</formula>
    </cfRule>
  </conditionalFormatting>
  <conditionalFormatting sqref="Q32:Q39">
    <cfRule type="cellIs" dxfId="8646" priority="1383" operator="lessThan">
      <formula>0</formula>
    </cfRule>
  </conditionalFormatting>
  <conditionalFormatting sqref="R32:R39">
    <cfRule type="cellIs" dxfId="8645" priority="1381" operator="lessThan">
      <formula>0.8</formula>
    </cfRule>
    <cfRule type="cellIs" dxfId="8644" priority="1382" operator="greaterThan">
      <formula>1</formula>
    </cfRule>
  </conditionalFormatting>
  <conditionalFormatting sqref="R32:R39">
    <cfRule type="cellIs" dxfId="8643" priority="1379" operator="greaterThan">
      <formula>1</formula>
    </cfRule>
    <cfRule type="cellIs" dxfId="8642" priority="1380" operator="lessThan">
      <formula>0.8</formula>
    </cfRule>
  </conditionalFormatting>
  <conditionalFormatting sqref="P32:P39">
    <cfRule type="cellIs" dxfId="8641" priority="1378" operator="greaterThan">
      <formula>0</formula>
    </cfRule>
  </conditionalFormatting>
  <conditionalFormatting sqref="Q32:Q39">
    <cfRule type="cellIs" dxfId="8640" priority="1377" operator="lessThan">
      <formula>0</formula>
    </cfRule>
  </conditionalFormatting>
  <conditionalFormatting sqref="R32:R39">
    <cfRule type="cellIs" dxfId="8639" priority="1375" operator="lessThan">
      <formula>0.8</formula>
    </cfRule>
    <cfRule type="cellIs" dxfId="8638" priority="1376" operator="greaterThan">
      <formula>1</formula>
    </cfRule>
  </conditionalFormatting>
  <conditionalFormatting sqref="R32:R39">
    <cfRule type="cellIs" dxfId="8637" priority="1373" operator="greaterThan">
      <formula>1</formula>
    </cfRule>
    <cfRule type="cellIs" dxfId="8636" priority="1374" operator="lessThan">
      <formula>0.8</formula>
    </cfRule>
  </conditionalFormatting>
  <conditionalFormatting sqref="P32:P39">
    <cfRule type="cellIs" dxfId="8635" priority="1372" operator="greaterThan">
      <formula>0</formula>
    </cfRule>
  </conditionalFormatting>
  <conditionalFormatting sqref="Q32:Q39">
    <cfRule type="cellIs" dxfId="8634" priority="1371" operator="lessThan">
      <formula>0</formula>
    </cfRule>
  </conditionalFormatting>
  <conditionalFormatting sqref="R32:R39">
    <cfRule type="cellIs" dxfId="8633" priority="1369" operator="lessThan">
      <formula>0.8</formula>
    </cfRule>
    <cfRule type="cellIs" dxfId="8632" priority="1370" operator="greaterThan">
      <formula>1</formula>
    </cfRule>
  </conditionalFormatting>
  <conditionalFormatting sqref="R32:R39">
    <cfRule type="cellIs" dxfId="8631" priority="1367" operator="greaterThan">
      <formula>1</formula>
    </cfRule>
    <cfRule type="cellIs" dxfId="8630" priority="1368" operator="lessThan">
      <formula>0.8</formula>
    </cfRule>
  </conditionalFormatting>
  <conditionalFormatting sqref="P32:P39">
    <cfRule type="cellIs" dxfId="8629" priority="1366" operator="greaterThan">
      <formula>0</formula>
    </cfRule>
  </conditionalFormatting>
  <conditionalFormatting sqref="Q32:Q39">
    <cfRule type="cellIs" dxfId="8628" priority="1365" operator="lessThan">
      <formula>0</formula>
    </cfRule>
  </conditionalFormatting>
  <conditionalFormatting sqref="R32:R39">
    <cfRule type="cellIs" dxfId="8627" priority="1363" operator="lessThan">
      <formula>0.8</formula>
    </cfRule>
    <cfRule type="cellIs" dxfId="8626" priority="1364" operator="greaterThan">
      <formula>1</formula>
    </cfRule>
  </conditionalFormatting>
  <conditionalFormatting sqref="R32:R39">
    <cfRule type="cellIs" dxfId="8625" priority="1361" operator="greaterThan">
      <formula>1</formula>
    </cfRule>
    <cfRule type="cellIs" dxfId="8624" priority="1362" operator="lessThan">
      <formula>0.8</formula>
    </cfRule>
  </conditionalFormatting>
  <conditionalFormatting sqref="P32:P39">
    <cfRule type="cellIs" dxfId="8623" priority="1360" operator="greaterThan">
      <formula>0</formula>
    </cfRule>
  </conditionalFormatting>
  <conditionalFormatting sqref="P32:P39">
    <cfRule type="cellIs" dxfId="8622" priority="1354" operator="greaterThan">
      <formula>0</formula>
    </cfRule>
  </conditionalFormatting>
  <conditionalFormatting sqref="Q32:Q39">
    <cfRule type="cellIs" dxfId="8621" priority="1359" operator="lessThan">
      <formula>0</formula>
    </cfRule>
  </conditionalFormatting>
  <conditionalFormatting sqref="R32:R39">
    <cfRule type="cellIs" dxfId="8620" priority="1357" operator="lessThan">
      <formula>0.8</formula>
    </cfRule>
    <cfRule type="cellIs" dxfId="8619" priority="1358" operator="greaterThan">
      <formula>1</formula>
    </cfRule>
  </conditionalFormatting>
  <conditionalFormatting sqref="R32:R39">
    <cfRule type="cellIs" dxfId="8618" priority="1355" operator="greaterThan">
      <formula>1</formula>
    </cfRule>
    <cfRule type="cellIs" dxfId="8617" priority="1356" operator="lessThan">
      <formula>0.8</formula>
    </cfRule>
  </conditionalFormatting>
  <conditionalFormatting sqref="P32:P39">
    <cfRule type="cellIs" dxfId="8616" priority="1348" operator="greaterThan">
      <formula>0</formula>
    </cfRule>
  </conditionalFormatting>
  <conditionalFormatting sqref="Q32:Q39">
    <cfRule type="cellIs" dxfId="8615" priority="1353" operator="lessThan">
      <formula>0</formula>
    </cfRule>
  </conditionalFormatting>
  <conditionalFormatting sqref="R32:R39">
    <cfRule type="cellIs" dxfId="8614" priority="1351" operator="lessThan">
      <formula>0.8</formula>
    </cfRule>
    <cfRule type="cellIs" dxfId="8613" priority="1352" operator="greaterThan">
      <formula>1</formula>
    </cfRule>
  </conditionalFormatting>
  <conditionalFormatting sqref="R32:R39">
    <cfRule type="cellIs" dxfId="8612" priority="1349" operator="greaterThan">
      <formula>1</formula>
    </cfRule>
    <cfRule type="cellIs" dxfId="8611" priority="1350" operator="lessThan">
      <formula>0.8</formula>
    </cfRule>
  </conditionalFormatting>
  <conditionalFormatting sqref="R32:R39">
    <cfRule type="cellIs" dxfId="8610" priority="1345" operator="lessThan">
      <formula>0.8</formula>
    </cfRule>
    <cfRule type="cellIs" dxfId="8609" priority="1346" operator="greaterThan">
      <formula>1</formula>
    </cfRule>
  </conditionalFormatting>
  <conditionalFormatting sqref="R32:R39">
    <cfRule type="cellIs" dxfId="8608" priority="1343" operator="greaterThan">
      <formula>1</formula>
    </cfRule>
    <cfRule type="cellIs" dxfId="8607" priority="1344" operator="lessThan">
      <formula>0.8</formula>
    </cfRule>
  </conditionalFormatting>
  <conditionalFormatting sqref="P32:P39">
    <cfRule type="cellIs" dxfId="8606" priority="1342" operator="greaterThan">
      <formula>0</formula>
    </cfRule>
  </conditionalFormatting>
  <conditionalFormatting sqref="Q32:Q39">
    <cfRule type="cellIs" dxfId="8605" priority="1347" operator="lessThan">
      <formula>0</formula>
    </cfRule>
  </conditionalFormatting>
  <conditionalFormatting sqref="Q32:Q39">
    <cfRule type="cellIs" dxfId="8604" priority="1341" operator="lessThan">
      <formula>0</formula>
    </cfRule>
  </conditionalFormatting>
  <conditionalFormatting sqref="R32:R39">
    <cfRule type="cellIs" dxfId="8603" priority="1339" operator="lessThan">
      <formula>0.8</formula>
    </cfRule>
    <cfRule type="cellIs" dxfId="8602" priority="1340" operator="greaterThan">
      <formula>1</formula>
    </cfRule>
  </conditionalFormatting>
  <conditionalFormatting sqref="R32:R39">
    <cfRule type="cellIs" dxfId="8601" priority="1337" operator="greaterThan">
      <formula>1</formula>
    </cfRule>
    <cfRule type="cellIs" dxfId="8600" priority="1338" operator="lessThan">
      <formula>0.8</formula>
    </cfRule>
  </conditionalFormatting>
  <conditionalFormatting sqref="P32:P39">
    <cfRule type="cellIs" dxfId="8599" priority="1336" operator="greaterThan">
      <formula>0</formula>
    </cfRule>
  </conditionalFormatting>
  <conditionalFormatting sqref="P32:P39">
    <cfRule type="cellIs" dxfId="8598" priority="1330" operator="greaterThan">
      <formula>0</formula>
    </cfRule>
  </conditionalFormatting>
  <conditionalFormatting sqref="Q32:Q39">
    <cfRule type="cellIs" dxfId="8597" priority="1335" operator="lessThan">
      <formula>0</formula>
    </cfRule>
  </conditionalFormatting>
  <conditionalFormatting sqref="R32:R39">
    <cfRule type="cellIs" dxfId="8596" priority="1333" operator="lessThan">
      <formula>0.8</formula>
    </cfRule>
    <cfRule type="cellIs" dxfId="8595" priority="1334" operator="greaterThan">
      <formula>1</formula>
    </cfRule>
  </conditionalFormatting>
  <conditionalFormatting sqref="R32:R39">
    <cfRule type="cellIs" dxfId="8594" priority="1331" operator="greaterThan">
      <formula>1</formula>
    </cfRule>
    <cfRule type="cellIs" dxfId="8593" priority="1332" operator="lessThan">
      <formula>0.8</formula>
    </cfRule>
  </conditionalFormatting>
  <conditionalFormatting sqref="P32:P39">
    <cfRule type="cellIs" dxfId="8592" priority="1324" operator="greaterThan">
      <formula>0</formula>
    </cfRule>
  </conditionalFormatting>
  <conditionalFormatting sqref="Q32:Q39">
    <cfRule type="cellIs" dxfId="8591" priority="1329" operator="lessThan">
      <formula>0</formula>
    </cfRule>
  </conditionalFormatting>
  <conditionalFormatting sqref="R32:R39">
    <cfRule type="cellIs" dxfId="8590" priority="1327" operator="lessThan">
      <formula>0.8</formula>
    </cfRule>
    <cfRule type="cellIs" dxfId="8589" priority="1328" operator="greaterThan">
      <formula>1</formula>
    </cfRule>
  </conditionalFormatting>
  <conditionalFormatting sqref="R32:R39">
    <cfRule type="cellIs" dxfId="8588" priority="1325" operator="greaterThan">
      <formula>1</formula>
    </cfRule>
    <cfRule type="cellIs" dxfId="8587" priority="1326" operator="lessThan">
      <formula>0.8</formula>
    </cfRule>
  </conditionalFormatting>
  <conditionalFormatting sqref="R32:R39">
    <cfRule type="cellIs" dxfId="8586" priority="1321" operator="lessThan">
      <formula>0.8</formula>
    </cfRule>
    <cfRule type="cellIs" dxfId="8585" priority="1322" operator="greaterThan">
      <formula>1</formula>
    </cfRule>
  </conditionalFormatting>
  <conditionalFormatting sqref="R32:R39">
    <cfRule type="cellIs" dxfId="8584" priority="1319" operator="greaterThan">
      <formula>1</formula>
    </cfRule>
    <cfRule type="cellIs" dxfId="8583" priority="1320" operator="lessThan">
      <formula>0.8</formula>
    </cfRule>
  </conditionalFormatting>
  <conditionalFormatting sqref="P32:P39">
    <cfRule type="cellIs" dxfId="8582" priority="1318" operator="greaterThan">
      <formula>0</formula>
    </cfRule>
  </conditionalFormatting>
  <conditionalFormatting sqref="Q32:Q39">
    <cfRule type="cellIs" dxfId="8581" priority="1323" operator="lessThan">
      <formula>0</formula>
    </cfRule>
  </conditionalFormatting>
  <conditionalFormatting sqref="P32:P39">
    <cfRule type="cellIs" dxfId="8580" priority="1312" operator="greaterThan">
      <formula>0</formula>
    </cfRule>
  </conditionalFormatting>
  <conditionalFormatting sqref="Q32:Q39">
    <cfRule type="cellIs" dxfId="8579" priority="1317" operator="lessThan">
      <formula>0</formula>
    </cfRule>
  </conditionalFormatting>
  <conditionalFormatting sqref="R32:R39">
    <cfRule type="cellIs" dxfId="8578" priority="1315" operator="lessThan">
      <formula>0.8</formula>
    </cfRule>
    <cfRule type="cellIs" dxfId="8577" priority="1316" operator="greaterThan">
      <formula>1</formula>
    </cfRule>
  </conditionalFormatting>
  <conditionalFormatting sqref="R32:R39">
    <cfRule type="cellIs" dxfId="8576" priority="1313" operator="greaterThan">
      <formula>1</formula>
    </cfRule>
    <cfRule type="cellIs" dxfId="8575" priority="1314" operator="lessThan">
      <formula>0.8</formula>
    </cfRule>
  </conditionalFormatting>
  <conditionalFormatting sqref="R32:R39">
    <cfRule type="cellIs" dxfId="8574" priority="1309" operator="lessThan">
      <formula>0.8</formula>
    </cfRule>
    <cfRule type="cellIs" dxfId="8573" priority="1310" operator="greaterThan">
      <formula>1</formula>
    </cfRule>
  </conditionalFormatting>
  <conditionalFormatting sqref="R32:R39">
    <cfRule type="cellIs" dxfId="8572" priority="1307" operator="greaterThan">
      <formula>1</formula>
    </cfRule>
    <cfRule type="cellIs" dxfId="8571" priority="1308" operator="lessThan">
      <formula>0.8</formula>
    </cfRule>
  </conditionalFormatting>
  <conditionalFormatting sqref="P32:P39">
    <cfRule type="cellIs" dxfId="8570" priority="1306" operator="greaterThan">
      <formula>0</formula>
    </cfRule>
  </conditionalFormatting>
  <conditionalFormatting sqref="Q32:Q39">
    <cfRule type="cellIs" dxfId="8569" priority="1311" operator="lessThan">
      <formula>0</formula>
    </cfRule>
  </conditionalFormatting>
  <conditionalFormatting sqref="R32:R39">
    <cfRule type="cellIs" dxfId="8568" priority="1303" operator="lessThan">
      <formula>0.8</formula>
    </cfRule>
    <cfRule type="cellIs" dxfId="8567" priority="1304" operator="greaterThan">
      <formula>1</formula>
    </cfRule>
  </conditionalFormatting>
  <conditionalFormatting sqref="R32:R39">
    <cfRule type="cellIs" dxfId="8566" priority="1301" operator="greaterThan">
      <formula>1</formula>
    </cfRule>
    <cfRule type="cellIs" dxfId="8565" priority="1302" operator="lessThan">
      <formula>0.8</formula>
    </cfRule>
  </conditionalFormatting>
  <conditionalFormatting sqref="P32:P39">
    <cfRule type="cellIs" dxfId="8564" priority="1300" operator="greaterThan">
      <formula>0</formula>
    </cfRule>
  </conditionalFormatting>
  <conditionalFormatting sqref="Q32:Q39">
    <cfRule type="cellIs" dxfId="8563" priority="1305" operator="lessThan">
      <formula>0</formula>
    </cfRule>
  </conditionalFormatting>
  <conditionalFormatting sqref="Q32:Q39">
    <cfRule type="cellIs" dxfId="8562" priority="1299" operator="lessThan">
      <formula>0</formula>
    </cfRule>
  </conditionalFormatting>
  <conditionalFormatting sqref="R32:R39">
    <cfRule type="cellIs" dxfId="8561" priority="1297" operator="lessThan">
      <formula>0.8</formula>
    </cfRule>
    <cfRule type="cellIs" dxfId="8560" priority="1298" operator="greaterThan">
      <formula>1</formula>
    </cfRule>
  </conditionalFormatting>
  <conditionalFormatting sqref="R32:R39">
    <cfRule type="cellIs" dxfId="8559" priority="1295" operator="greaterThan">
      <formula>1</formula>
    </cfRule>
    <cfRule type="cellIs" dxfId="8558" priority="1296" operator="lessThan">
      <formula>0.8</formula>
    </cfRule>
  </conditionalFormatting>
  <conditionalFormatting sqref="P32:P39">
    <cfRule type="cellIs" dxfId="8557" priority="1294" operator="greaterThan">
      <formula>0</formula>
    </cfRule>
  </conditionalFormatting>
  <conditionalFormatting sqref="Q32:Q39">
    <cfRule type="cellIs" dxfId="8556" priority="1288" operator="lessThan">
      <formula>0</formula>
    </cfRule>
  </conditionalFormatting>
  <conditionalFormatting sqref="R32:R39">
    <cfRule type="cellIs" dxfId="8555" priority="1292" operator="lessThan">
      <formula>0.8</formula>
    </cfRule>
    <cfRule type="cellIs" dxfId="8554" priority="1293" operator="greaterThan">
      <formula>1</formula>
    </cfRule>
  </conditionalFormatting>
  <conditionalFormatting sqref="R32:R39">
    <cfRule type="cellIs" dxfId="8553" priority="1290" operator="greaterThan">
      <formula>1</formula>
    </cfRule>
    <cfRule type="cellIs" dxfId="8552" priority="1291" operator="lessThan">
      <formula>0.8</formula>
    </cfRule>
  </conditionalFormatting>
  <conditionalFormatting sqref="P32:P39">
    <cfRule type="cellIs" dxfId="8551" priority="1289" operator="greaterThan">
      <formula>0</formula>
    </cfRule>
  </conditionalFormatting>
  <conditionalFormatting sqref="Q32:Q39">
    <cfRule type="cellIs" dxfId="8550" priority="1287" operator="lessThan">
      <formula>0</formula>
    </cfRule>
  </conditionalFormatting>
  <conditionalFormatting sqref="R32:R39">
    <cfRule type="cellIs" dxfId="8549" priority="1285" operator="lessThan">
      <formula>0.8</formula>
    </cfRule>
    <cfRule type="cellIs" dxfId="8548" priority="1286" operator="greaterThan">
      <formula>1</formula>
    </cfRule>
  </conditionalFormatting>
  <conditionalFormatting sqref="R32:R39">
    <cfRule type="cellIs" dxfId="8547" priority="1283" operator="greaterThan">
      <formula>1</formula>
    </cfRule>
    <cfRule type="cellIs" dxfId="8546" priority="1284" operator="lessThan">
      <formula>0.8</formula>
    </cfRule>
  </conditionalFormatting>
  <conditionalFormatting sqref="P32:P39">
    <cfRule type="cellIs" dxfId="8545" priority="1282" operator="greaterThan">
      <formula>0</formula>
    </cfRule>
  </conditionalFormatting>
  <conditionalFormatting sqref="Q32:Q39">
    <cfRule type="cellIs" dxfId="8544" priority="1281" operator="lessThan">
      <formula>0</formula>
    </cfRule>
  </conditionalFormatting>
  <conditionalFormatting sqref="R32:R39">
    <cfRule type="cellIs" dxfId="8543" priority="1279" operator="lessThan">
      <formula>0.8</formula>
    </cfRule>
    <cfRule type="cellIs" dxfId="8542" priority="1280" operator="greaterThan">
      <formula>1</formula>
    </cfRule>
  </conditionalFormatting>
  <conditionalFormatting sqref="R32:R39">
    <cfRule type="cellIs" dxfId="8541" priority="1277" operator="greaterThan">
      <formula>1</formula>
    </cfRule>
    <cfRule type="cellIs" dxfId="8540" priority="1278" operator="lessThan">
      <formula>0.8</formula>
    </cfRule>
  </conditionalFormatting>
  <conditionalFormatting sqref="P32:P39">
    <cfRule type="cellIs" dxfId="8539" priority="1276" operator="greaterThan">
      <formula>0</formula>
    </cfRule>
  </conditionalFormatting>
  <conditionalFormatting sqref="Q32:Q39">
    <cfRule type="cellIs" dxfId="8538" priority="1275" operator="lessThan">
      <formula>0</formula>
    </cfRule>
  </conditionalFormatting>
  <conditionalFormatting sqref="R32:R39">
    <cfRule type="cellIs" dxfId="8537" priority="1273" operator="lessThan">
      <formula>0.8</formula>
    </cfRule>
    <cfRule type="cellIs" dxfId="8536" priority="1274" operator="greaterThan">
      <formula>1</formula>
    </cfRule>
  </conditionalFormatting>
  <conditionalFormatting sqref="R32:R39">
    <cfRule type="cellIs" dxfId="8535" priority="1271" operator="greaterThan">
      <formula>1</formula>
    </cfRule>
    <cfRule type="cellIs" dxfId="8534" priority="1272" operator="lessThan">
      <formula>0.8</formula>
    </cfRule>
  </conditionalFormatting>
  <conditionalFormatting sqref="P32:P39">
    <cfRule type="cellIs" dxfId="8533" priority="1270" operator="greaterThan">
      <formula>0</formula>
    </cfRule>
  </conditionalFormatting>
  <conditionalFormatting sqref="Q32:Q39">
    <cfRule type="cellIs" dxfId="8532" priority="1269" operator="lessThan">
      <formula>0</formula>
    </cfRule>
  </conditionalFormatting>
  <conditionalFormatting sqref="R32:R39">
    <cfRule type="cellIs" dxfId="8531" priority="1267" operator="lessThan">
      <formula>0.8</formula>
    </cfRule>
    <cfRule type="cellIs" dxfId="8530" priority="1268" operator="greaterThan">
      <formula>1</formula>
    </cfRule>
  </conditionalFormatting>
  <conditionalFormatting sqref="R32:R39">
    <cfRule type="cellIs" dxfId="8529" priority="1265" operator="greaterThan">
      <formula>1</formula>
    </cfRule>
    <cfRule type="cellIs" dxfId="8528" priority="1266" operator="lessThan">
      <formula>0.8</formula>
    </cfRule>
  </conditionalFormatting>
  <conditionalFormatting sqref="P32:P39">
    <cfRule type="cellIs" dxfId="8527" priority="1264" operator="greaterThan">
      <formula>0</formula>
    </cfRule>
  </conditionalFormatting>
  <conditionalFormatting sqref="Q32:Q39">
    <cfRule type="cellIs" dxfId="8526" priority="1263" operator="lessThan">
      <formula>0</formula>
    </cfRule>
  </conditionalFormatting>
  <conditionalFormatting sqref="R32:R39">
    <cfRule type="cellIs" dxfId="8525" priority="1261" operator="lessThan">
      <formula>0.8</formula>
    </cfRule>
    <cfRule type="cellIs" dxfId="8524" priority="1262" operator="greaterThan">
      <formula>1</formula>
    </cfRule>
  </conditionalFormatting>
  <conditionalFormatting sqref="R32:R39">
    <cfRule type="cellIs" dxfId="8523" priority="1259" operator="greaterThan">
      <formula>1</formula>
    </cfRule>
    <cfRule type="cellIs" dxfId="8522" priority="1260" operator="lessThan">
      <formula>0.8</formula>
    </cfRule>
  </conditionalFormatting>
  <conditionalFormatting sqref="P32:P39">
    <cfRule type="cellIs" dxfId="8521" priority="1258" operator="greaterThan">
      <formula>0</formula>
    </cfRule>
  </conditionalFormatting>
  <conditionalFormatting sqref="P32:P39">
    <cfRule type="cellIs" dxfId="8520" priority="1252" operator="greaterThan">
      <formula>0</formula>
    </cfRule>
  </conditionalFormatting>
  <conditionalFormatting sqref="Q32:Q39">
    <cfRule type="cellIs" dxfId="8519" priority="1257" operator="lessThan">
      <formula>0</formula>
    </cfRule>
  </conditionalFormatting>
  <conditionalFormatting sqref="R32:R39">
    <cfRule type="cellIs" dxfId="8518" priority="1255" operator="lessThan">
      <formula>0.8</formula>
    </cfRule>
    <cfRule type="cellIs" dxfId="8517" priority="1256" operator="greaterThan">
      <formula>1</formula>
    </cfRule>
  </conditionalFormatting>
  <conditionalFormatting sqref="R32:R39">
    <cfRule type="cellIs" dxfId="8516" priority="1253" operator="greaterThan">
      <formula>1</formula>
    </cfRule>
    <cfRule type="cellIs" dxfId="8515" priority="1254" operator="lessThan">
      <formula>0.8</formula>
    </cfRule>
  </conditionalFormatting>
  <conditionalFormatting sqref="P32:P39">
    <cfRule type="cellIs" dxfId="8514" priority="1246" operator="greaterThan">
      <formula>0</formula>
    </cfRule>
  </conditionalFormatting>
  <conditionalFormatting sqref="Q32:Q39">
    <cfRule type="cellIs" dxfId="8513" priority="1251" operator="lessThan">
      <formula>0</formula>
    </cfRule>
  </conditionalFormatting>
  <conditionalFormatting sqref="R32:R39">
    <cfRule type="cellIs" dxfId="8512" priority="1249" operator="lessThan">
      <formula>0.8</formula>
    </cfRule>
    <cfRule type="cellIs" dxfId="8511" priority="1250" operator="greaterThan">
      <formula>1</formula>
    </cfRule>
  </conditionalFormatting>
  <conditionalFormatting sqref="R32:R39">
    <cfRule type="cellIs" dxfId="8510" priority="1247" operator="greaterThan">
      <formula>1</formula>
    </cfRule>
    <cfRule type="cellIs" dxfId="8509" priority="1248" operator="lessThan">
      <formula>0.8</formula>
    </cfRule>
  </conditionalFormatting>
  <conditionalFormatting sqref="R32:R39">
    <cfRule type="cellIs" dxfId="8508" priority="1243" operator="lessThan">
      <formula>0.8</formula>
    </cfRule>
    <cfRule type="cellIs" dxfId="8507" priority="1244" operator="greaterThan">
      <formula>1</formula>
    </cfRule>
  </conditionalFormatting>
  <conditionalFormatting sqref="R32:R39">
    <cfRule type="cellIs" dxfId="8506" priority="1241" operator="greaterThan">
      <formula>1</formula>
    </cfRule>
    <cfRule type="cellIs" dxfId="8505" priority="1242" operator="lessThan">
      <formula>0.8</formula>
    </cfRule>
  </conditionalFormatting>
  <conditionalFormatting sqref="P32:P39">
    <cfRule type="cellIs" dxfId="8504" priority="1240" operator="greaterThan">
      <formula>0</formula>
    </cfRule>
  </conditionalFormatting>
  <conditionalFormatting sqref="Q32:Q39">
    <cfRule type="cellIs" dxfId="8503" priority="1245" operator="lessThan">
      <formula>0</formula>
    </cfRule>
  </conditionalFormatting>
  <conditionalFormatting sqref="Q32:Q39">
    <cfRule type="cellIs" dxfId="8502" priority="1234" operator="lessThan">
      <formula>0</formula>
    </cfRule>
  </conditionalFormatting>
  <conditionalFormatting sqref="P32:P39">
    <cfRule type="cellIs" dxfId="8501" priority="1235" operator="greaterThan">
      <formula>0</formula>
    </cfRule>
  </conditionalFormatting>
  <conditionalFormatting sqref="R32:R39">
    <cfRule type="cellIs" dxfId="8500" priority="1238" operator="lessThan">
      <formula>0.8</formula>
    </cfRule>
    <cfRule type="cellIs" dxfId="8499" priority="1239" operator="greaterThan">
      <formula>1</formula>
    </cfRule>
  </conditionalFormatting>
  <conditionalFormatting sqref="R32:R39">
    <cfRule type="cellIs" dxfId="8498" priority="1236" operator="greaterThan">
      <formula>1</formula>
    </cfRule>
    <cfRule type="cellIs" dxfId="8497" priority="1237" operator="lessThan">
      <formula>0.8</formula>
    </cfRule>
  </conditionalFormatting>
  <conditionalFormatting sqref="Q32:Q39">
    <cfRule type="cellIs" dxfId="8496" priority="1228" operator="lessThan">
      <formula>0</formula>
    </cfRule>
  </conditionalFormatting>
  <conditionalFormatting sqref="R32:R39">
    <cfRule type="cellIs" dxfId="8495" priority="1232" operator="lessThan">
      <formula>0.8</formula>
    </cfRule>
    <cfRule type="cellIs" dxfId="8494" priority="1233" operator="greaterThan">
      <formula>1</formula>
    </cfRule>
  </conditionalFormatting>
  <conditionalFormatting sqref="R32:R39">
    <cfRule type="cellIs" dxfId="8493" priority="1230" operator="greaterThan">
      <formula>1</formula>
    </cfRule>
    <cfRule type="cellIs" dxfId="8492" priority="1231" operator="lessThan">
      <formula>0.8</formula>
    </cfRule>
  </conditionalFormatting>
  <conditionalFormatting sqref="P32:P39">
    <cfRule type="cellIs" dxfId="8491" priority="1229" operator="greaterThan">
      <formula>0</formula>
    </cfRule>
  </conditionalFormatting>
  <conditionalFormatting sqref="Q32:Q39">
    <cfRule type="cellIs" dxfId="8490" priority="1227" operator="lessThan">
      <formula>0</formula>
    </cfRule>
  </conditionalFormatting>
  <conditionalFormatting sqref="R32:R39">
    <cfRule type="cellIs" dxfId="8489" priority="1225" operator="lessThan">
      <formula>0.8</formula>
    </cfRule>
    <cfRule type="cellIs" dxfId="8488" priority="1226" operator="greaterThan">
      <formula>1</formula>
    </cfRule>
  </conditionalFormatting>
  <conditionalFormatting sqref="R32:R39">
    <cfRule type="cellIs" dxfId="8487" priority="1223" operator="greaterThan">
      <formula>1</formula>
    </cfRule>
    <cfRule type="cellIs" dxfId="8486" priority="1224" operator="lessThan">
      <formula>0.8</formula>
    </cfRule>
  </conditionalFormatting>
  <conditionalFormatting sqref="P32:P39">
    <cfRule type="cellIs" dxfId="8485" priority="1222" operator="greaterThan">
      <formula>0</formula>
    </cfRule>
  </conditionalFormatting>
  <conditionalFormatting sqref="Q32:Q39">
    <cfRule type="cellIs" dxfId="8484" priority="1221" operator="lessThan">
      <formula>0</formula>
    </cfRule>
  </conditionalFormatting>
  <conditionalFormatting sqref="R32:R39">
    <cfRule type="cellIs" dxfId="8483" priority="1219" operator="lessThan">
      <formula>0.8</formula>
    </cfRule>
    <cfRule type="cellIs" dxfId="8482" priority="1220" operator="greaterThan">
      <formula>1</formula>
    </cfRule>
  </conditionalFormatting>
  <conditionalFormatting sqref="R32:R39">
    <cfRule type="cellIs" dxfId="8481" priority="1217" operator="greaterThan">
      <formula>1</formula>
    </cfRule>
    <cfRule type="cellIs" dxfId="8480" priority="1218" operator="lessThan">
      <formula>0.8</formula>
    </cfRule>
  </conditionalFormatting>
  <conditionalFormatting sqref="P32:P39">
    <cfRule type="cellIs" dxfId="8479" priority="1216" operator="greaterThan">
      <formula>0</formula>
    </cfRule>
  </conditionalFormatting>
  <conditionalFormatting sqref="Q32:Q39">
    <cfRule type="cellIs" dxfId="8478" priority="1215" operator="lessThan">
      <formula>0</formula>
    </cfRule>
  </conditionalFormatting>
  <conditionalFormatting sqref="R32:R39">
    <cfRule type="cellIs" dxfId="8477" priority="1213" operator="lessThan">
      <formula>0.8</formula>
    </cfRule>
    <cfRule type="cellIs" dxfId="8476" priority="1214" operator="greaterThan">
      <formula>1</formula>
    </cfRule>
  </conditionalFormatting>
  <conditionalFormatting sqref="R32:R39">
    <cfRule type="cellIs" dxfId="8475" priority="1211" operator="greaterThan">
      <formula>1</formula>
    </cfRule>
    <cfRule type="cellIs" dxfId="8474" priority="1212" operator="lessThan">
      <formula>0.8</formula>
    </cfRule>
  </conditionalFormatting>
  <conditionalFormatting sqref="P32:P39">
    <cfRule type="cellIs" dxfId="8473" priority="1210" operator="greaterThan">
      <formula>0</formula>
    </cfRule>
  </conditionalFormatting>
  <conditionalFormatting sqref="Q32:Q39">
    <cfRule type="cellIs" dxfId="8472" priority="1209" operator="lessThan">
      <formula>0</formula>
    </cfRule>
  </conditionalFormatting>
  <conditionalFormatting sqref="R32:R39">
    <cfRule type="cellIs" dxfId="8471" priority="1207" operator="lessThan">
      <formula>0.8</formula>
    </cfRule>
    <cfRule type="cellIs" dxfId="8470" priority="1208" operator="greaterThan">
      <formula>1</formula>
    </cfRule>
  </conditionalFormatting>
  <conditionalFormatting sqref="R32:R39">
    <cfRule type="cellIs" dxfId="8469" priority="1205" operator="greaterThan">
      <formula>1</formula>
    </cfRule>
    <cfRule type="cellIs" dxfId="8468" priority="1206" operator="lessThan">
      <formula>0.8</formula>
    </cfRule>
  </conditionalFormatting>
  <conditionalFormatting sqref="P32:P39">
    <cfRule type="cellIs" dxfId="8467" priority="1204" operator="greaterThan">
      <formula>0</formula>
    </cfRule>
  </conditionalFormatting>
  <conditionalFormatting sqref="Q105">
    <cfRule type="cellIs" dxfId="8466" priority="1203" operator="lessThan">
      <formula>0</formula>
    </cfRule>
  </conditionalFormatting>
  <conditionalFormatting sqref="P105">
    <cfRule type="cellIs" dxfId="8465" priority="1202" operator="greaterThan">
      <formula>0</formula>
    </cfRule>
  </conditionalFormatting>
  <conditionalFormatting sqref="P105">
    <cfRule type="cellIs" dxfId="8464" priority="1200" operator="greaterThan">
      <formula>0</formula>
    </cfRule>
  </conditionalFormatting>
  <conditionalFormatting sqref="Q105">
    <cfRule type="cellIs" dxfId="8463" priority="1201" operator="lessThan">
      <formula>0</formula>
    </cfRule>
  </conditionalFormatting>
  <conditionalFormatting sqref="Q105">
    <cfRule type="cellIs" dxfId="8462" priority="1199" operator="lessThan">
      <formula>0</formula>
    </cfRule>
  </conditionalFormatting>
  <conditionalFormatting sqref="P105">
    <cfRule type="cellIs" dxfId="8461" priority="1198" operator="greaterThan">
      <formula>0</formula>
    </cfRule>
  </conditionalFormatting>
  <conditionalFormatting sqref="Q96:Q104">
    <cfRule type="cellIs" dxfId="8460" priority="1192" operator="lessThan">
      <formula>0</formula>
    </cfRule>
  </conditionalFormatting>
  <conditionalFormatting sqref="P96:P104">
    <cfRule type="cellIs" dxfId="8459" priority="1193" operator="greaterThan">
      <formula>0</formula>
    </cfRule>
  </conditionalFormatting>
  <conditionalFormatting sqref="R96:R105">
    <cfRule type="cellIs" dxfId="8458" priority="1196" operator="lessThan">
      <formula>0.8</formula>
    </cfRule>
    <cfRule type="cellIs" dxfId="8457" priority="1197" operator="greaterThan">
      <formula>1</formula>
    </cfRule>
  </conditionalFormatting>
  <conditionalFormatting sqref="R96:R105">
    <cfRule type="cellIs" dxfId="8456" priority="1194" operator="greaterThan">
      <formula>1</formula>
    </cfRule>
    <cfRule type="cellIs" dxfId="8455" priority="1195" operator="lessThan">
      <formula>0.8</formula>
    </cfRule>
  </conditionalFormatting>
  <conditionalFormatting sqref="Q96:Q104">
    <cfRule type="cellIs" dxfId="8454" priority="1186" operator="lessThan">
      <formula>0</formula>
    </cfRule>
  </conditionalFormatting>
  <conditionalFormatting sqref="R96:R105">
    <cfRule type="cellIs" dxfId="8453" priority="1190" operator="lessThan">
      <formula>0.8</formula>
    </cfRule>
    <cfRule type="cellIs" dxfId="8452" priority="1191" operator="greaterThan">
      <formula>1</formula>
    </cfRule>
  </conditionalFormatting>
  <conditionalFormatting sqref="R96:R105">
    <cfRule type="cellIs" dxfId="8451" priority="1188" operator="greaterThan">
      <formula>1</formula>
    </cfRule>
    <cfRule type="cellIs" dxfId="8450" priority="1189" operator="lessThan">
      <formula>0.8</formula>
    </cfRule>
  </conditionalFormatting>
  <conditionalFormatting sqref="P96:P104">
    <cfRule type="cellIs" dxfId="8449" priority="1187" operator="greaterThan">
      <formula>0</formula>
    </cfRule>
  </conditionalFormatting>
  <conditionalFormatting sqref="Q96:Q104">
    <cfRule type="cellIs" dxfId="8448" priority="1185" operator="lessThan">
      <formula>0</formula>
    </cfRule>
  </conditionalFormatting>
  <conditionalFormatting sqref="R96:R105">
    <cfRule type="cellIs" dxfId="8447" priority="1183" operator="lessThan">
      <formula>0.8</formula>
    </cfRule>
    <cfRule type="cellIs" dxfId="8446" priority="1184" operator="greaterThan">
      <formula>1</formula>
    </cfRule>
  </conditionalFormatting>
  <conditionalFormatting sqref="R96:R105">
    <cfRule type="cellIs" dxfId="8445" priority="1181" operator="greaterThan">
      <formula>1</formula>
    </cfRule>
    <cfRule type="cellIs" dxfId="8444" priority="1182" operator="lessThan">
      <formula>0.8</formula>
    </cfRule>
  </conditionalFormatting>
  <conditionalFormatting sqref="P96:P104">
    <cfRule type="cellIs" dxfId="8443" priority="1180" operator="greaterThan">
      <formula>0</formula>
    </cfRule>
  </conditionalFormatting>
  <conditionalFormatting sqref="Q96:Q104">
    <cfRule type="cellIs" dxfId="8442" priority="1179" operator="lessThan">
      <formula>0</formula>
    </cfRule>
  </conditionalFormatting>
  <conditionalFormatting sqref="R96:R105">
    <cfRule type="cellIs" dxfId="8441" priority="1177" operator="lessThan">
      <formula>0.8</formula>
    </cfRule>
    <cfRule type="cellIs" dxfId="8440" priority="1178" operator="greaterThan">
      <formula>1</formula>
    </cfRule>
  </conditionalFormatting>
  <conditionalFormatting sqref="R96:R105">
    <cfRule type="cellIs" dxfId="8439" priority="1175" operator="greaterThan">
      <formula>1</formula>
    </cfRule>
    <cfRule type="cellIs" dxfId="8438" priority="1176" operator="lessThan">
      <formula>0.8</formula>
    </cfRule>
  </conditionalFormatting>
  <conditionalFormatting sqref="P96:P104">
    <cfRule type="cellIs" dxfId="8437" priority="1174" operator="greaterThan">
      <formula>0</formula>
    </cfRule>
  </conditionalFormatting>
  <conditionalFormatting sqref="Q96:Q104">
    <cfRule type="cellIs" dxfId="8436" priority="1168" operator="lessThan">
      <formula>0</formula>
    </cfRule>
  </conditionalFormatting>
  <conditionalFormatting sqref="R96:R105">
    <cfRule type="cellIs" dxfId="8435" priority="1172" operator="lessThan">
      <formula>0.8</formula>
    </cfRule>
    <cfRule type="cellIs" dxfId="8434" priority="1173" operator="greaterThan">
      <formula>1</formula>
    </cfRule>
  </conditionalFormatting>
  <conditionalFormatting sqref="R96:R105">
    <cfRule type="cellIs" dxfId="8433" priority="1170" operator="greaterThan">
      <formula>1</formula>
    </cfRule>
    <cfRule type="cellIs" dxfId="8432" priority="1171" operator="lessThan">
      <formula>0.8</formula>
    </cfRule>
  </conditionalFormatting>
  <conditionalFormatting sqref="P96:P104">
    <cfRule type="cellIs" dxfId="8431" priority="1169" operator="greaterThan">
      <formula>0</formula>
    </cfRule>
  </conditionalFormatting>
  <conditionalFormatting sqref="Q96:Q104">
    <cfRule type="cellIs" dxfId="8430" priority="1167" operator="lessThan">
      <formula>0</formula>
    </cfRule>
  </conditionalFormatting>
  <conditionalFormatting sqref="R96:R105">
    <cfRule type="cellIs" dxfId="8429" priority="1165" operator="lessThan">
      <formula>0.8</formula>
    </cfRule>
    <cfRule type="cellIs" dxfId="8428" priority="1166" operator="greaterThan">
      <formula>1</formula>
    </cfRule>
  </conditionalFormatting>
  <conditionalFormatting sqref="R96:R105">
    <cfRule type="cellIs" dxfId="8427" priority="1163" operator="greaterThan">
      <formula>1</formula>
    </cfRule>
    <cfRule type="cellIs" dxfId="8426" priority="1164" operator="lessThan">
      <formula>0.8</formula>
    </cfRule>
  </conditionalFormatting>
  <conditionalFormatting sqref="P96:P104">
    <cfRule type="cellIs" dxfId="8425" priority="1162" operator="greaterThan">
      <formula>0</formula>
    </cfRule>
  </conditionalFormatting>
  <conditionalFormatting sqref="Q96:Q104">
    <cfRule type="cellIs" dxfId="8424" priority="1161" operator="lessThan">
      <formula>0</formula>
    </cfRule>
  </conditionalFormatting>
  <conditionalFormatting sqref="R96:R105">
    <cfRule type="cellIs" dxfId="8423" priority="1159" operator="lessThan">
      <formula>0.8</formula>
    </cfRule>
    <cfRule type="cellIs" dxfId="8422" priority="1160" operator="greaterThan">
      <formula>1</formula>
    </cfRule>
  </conditionalFormatting>
  <conditionalFormatting sqref="R96:R105">
    <cfRule type="cellIs" dxfId="8421" priority="1157" operator="greaterThan">
      <formula>1</formula>
    </cfRule>
    <cfRule type="cellIs" dxfId="8420" priority="1158" operator="lessThan">
      <formula>0.8</formula>
    </cfRule>
  </conditionalFormatting>
  <conditionalFormatting sqref="P96:P104">
    <cfRule type="cellIs" dxfId="8419" priority="1156" operator="greaterThan">
      <formula>0</formula>
    </cfRule>
  </conditionalFormatting>
  <conditionalFormatting sqref="Q96:Q104">
    <cfRule type="cellIs" dxfId="8418" priority="1155" operator="lessThan">
      <formula>0</formula>
    </cfRule>
  </conditionalFormatting>
  <conditionalFormatting sqref="R96:R105">
    <cfRule type="cellIs" dxfId="8417" priority="1153" operator="lessThan">
      <formula>0.8</formula>
    </cfRule>
    <cfRule type="cellIs" dxfId="8416" priority="1154" operator="greaterThan">
      <formula>1</formula>
    </cfRule>
  </conditionalFormatting>
  <conditionalFormatting sqref="R96:R105">
    <cfRule type="cellIs" dxfId="8415" priority="1151" operator="greaterThan">
      <formula>1</formula>
    </cfRule>
    <cfRule type="cellIs" dxfId="8414" priority="1152" operator="lessThan">
      <formula>0.8</formula>
    </cfRule>
  </conditionalFormatting>
  <conditionalFormatting sqref="P96:P104">
    <cfRule type="cellIs" dxfId="8413" priority="1150" operator="greaterThan">
      <formula>0</formula>
    </cfRule>
  </conditionalFormatting>
  <conditionalFormatting sqref="Q96:Q104">
    <cfRule type="cellIs" dxfId="8412" priority="1149" operator="lessThan">
      <formula>0</formula>
    </cfRule>
  </conditionalFormatting>
  <conditionalFormatting sqref="R96:R105">
    <cfRule type="cellIs" dxfId="8411" priority="1147" operator="lessThan">
      <formula>0.8</formula>
    </cfRule>
    <cfRule type="cellIs" dxfId="8410" priority="1148" operator="greaterThan">
      <formula>1</formula>
    </cfRule>
  </conditionalFormatting>
  <conditionalFormatting sqref="R96:R105">
    <cfRule type="cellIs" dxfId="8409" priority="1145" operator="greaterThan">
      <formula>1</formula>
    </cfRule>
    <cfRule type="cellIs" dxfId="8408" priority="1146" operator="lessThan">
      <formula>0.8</formula>
    </cfRule>
  </conditionalFormatting>
  <conditionalFormatting sqref="P96:P104">
    <cfRule type="cellIs" dxfId="8407" priority="1144" operator="greaterThan">
      <formula>0</formula>
    </cfRule>
  </conditionalFormatting>
  <conditionalFormatting sqref="Q96:Q104">
    <cfRule type="cellIs" dxfId="8406" priority="1143" operator="lessThan">
      <formula>0</formula>
    </cfRule>
  </conditionalFormatting>
  <conditionalFormatting sqref="R96:R105">
    <cfRule type="cellIs" dxfId="8405" priority="1141" operator="lessThan">
      <formula>0.8</formula>
    </cfRule>
    <cfRule type="cellIs" dxfId="8404" priority="1142" operator="greaterThan">
      <formula>1</formula>
    </cfRule>
  </conditionalFormatting>
  <conditionalFormatting sqref="R96:R105">
    <cfRule type="cellIs" dxfId="8403" priority="1139" operator="greaterThan">
      <formula>1</formula>
    </cfRule>
    <cfRule type="cellIs" dxfId="8402" priority="1140" operator="lessThan">
      <formula>0.8</formula>
    </cfRule>
  </conditionalFormatting>
  <conditionalFormatting sqref="P96:P104">
    <cfRule type="cellIs" dxfId="8401" priority="1138" operator="greaterThan">
      <formula>0</formula>
    </cfRule>
  </conditionalFormatting>
  <conditionalFormatting sqref="P96:P104">
    <cfRule type="cellIs" dxfId="8400" priority="1132" operator="greaterThan">
      <formula>0</formula>
    </cfRule>
  </conditionalFormatting>
  <conditionalFormatting sqref="Q96:Q104">
    <cfRule type="cellIs" dxfId="8399" priority="1137" operator="lessThan">
      <formula>0</formula>
    </cfRule>
  </conditionalFormatting>
  <conditionalFormatting sqref="R96:R105">
    <cfRule type="cellIs" dxfId="8398" priority="1135" operator="lessThan">
      <formula>0.8</formula>
    </cfRule>
    <cfRule type="cellIs" dxfId="8397" priority="1136" operator="greaterThan">
      <formula>1</formula>
    </cfRule>
  </conditionalFormatting>
  <conditionalFormatting sqref="R96:R105">
    <cfRule type="cellIs" dxfId="8396" priority="1133" operator="greaterThan">
      <formula>1</formula>
    </cfRule>
    <cfRule type="cellIs" dxfId="8395" priority="1134" operator="lessThan">
      <formula>0.8</formula>
    </cfRule>
  </conditionalFormatting>
  <conditionalFormatting sqref="P96:P104">
    <cfRule type="cellIs" dxfId="8394" priority="1126" operator="greaterThan">
      <formula>0</formula>
    </cfRule>
  </conditionalFormatting>
  <conditionalFormatting sqref="Q96:Q104">
    <cfRule type="cellIs" dxfId="8393" priority="1131" operator="lessThan">
      <formula>0</formula>
    </cfRule>
  </conditionalFormatting>
  <conditionalFormatting sqref="R96:R105">
    <cfRule type="cellIs" dxfId="8392" priority="1129" operator="lessThan">
      <formula>0.8</formula>
    </cfRule>
    <cfRule type="cellIs" dxfId="8391" priority="1130" operator="greaterThan">
      <formula>1</formula>
    </cfRule>
  </conditionalFormatting>
  <conditionalFormatting sqref="R96:R105">
    <cfRule type="cellIs" dxfId="8390" priority="1127" operator="greaterThan">
      <formula>1</formula>
    </cfRule>
    <cfRule type="cellIs" dxfId="8389" priority="1128" operator="lessThan">
      <formula>0.8</formula>
    </cfRule>
  </conditionalFormatting>
  <conditionalFormatting sqref="R96:R105">
    <cfRule type="cellIs" dxfId="8388" priority="1123" operator="lessThan">
      <formula>0.8</formula>
    </cfRule>
    <cfRule type="cellIs" dxfId="8387" priority="1124" operator="greaterThan">
      <formula>1</formula>
    </cfRule>
  </conditionalFormatting>
  <conditionalFormatting sqref="R96:R105">
    <cfRule type="cellIs" dxfId="8386" priority="1121" operator="greaterThan">
      <formula>1</formula>
    </cfRule>
    <cfRule type="cellIs" dxfId="8385" priority="1122" operator="lessThan">
      <formula>0.8</formula>
    </cfRule>
  </conditionalFormatting>
  <conditionalFormatting sqref="P96:P104">
    <cfRule type="cellIs" dxfId="8384" priority="1120" operator="greaterThan">
      <formula>0</formula>
    </cfRule>
  </conditionalFormatting>
  <conditionalFormatting sqref="Q96:Q104">
    <cfRule type="cellIs" dxfId="8383" priority="1125" operator="lessThan">
      <formula>0</formula>
    </cfRule>
  </conditionalFormatting>
  <conditionalFormatting sqref="Q96:Q104">
    <cfRule type="cellIs" dxfId="8382" priority="1114" operator="lessThan">
      <formula>0</formula>
    </cfRule>
  </conditionalFormatting>
  <conditionalFormatting sqref="P96:P104">
    <cfRule type="cellIs" dxfId="8381" priority="1115" operator="greaterThan">
      <formula>0</formula>
    </cfRule>
  </conditionalFormatting>
  <conditionalFormatting sqref="R96:R105">
    <cfRule type="cellIs" dxfId="8380" priority="1118" operator="lessThan">
      <formula>0.8</formula>
    </cfRule>
    <cfRule type="cellIs" dxfId="8379" priority="1119" operator="greaterThan">
      <formula>1</formula>
    </cfRule>
  </conditionalFormatting>
  <conditionalFormatting sqref="R96:R105">
    <cfRule type="cellIs" dxfId="8378" priority="1116" operator="greaterThan">
      <formula>1</formula>
    </cfRule>
    <cfRule type="cellIs" dxfId="8377" priority="1117" operator="lessThan">
      <formula>0.8</formula>
    </cfRule>
  </conditionalFormatting>
  <conditionalFormatting sqref="Q96:Q104">
    <cfRule type="cellIs" dxfId="8376" priority="1108" operator="lessThan">
      <formula>0</formula>
    </cfRule>
  </conditionalFormatting>
  <conditionalFormatting sqref="R96:R105">
    <cfRule type="cellIs" dxfId="8375" priority="1112" operator="lessThan">
      <formula>0.8</formula>
    </cfRule>
    <cfRule type="cellIs" dxfId="8374" priority="1113" operator="greaterThan">
      <formula>1</formula>
    </cfRule>
  </conditionalFormatting>
  <conditionalFormatting sqref="R96:R105">
    <cfRule type="cellIs" dxfId="8373" priority="1110" operator="greaterThan">
      <formula>1</formula>
    </cfRule>
    <cfRule type="cellIs" dxfId="8372" priority="1111" operator="lessThan">
      <formula>0.8</formula>
    </cfRule>
  </conditionalFormatting>
  <conditionalFormatting sqref="P96:P104">
    <cfRule type="cellIs" dxfId="8371" priority="1109" operator="greaterThan">
      <formula>0</formula>
    </cfRule>
  </conditionalFormatting>
  <conditionalFormatting sqref="Q96:Q104">
    <cfRule type="cellIs" dxfId="8370" priority="1107" operator="lessThan">
      <formula>0</formula>
    </cfRule>
  </conditionalFormatting>
  <conditionalFormatting sqref="R96:R105">
    <cfRule type="cellIs" dxfId="8369" priority="1105" operator="lessThan">
      <formula>0.8</formula>
    </cfRule>
    <cfRule type="cellIs" dxfId="8368" priority="1106" operator="greaterThan">
      <formula>1</formula>
    </cfRule>
  </conditionalFormatting>
  <conditionalFormatting sqref="R96:R105">
    <cfRule type="cellIs" dxfId="8367" priority="1103" operator="greaterThan">
      <formula>1</formula>
    </cfRule>
    <cfRule type="cellIs" dxfId="8366" priority="1104" operator="lessThan">
      <formula>0.8</formula>
    </cfRule>
  </conditionalFormatting>
  <conditionalFormatting sqref="P96:P104">
    <cfRule type="cellIs" dxfId="8365" priority="1102" operator="greaterThan">
      <formula>0</formula>
    </cfRule>
  </conditionalFormatting>
  <conditionalFormatting sqref="Q96:Q104">
    <cfRule type="cellIs" dxfId="8364" priority="1101" operator="lessThan">
      <formula>0</formula>
    </cfRule>
  </conditionalFormatting>
  <conditionalFormatting sqref="R96:R105">
    <cfRule type="cellIs" dxfId="8363" priority="1099" operator="lessThan">
      <formula>0.8</formula>
    </cfRule>
    <cfRule type="cellIs" dxfId="8362" priority="1100" operator="greaterThan">
      <formula>1</formula>
    </cfRule>
  </conditionalFormatting>
  <conditionalFormatting sqref="R96:R105">
    <cfRule type="cellIs" dxfId="8361" priority="1097" operator="greaterThan">
      <formula>1</formula>
    </cfRule>
    <cfRule type="cellIs" dxfId="8360" priority="1098" operator="lessThan">
      <formula>0.8</formula>
    </cfRule>
  </conditionalFormatting>
  <conditionalFormatting sqref="P96:P104">
    <cfRule type="cellIs" dxfId="8359" priority="1096" operator="greaterThan">
      <formula>0</formula>
    </cfRule>
  </conditionalFormatting>
  <conditionalFormatting sqref="Q96:Q104">
    <cfRule type="cellIs" dxfId="8358" priority="1090" operator="lessThan">
      <formula>0</formula>
    </cfRule>
  </conditionalFormatting>
  <conditionalFormatting sqref="P96:P104">
    <cfRule type="cellIs" dxfId="8357" priority="1091" operator="greaterThan">
      <formula>0</formula>
    </cfRule>
  </conditionalFormatting>
  <conditionalFormatting sqref="R96:R105">
    <cfRule type="cellIs" dxfId="8356" priority="1094" operator="lessThan">
      <formula>0.8</formula>
    </cfRule>
    <cfRule type="cellIs" dxfId="8355" priority="1095" operator="greaterThan">
      <formula>1</formula>
    </cfRule>
  </conditionalFormatting>
  <conditionalFormatting sqref="R96:R105">
    <cfRule type="cellIs" dxfId="8354" priority="1092" operator="greaterThan">
      <formula>1</formula>
    </cfRule>
    <cfRule type="cellIs" dxfId="8353" priority="1093" operator="lessThan">
      <formula>0.8</formula>
    </cfRule>
  </conditionalFormatting>
  <conditionalFormatting sqref="Q96:Q104">
    <cfRule type="cellIs" dxfId="8352" priority="1084" operator="lessThan">
      <formula>0</formula>
    </cfRule>
  </conditionalFormatting>
  <conditionalFormatting sqref="R96:R105">
    <cfRule type="cellIs" dxfId="8351" priority="1088" operator="lessThan">
      <formula>0.8</formula>
    </cfRule>
    <cfRule type="cellIs" dxfId="8350" priority="1089" operator="greaterThan">
      <formula>1</formula>
    </cfRule>
  </conditionalFormatting>
  <conditionalFormatting sqref="R96:R105">
    <cfRule type="cellIs" dxfId="8349" priority="1086" operator="greaterThan">
      <formula>1</formula>
    </cfRule>
    <cfRule type="cellIs" dxfId="8348" priority="1087" operator="lessThan">
      <formula>0.8</formula>
    </cfRule>
  </conditionalFormatting>
  <conditionalFormatting sqref="P96:P104">
    <cfRule type="cellIs" dxfId="8347" priority="1085" operator="greaterThan">
      <formula>0</formula>
    </cfRule>
  </conditionalFormatting>
  <conditionalFormatting sqref="Q96:Q104">
    <cfRule type="cellIs" dxfId="8346" priority="1083" operator="lessThan">
      <formula>0</formula>
    </cfRule>
  </conditionalFormatting>
  <conditionalFormatting sqref="R96:R105">
    <cfRule type="cellIs" dxfId="8345" priority="1081" operator="lessThan">
      <formula>0.8</formula>
    </cfRule>
    <cfRule type="cellIs" dxfId="8344" priority="1082" operator="greaterThan">
      <formula>1</formula>
    </cfRule>
  </conditionalFormatting>
  <conditionalFormatting sqref="R96:R105">
    <cfRule type="cellIs" dxfId="8343" priority="1079" operator="greaterThan">
      <formula>1</formula>
    </cfRule>
    <cfRule type="cellIs" dxfId="8342" priority="1080" operator="lessThan">
      <formula>0.8</formula>
    </cfRule>
  </conditionalFormatting>
  <conditionalFormatting sqref="P96:P104">
    <cfRule type="cellIs" dxfId="8341" priority="1078" operator="greaterThan">
      <formula>0</formula>
    </cfRule>
  </conditionalFormatting>
  <conditionalFormatting sqref="Q96:Q104">
    <cfRule type="cellIs" dxfId="8340" priority="1077" operator="lessThan">
      <formula>0</formula>
    </cfRule>
  </conditionalFormatting>
  <conditionalFormatting sqref="R96:R105">
    <cfRule type="cellIs" dxfId="8339" priority="1075" operator="lessThan">
      <formula>0.8</formula>
    </cfRule>
    <cfRule type="cellIs" dxfId="8338" priority="1076" operator="greaterThan">
      <formula>1</formula>
    </cfRule>
  </conditionalFormatting>
  <conditionalFormatting sqref="R96:R105">
    <cfRule type="cellIs" dxfId="8337" priority="1073" operator="greaterThan">
      <formula>1</formula>
    </cfRule>
    <cfRule type="cellIs" dxfId="8336" priority="1074" operator="lessThan">
      <formula>0.8</formula>
    </cfRule>
  </conditionalFormatting>
  <conditionalFormatting sqref="P96:P104">
    <cfRule type="cellIs" dxfId="8335" priority="1072" operator="greaterThan">
      <formula>0</formula>
    </cfRule>
  </conditionalFormatting>
  <conditionalFormatting sqref="P124 P127 P131">
    <cfRule type="cellIs" dxfId="8334" priority="1066" operator="greaterThan">
      <formula>0</formula>
    </cfRule>
  </conditionalFormatting>
  <conditionalFormatting sqref="Q124 Q127 Q131">
    <cfRule type="cellIs" dxfId="8333" priority="1071" operator="lessThan">
      <formula>0</formula>
    </cfRule>
  </conditionalFormatting>
  <conditionalFormatting sqref="R124 R127 R131">
    <cfRule type="cellIs" dxfId="8332" priority="1069" operator="lessThan">
      <formula>0.8</formula>
    </cfRule>
    <cfRule type="cellIs" dxfId="8331" priority="1070" operator="greaterThan">
      <formula>1</formula>
    </cfRule>
  </conditionalFormatting>
  <conditionalFormatting sqref="R124 R127 R131">
    <cfRule type="cellIs" dxfId="8330" priority="1067" operator="greaterThan">
      <formula>1</formula>
    </cfRule>
    <cfRule type="cellIs" dxfId="8329" priority="1068" operator="lessThan">
      <formula>0.8</formula>
    </cfRule>
  </conditionalFormatting>
  <conditionalFormatting sqref="Q124 Q127 Q131">
    <cfRule type="cellIs" dxfId="8328" priority="1065" operator="lessThan">
      <formula>0</formula>
    </cfRule>
  </conditionalFormatting>
  <conditionalFormatting sqref="R124 R127 R131">
    <cfRule type="cellIs" dxfId="8327" priority="1063" operator="lessThan">
      <formula>0.8</formula>
    </cfRule>
    <cfRule type="cellIs" dxfId="8326" priority="1064" operator="greaterThan">
      <formula>1</formula>
    </cfRule>
  </conditionalFormatting>
  <conditionalFormatting sqref="R124 R127 R131">
    <cfRule type="cellIs" dxfId="8325" priority="1061" operator="greaterThan">
      <formula>1</formula>
    </cfRule>
    <cfRule type="cellIs" dxfId="8324" priority="1062" operator="lessThan">
      <formula>0.8</formula>
    </cfRule>
  </conditionalFormatting>
  <conditionalFormatting sqref="P124 P127 P131">
    <cfRule type="cellIs" dxfId="8323" priority="1060" operator="greaterThan">
      <formula>0</formula>
    </cfRule>
  </conditionalFormatting>
  <conditionalFormatting sqref="Q123 Q125:Q126 Q128:Q130">
    <cfRule type="cellIs" dxfId="8322" priority="1059" operator="lessThan">
      <formula>0</formula>
    </cfRule>
  </conditionalFormatting>
  <conditionalFormatting sqref="R123 R125:R126 R128:R130">
    <cfRule type="cellIs" dxfId="8321" priority="1057" operator="lessThan">
      <formula>0.8</formula>
    </cfRule>
    <cfRule type="cellIs" dxfId="8320" priority="1058" operator="greaterThan">
      <formula>1</formula>
    </cfRule>
  </conditionalFormatting>
  <conditionalFormatting sqref="R123 R125:R126 R128:R130">
    <cfRule type="cellIs" dxfId="8319" priority="1055" operator="greaterThan">
      <formula>1</formula>
    </cfRule>
    <cfRule type="cellIs" dxfId="8318" priority="1056" operator="lessThan">
      <formula>0.8</formula>
    </cfRule>
  </conditionalFormatting>
  <conditionalFormatting sqref="P123 P125:P126 P128:P130">
    <cfRule type="cellIs" dxfId="8317" priority="1054" operator="greaterThan">
      <formula>0</formula>
    </cfRule>
  </conditionalFormatting>
  <conditionalFormatting sqref="P123 P125:P126 P128:P130">
    <cfRule type="cellIs" dxfId="8316" priority="1048" operator="greaterThan">
      <formula>0</formula>
    </cfRule>
  </conditionalFormatting>
  <conditionalFormatting sqref="Q123 Q125:Q126 Q128:Q130">
    <cfRule type="cellIs" dxfId="8315" priority="1053" operator="lessThan">
      <formula>0</formula>
    </cfRule>
  </conditionalFormatting>
  <conditionalFormatting sqref="R123 R125:R126 R128:R130">
    <cfRule type="cellIs" dxfId="8314" priority="1051" operator="lessThan">
      <formula>0.8</formula>
    </cfRule>
    <cfRule type="cellIs" dxfId="8313" priority="1052" operator="greaterThan">
      <formula>1</formula>
    </cfRule>
  </conditionalFormatting>
  <conditionalFormatting sqref="R123 R125:R126 R128:R130">
    <cfRule type="cellIs" dxfId="8312" priority="1049" operator="greaterThan">
      <formula>1</formula>
    </cfRule>
    <cfRule type="cellIs" dxfId="8311" priority="1050" operator="lessThan">
      <formula>0.8</formula>
    </cfRule>
  </conditionalFormatting>
  <conditionalFormatting sqref="P122">
    <cfRule type="cellIs" dxfId="8310" priority="1042" operator="greaterThan">
      <formula>0</formula>
    </cfRule>
  </conditionalFormatting>
  <conditionalFormatting sqref="Q122">
    <cfRule type="cellIs" dxfId="8309" priority="1047" operator="lessThan">
      <formula>0</formula>
    </cfRule>
  </conditionalFormatting>
  <conditionalFormatting sqref="R122">
    <cfRule type="cellIs" dxfId="8308" priority="1045" operator="lessThan">
      <formula>0.8</formula>
    </cfRule>
    <cfRule type="cellIs" dxfId="8307" priority="1046" operator="greaterThan">
      <formula>1</formula>
    </cfRule>
  </conditionalFormatting>
  <conditionalFormatting sqref="R122">
    <cfRule type="cellIs" dxfId="8306" priority="1043" operator="greaterThan">
      <formula>1</formula>
    </cfRule>
    <cfRule type="cellIs" dxfId="8305" priority="1044" operator="lessThan">
      <formula>0.8</formula>
    </cfRule>
  </conditionalFormatting>
  <conditionalFormatting sqref="Q109:Q116">
    <cfRule type="cellIs" dxfId="8304" priority="1041" operator="lessThan">
      <formula>0</formula>
    </cfRule>
  </conditionalFormatting>
  <conditionalFormatting sqref="R109:R116">
    <cfRule type="cellIs" dxfId="8303" priority="1039" operator="lessThan">
      <formula>0.8</formula>
    </cfRule>
    <cfRule type="cellIs" dxfId="8302" priority="1040" operator="greaterThan">
      <formula>1</formula>
    </cfRule>
  </conditionalFormatting>
  <conditionalFormatting sqref="R109:R116">
    <cfRule type="cellIs" dxfId="8301" priority="1037" operator="greaterThan">
      <formula>1</formula>
    </cfRule>
    <cfRule type="cellIs" dxfId="8300" priority="1038" operator="lessThan">
      <formula>0.8</formula>
    </cfRule>
  </conditionalFormatting>
  <conditionalFormatting sqref="P109:P116">
    <cfRule type="cellIs" dxfId="8299" priority="1036" operator="greaterThan">
      <formula>0</formula>
    </cfRule>
  </conditionalFormatting>
  <conditionalFormatting sqref="P137 P140 P143">
    <cfRule type="cellIs" dxfId="8298" priority="1035" operator="greaterThan">
      <formula>0</formula>
    </cfRule>
  </conditionalFormatting>
  <conditionalFormatting sqref="Q137 Q140 Q143">
    <cfRule type="cellIs" dxfId="8297" priority="1034" operator="lessThan">
      <formula>0</formula>
    </cfRule>
  </conditionalFormatting>
  <conditionalFormatting sqref="R137 R140 R143">
    <cfRule type="cellIs" dxfId="8296" priority="1032" operator="lessThan">
      <formula>0.8</formula>
    </cfRule>
    <cfRule type="cellIs" dxfId="8295" priority="1033" operator="greaterThan">
      <formula>1</formula>
    </cfRule>
  </conditionalFormatting>
  <conditionalFormatting sqref="R137 R140 R143">
    <cfRule type="cellIs" dxfId="8294" priority="1030" operator="greaterThan">
      <formula>1</formula>
    </cfRule>
    <cfRule type="cellIs" dxfId="8293" priority="1031" operator="lessThan">
      <formula>0.8</formula>
    </cfRule>
  </conditionalFormatting>
  <conditionalFormatting sqref="P137 P140 P143">
    <cfRule type="cellIs" dxfId="8292" priority="1029" operator="greaterThan">
      <formula>0</formula>
    </cfRule>
  </conditionalFormatting>
  <conditionalFormatting sqref="Q137 Q140 Q143">
    <cfRule type="cellIs" dxfId="8291" priority="1028" operator="lessThan">
      <formula>0</formula>
    </cfRule>
  </conditionalFormatting>
  <conditionalFormatting sqref="R137 R140 R143">
    <cfRule type="cellIs" dxfId="8290" priority="1026" operator="lessThan">
      <formula>0.8</formula>
    </cfRule>
    <cfRule type="cellIs" dxfId="8289" priority="1027" operator="greaterThan">
      <formula>1</formula>
    </cfRule>
  </conditionalFormatting>
  <conditionalFormatting sqref="R137 R140 R143">
    <cfRule type="cellIs" dxfId="8288" priority="1024" operator="greaterThan">
      <formula>1</formula>
    </cfRule>
    <cfRule type="cellIs" dxfId="8287" priority="1025" operator="lessThan">
      <formula>0.8</formula>
    </cfRule>
  </conditionalFormatting>
  <conditionalFormatting sqref="P137 P140 P143">
    <cfRule type="cellIs" dxfId="8286" priority="1023" operator="greaterThan">
      <formula>0</formula>
    </cfRule>
  </conditionalFormatting>
  <conditionalFormatting sqref="P137 P140 P143">
    <cfRule type="cellIs" dxfId="8285" priority="1017" operator="greaterThan">
      <formula>0</formula>
    </cfRule>
  </conditionalFormatting>
  <conditionalFormatting sqref="Q137 Q140 Q143">
    <cfRule type="cellIs" dxfId="8284" priority="1022" operator="lessThan">
      <formula>0</formula>
    </cfRule>
  </conditionalFormatting>
  <conditionalFormatting sqref="R137 R140 R143">
    <cfRule type="cellIs" dxfId="8283" priority="1020" operator="lessThan">
      <formula>0.8</formula>
    </cfRule>
    <cfRule type="cellIs" dxfId="8282" priority="1021" operator="greaterThan">
      <formula>1</formula>
    </cfRule>
  </conditionalFormatting>
  <conditionalFormatting sqref="R137 R140 R143">
    <cfRule type="cellIs" dxfId="8281" priority="1018" operator="greaterThan">
      <formula>1</formula>
    </cfRule>
    <cfRule type="cellIs" dxfId="8280" priority="1019" operator="lessThan">
      <formula>0.8</formula>
    </cfRule>
  </conditionalFormatting>
  <conditionalFormatting sqref="Q137 Q140 Q143">
    <cfRule type="cellIs" dxfId="8279" priority="1016" operator="lessThan">
      <formula>0</formula>
    </cfRule>
  </conditionalFormatting>
  <conditionalFormatting sqref="R137 R140 R143">
    <cfRule type="cellIs" dxfId="8278" priority="1014" operator="lessThan">
      <formula>0.8</formula>
    </cfRule>
    <cfRule type="cellIs" dxfId="8277" priority="1015" operator="greaterThan">
      <formula>1</formula>
    </cfRule>
  </conditionalFormatting>
  <conditionalFormatting sqref="R137 R140 R143">
    <cfRule type="cellIs" dxfId="8276" priority="1012" operator="greaterThan">
      <formula>1</formula>
    </cfRule>
    <cfRule type="cellIs" dxfId="8275" priority="1013" operator="lessThan">
      <formula>0.8</formula>
    </cfRule>
  </conditionalFormatting>
  <conditionalFormatting sqref="P137 P140 P143">
    <cfRule type="cellIs" dxfId="8274" priority="1011" operator="greaterThan">
      <formula>0</formula>
    </cfRule>
  </conditionalFormatting>
  <conditionalFormatting sqref="Q137 Q140 Q143">
    <cfRule type="cellIs" dxfId="8273" priority="1010" operator="lessThan">
      <formula>0</formula>
    </cfRule>
  </conditionalFormatting>
  <conditionalFormatting sqref="R137 R140 R143">
    <cfRule type="cellIs" dxfId="8272" priority="1008" operator="lessThan">
      <formula>0.8</formula>
    </cfRule>
    <cfRule type="cellIs" dxfId="8271" priority="1009" operator="greaterThan">
      <formula>1</formula>
    </cfRule>
  </conditionalFormatting>
  <conditionalFormatting sqref="R137 R140 R143">
    <cfRule type="cellIs" dxfId="8270" priority="1006" operator="greaterThan">
      <formula>1</formula>
    </cfRule>
    <cfRule type="cellIs" dxfId="8269" priority="1007" operator="lessThan">
      <formula>0.8</formula>
    </cfRule>
  </conditionalFormatting>
  <conditionalFormatting sqref="P137 P140 P143">
    <cfRule type="cellIs" dxfId="8268" priority="1005" operator="greaterThan">
      <formula>0</formula>
    </cfRule>
  </conditionalFormatting>
  <conditionalFormatting sqref="P137 P140 P143">
    <cfRule type="cellIs" dxfId="8267" priority="999" operator="greaterThan">
      <formula>0</formula>
    </cfRule>
  </conditionalFormatting>
  <conditionalFormatting sqref="Q137 Q140 Q143">
    <cfRule type="cellIs" dxfId="8266" priority="1004" operator="lessThan">
      <formula>0</formula>
    </cfRule>
  </conditionalFormatting>
  <conditionalFormatting sqref="R137 R140 R143">
    <cfRule type="cellIs" dxfId="8265" priority="1002" operator="lessThan">
      <formula>0.8</formula>
    </cfRule>
    <cfRule type="cellIs" dxfId="8264" priority="1003" operator="greaterThan">
      <formula>1</formula>
    </cfRule>
  </conditionalFormatting>
  <conditionalFormatting sqref="R137 R140 R143">
    <cfRule type="cellIs" dxfId="8263" priority="1000" operator="greaterThan">
      <formula>1</formula>
    </cfRule>
    <cfRule type="cellIs" dxfId="8262" priority="1001" operator="lessThan">
      <formula>0.8</formula>
    </cfRule>
  </conditionalFormatting>
  <conditionalFormatting sqref="Q137 Q140 Q143">
    <cfRule type="cellIs" dxfId="8261" priority="998" operator="lessThan">
      <formula>0</formula>
    </cfRule>
  </conditionalFormatting>
  <conditionalFormatting sqref="R137 R140 R143">
    <cfRule type="cellIs" dxfId="8260" priority="996" operator="lessThan">
      <formula>0.8</formula>
    </cfRule>
    <cfRule type="cellIs" dxfId="8259" priority="997" operator="greaterThan">
      <formula>1</formula>
    </cfRule>
  </conditionalFormatting>
  <conditionalFormatting sqref="R137 R140 R143">
    <cfRule type="cellIs" dxfId="8258" priority="994" operator="greaterThan">
      <formula>1</formula>
    </cfRule>
    <cfRule type="cellIs" dxfId="8257" priority="995" operator="lessThan">
      <formula>0.8</formula>
    </cfRule>
  </conditionalFormatting>
  <conditionalFormatting sqref="P137 P140 P143">
    <cfRule type="cellIs" dxfId="8256" priority="993" operator="greaterThan">
      <formula>0</formula>
    </cfRule>
  </conditionalFormatting>
  <conditionalFormatting sqref="Q137 Q140 Q143">
    <cfRule type="cellIs" dxfId="8255" priority="992" operator="lessThan">
      <formula>0</formula>
    </cfRule>
  </conditionalFormatting>
  <conditionalFormatting sqref="R137 R140 R143">
    <cfRule type="cellIs" dxfId="8254" priority="990" operator="lessThan">
      <formula>0.8</formula>
    </cfRule>
    <cfRule type="cellIs" dxfId="8253" priority="991" operator="greaterThan">
      <formula>1</formula>
    </cfRule>
  </conditionalFormatting>
  <conditionalFormatting sqref="R137 R140 R143">
    <cfRule type="cellIs" dxfId="8252" priority="988" operator="greaterThan">
      <formula>1</formula>
    </cfRule>
    <cfRule type="cellIs" dxfId="8251" priority="989" operator="lessThan">
      <formula>0.8</formula>
    </cfRule>
  </conditionalFormatting>
  <conditionalFormatting sqref="P137 P140 P143">
    <cfRule type="cellIs" dxfId="8250" priority="987" operator="greaterThan">
      <formula>0</formula>
    </cfRule>
  </conditionalFormatting>
  <conditionalFormatting sqref="P137 P140 P143">
    <cfRule type="cellIs" dxfId="8249" priority="981" operator="greaterThan">
      <formula>0</formula>
    </cfRule>
  </conditionalFormatting>
  <conditionalFormatting sqref="Q137 Q140 Q143">
    <cfRule type="cellIs" dxfId="8248" priority="986" operator="lessThan">
      <formula>0</formula>
    </cfRule>
  </conditionalFormatting>
  <conditionalFormatting sqref="R137 R140 R143">
    <cfRule type="cellIs" dxfId="8247" priority="984" operator="lessThan">
      <formula>0.8</formula>
    </cfRule>
    <cfRule type="cellIs" dxfId="8246" priority="985" operator="greaterThan">
      <formula>1</formula>
    </cfRule>
  </conditionalFormatting>
  <conditionalFormatting sqref="R137 R140 R143">
    <cfRule type="cellIs" dxfId="8245" priority="982" operator="greaterThan">
      <formula>1</formula>
    </cfRule>
    <cfRule type="cellIs" dxfId="8244" priority="983" operator="lessThan">
      <formula>0.8</formula>
    </cfRule>
  </conditionalFormatting>
  <conditionalFormatting sqref="Q137 Q140 Q143">
    <cfRule type="cellIs" dxfId="8243" priority="980" operator="lessThan">
      <formula>0</formula>
    </cfRule>
  </conditionalFormatting>
  <conditionalFormatting sqref="R137 R140 R143">
    <cfRule type="cellIs" dxfId="8242" priority="978" operator="lessThan">
      <formula>0.8</formula>
    </cfRule>
    <cfRule type="cellIs" dxfId="8241" priority="979" operator="greaterThan">
      <formula>1</formula>
    </cfRule>
  </conditionalFormatting>
  <conditionalFormatting sqref="R137 R140 R143">
    <cfRule type="cellIs" dxfId="8240" priority="976" operator="greaterThan">
      <formula>1</formula>
    </cfRule>
    <cfRule type="cellIs" dxfId="8239" priority="977" operator="lessThan">
      <formula>0.8</formula>
    </cfRule>
  </conditionalFormatting>
  <conditionalFormatting sqref="P137 P140 P143">
    <cfRule type="cellIs" dxfId="8238" priority="975" operator="greaterThan">
      <formula>0</formula>
    </cfRule>
  </conditionalFormatting>
  <conditionalFormatting sqref="P138 P141 P144">
    <cfRule type="cellIs" dxfId="8237" priority="969" operator="greaterThan">
      <formula>0</formula>
    </cfRule>
  </conditionalFormatting>
  <conditionalFormatting sqref="Q138 Q141 Q144">
    <cfRule type="cellIs" dxfId="8236" priority="974" operator="lessThan">
      <formula>0</formula>
    </cfRule>
  </conditionalFormatting>
  <conditionalFormatting sqref="R138 R141 R144">
    <cfRule type="cellIs" dxfId="8235" priority="972" operator="lessThan">
      <formula>0.8</formula>
    </cfRule>
    <cfRule type="cellIs" dxfId="8234" priority="973" operator="greaterThan">
      <formula>1</formula>
    </cfRule>
  </conditionalFormatting>
  <conditionalFormatting sqref="R138 R141 R144">
    <cfRule type="cellIs" dxfId="8233" priority="970" operator="greaterThan">
      <formula>1</formula>
    </cfRule>
    <cfRule type="cellIs" dxfId="8232" priority="971" operator="lessThan">
      <formula>0.8</formula>
    </cfRule>
  </conditionalFormatting>
  <conditionalFormatting sqref="Q138 Q141 Q144">
    <cfRule type="cellIs" dxfId="8231" priority="968" operator="lessThan">
      <formula>0</formula>
    </cfRule>
  </conditionalFormatting>
  <conditionalFormatting sqref="R138 R141 R144">
    <cfRule type="cellIs" dxfId="8230" priority="966" operator="lessThan">
      <formula>0.8</formula>
    </cfRule>
    <cfRule type="cellIs" dxfId="8229" priority="967" operator="greaterThan">
      <formula>1</formula>
    </cfRule>
  </conditionalFormatting>
  <conditionalFormatting sqref="R138 R141 R144">
    <cfRule type="cellIs" dxfId="8228" priority="964" operator="greaterThan">
      <formula>1</formula>
    </cfRule>
    <cfRule type="cellIs" dxfId="8227" priority="965" operator="lessThan">
      <formula>0.8</formula>
    </cfRule>
  </conditionalFormatting>
  <conditionalFormatting sqref="P138 P141 P144">
    <cfRule type="cellIs" dxfId="8226" priority="963" operator="greaterThan">
      <formula>0</formula>
    </cfRule>
  </conditionalFormatting>
  <conditionalFormatting sqref="Q138 Q141 Q144">
    <cfRule type="cellIs" dxfId="8225" priority="962" operator="lessThan">
      <formula>0</formula>
    </cfRule>
  </conditionalFormatting>
  <conditionalFormatting sqref="R138 R141 R144">
    <cfRule type="cellIs" dxfId="8224" priority="960" operator="lessThan">
      <formula>0.8</formula>
    </cfRule>
    <cfRule type="cellIs" dxfId="8223" priority="961" operator="greaterThan">
      <formula>1</formula>
    </cfRule>
  </conditionalFormatting>
  <conditionalFormatting sqref="R138 R141 R144">
    <cfRule type="cellIs" dxfId="8222" priority="958" operator="greaterThan">
      <formula>1</formula>
    </cfRule>
    <cfRule type="cellIs" dxfId="8221" priority="959" operator="lessThan">
      <formula>0.8</formula>
    </cfRule>
  </conditionalFormatting>
  <conditionalFormatting sqref="P138 P141 P144">
    <cfRule type="cellIs" dxfId="8220" priority="957" operator="greaterThan">
      <formula>0</formula>
    </cfRule>
  </conditionalFormatting>
  <conditionalFormatting sqref="Q138 Q141 Q144">
    <cfRule type="cellIs" dxfId="8219" priority="956" operator="lessThan">
      <formula>0</formula>
    </cfRule>
  </conditionalFormatting>
  <conditionalFormatting sqref="R138 R141 R144">
    <cfRule type="cellIs" dxfId="8218" priority="954" operator="lessThan">
      <formula>0.8</formula>
    </cfRule>
    <cfRule type="cellIs" dxfId="8217" priority="955" operator="greaterThan">
      <formula>1</formula>
    </cfRule>
  </conditionalFormatting>
  <conditionalFormatting sqref="R138 R141 R144">
    <cfRule type="cellIs" dxfId="8216" priority="952" operator="greaterThan">
      <formula>1</formula>
    </cfRule>
    <cfRule type="cellIs" dxfId="8215" priority="953" operator="lessThan">
      <formula>0.8</formula>
    </cfRule>
  </conditionalFormatting>
  <conditionalFormatting sqref="P138 P141 P144">
    <cfRule type="cellIs" dxfId="8214" priority="951" operator="greaterThan">
      <formula>0</formula>
    </cfRule>
  </conditionalFormatting>
  <conditionalFormatting sqref="Q138 Q141 Q144">
    <cfRule type="cellIs" dxfId="8213" priority="950" operator="lessThan">
      <formula>0</formula>
    </cfRule>
  </conditionalFormatting>
  <conditionalFormatting sqref="R138 R141 R144">
    <cfRule type="cellIs" dxfId="8212" priority="948" operator="lessThan">
      <formula>0.8</formula>
    </cfRule>
    <cfRule type="cellIs" dxfId="8211" priority="949" operator="greaterThan">
      <formula>1</formula>
    </cfRule>
  </conditionalFormatting>
  <conditionalFormatting sqref="R138 R141 R144">
    <cfRule type="cellIs" dxfId="8210" priority="946" operator="greaterThan">
      <formula>1</formula>
    </cfRule>
    <cfRule type="cellIs" dxfId="8209" priority="947" operator="lessThan">
      <formula>0.8</formula>
    </cfRule>
  </conditionalFormatting>
  <conditionalFormatting sqref="Q138 Q141 Q144">
    <cfRule type="cellIs" dxfId="8208" priority="945" operator="lessThan">
      <formula>0</formula>
    </cfRule>
  </conditionalFormatting>
  <conditionalFormatting sqref="R138 R141 R144">
    <cfRule type="cellIs" dxfId="8207" priority="943" operator="lessThan">
      <formula>0.8</formula>
    </cfRule>
    <cfRule type="cellIs" dxfId="8206" priority="944" operator="greaterThan">
      <formula>1</formula>
    </cfRule>
  </conditionalFormatting>
  <conditionalFormatting sqref="R138 R141 R144">
    <cfRule type="cellIs" dxfId="8205" priority="941" operator="greaterThan">
      <formula>1</formula>
    </cfRule>
    <cfRule type="cellIs" dxfId="8204" priority="942" operator="lessThan">
      <formula>0.8</formula>
    </cfRule>
  </conditionalFormatting>
  <conditionalFormatting sqref="P138 P141 P144">
    <cfRule type="cellIs" dxfId="8203" priority="940" operator="greaterThan">
      <formula>0</formula>
    </cfRule>
  </conditionalFormatting>
  <conditionalFormatting sqref="P138 P141 P144">
    <cfRule type="cellIs" dxfId="8202" priority="934" operator="greaterThan">
      <formula>0</formula>
    </cfRule>
  </conditionalFormatting>
  <conditionalFormatting sqref="Q138 Q141 Q144">
    <cfRule type="cellIs" dxfId="8201" priority="939" operator="lessThan">
      <formula>0</formula>
    </cfRule>
  </conditionalFormatting>
  <conditionalFormatting sqref="R138 R141 R144">
    <cfRule type="cellIs" dxfId="8200" priority="937" operator="lessThan">
      <formula>0.8</formula>
    </cfRule>
    <cfRule type="cellIs" dxfId="8199" priority="938" operator="greaterThan">
      <formula>1</formula>
    </cfRule>
  </conditionalFormatting>
  <conditionalFormatting sqref="R138 R141 R144">
    <cfRule type="cellIs" dxfId="8198" priority="935" operator="greaterThan">
      <formula>1</formula>
    </cfRule>
    <cfRule type="cellIs" dxfId="8197" priority="936" operator="lessThan">
      <formula>0.8</formula>
    </cfRule>
  </conditionalFormatting>
  <conditionalFormatting sqref="Q138 Q141 Q144">
    <cfRule type="cellIs" dxfId="8196" priority="933" operator="lessThan">
      <formula>0</formula>
    </cfRule>
  </conditionalFormatting>
  <conditionalFormatting sqref="R138 R141 R144">
    <cfRule type="cellIs" dxfId="8195" priority="931" operator="lessThan">
      <formula>0.8</formula>
    </cfRule>
    <cfRule type="cellIs" dxfId="8194" priority="932" operator="greaterThan">
      <formula>1</formula>
    </cfRule>
  </conditionalFormatting>
  <conditionalFormatting sqref="R138 R141 R144">
    <cfRule type="cellIs" dxfId="8193" priority="929" operator="greaterThan">
      <formula>1</formula>
    </cfRule>
    <cfRule type="cellIs" dxfId="8192" priority="930" operator="lessThan">
      <formula>0.8</formula>
    </cfRule>
  </conditionalFormatting>
  <conditionalFormatting sqref="P138 P141 P144">
    <cfRule type="cellIs" dxfId="8191" priority="928" operator="greaterThan">
      <formula>0</formula>
    </cfRule>
  </conditionalFormatting>
  <conditionalFormatting sqref="Q148:Q153">
    <cfRule type="cellIs" dxfId="8190" priority="927" operator="lessThan">
      <formula>0</formula>
    </cfRule>
  </conditionalFormatting>
  <conditionalFormatting sqref="R148:R153">
    <cfRule type="cellIs" dxfId="8189" priority="925" operator="lessThan">
      <formula>0.8</formula>
    </cfRule>
    <cfRule type="cellIs" dxfId="8188" priority="926" operator="greaterThan">
      <formula>1</formula>
    </cfRule>
  </conditionalFormatting>
  <conditionalFormatting sqref="R148:R153">
    <cfRule type="cellIs" dxfId="8187" priority="923" operator="greaterThan">
      <formula>1</formula>
    </cfRule>
    <cfRule type="cellIs" dxfId="8186" priority="924" operator="lessThan">
      <formula>0.8</formula>
    </cfRule>
  </conditionalFormatting>
  <conditionalFormatting sqref="P148:P153">
    <cfRule type="cellIs" dxfId="8185" priority="922" operator="greaterThan">
      <formula>0</formula>
    </cfRule>
  </conditionalFormatting>
  <conditionalFormatting sqref="P148:P153">
    <cfRule type="cellIs" dxfId="8184" priority="916" operator="greaterThan">
      <formula>0</formula>
    </cfRule>
  </conditionalFormatting>
  <conditionalFormatting sqref="Q148:Q153">
    <cfRule type="cellIs" dxfId="8183" priority="921" operator="lessThan">
      <formula>0</formula>
    </cfRule>
  </conditionalFormatting>
  <conditionalFormatting sqref="R148:R153">
    <cfRule type="cellIs" dxfId="8182" priority="919" operator="lessThan">
      <formula>0.8</formula>
    </cfRule>
    <cfRule type="cellIs" dxfId="8181" priority="920" operator="greaterThan">
      <formula>1</formula>
    </cfRule>
  </conditionalFormatting>
  <conditionalFormatting sqref="R148:R153">
    <cfRule type="cellIs" dxfId="8180" priority="917" operator="greaterThan">
      <formula>1</formula>
    </cfRule>
    <cfRule type="cellIs" dxfId="8179" priority="918" operator="lessThan">
      <formula>0.8</formula>
    </cfRule>
  </conditionalFormatting>
  <conditionalFormatting sqref="Q148:Q153">
    <cfRule type="cellIs" dxfId="8178" priority="915" operator="lessThan">
      <formula>0</formula>
    </cfRule>
  </conditionalFormatting>
  <conditionalFormatting sqref="R148:R153">
    <cfRule type="cellIs" dxfId="8177" priority="913" operator="lessThan">
      <formula>0.8</formula>
    </cfRule>
    <cfRule type="cellIs" dxfId="8176" priority="914" operator="greaterThan">
      <formula>1</formula>
    </cfRule>
  </conditionalFormatting>
  <conditionalFormatting sqref="R148:R153">
    <cfRule type="cellIs" dxfId="8175" priority="911" operator="greaterThan">
      <formula>1</formula>
    </cfRule>
    <cfRule type="cellIs" dxfId="8174" priority="912" operator="lessThan">
      <formula>0.8</formula>
    </cfRule>
  </conditionalFormatting>
  <conditionalFormatting sqref="P148:P153">
    <cfRule type="cellIs" dxfId="8173" priority="910" operator="greaterThan">
      <formula>0</formula>
    </cfRule>
  </conditionalFormatting>
  <conditionalFormatting sqref="Q148:Q153">
    <cfRule type="cellIs" dxfId="8172" priority="909" operator="lessThan">
      <formula>0</formula>
    </cfRule>
  </conditionalFormatting>
  <conditionalFormatting sqref="R148:R153">
    <cfRule type="cellIs" dxfId="8171" priority="907" operator="lessThan">
      <formula>0.8</formula>
    </cfRule>
    <cfRule type="cellIs" dxfId="8170" priority="908" operator="greaterThan">
      <formula>1</formula>
    </cfRule>
  </conditionalFormatting>
  <conditionalFormatting sqref="R148:R153">
    <cfRule type="cellIs" dxfId="8169" priority="905" operator="greaterThan">
      <formula>1</formula>
    </cfRule>
    <cfRule type="cellIs" dxfId="8168" priority="906" operator="lessThan">
      <formula>0.8</formula>
    </cfRule>
  </conditionalFormatting>
  <conditionalFormatting sqref="P148:P153">
    <cfRule type="cellIs" dxfId="8167" priority="904" operator="greaterThan">
      <formula>0</formula>
    </cfRule>
  </conditionalFormatting>
  <conditionalFormatting sqref="P148:P153">
    <cfRule type="cellIs" dxfId="8166" priority="898" operator="greaterThan">
      <formula>0</formula>
    </cfRule>
  </conditionalFormatting>
  <conditionalFormatting sqref="Q148:Q153">
    <cfRule type="cellIs" dxfId="8165" priority="903" operator="lessThan">
      <formula>0</formula>
    </cfRule>
  </conditionalFormatting>
  <conditionalFormatting sqref="R148:R153">
    <cfRule type="cellIs" dxfId="8164" priority="901" operator="lessThan">
      <formula>0.8</formula>
    </cfRule>
    <cfRule type="cellIs" dxfId="8163" priority="902" operator="greaterThan">
      <formula>1</formula>
    </cfRule>
  </conditionalFormatting>
  <conditionalFormatting sqref="R148:R153">
    <cfRule type="cellIs" dxfId="8162" priority="899" operator="greaterThan">
      <formula>1</formula>
    </cfRule>
    <cfRule type="cellIs" dxfId="8161" priority="900" operator="lessThan">
      <formula>0.8</formula>
    </cfRule>
  </conditionalFormatting>
  <conditionalFormatting sqref="Q148:Q153">
    <cfRule type="cellIs" dxfId="8160" priority="897" operator="lessThan">
      <formula>0</formula>
    </cfRule>
  </conditionalFormatting>
  <conditionalFormatting sqref="R148:R153">
    <cfRule type="cellIs" dxfId="8159" priority="895" operator="lessThan">
      <formula>0.8</formula>
    </cfRule>
    <cfRule type="cellIs" dxfId="8158" priority="896" operator="greaterThan">
      <formula>1</formula>
    </cfRule>
  </conditionalFormatting>
  <conditionalFormatting sqref="R148:R153">
    <cfRule type="cellIs" dxfId="8157" priority="893" operator="greaterThan">
      <formula>1</formula>
    </cfRule>
    <cfRule type="cellIs" dxfId="8156" priority="894" operator="lessThan">
      <formula>0.8</formula>
    </cfRule>
  </conditionalFormatting>
  <conditionalFormatting sqref="P148:P153">
    <cfRule type="cellIs" dxfId="8155" priority="892" operator="greaterThan">
      <formula>0</formula>
    </cfRule>
  </conditionalFormatting>
  <conditionalFormatting sqref="Q148:Q153">
    <cfRule type="cellIs" dxfId="8154" priority="886" operator="lessThan">
      <formula>0</formula>
    </cfRule>
  </conditionalFormatting>
  <conditionalFormatting sqref="P148:P153">
    <cfRule type="cellIs" dxfId="8153" priority="887" operator="greaterThan">
      <formula>0</formula>
    </cfRule>
  </conditionalFormatting>
  <conditionalFormatting sqref="R148:R153">
    <cfRule type="cellIs" dxfId="8152" priority="890" operator="lessThan">
      <formula>0.8</formula>
    </cfRule>
    <cfRule type="cellIs" dxfId="8151" priority="891" operator="greaterThan">
      <formula>1</formula>
    </cfRule>
  </conditionalFormatting>
  <conditionalFormatting sqref="R148:R153">
    <cfRule type="cellIs" dxfId="8150" priority="888" operator="greaterThan">
      <formula>1</formula>
    </cfRule>
    <cfRule type="cellIs" dxfId="8149" priority="889" operator="lessThan">
      <formula>0.8</formula>
    </cfRule>
  </conditionalFormatting>
  <conditionalFormatting sqref="Q148:Q153">
    <cfRule type="cellIs" dxfId="8148" priority="880" operator="lessThan">
      <formula>0</formula>
    </cfRule>
  </conditionalFormatting>
  <conditionalFormatting sqref="R148:R153">
    <cfRule type="cellIs" dxfId="8147" priority="884" operator="lessThan">
      <formula>0.8</formula>
    </cfRule>
    <cfRule type="cellIs" dxfId="8146" priority="885" operator="greaterThan">
      <formula>1</formula>
    </cfRule>
  </conditionalFormatting>
  <conditionalFormatting sqref="R148:R153">
    <cfRule type="cellIs" dxfId="8145" priority="882" operator="greaterThan">
      <formula>1</formula>
    </cfRule>
    <cfRule type="cellIs" dxfId="8144" priority="883" operator="lessThan">
      <formula>0.8</formula>
    </cfRule>
  </conditionalFormatting>
  <conditionalFormatting sqref="P148:P153">
    <cfRule type="cellIs" dxfId="8143" priority="881" operator="greaterThan">
      <formula>0</formula>
    </cfRule>
  </conditionalFormatting>
  <conditionalFormatting sqref="Q148:Q153">
    <cfRule type="cellIs" dxfId="8142" priority="879" operator="lessThan">
      <formula>0</formula>
    </cfRule>
  </conditionalFormatting>
  <conditionalFormatting sqref="R148:R153">
    <cfRule type="cellIs" dxfId="8141" priority="877" operator="lessThan">
      <formula>0.8</formula>
    </cfRule>
    <cfRule type="cellIs" dxfId="8140" priority="878" operator="greaterThan">
      <formula>1</formula>
    </cfRule>
  </conditionalFormatting>
  <conditionalFormatting sqref="R148:R153">
    <cfRule type="cellIs" dxfId="8139" priority="875" operator="greaterThan">
      <formula>1</formula>
    </cfRule>
    <cfRule type="cellIs" dxfId="8138" priority="876" operator="lessThan">
      <formula>0.8</formula>
    </cfRule>
  </conditionalFormatting>
  <conditionalFormatting sqref="P148:P153">
    <cfRule type="cellIs" dxfId="8137" priority="874" operator="greaterThan">
      <formula>0</formula>
    </cfRule>
  </conditionalFormatting>
  <conditionalFormatting sqref="Q148:Q153">
    <cfRule type="cellIs" dxfId="8136" priority="873" operator="lessThan">
      <formula>0</formula>
    </cfRule>
  </conditionalFormatting>
  <conditionalFormatting sqref="R148:R153">
    <cfRule type="cellIs" dxfId="8135" priority="871" operator="lessThan">
      <formula>0.8</formula>
    </cfRule>
    <cfRule type="cellIs" dxfId="8134" priority="872" operator="greaterThan">
      <formula>1</formula>
    </cfRule>
  </conditionalFormatting>
  <conditionalFormatting sqref="R148:R153">
    <cfRule type="cellIs" dxfId="8133" priority="869" operator="greaterThan">
      <formula>1</formula>
    </cfRule>
    <cfRule type="cellIs" dxfId="8132" priority="870" operator="lessThan">
      <formula>0.8</formula>
    </cfRule>
  </conditionalFormatting>
  <conditionalFormatting sqref="P148:P153">
    <cfRule type="cellIs" dxfId="8131" priority="868" operator="greaterThan">
      <formula>0</formula>
    </cfRule>
  </conditionalFormatting>
  <conditionalFormatting sqref="Q148:Q153">
    <cfRule type="cellIs" dxfId="8130" priority="867" operator="lessThan">
      <formula>0</formula>
    </cfRule>
  </conditionalFormatting>
  <conditionalFormatting sqref="R148:R153">
    <cfRule type="cellIs" dxfId="8129" priority="865" operator="lessThan">
      <formula>0.8</formula>
    </cfRule>
    <cfRule type="cellIs" dxfId="8128" priority="866" operator="greaterThan">
      <formula>1</formula>
    </cfRule>
  </conditionalFormatting>
  <conditionalFormatting sqref="R148:R153">
    <cfRule type="cellIs" dxfId="8127" priority="863" operator="greaterThan">
      <formula>1</formula>
    </cfRule>
    <cfRule type="cellIs" dxfId="8126" priority="864" operator="lessThan">
      <formula>0.8</formula>
    </cfRule>
  </conditionalFormatting>
  <conditionalFormatting sqref="P148:P153">
    <cfRule type="cellIs" dxfId="8125" priority="862" operator="greaterThan">
      <formula>0</formula>
    </cfRule>
  </conditionalFormatting>
  <conditionalFormatting sqref="Q148:Q153">
    <cfRule type="cellIs" dxfId="8124" priority="861" operator="lessThan">
      <formula>0</formula>
    </cfRule>
  </conditionalFormatting>
  <conditionalFormatting sqref="R148:R153">
    <cfRule type="cellIs" dxfId="8123" priority="859" operator="lessThan">
      <formula>0.8</formula>
    </cfRule>
    <cfRule type="cellIs" dxfId="8122" priority="860" operator="greaterThan">
      <formula>1</formula>
    </cfRule>
  </conditionalFormatting>
  <conditionalFormatting sqref="R148:R153">
    <cfRule type="cellIs" dxfId="8121" priority="857" operator="greaterThan">
      <formula>1</formula>
    </cfRule>
    <cfRule type="cellIs" dxfId="8120" priority="858" operator="lessThan">
      <formula>0.8</formula>
    </cfRule>
  </conditionalFormatting>
  <conditionalFormatting sqref="P148:P153">
    <cfRule type="cellIs" dxfId="8119" priority="856" operator="greaterThan">
      <formula>0</formula>
    </cfRule>
  </conditionalFormatting>
  <conditionalFormatting sqref="Q148:Q153">
    <cfRule type="cellIs" dxfId="8118" priority="855" operator="lessThan">
      <formula>0</formula>
    </cfRule>
  </conditionalFormatting>
  <conditionalFormatting sqref="R148:R153">
    <cfRule type="cellIs" dxfId="8117" priority="853" operator="lessThan">
      <formula>0.8</formula>
    </cfRule>
    <cfRule type="cellIs" dxfId="8116" priority="854" operator="greaterThan">
      <formula>1</formula>
    </cfRule>
  </conditionalFormatting>
  <conditionalFormatting sqref="R148:R153">
    <cfRule type="cellIs" dxfId="8115" priority="851" operator="greaterThan">
      <formula>1</formula>
    </cfRule>
    <cfRule type="cellIs" dxfId="8114" priority="852" operator="lessThan">
      <formula>0.8</formula>
    </cfRule>
  </conditionalFormatting>
  <conditionalFormatting sqref="P148:P153">
    <cfRule type="cellIs" dxfId="8113" priority="850" operator="greaterThan">
      <formula>0</formula>
    </cfRule>
  </conditionalFormatting>
  <conditionalFormatting sqref="Q148:Q153">
    <cfRule type="cellIs" dxfId="8112" priority="849" operator="lessThan">
      <formula>0</formula>
    </cfRule>
  </conditionalFormatting>
  <conditionalFormatting sqref="R148:R153">
    <cfRule type="cellIs" dxfId="8111" priority="847" operator="lessThan">
      <formula>0.8</formula>
    </cfRule>
    <cfRule type="cellIs" dxfId="8110" priority="848" operator="greaterThan">
      <formula>1</formula>
    </cfRule>
  </conditionalFormatting>
  <conditionalFormatting sqref="R148:R153">
    <cfRule type="cellIs" dxfId="8109" priority="845" operator="greaterThan">
      <formula>1</formula>
    </cfRule>
    <cfRule type="cellIs" dxfId="8108" priority="846" operator="lessThan">
      <formula>0.8</formula>
    </cfRule>
  </conditionalFormatting>
  <conditionalFormatting sqref="P148:P153">
    <cfRule type="cellIs" dxfId="8107" priority="844" operator="greaterThan">
      <formula>0</formula>
    </cfRule>
  </conditionalFormatting>
  <conditionalFormatting sqref="Q148:Q153">
    <cfRule type="cellIs" dxfId="8106" priority="843" operator="lessThan">
      <formula>0</formula>
    </cfRule>
  </conditionalFormatting>
  <conditionalFormatting sqref="R148:R153">
    <cfRule type="cellIs" dxfId="8105" priority="841" operator="lessThan">
      <formula>0.8</formula>
    </cfRule>
    <cfRule type="cellIs" dxfId="8104" priority="842" operator="greaterThan">
      <formula>1</formula>
    </cfRule>
  </conditionalFormatting>
  <conditionalFormatting sqref="R148:R153">
    <cfRule type="cellIs" dxfId="8103" priority="839" operator="greaterThan">
      <formula>1</formula>
    </cfRule>
    <cfRule type="cellIs" dxfId="8102" priority="840" operator="lessThan">
      <formula>0.8</formula>
    </cfRule>
  </conditionalFormatting>
  <conditionalFormatting sqref="P148:P153">
    <cfRule type="cellIs" dxfId="8101" priority="838" operator="greaterThan">
      <formula>0</formula>
    </cfRule>
  </conditionalFormatting>
  <conditionalFormatting sqref="P148:P153">
    <cfRule type="cellIs" dxfId="8100" priority="832" operator="greaterThan">
      <formula>0</formula>
    </cfRule>
  </conditionalFormatting>
  <conditionalFormatting sqref="Q148:Q153">
    <cfRule type="cellIs" dxfId="8099" priority="837" operator="lessThan">
      <formula>0</formula>
    </cfRule>
  </conditionalFormatting>
  <conditionalFormatting sqref="R148:R153">
    <cfRule type="cellIs" dxfId="8098" priority="835" operator="lessThan">
      <formula>0.8</formula>
    </cfRule>
    <cfRule type="cellIs" dxfId="8097" priority="836" operator="greaterThan">
      <formula>1</formula>
    </cfRule>
  </conditionalFormatting>
  <conditionalFormatting sqref="R148:R153">
    <cfRule type="cellIs" dxfId="8096" priority="833" operator="greaterThan">
      <formula>1</formula>
    </cfRule>
    <cfRule type="cellIs" dxfId="8095" priority="834" operator="lessThan">
      <formula>0.8</formula>
    </cfRule>
  </conditionalFormatting>
  <conditionalFormatting sqref="P148:P153">
    <cfRule type="cellIs" dxfId="8094" priority="826" operator="greaterThan">
      <formula>0</formula>
    </cfRule>
  </conditionalFormatting>
  <conditionalFormatting sqref="Q148:Q153">
    <cfRule type="cellIs" dxfId="8093" priority="831" operator="lessThan">
      <formula>0</formula>
    </cfRule>
  </conditionalFormatting>
  <conditionalFormatting sqref="R148:R153">
    <cfRule type="cellIs" dxfId="8092" priority="829" operator="lessThan">
      <formula>0.8</formula>
    </cfRule>
    <cfRule type="cellIs" dxfId="8091" priority="830" operator="greaterThan">
      <formula>1</formula>
    </cfRule>
  </conditionalFormatting>
  <conditionalFormatting sqref="R148:R153">
    <cfRule type="cellIs" dxfId="8090" priority="827" operator="greaterThan">
      <formula>1</formula>
    </cfRule>
    <cfRule type="cellIs" dxfId="8089" priority="828" operator="lessThan">
      <formula>0.8</formula>
    </cfRule>
  </conditionalFormatting>
  <conditionalFormatting sqref="R148:R153">
    <cfRule type="cellIs" dxfId="8088" priority="823" operator="lessThan">
      <formula>0.8</formula>
    </cfRule>
    <cfRule type="cellIs" dxfId="8087" priority="824" operator="greaterThan">
      <formula>1</formula>
    </cfRule>
  </conditionalFormatting>
  <conditionalFormatting sqref="R148:R153">
    <cfRule type="cellIs" dxfId="8086" priority="821" operator="greaterThan">
      <formula>1</formula>
    </cfRule>
    <cfRule type="cellIs" dxfId="8085" priority="822" operator="lessThan">
      <formula>0.8</formula>
    </cfRule>
  </conditionalFormatting>
  <conditionalFormatting sqref="P148:P153">
    <cfRule type="cellIs" dxfId="8084" priority="820" operator="greaterThan">
      <formula>0</formula>
    </cfRule>
  </conditionalFormatting>
  <conditionalFormatting sqref="Q148:Q153">
    <cfRule type="cellIs" dxfId="8083" priority="825" operator="lessThan">
      <formula>0</formula>
    </cfRule>
  </conditionalFormatting>
  <conditionalFormatting sqref="Q148:Q153">
    <cfRule type="cellIs" dxfId="8082" priority="819" operator="lessThan">
      <formula>0</formula>
    </cfRule>
  </conditionalFormatting>
  <conditionalFormatting sqref="R148:R153">
    <cfRule type="cellIs" dxfId="8081" priority="817" operator="lessThan">
      <formula>0.8</formula>
    </cfRule>
    <cfRule type="cellIs" dxfId="8080" priority="818" operator="greaterThan">
      <formula>1</formula>
    </cfRule>
  </conditionalFormatting>
  <conditionalFormatting sqref="R148:R153">
    <cfRule type="cellIs" dxfId="8079" priority="815" operator="greaterThan">
      <formula>1</formula>
    </cfRule>
    <cfRule type="cellIs" dxfId="8078" priority="816" operator="lessThan">
      <formula>0.8</formula>
    </cfRule>
  </conditionalFormatting>
  <conditionalFormatting sqref="P148:P153">
    <cfRule type="cellIs" dxfId="8077" priority="814" operator="greaterThan">
      <formula>0</formula>
    </cfRule>
  </conditionalFormatting>
  <conditionalFormatting sqref="P148:P153">
    <cfRule type="cellIs" dxfId="8076" priority="808" operator="greaterThan">
      <formula>0</formula>
    </cfRule>
  </conditionalFormatting>
  <conditionalFormatting sqref="Q148:Q153">
    <cfRule type="cellIs" dxfId="8075" priority="813" operator="lessThan">
      <formula>0</formula>
    </cfRule>
  </conditionalFormatting>
  <conditionalFormatting sqref="R148:R153">
    <cfRule type="cellIs" dxfId="8074" priority="811" operator="lessThan">
      <formula>0.8</formula>
    </cfRule>
    <cfRule type="cellIs" dxfId="8073" priority="812" operator="greaterThan">
      <formula>1</formula>
    </cfRule>
  </conditionalFormatting>
  <conditionalFormatting sqref="R148:R153">
    <cfRule type="cellIs" dxfId="8072" priority="809" operator="greaterThan">
      <formula>1</formula>
    </cfRule>
    <cfRule type="cellIs" dxfId="8071" priority="810" operator="lessThan">
      <formula>0.8</formula>
    </cfRule>
  </conditionalFormatting>
  <conditionalFormatting sqref="P148:P153">
    <cfRule type="cellIs" dxfId="8070" priority="802" operator="greaterThan">
      <formula>0</formula>
    </cfRule>
  </conditionalFormatting>
  <conditionalFormatting sqref="Q148:Q153">
    <cfRule type="cellIs" dxfId="8069" priority="807" operator="lessThan">
      <formula>0</formula>
    </cfRule>
  </conditionalFormatting>
  <conditionalFormatting sqref="R148:R153">
    <cfRule type="cellIs" dxfId="8068" priority="805" operator="lessThan">
      <formula>0.8</formula>
    </cfRule>
    <cfRule type="cellIs" dxfId="8067" priority="806" operator="greaterThan">
      <formula>1</formula>
    </cfRule>
  </conditionalFormatting>
  <conditionalFormatting sqref="R148:R153">
    <cfRule type="cellIs" dxfId="8066" priority="803" operator="greaterThan">
      <formula>1</formula>
    </cfRule>
    <cfRule type="cellIs" dxfId="8065" priority="804" operator="lessThan">
      <formula>0.8</formula>
    </cfRule>
  </conditionalFormatting>
  <conditionalFormatting sqref="R148:R153">
    <cfRule type="cellIs" dxfId="8064" priority="799" operator="lessThan">
      <formula>0.8</formula>
    </cfRule>
    <cfRule type="cellIs" dxfId="8063" priority="800" operator="greaterThan">
      <formula>1</formula>
    </cfRule>
  </conditionalFormatting>
  <conditionalFormatting sqref="R148:R153">
    <cfRule type="cellIs" dxfId="8062" priority="797" operator="greaterThan">
      <formula>1</formula>
    </cfRule>
    <cfRule type="cellIs" dxfId="8061" priority="798" operator="lessThan">
      <formula>0.8</formula>
    </cfRule>
  </conditionalFormatting>
  <conditionalFormatting sqref="P148:P153">
    <cfRule type="cellIs" dxfId="8060" priority="796" operator="greaterThan">
      <formula>0</formula>
    </cfRule>
  </conditionalFormatting>
  <conditionalFormatting sqref="Q148:Q153">
    <cfRule type="cellIs" dxfId="8059" priority="801" operator="lessThan">
      <formula>0</formula>
    </cfRule>
  </conditionalFormatting>
  <conditionalFormatting sqref="P148:P153">
    <cfRule type="cellIs" dxfId="8058" priority="790" operator="greaterThan">
      <formula>0</formula>
    </cfRule>
  </conditionalFormatting>
  <conditionalFormatting sqref="Q148:Q153">
    <cfRule type="cellIs" dxfId="8057" priority="795" operator="lessThan">
      <formula>0</formula>
    </cfRule>
  </conditionalFormatting>
  <conditionalFormatting sqref="R148:R153">
    <cfRule type="cellIs" dxfId="8056" priority="793" operator="lessThan">
      <formula>0.8</formula>
    </cfRule>
    <cfRule type="cellIs" dxfId="8055" priority="794" operator="greaterThan">
      <formula>1</formula>
    </cfRule>
  </conditionalFormatting>
  <conditionalFormatting sqref="R148:R153">
    <cfRule type="cellIs" dxfId="8054" priority="791" operator="greaterThan">
      <formula>1</formula>
    </cfRule>
    <cfRule type="cellIs" dxfId="8053" priority="792" operator="lessThan">
      <formula>0.8</formula>
    </cfRule>
  </conditionalFormatting>
  <conditionalFormatting sqref="R148:R153">
    <cfRule type="cellIs" dxfId="8052" priority="787" operator="lessThan">
      <formula>0.8</formula>
    </cfRule>
    <cfRule type="cellIs" dxfId="8051" priority="788" operator="greaterThan">
      <formula>1</formula>
    </cfRule>
  </conditionalFormatting>
  <conditionalFormatting sqref="R148:R153">
    <cfRule type="cellIs" dxfId="8050" priority="785" operator="greaterThan">
      <formula>1</formula>
    </cfRule>
    <cfRule type="cellIs" dxfId="8049" priority="786" operator="lessThan">
      <formula>0.8</formula>
    </cfRule>
  </conditionalFormatting>
  <conditionalFormatting sqref="P148:P153">
    <cfRule type="cellIs" dxfId="8048" priority="784" operator="greaterThan">
      <formula>0</formula>
    </cfRule>
  </conditionalFormatting>
  <conditionalFormatting sqref="Q148:Q153">
    <cfRule type="cellIs" dxfId="8047" priority="789" operator="lessThan">
      <formula>0</formula>
    </cfRule>
  </conditionalFormatting>
  <conditionalFormatting sqref="R148:R153">
    <cfRule type="cellIs" dxfId="8046" priority="781" operator="lessThan">
      <formula>0.8</formula>
    </cfRule>
    <cfRule type="cellIs" dxfId="8045" priority="782" operator="greaterThan">
      <formula>1</formula>
    </cfRule>
  </conditionalFormatting>
  <conditionalFormatting sqref="R148:R153">
    <cfRule type="cellIs" dxfId="8044" priority="779" operator="greaterThan">
      <formula>1</formula>
    </cfRule>
    <cfRule type="cellIs" dxfId="8043" priority="780" operator="lessThan">
      <formula>0.8</formula>
    </cfRule>
  </conditionalFormatting>
  <conditionalFormatting sqref="P148:P153">
    <cfRule type="cellIs" dxfId="8042" priority="778" operator="greaterThan">
      <formula>0</formula>
    </cfRule>
  </conditionalFormatting>
  <conditionalFormatting sqref="Q148:Q153">
    <cfRule type="cellIs" dxfId="8041" priority="783" operator="lessThan">
      <formula>0</formula>
    </cfRule>
  </conditionalFormatting>
  <conditionalFormatting sqref="Q148:Q153">
    <cfRule type="cellIs" dxfId="8040" priority="777" operator="lessThan">
      <formula>0</formula>
    </cfRule>
  </conditionalFormatting>
  <conditionalFormatting sqref="R148:R153">
    <cfRule type="cellIs" dxfId="8039" priority="775" operator="lessThan">
      <formula>0.8</formula>
    </cfRule>
    <cfRule type="cellIs" dxfId="8038" priority="776" operator="greaterThan">
      <formula>1</formula>
    </cfRule>
  </conditionalFormatting>
  <conditionalFormatting sqref="R148:R153">
    <cfRule type="cellIs" dxfId="8037" priority="773" operator="greaterThan">
      <formula>1</formula>
    </cfRule>
    <cfRule type="cellIs" dxfId="8036" priority="774" operator="lessThan">
      <formula>0.8</formula>
    </cfRule>
  </conditionalFormatting>
  <conditionalFormatting sqref="P148:P153">
    <cfRule type="cellIs" dxfId="8035" priority="772" operator="greaterThan">
      <formula>0</formula>
    </cfRule>
  </conditionalFormatting>
  <conditionalFormatting sqref="Q148:Q153">
    <cfRule type="cellIs" dxfId="8034" priority="766" operator="lessThan">
      <formula>0</formula>
    </cfRule>
  </conditionalFormatting>
  <conditionalFormatting sqref="R148:R153">
    <cfRule type="cellIs" dxfId="8033" priority="770" operator="lessThan">
      <formula>0.8</formula>
    </cfRule>
    <cfRule type="cellIs" dxfId="8032" priority="771" operator="greaterThan">
      <formula>1</formula>
    </cfRule>
  </conditionalFormatting>
  <conditionalFormatting sqref="R148:R153">
    <cfRule type="cellIs" dxfId="8031" priority="768" operator="greaterThan">
      <formula>1</formula>
    </cfRule>
    <cfRule type="cellIs" dxfId="8030" priority="769" operator="lessThan">
      <formula>0.8</formula>
    </cfRule>
  </conditionalFormatting>
  <conditionalFormatting sqref="P148:P153">
    <cfRule type="cellIs" dxfId="8029" priority="767" operator="greaterThan">
      <formula>0</formula>
    </cfRule>
  </conditionalFormatting>
  <conditionalFormatting sqref="Q148:Q153">
    <cfRule type="cellIs" dxfId="8028" priority="765" operator="lessThan">
      <formula>0</formula>
    </cfRule>
  </conditionalFormatting>
  <conditionalFormatting sqref="R148:R153">
    <cfRule type="cellIs" dxfId="8027" priority="763" operator="lessThan">
      <formula>0.8</formula>
    </cfRule>
    <cfRule type="cellIs" dxfId="8026" priority="764" operator="greaterThan">
      <formula>1</formula>
    </cfRule>
  </conditionalFormatting>
  <conditionalFormatting sqref="R148:R153">
    <cfRule type="cellIs" dxfId="8025" priority="761" operator="greaterThan">
      <formula>1</formula>
    </cfRule>
    <cfRule type="cellIs" dxfId="8024" priority="762" operator="lessThan">
      <formula>0.8</formula>
    </cfRule>
  </conditionalFormatting>
  <conditionalFormatting sqref="P148:P153">
    <cfRule type="cellIs" dxfId="8023" priority="760" operator="greaterThan">
      <formula>0</formula>
    </cfRule>
  </conditionalFormatting>
  <conditionalFormatting sqref="Q148:Q153">
    <cfRule type="cellIs" dxfId="8022" priority="759" operator="lessThan">
      <formula>0</formula>
    </cfRule>
  </conditionalFormatting>
  <conditionalFormatting sqref="R148:R153">
    <cfRule type="cellIs" dxfId="8021" priority="757" operator="lessThan">
      <formula>0.8</formula>
    </cfRule>
    <cfRule type="cellIs" dxfId="8020" priority="758" operator="greaterThan">
      <formula>1</formula>
    </cfRule>
  </conditionalFormatting>
  <conditionalFormatting sqref="R148:R153">
    <cfRule type="cellIs" dxfId="8019" priority="755" operator="greaterThan">
      <formula>1</formula>
    </cfRule>
    <cfRule type="cellIs" dxfId="8018" priority="756" operator="lessThan">
      <formula>0.8</formula>
    </cfRule>
  </conditionalFormatting>
  <conditionalFormatting sqref="P148:P153">
    <cfRule type="cellIs" dxfId="8017" priority="754" operator="greaterThan">
      <formula>0</formula>
    </cfRule>
  </conditionalFormatting>
  <conditionalFormatting sqref="Q148:Q153">
    <cfRule type="cellIs" dxfId="8016" priority="753" operator="lessThan">
      <formula>0</formula>
    </cfRule>
  </conditionalFormatting>
  <conditionalFormatting sqref="R148:R153">
    <cfRule type="cellIs" dxfId="8015" priority="751" operator="lessThan">
      <formula>0.8</formula>
    </cfRule>
    <cfRule type="cellIs" dxfId="8014" priority="752" operator="greaterThan">
      <formula>1</formula>
    </cfRule>
  </conditionalFormatting>
  <conditionalFormatting sqref="R148:R153">
    <cfRule type="cellIs" dxfId="8013" priority="749" operator="greaterThan">
      <formula>1</formula>
    </cfRule>
    <cfRule type="cellIs" dxfId="8012" priority="750" operator="lessThan">
      <formula>0.8</formula>
    </cfRule>
  </conditionalFormatting>
  <conditionalFormatting sqref="P148:P153">
    <cfRule type="cellIs" dxfId="8011" priority="748" operator="greaterThan">
      <formula>0</formula>
    </cfRule>
  </conditionalFormatting>
  <conditionalFormatting sqref="Q148:Q153">
    <cfRule type="cellIs" dxfId="8010" priority="747" operator="lessThan">
      <formula>0</formula>
    </cfRule>
  </conditionalFormatting>
  <conditionalFormatting sqref="R148:R153">
    <cfRule type="cellIs" dxfId="8009" priority="745" operator="lessThan">
      <formula>0.8</formula>
    </cfRule>
    <cfRule type="cellIs" dxfId="8008" priority="746" operator="greaterThan">
      <formula>1</formula>
    </cfRule>
  </conditionalFormatting>
  <conditionalFormatting sqref="R148:R153">
    <cfRule type="cellIs" dxfId="8007" priority="743" operator="greaterThan">
      <formula>1</formula>
    </cfRule>
    <cfRule type="cellIs" dxfId="8006" priority="744" operator="lessThan">
      <formula>0.8</formula>
    </cfRule>
  </conditionalFormatting>
  <conditionalFormatting sqref="P148:P153">
    <cfRule type="cellIs" dxfId="8005" priority="742" operator="greaterThan">
      <formula>0</formula>
    </cfRule>
  </conditionalFormatting>
  <conditionalFormatting sqref="Q148:Q153">
    <cfRule type="cellIs" dxfId="8004" priority="741" operator="lessThan">
      <formula>0</formula>
    </cfRule>
  </conditionalFormatting>
  <conditionalFormatting sqref="R148:R153">
    <cfRule type="cellIs" dxfId="8003" priority="739" operator="lessThan">
      <formula>0.8</formula>
    </cfRule>
    <cfRule type="cellIs" dxfId="8002" priority="740" operator="greaterThan">
      <formula>1</formula>
    </cfRule>
  </conditionalFormatting>
  <conditionalFormatting sqref="R148:R153">
    <cfRule type="cellIs" dxfId="8001" priority="737" operator="greaterThan">
      <formula>1</formula>
    </cfRule>
    <cfRule type="cellIs" dxfId="8000" priority="738" operator="lessThan">
      <formula>0.8</formula>
    </cfRule>
  </conditionalFormatting>
  <conditionalFormatting sqref="P148:P153">
    <cfRule type="cellIs" dxfId="7999" priority="736" operator="greaterThan">
      <formula>0</formula>
    </cfRule>
  </conditionalFormatting>
  <conditionalFormatting sqref="P148:P153">
    <cfRule type="cellIs" dxfId="7998" priority="730" operator="greaterThan">
      <formula>0</formula>
    </cfRule>
  </conditionalFormatting>
  <conditionalFormatting sqref="Q148:Q153">
    <cfRule type="cellIs" dxfId="7997" priority="735" operator="lessThan">
      <formula>0</formula>
    </cfRule>
  </conditionalFormatting>
  <conditionalFormatting sqref="R148:R153">
    <cfRule type="cellIs" dxfId="7996" priority="733" operator="lessThan">
      <formula>0.8</formula>
    </cfRule>
    <cfRule type="cellIs" dxfId="7995" priority="734" operator="greaterThan">
      <formula>1</formula>
    </cfRule>
  </conditionalFormatting>
  <conditionalFormatting sqref="R148:R153">
    <cfRule type="cellIs" dxfId="7994" priority="731" operator="greaterThan">
      <formula>1</formula>
    </cfRule>
    <cfRule type="cellIs" dxfId="7993" priority="732" operator="lessThan">
      <formula>0.8</formula>
    </cfRule>
  </conditionalFormatting>
  <conditionalFormatting sqref="P148:P153">
    <cfRule type="cellIs" dxfId="7992" priority="724" operator="greaterThan">
      <formula>0</formula>
    </cfRule>
  </conditionalFormatting>
  <conditionalFormatting sqref="Q148:Q153">
    <cfRule type="cellIs" dxfId="7991" priority="729" operator="lessThan">
      <formula>0</formula>
    </cfRule>
  </conditionalFormatting>
  <conditionalFormatting sqref="R148:R153">
    <cfRule type="cellIs" dxfId="7990" priority="727" operator="lessThan">
      <formula>0.8</formula>
    </cfRule>
    <cfRule type="cellIs" dxfId="7989" priority="728" operator="greaterThan">
      <formula>1</formula>
    </cfRule>
  </conditionalFormatting>
  <conditionalFormatting sqref="R148:R153">
    <cfRule type="cellIs" dxfId="7988" priority="725" operator="greaterThan">
      <formula>1</formula>
    </cfRule>
    <cfRule type="cellIs" dxfId="7987" priority="726" operator="lessThan">
      <formula>0.8</formula>
    </cfRule>
  </conditionalFormatting>
  <conditionalFormatting sqref="R148:R153">
    <cfRule type="cellIs" dxfId="7986" priority="721" operator="lessThan">
      <formula>0.8</formula>
    </cfRule>
    <cfRule type="cellIs" dxfId="7985" priority="722" operator="greaterThan">
      <formula>1</formula>
    </cfRule>
  </conditionalFormatting>
  <conditionalFormatting sqref="R148:R153">
    <cfRule type="cellIs" dxfId="7984" priority="719" operator="greaterThan">
      <formula>1</formula>
    </cfRule>
    <cfRule type="cellIs" dxfId="7983" priority="720" operator="lessThan">
      <formula>0.8</formula>
    </cfRule>
  </conditionalFormatting>
  <conditionalFormatting sqref="P148:P153">
    <cfRule type="cellIs" dxfId="7982" priority="718" operator="greaterThan">
      <formula>0</formula>
    </cfRule>
  </conditionalFormatting>
  <conditionalFormatting sqref="Q148:Q153">
    <cfRule type="cellIs" dxfId="7981" priority="723" operator="lessThan">
      <formula>0</formula>
    </cfRule>
  </conditionalFormatting>
  <conditionalFormatting sqref="P44:P51">
    <cfRule type="cellIs" dxfId="7980" priority="712" operator="greaterThan">
      <formula>0</formula>
    </cfRule>
  </conditionalFormatting>
  <conditionalFormatting sqref="Q44:Q51">
    <cfRule type="cellIs" dxfId="7979" priority="717" operator="lessThan">
      <formula>0</formula>
    </cfRule>
  </conditionalFormatting>
  <conditionalFormatting sqref="R44:R51">
    <cfRule type="cellIs" dxfId="7978" priority="715" operator="lessThan">
      <formula>0.8</formula>
    </cfRule>
    <cfRule type="cellIs" dxfId="7977" priority="716" operator="greaterThan">
      <formula>1</formula>
    </cfRule>
  </conditionalFormatting>
  <conditionalFormatting sqref="R44:R51">
    <cfRule type="cellIs" dxfId="7976" priority="713" operator="greaterThan">
      <formula>1</formula>
    </cfRule>
    <cfRule type="cellIs" dxfId="7975" priority="714" operator="lessThan">
      <formula>0.8</formula>
    </cfRule>
  </conditionalFormatting>
  <conditionalFormatting sqref="Q84:Q91">
    <cfRule type="cellIs" dxfId="7974" priority="711" operator="lessThan">
      <formula>0</formula>
    </cfRule>
  </conditionalFormatting>
  <conditionalFormatting sqref="R84:R91">
    <cfRule type="cellIs" dxfId="7973" priority="709" operator="lessThan">
      <formula>0.8</formula>
    </cfRule>
    <cfRule type="cellIs" dxfId="7972" priority="710" operator="greaterThan">
      <formula>1</formula>
    </cfRule>
  </conditionalFormatting>
  <conditionalFormatting sqref="R84:R91">
    <cfRule type="cellIs" dxfId="7971" priority="707" operator="greaterThan">
      <formula>1</formula>
    </cfRule>
    <cfRule type="cellIs" dxfId="7970" priority="708" operator="lessThan">
      <formula>0.8</formula>
    </cfRule>
  </conditionalFormatting>
  <conditionalFormatting sqref="P84:P91">
    <cfRule type="cellIs" dxfId="7969" priority="706" operator="greaterThan">
      <formula>0</formula>
    </cfRule>
  </conditionalFormatting>
  <conditionalFormatting sqref="Q84:Q91">
    <cfRule type="cellIs" dxfId="7968" priority="705" operator="lessThan">
      <formula>0</formula>
    </cfRule>
  </conditionalFormatting>
  <conditionalFormatting sqref="R84:R91">
    <cfRule type="cellIs" dxfId="7967" priority="703" operator="lessThan">
      <formula>0.8</formula>
    </cfRule>
    <cfRule type="cellIs" dxfId="7966" priority="704" operator="greaterThan">
      <formula>1</formula>
    </cfRule>
  </conditionalFormatting>
  <conditionalFormatting sqref="R84:R91">
    <cfRule type="cellIs" dxfId="7965" priority="701" operator="greaterThan">
      <formula>1</formula>
    </cfRule>
    <cfRule type="cellIs" dxfId="7964" priority="702" operator="lessThan">
      <formula>0.8</formula>
    </cfRule>
  </conditionalFormatting>
  <conditionalFormatting sqref="P84:P91">
    <cfRule type="cellIs" dxfId="7963" priority="700" operator="greaterThan">
      <formula>0</formula>
    </cfRule>
  </conditionalFormatting>
  <conditionalFormatting sqref="Q84:Q91">
    <cfRule type="cellIs" dxfId="7962" priority="699" operator="lessThan">
      <formula>0</formula>
    </cfRule>
  </conditionalFormatting>
  <conditionalFormatting sqref="R84:R91">
    <cfRule type="cellIs" dxfId="7961" priority="697" operator="lessThan">
      <formula>0.8</formula>
    </cfRule>
    <cfRule type="cellIs" dxfId="7960" priority="698" operator="greaterThan">
      <formula>1</formula>
    </cfRule>
  </conditionalFormatting>
  <conditionalFormatting sqref="R84:R91">
    <cfRule type="cellIs" dxfId="7959" priority="695" operator="greaterThan">
      <formula>1</formula>
    </cfRule>
    <cfRule type="cellIs" dxfId="7958" priority="696" operator="lessThan">
      <formula>0.8</formula>
    </cfRule>
  </conditionalFormatting>
  <conditionalFormatting sqref="P84:P91">
    <cfRule type="cellIs" dxfId="7957" priority="694" operator="greaterThan">
      <formula>0</formula>
    </cfRule>
  </conditionalFormatting>
  <conditionalFormatting sqref="Q84:Q91">
    <cfRule type="cellIs" dxfId="7956" priority="693" operator="lessThan">
      <formula>0</formula>
    </cfRule>
  </conditionalFormatting>
  <conditionalFormatting sqref="R84:R91">
    <cfRule type="cellIs" dxfId="7955" priority="691" operator="lessThan">
      <formula>0.8</formula>
    </cfRule>
    <cfRule type="cellIs" dxfId="7954" priority="692" operator="greaterThan">
      <formula>1</formula>
    </cfRule>
  </conditionalFormatting>
  <conditionalFormatting sqref="R84:R91">
    <cfRule type="cellIs" dxfId="7953" priority="689" operator="greaterThan">
      <formula>1</formula>
    </cfRule>
    <cfRule type="cellIs" dxfId="7952" priority="690" operator="lessThan">
      <formula>0.8</formula>
    </cfRule>
  </conditionalFormatting>
  <conditionalFormatting sqref="P84:P91">
    <cfRule type="cellIs" dxfId="7951" priority="688" operator="greaterThan">
      <formula>0</formula>
    </cfRule>
  </conditionalFormatting>
  <conditionalFormatting sqref="P84:P91">
    <cfRule type="cellIs" dxfId="7950" priority="682" operator="greaterThan">
      <formula>0</formula>
    </cfRule>
  </conditionalFormatting>
  <conditionalFormatting sqref="Q84:Q91">
    <cfRule type="cellIs" dxfId="7949" priority="687" operator="lessThan">
      <formula>0</formula>
    </cfRule>
  </conditionalFormatting>
  <conditionalFormatting sqref="R84:R91">
    <cfRule type="cellIs" dxfId="7948" priority="685" operator="lessThan">
      <formula>0.8</formula>
    </cfRule>
    <cfRule type="cellIs" dxfId="7947" priority="686" operator="greaterThan">
      <formula>1</formula>
    </cfRule>
  </conditionalFormatting>
  <conditionalFormatting sqref="R84:R91">
    <cfRule type="cellIs" dxfId="7946" priority="683" operator="greaterThan">
      <formula>1</formula>
    </cfRule>
    <cfRule type="cellIs" dxfId="7945" priority="684" operator="lessThan">
      <formula>0.8</formula>
    </cfRule>
  </conditionalFormatting>
  <conditionalFormatting sqref="P84:P91">
    <cfRule type="cellIs" dxfId="7944" priority="676" operator="greaterThan">
      <formula>0</formula>
    </cfRule>
  </conditionalFormatting>
  <conditionalFormatting sqref="Q84:Q91">
    <cfRule type="cellIs" dxfId="7943" priority="681" operator="lessThan">
      <formula>0</formula>
    </cfRule>
  </conditionalFormatting>
  <conditionalFormatting sqref="R84:R91">
    <cfRule type="cellIs" dxfId="7942" priority="679" operator="lessThan">
      <formula>0.8</formula>
    </cfRule>
    <cfRule type="cellIs" dxfId="7941" priority="680" operator="greaterThan">
      <formula>1</formula>
    </cfRule>
  </conditionalFormatting>
  <conditionalFormatting sqref="R84:R91">
    <cfRule type="cellIs" dxfId="7940" priority="677" operator="greaterThan">
      <formula>1</formula>
    </cfRule>
    <cfRule type="cellIs" dxfId="7939" priority="678" operator="lessThan">
      <formula>0.8</formula>
    </cfRule>
  </conditionalFormatting>
  <conditionalFormatting sqref="R84:R91">
    <cfRule type="cellIs" dxfId="7938" priority="673" operator="lessThan">
      <formula>0.8</formula>
    </cfRule>
    <cfRule type="cellIs" dxfId="7937" priority="674" operator="greaterThan">
      <formula>1</formula>
    </cfRule>
  </conditionalFormatting>
  <conditionalFormatting sqref="R84:R91">
    <cfRule type="cellIs" dxfId="7936" priority="671" operator="greaterThan">
      <formula>1</formula>
    </cfRule>
    <cfRule type="cellIs" dxfId="7935" priority="672" operator="lessThan">
      <formula>0.8</formula>
    </cfRule>
  </conditionalFormatting>
  <conditionalFormatting sqref="P84:P91">
    <cfRule type="cellIs" dxfId="7934" priority="670" operator="greaterThan">
      <formula>0</formula>
    </cfRule>
  </conditionalFormatting>
  <conditionalFormatting sqref="Q84:Q91">
    <cfRule type="cellIs" dxfId="7933" priority="675" operator="lessThan">
      <formula>0</formula>
    </cfRule>
  </conditionalFormatting>
  <conditionalFormatting sqref="Q84:Q91">
    <cfRule type="cellIs" dxfId="7932" priority="669" operator="lessThan">
      <formula>0</formula>
    </cfRule>
  </conditionalFormatting>
  <conditionalFormatting sqref="R84:R91">
    <cfRule type="cellIs" dxfId="7931" priority="667" operator="lessThan">
      <formula>0.8</formula>
    </cfRule>
    <cfRule type="cellIs" dxfId="7930" priority="668" operator="greaterThan">
      <formula>1</formula>
    </cfRule>
  </conditionalFormatting>
  <conditionalFormatting sqref="R84:R91">
    <cfRule type="cellIs" dxfId="7929" priority="665" operator="greaterThan">
      <formula>1</formula>
    </cfRule>
    <cfRule type="cellIs" dxfId="7928" priority="666" operator="lessThan">
      <formula>0.8</formula>
    </cfRule>
  </conditionalFormatting>
  <conditionalFormatting sqref="P84:P91">
    <cfRule type="cellIs" dxfId="7927" priority="664" operator="greaterThan">
      <formula>0</formula>
    </cfRule>
  </conditionalFormatting>
  <conditionalFormatting sqref="P84:P91">
    <cfRule type="cellIs" dxfId="7926" priority="658" operator="greaterThan">
      <formula>0</formula>
    </cfRule>
  </conditionalFormatting>
  <conditionalFormatting sqref="Q84:Q91">
    <cfRule type="cellIs" dxfId="7925" priority="663" operator="lessThan">
      <formula>0</formula>
    </cfRule>
  </conditionalFormatting>
  <conditionalFormatting sqref="R84:R91">
    <cfRule type="cellIs" dxfId="7924" priority="661" operator="lessThan">
      <formula>0.8</formula>
    </cfRule>
    <cfRule type="cellIs" dxfId="7923" priority="662" operator="greaterThan">
      <formula>1</formula>
    </cfRule>
  </conditionalFormatting>
  <conditionalFormatting sqref="R84:R91">
    <cfRule type="cellIs" dxfId="7922" priority="659" operator="greaterThan">
      <formula>1</formula>
    </cfRule>
    <cfRule type="cellIs" dxfId="7921" priority="660" operator="lessThan">
      <formula>0.8</formula>
    </cfRule>
  </conditionalFormatting>
  <conditionalFormatting sqref="P84:P91">
    <cfRule type="cellIs" dxfId="7920" priority="652" operator="greaterThan">
      <formula>0</formula>
    </cfRule>
  </conditionalFormatting>
  <conditionalFormatting sqref="Q84:Q91">
    <cfRule type="cellIs" dxfId="7919" priority="657" operator="lessThan">
      <formula>0</formula>
    </cfRule>
  </conditionalFormatting>
  <conditionalFormatting sqref="R84:R91">
    <cfRule type="cellIs" dxfId="7918" priority="655" operator="lessThan">
      <formula>0.8</formula>
    </cfRule>
    <cfRule type="cellIs" dxfId="7917" priority="656" operator="greaterThan">
      <formula>1</formula>
    </cfRule>
  </conditionalFormatting>
  <conditionalFormatting sqref="R84:R91">
    <cfRule type="cellIs" dxfId="7916" priority="653" operator="greaterThan">
      <formula>1</formula>
    </cfRule>
    <cfRule type="cellIs" dxfId="7915" priority="654" operator="lessThan">
      <formula>0.8</formula>
    </cfRule>
  </conditionalFormatting>
  <conditionalFormatting sqref="R84:R91">
    <cfRule type="cellIs" dxfId="7914" priority="649" operator="lessThan">
      <formula>0.8</formula>
    </cfRule>
    <cfRule type="cellIs" dxfId="7913" priority="650" operator="greaterThan">
      <formula>1</formula>
    </cfRule>
  </conditionalFormatting>
  <conditionalFormatting sqref="R84:R91">
    <cfRule type="cellIs" dxfId="7912" priority="647" operator="greaterThan">
      <formula>1</formula>
    </cfRule>
    <cfRule type="cellIs" dxfId="7911" priority="648" operator="lessThan">
      <formula>0.8</formula>
    </cfRule>
  </conditionalFormatting>
  <conditionalFormatting sqref="P84:P91">
    <cfRule type="cellIs" dxfId="7910" priority="646" operator="greaterThan">
      <formula>0</formula>
    </cfRule>
  </conditionalFormatting>
  <conditionalFormatting sqref="Q84:Q91">
    <cfRule type="cellIs" dxfId="7909" priority="651" operator="lessThan">
      <formula>0</formula>
    </cfRule>
  </conditionalFormatting>
  <conditionalFormatting sqref="P84:P91">
    <cfRule type="cellIs" dxfId="7908" priority="640" operator="greaterThan">
      <formula>0</formula>
    </cfRule>
  </conditionalFormatting>
  <conditionalFormatting sqref="Q84:Q91">
    <cfRule type="cellIs" dxfId="7907" priority="645" operator="lessThan">
      <formula>0</formula>
    </cfRule>
  </conditionalFormatting>
  <conditionalFormatting sqref="R84:R91">
    <cfRule type="cellIs" dxfId="7906" priority="643" operator="lessThan">
      <formula>0.8</formula>
    </cfRule>
    <cfRule type="cellIs" dxfId="7905" priority="644" operator="greaterThan">
      <formula>1</formula>
    </cfRule>
  </conditionalFormatting>
  <conditionalFormatting sqref="R84:R91">
    <cfRule type="cellIs" dxfId="7904" priority="641" operator="greaterThan">
      <formula>1</formula>
    </cfRule>
    <cfRule type="cellIs" dxfId="7903" priority="642" operator="lessThan">
      <formula>0.8</formula>
    </cfRule>
  </conditionalFormatting>
  <conditionalFormatting sqref="R84:R91">
    <cfRule type="cellIs" dxfId="7902" priority="637" operator="lessThan">
      <formula>0.8</formula>
    </cfRule>
    <cfRule type="cellIs" dxfId="7901" priority="638" operator="greaterThan">
      <formula>1</formula>
    </cfRule>
  </conditionalFormatting>
  <conditionalFormatting sqref="R84:R91">
    <cfRule type="cellIs" dxfId="7900" priority="635" operator="greaterThan">
      <formula>1</formula>
    </cfRule>
    <cfRule type="cellIs" dxfId="7899" priority="636" operator="lessThan">
      <formula>0.8</formula>
    </cfRule>
  </conditionalFormatting>
  <conditionalFormatting sqref="P84:P91">
    <cfRule type="cellIs" dxfId="7898" priority="634" operator="greaterThan">
      <formula>0</formula>
    </cfRule>
  </conditionalFormatting>
  <conditionalFormatting sqref="Q84:Q91">
    <cfRule type="cellIs" dxfId="7897" priority="639" operator="lessThan">
      <formula>0</formula>
    </cfRule>
  </conditionalFormatting>
  <conditionalFormatting sqref="R84:R91">
    <cfRule type="cellIs" dxfId="7896" priority="631" operator="lessThan">
      <formula>0.8</formula>
    </cfRule>
    <cfRule type="cellIs" dxfId="7895" priority="632" operator="greaterThan">
      <formula>1</formula>
    </cfRule>
  </conditionalFormatting>
  <conditionalFormatting sqref="R84:R91">
    <cfRule type="cellIs" dxfId="7894" priority="629" operator="greaterThan">
      <formula>1</formula>
    </cfRule>
    <cfRule type="cellIs" dxfId="7893" priority="630" operator="lessThan">
      <formula>0.8</formula>
    </cfRule>
  </conditionalFormatting>
  <conditionalFormatting sqref="P84:P91">
    <cfRule type="cellIs" dxfId="7892" priority="628" operator="greaterThan">
      <formula>0</formula>
    </cfRule>
  </conditionalFormatting>
  <conditionalFormatting sqref="Q84:Q91">
    <cfRule type="cellIs" dxfId="7891" priority="633" operator="lessThan">
      <formula>0</formula>
    </cfRule>
  </conditionalFormatting>
  <conditionalFormatting sqref="Q84:Q91">
    <cfRule type="cellIs" dxfId="7890" priority="627" operator="lessThan">
      <formula>0</formula>
    </cfRule>
  </conditionalFormatting>
  <conditionalFormatting sqref="R84:R91">
    <cfRule type="cellIs" dxfId="7889" priority="625" operator="lessThan">
      <formula>0.8</formula>
    </cfRule>
    <cfRule type="cellIs" dxfId="7888" priority="626" operator="greaterThan">
      <formula>1</formula>
    </cfRule>
  </conditionalFormatting>
  <conditionalFormatting sqref="R84:R91">
    <cfRule type="cellIs" dxfId="7887" priority="623" operator="greaterThan">
      <formula>1</formula>
    </cfRule>
    <cfRule type="cellIs" dxfId="7886" priority="624" operator="lessThan">
      <formula>0.8</formula>
    </cfRule>
  </conditionalFormatting>
  <conditionalFormatting sqref="P84:P91">
    <cfRule type="cellIs" dxfId="7885" priority="622" operator="greaterThan">
      <formula>0</formula>
    </cfRule>
  </conditionalFormatting>
  <conditionalFormatting sqref="Q84:Q91">
    <cfRule type="cellIs" dxfId="7884" priority="616" operator="lessThan">
      <formula>0</formula>
    </cfRule>
  </conditionalFormatting>
  <conditionalFormatting sqref="R84:R91">
    <cfRule type="cellIs" dxfId="7883" priority="620" operator="lessThan">
      <formula>0.8</formula>
    </cfRule>
    <cfRule type="cellIs" dxfId="7882" priority="621" operator="greaterThan">
      <formula>1</formula>
    </cfRule>
  </conditionalFormatting>
  <conditionalFormatting sqref="R84:R91">
    <cfRule type="cellIs" dxfId="7881" priority="618" operator="greaterThan">
      <formula>1</formula>
    </cfRule>
    <cfRule type="cellIs" dxfId="7880" priority="619" operator="lessThan">
      <formula>0.8</formula>
    </cfRule>
  </conditionalFormatting>
  <conditionalFormatting sqref="P84:P91">
    <cfRule type="cellIs" dxfId="7879" priority="617" operator="greaterThan">
      <formula>0</formula>
    </cfRule>
  </conditionalFormatting>
  <conditionalFormatting sqref="Q84:Q91">
    <cfRule type="cellIs" dxfId="7878" priority="615" operator="lessThan">
      <formula>0</formula>
    </cfRule>
  </conditionalFormatting>
  <conditionalFormatting sqref="R84:R91">
    <cfRule type="cellIs" dxfId="7877" priority="613" operator="lessThan">
      <formula>0.8</formula>
    </cfRule>
    <cfRule type="cellIs" dxfId="7876" priority="614" operator="greaterThan">
      <formula>1</formula>
    </cfRule>
  </conditionalFormatting>
  <conditionalFormatting sqref="R84:R91">
    <cfRule type="cellIs" dxfId="7875" priority="611" operator="greaterThan">
      <formula>1</formula>
    </cfRule>
    <cfRule type="cellIs" dxfId="7874" priority="612" operator="lessThan">
      <formula>0.8</formula>
    </cfRule>
  </conditionalFormatting>
  <conditionalFormatting sqref="P84:P91">
    <cfRule type="cellIs" dxfId="7873" priority="610" operator="greaterThan">
      <formula>0</formula>
    </cfRule>
  </conditionalFormatting>
  <conditionalFormatting sqref="Q84:Q91">
    <cfRule type="cellIs" dxfId="7872" priority="609" operator="lessThan">
      <formula>0</formula>
    </cfRule>
  </conditionalFormatting>
  <conditionalFormatting sqref="R84:R91">
    <cfRule type="cellIs" dxfId="7871" priority="607" operator="lessThan">
      <formula>0.8</formula>
    </cfRule>
    <cfRule type="cellIs" dxfId="7870" priority="608" operator="greaterThan">
      <formula>1</formula>
    </cfRule>
  </conditionalFormatting>
  <conditionalFormatting sqref="R84:R91">
    <cfRule type="cellIs" dxfId="7869" priority="605" operator="greaterThan">
      <formula>1</formula>
    </cfRule>
    <cfRule type="cellIs" dxfId="7868" priority="606" operator="lessThan">
      <formula>0.8</formula>
    </cfRule>
  </conditionalFormatting>
  <conditionalFormatting sqref="P84:P91">
    <cfRule type="cellIs" dxfId="7867" priority="604" operator="greaterThan">
      <formula>0</formula>
    </cfRule>
  </conditionalFormatting>
  <conditionalFormatting sqref="Q84:Q91">
    <cfRule type="cellIs" dxfId="7866" priority="603" operator="lessThan">
      <formula>0</formula>
    </cfRule>
  </conditionalFormatting>
  <conditionalFormatting sqref="R84:R91">
    <cfRule type="cellIs" dxfId="7865" priority="601" operator="lessThan">
      <formula>0.8</formula>
    </cfRule>
    <cfRule type="cellIs" dxfId="7864" priority="602" operator="greaterThan">
      <formula>1</formula>
    </cfRule>
  </conditionalFormatting>
  <conditionalFormatting sqref="R84:R91">
    <cfRule type="cellIs" dxfId="7863" priority="599" operator="greaterThan">
      <formula>1</formula>
    </cfRule>
    <cfRule type="cellIs" dxfId="7862" priority="600" operator="lessThan">
      <formula>0.8</formula>
    </cfRule>
  </conditionalFormatting>
  <conditionalFormatting sqref="P84:P91">
    <cfRule type="cellIs" dxfId="7861" priority="598" operator="greaterThan">
      <formula>0</formula>
    </cfRule>
  </conditionalFormatting>
  <conditionalFormatting sqref="Q84:Q91">
    <cfRule type="cellIs" dxfId="7860" priority="597" operator="lessThan">
      <formula>0</formula>
    </cfRule>
  </conditionalFormatting>
  <conditionalFormatting sqref="R84:R91">
    <cfRule type="cellIs" dxfId="7859" priority="595" operator="lessThan">
      <formula>0.8</formula>
    </cfRule>
    <cfRule type="cellIs" dxfId="7858" priority="596" operator="greaterThan">
      <formula>1</formula>
    </cfRule>
  </conditionalFormatting>
  <conditionalFormatting sqref="R84:R91">
    <cfRule type="cellIs" dxfId="7857" priority="593" operator="greaterThan">
      <formula>1</formula>
    </cfRule>
    <cfRule type="cellIs" dxfId="7856" priority="594" operator="lessThan">
      <formula>0.8</formula>
    </cfRule>
  </conditionalFormatting>
  <conditionalFormatting sqref="P84:P91">
    <cfRule type="cellIs" dxfId="7855" priority="592" operator="greaterThan">
      <formula>0</formula>
    </cfRule>
  </conditionalFormatting>
  <conditionalFormatting sqref="Q84:Q91">
    <cfRule type="cellIs" dxfId="7854" priority="591" operator="lessThan">
      <formula>0</formula>
    </cfRule>
  </conditionalFormatting>
  <conditionalFormatting sqref="R84:R91">
    <cfRule type="cellIs" dxfId="7853" priority="589" operator="lessThan">
      <formula>0.8</formula>
    </cfRule>
    <cfRule type="cellIs" dxfId="7852" priority="590" operator="greaterThan">
      <formula>1</formula>
    </cfRule>
  </conditionalFormatting>
  <conditionalFormatting sqref="R84:R91">
    <cfRule type="cellIs" dxfId="7851" priority="587" operator="greaterThan">
      <formula>1</formula>
    </cfRule>
    <cfRule type="cellIs" dxfId="7850" priority="588" operator="lessThan">
      <formula>0.8</formula>
    </cfRule>
  </conditionalFormatting>
  <conditionalFormatting sqref="P84:P91">
    <cfRule type="cellIs" dxfId="7849" priority="586" operator="greaterThan">
      <formula>0</formula>
    </cfRule>
  </conditionalFormatting>
  <conditionalFormatting sqref="P84:P91">
    <cfRule type="cellIs" dxfId="7848" priority="580" operator="greaterThan">
      <formula>0</formula>
    </cfRule>
  </conditionalFormatting>
  <conditionalFormatting sqref="Q84:Q91">
    <cfRule type="cellIs" dxfId="7847" priority="585" operator="lessThan">
      <formula>0</formula>
    </cfRule>
  </conditionalFormatting>
  <conditionalFormatting sqref="R84:R91">
    <cfRule type="cellIs" dxfId="7846" priority="583" operator="lessThan">
      <formula>0.8</formula>
    </cfRule>
    <cfRule type="cellIs" dxfId="7845" priority="584" operator="greaterThan">
      <formula>1</formula>
    </cfRule>
  </conditionalFormatting>
  <conditionalFormatting sqref="R84:R91">
    <cfRule type="cellIs" dxfId="7844" priority="581" operator="greaterThan">
      <formula>1</formula>
    </cfRule>
    <cfRule type="cellIs" dxfId="7843" priority="582" operator="lessThan">
      <formula>0.8</formula>
    </cfRule>
  </conditionalFormatting>
  <conditionalFormatting sqref="P84:P91">
    <cfRule type="cellIs" dxfId="7842" priority="574" operator="greaterThan">
      <formula>0</formula>
    </cfRule>
  </conditionalFormatting>
  <conditionalFormatting sqref="Q84:Q91">
    <cfRule type="cellIs" dxfId="7841" priority="579" operator="lessThan">
      <formula>0</formula>
    </cfRule>
  </conditionalFormatting>
  <conditionalFormatting sqref="R84:R91">
    <cfRule type="cellIs" dxfId="7840" priority="577" operator="lessThan">
      <formula>0.8</formula>
    </cfRule>
    <cfRule type="cellIs" dxfId="7839" priority="578" operator="greaterThan">
      <formula>1</formula>
    </cfRule>
  </conditionalFormatting>
  <conditionalFormatting sqref="R84:R91">
    <cfRule type="cellIs" dxfId="7838" priority="575" operator="greaterThan">
      <formula>1</formula>
    </cfRule>
    <cfRule type="cellIs" dxfId="7837" priority="576" operator="lessThan">
      <formula>0.8</formula>
    </cfRule>
  </conditionalFormatting>
  <conditionalFormatting sqref="R84:R91">
    <cfRule type="cellIs" dxfId="7836" priority="571" operator="lessThan">
      <formula>0.8</formula>
    </cfRule>
    <cfRule type="cellIs" dxfId="7835" priority="572" operator="greaterThan">
      <formula>1</formula>
    </cfRule>
  </conditionalFormatting>
  <conditionalFormatting sqref="R84:R91">
    <cfRule type="cellIs" dxfId="7834" priority="569" operator="greaterThan">
      <formula>1</formula>
    </cfRule>
    <cfRule type="cellIs" dxfId="7833" priority="570" operator="lessThan">
      <formula>0.8</formula>
    </cfRule>
  </conditionalFormatting>
  <conditionalFormatting sqref="P84:P91">
    <cfRule type="cellIs" dxfId="7832" priority="568" operator="greaterThan">
      <formula>0</formula>
    </cfRule>
  </conditionalFormatting>
  <conditionalFormatting sqref="Q84:Q91">
    <cfRule type="cellIs" dxfId="7831" priority="573" operator="lessThan">
      <formula>0</formula>
    </cfRule>
  </conditionalFormatting>
  <conditionalFormatting sqref="Q84:Q91">
    <cfRule type="cellIs" dxfId="7830" priority="567" operator="lessThan">
      <formula>0</formula>
    </cfRule>
  </conditionalFormatting>
  <conditionalFormatting sqref="R84:R91">
    <cfRule type="cellIs" dxfId="7829" priority="565" operator="lessThan">
      <formula>0.8</formula>
    </cfRule>
    <cfRule type="cellIs" dxfId="7828" priority="566" operator="greaterThan">
      <formula>1</formula>
    </cfRule>
  </conditionalFormatting>
  <conditionalFormatting sqref="R84:R91">
    <cfRule type="cellIs" dxfId="7827" priority="563" operator="greaterThan">
      <formula>1</formula>
    </cfRule>
    <cfRule type="cellIs" dxfId="7826" priority="564" operator="lessThan">
      <formula>0.8</formula>
    </cfRule>
  </conditionalFormatting>
  <conditionalFormatting sqref="P84:P91">
    <cfRule type="cellIs" dxfId="7825" priority="562" operator="greaterThan">
      <formula>0</formula>
    </cfRule>
  </conditionalFormatting>
  <conditionalFormatting sqref="Q84:Q91">
    <cfRule type="cellIs" dxfId="7824" priority="561" operator="lessThan">
      <formula>0</formula>
    </cfRule>
  </conditionalFormatting>
  <conditionalFormatting sqref="R84:R91">
    <cfRule type="cellIs" dxfId="7823" priority="559" operator="lessThan">
      <formula>0.8</formula>
    </cfRule>
    <cfRule type="cellIs" dxfId="7822" priority="560" operator="greaterThan">
      <formula>1</formula>
    </cfRule>
  </conditionalFormatting>
  <conditionalFormatting sqref="R84:R91">
    <cfRule type="cellIs" dxfId="7821" priority="557" operator="greaterThan">
      <formula>1</formula>
    </cfRule>
    <cfRule type="cellIs" dxfId="7820" priority="558" operator="lessThan">
      <formula>0.8</formula>
    </cfRule>
  </conditionalFormatting>
  <conditionalFormatting sqref="P84:P91">
    <cfRule type="cellIs" dxfId="7819" priority="556" operator="greaterThan">
      <formula>0</formula>
    </cfRule>
  </conditionalFormatting>
  <conditionalFormatting sqref="Q84:Q91">
    <cfRule type="cellIs" dxfId="7818" priority="555" operator="lessThan">
      <formula>0</formula>
    </cfRule>
  </conditionalFormatting>
  <conditionalFormatting sqref="R84:R91">
    <cfRule type="cellIs" dxfId="7817" priority="553" operator="lessThan">
      <formula>0.8</formula>
    </cfRule>
    <cfRule type="cellIs" dxfId="7816" priority="554" operator="greaterThan">
      <formula>1</formula>
    </cfRule>
  </conditionalFormatting>
  <conditionalFormatting sqref="R84:R91">
    <cfRule type="cellIs" dxfId="7815" priority="551" operator="greaterThan">
      <formula>1</formula>
    </cfRule>
    <cfRule type="cellIs" dxfId="7814" priority="552" operator="lessThan">
      <formula>0.8</formula>
    </cfRule>
  </conditionalFormatting>
  <conditionalFormatting sqref="P84:P91">
    <cfRule type="cellIs" dxfId="7813" priority="550" operator="greaterThan">
      <formula>0</formula>
    </cfRule>
  </conditionalFormatting>
  <conditionalFormatting sqref="Q84:Q91">
    <cfRule type="cellIs" dxfId="7812" priority="549" operator="lessThan">
      <formula>0</formula>
    </cfRule>
  </conditionalFormatting>
  <conditionalFormatting sqref="R84:R91">
    <cfRule type="cellIs" dxfId="7811" priority="547" operator="lessThan">
      <formula>0.8</formula>
    </cfRule>
    <cfRule type="cellIs" dxfId="7810" priority="548" operator="greaterThan">
      <formula>1</formula>
    </cfRule>
  </conditionalFormatting>
  <conditionalFormatting sqref="R84:R91">
    <cfRule type="cellIs" dxfId="7809" priority="545" operator="greaterThan">
      <formula>1</formula>
    </cfRule>
    <cfRule type="cellIs" dxfId="7808" priority="546" operator="lessThan">
      <formula>0.8</formula>
    </cfRule>
  </conditionalFormatting>
  <conditionalFormatting sqref="P84:P91">
    <cfRule type="cellIs" dxfId="7807" priority="544" operator="greaterThan">
      <formula>0</formula>
    </cfRule>
  </conditionalFormatting>
  <conditionalFormatting sqref="P84:P91">
    <cfRule type="cellIs" dxfId="7806" priority="538" operator="greaterThan">
      <formula>0</formula>
    </cfRule>
  </conditionalFormatting>
  <conditionalFormatting sqref="Q84:Q91">
    <cfRule type="cellIs" dxfId="7805" priority="543" operator="lessThan">
      <formula>0</formula>
    </cfRule>
  </conditionalFormatting>
  <conditionalFormatting sqref="R84:R91">
    <cfRule type="cellIs" dxfId="7804" priority="541" operator="lessThan">
      <formula>0.8</formula>
    </cfRule>
    <cfRule type="cellIs" dxfId="7803" priority="542" operator="greaterThan">
      <formula>1</formula>
    </cfRule>
  </conditionalFormatting>
  <conditionalFormatting sqref="R84:R91">
    <cfRule type="cellIs" dxfId="7802" priority="539" operator="greaterThan">
      <formula>1</formula>
    </cfRule>
    <cfRule type="cellIs" dxfId="7801" priority="540" operator="lessThan">
      <formula>0.8</formula>
    </cfRule>
  </conditionalFormatting>
  <conditionalFormatting sqref="P84:P91">
    <cfRule type="cellIs" dxfId="7800" priority="532" operator="greaterThan">
      <formula>0</formula>
    </cfRule>
  </conditionalFormatting>
  <conditionalFormatting sqref="Q84:Q91">
    <cfRule type="cellIs" dxfId="7799" priority="537" operator="lessThan">
      <formula>0</formula>
    </cfRule>
  </conditionalFormatting>
  <conditionalFormatting sqref="R84:R91">
    <cfRule type="cellIs" dxfId="7798" priority="535" operator="lessThan">
      <formula>0.8</formula>
    </cfRule>
    <cfRule type="cellIs" dxfId="7797" priority="536" operator="greaterThan">
      <formula>1</formula>
    </cfRule>
  </conditionalFormatting>
  <conditionalFormatting sqref="R84:R91">
    <cfRule type="cellIs" dxfId="7796" priority="533" operator="greaterThan">
      <formula>1</formula>
    </cfRule>
    <cfRule type="cellIs" dxfId="7795" priority="534" operator="lessThan">
      <formula>0.8</formula>
    </cfRule>
  </conditionalFormatting>
  <conditionalFormatting sqref="R84:R91">
    <cfRule type="cellIs" dxfId="7794" priority="529" operator="lessThan">
      <formula>0.8</formula>
    </cfRule>
    <cfRule type="cellIs" dxfId="7793" priority="530" operator="greaterThan">
      <formula>1</formula>
    </cfRule>
  </conditionalFormatting>
  <conditionalFormatting sqref="R84:R91">
    <cfRule type="cellIs" dxfId="7792" priority="527" operator="greaterThan">
      <formula>1</formula>
    </cfRule>
    <cfRule type="cellIs" dxfId="7791" priority="528" operator="lessThan">
      <formula>0.8</formula>
    </cfRule>
  </conditionalFormatting>
  <conditionalFormatting sqref="P84:P91">
    <cfRule type="cellIs" dxfId="7790" priority="526" operator="greaterThan">
      <formula>0</formula>
    </cfRule>
  </conditionalFormatting>
  <conditionalFormatting sqref="Q84:Q91">
    <cfRule type="cellIs" dxfId="7789" priority="531" operator="lessThan">
      <formula>0</formula>
    </cfRule>
  </conditionalFormatting>
  <conditionalFormatting sqref="Q84:Q91">
    <cfRule type="cellIs" dxfId="7788" priority="525" operator="lessThan">
      <formula>0</formula>
    </cfRule>
  </conditionalFormatting>
  <conditionalFormatting sqref="R84:R91">
    <cfRule type="cellIs" dxfId="7787" priority="523" operator="lessThan">
      <formula>0.8</formula>
    </cfRule>
    <cfRule type="cellIs" dxfId="7786" priority="524" operator="greaterThan">
      <formula>1</formula>
    </cfRule>
  </conditionalFormatting>
  <conditionalFormatting sqref="R84:R91">
    <cfRule type="cellIs" dxfId="7785" priority="521" operator="greaterThan">
      <formula>1</formula>
    </cfRule>
    <cfRule type="cellIs" dxfId="7784" priority="522" operator="lessThan">
      <formula>0.8</formula>
    </cfRule>
  </conditionalFormatting>
  <conditionalFormatting sqref="P84:P91">
    <cfRule type="cellIs" dxfId="7783" priority="520" operator="greaterThan">
      <formula>0</formula>
    </cfRule>
  </conditionalFormatting>
  <conditionalFormatting sqref="P84:P91">
    <cfRule type="cellIs" dxfId="7782" priority="514" operator="greaterThan">
      <formula>0</formula>
    </cfRule>
  </conditionalFormatting>
  <conditionalFormatting sqref="Q84:Q91">
    <cfRule type="cellIs" dxfId="7781" priority="519" operator="lessThan">
      <formula>0</formula>
    </cfRule>
  </conditionalFormatting>
  <conditionalFormatting sqref="R84:R91">
    <cfRule type="cellIs" dxfId="7780" priority="517" operator="lessThan">
      <formula>0.8</formula>
    </cfRule>
    <cfRule type="cellIs" dxfId="7779" priority="518" operator="greaterThan">
      <formula>1</formula>
    </cfRule>
  </conditionalFormatting>
  <conditionalFormatting sqref="R84:R91">
    <cfRule type="cellIs" dxfId="7778" priority="515" operator="greaterThan">
      <formula>1</formula>
    </cfRule>
    <cfRule type="cellIs" dxfId="7777" priority="516" operator="lessThan">
      <formula>0.8</formula>
    </cfRule>
  </conditionalFormatting>
  <conditionalFormatting sqref="P84:P91">
    <cfRule type="cellIs" dxfId="7776" priority="508" operator="greaterThan">
      <formula>0</formula>
    </cfRule>
  </conditionalFormatting>
  <conditionalFormatting sqref="Q84:Q91">
    <cfRule type="cellIs" dxfId="7775" priority="513" operator="lessThan">
      <formula>0</formula>
    </cfRule>
  </conditionalFormatting>
  <conditionalFormatting sqref="R84:R91">
    <cfRule type="cellIs" dxfId="7774" priority="511" operator="lessThan">
      <formula>0.8</formula>
    </cfRule>
    <cfRule type="cellIs" dxfId="7773" priority="512" operator="greaterThan">
      <formula>1</formula>
    </cfRule>
  </conditionalFormatting>
  <conditionalFormatting sqref="R84:R91">
    <cfRule type="cellIs" dxfId="7772" priority="509" operator="greaterThan">
      <formula>1</formula>
    </cfRule>
    <cfRule type="cellIs" dxfId="7771" priority="510" operator="lessThan">
      <formula>0.8</formula>
    </cfRule>
  </conditionalFormatting>
  <conditionalFormatting sqref="R84:R91">
    <cfRule type="cellIs" dxfId="7770" priority="505" operator="lessThan">
      <formula>0.8</formula>
    </cfRule>
    <cfRule type="cellIs" dxfId="7769" priority="506" operator="greaterThan">
      <formula>1</formula>
    </cfRule>
  </conditionalFormatting>
  <conditionalFormatting sqref="R84:R91">
    <cfRule type="cellIs" dxfId="7768" priority="503" operator="greaterThan">
      <formula>1</formula>
    </cfRule>
    <cfRule type="cellIs" dxfId="7767" priority="504" operator="lessThan">
      <formula>0.8</formula>
    </cfRule>
  </conditionalFormatting>
  <conditionalFormatting sqref="P84:P91">
    <cfRule type="cellIs" dxfId="7766" priority="502" operator="greaterThan">
      <formula>0</formula>
    </cfRule>
  </conditionalFormatting>
  <conditionalFormatting sqref="Q84:Q91">
    <cfRule type="cellIs" dxfId="7765" priority="507" operator="lessThan">
      <formula>0</formula>
    </cfRule>
  </conditionalFormatting>
  <conditionalFormatting sqref="P84:P91">
    <cfRule type="cellIs" dxfId="7764" priority="496" operator="greaterThan">
      <formula>0</formula>
    </cfRule>
  </conditionalFormatting>
  <conditionalFormatting sqref="Q84:Q91">
    <cfRule type="cellIs" dxfId="7763" priority="501" operator="lessThan">
      <formula>0</formula>
    </cfRule>
  </conditionalFormatting>
  <conditionalFormatting sqref="R84:R91">
    <cfRule type="cellIs" dxfId="7762" priority="499" operator="lessThan">
      <formula>0.8</formula>
    </cfRule>
    <cfRule type="cellIs" dxfId="7761" priority="500" operator="greaterThan">
      <formula>1</formula>
    </cfRule>
  </conditionalFormatting>
  <conditionalFormatting sqref="R84:R91">
    <cfRule type="cellIs" dxfId="7760" priority="497" operator="greaterThan">
      <formula>1</formula>
    </cfRule>
    <cfRule type="cellIs" dxfId="7759" priority="498" operator="lessThan">
      <formula>0.8</formula>
    </cfRule>
  </conditionalFormatting>
  <conditionalFormatting sqref="R84:R91">
    <cfRule type="cellIs" dxfId="7758" priority="493" operator="lessThan">
      <formula>0.8</formula>
    </cfRule>
    <cfRule type="cellIs" dxfId="7757" priority="494" operator="greaterThan">
      <formula>1</formula>
    </cfRule>
  </conditionalFormatting>
  <conditionalFormatting sqref="R84:R91">
    <cfRule type="cellIs" dxfId="7756" priority="491" operator="greaterThan">
      <formula>1</formula>
    </cfRule>
    <cfRule type="cellIs" dxfId="7755" priority="492" operator="lessThan">
      <formula>0.8</formula>
    </cfRule>
  </conditionalFormatting>
  <conditionalFormatting sqref="P84:P91">
    <cfRule type="cellIs" dxfId="7754" priority="490" operator="greaterThan">
      <formula>0</formula>
    </cfRule>
  </conditionalFormatting>
  <conditionalFormatting sqref="Q84:Q91">
    <cfRule type="cellIs" dxfId="7753" priority="495" operator="lessThan">
      <formula>0</formula>
    </cfRule>
  </conditionalFormatting>
  <conditionalFormatting sqref="R84:R91">
    <cfRule type="cellIs" dxfId="7752" priority="487" operator="lessThan">
      <formula>0.8</formula>
    </cfRule>
    <cfRule type="cellIs" dxfId="7751" priority="488" operator="greaterThan">
      <formula>1</formula>
    </cfRule>
  </conditionalFormatting>
  <conditionalFormatting sqref="R84:R91">
    <cfRule type="cellIs" dxfId="7750" priority="485" operator="greaterThan">
      <formula>1</formula>
    </cfRule>
    <cfRule type="cellIs" dxfId="7749" priority="486" operator="lessThan">
      <formula>0.8</formula>
    </cfRule>
  </conditionalFormatting>
  <conditionalFormatting sqref="P84:P91">
    <cfRule type="cellIs" dxfId="7748" priority="484" operator="greaterThan">
      <formula>0</formula>
    </cfRule>
  </conditionalFormatting>
  <conditionalFormatting sqref="Q84:Q91">
    <cfRule type="cellIs" dxfId="7747" priority="489" operator="lessThan">
      <formula>0</formula>
    </cfRule>
  </conditionalFormatting>
  <conditionalFormatting sqref="Q84:Q91">
    <cfRule type="cellIs" dxfId="7746" priority="483" operator="lessThan">
      <formula>0</formula>
    </cfRule>
  </conditionalFormatting>
  <conditionalFormatting sqref="R84:R91">
    <cfRule type="cellIs" dxfId="7745" priority="481" operator="lessThan">
      <formula>0.8</formula>
    </cfRule>
    <cfRule type="cellIs" dxfId="7744" priority="482" operator="greaterThan">
      <formula>1</formula>
    </cfRule>
  </conditionalFormatting>
  <conditionalFormatting sqref="R84:R91">
    <cfRule type="cellIs" dxfId="7743" priority="479" operator="greaterThan">
      <formula>1</formula>
    </cfRule>
    <cfRule type="cellIs" dxfId="7742" priority="480" operator="lessThan">
      <formula>0.8</formula>
    </cfRule>
  </conditionalFormatting>
  <conditionalFormatting sqref="P84:P91">
    <cfRule type="cellIs" dxfId="7741" priority="478" operator="greaterThan">
      <formula>0</formula>
    </cfRule>
  </conditionalFormatting>
  <conditionalFormatting sqref="Q84:Q91">
    <cfRule type="cellIs" dxfId="7740" priority="472" operator="lessThan">
      <formula>0</formula>
    </cfRule>
  </conditionalFormatting>
  <conditionalFormatting sqref="R84:R91">
    <cfRule type="cellIs" dxfId="7739" priority="476" operator="lessThan">
      <formula>0.8</formula>
    </cfRule>
    <cfRule type="cellIs" dxfId="7738" priority="477" operator="greaterThan">
      <formula>1</formula>
    </cfRule>
  </conditionalFormatting>
  <conditionalFormatting sqref="R84:R91">
    <cfRule type="cellIs" dxfId="7737" priority="474" operator="greaterThan">
      <formula>1</formula>
    </cfRule>
    <cfRule type="cellIs" dxfId="7736" priority="475" operator="lessThan">
      <formula>0.8</formula>
    </cfRule>
  </conditionalFormatting>
  <conditionalFormatting sqref="P84:P91">
    <cfRule type="cellIs" dxfId="7735" priority="473" operator="greaterThan">
      <formula>0</formula>
    </cfRule>
  </conditionalFormatting>
  <conditionalFormatting sqref="Q84:Q91">
    <cfRule type="cellIs" dxfId="7734" priority="471" operator="lessThan">
      <formula>0</formula>
    </cfRule>
  </conditionalFormatting>
  <conditionalFormatting sqref="R84:R91">
    <cfRule type="cellIs" dxfId="7733" priority="469" operator="lessThan">
      <formula>0.8</formula>
    </cfRule>
    <cfRule type="cellIs" dxfId="7732" priority="470" operator="greaterThan">
      <formula>1</formula>
    </cfRule>
  </conditionalFormatting>
  <conditionalFormatting sqref="R84:R91">
    <cfRule type="cellIs" dxfId="7731" priority="467" operator="greaterThan">
      <formula>1</formula>
    </cfRule>
    <cfRule type="cellIs" dxfId="7730" priority="468" operator="lessThan">
      <formula>0.8</formula>
    </cfRule>
  </conditionalFormatting>
  <conditionalFormatting sqref="P84:P91">
    <cfRule type="cellIs" dxfId="7729" priority="466" operator="greaterThan">
      <formula>0</formula>
    </cfRule>
  </conditionalFormatting>
  <conditionalFormatting sqref="Q84:Q91">
    <cfRule type="cellIs" dxfId="7728" priority="465" operator="lessThan">
      <formula>0</formula>
    </cfRule>
  </conditionalFormatting>
  <conditionalFormatting sqref="R84:R91">
    <cfRule type="cellIs" dxfId="7727" priority="463" operator="lessThan">
      <formula>0.8</formula>
    </cfRule>
    <cfRule type="cellIs" dxfId="7726" priority="464" operator="greaterThan">
      <formula>1</formula>
    </cfRule>
  </conditionalFormatting>
  <conditionalFormatting sqref="R84:R91">
    <cfRule type="cellIs" dxfId="7725" priority="461" operator="greaterThan">
      <formula>1</formula>
    </cfRule>
    <cfRule type="cellIs" dxfId="7724" priority="462" operator="lessThan">
      <formula>0.8</formula>
    </cfRule>
  </conditionalFormatting>
  <conditionalFormatting sqref="P84:P91">
    <cfRule type="cellIs" dxfId="7723" priority="460" operator="greaterThan">
      <formula>0</formula>
    </cfRule>
  </conditionalFormatting>
  <conditionalFormatting sqref="Q84:Q91">
    <cfRule type="cellIs" dxfId="7722" priority="459" operator="lessThan">
      <formula>0</formula>
    </cfRule>
  </conditionalFormatting>
  <conditionalFormatting sqref="R84:R91">
    <cfRule type="cellIs" dxfId="7721" priority="457" operator="lessThan">
      <formula>0.8</formula>
    </cfRule>
    <cfRule type="cellIs" dxfId="7720" priority="458" operator="greaterThan">
      <formula>1</formula>
    </cfRule>
  </conditionalFormatting>
  <conditionalFormatting sqref="R84:R91">
    <cfRule type="cellIs" dxfId="7719" priority="455" operator="greaterThan">
      <formula>1</formula>
    </cfRule>
    <cfRule type="cellIs" dxfId="7718" priority="456" operator="lessThan">
      <formula>0.8</formula>
    </cfRule>
  </conditionalFormatting>
  <conditionalFormatting sqref="P84:P91">
    <cfRule type="cellIs" dxfId="7717" priority="454" operator="greaterThan">
      <formula>0</formula>
    </cfRule>
  </conditionalFormatting>
  <conditionalFormatting sqref="Q84:Q91">
    <cfRule type="cellIs" dxfId="7716" priority="453" operator="lessThan">
      <formula>0</formula>
    </cfRule>
  </conditionalFormatting>
  <conditionalFormatting sqref="R84:R91">
    <cfRule type="cellIs" dxfId="7715" priority="451" operator="lessThan">
      <formula>0.8</formula>
    </cfRule>
    <cfRule type="cellIs" dxfId="7714" priority="452" operator="greaterThan">
      <formula>1</formula>
    </cfRule>
  </conditionalFormatting>
  <conditionalFormatting sqref="R84:R91">
    <cfRule type="cellIs" dxfId="7713" priority="449" operator="greaterThan">
      <formula>1</formula>
    </cfRule>
    <cfRule type="cellIs" dxfId="7712" priority="450" operator="lessThan">
      <formula>0.8</formula>
    </cfRule>
  </conditionalFormatting>
  <conditionalFormatting sqref="P84:P91">
    <cfRule type="cellIs" dxfId="7711" priority="448" operator="greaterThan">
      <formula>0</formula>
    </cfRule>
  </conditionalFormatting>
  <conditionalFormatting sqref="Q84:Q91">
    <cfRule type="cellIs" dxfId="7710" priority="447" operator="lessThan">
      <formula>0</formula>
    </cfRule>
  </conditionalFormatting>
  <conditionalFormatting sqref="R84:R91">
    <cfRule type="cellIs" dxfId="7709" priority="445" operator="lessThan">
      <formula>0.8</formula>
    </cfRule>
    <cfRule type="cellIs" dxfId="7708" priority="446" operator="greaterThan">
      <formula>1</formula>
    </cfRule>
  </conditionalFormatting>
  <conditionalFormatting sqref="R84:R91">
    <cfRule type="cellIs" dxfId="7707" priority="443" operator="greaterThan">
      <formula>1</formula>
    </cfRule>
    <cfRule type="cellIs" dxfId="7706" priority="444" operator="lessThan">
      <formula>0.8</formula>
    </cfRule>
  </conditionalFormatting>
  <conditionalFormatting sqref="P84:P91">
    <cfRule type="cellIs" dxfId="7705" priority="442" operator="greaterThan">
      <formula>0</formula>
    </cfRule>
  </conditionalFormatting>
  <conditionalFormatting sqref="P84:P91">
    <cfRule type="cellIs" dxfId="7704" priority="436" operator="greaterThan">
      <formula>0</formula>
    </cfRule>
  </conditionalFormatting>
  <conditionalFormatting sqref="Q84:Q91">
    <cfRule type="cellIs" dxfId="7703" priority="441" operator="lessThan">
      <formula>0</formula>
    </cfRule>
  </conditionalFormatting>
  <conditionalFormatting sqref="R84:R91">
    <cfRule type="cellIs" dxfId="7702" priority="439" operator="lessThan">
      <formula>0.8</formula>
    </cfRule>
    <cfRule type="cellIs" dxfId="7701" priority="440" operator="greaterThan">
      <formula>1</formula>
    </cfRule>
  </conditionalFormatting>
  <conditionalFormatting sqref="R84:R91">
    <cfRule type="cellIs" dxfId="7700" priority="437" operator="greaterThan">
      <formula>1</formula>
    </cfRule>
    <cfRule type="cellIs" dxfId="7699" priority="438" operator="lessThan">
      <formula>0.8</formula>
    </cfRule>
  </conditionalFormatting>
  <conditionalFormatting sqref="P84:P91">
    <cfRule type="cellIs" dxfId="7698" priority="430" operator="greaterThan">
      <formula>0</formula>
    </cfRule>
  </conditionalFormatting>
  <conditionalFormatting sqref="Q84:Q91">
    <cfRule type="cellIs" dxfId="7697" priority="435" operator="lessThan">
      <formula>0</formula>
    </cfRule>
  </conditionalFormatting>
  <conditionalFormatting sqref="R84:R91">
    <cfRule type="cellIs" dxfId="7696" priority="433" operator="lessThan">
      <formula>0.8</formula>
    </cfRule>
    <cfRule type="cellIs" dxfId="7695" priority="434" operator="greaterThan">
      <formula>1</formula>
    </cfRule>
  </conditionalFormatting>
  <conditionalFormatting sqref="R84:R91">
    <cfRule type="cellIs" dxfId="7694" priority="431" operator="greaterThan">
      <formula>1</formula>
    </cfRule>
    <cfRule type="cellIs" dxfId="7693" priority="432" operator="lessThan">
      <formula>0.8</formula>
    </cfRule>
  </conditionalFormatting>
  <conditionalFormatting sqref="R84:R91">
    <cfRule type="cellIs" dxfId="7692" priority="427" operator="lessThan">
      <formula>0.8</formula>
    </cfRule>
    <cfRule type="cellIs" dxfId="7691" priority="428" operator="greaterThan">
      <formula>1</formula>
    </cfRule>
  </conditionalFormatting>
  <conditionalFormatting sqref="R84:R91">
    <cfRule type="cellIs" dxfId="7690" priority="425" operator="greaterThan">
      <formula>1</formula>
    </cfRule>
    <cfRule type="cellIs" dxfId="7689" priority="426" operator="lessThan">
      <formula>0.8</formula>
    </cfRule>
  </conditionalFormatting>
  <conditionalFormatting sqref="P84:P91">
    <cfRule type="cellIs" dxfId="7688" priority="424" operator="greaterThan">
      <formula>0</formula>
    </cfRule>
  </conditionalFormatting>
  <conditionalFormatting sqref="Q84:Q91">
    <cfRule type="cellIs" dxfId="7687" priority="429" operator="lessThan">
      <formula>0</formula>
    </cfRule>
  </conditionalFormatting>
  <conditionalFormatting sqref="Q84:Q91">
    <cfRule type="cellIs" dxfId="7686" priority="418" operator="lessThan">
      <formula>0</formula>
    </cfRule>
  </conditionalFormatting>
  <conditionalFormatting sqref="P84:P91">
    <cfRule type="cellIs" dxfId="7685" priority="419" operator="greaterThan">
      <formula>0</formula>
    </cfRule>
  </conditionalFormatting>
  <conditionalFormatting sqref="R84:R91">
    <cfRule type="cellIs" dxfId="7684" priority="422" operator="lessThan">
      <formula>0.8</formula>
    </cfRule>
    <cfRule type="cellIs" dxfId="7683" priority="423" operator="greaterThan">
      <formula>1</formula>
    </cfRule>
  </conditionalFormatting>
  <conditionalFormatting sqref="R84:R91">
    <cfRule type="cellIs" dxfId="7682" priority="420" operator="greaterThan">
      <formula>1</formula>
    </cfRule>
    <cfRule type="cellIs" dxfId="7681" priority="421" operator="lessThan">
      <formula>0.8</formula>
    </cfRule>
  </conditionalFormatting>
  <conditionalFormatting sqref="Q84:Q91">
    <cfRule type="cellIs" dxfId="7680" priority="412" operator="lessThan">
      <formula>0</formula>
    </cfRule>
  </conditionalFormatting>
  <conditionalFormatting sqref="R84:R91">
    <cfRule type="cellIs" dxfId="7679" priority="416" operator="lessThan">
      <formula>0.8</formula>
    </cfRule>
    <cfRule type="cellIs" dxfId="7678" priority="417" operator="greaterThan">
      <formula>1</formula>
    </cfRule>
  </conditionalFormatting>
  <conditionalFormatting sqref="R84:R91">
    <cfRule type="cellIs" dxfId="7677" priority="414" operator="greaterThan">
      <formula>1</formula>
    </cfRule>
    <cfRule type="cellIs" dxfId="7676" priority="415" operator="lessThan">
      <formula>0.8</formula>
    </cfRule>
  </conditionalFormatting>
  <conditionalFormatting sqref="P84:P91">
    <cfRule type="cellIs" dxfId="7675" priority="413" operator="greaterThan">
      <formula>0</formula>
    </cfRule>
  </conditionalFormatting>
  <conditionalFormatting sqref="Q84:Q91">
    <cfRule type="cellIs" dxfId="7674" priority="411" operator="lessThan">
      <formula>0</formula>
    </cfRule>
  </conditionalFormatting>
  <conditionalFormatting sqref="R84:R91">
    <cfRule type="cellIs" dxfId="7673" priority="409" operator="lessThan">
      <formula>0.8</formula>
    </cfRule>
    <cfRule type="cellIs" dxfId="7672" priority="410" operator="greaterThan">
      <formula>1</formula>
    </cfRule>
  </conditionalFormatting>
  <conditionalFormatting sqref="R84:R91">
    <cfRule type="cellIs" dxfId="7671" priority="407" operator="greaterThan">
      <formula>1</formula>
    </cfRule>
    <cfRule type="cellIs" dxfId="7670" priority="408" operator="lessThan">
      <formula>0.8</formula>
    </cfRule>
  </conditionalFormatting>
  <conditionalFormatting sqref="P84:P91">
    <cfRule type="cellIs" dxfId="7669" priority="406" operator="greaterThan">
      <formula>0</formula>
    </cfRule>
  </conditionalFormatting>
  <conditionalFormatting sqref="Q84:Q91">
    <cfRule type="cellIs" dxfId="7668" priority="405" operator="lessThan">
      <formula>0</formula>
    </cfRule>
  </conditionalFormatting>
  <conditionalFormatting sqref="R84:R91">
    <cfRule type="cellIs" dxfId="7667" priority="403" operator="lessThan">
      <formula>0.8</formula>
    </cfRule>
    <cfRule type="cellIs" dxfId="7666" priority="404" operator="greaterThan">
      <formula>1</formula>
    </cfRule>
  </conditionalFormatting>
  <conditionalFormatting sqref="R84:R91">
    <cfRule type="cellIs" dxfId="7665" priority="401" operator="greaterThan">
      <formula>1</formula>
    </cfRule>
    <cfRule type="cellIs" dxfId="7664" priority="402" operator="lessThan">
      <formula>0.8</formula>
    </cfRule>
  </conditionalFormatting>
  <conditionalFormatting sqref="P84:P91">
    <cfRule type="cellIs" dxfId="7663" priority="400" operator="greaterThan">
      <formula>0</formula>
    </cfRule>
  </conditionalFormatting>
  <conditionalFormatting sqref="Q84:Q91">
    <cfRule type="cellIs" dxfId="7662" priority="399" operator="lessThan">
      <formula>0</formula>
    </cfRule>
  </conditionalFormatting>
  <conditionalFormatting sqref="R84:R91">
    <cfRule type="cellIs" dxfId="7661" priority="397" operator="lessThan">
      <formula>0.8</formula>
    </cfRule>
    <cfRule type="cellIs" dxfId="7660" priority="398" operator="greaterThan">
      <formula>1</formula>
    </cfRule>
  </conditionalFormatting>
  <conditionalFormatting sqref="R84:R91">
    <cfRule type="cellIs" dxfId="7659" priority="395" operator="greaterThan">
      <formula>1</formula>
    </cfRule>
    <cfRule type="cellIs" dxfId="7658" priority="396" operator="lessThan">
      <formula>0.8</formula>
    </cfRule>
  </conditionalFormatting>
  <conditionalFormatting sqref="P84:P91">
    <cfRule type="cellIs" dxfId="7657" priority="394" operator="greaterThan">
      <formula>0</formula>
    </cfRule>
  </conditionalFormatting>
  <conditionalFormatting sqref="Q84:Q91">
    <cfRule type="cellIs" dxfId="7656" priority="393" operator="lessThan">
      <formula>0</formula>
    </cfRule>
  </conditionalFormatting>
  <conditionalFormatting sqref="R84:R91">
    <cfRule type="cellIs" dxfId="7655" priority="391" operator="lessThan">
      <formula>0.8</formula>
    </cfRule>
    <cfRule type="cellIs" dxfId="7654" priority="392" operator="greaterThan">
      <formula>1</formula>
    </cfRule>
  </conditionalFormatting>
  <conditionalFormatting sqref="R84:R91">
    <cfRule type="cellIs" dxfId="7653" priority="389" operator="greaterThan">
      <formula>1</formula>
    </cfRule>
    <cfRule type="cellIs" dxfId="7652" priority="390" operator="lessThan">
      <formula>0.8</formula>
    </cfRule>
  </conditionalFormatting>
  <conditionalFormatting sqref="P84:P91">
    <cfRule type="cellIs" dxfId="7651" priority="388" operator="greaterThan">
      <formula>0</formula>
    </cfRule>
  </conditionalFormatting>
  <conditionalFormatting sqref="Q84:Q91">
    <cfRule type="cellIs" dxfId="7650" priority="387" operator="lessThan">
      <formula>0</formula>
    </cfRule>
  </conditionalFormatting>
  <conditionalFormatting sqref="R84:R91">
    <cfRule type="cellIs" dxfId="7649" priority="385" operator="lessThan">
      <formula>0.8</formula>
    </cfRule>
    <cfRule type="cellIs" dxfId="7648" priority="386" operator="greaterThan">
      <formula>1</formula>
    </cfRule>
  </conditionalFormatting>
  <conditionalFormatting sqref="R84:R91">
    <cfRule type="cellIs" dxfId="7647" priority="383" operator="greaterThan">
      <formula>1</formula>
    </cfRule>
    <cfRule type="cellIs" dxfId="7646" priority="384" operator="lessThan">
      <formula>0.8</formula>
    </cfRule>
  </conditionalFormatting>
  <conditionalFormatting sqref="P84:P91">
    <cfRule type="cellIs" dxfId="7645" priority="382" operator="greaterThan">
      <formula>0</formula>
    </cfRule>
  </conditionalFormatting>
  <conditionalFormatting sqref="Q84:Q91">
    <cfRule type="cellIs" dxfId="7644" priority="381" operator="lessThan">
      <formula>0</formula>
    </cfRule>
  </conditionalFormatting>
  <conditionalFormatting sqref="R84:R91">
    <cfRule type="cellIs" dxfId="7643" priority="379" operator="lessThan">
      <formula>0.8</formula>
    </cfRule>
    <cfRule type="cellIs" dxfId="7642" priority="380" operator="greaterThan">
      <formula>1</formula>
    </cfRule>
  </conditionalFormatting>
  <conditionalFormatting sqref="R84:R91">
    <cfRule type="cellIs" dxfId="7641" priority="377" operator="greaterThan">
      <formula>1</formula>
    </cfRule>
    <cfRule type="cellIs" dxfId="7640" priority="378" operator="lessThan">
      <formula>0.8</formula>
    </cfRule>
  </conditionalFormatting>
  <conditionalFormatting sqref="P84:P91">
    <cfRule type="cellIs" dxfId="7639" priority="376" operator="greaterThan">
      <formula>0</formula>
    </cfRule>
  </conditionalFormatting>
  <conditionalFormatting sqref="Q84:Q91">
    <cfRule type="cellIs" dxfId="7638" priority="375" operator="lessThan">
      <formula>0</formula>
    </cfRule>
  </conditionalFormatting>
  <conditionalFormatting sqref="R84:R91">
    <cfRule type="cellIs" dxfId="7637" priority="373" operator="lessThan">
      <formula>0.8</formula>
    </cfRule>
    <cfRule type="cellIs" dxfId="7636" priority="374" operator="greaterThan">
      <formula>1</formula>
    </cfRule>
  </conditionalFormatting>
  <conditionalFormatting sqref="R84:R91">
    <cfRule type="cellIs" dxfId="7635" priority="371" operator="greaterThan">
      <formula>1</formula>
    </cfRule>
    <cfRule type="cellIs" dxfId="7634" priority="372" operator="lessThan">
      <formula>0.8</formula>
    </cfRule>
  </conditionalFormatting>
  <conditionalFormatting sqref="P84:P91">
    <cfRule type="cellIs" dxfId="7633" priority="370" operator="greaterThan">
      <formula>0</formula>
    </cfRule>
  </conditionalFormatting>
  <conditionalFormatting sqref="P84:P91">
    <cfRule type="cellIs" dxfId="7632" priority="364" operator="greaterThan">
      <formula>0</formula>
    </cfRule>
  </conditionalFormatting>
  <conditionalFormatting sqref="Q84:Q91">
    <cfRule type="cellIs" dxfId="7631" priority="369" operator="lessThan">
      <formula>0</formula>
    </cfRule>
  </conditionalFormatting>
  <conditionalFormatting sqref="R84:R91">
    <cfRule type="cellIs" dxfId="7630" priority="367" operator="lessThan">
      <formula>0.8</formula>
    </cfRule>
    <cfRule type="cellIs" dxfId="7629" priority="368" operator="greaterThan">
      <formula>1</formula>
    </cfRule>
  </conditionalFormatting>
  <conditionalFormatting sqref="R84:R91">
    <cfRule type="cellIs" dxfId="7628" priority="365" operator="greaterThan">
      <formula>1</formula>
    </cfRule>
    <cfRule type="cellIs" dxfId="7627" priority="366" operator="lessThan">
      <formula>0.8</formula>
    </cfRule>
  </conditionalFormatting>
  <conditionalFormatting sqref="P84:P91">
    <cfRule type="cellIs" dxfId="7626" priority="358" operator="greaterThan">
      <formula>0</formula>
    </cfRule>
  </conditionalFormatting>
  <conditionalFormatting sqref="Q84:Q91">
    <cfRule type="cellIs" dxfId="7625" priority="363" operator="lessThan">
      <formula>0</formula>
    </cfRule>
  </conditionalFormatting>
  <conditionalFormatting sqref="R84:R91">
    <cfRule type="cellIs" dxfId="7624" priority="361" operator="lessThan">
      <formula>0.8</formula>
    </cfRule>
    <cfRule type="cellIs" dxfId="7623" priority="362" operator="greaterThan">
      <formula>1</formula>
    </cfRule>
  </conditionalFormatting>
  <conditionalFormatting sqref="R84:R91">
    <cfRule type="cellIs" dxfId="7622" priority="359" operator="greaterThan">
      <formula>1</formula>
    </cfRule>
    <cfRule type="cellIs" dxfId="7621" priority="360" operator="lessThan">
      <formula>0.8</formula>
    </cfRule>
  </conditionalFormatting>
  <conditionalFormatting sqref="R84:R91">
    <cfRule type="cellIs" dxfId="7620" priority="355" operator="lessThan">
      <formula>0.8</formula>
    </cfRule>
    <cfRule type="cellIs" dxfId="7619" priority="356" operator="greaterThan">
      <formula>1</formula>
    </cfRule>
  </conditionalFormatting>
  <conditionalFormatting sqref="R84:R91">
    <cfRule type="cellIs" dxfId="7618" priority="353" operator="greaterThan">
      <formula>1</formula>
    </cfRule>
    <cfRule type="cellIs" dxfId="7617" priority="354" operator="lessThan">
      <formula>0.8</formula>
    </cfRule>
  </conditionalFormatting>
  <conditionalFormatting sqref="P84:P91">
    <cfRule type="cellIs" dxfId="7616" priority="352" operator="greaterThan">
      <formula>0</formula>
    </cfRule>
  </conditionalFormatting>
  <conditionalFormatting sqref="Q84:Q91">
    <cfRule type="cellIs" dxfId="7615" priority="357" operator="lessThan">
      <formula>0</formula>
    </cfRule>
  </conditionalFormatting>
  <conditionalFormatting sqref="Q84:Q91">
    <cfRule type="cellIs" dxfId="7614" priority="351" operator="lessThan">
      <formula>0</formula>
    </cfRule>
  </conditionalFormatting>
  <conditionalFormatting sqref="R84:R91">
    <cfRule type="cellIs" dxfId="7613" priority="349" operator="lessThan">
      <formula>0.8</formula>
    </cfRule>
    <cfRule type="cellIs" dxfId="7612" priority="350" operator="greaterThan">
      <formula>1</formula>
    </cfRule>
  </conditionalFormatting>
  <conditionalFormatting sqref="R84:R91">
    <cfRule type="cellIs" dxfId="7611" priority="347" operator="greaterThan">
      <formula>1</formula>
    </cfRule>
    <cfRule type="cellIs" dxfId="7610" priority="348" operator="lessThan">
      <formula>0.8</formula>
    </cfRule>
  </conditionalFormatting>
  <conditionalFormatting sqref="P84:P91">
    <cfRule type="cellIs" dxfId="7609" priority="346" operator="greaterThan">
      <formula>0</formula>
    </cfRule>
  </conditionalFormatting>
  <conditionalFormatting sqref="P84:P91">
    <cfRule type="cellIs" dxfId="7608" priority="340" operator="greaterThan">
      <formula>0</formula>
    </cfRule>
  </conditionalFormatting>
  <conditionalFormatting sqref="Q84:Q91">
    <cfRule type="cellIs" dxfId="7607" priority="345" operator="lessThan">
      <formula>0</formula>
    </cfRule>
  </conditionalFormatting>
  <conditionalFormatting sqref="R84:R91">
    <cfRule type="cellIs" dxfId="7606" priority="343" operator="lessThan">
      <formula>0.8</formula>
    </cfRule>
    <cfRule type="cellIs" dxfId="7605" priority="344" operator="greaterThan">
      <formula>1</formula>
    </cfRule>
  </conditionalFormatting>
  <conditionalFormatting sqref="R84:R91">
    <cfRule type="cellIs" dxfId="7604" priority="341" operator="greaterThan">
      <formula>1</formula>
    </cfRule>
    <cfRule type="cellIs" dxfId="7603" priority="342" operator="lessThan">
      <formula>0.8</formula>
    </cfRule>
  </conditionalFormatting>
  <conditionalFormatting sqref="P84:P91">
    <cfRule type="cellIs" dxfId="7602" priority="334" operator="greaterThan">
      <formula>0</formula>
    </cfRule>
  </conditionalFormatting>
  <conditionalFormatting sqref="Q84:Q91">
    <cfRule type="cellIs" dxfId="7601" priority="339" operator="lessThan">
      <formula>0</formula>
    </cfRule>
  </conditionalFormatting>
  <conditionalFormatting sqref="R84:R91">
    <cfRule type="cellIs" dxfId="7600" priority="337" operator="lessThan">
      <formula>0.8</formula>
    </cfRule>
    <cfRule type="cellIs" dxfId="7599" priority="338" operator="greaterThan">
      <formula>1</formula>
    </cfRule>
  </conditionalFormatting>
  <conditionalFormatting sqref="R84:R91">
    <cfRule type="cellIs" dxfId="7598" priority="335" operator="greaterThan">
      <formula>1</formula>
    </cfRule>
    <cfRule type="cellIs" dxfId="7597" priority="336" operator="lessThan">
      <formula>0.8</formula>
    </cfRule>
  </conditionalFormatting>
  <conditionalFormatting sqref="R84:R91">
    <cfRule type="cellIs" dxfId="7596" priority="331" operator="lessThan">
      <formula>0.8</formula>
    </cfRule>
    <cfRule type="cellIs" dxfId="7595" priority="332" operator="greaterThan">
      <formula>1</formula>
    </cfRule>
  </conditionalFormatting>
  <conditionalFormatting sqref="R84:R91">
    <cfRule type="cellIs" dxfId="7594" priority="329" operator="greaterThan">
      <formula>1</formula>
    </cfRule>
    <cfRule type="cellIs" dxfId="7593" priority="330" operator="lessThan">
      <formula>0.8</formula>
    </cfRule>
  </conditionalFormatting>
  <conditionalFormatting sqref="P84:P91">
    <cfRule type="cellIs" dxfId="7592" priority="328" operator="greaterThan">
      <formula>0</formula>
    </cfRule>
  </conditionalFormatting>
  <conditionalFormatting sqref="Q84:Q91">
    <cfRule type="cellIs" dxfId="7591" priority="333" operator="lessThan">
      <formula>0</formula>
    </cfRule>
  </conditionalFormatting>
  <conditionalFormatting sqref="P84:P91">
    <cfRule type="cellIs" dxfId="7590" priority="322" operator="greaterThan">
      <formula>0</formula>
    </cfRule>
  </conditionalFormatting>
  <conditionalFormatting sqref="Q84:Q91">
    <cfRule type="cellIs" dxfId="7589" priority="327" operator="lessThan">
      <formula>0</formula>
    </cfRule>
  </conditionalFormatting>
  <conditionalFormatting sqref="R84:R91">
    <cfRule type="cellIs" dxfId="7588" priority="325" operator="lessThan">
      <formula>0.8</formula>
    </cfRule>
    <cfRule type="cellIs" dxfId="7587" priority="326" operator="greaterThan">
      <formula>1</formula>
    </cfRule>
  </conditionalFormatting>
  <conditionalFormatting sqref="R84:R91">
    <cfRule type="cellIs" dxfId="7586" priority="323" operator="greaterThan">
      <formula>1</formula>
    </cfRule>
    <cfRule type="cellIs" dxfId="7585" priority="324" operator="lessThan">
      <formula>0.8</formula>
    </cfRule>
  </conditionalFormatting>
  <conditionalFormatting sqref="R84:R91">
    <cfRule type="cellIs" dxfId="7584" priority="319" operator="lessThan">
      <formula>0.8</formula>
    </cfRule>
    <cfRule type="cellIs" dxfId="7583" priority="320" operator="greaterThan">
      <formula>1</formula>
    </cfRule>
  </conditionalFormatting>
  <conditionalFormatting sqref="R84:R91">
    <cfRule type="cellIs" dxfId="7582" priority="317" operator="greaterThan">
      <formula>1</formula>
    </cfRule>
    <cfRule type="cellIs" dxfId="7581" priority="318" operator="lessThan">
      <formula>0.8</formula>
    </cfRule>
  </conditionalFormatting>
  <conditionalFormatting sqref="P84:P91">
    <cfRule type="cellIs" dxfId="7580" priority="316" operator="greaterThan">
      <formula>0</formula>
    </cfRule>
  </conditionalFormatting>
  <conditionalFormatting sqref="Q84:Q91">
    <cfRule type="cellIs" dxfId="7579" priority="321" operator="lessThan">
      <formula>0</formula>
    </cfRule>
  </conditionalFormatting>
  <conditionalFormatting sqref="R84:R91">
    <cfRule type="cellIs" dxfId="7578" priority="313" operator="lessThan">
      <formula>0.8</formula>
    </cfRule>
    <cfRule type="cellIs" dxfId="7577" priority="314" operator="greaterThan">
      <formula>1</formula>
    </cfRule>
  </conditionalFormatting>
  <conditionalFormatting sqref="R84:R91">
    <cfRule type="cellIs" dxfId="7576" priority="311" operator="greaterThan">
      <formula>1</formula>
    </cfRule>
    <cfRule type="cellIs" dxfId="7575" priority="312" operator="lessThan">
      <formula>0.8</formula>
    </cfRule>
  </conditionalFormatting>
  <conditionalFormatting sqref="P84:P91">
    <cfRule type="cellIs" dxfId="7574" priority="310" operator="greaterThan">
      <formula>0</formula>
    </cfRule>
  </conditionalFormatting>
  <conditionalFormatting sqref="Q84:Q91">
    <cfRule type="cellIs" dxfId="7573" priority="315" operator="lessThan">
      <formula>0</formula>
    </cfRule>
  </conditionalFormatting>
  <conditionalFormatting sqref="Q84:Q91">
    <cfRule type="cellIs" dxfId="7572" priority="309" operator="lessThan">
      <formula>0</formula>
    </cfRule>
  </conditionalFormatting>
  <conditionalFormatting sqref="R84:R91">
    <cfRule type="cellIs" dxfId="7571" priority="307" operator="lessThan">
      <formula>0.8</formula>
    </cfRule>
    <cfRule type="cellIs" dxfId="7570" priority="308" operator="greaterThan">
      <formula>1</formula>
    </cfRule>
  </conditionalFormatting>
  <conditionalFormatting sqref="R84:R91">
    <cfRule type="cellIs" dxfId="7569" priority="305" operator="greaterThan">
      <formula>1</formula>
    </cfRule>
    <cfRule type="cellIs" dxfId="7568" priority="306" operator="lessThan">
      <formula>0.8</formula>
    </cfRule>
  </conditionalFormatting>
  <conditionalFormatting sqref="P84:P91">
    <cfRule type="cellIs" dxfId="7567" priority="304" operator="greaterThan">
      <formula>0</formula>
    </cfRule>
  </conditionalFormatting>
  <conditionalFormatting sqref="Q84:Q91">
    <cfRule type="cellIs" dxfId="7566" priority="298" operator="lessThan">
      <formula>0</formula>
    </cfRule>
  </conditionalFormatting>
  <conditionalFormatting sqref="R84:R91">
    <cfRule type="cellIs" dxfId="7565" priority="302" operator="lessThan">
      <formula>0.8</formula>
    </cfRule>
    <cfRule type="cellIs" dxfId="7564" priority="303" operator="greaterThan">
      <formula>1</formula>
    </cfRule>
  </conditionalFormatting>
  <conditionalFormatting sqref="R84:R91">
    <cfRule type="cellIs" dxfId="7563" priority="300" operator="greaterThan">
      <formula>1</formula>
    </cfRule>
    <cfRule type="cellIs" dxfId="7562" priority="301" operator="lessThan">
      <formula>0.8</formula>
    </cfRule>
  </conditionalFormatting>
  <conditionalFormatting sqref="P84:P91">
    <cfRule type="cellIs" dxfId="7561" priority="299" operator="greaterThan">
      <formula>0</formula>
    </cfRule>
  </conditionalFormatting>
  <conditionalFormatting sqref="Q84:Q91">
    <cfRule type="cellIs" dxfId="7560" priority="297" operator="lessThan">
      <formula>0</formula>
    </cfRule>
  </conditionalFormatting>
  <conditionalFormatting sqref="R84:R91">
    <cfRule type="cellIs" dxfId="7559" priority="295" operator="lessThan">
      <formula>0.8</formula>
    </cfRule>
    <cfRule type="cellIs" dxfId="7558" priority="296" operator="greaterThan">
      <formula>1</formula>
    </cfRule>
  </conditionalFormatting>
  <conditionalFormatting sqref="R84:R91">
    <cfRule type="cellIs" dxfId="7557" priority="293" operator="greaterThan">
      <formula>1</formula>
    </cfRule>
    <cfRule type="cellIs" dxfId="7556" priority="294" operator="lessThan">
      <formula>0.8</formula>
    </cfRule>
  </conditionalFormatting>
  <conditionalFormatting sqref="P84:P91">
    <cfRule type="cellIs" dxfId="7555" priority="292" operator="greaterThan">
      <formula>0</formula>
    </cfRule>
  </conditionalFormatting>
  <conditionalFormatting sqref="Q84:Q91">
    <cfRule type="cellIs" dxfId="7554" priority="291" operator="lessThan">
      <formula>0</formula>
    </cfRule>
  </conditionalFormatting>
  <conditionalFormatting sqref="R84:R91">
    <cfRule type="cellIs" dxfId="7553" priority="289" operator="lessThan">
      <formula>0.8</formula>
    </cfRule>
    <cfRule type="cellIs" dxfId="7552" priority="290" operator="greaterThan">
      <formula>1</formula>
    </cfRule>
  </conditionalFormatting>
  <conditionalFormatting sqref="R84:R91">
    <cfRule type="cellIs" dxfId="7551" priority="287" operator="greaterThan">
      <formula>1</formula>
    </cfRule>
    <cfRule type="cellIs" dxfId="7550" priority="288" operator="lessThan">
      <formula>0.8</formula>
    </cfRule>
  </conditionalFormatting>
  <conditionalFormatting sqref="P84:P91">
    <cfRule type="cellIs" dxfId="7549" priority="286" operator="greaterThan">
      <formula>0</formula>
    </cfRule>
  </conditionalFormatting>
  <conditionalFormatting sqref="Q84:Q91">
    <cfRule type="cellIs" dxfId="7548" priority="285" operator="lessThan">
      <formula>0</formula>
    </cfRule>
  </conditionalFormatting>
  <conditionalFormatting sqref="R84:R91">
    <cfRule type="cellIs" dxfId="7547" priority="283" operator="lessThan">
      <formula>0.8</formula>
    </cfRule>
    <cfRule type="cellIs" dxfId="7546" priority="284" operator="greaterThan">
      <formula>1</formula>
    </cfRule>
  </conditionalFormatting>
  <conditionalFormatting sqref="R84:R91">
    <cfRule type="cellIs" dxfId="7545" priority="281" operator="greaterThan">
      <formula>1</formula>
    </cfRule>
    <cfRule type="cellIs" dxfId="7544" priority="282" operator="lessThan">
      <formula>0.8</formula>
    </cfRule>
  </conditionalFormatting>
  <conditionalFormatting sqref="P84:P91">
    <cfRule type="cellIs" dxfId="7543" priority="280" operator="greaterThan">
      <formula>0</formula>
    </cfRule>
  </conditionalFormatting>
  <conditionalFormatting sqref="Q84:Q91">
    <cfRule type="cellIs" dxfId="7542" priority="279" operator="lessThan">
      <formula>0</formula>
    </cfRule>
  </conditionalFormatting>
  <conditionalFormatting sqref="R84:R91">
    <cfRule type="cellIs" dxfId="7541" priority="277" operator="lessThan">
      <formula>0.8</formula>
    </cfRule>
    <cfRule type="cellIs" dxfId="7540" priority="278" operator="greaterThan">
      <formula>1</formula>
    </cfRule>
  </conditionalFormatting>
  <conditionalFormatting sqref="R84:R91">
    <cfRule type="cellIs" dxfId="7539" priority="275" operator="greaterThan">
      <formula>1</formula>
    </cfRule>
    <cfRule type="cellIs" dxfId="7538" priority="276" operator="lessThan">
      <formula>0.8</formula>
    </cfRule>
  </conditionalFormatting>
  <conditionalFormatting sqref="P84:P91">
    <cfRule type="cellIs" dxfId="7537" priority="274" operator="greaterThan">
      <formula>0</formula>
    </cfRule>
  </conditionalFormatting>
  <conditionalFormatting sqref="Q84:Q91">
    <cfRule type="cellIs" dxfId="7536" priority="273" operator="lessThan">
      <formula>0</formula>
    </cfRule>
  </conditionalFormatting>
  <conditionalFormatting sqref="R84:R91">
    <cfRule type="cellIs" dxfId="7535" priority="271" operator="lessThan">
      <formula>0.8</formula>
    </cfRule>
    <cfRule type="cellIs" dxfId="7534" priority="272" operator="greaterThan">
      <formula>1</formula>
    </cfRule>
  </conditionalFormatting>
  <conditionalFormatting sqref="R84:R91">
    <cfRule type="cellIs" dxfId="7533" priority="269" operator="greaterThan">
      <formula>1</formula>
    </cfRule>
    <cfRule type="cellIs" dxfId="7532" priority="270" operator="lessThan">
      <formula>0.8</formula>
    </cfRule>
  </conditionalFormatting>
  <conditionalFormatting sqref="P84:P91">
    <cfRule type="cellIs" dxfId="7531" priority="268" operator="greaterThan">
      <formula>0</formula>
    </cfRule>
  </conditionalFormatting>
  <conditionalFormatting sqref="P84:P91">
    <cfRule type="cellIs" dxfId="7530" priority="262" operator="greaterThan">
      <formula>0</formula>
    </cfRule>
  </conditionalFormatting>
  <conditionalFormatting sqref="Q84:Q91">
    <cfRule type="cellIs" dxfId="7529" priority="267" operator="lessThan">
      <formula>0</formula>
    </cfRule>
  </conditionalFormatting>
  <conditionalFormatting sqref="R84:R91">
    <cfRule type="cellIs" dxfId="7528" priority="265" operator="lessThan">
      <formula>0.8</formula>
    </cfRule>
    <cfRule type="cellIs" dxfId="7527" priority="266" operator="greaterThan">
      <formula>1</formula>
    </cfRule>
  </conditionalFormatting>
  <conditionalFormatting sqref="R84:R91">
    <cfRule type="cellIs" dxfId="7526" priority="263" operator="greaterThan">
      <formula>1</formula>
    </cfRule>
    <cfRule type="cellIs" dxfId="7525" priority="264" operator="lessThan">
      <formula>0.8</formula>
    </cfRule>
  </conditionalFormatting>
  <conditionalFormatting sqref="P84:P91">
    <cfRule type="cellIs" dxfId="7524" priority="256" operator="greaterThan">
      <formula>0</formula>
    </cfRule>
  </conditionalFormatting>
  <conditionalFormatting sqref="Q84:Q91">
    <cfRule type="cellIs" dxfId="7523" priority="261" operator="lessThan">
      <formula>0</formula>
    </cfRule>
  </conditionalFormatting>
  <conditionalFormatting sqref="R84:R91">
    <cfRule type="cellIs" dxfId="7522" priority="259" operator="lessThan">
      <formula>0.8</formula>
    </cfRule>
    <cfRule type="cellIs" dxfId="7521" priority="260" operator="greaterThan">
      <formula>1</formula>
    </cfRule>
  </conditionalFormatting>
  <conditionalFormatting sqref="R84:R91">
    <cfRule type="cellIs" dxfId="7520" priority="257" operator="greaterThan">
      <formula>1</formula>
    </cfRule>
    <cfRule type="cellIs" dxfId="7519" priority="258" operator="lessThan">
      <formula>0.8</formula>
    </cfRule>
  </conditionalFormatting>
  <conditionalFormatting sqref="R84:R91">
    <cfRule type="cellIs" dxfId="7518" priority="253" operator="lessThan">
      <formula>0.8</formula>
    </cfRule>
    <cfRule type="cellIs" dxfId="7517" priority="254" operator="greaterThan">
      <formula>1</formula>
    </cfRule>
  </conditionalFormatting>
  <conditionalFormatting sqref="R84:R91">
    <cfRule type="cellIs" dxfId="7516" priority="251" operator="greaterThan">
      <formula>1</formula>
    </cfRule>
    <cfRule type="cellIs" dxfId="7515" priority="252" operator="lessThan">
      <formula>0.8</formula>
    </cfRule>
  </conditionalFormatting>
  <conditionalFormatting sqref="P84:P91">
    <cfRule type="cellIs" dxfId="7514" priority="250" operator="greaterThan">
      <formula>0</formula>
    </cfRule>
  </conditionalFormatting>
  <conditionalFormatting sqref="Q84:Q91">
    <cfRule type="cellIs" dxfId="7513" priority="255" operator="lessThan">
      <formula>0</formula>
    </cfRule>
  </conditionalFormatting>
  <conditionalFormatting sqref="Q84:Q91">
    <cfRule type="cellIs" dxfId="7512" priority="249" operator="lessThan">
      <formula>0</formula>
    </cfRule>
  </conditionalFormatting>
  <conditionalFormatting sqref="R84:R91">
    <cfRule type="cellIs" dxfId="7511" priority="247" operator="lessThan">
      <formula>0.8</formula>
    </cfRule>
    <cfRule type="cellIs" dxfId="7510" priority="248" operator="greaterThan">
      <formula>1</formula>
    </cfRule>
  </conditionalFormatting>
  <conditionalFormatting sqref="R84:R91">
    <cfRule type="cellIs" dxfId="7509" priority="245" operator="greaterThan">
      <formula>1</formula>
    </cfRule>
    <cfRule type="cellIs" dxfId="7508" priority="246" operator="lessThan">
      <formula>0.8</formula>
    </cfRule>
  </conditionalFormatting>
  <conditionalFormatting sqref="P84:P91">
    <cfRule type="cellIs" dxfId="7507" priority="244" operator="greaterThan">
      <formula>0</formula>
    </cfRule>
  </conditionalFormatting>
  <conditionalFormatting sqref="Q84:Q91">
    <cfRule type="cellIs" dxfId="7506" priority="243" operator="lessThan">
      <formula>0</formula>
    </cfRule>
  </conditionalFormatting>
  <conditionalFormatting sqref="R84:R91">
    <cfRule type="cellIs" dxfId="7505" priority="241" operator="lessThan">
      <formula>0.8</formula>
    </cfRule>
    <cfRule type="cellIs" dxfId="7504" priority="242" operator="greaterThan">
      <formula>1</formula>
    </cfRule>
  </conditionalFormatting>
  <conditionalFormatting sqref="R84:R91">
    <cfRule type="cellIs" dxfId="7503" priority="239" operator="greaterThan">
      <formula>1</formula>
    </cfRule>
    <cfRule type="cellIs" dxfId="7502" priority="240" operator="lessThan">
      <formula>0.8</formula>
    </cfRule>
  </conditionalFormatting>
  <conditionalFormatting sqref="P84:P91">
    <cfRule type="cellIs" dxfId="7501" priority="238" operator="greaterThan">
      <formula>0</formula>
    </cfRule>
  </conditionalFormatting>
  <conditionalFormatting sqref="Q84:Q91">
    <cfRule type="cellIs" dxfId="7500" priority="237" operator="lessThan">
      <formula>0</formula>
    </cfRule>
  </conditionalFormatting>
  <conditionalFormatting sqref="R84:R91">
    <cfRule type="cellIs" dxfId="7499" priority="235" operator="lessThan">
      <formula>0.8</formula>
    </cfRule>
    <cfRule type="cellIs" dxfId="7498" priority="236" operator="greaterThan">
      <formula>1</formula>
    </cfRule>
  </conditionalFormatting>
  <conditionalFormatting sqref="R84:R91">
    <cfRule type="cellIs" dxfId="7497" priority="233" operator="greaterThan">
      <formula>1</formula>
    </cfRule>
    <cfRule type="cellIs" dxfId="7496" priority="234" operator="lessThan">
      <formula>0.8</formula>
    </cfRule>
  </conditionalFormatting>
  <conditionalFormatting sqref="P84:P91">
    <cfRule type="cellIs" dxfId="7495" priority="232" operator="greaterThan">
      <formula>0</formula>
    </cfRule>
  </conditionalFormatting>
  <conditionalFormatting sqref="Q84:Q91">
    <cfRule type="cellIs" dxfId="7494" priority="231" operator="lessThan">
      <formula>0</formula>
    </cfRule>
  </conditionalFormatting>
  <conditionalFormatting sqref="R84:R91">
    <cfRule type="cellIs" dxfId="7493" priority="229" operator="lessThan">
      <formula>0.8</formula>
    </cfRule>
    <cfRule type="cellIs" dxfId="7492" priority="230" operator="greaterThan">
      <formula>1</formula>
    </cfRule>
  </conditionalFormatting>
  <conditionalFormatting sqref="R84:R91">
    <cfRule type="cellIs" dxfId="7491" priority="227" operator="greaterThan">
      <formula>1</formula>
    </cfRule>
    <cfRule type="cellIs" dxfId="7490" priority="228" operator="lessThan">
      <formula>0.8</formula>
    </cfRule>
  </conditionalFormatting>
  <conditionalFormatting sqref="P84:P91">
    <cfRule type="cellIs" dxfId="7489" priority="226" operator="greaterThan">
      <formula>0</formula>
    </cfRule>
  </conditionalFormatting>
  <conditionalFormatting sqref="P84:P91">
    <cfRule type="cellIs" dxfId="7488" priority="220" operator="greaterThan">
      <formula>0</formula>
    </cfRule>
  </conditionalFormatting>
  <conditionalFormatting sqref="Q84:Q91">
    <cfRule type="cellIs" dxfId="7487" priority="225" operator="lessThan">
      <formula>0</formula>
    </cfRule>
  </conditionalFormatting>
  <conditionalFormatting sqref="R84:R91">
    <cfRule type="cellIs" dxfId="7486" priority="223" operator="lessThan">
      <formula>0.8</formula>
    </cfRule>
    <cfRule type="cellIs" dxfId="7485" priority="224" operator="greaterThan">
      <formula>1</formula>
    </cfRule>
  </conditionalFormatting>
  <conditionalFormatting sqref="R84:R91">
    <cfRule type="cellIs" dxfId="7484" priority="221" operator="greaterThan">
      <formula>1</formula>
    </cfRule>
    <cfRule type="cellIs" dxfId="7483" priority="222" operator="lessThan">
      <formula>0.8</formula>
    </cfRule>
  </conditionalFormatting>
  <conditionalFormatting sqref="P84:P91">
    <cfRule type="cellIs" dxfId="7482" priority="214" operator="greaterThan">
      <formula>0</formula>
    </cfRule>
  </conditionalFormatting>
  <conditionalFormatting sqref="Q84:Q91">
    <cfRule type="cellIs" dxfId="7481" priority="219" operator="lessThan">
      <formula>0</formula>
    </cfRule>
  </conditionalFormatting>
  <conditionalFormatting sqref="R84:R91">
    <cfRule type="cellIs" dxfId="7480" priority="217" operator="lessThan">
      <formula>0.8</formula>
    </cfRule>
    <cfRule type="cellIs" dxfId="7479" priority="218" operator="greaterThan">
      <formula>1</formula>
    </cfRule>
  </conditionalFormatting>
  <conditionalFormatting sqref="R84:R91">
    <cfRule type="cellIs" dxfId="7478" priority="215" operator="greaterThan">
      <formula>1</formula>
    </cfRule>
    <cfRule type="cellIs" dxfId="7477" priority="216" operator="lessThan">
      <formula>0.8</formula>
    </cfRule>
  </conditionalFormatting>
  <conditionalFormatting sqref="R84:R91">
    <cfRule type="cellIs" dxfId="7476" priority="211" operator="lessThan">
      <formula>0.8</formula>
    </cfRule>
    <cfRule type="cellIs" dxfId="7475" priority="212" operator="greaterThan">
      <formula>1</formula>
    </cfRule>
  </conditionalFormatting>
  <conditionalFormatting sqref="R84:R91">
    <cfRule type="cellIs" dxfId="7474" priority="209" operator="greaterThan">
      <formula>1</formula>
    </cfRule>
    <cfRule type="cellIs" dxfId="7473" priority="210" operator="lessThan">
      <formula>0.8</formula>
    </cfRule>
  </conditionalFormatting>
  <conditionalFormatting sqref="P84:P91">
    <cfRule type="cellIs" dxfId="7472" priority="208" operator="greaterThan">
      <formula>0</formula>
    </cfRule>
  </conditionalFormatting>
  <conditionalFormatting sqref="Q84:Q91">
    <cfRule type="cellIs" dxfId="7471" priority="213" operator="lessThan">
      <formula>0</formula>
    </cfRule>
  </conditionalFormatting>
  <conditionalFormatting sqref="Q84:Q91">
    <cfRule type="cellIs" dxfId="7470" priority="207" operator="lessThan">
      <formula>0</formula>
    </cfRule>
  </conditionalFormatting>
  <conditionalFormatting sqref="R84:R91">
    <cfRule type="cellIs" dxfId="7469" priority="205" operator="lessThan">
      <formula>0.8</formula>
    </cfRule>
    <cfRule type="cellIs" dxfId="7468" priority="206" operator="greaterThan">
      <formula>1</formula>
    </cfRule>
  </conditionalFormatting>
  <conditionalFormatting sqref="R84:R91">
    <cfRule type="cellIs" dxfId="7467" priority="203" operator="greaterThan">
      <formula>1</formula>
    </cfRule>
    <cfRule type="cellIs" dxfId="7466" priority="204" operator="lessThan">
      <formula>0.8</formula>
    </cfRule>
  </conditionalFormatting>
  <conditionalFormatting sqref="P84:P91">
    <cfRule type="cellIs" dxfId="7465" priority="202" operator="greaterThan">
      <formula>0</formula>
    </cfRule>
  </conditionalFormatting>
  <conditionalFormatting sqref="P84:P91">
    <cfRule type="cellIs" dxfId="7464" priority="196" operator="greaterThan">
      <formula>0</formula>
    </cfRule>
  </conditionalFormatting>
  <conditionalFormatting sqref="Q84:Q91">
    <cfRule type="cellIs" dxfId="7463" priority="201" operator="lessThan">
      <formula>0</formula>
    </cfRule>
  </conditionalFormatting>
  <conditionalFormatting sqref="R84:R91">
    <cfRule type="cellIs" dxfId="7462" priority="199" operator="lessThan">
      <formula>0.8</formula>
    </cfRule>
    <cfRule type="cellIs" dxfId="7461" priority="200" operator="greaterThan">
      <formula>1</formula>
    </cfRule>
  </conditionalFormatting>
  <conditionalFormatting sqref="R84:R91">
    <cfRule type="cellIs" dxfId="7460" priority="197" operator="greaterThan">
      <formula>1</formula>
    </cfRule>
    <cfRule type="cellIs" dxfId="7459" priority="198" operator="lessThan">
      <formula>0.8</formula>
    </cfRule>
  </conditionalFormatting>
  <conditionalFormatting sqref="P84:P91">
    <cfRule type="cellIs" dxfId="7458" priority="190" operator="greaterThan">
      <formula>0</formula>
    </cfRule>
  </conditionalFormatting>
  <conditionalFormatting sqref="Q84:Q91">
    <cfRule type="cellIs" dxfId="7457" priority="195" operator="lessThan">
      <formula>0</formula>
    </cfRule>
  </conditionalFormatting>
  <conditionalFormatting sqref="R84:R91">
    <cfRule type="cellIs" dxfId="7456" priority="193" operator="lessThan">
      <formula>0.8</formula>
    </cfRule>
    <cfRule type="cellIs" dxfId="7455" priority="194" operator="greaterThan">
      <formula>1</formula>
    </cfRule>
  </conditionalFormatting>
  <conditionalFormatting sqref="R84:R91">
    <cfRule type="cellIs" dxfId="7454" priority="191" operator="greaterThan">
      <formula>1</formula>
    </cfRule>
    <cfRule type="cellIs" dxfId="7453" priority="192" operator="lessThan">
      <formula>0.8</formula>
    </cfRule>
  </conditionalFormatting>
  <conditionalFormatting sqref="R84:R91">
    <cfRule type="cellIs" dxfId="7452" priority="187" operator="lessThan">
      <formula>0.8</formula>
    </cfRule>
    <cfRule type="cellIs" dxfId="7451" priority="188" operator="greaterThan">
      <formula>1</formula>
    </cfRule>
  </conditionalFormatting>
  <conditionalFormatting sqref="R84:R91">
    <cfRule type="cellIs" dxfId="7450" priority="185" operator="greaterThan">
      <formula>1</formula>
    </cfRule>
    <cfRule type="cellIs" dxfId="7449" priority="186" operator="lessThan">
      <formula>0.8</formula>
    </cfRule>
  </conditionalFormatting>
  <conditionalFormatting sqref="P84:P91">
    <cfRule type="cellIs" dxfId="7448" priority="184" operator="greaterThan">
      <formula>0</formula>
    </cfRule>
  </conditionalFormatting>
  <conditionalFormatting sqref="Q84:Q91">
    <cfRule type="cellIs" dxfId="7447" priority="189" operator="lessThan">
      <formula>0</formula>
    </cfRule>
  </conditionalFormatting>
  <conditionalFormatting sqref="P84:P91">
    <cfRule type="cellIs" dxfId="7446" priority="178" operator="greaterThan">
      <formula>0</formula>
    </cfRule>
  </conditionalFormatting>
  <conditionalFormatting sqref="Q84:Q91">
    <cfRule type="cellIs" dxfId="7445" priority="183" operator="lessThan">
      <formula>0</formula>
    </cfRule>
  </conditionalFormatting>
  <conditionalFormatting sqref="R84:R91">
    <cfRule type="cellIs" dxfId="7444" priority="181" operator="lessThan">
      <formula>0.8</formula>
    </cfRule>
    <cfRule type="cellIs" dxfId="7443" priority="182" operator="greaterThan">
      <formula>1</formula>
    </cfRule>
  </conditionalFormatting>
  <conditionalFormatting sqref="R84:R91">
    <cfRule type="cellIs" dxfId="7442" priority="179" operator="greaterThan">
      <formula>1</formula>
    </cfRule>
    <cfRule type="cellIs" dxfId="7441" priority="180" operator="lessThan">
      <formula>0.8</formula>
    </cfRule>
  </conditionalFormatting>
  <conditionalFormatting sqref="R84:R91">
    <cfRule type="cellIs" dxfId="7440" priority="175" operator="lessThan">
      <formula>0.8</formula>
    </cfRule>
    <cfRule type="cellIs" dxfId="7439" priority="176" operator="greaterThan">
      <formula>1</formula>
    </cfRule>
  </conditionalFormatting>
  <conditionalFormatting sqref="R84:R91">
    <cfRule type="cellIs" dxfId="7438" priority="173" operator="greaterThan">
      <formula>1</formula>
    </cfRule>
    <cfRule type="cellIs" dxfId="7437" priority="174" operator="lessThan">
      <formula>0.8</formula>
    </cfRule>
  </conditionalFormatting>
  <conditionalFormatting sqref="P84:P91">
    <cfRule type="cellIs" dxfId="7436" priority="172" operator="greaterThan">
      <formula>0</formula>
    </cfRule>
  </conditionalFormatting>
  <conditionalFormatting sqref="Q84:Q91">
    <cfRule type="cellIs" dxfId="7435" priority="177" operator="lessThan">
      <formula>0</formula>
    </cfRule>
  </conditionalFormatting>
  <conditionalFormatting sqref="R84:R91">
    <cfRule type="cellIs" dxfId="7434" priority="169" operator="lessThan">
      <formula>0.8</formula>
    </cfRule>
    <cfRule type="cellIs" dxfId="7433" priority="170" operator="greaterThan">
      <formula>1</formula>
    </cfRule>
  </conditionalFormatting>
  <conditionalFormatting sqref="R84:R91">
    <cfRule type="cellIs" dxfId="7432" priority="167" operator="greaterThan">
      <formula>1</formula>
    </cfRule>
    <cfRule type="cellIs" dxfId="7431" priority="168" operator="lessThan">
      <formula>0.8</formula>
    </cfRule>
  </conditionalFormatting>
  <conditionalFormatting sqref="P84:P91">
    <cfRule type="cellIs" dxfId="7430" priority="166" operator="greaterThan">
      <formula>0</formula>
    </cfRule>
  </conditionalFormatting>
  <conditionalFormatting sqref="Q84:Q91">
    <cfRule type="cellIs" dxfId="7429" priority="171" operator="lessThan">
      <formula>0</formula>
    </cfRule>
  </conditionalFormatting>
  <conditionalFormatting sqref="Q84:Q91">
    <cfRule type="cellIs" dxfId="7428" priority="165" operator="lessThan">
      <formula>0</formula>
    </cfRule>
  </conditionalFormatting>
  <conditionalFormatting sqref="R84:R91">
    <cfRule type="cellIs" dxfId="7427" priority="163" operator="lessThan">
      <formula>0.8</formula>
    </cfRule>
    <cfRule type="cellIs" dxfId="7426" priority="164" operator="greaterThan">
      <formula>1</formula>
    </cfRule>
  </conditionalFormatting>
  <conditionalFormatting sqref="R84:R91">
    <cfRule type="cellIs" dxfId="7425" priority="161" operator="greaterThan">
      <formula>1</formula>
    </cfRule>
    <cfRule type="cellIs" dxfId="7424" priority="162" operator="lessThan">
      <formula>0.8</formula>
    </cfRule>
  </conditionalFormatting>
  <conditionalFormatting sqref="P84:P91">
    <cfRule type="cellIs" dxfId="7423" priority="160" operator="greaterThan">
      <formula>0</formula>
    </cfRule>
  </conditionalFormatting>
  <conditionalFormatting sqref="Q84:Q91">
    <cfRule type="cellIs" dxfId="7422" priority="154" operator="lessThan">
      <formula>0</formula>
    </cfRule>
  </conditionalFormatting>
  <conditionalFormatting sqref="R84:R91">
    <cfRule type="cellIs" dxfId="7421" priority="158" operator="lessThan">
      <formula>0.8</formula>
    </cfRule>
    <cfRule type="cellIs" dxfId="7420" priority="159" operator="greaterThan">
      <formula>1</formula>
    </cfRule>
  </conditionalFormatting>
  <conditionalFormatting sqref="R84:R91">
    <cfRule type="cellIs" dxfId="7419" priority="156" operator="greaterThan">
      <formula>1</formula>
    </cfRule>
    <cfRule type="cellIs" dxfId="7418" priority="157" operator="lessThan">
      <formula>0.8</formula>
    </cfRule>
  </conditionalFormatting>
  <conditionalFormatting sqref="P84:P91">
    <cfRule type="cellIs" dxfId="7417" priority="155" operator="greaterThan">
      <formula>0</formula>
    </cfRule>
  </conditionalFormatting>
  <conditionalFormatting sqref="Q84:Q91">
    <cfRule type="cellIs" dxfId="7416" priority="153" operator="lessThan">
      <formula>0</formula>
    </cfRule>
  </conditionalFormatting>
  <conditionalFormatting sqref="R84:R91">
    <cfRule type="cellIs" dxfId="7415" priority="151" operator="lessThan">
      <formula>0.8</formula>
    </cfRule>
    <cfRule type="cellIs" dxfId="7414" priority="152" operator="greaterThan">
      <formula>1</formula>
    </cfRule>
  </conditionalFormatting>
  <conditionalFormatting sqref="R84:R91">
    <cfRule type="cellIs" dxfId="7413" priority="149" operator="greaterThan">
      <formula>1</formula>
    </cfRule>
    <cfRule type="cellIs" dxfId="7412" priority="150" operator="lessThan">
      <formula>0.8</formula>
    </cfRule>
  </conditionalFormatting>
  <conditionalFormatting sqref="P84:P91">
    <cfRule type="cellIs" dxfId="7411" priority="148" operator="greaterThan">
      <formula>0</formula>
    </cfRule>
  </conditionalFormatting>
  <conditionalFormatting sqref="Q84:Q91">
    <cfRule type="cellIs" dxfId="7410" priority="147" operator="lessThan">
      <formula>0</formula>
    </cfRule>
  </conditionalFormatting>
  <conditionalFormatting sqref="R84:R91">
    <cfRule type="cellIs" dxfId="7409" priority="145" operator="lessThan">
      <formula>0.8</formula>
    </cfRule>
    <cfRule type="cellIs" dxfId="7408" priority="146" operator="greaterThan">
      <formula>1</formula>
    </cfRule>
  </conditionalFormatting>
  <conditionalFormatting sqref="R84:R91">
    <cfRule type="cellIs" dxfId="7407" priority="143" operator="greaterThan">
      <formula>1</formula>
    </cfRule>
    <cfRule type="cellIs" dxfId="7406" priority="144" operator="lessThan">
      <formula>0.8</formula>
    </cfRule>
  </conditionalFormatting>
  <conditionalFormatting sqref="P84:P91">
    <cfRule type="cellIs" dxfId="7405" priority="142" operator="greaterThan">
      <formula>0</formula>
    </cfRule>
  </conditionalFormatting>
  <conditionalFormatting sqref="Q84:Q91">
    <cfRule type="cellIs" dxfId="7404" priority="141" operator="lessThan">
      <formula>0</formula>
    </cfRule>
  </conditionalFormatting>
  <conditionalFormatting sqref="R84:R91">
    <cfRule type="cellIs" dxfId="7403" priority="139" operator="lessThan">
      <formula>0.8</formula>
    </cfRule>
    <cfRule type="cellIs" dxfId="7402" priority="140" operator="greaterThan">
      <formula>1</formula>
    </cfRule>
  </conditionalFormatting>
  <conditionalFormatting sqref="R84:R91">
    <cfRule type="cellIs" dxfId="7401" priority="137" operator="greaterThan">
      <formula>1</formula>
    </cfRule>
    <cfRule type="cellIs" dxfId="7400" priority="138" operator="lessThan">
      <formula>0.8</formula>
    </cfRule>
  </conditionalFormatting>
  <conditionalFormatting sqref="P84:P91">
    <cfRule type="cellIs" dxfId="7399" priority="136" operator="greaterThan">
      <formula>0</formula>
    </cfRule>
  </conditionalFormatting>
  <conditionalFormatting sqref="Q84:Q91">
    <cfRule type="cellIs" dxfId="7398" priority="135" operator="lessThan">
      <formula>0</formula>
    </cfRule>
  </conditionalFormatting>
  <conditionalFormatting sqref="R84:R91">
    <cfRule type="cellIs" dxfId="7397" priority="133" operator="lessThan">
      <formula>0.8</formula>
    </cfRule>
    <cfRule type="cellIs" dxfId="7396" priority="134" operator="greaterThan">
      <formula>1</formula>
    </cfRule>
  </conditionalFormatting>
  <conditionalFormatting sqref="R84:R91">
    <cfRule type="cellIs" dxfId="7395" priority="131" operator="greaterThan">
      <formula>1</formula>
    </cfRule>
    <cfRule type="cellIs" dxfId="7394" priority="132" operator="lessThan">
      <formula>0.8</formula>
    </cfRule>
  </conditionalFormatting>
  <conditionalFormatting sqref="P84:P91">
    <cfRule type="cellIs" dxfId="7393" priority="130" operator="greaterThan">
      <formula>0</formula>
    </cfRule>
  </conditionalFormatting>
  <conditionalFormatting sqref="Q84:Q91">
    <cfRule type="cellIs" dxfId="7392" priority="129" operator="lessThan">
      <formula>0</formula>
    </cfRule>
  </conditionalFormatting>
  <conditionalFormatting sqref="R84:R91">
    <cfRule type="cellIs" dxfId="7391" priority="127" operator="lessThan">
      <formula>0.8</formula>
    </cfRule>
    <cfRule type="cellIs" dxfId="7390" priority="128" operator="greaterThan">
      <formula>1</formula>
    </cfRule>
  </conditionalFormatting>
  <conditionalFormatting sqref="R84:R91">
    <cfRule type="cellIs" dxfId="7389" priority="125" operator="greaterThan">
      <formula>1</formula>
    </cfRule>
    <cfRule type="cellIs" dxfId="7388" priority="126" operator="lessThan">
      <formula>0.8</formula>
    </cfRule>
  </conditionalFormatting>
  <conditionalFormatting sqref="P84:P91">
    <cfRule type="cellIs" dxfId="7387" priority="124" operator="greaterThan">
      <formula>0</formula>
    </cfRule>
  </conditionalFormatting>
  <conditionalFormatting sqref="P84:P91">
    <cfRule type="cellIs" dxfId="7386" priority="118" operator="greaterThan">
      <formula>0</formula>
    </cfRule>
  </conditionalFormatting>
  <conditionalFormatting sqref="Q84:Q91">
    <cfRule type="cellIs" dxfId="7385" priority="123" operator="lessThan">
      <formula>0</formula>
    </cfRule>
  </conditionalFormatting>
  <conditionalFormatting sqref="R84:R91">
    <cfRule type="cellIs" dxfId="7384" priority="121" operator="lessThan">
      <formula>0.8</formula>
    </cfRule>
    <cfRule type="cellIs" dxfId="7383" priority="122" operator="greaterThan">
      <formula>1</formula>
    </cfRule>
  </conditionalFormatting>
  <conditionalFormatting sqref="R84:R91">
    <cfRule type="cellIs" dxfId="7382" priority="119" operator="greaterThan">
      <formula>1</formula>
    </cfRule>
    <cfRule type="cellIs" dxfId="7381" priority="120" operator="lessThan">
      <formula>0.8</formula>
    </cfRule>
  </conditionalFormatting>
  <conditionalFormatting sqref="P84:P91">
    <cfRule type="cellIs" dxfId="7380" priority="112" operator="greaterThan">
      <formula>0</formula>
    </cfRule>
  </conditionalFormatting>
  <conditionalFormatting sqref="Q84:Q91">
    <cfRule type="cellIs" dxfId="7379" priority="117" operator="lessThan">
      <formula>0</formula>
    </cfRule>
  </conditionalFormatting>
  <conditionalFormatting sqref="R84:R91">
    <cfRule type="cellIs" dxfId="7378" priority="115" operator="lessThan">
      <formula>0.8</formula>
    </cfRule>
    <cfRule type="cellIs" dxfId="7377" priority="116" operator="greaterThan">
      <formula>1</formula>
    </cfRule>
  </conditionalFormatting>
  <conditionalFormatting sqref="R84:R91">
    <cfRule type="cellIs" dxfId="7376" priority="113" operator="greaterThan">
      <formula>1</formula>
    </cfRule>
    <cfRule type="cellIs" dxfId="7375" priority="114" operator="lessThan">
      <formula>0.8</formula>
    </cfRule>
  </conditionalFormatting>
  <conditionalFormatting sqref="R84:R91">
    <cfRule type="cellIs" dxfId="7374" priority="109" operator="lessThan">
      <formula>0.8</formula>
    </cfRule>
    <cfRule type="cellIs" dxfId="7373" priority="110" operator="greaterThan">
      <formula>1</formula>
    </cfRule>
  </conditionalFormatting>
  <conditionalFormatting sqref="R84:R91">
    <cfRule type="cellIs" dxfId="7372" priority="107" operator="greaterThan">
      <formula>1</formula>
    </cfRule>
    <cfRule type="cellIs" dxfId="7371" priority="108" operator="lessThan">
      <formula>0.8</formula>
    </cfRule>
  </conditionalFormatting>
  <conditionalFormatting sqref="P84:P91">
    <cfRule type="cellIs" dxfId="7370" priority="106" operator="greaterThan">
      <formula>0</formula>
    </cfRule>
  </conditionalFormatting>
  <conditionalFormatting sqref="Q84:Q91">
    <cfRule type="cellIs" dxfId="7369" priority="111" operator="lessThan">
      <formula>0</formula>
    </cfRule>
  </conditionalFormatting>
  <conditionalFormatting sqref="Q84:Q91">
    <cfRule type="cellIs" dxfId="7368" priority="100" operator="lessThan">
      <formula>0</formula>
    </cfRule>
  </conditionalFormatting>
  <conditionalFormatting sqref="P84:P91">
    <cfRule type="cellIs" dxfId="7367" priority="101" operator="greaterThan">
      <formula>0</formula>
    </cfRule>
  </conditionalFormatting>
  <conditionalFormatting sqref="R84:R91">
    <cfRule type="cellIs" dxfId="7366" priority="104" operator="lessThan">
      <formula>0.8</formula>
    </cfRule>
    <cfRule type="cellIs" dxfId="7365" priority="105" operator="greaterThan">
      <formula>1</formula>
    </cfRule>
  </conditionalFormatting>
  <conditionalFormatting sqref="R84:R91">
    <cfRule type="cellIs" dxfId="7364" priority="102" operator="greaterThan">
      <formula>1</formula>
    </cfRule>
    <cfRule type="cellIs" dxfId="7363" priority="103" operator="lessThan">
      <formula>0.8</formula>
    </cfRule>
  </conditionalFormatting>
  <conditionalFormatting sqref="Q84:Q91">
    <cfRule type="cellIs" dxfId="7362" priority="94" operator="lessThan">
      <formula>0</formula>
    </cfRule>
  </conditionalFormatting>
  <conditionalFormatting sqref="R84:R91">
    <cfRule type="cellIs" dxfId="7361" priority="98" operator="lessThan">
      <formula>0.8</formula>
    </cfRule>
    <cfRule type="cellIs" dxfId="7360" priority="99" operator="greaterThan">
      <formula>1</formula>
    </cfRule>
  </conditionalFormatting>
  <conditionalFormatting sqref="R84:R91">
    <cfRule type="cellIs" dxfId="7359" priority="96" operator="greaterThan">
      <formula>1</formula>
    </cfRule>
    <cfRule type="cellIs" dxfId="7358" priority="97" operator="lessThan">
      <formula>0.8</formula>
    </cfRule>
  </conditionalFormatting>
  <conditionalFormatting sqref="P84:P91">
    <cfRule type="cellIs" dxfId="7357" priority="95" operator="greaterThan">
      <formula>0</formula>
    </cfRule>
  </conditionalFormatting>
  <conditionalFormatting sqref="Q84:Q91">
    <cfRule type="cellIs" dxfId="7356" priority="93" operator="lessThan">
      <formula>0</formula>
    </cfRule>
  </conditionalFormatting>
  <conditionalFormatting sqref="R84:R91">
    <cfRule type="cellIs" dxfId="7355" priority="91" operator="lessThan">
      <formula>0.8</formula>
    </cfRule>
    <cfRule type="cellIs" dxfId="7354" priority="92" operator="greaterThan">
      <formula>1</formula>
    </cfRule>
  </conditionalFormatting>
  <conditionalFormatting sqref="R84:R91">
    <cfRule type="cellIs" dxfId="7353" priority="89" operator="greaterThan">
      <formula>1</formula>
    </cfRule>
    <cfRule type="cellIs" dxfId="7352" priority="90" operator="lessThan">
      <formula>0.8</formula>
    </cfRule>
  </conditionalFormatting>
  <conditionalFormatting sqref="P84:P91">
    <cfRule type="cellIs" dxfId="7351" priority="88" operator="greaterThan">
      <formula>0</formula>
    </cfRule>
  </conditionalFormatting>
  <conditionalFormatting sqref="Q84:Q91">
    <cfRule type="cellIs" dxfId="7350" priority="87" operator="lessThan">
      <formula>0</formula>
    </cfRule>
  </conditionalFormatting>
  <conditionalFormatting sqref="R84:R91">
    <cfRule type="cellIs" dxfId="7349" priority="85" operator="lessThan">
      <formula>0.8</formula>
    </cfRule>
    <cfRule type="cellIs" dxfId="7348" priority="86" operator="greaterThan">
      <formula>1</formula>
    </cfRule>
  </conditionalFormatting>
  <conditionalFormatting sqref="R84:R91">
    <cfRule type="cellIs" dxfId="7347" priority="83" operator="greaterThan">
      <formula>1</formula>
    </cfRule>
    <cfRule type="cellIs" dxfId="7346" priority="84" operator="lessThan">
      <formula>0.8</formula>
    </cfRule>
  </conditionalFormatting>
  <conditionalFormatting sqref="P84:P91">
    <cfRule type="cellIs" dxfId="7345" priority="82" operator="greaterThan">
      <formula>0</formula>
    </cfRule>
  </conditionalFormatting>
  <conditionalFormatting sqref="Q84:Q91">
    <cfRule type="cellIs" dxfId="7344" priority="81" operator="lessThan">
      <formula>0</formula>
    </cfRule>
  </conditionalFormatting>
  <conditionalFormatting sqref="R84:R91">
    <cfRule type="cellIs" dxfId="7343" priority="79" operator="lessThan">
      <formula>0.8</formula>
    </cfRule>
    <cfRule type="cellIs" dxfId="7342" priority="80" operator="greaterThan">
      <formula>1</formula>
    </cfRule>
  </conditionalFormatting>
  <conditionalFormatting sqref="R84:R91">
    <cfRule type="cellIs" dxfId="7341" priority="77" operator="greaterThan">
      <formula>1</formula>
    </cfRule>
    <cfRule type="cellIs" dxfId="7340" priority="78" operator="lessThan">
      <formula>0.8</formula>
    </cfRule>
  </conditionalFormatting>
  <conditionalFormatting sqref="P84:P91">
    <cfRule type="cellIs" dxfId="7339" priority="76" operator="greaterThan">
      <formula>0</formula>
    </cfRule>
  </conditionalFormatting>
  <conditionalFormatting sqref="Q162:Q166">
    <cfRule type="cellIs" dxfId="7338" priority="75" operator="lessThan">
      <formula>0</formula>
    </cfRule>
  </conditionalFormatting>
  <conditionalFormatting sqref="R162:R166">
    <cfRule type="cellIs" dxfId="7337" priority="73" operator="lessThan">
      <formula>0.8</formula>
    </cfRule>
    <cfRule type="cellIs" dxfId="7336" priority="74" operator="greaterThan">
      <formula>1</formula>
    </cfRule>
  </conditionalFormatting>
  <conditionalFormatting sqref="R162:R166">
    <cfRule type="cellIs" dxfId="7335" priority="71" operator="greaterThan">
      <formula>1</formula>
    </cfRule>
    <cfRule type="cellIs" dxfId="7334" priority="72" operator="lessThan">
      <formula>0.8</formula>
    </cfRule>
  </conditionalFormatting>
  <conditionalFormatting sqref="P162:P166">
    <cfRule type="cellIs" dxfId="7333" priority="70" operator="greaterThan">
      <formula>0</formula>
    </cfRule>
  </conditionalFormatting>
  <conditionalFormatting sqref="P167:P168">
    <cfRule type="cellIs" dxfId="7332" priority="64" operator="greaterThan">
      <formula>0</formula>
    </cfRule>
  </conditionalFormatting>
  <conditionalFormatting sqref="R167:R168">
    <cfRule type="cellIs" dxfId="7331" priority="67" operator="lessThan">
      <formula>0.8</formula>
    </cfRule>
    <cfRule type="cellIs" dxfId="7330" priority="68" operator="greaterThan">
      <formula>1</formula>
    </cfRule>
  </conditionalFormatting>
  <conditionalFormatting sqref="R167:R168">
    <cfRule type="cellIs" dxfId="7329" priority="65" operator="greaterThan">
      <formula>1</formula>
    </cfRule>
    <cfRule type="cellIs" dxfId="7328" priority="66" operator="lessThan">
      <formula>0.8</formula>
    </cfRule>
  </conditionalFormatting>
  <conditionalFormatting sqref="Q167:Q168">
    <cfRule type="cellIs" dxfId="7327" priority="69" operator="lessThan">
      <formula>0</formula>
    </cfRule>
  </conditionalFormatting>
  <conditionalFormatting sqref="Q161">
    <cfRule type="cellIs" dxfId="7326" priority="63" operator="lessThan">
      <formula>0</formula>
    </cfRule>
  </conditionalFormatting>
  <conditionalFormatting sqref="R161">
    <cfRule type="cellIs" dxfId="7325" priority="61" operator="lessThan">
      <formula>0.8</formula>
    </cfRule>
    <cfRule type="cellIs" dxfId="7324" priority="62" operator="greaterThan">
      <formula>1</formula>
    </cfRule>
  </conditionalFormatting>
  <conditionalFormatting sqref="R161">
    <cfRule type="cellIs" dxfId="7323" priority="59" operator="greaterThan">
      <formula>1</formula>
    </cfRule>
    <cfRule type="cellIs" dxfId="7322" priority="60" operator="lessThan">
      <formula>0.8</formula>
    </cfRule>
  </conditionalFormatting>
  <conditionalFormatting sqref="P161">
    <cfRule type="cellIs" dxfId="7321" priority="58" operator="greaterThan">
      <formula>0</formula>
    </cfRule>
  </conditionalFormatting>
  <conditionalFormatting sqref="Q162:Q166">
    <cfRule type="cellIs" dxfId="7320" priority="57" operator="lessThan">
      <formula>0</formula>
    </cfRule>
  </conditionalFormatting>
  <conditionalFormatting sqref="R162:R166">
    <cfRule type="cellIs" dxfId="7319" priority="55" operator="lessThan">
      <formula>0.8</formula>
    </cfRule>
    <cfRule type="cellIs" dxfId="7318" priority="56" operator="greaterThan">
      <formula>1</formula>
    </cfRule>
  </conditionalFormatting>
  <conditionalFormatting sqref="R162:R166">
    <cfRule type="cellIs" dxfId="7317" priority="53" operator="greaterThan">
      <formula>1</formula>
    </cfRule>
    <cfRule type="cellIs" dxfId="7316" priority="54" operator="lessThan">
      <formula>0.8</formula>
    </cfRule>
  </conditionalFormatting>
  <conditionalFormatting sqref="P162:P166">
    <cfRule type="cellIs" dxfId="7315" priority="52" operator="greaterThan">
      <formula>0</formula>
    </cfRule>
  </conditionalFormatting>
  <conditionalFormatting sqref="Q162:Q166">
    <cfRule type="cellIs" dxfId="7314" priority="51" operator="lessThan">
      <formula>0</formula>
    </cfRule>
  </conditionalFormatting>
  <conditionalFormatting sqref="R162:R166">
    <cfRule type="cellIs" dxfId="7313" priority="49" operator="lessThan">
      <formula>0.8</formula>
    </cfRule>
    <cfRule type="cellIs" dxfId="7312" priority="50" operator="greaterThan">
      <formula>1</formula>
    </cfRule>
  </conditionalFormatting>
  <conditionalFormatting sqref="R162:R166">
    <cfRule type="cellIs" dxfId="7311" priority="47" operator="greaterThan">
      <formula>1</formula>
    </cfRule>
    <cfRule type="cellIs" dxfId="7310" priority="48" operator="lessThan">
      <formula>0.8</formula>
    </cfRule>
  </conditionalFormatting>
  <conditionalFormatting sqref="P162:P166">
    <cfRule type="cellIs" dxfId="7309" priority="46" operator="greaterThan">
      <formula>0</formula>
    </cfRule>
  </conditionalFormatting>
  <conditionalFormatting sqref="Q167:Q168">
    <cfRule type="cellIs" dxfId="7308" priority="45" operator="lessThan">
      <formula>0</formula>
    </cfRule>
  </conditionalFormatting>
  <conditionalFormatting sqref="R167:R168">
    <cfRule type="cellIs" dxfId="7307" priority="43" operator="lessThan">
      <formula>0.8</formula>
    </cfRule>
    <cfRule type="cellIs" dxfId="7306" priority="44" operator="greaterThan">
      <formula>1</formula>
    </cfRule>
  </conditionalFormatting>
  <conditionalFormatting sqref="R167:R168">
    <cfRule type="cellIs" dxfId="7305" priority="41" operator="greaterThan">
      <formula>1</formula>
    </cfRule>
    <cfRule type="cellIs" dxfId="7304" priority="42" operator="lessThan">
      <formula>0.8</formula>
    </cfRule>
  </conditionalFormatting>
  <conditionalFormatting sqref="P167:P168">
    <cfRule type="cellIs" dxfId="7303" priority="40" operator="greaterThan">
      <formula>0</formula>
    </cfRule>
  </conditionalFormatting>
  <conditionalFormatting sqref="Q161">
    <cfRule type="cellIs" dxfId="7302" priority="39" operator="lessThan">
      <formula>0</formula>
    </cfRule>
  </conditionalFormatting>
  <conditionalFormatting sqref="R161">
    <cfRule type="cellIs" dxfId="7301" priority="37" operator="lessThan">
      <formula>0.8</formula>
    </cfRule>
    <cfRule type="cellIs" dxfId="7300" priority="38" operator="greaterThan">
      <formula>1</formula>
    </cfRule>
  </conditionalFormatting>
  <conditionalFormatting sqref="R161">
    <cfRule type="cellIs" dxfId="7299" priority="35" operator="greaterThan">
      <formula>1</formula>
    </cfRule>
    <cfRule type="cellIs" dxfId="7298" priority="36" operator="lessThan">
      <formula>0.8</formula>
    </cfRule>
  </conditionalFormatting>
  <conditionalFormatting sqref="P161">
    <cfRule type="cellIs" dxfId="7297" priority="34" operator="greaterThan">
      <formula>0</formula>
    </cfRule>
  </conditionalFormatting>
  <conditionalFormatting sqref="Q162:Q166">
    <cfRule type="cellIs" dxfId="7296" priority="33" operator="lessThan">
      <formula>0</formula>
    </cfRule>
  </conditionalFormatting>
  <conditionalFormatting sqref="R162:R166">
    <cfRule type="cellIs" dxfId="7295" priority="31" operator="lessThan">
      <formula>0.8</formula>
    </cfRule>
    <cfRule type="cellIs" dxfId="7294" priority="32" operator="greaterThan">
      <formula>1</formula>
    </cfRule>
  </conditionalFormatting>
  <conditionalFormatting sqref="R162:R166">
    <cfRule type="cellIs" dxfId="7293" priority="29" operator="greaterThan">
      <formula>1</formula>
    </cfRule>
    <cfRule type="cellIs" dxfId="7292" priority="30" operator="lessThan">
      <formula>0.8</formula>
    </cfRule>
  </conditionalFormatting>
  <conditionalFormatting sqref="P162:P166">
    <cfRule type="cellIs" dxfId="7291" priority="28" operator="greaterThan">
      <formula>0</formula>
    </cfRule>
  </conditionalFormatting>
  <conditionalFormatting sqref="Q161">
    <cfRule type="cellIs" dxfId="7290" priority="27" operator="lessThan">
      <formula>0</formula>
    </cfRule>
  </conditionalFormatting>
  <conditionalFormatting sqref="R161">
    <cfRule type="cellIs" dxfId="7289" priority="25" operator="lessThan">
      <formula>0.8</formula>
    </cfRule>
    <cfRule type="cellIs" dxfId="7288" priority="26" operator="greaterThan">
      <formula>1</formula>
    </cfRule>
  </conditionalFormatting>
  <conditionalFormatting sqref="R161">
    <cfRule type="cellIs" dxfId="7287" priority="23" operator="greaterThan">
      <formula>1</formula>
    </cfRule>
    <cfRule type="cellIs" dxfId="7286" priority="24" operator="lessThan">
      <formula>0.8</formula>
    </cfRule>
  </conditionalFormatting>
  <conditionalFormatting sqref="P161">
    <cfRule type="cellIs" dxfId="7285" priority="22" operator="greaterThan">
      <formula>0</formula>
    </cfRule>
  </conditionalFormatting>
  <conditionalFormatting sqref="Q162:Q166">
    <cfRule type="cellIs" dxfId="7284" priority="21" operator="lessThan">
      <formula>0</formula>
    </cfRule>
  </conditionalFormatting>
  <conditionalFormatting sqref="R162:R166">
    <cfRule type="cellIs" dxfId="7283" priority="19" operator="lessThan">
      <formula>0.8</formula>
    </cfRule>
    <cfRule type="cellIs" dxfId="7282" priority="20" operator="greaterThan">
      <formula>1</formula>
    </cfRule>
  </conditionalFormatting>
  <conditionalFormatting sqref="R162:R166">
    <cfRule type="cellIs" dxfId="7281" priority="17" operator="greaterThan">
      <formula>1</formula>
    </cfRule>
    <cfRule type="cellIs" dxfId="7280" priority="18" operator="lessThan">
      <formula>0.8</formula>
    </cfRule>
  </conditionalFormatting>
  <conditionalFormatting sqref="P162:P166">
    <cfRule type="cellIs" dxfId="7279" priority="16" operator="greaterThan">
      <formula>0</formula>
    </cfRule>
  </conditionalFormatting>
  <conditionalFormatting sqref="Q161">
    <cfRule type="cellIs" dxfId="7278" priority="15" operator="lessThan">
      <formula>0</formula>
    </cfRule>
  </conditionalFormatting>
  <conditionalFormatting sqref="R161">
    <cfRule type="cellIs" dxfId="7277" priority="13" operator="lessThan">
      <formula>0.8</formula>
    </cfRule>
    <cfRule type="cellIs" dxfId="7276" priority="14" operator="greaterThan">
      <formula>1</formula>
    </cfRule>
  </conditionalFormatting>
  <conditionalFormatting sqref="R161">
    <cfRule type="cellIs" dxfId="7275" priority="11" operator="greaterThan">
      <formula>1</formula>
    </cfRule>
    <cfRule type="cellIs" dxfId="7274" priority="12" operator="lessThan">
      <formula>0.8</formula>
    </cfRule>
  </conditionalFormatting>
  <conditionalFormatting sqref="P161">
    <cfRule type="cellIs" dxfId="7273" priority="10" operator="greaterThan">
      <formula>0</formula>
    </cfRule>
  </conditionalFormatting>
  <conditionalFormatting sqref="P167:P168">
    <cfRule type="cellIs" dxfId="7272" priority="4" operator="greaterThan">
      <formula>0</formula>
    </cfRule>
  </conditionalFormatting>
  <conditionalFormatting sqref="R167:R168">
    <cfRule type="cellIs" dxfId="7271" priority="7" operator="lessThan">
      <formula>0.8</formula>
    </cfRule>
    <cfRule type="cellIs" dxfId="7270" priority="8" operator="greaterThan">
      <formula>1</formula>
    </cfRule>
  </conditionalFormatting>
  <conditionalFormatting sqref="R167:R168">
    <cfRule type="cellIs" dxfId="7269" priority="5" operator="greaterThan">
      <formula>1</formula>
    </cfRule>
    <cfRule type="cellIs" dxfId="7268" priority="6" operator="lessThan">
      <formula>0.8</formula>
    </cfRule>
  </conditionalFormatting>
  <conditionalFormatting sqref="Q167:Q168">
    <cfRule type="cellIs" dxfId="7267" priority="9" operator="lessThan">
      <formula>0</formula>
    </cfRule>
  </conditionalFormatting>
  <conditionalFormatting sqref="AF30">
    <cfRule type="cellIs" dxfId="7266" priority="3" operator="lessThan">
      <formula>0</formula>
    </cfRule>
  </conditionalFormatting>
  <conditionalFormatting sqref="AG30">
    <cfRule type="cellIs" dxfId="7265" priority="1" operator="greaterThan">
      <formula>1</formula>
    </cfRule>
    <cfRule type="cellIs" dxfId="7264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0201</vt:lpstr>
      <vt:lpstr>晉欣18度C0201</vt:lpstr>
      <vt:lpstr>晉欣4度C0201</vt:lpstr>
      <vt:lpstr>0202</vt:lpstr>
      <vt:lpstr>晉欣18度C0202</vt:lpstr>
      <vt:lpstr>晉欣4度C0202</vt:lpstr>
      <vt:lpstr>0203</vt:lpstr>
      <vt:lpstr>晉欣18度C0203</vt:lpstr>
      <vt:lpstr>晉欣4度C0203</vt:lpstr>
      <vt:lpstr>0204</vt:lpstr>
      <vt:lpstr>晉欣18度C0204</vt:lpstr>
      <vt:lpstr>晉欣4度C0204</vt:lpstr>
      <vt:lpstr>0205</vt:lpstr>
      <vt:lpstr>晉欣18度C0205</vt:lpstr>
      <vt:lpstr>晉欣4度C0205</vt:lpstr>
      <vt:lpstr>0206</vt:lpstr>
      <vt:lpstr>晉欣18度C0206</vt:lpstr>
      <vt:lpstr>晉欣4度C0206</vt:lpstr>
      <vt:lpstr>0207</vt:lpstr>
      <vt:lpstr>晉欣18度C0207</vt:lpstr>
      <vt:lpstr>晉欣4度C0207</vt:lpstr>
      <vt:lpstr>0208</vt:lpstr>
      <vt:lpstr>晉欣18度C0208</vt:lpstr>
      <vt:lpstr>晉欣4度C0208</vt:lpstr>
      <vt:lpstr>0209</vt:lpstr>
      <vt:lpstr>晉欣18度C0209</vt:lpstr>
      <vt:lpstr>晉欣4度C0209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林奕德</cp:lastModifiedBy>
  <dcterms:created xsi:type="dcterms:W3CDTF">2026-02-11T07:15:57Z</dcterms:created>
  <dcterms:modified xsi:type="dcterms:W3CDTF">2026-02-11T07:47:59Z</dcterms:modified>
</cp:coreProperties>
</file>